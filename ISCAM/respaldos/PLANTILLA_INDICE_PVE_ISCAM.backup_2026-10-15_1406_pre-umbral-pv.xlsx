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acuba\eudrperu\"/>
    </mc:Choice>
  </mc:AlternateContent>
  <xr:revisionPtr revIDLastSave="0" documentId="13_ncr:1_{11A8AE8B-2489-4D20-A82D-07FA72B83460}" xr6:coauthVersionLast="47" xr6:coauthVersionMax="47" xr10:uidLastSave="{00000000-0000-0000-0000-000000000000}"/>
  <bookViews>
    <workbookView xWindow="-108" yWindow="-108" windowWidth="23256" windowHeight="12456" firstSheet="2" activeTab="4" xr2:uid="{00000000-000D-0000-FFFF-FFFF00000000}"/>
  </bookViews>
  <sheets>
    <sheet name="INSTRUCCIONES" sheetId="1" r:id="rId1"/>
    <sheet name="INSTRUMENTO_2_PREGUNTAS" sheetId="2" r:id="rId2"/>
    <sheet name="CODIFICACION" sheetId="14" r:id="rId3"/>
    <sheet name="CAPTURA" sheetId="15" r:id="rId4"/>
    <sheet name="NORMALIZADO" sheetId="16" r:id="rId5"/>
    <sheet name="ISCAM_Score" sheetId="3" r:id="rId6"/>
    <sheet name="PONDERADORES" sheetId="4" r:id="rId7"/>
    <sheet name="MATRIZ_174" sheetId="5" r:id="rId8"/>
    <sheet name="SCORECARDS" sheetId="6" r:id="rId9"/>
    <sheet name="RADAR_BRECHAS" sheetId="7" r:id="rId10"/>
  </sheets>
  <definedNames>
    <definedName name="_xlnm._FilterDatabase" localSheetId="1" hidden="1">INSTRUMENTO_2_PREGUNTAS!$A$2:$G$121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 i="6" l="1"/>
  <c r="F5" i="6"/>
  <c r="F6"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70" i="6"/>
  <c r="F171" i="6"/>
  <c r="F172" i="6"/>
  <c r="F173" i="6"/>
  <c r="F174" i="6"/>
  <c r="F175" i="6"/>
  <c r="F176" i="6"/>
  <c r="F3" i="6"/>
  <c r="O4" i="5"/>
  <c r="O5" i="5"/>
  <c r="O6" i="5"/>
  <c r="O7" i="5"/>
  <c r="O8" i="5"/>
  <c r="O9" i="5"/>
  <c r="O10" i="5"/>
  <c r="O11" i="5"/>
  <c r="O12" i="5"/>
  <c r="O13"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8" i="5"/>
  <c r="O119" i="5"/>
  <c r="O120" i="5"/>
  <c r="O121" i="5"/>
  <c r="O122" i="5"/>
  <c r="O123" i="5"/>
  <c r="O124" i="5"/>
  <c r="O125" i="5"/>
  <c r="O126" i="5"/>
  <c r="O127" i="5"/>
  <c r="O128" i="5"/>
  <c r="O129" i="5"/>
  <c r="O130" i="5"/>
  <c r="O131" i="5"/>
  <c r="O132" i="5"/>
  <c r="O133" i="5"/>
  <c r="O134" i="5"/>
  <c r="O135" i="5"/>
  <c r="O136" i="5"/>
  <c r="O137" i="5"/>
  <c r="O138" i="5"/>
  <c r="O139" i="5"/>
  <c r="O140" i="5"/>
  <c r="O141" i="5"/>
  <c r="O142" i="5"/>
  <c r="O143" i="5"/>
  <c r="O144" i="5"/>
  <c r="O145" i="5"/>
  <c r="O146" i="5"/>
  <c r="O147" i="5"/>
  <c r="O148" i="5"/>
  <c r="O149" i="5"/>
  <c r="O150" i="5"/>
  <c r="O151" i="5"/>
  <c r="O152" i="5"/>
  <c r="O153" i="5"/>
  <c r="O154" i="5"/>
  <c r="O155" i="5"/>
  <c r="O156" i="5"/>
  <c r="O157" i="5"/>
  <c r="O158" i="5"/>
  <c r="O159" i="5"/>
  <c r="O160" i="5"/>
  <c r="O161" i="5"/>
  <c r="O162" i="5"/>
  <c r="O163" i="5"/>
  <c r="O164" i="5"/>
  <c r="O165" i="5"/>
  <c r="O166" i="5"/>
  <c r="O167" i="5"/>
  <c r="O168" i="5"/>
  <c r="O169" i="5"/>
  <c r="O170" i="5"/>
  <c r="O171" i="5"/>
  <c r="O172" i="5"/>
  <c r="O173" i="5"/>
  <c r="O174" i="5"/>
  <c r="O175" i="5"/>
  <c r="O176" i="5"/>
  <c r="O3" i="5"/>
  <c r="M4" i="5"/>
  <c r="U5" i="3" s="1"/>
  <c r="M5" i="5"/>
  <c r="U6" i="3" s="1"/>
  <c r="M6" i="5"/>
  <c r="U7" i="3" s="1"/>
  <c r="M7" i="5"/>
  <c r="U8" i="3" s="1"/>
  <c r="M8" i="5"/>
  <c r="U9" i="3" s="1"/>
  <c r="M9" i="5"/>
  <c r="U10" i="3" s="1"/>
  <c r="M10" i="5"/>
  <c r="U11" i="3" s="1"/>
  <c r="M11" i="5"/>
  <c r="U12" i="3" s="1"/>
  <c r="M12" i="5"/>
  <c r="U13" i="3" s="1"/>
  <c r="M13" i="5"/>
  <c r="U14" i="3" s="1"/>
  <c r="M14" i="5"/>
  <c r="U15" i="3" s="1"/>
  <c r="M15" i="5"/>
  <c r="U16" i="3" s="1"/>
  <c r="M16" i="5"/>
  <c r="U17" i="3" s="1"/>
  <c r="M17" i="5"/>
  <c r="U18" i="3" s="1"/>
  <c r="M18" i="5"/>
  <c r="U19" i="3" s="1"/>
  <c r="M19" i="5"/>
  <c r="U20" i="3" s="1"/>
  <c r="M20" i="5"/>
  <c r="U21" i="3" s="1"/>
  <c r="M21" i="5"/>
  <c r="U22" i="3" s="1"/>
  <c r="M22" i="5"/>
  <c r="U23" i="3" s="1"/>
  <c r="M23" i="5"/>
  <c r="U24" i="3" s="1"/>
  <c r="M24" i="5"/>
  <c r="U25" i="3" s="1"/>
  <c r="M25" i="5"/>
  <c r="U26" i="3" s="1"/>
  <c r="M26" i="5"/>
  <c r="U27" i="3" s="1"/>
  <c r="M27" i="5"/>
  <c r="U28" i="3" s="1"/>
  <c r="M28" i="5"/>
  <c r="U29" i="3" s="1"/>
  <c r="M29" i="5"/>
  <c r="U30" i="3" s="1"/>
  <c r="M30" i="5"/>
  <c r="U31" i="3" s="1"/>
  <c r="M31" i="5"/>
  <c r="U32" i="3" s="1"/>
  <c r="M32" i="5"/>
  <c r="U33" i="3" s="1"/>
  <c r="M33" i="5"/>
  <c r="U34" i="3" s="1"/>
  <c r="M34" i="5"/>
  <c r="U35" i="3" s="1"/>
  <c r="M35" i="5"/>
  <c r="U36" i="3" s="1"/>
  <c r="M36" i="5"/>
  <c r="U37" i="3" s="1"/>
  <c r="M37" i="5"/>
  <c r="U38" i="3" s="1"/>
  <c r="M38" i="5"/>
  <c r="U39" i="3" s="1"/>
  <c r="M39" i="5"/>
  <c r="U40" i="3" s="1"/>
  <c r="M40" i="5"/>
  <c r="U41" i="3" s="1"/>
  <c r="M41" i="5"/>
  <c r="U42" i="3" s="1"/>
  <c r="M42" i="5"/>
  <c r="U43" i="3" s="1"/>
  <c r="M43" i="5"/>
  <c r="U44" i="3" s="1"/>
  <c r="M44" i="5"/>
  <c r="U45" i="3" s="1"/>
  <c r="M45" i="5"/>
  <c r="U46" i="3" s="1"/>
  <c r="M46" i="5"/>
  <c r="U47" i="3" s="1"/>
  <c r="M47" i="5"/>
  <c r="U48" i="3" s="1"/>
  <c r="M48" i="5"/>
  <c r="U49" i="3" s="1"/>
  <c r="M49" i="5"/>
  <c r="U50" i="3" s="1"/>
  <c r="M50" i="5"/>
  <c r="U51" i="3" s="1"/>
  <c r="M51" i="5"/>
  <c r="U52" i="3" s="1"/>
  <c r="M52" i="5"/>
  <c r="U53" i="3" s="1"/>
  <c r="M53" i="5"/>
  <c r="U54" i="3" s="1"/>
  <c r="M54" i="5"/>
  <c r="U55" i="3" s="1"/>
  <c r="M55" i="5"/>
  <c r="U56" i="3" s="1"/>
  <c r="M56" i="5"/>
  <c r="U57" i="3" s="1"/>
  <c r="M57" i="5"/>
  <c r="U58" i="3" s="1"/>
  <c r="M58" i="5"/>
  <c r="U59" i="3" s="1"/>
  <c r="M59" i="5"/>
  <c r="U60" i="3" s="1"/>
  <c r="M60" i="5"/>
  <c r="U61" i="3" s="1"/>
  <c r="M61" i="5"/>
  <c r="U62" i="3" s="1"/>
  <c r="M62" i="5"/>
  <c r="U63" i="3" s="1"/>
  <c r="M63" i="5"/>
  <c r="U64" i="3" s="1"/>
  <c r="M64" i="5"/>
  <c r="U65" i="3" s="1"/>
  <c r="M65" i="5"/>
  <c r="U66" i="3" s="1"/>
  <c r="M66" i="5"/>
  <c r="U67" i="3" s="1"/>
  <c r="M67" i="5"/>
  <c r="U68" i="3" s="1"/>
  <c r="M68" i="5"/>
  <c r="U69" i="3" s="1"/>
  <c r="M69" i="5"/>
  <c r="U70" i="3" s="1"/>
  <c r="M70" i="5"/>
  <c r="U71" i="3" s="1"/>
  <c r="M71" i="5"/>
  <c r="U72" i="3" s="1"/>
  <c r="M72" i="5"/>
  <c r="U73" i="3" s="1"/>
  <c r="M73" i="5"/>
  <c r="U74" i="3" s="1"/>
  <c r="M74" i="5"/>
  <c r="U75" i="3" s="1"/>
  <c r="M75" i="5"/>
  <c r="U76" i="3" s="1"/>
  <c r="M76" i="5"/>
  <c r="U77" i="3" s="1"/>
  <c r="M77" i="5"/>
  <c r="U78" i="3" s="1"/>
  <c r="M78" i="5"/>
  <c r="U79" i="3" s="1"/>
  <c r="M79" i="5"/>
  <c r="U80" i="3" s="1"/>
  <c r="M80" i="5"/>
  <c r="U81" i="3" s="1"/>
  <c r="M81" i="5"/>
  <c r="U82" i="3" s="1"/>
  <c r="M82" i="5"/>
  <c r="U83" i="3" s="1"/>
  <c r="M83" i="5"/>
  <c r="U84" i="3" s="1"/>
  <c r="M84" i="5"/>
  <c r="U85" i="3" s="1"/>
  <c r="M85" i="5"/>
  <c r="U86" i="3" s="1"/>
  <c r="M86" i="5"/>
  <c r="U87" i="3" s="1"/>
  <c r="M87" i="5"/>
  <c r="U88" i="3" s="1"/>
  <c r="M88" i="5"/>
  <c r="U89" i="3" s="1"/>
  <c r="M89" i="5"/>
  <c r="U90" i="3" s="1"/>
  <c r="M90" i="5"/>
  <c r="U91" i="3" s="1"/>
  <c r="M91" i="5"/>
  <c r="U92" i="3" s="1"/>
  <c r="M92" i="5"/>
  <c r="U93" i="3" s="1"/>
  <c r="M93" i="5"/>
  <c r="U94" i="3" s="1"/>
  <c r="M94" i="5"/>
  <c r="U95" i="3" s="1"/>
  <c r="M95" i="5"/>
  <c r="U96" i="3" s="1"/>
  <c r="M96" i="5"/>
  <c r="U97" i="3" s="1"/>
  <c r="M97" i="5"/>
  <c r="U98" i="3" s="1"/>
  <c r="M98" i="5"/>
  <c r="U99" i="3" s="1"/>
  <c r="M99" i="5"/>
  <c r="U100" i="3" s="1"/>
  <c r="M100" i="5"/>
  <c r="U101" i="3" s="1"/>
  <c r="M101" i="5"/>
  <c r="U102" i="3" s="1"/>
  <c r="M102" i="5"/>
  <c r="U103" i="3" s="1"/>
  <c r="M103" i="5"/>
  <c r="U104" i="3" s="1"/>
  <c r="M104" i="5"/>
  <c r="U105" i="3" s="1"/>
  <c r="M105" i="5"/>
  <c r="U106" i="3" s="1"/>
  <c r="M106" i="5"/>
  <c r="U107" i="3" s="1"/>
  <c r="M107" i="5"/>
  <c r="U108" i="3" s="1"/>
  <c r="M108" i="5"/>
  <c r="U109" i="3" s="1"/>
  <c r="M109" i="5"/>
  <c r="U110" i="3" s="1"/>
  <c r="M110" i="5"/>
  <c r="U111" i="3" s="1"/>
  <c r="M111" i="5"/>
  <c r="U112" i="3" s="1"/>
  <c r="M112" i="5"/>
  <c r="U113" i="3" s="1"/>
  <c r="M113" i="5"/>
  <c r="U114" i="3" s="1"/>
  <c r="M114" i="5"/>
  <c r="U115" i="3" s="1"/>
  <c r="M115" i="5"/>
  <c r="U116" i="3" s="1"/>
  <c r="M116" i="5"/>
  <c r="U117" i="3" s="1"/>
  <c r="M117" i="5"/>
  <c r="U118" i="3" s="1"/>
  <c r="M118" i="5"/>
  <c r="U119" i="3" s="1"/>
  <c r="M119" i="5"/>
  <c r="U120" i="3" s="1"/>
  <c r="M120" i="5"/>
  <c r="U121" i="3" s="1"/>
  <c r="M121" i="5"/>
  <c r="U122" i="3" s="1"/>
  <c r="M122" i="5"/>
  <c r="U123" i="3" s="1"/>
  <c r="M123" i="5"/>
  <c r="U124" i="3" s="1"/>
  <c r="M124" i="5"/>
  <c r="U125" i="3" s="1"/>
  <c r="M125" i="5"/>
  <c r="U126" i="3" s="1"/>
  <c r="M126" i="5"/>
  <c r="U127" i="3" s="1"/>
  <c r="M127" i="5"/>
  <c r="U128" i="3" s="1"/>
  <c r="M128" i="5"/>
  <c r="U129" i="3" s="1"/>
  <c r="M129" i="5"/>
  <c r="U130" i="3" s="1"/>
  <c r="M130" i="5"/>
  <c r="U131" i="3" s="1"/>
  <c r="M131" i="5"/>
  <c r="U132" i="3" s="1"/>
  <c r="M132" i="5"/>
  <c r="U133" i="3" s="1"/>
  <c r="M133" i="5"/>
  <c r="U134" i="3" s="1"/>
  <c r="M134" i="5"/>
  <c r="U135" i="3" s="1"/>
  <c r="M135" i="5"/>
  <c r="U136" i="3" s="1"/>
  <c r="M136" i="5"/>
  <c r="U137" i="3" s="1"/>
  <c r="M137" i="5"/>
  <c r="U138" i="3" s="1"/>
  <c r="M138" i="5"/>
  <c r="U139" i="3" s="1"/>
  <c r="M139" i="5"/>
  <c r="U140" i="3" s="1"/>
  <c r="M140" i="5"/>
  <c r="U141" i="3" s="1"/>
  <c r="M141" i="5"/>
  <c r="U142" i="3" s="1"/>
  <c r="M142" i="5"/>
  <c r="U143" i="3" s="1"/>
  <c r="M143" i="5"/>
  <c r="U144" i="3" s="1"/>
  <c r="M144" i="5"/>
  <c r="U145" i="3" s="1"/>
  <c r="M145" i="5"/>
  <c r="U146" i="3" s="1"/>
  <c r="M146" i="5"/>
  <c r="U147" i="3" s="1"/>
  <c r="M147" i="5"/>
  <c r="U148" i="3" s="1"/>
  <c r="M148" i="5"/>
  <c r="U149" i="3" s="1"/>
  <c r="M149" i="5"/>
  <c r="U150" i="3" s="1"/>
  <c r="M150" i="5"/>
  <c r="U151" i="3" s="1"/>
  <c r="M151" i="5"/>
  <c r="U152" i="3" s="1"/>
  <c r="M152" i="5"/>
  <c r="U153" i="3" s="1"/>
  <c r="M153" i="5"/>
  <c r="U154" i="3" s="1"/>
  <c r="M154" i="5"/>
  <c r="U155" i="3" s="1"/>
  <c r="M155" i="5"/>
  <c r="U156" i="3" s="1"/>
  <c r="M156" i="5"/>
  <c r="U157" i="3" s="1"/>
  <c r="M157" i="5"/>
  <c r="U158" i="3" s="1"/>
  <c r="M158" i="5"/>
  <c r="U159" i="3" s="1"/>
  <c r="M159" i="5"/>
  <c r="U160" i="3" s="1"/>
  <c r="M160" i="5"/>
  <c r="U161" i="3" s="1"/>
  <c r="M161" i="5"/>
  <c r="U162" i="3" s="1"/>
  <c r="M162" i="5"/>
  <c r="U163" i="3" s="1"/>
  <c r="M163" i="5"/>
  <c r="U164" i="3" s="1"/>
  <c r="M164" i="5"/>
  <c r="U165" i="3" s="1"/>
  <c r="M165" i="5"/>
  <c r="U166" i="3" s="1"/>
  <c r="M166" i="5"/>
  <c r="U167" i="3" s="1"/>
  <c r="M167" i="5"/>
  <c r="U168" i="3" s="1"/>
  <c r="M168" i="5"/>
  <c r="U169" i="3" s="1"/>
  <c r="M169" i="5"/>
  <c r="U170" i="3" s="1"/>
  <c r="M170" i="5"/>
  <c r="U171" i="3" s="1"/>
  <c r="M171" i="5"/>
  <c r="U172" i="3" s="1"/>
  <c r="M172" i="5"/>
  <c r="U173" i="3" s="1"/>
  <c r="M173" i="5"/>
  <c r="U174" i="3" s="1"/>
  <c r="M174" i="5"/>
  <c r="U175" i="3" s="1"/>
  <c r="M175" i="5"/>
  <c r="U176" i="3" s="1"/>
  <c r="M176" i="5"/>
  <c r="U177" i="3" s="1"/>
  <c r="M3" i="5"/>
  <c r="U4" i="3" s="1"/>
  <c r="CA3" i="16"/>
  <c r="CA4" i="16"/>
  <c r="CA5" i="16"/>
  <c r="CA6" i="16"/>
  <c r="CA7" i="16"/>
  <c r="CA8" i="16"/>
  <c r="CA9" i="16"/>
  <c r="CA10" i="16"/>
  <c r="CA11" i="16"/>
  <c r="CA12" i="16"/>
  <c r="CA13" i="16"/>
  <c r="CA14" i="16"/>
  <c r="CA15" i="16"/>
  <c r="CA16" i="16"/>
  <c r="CA17" i="16"/>
  <c r="CA18" i="16"/>
  <c r="CA19" i="16"/>
  <c r="CA20" i="16"/>
  <c r="CA21" i="16"/>
  <c r="CA22" i="16"/>
  <c r="CA23" i="16"/>
  <c r="CA24" i="16"/>
  <c r="CA25" i="16"/>
  <c r="CA26" i="16"/>
  <c r="CA27" i="16"/>
  <c r="CA28" i="16"/>
  <c r="CA29" i="16"/>
  <c r="CA30" i="16"/>
  <c r="CA31" i="16"/>
  <c r="CA32" i="16"/>
  <c r="CA33" i="16"/>
  <c r="CA34" i="16"/>
  <c r="CA35" i="16"/>
  <c r="CA36" i="16"/>
  <c r="CA37" i="16"/>
  <c r="CA38" i="16"/>
  <c r="CA39" i="16"/>
  <c r="CA40" i="16"/>
  <c r="CA41" i="16"/>
  <c r="CA42" i="16"/>
  <c r="CA43" i="16"/>
  <c r="CA44" i="16"/>
  <c r="CA45" i="16"/>
  <c r="CA46" i="16"/>
  <c r="CA47" i="16"/>
  <c r="CA48" i="16"/>
  <c r="CA49" i="16"/>
  <c r="CA50" i="16"/>
  <c r="CA51" i="16"/>
  <c r="CA52" i="16"/>
  <c r="CA53" i="16"/>
  <c r="CA54" i="16"/>
  <c r="CA55" i="16"/>
  <c r="CA56" i="16"/>
  <c r="CA57" i="16"/>
  <c r="CA58" i="16"/>
  <c r="CA59" i="16"/>
  <c r="CA60" i="16"/>
  <c r="CA61" i="16"/>
  <c r="CA62" i="16"/>
  <c r="CA63" i="16"/>
  <c r="CA64" i="16"/>
  <c r="CA65" i="16"/>
  <c r="CA66" i="16"/>
  <c r="CA67" i="16"/>
  <c r="CA68" i="16"/>
  <c r="CA69" i="16"/>
  <c r="CA70" i="16"/>
  <c r="CA71" i="16"/>
  <c r="CA72" i="16"/>
  <c r="CA73" i="16"/>
  <c r="CA74" i="16"/>
  <c r="CA75" i="16"/>
  <c r="CA76" i="16"/>
  <c r="CA77" i="16"/>
  <c r="CA78" i="16"/>
  <c r="CA79" i="16"/>
  <c r="CA80" i="16"/>
  <c r="CA81" i="16"/>
  <c r="CA82" i="16"/>
  <c r="CA83" i="16"/>
  <c r="CA84" i="16"/>
  <c r="CA85" i="16"/>
  <c r="CA86" i="16"/>
  <c r="CA87" i="16"/>
  <c r="CA88" i="16"/>
  <c r="CA89" i="16"/>
  <c r="CA90" i="16"/>
  <c r="CA91" i="16"/>
  <c r="CA92" i="16"/>
  <c r="CA93" i="16"/>
  <c r="CA94" i="16"/>
  <c r="CA95" i="16"/>
  <c r="CA96" i="16"/>
  <c r="CA97" i="16"/>
  <c r="CA98" i="16"/>
  <c r="CA99" i="16"/>
  <c r="CA100" i="16"/>
  <c r="CA101" i="16"/>
  <c r="CA102" i="16"/>
  <c r="CA103" i="16"/>
  <c r="CA104" i="16"/>
  <c r="CA105" i="16"/>
  <c r="CA106" i="16"/>
  <c r="CA107" i="16"/>
  <c r="CA108" i="16"/>
  <c r="CA109" i="16"/>
  <c r="CA110" i="16"/>
  <c r="CA111" i="16"/>
  <c r="CA112" i="16"/>
  <c r="CA113" i="16"/>
  <c r="CA114" i="16"/>
  <c r="CA115" i="16"/>
  <c r="CA116" i="16"/>
  <c r="CA117" i="16"/>
  <c r="CA118" i="16"/>
  <c r="CA119" i="16"/>
  <c r="CA120" i="16"/>
  <c r="CA121" i="16"/>
  <c r="CA122" i="16"/>
  <c r="CA123" i="16"/>
  <c r="CA124" i="16"/>
  <c r="CA125" i="16"/>
  <c r="CA126" i="16"/>
  <c r="CA127" i="16"/>
  <c r="CA128" i="16"/>
  <c r="CA129" i="16"/>
  <c r="CA130" i="16"/>
  <c r="CA131" i="16"/>
  <c r="CA132" i="16"/>
  <c r="CA133" i="16"/>
  <c r="CA134" i="16"/>
  <c r="CA135" i="16"/>
  <c r="CA136" i="16"/>
  <c r="CA137" i="16"/>
  <c r="CA138" i="16"/>
  <c r="CA139" i="16"/>
  <c r="CA140" i="16"/>
  <c r="CA141" i="16"/>
  <c r="CA142" i="16"/>
  <c r="CA143" i="16"/>
  <c r="CA144" i="16"/>
  <c r="CA145" i="16"/>
  <c r="CA146" i="16"/>
  <c r="CA147" i="16"/>
  <c r="CA148" i="16"/>
  <c r="CA149" i="16"/>
  <c r="CA150" i="16"/>
  <c r="CA151" i="16"/>
  <c r="CA152" i="16"/>
  <c r="CA153" i="16"/>
  <c r="CA154" i="16"/>
  <c r="CA155" i="16"/>
  <c r="CA156" i="16"/>
  <c r="CA157" i="16"/>
  <c r="CA158" i="16"/>
  <c r="CA159" i="16"/>
  <c r="CA160" i="16"/>
  <c r="CA161" i="16"/>
  <c r="CA162" i="16"/>
  <c r="CA163" i="16"/>
  <c r="CA164" i="16"/>
  <c r="CA165" i="16"/>
  <c r="CA166" i="16"/>
  <c r="CA167" i="16"/>
  <c r="CA168" i="16"/>
  <c r="CA169" i="16"/>
  <c r="CA170" i="16"/>
  <c r="CA171" i="16"/>
  <c r="CA172" i="16"/>
  <c r="CA173" i="16"/>
  <c r="CA174" i="16"/>
  <c r="CA175" i="16"/>
  <c r="CA176" i="16"/>
  <c r="BZ3" i="16"/>
  <c r="BZ4" i="16"/>
  <c r="BZ5" i="16"/>
  <c r="BZ6" i="16"/>
  <c r="BZ7" i="16"/>
  <c r="BZ8" i="16"/>
  <c r="BZ9" i="16"/>
  <c r="BZ10" i="16"/>
  <c r="BZ11" i="16"/>
  <c r="BZ12" i="16"/>
  <c r="BZ13" i="16"/>
  <c r="BZ14" i="16"/>
  <c r="BZ15" i="16"/>
  <c r="BZ16" i="16"/>
  <c r="BZ17" i="16"/>
  <c r="BZ18" i="16"/>
  <c r="BZ19" i="16"/>
  <c r="BZ20" i="16"/>
  <c r="BZ21" i="16"/>
  <c r="BZ22" i="16"/>
  <c r="BZ23" i="16"/>
  <c r="BZ24" i="16"/>
  <c r="BZ25" i="16"/>
  <c r="BZ26" i="16"/>
  <c r="BZ27" i="16"/>
  <c r="BZ28" i="16"/>
  <c r="BZ29" i="16"/>
  <c r="BZ30" i="16"/>
  <c r="BZ31" i="16"/>
  <c r="BZ32" i="16"/>
  <c r="BZ33" i="16"/>
  <c r="BZ34" i="16"/>
  <c r="BZ35" i="16"/>
  <c r="BZ36" i="16"/>
  <c r="BZ37" i="16"/>
  <c r="BZ38" i="16"/>
  <c r="BZ39" i="16"/>
  <c r="BZ40" i="16"/>
  <c r="BZ41" i="16"/>
  <c r="BZ42" i="16"/>
  <c r="BZ43" i="16"/>
  <c r="BZ44" i="16"/>
  <c r="BZ45" i="16"/>
  <c r="BZ46" i="16"/>
  <c r="BZ47" i="16"/>
  <c r="BZ48" i="16"/>
  <c r="BZ49" i="16"/>
  <c r="BZ50" i="16"/>
  <c r="BZ51" i="16"/>
  <c r="BZ52" i="16"/>
  <c r="BZ53" i="16"/>
  <c r="BZ54" i="16"/>
  <c r="BZ55" i="16"/>
  <c r="BZ56" i="16"/>
  <c r="BZ57" i="16"/>
  <c r="BZ58" i="16"/>
  <c r="BZ59" i="16"/>
  <c r="BZ60" i="16"/>
  <c r="BZ61" i="16"/>
  <c r="BZ62" i="16"/>
  <c r="BZ63" i="16"/>
  <c r="BZ64" i="16"/>
  <c r="BZ65" i="16"/>
  <c r="BZ66" i="16"/>
  <c r="BZ67" i="16"/>
  <c r="BZ68" i="16"/>
  <c r="BZ69" i="16"/>
  <c r="BZ70" i="16"/>
  <c r="BZ71" i="16"/>
  <c r="BZ72" i="16"/>
  <c r="BZ73" i="16"/>
  <c r="BZ74" i="16"/>
  <c r="BZ75" i="16"/>
  <c r="BZ76" i="16"/>
  <c r="BZ77" i="16"/>
  <c r="BZ78" i="16"/>
  <c r="BZ79" i="16"/>
  <c r="BZ80" i="16"/>
  <c r="BZ81" i="16"/>
  <c r="BZ82" i="16"/>
  <c r="BZ83" i="16"/>
  <c r="BZ84" i="16"/>
  <c r="BZ85" i="16"/>
  <c r="BZ86" i="16"/>
  <c r="BZ87" i="16"/>
  <c r="BZ88" i="16"/>
  <c r="BZ89" i="16"/>
  <c r="BZ90" i="16"/>
  <c r="BZ91" i="16"/>
  <c r="BZ92" i="16"/>
  <c r="BZ93" i="16"/>
  <c r="BZ94" i="16"/>
  <c r="BZ95" i="16"/>
  <c r="BZ96" i="16"/>
  <c r="BZ97" i="16"/>
  <c r="BZ98" i="16"/>
  <c r="BZ99" i="16"/>
  <c r="BZ100" i="16"/>
  <c r="BZ101" i="16"/>
  <c r="BZ102" i="16"/>
  <c r="BZ103" i="16"/>
  <c r="BZ104" i="16"/>
  <c r="BZ105" i="16"/>
  <c r="BZ106" i="16"/>
  <c r="BZ107" i="16"/>
  <c r="BZ108" i="16"/>
  <c r="BZ109" i="16"/>
  <c r="BZ110" i="16"/>
  <c r="BZ111" i="16"/>
  <c r="BZ112" i="16"/>
  <c r="BZ113" i="16"/>
  <c r="BZ114" i="16"/>
  <c r="BZ115" i="16"/>
  <c r="BZ116" i="16"/>
  <c r="BZ117" i="16"/>
  <c r="BZ118" i="16"/>
  <c r="BZ119" i="16"/>
  <c r="BZ120" i="16"/>
  <c r="BZ121" i="16"/>
  <c r="BZ122" i="16"/>
  <c r="BZ123" i="16"/>
  <c r="BZ124" i="16"/>
  <c r="BZ125" i="16"/>
  <c r="BZ126" i="16"/>
  <c r="BZ127" i="16"/>
  <c r="BZ128" i="16"/>
  <c r="BZ129" i="16"/>
  <c r="BZ130" i="16"/>
  <c r="BZ131" i="16"/>
  <c r="BZ132" i="16"/>
  <c r="BZ133" i="16"/>
  <c r="BZ134" i="16"/>
  <c r="BZ135" i="16"/>
  <c r="BZ136" i="16"/>
  <c r="BZ137" i="16"/>
  <c r="BZ138" i="16"/>
  <c r="BZ139" i="16"/>
  <c r="BZ140" i="16"/>
  <c r="BZ141" i="16"/>
  <c r="BZ142" i="16"/>
  <c r="BZ143" i="16"/>
  <c r="BZ144" i="16"/>
  <c r="BZ145" i="16"/>
  <c r="BZ146" i="16"/>
  <c r="BZ147" i="16"/>
  <c r="BZ148" i="16"/>
  <c r="BZ149" i="16"/>
  <c r="BZ150" i="16"/>
  <c r="BZ151" i="16"/>
  <c r="BZ152" i="16"/>
  <c r="BZ153" i="16"/>
  <c r="BZ154" i="16"/>
  <c r="BZ155" i="16"/>
  <c r="BZ156" i="16"/>
  <c r="BZ157" i="16"/>
  <c r="BZ158" i="16"/>
  <c r="BZ159" i="16"/>
  <c r="BZ160" i="16"/>
  <c r="BZ161" i="16"/>
  <c r="BZ162" i="16"/>
  <c r="BZ163" i="16"/>
  <c r="BZ164" i="16"/>
  <c r="BZ165" i="16"/>
  <c r="BZ166" i="16"/>
  <c r="BZ167" i="16"/>
  <c r="BZ168" i="16"/>
  <c r="BZ169" i="16"/>
  <c r="BZ170" i="16"/>
  <c r="BZ171" i="16"/>
  <c r="BZ172" i="16"/>
  <c r="BZ173" i="16"/>
  <c r="BZ174" i="16"/>
  <c r="BZ175" i="16"/>
  <c r="BZ176" i="16"/>
  <c r="BY3" i="16"/>
  <c r="BY4" i="16"/>
  <c r="Z4" i="5" s="1"/>
  <c r="AH5" i="3" s="1"/>
  <c r="BY5" i="16"/>
  <c r="Z5" i="5" s="1"/>
  <c r="AH6" i="3" s="1"/>
  <c r="BY6" i="16"/>
  <c r="Z6" i="5" s="1"/>
  <c r="AH7" i="3" s="1"/>
  <c r="BY7" i="16"/>
  <c r="Z7" i="5" s="1"/>
  <c r="AH8" i="3" s="1"/>
  <c r="BY8" i="16"/>
  <c r="Z8" i="5" s="1"/>
  <c r="AH9" i="3" s="1"/>
  <c r="BY9" i="16"/>
  <c r="Z9" i="5" s="1"/>
  <c r="AH10" i="3" s="1"/>
  <c r="BY10" i="16"/>
  <c r="Z10" i="5" s="1"/>
  <c r="AH11" i="3" s="1"/>
  <c r="BY11" i="16"/>
  <c r="Z11" i="5" s="1"/>
  <c r="AH12" i="3" s="1"/>
  <c r="BY12" i="16"/>
  <c r="Z12" i="5" s="1"/>
  <c r="AH13" i="3" s="1"/>
  <c r="BY13" i="16"/>
  <c r="Z13" i="5" s="1"/>
  <c r="AH14" i="3" s="1"/>
  <c r="BY14" i="16"/>
  <c r="Z14" i="5" s="1"/>
  <c r="AH15" i="3" s="1"/>
  <c r="BY15" i="16"/>
  <c r="Z15" i="5" s="1"/>
  <c r="AH16" i="3" s="1"/>
  <c r="BY16" i="16"/>
  <c r="Z16" i="5" s="1"/>
  <c r="AH17" i="3" s="1"/>
  <c r="BY17" i="16"/>
  <c r="Z17" i="5" s="1"/>
  <c r="AH18" i="3" s="1"/>
  <c r="BY18" i="16"/>
  <c r="Z18" i="5" s="1"/>
  <c r="AH19" i="3" s="1"/>
  <c r="BY19" i="16"/>
  <c r="Z19" i="5" s="1"/>
  <c r="AH20" i="3" s="1"/>
  <c r="BY20" i="16"/>
  <c r="Z20" i="5" s="1"/>
  <c r="AH21" i="3" s="1"/>
  <c r="BY21" i="16"/>
  <c r="Z21" i="5" s="1"/>
  <c r="AH22" i="3" s="1"/>
  <c r="BY22" i="16"/>
  <c r="Z22" i="5" s="1"/>
  <c r="AH23" i="3" s="1"/>
  <c r="BY23" i="16"/>
  <c r="Z23" i="5" s="1"/>
  <c r="AH24" i="3" s="1"/>
  <c r="BY24" i="16"/>
  <c r="Z24" i="5" s="1"/>
  <c r="AH25" i="3" s="1"/>
  <c r="BY25" i="16"/>
  <c r="Z25" i="5" s="1"/>
  <c r="AH26" i="3" s="1"/>
  <c r="BY26" i="16"/>
  <c r="Z26" i="5" s="1"/>
  <c r="AH27" i="3" s="1"/>
  <c r="BY27" i="16"/>
  <c r="Z27" i="5" s="1"/>
  <c r="AH28" i="3" s="1"/>
  <c r="BY28" i="16"/>
  <c r="Z28" i="5" s="1"/>
  <c r="AH29" i="3" s="1"/>
  <c r="BY29" i="16"/>
  <c r="Z29" i="5" s="1"/>
  <c r="AH30" i="3" s="1"/>
  <c r="BY30" i="16"/>
  <c r="Z30" i="5" s="1"/>
  <c r="AH31" i="3" s="1"/>
  <c r="BY31" i="16"/>
  <c r="Z31" i="5" s="1"/>
  <c r="AH32" i="3" s="1"/>
  <c r="BY32" i="16"/>
  <c r="Z32" i="5" s="1"/>
  <c r="AH33" i="3" s="1"/>
  <c r="BY33" i="16"/>
  <c r="Z33" i="5" s="1"/>
  <c r="AH34" i="3" s="1"/>
  <c r="BY34" i="16"/>
  <c r="Z34" i="5" s="1"/>
  <c r="AH35" i="3" s="1"/>
  <c r="BY35" i="16"/>
  <c r="Z35" i="5" s="1"/>
  <c r="AH36" i="3" s="1"/>
  <c r="BY36" i="16"/>
  <c r="Z36" i="5" s="1"/>
  <c r="AH37" i="3" s="1"/>
  <c r="BY37" i="16"/>
  <c r="Z37" i="5" s="1"/>
  <c r="AH38" i="3" s="1"/>
  <c r="BY38" i="16"/>
  <c r="Z38" i="5" s="1"/>
  <c r="AH39" i="3" s="1"/>
  <c r="BY39" i="16"/>
  <c r="Z39" i="5" s="1"/>
  <c r="AH40" i="3" s="1"/>
  <c r="BY40" i="16"/>
  <c r="Z40" i="5" s="1"/>
  <c r="AH41" i="3" s="1"/>
  <c r="BY41" i="16"/>
  <c r="Z41" i="5" s="1"/>
  <c r="AH42" i="3" s="1"/>
  <c r="BY42" i="16"/>
  <c r="Z42" i="5" s="1"/>
  <c r="AH43" i="3" s="1"/>
  <c r="BY43" i="16"/>
  <c r="Z43" i="5" s="1"/>
  <c r="AH44" i="3" s="1"/>
  <c r="BY44" i="16"/>
  <c r="Z44" i="5" s="1"/>
  <c r="AH45" i="3" s="1"/>
  <c r="BY45" i="16"/>
  <c r="Z45" i="5" s="1"/>
  <c r="AH46" i="3" s="1"/>
  <c r="BY46" i="16"/>
  <c r="Z46" i="5" s="1"/>
  <c r="AH47" i="3" s="1"/>
  <c r="BY47" i="16"/>
  <c r="Z47" i="5" s="1"/>
  <c r="AH48" i="3" s="1"/>
  <c r="BY48" i="16"/>
  <c r="Z48" i="5" s="1"/>
  <c r="AH49" i="3" s="1"/>
  <c r="BY49" i="16"/>
  <c r="Z49" i="5" s="1"/>
  <c r="AH50" i="3" s="1"/>
  <c r="BY50" i="16"/>
  <c r="Z50" i="5" s="1"/>
  <c r="AH51" i="3" s="1"/>
  <c r="BY51" i="16"/>
  <c r="Z51" i="5" s="1"/>
  <c r="AH52" i="3" s="1"/>
  <c r="BY52" i="16"/>
  <c r="Z52" i="5" s="1"/>
  <c r="AH53" i="3" s="1"/>
  <c r="BY53" i="16"/>
  <c r="Z53" i="5" s="1"/>
  <c r="AH54" i="3" s="1"/>
  <c r="BY54" i="16"/>
  <c r="Z54" i="5" s="1"/>
  <c r="AH55" i="3" s="1"/>
  <c r="BY55" i="16"/>
  <c r="Z55" i="5" s="1"/>
  <c r="AH56" i="3" s="1"/>
  <c r="BY56" i="16"/>
  <c r="Z56" i="5" s="1"/>
  <c r="AH57" i="3" s="1"/>
  <c r="BY57" i="16"/>
  <c r="Z57" i="5" s="1"/>
  <c r="AH58" i="3" s="1"/>
  <c r="BY58" i="16"/>
  <c r="Z58" i="5" s="1"/>
  <c r="AH59" i="3" s="1"/>
  <c r="BY59" i="16"/>
  <c r="Z59" i="5" s="1"/>
  <c r="AH60" i="3" s="1"/>
  <c r="BY60" i="16"/>
  <c r="Z60" i="5" s="1"/>
  <c r="AH61" i="3" s="1"/>
  <c r="BY61" i="16"/>
  <c r="Z61" i="5" s="1"/>
  <c r="AH62" i="3" s="1"/>
  <c r="BY62" i="16"/>
  <c r="Z62" i="5" s="1"/>
  <c r="AH63" i="3" s="1"/>
  <c r="BY63" i="16"/>
  <c r="Z63" i="5" s="1"/>
  <c r="AH64" i="3" s="1"/>
  <c r="BY64" i="16"/>
  <c r="Z64" i="5" s="1"/>
  <c r="AH65" i="3" s="1"/>
  <c r="BY65" i="16"/>
  <c r="Z65" i="5" s="1"/>
  <c r="AH66" i="3" s="1"/>
  <c r="BY66" i="16"/>
  <c r="Z66" i="5" s="1"/>
  <c r="AH67" i="3" s="1"/>
  <c r="BY67" i="16"/>
  <c r="Z67" i="5" s="1"/>
  <c r="AH68" i="3" s="1"/>
  <c r="BY68" i="16"/>
  <c r="Z68" i="5" s="1"/>
  <c r="AH69" i="3" s="1"/>
  <c r="BY69" i="16"/>
  <c r="Z69" i="5" s="1"/>
  <c r="AH70" i="3" s="1"/>
  <c r="BY70" i="16"/>
  <c r="Z70" i="5" s="1"/>
  <c r="AH71" i="3" s="1"/>
  <c r="BY71" i="16"/>
  <c r="Z71" i="5" s="1"/>
  <c r="AH72" i="3" s="1"/>
  <c r="BY72" i="16"/>
  <c r="Z72" i="5" s="1"/>
  <c r="AH73" i="3" s="1"/>
  <c r="BY73" i="16"/>
  <c r="Z73" i="5" s="1"/>
  <c r="AH74" i="3" s="1"/>
  <c r="BY74" i="16"/>
  <c r="Z74" i="5" s="1"/>
  <c r="AH75" i="3" s="1"/>
  <c r="BY75" i="16"/>
  <c r="Z75" i="5" s="1"/>
  <c r="AH76" i="3" s="1"/>
  <c r="BY76" i="16"/>
  <c r="Z76" i="5" s="1"/>
  <c r="AH77" i="3" s="1"/>
  <c r="BY77" i="16"/>
  <c r="Z77" i="5" s="1"/>
  <c r="AH78" i="3" s="1"/>
  <c r="BY78" i="16"/>
  <c r="Z78" i="5" s="1"/>
  <c r="AH79" i="3" s="1"/>
  <c r="BY79" i="16"/>
  <c r="Z79" i="5" s="1"/>
  <c r="AH80" i="3" s="1"/>
  <c r="BY80" i="16"/>
  <c r="Z80" i="5" s="1"/>
  <c r="AH81" i="3" s="1"/>
  <c r="BY81" i="16"/>
  <c r="Z81" i="5" s="1"/>
  <c r="AH82" i="3" s="1"/>
  <c r="BY82" i="16"/>
  <c r="Z82" i="5" s="1"/>
  <c r="AH83" i="3" s="1"/>
  <c r="BY83" i="16"/>
  <c r="Z83" i="5" s="1"/>
  <c r="AH84" i="3" s="1"/>
  <c r="BY84" i="16"/>
  <c r="Z84" i="5" s="1"/>
  <c r="AH85" i="3" s="1"/>
  <c r="BY85" i="16"/>
  <c r="Z85" i="5" s="1"/>
  <c r="AH86" i="3" s="1"/>
  <c r="BY86" i="16"/>
  <c r="Z86" i="5" s="1"/>
  <c r="AH87" i="3" s="1"/>
  <c r="BY87" i="16"/>
  <c r="Z87" i="5" s="1"/>
  <c r="AH88" i="3" s="1"/>
  <c r="BY88" i="16"/>
  <c r="Z88" i="5" s="1"/>
  <c r="AH89" i="3" s="1"/>
  <c r="BY89" i="16"/>
  <c r="Z89" i="5" s="1"/>
  <c r="AH90" i="3" s="1"/>
  <c r="BY90" i="16"/>
  <c r="Z90" i="5" s="1"/>
  <c r="AH91" i="3" s="1"/>
  <c r="BY91" i="16"/>
  <c r="Z91" i="5" s="1"/>
  <c r="AH92" i="3" s="1"/>
  <c r="BY92" i="16"/>
  <c r="Z92" i="5" s="1"/>
  <c r="AH93" i="3" s="1"/>
  <c r="BY93" i="16"/>
  <c r="Z93" i="5" s="1"/>
  <c r="AH94" i="3" s="1"/>
  <c r="BY94" i="16"/>
  <c r="Z94" i="5" s="1"/>
  <c r="AH95" i="3" s="1"/>
  <c r="BY95" i="16"/>
  <c r="Z95" i="5" s="1"/>
  <c r="AH96" i="3" s="1"/>
  <c r="BY96" i="16"/>
  <c r="Z96" i="5" s="1"/>
  <c r="AH97" i="3" s="1"/>
  <c r="BY97" i="16"/>
  <c r="Z97" i="5" s="1"/>
  <c r="AH98" i="3" s="1"/>
  <c r="BY98" i="16"/>
  <c r="Z98" i="5" s="1"/>
  <c r="AH99" i="3" s="1"/>
  <c r="BY99" i="16"/>
  <c r="Z99" i="5" s="1"/>
  <c r="AH100" i="3" s="1"/>
  <c r="BY100" i="16"/>
  <c r="Z100" i="5" s="1"/>
  <c r="AH101" i="3" s="1"/>
  <c r="BY101" i="16"/>
  <c r="Z101" i="5" s="1"/>
  <c r="AH102" i="3" s="1"/>
  <c r="BY102" i="16"/>
  <c r="Z102" i="5" s="1"/>
  <c r="AH103" i="3" s="1"/>
  <c r="BY103" i="16"/>
  <c r="Z103" i="5" s="1"/>
  <c r="AH104" i="3" s="1"/>
  <c r="BY104" i="16"/>
  <c r="Z104" i="5" s="1"/>
  <c r="AH105" i="3" s="1"/>
  <c r="BY105" i="16"/>
  <c r="Z105" i="5" s="1"/>
  <c r="AH106" i="3" s="1"/>
  <c r="BY106" i="16"/>
  <c r="Z106" i="5" s="1"/>
  <c r="AH107" i="3" s="1"/>
  <c r="BY107" i="16"/>
  <c r="Z107" i="5" s="1"/>
  <c r="AH108" i="3" s="1"/>
  <c r="BY108" i="16"/>
  <c r="Z108" i="5" s="1"/>
  <c r="AH109" i="3" s="1"/>
  <c r="BY109" i="16"/>
  <c r="Z109" i="5" s="1"/>
  <c r="AH110" i="3" s="1"/>
  <c r="BY110" i="16"/>
  <c r="Z110" i="5" s="1"/>
  <c r="AH111" i="3" s="1"/>
  <c r="BY111" i="16"/>
  <c r="Z111" i="5" s="1"/>
  <c r="AH112" i="3" s="1"/>
  <c r="BY112" i="16"/>
  <c r="Z112" i="5" s="1"/>
  <c r="AH113" i="3" s="1"/>
  <c r="BY113" i="16"/>
  <c r="Z113" i="5" s="1"/>
  <c r="AH114" i="3" s="1"/>
  <c r="BY114" i="16"/>
  <c r="Z114" i="5" s="1"/>
  <c r="AH115" i="3" s="1"/>
  <c r="BY115" i="16"/>
  <c r="Z115" i="5" s="1"/>
  <c r="AH116" i="3" s="1"/>
  <c r="BY116" i="16"/>
  <c r="Z116" i="5" s="1"/>
  <c r="AH117" i="3" s="1"/>
  <c r="BY117" i="16"/>
  <c r="Z117" i="5" s="1"/>
  <c r="AH118" i="3" s="1"/>
  <c r="BY118" i="16"/>
  <c r="Z118" i="5" s="1"/>
  <c r="AH119" i="3" s="1"/>
  <c r="BY119" i="16"/>
  <c r="Z119" i="5" s="1"/>
  <c r="AH120" i="3" s="1"/>
  <c r="BY120" i="16"/>
  <c r="Z120" i="5" s="1"/>
  <c r="AH121" i="3" s="1"/>
  <c r="BY121" i="16"/>
  <c r="Z121" i="5" s="1"/>
  <c r="AH122" i="3" s="1"/>
  <c r="BY122" i="16"/>
  <c r="Z122" i="5" s="1"/>
  <c r="AH123" i="3" s="1"/>
  <c r="BY123" i="16"/>
  <c r="Z123" i="5" s="1"/>
  <c r="AH124" i="3" s="1"/>
  <c r="BY124" i="16"/>
  <c r="Z124" i="5" s="1"/>
  <c r="AH125" i="3" s="1"/>
  <c r="BY125" i="16"/>
  <c r="Z125" i="5" s="1"/>
  <c r="AH126" i="3" s="1"/>
  <c r="BY126" i="16"/>
  <c r="Z126" i="5" s="1"/>
  <c r="AH127" i="3" s="1"/>
  <c r="BY127" i="16"/>
  <c r="Z127" i="5" s="1"/>
  <c r="AH128" i="3" s="1"/>
  <c r="BY128" i="16"/>
  <c r="Z128" i="5" s="1"/>
  <c r="AH129" i="3" s="1"/>
  <c r="BY129" i="16"/>
  <c r="Z129" i="5" s="1"/>
  <c r="AH130" i="3" s="1"/>
  <c r="BY130" i="16"/>
  <c r="Z130" i="5" s="1"/>
  <c r="AH131" i="3" s="1"/>
  <c r="BY131" i="16"/>
  <c r="Z131" i="5" s="1"/>
  <c r="AH132" i="3" s="1"/>
  <c r="BY132" i="16"/>
  <c r="Z132" i="5" s="1"/>
  <c r="AH133" i="3" s="1"/>
  <c r="BY133" i="16"/>
  <c r="Z133" i="5" s="1"/>
  <c r="AH134" i="3" s="1"/>
  <c r="BY134" i="16"/>
  <c r="Z134" i="5" s="1"/>
  <c r="AH135" i="3" s="1"/>
  <c r="BY135" i="16"/>
  <c r="Z135" i="5" s="1"/>
  <c r="AH136" i="3" s="1"/>
  <c r="BY136" i="16"/>
  <c r="Z136" i="5" s="1"/>
  <c r="AH137" i="3" s="1"/>
  <c r="BY137" i="16"/>
  <c r="Z137" i="5" s="1"/>
  <c r="AH138" i="3" s="1"/>
  <c r="BY138" i="16"/>
  <c r="Z138" i="5" s="1"/>
  <c r="AH139" i="3" s="1"/>
  <c r="BY139" i="16"/>
  <c r="Z139" i="5" s="1"/>
  <c r="AH140" i="3" s="1"/>
  <c r="BY140" i="16"/>
  <c r="Z140" i="5" s="1"/>
  <c r="AH141" i="3" s="1"/>
  <c r="BY141" i="16"/>
  <c r="Z141" i="5" s="1"/>
  <c r="AH142" i="3" s="1"/>
  <c r="BY142" i="16"/>
  <c r="Z142" i="5" s="1"/>
  <c r="AH143" i="3" s="1"/>
  <c r="BY143" i="16"/>
  <c r="Z143" i="5" s="1"/>
  <c r="AH144" i="3" s="1"/>
  <c r="BY144" i="16"/>
  <c r="Z144" i="5" s="1"/>
  <c r="AH145" i="3" s="1"/>
  <c r="BY145" i="16"/>
  <c r="Z145" i="5" s="1"/>
  <c r="AH146" i="3" s="1"/>
  <c r="BY146" i="16"/>
  <c r="Z146" i="5" s="1"/>
  <c r="AH147" i="3" s="1"/>
  <c r="BY147" i="16"/>
  <c r="Z147" i="5" s="1"/>
  <c r="AH148" i="3" s="1"/>
  <c r="BY148" i="16"/>
  <c r="Z148" i="5" s="1"/>
  <c r="AH149" i="3" s="1"/>
  <c r="BY149" i="16"/>
  <c r="Z149" i="5" s="1"/>
  <c r="AH150" i="3" s="1"/>
  <c r="BY150" i="16"/>
  <c r="Z150" i="5" s="1"/>
  <c r="AH151" i="3" s="1"/>
  <c r="BY151" i="16"/>
  <c r="Z151" i="5" s="1"/>
  <c r="AH152" i="3" s="1"/>
  <c r="BY152" i="16"/>
  <c r="Z152" i="5" s="1"/>
  <c r="AH153" i="3" s="1"/>
  <c r="BY153" i="16"/>
  <c r="Z153" i="5" s="1"/>
  <c r="AH154" i="3" s="1"/>
  <c r="BY154" i="16"/>
  <c r="Z154" i="5" s="1"/>
  <c r="AH155" i="3" s="1"/>
  <c r="BY155" i="16"/>
  <c r="Z155" i="5" s="1"/>
  <c r="AH156" i="3" s="1"/>
  <c r="BY156" i="16"/>
  <c r="Z156" i="5" s="1"/>
  <c r="AH157" i="3" s="1"/>
  <c r="BY157" i="16"/>
  <c r="Z157" i="5" s="1"/>
  <c r="AH158" i="3" s="1"/>
  <c r="BY158" i="16"/>
  <c r="Z158" i="5" s="1"/>
  <c r="AH159" i="3" s="1"/>
  <c r="BY159" i="16"/>
  <c r="Z159" i="5" s="1"/>
  <c r="AH160" i="3" s="1"/>
  <c r="BY160" i="16"/>
  <c r="Z160" i="5" s="1"/>
  <c r="AH161" i="3" s="1"/>
  <c r="BY161" i="16"/>
  <c r="Z161" i="5" s="1"/>
  <c r="AH162" i="3" s="1"/>
  <c r="BY162" i="16"/>
  <c r="Z162" i="5" s="1"/>
  <c r="AH163" i="3" s="1"/>
  <c r="BY163" i="16"/>
  <c r="Z163" i="5" s="1"/>
  <c r="AH164" i="3" s="1"/>
  <c r="BY164" i="16"/>
  <c r="Z164" i="5" s="1"/>
  <c r="AH165" i="3" s="1"/>
  <c r="BY165" i="16"/>
  <c r="Z165" i="5" s="1"/>
  <c r="AH166" i="3" s="1"/>
  <c r="BY166" i="16"/>
  <c r="Z166" i="5" s="1"/>
  <c r="AH167" i="3" s="1"/>
  <c r="BY167" i="16"/>
  <c r="Z167" i="5" s="1"/>
  <c r="AH168" i="3" s="1"/>
  <c r="BY168" i="16"/>
  <c r="Z168" i="5" s="1"/>
  <c r="AH169" i="3" s="1"/>
  <c r="BY169" i="16"/>
  <c r="Z169" i="5" s="1"/>
  <c r="AH170" i="3" s="1"/>
  <c r="BY170" i="16"/>
  <c r="Z170" i="5" s="1"/>
  <c r="AH171" i="3" s="1"/>
  <c r="BY171" i="16"/>
  <c r="Z171" i="5" s="1"/>
  <c r="AH172" i="3" s="1"/>
  <c r="BY172" i="16"/>
  <c r="Z172" i="5" s="1"/>
  <c r="AH173" i="3" s="1"/>
  <c r="BY173" i="16"/>
  <c r="Z173" i="5" s="1"/>
  <c r="AH174" i="3" s="1"/>
  <c r="BY174" i="16"/>
  <c r="Z174" i="5" s="1"/>
  <c r="AH175" i="3" s="1"/>
  <c r="BY175" i="16"/>
  <c r="Z175" i="5" s="1"/>
  <c r="AH176" i="3" s="1"/>
  <c r="BY176" i="16"/>
  <c r="Z176" i="5" s="1"/>
  <c r="AH177" i="3" s="1"/>
  <c r="BX3" i="16"/>
  <c r="BX4" i="16"/>
  <c r="Y4" i="5" s="1"/>
  <c r="AG5" i="3" s="1"/>
  <c r="BX5" i="16"/>
  <c r="Y5" i="5" s="1"/>
  <c r="AG6" i="3" s="1"/>
  <c r="BX6" i="16"/>
  <c r="Y6" i="5" s="1"/>
  <c r="AG7" i="3" s="1"/>
  <c r="BX7" i="16"/>
  <c r="Y7" i="5" s="1"/>
  <c r="AG8" i="3" s="1"/>
  <c r="BX8" i="16"/>
  <c r="Y8" i="5" s="1"/>
  <c r="AG9" i="3" s="1"/>
  <c r="BX9" i="16"/>
  <c r="Y9" i="5" s="1"/>
  <c r="AG10" i="3" s="1"/>
  <c r="BX10" i="16"/>
  <c r="Y10" i="5" s="1"/>
  <c r="AG11" i="3" s="1"/>
  <c r="BX11" i="16"/>
  <c r="Y11" i="5" s="1"/>
  <c r="AG12" i="3" s="1"/>
  <c r="BX12" i="16"/>
  <c r="Y12" i="5" s="1"/>
  <c r="AG13" i="3" s="1"/>
  <c r="BX13" i="16"/>
  <c r="Y13" i="5" s="1"/>
  <c r="AG14" i="3" s="1"/>
  <c r="BX14" i="16"/>
  <c r="Y14" i="5" s="1"/>
  <c r="AG15" i="3" s="1"/>
  <c r="BX15" i="16"/>
  <c r="Y15" i="5" s="1"/>
  <c r="AG16" i="3" s="1"/>
  <c r="BX16" i="16"/>
  <c r="Y16" i="5" s="1"/>
  <c r="AG17" i="3" s="1"/>
  <c r="BX17" i="16"/>
  <c r="Y17" i="5" s="1"/>
  <c r="AG18" i="3" s="1"/>
  <c r="BX18" i="16"/>
  <c r="Y18" i="5" s="1"/>
  <c r="AG19" i="3" s="1"/>
  <c r="BX19" i="16"/>
  <c r="Y19" i="5" s="1"/>
  <c r="AG20" i="3" s="1"/>
  <c r="BX20" i="16"/>
  <c r="Y20" i="5" s="1"/>
  <c r="AG21" i="3" s="1"/>
  <c r="BX21" i="16"/>
  <c r="Y21" i="5" s="1"/>
  <c r="AG22" i="3" s="1"/>
  <c r="BX22" i="16"/>
  <c r="Y22" i="5" s="1"/>
  <c r="AG23" i="3" s="1"/>
  <c r="BX23" i="16"/>
  <c r="Y23" i="5" s="1"/>
  <c r="AG24" i="3" s="1"/>
  <c r="BX24" i="16"/>
  <c r="Y24" i="5" s="1"/>
  <c r="AG25" i="3" s="1"/>
  <c r="BX25" i="16"/>
  <c r="Y25" i="5" s="1"/>
  <c r="AG26" i="3" s="1"/>
  <c r="BX26" i="16"/>
  <c r="Y26" i="5" s="1"/>
  <c r="AG27" i="3" s="1"/>
  <c r="BX27" i="16"/>
  <c r="Y27" i="5" s="1"/>
  <c r="AG28" i="3" s="1"/>
  <c r="BX28" i="16"/>
  <c r="Y28" i="5" s="1"/>
  <c r="AG29" i="3" s="1"/>
  <c r="BX29" i="16"/>
  <c r="Y29" i="5" s="1"/>
  <c r="AG30" i="3" s="1"/>
  <c r="BX30" i="16"/>
  <c r="Y30" i="5" s="1"/>
  <c r="AG31" i="3" s="1"/>
  <c r="BX31" i="16"/>
  <c r="Y31" i="5" s="1"/>
  <c r="AG32" i="3" s="1"/>
  <c r="BX32" i="16"/>
  <c r="Y32" i="5" s="1"/>
  <c r="AG33" i="3" s="1"/>
  <c r="BX33" i="16"/>
  <c r="Y33" i="5" s="1"/>
  <c r="AG34" i="3" s="1"/>
  <c r="BX34" i="16"/>
  <c r="Y34" i="5" s="1"/>
  <c r="AG35" i="3" s="1"/>
  <c r="BX35" i="16"/>
  <c r="Y35" i="5" s="1"/>
  <c r="AG36" i="3" s="1"/>
  <c r="BX36" i="16"/>
  <c r="Y36" i="5" s="1"/>
  <c r="AG37" i="3" s="1"/>
  <c r="BX37" i="16"/>
  <c r="Y37" i="5" s="1"/>
  <c r="AG38" i="3" s="1"/>
  <c r="BX38" i="16"/>
  <c r="Y38" i="5" s="1"/>
  <c r="AG39" i="3" s="1"/>
  <c r="BX39" i="16"/>
  <c r="Y39" i="5" s="1"/>
  <c r="AG40" i="3" s="1"/>
  <c r="BX40" i="16"/>
  <c r="Y40" i="5" s="1"/>
  <c r="AG41" i="3" s="1"/>
  <c r="BX41" i="16"/>
  <c r="Y41" i="5" s="1"/>
  <c r="AG42" i="3" s="1"/>
  <c r="BX42" i="16"/>
  <c r="Y42" i="5" s="1"/>
  <c r="AG43" i="3" s="1"/>
  <c r="BX43" i="16"/>
  <c r="Y43" i="5" s="1"/>
  <c r="AG44" i="3" s="1"/>
  <c r="BX44" i="16"/>
  <c r="Y44" i="5" s="1"/>
  <c r="AG45" i="3" s="1"/>
  <c r="BX45" i="16"/>
  <c r="Y45" i="5" s="1"/>
  <c r="AG46" i="3" s="1"/>
  <c r="BX46" i="16"/>
  <c r="Y46" i="5" s="1"/>
  <c r="AG47" i="3" s="1"/>
  <c r="BX47" i="16"/>
  <c r="Y47" i="5" s="1"/>
  <c r="AG48" i="3" s="1"/>
  <c r="BX48" i="16"/>
  <c r="Y48" i="5" s="1"/>
  <c r="AG49" i="3" s="1"/>
  <c r="BX49" i="16"/>
  <c r="Y49" i="5" s="1"/>
  <c r="AG50" i="3" s="1"/>
  <c r="BX50" i="16"/>
  <c r="Y50" i="5" s="1"/>
  <c r="AG51" i="3" s="1"/>
  <c r="BX51" i="16"/>
  <c r="Y51" i="5" s="1"/>
  <c r="AG52" i="3" s="1"/>
  <c r="BX52" i="16"/>
  <c r="Y52" i="5" s="1"/>
  <c r="AG53" i="3" s="1"/>
  <c r="BX53" i="16"/>
  <c r="Y53" i="5" s="1"/>
  <c r="AG54" i="3" s="1"/>
  <c r="BX54" i="16"/>
  <c r="Y54" i="5" s="1"/>
  <c r="AG55" i="3" s="1"/>
  <c r="BX55" i="16"/>
  <c r="Y55" i="5" s="1"/>
  <c r="AG56" i="3" s="1"/>
  <c r="BX56" i="16"/>
  <c r="Y56" i="5" s="1"/>
  <c r="AG57" i="3" s="1"/>
  <c r="BX57" i="16"/>
  <c r="Y57" i="5" s="1"/>
  <c r="AG58" i="3" s="1"/>
  <c r="BX58" i="16"/>
  <c r="Y58" i="5" s="1"/>
  <c r="AG59" i="3" s="1"/>
  <c r="BX59" i="16"/>
  <c r="Y59" i="5" s="1"/>
  <c r="AG60" i="3" s="1"/>
  <c r="BX60" i="16"/>
  <c r="Y60" i="5" s="1"/>
  <c r="AG61" i="3" s="1"/>
  <c r="BX61" i="16"/>
  <c r="Y61" i="5" s="1"/>
  <c r="AG62" i="3" s="1"/>
  <c r="BX62" i="16"/>
  <c r="Y62" i="5" s="1"/>
  <c r="AG63" i="3" s="1"/>
  <c r="BX63" i="16"/>
  <c r="Y63" i="5" s="1"/>
  <c r="AG64" i="3" s="1"/>
  <c r="BX64" i="16"/>
  <c r="Y64" i="5" s="1"/>
  <c r="AG65" i="3" s="1"/>
  <c r="BX65" i="16"/>
  <c r="Y65" i="5" s="1"/>
  <c r="AG66" i="3" s="1"/>
  <c r="BX66" i="16"/>
  <c r="Y66" i="5" s="1"/>
  <c r="AG67" i="3" s="1"/>
  <c r="BX67" i="16"/>
  <c r="Y67" i="5" s="1"/>
  <c r="AG68" i="3" s="1"/>
  <c r="BX68" i="16"/>
  <c r="Y68" i="5" s="1"/>
  <c r="AG69" i="3" s="1"/>
  <c r="BX69" i="16"/>
  <c r="Y69" i="5" s="1"/>
  <c r="AG70" i="3" s="1"/>
  <c r="BX70" i="16"/>
  <c r="Y70" i="5" s="1"/>
  <c r="AG71" i="3" s="1"/>
  <c r="BX71" i="16"/>
  <c r="Y71" i="5" s="1"/>
  <c r="AG72" i="3" s="1"/>
  <c r="BX72" i="16"/>
  <c r="Y72" i="5" s="1"/>
  <c r="AG73" i="3" s="1"/>
  <c r="BX73" i="16"/>
  <c r="Y73" i="5" s="1"/>
  <c r="AG74" i="3" s="1"/>
  <c r="BX74" i="16"/>
  <c r="Y74" i="5" s="1"/>
  <c r="AG75" i="3" s="1"/>
  <c r="BX75" i="16"/>
  <c r="Y75" i="5" s="1"/>
  <c r="AG76" i="3" s="1"/>
  <c r="BX76" i="16"/>
  <c r="Y76" i="5" s="1"/>
  <c r="AG77" i="3" s="1"/>
  <c r="BX77" i="16"/>
  <c r="Y77" i="5" s="1"/>
  <c r="AG78" i="3" s="1"/>
  <c r="BX78" i="16"/>
  <c r="Y78" i="5" s="1"/>
  <c r="AG79" i="3" s="1"/>
  <c r="BX79" i="16"/>
  <c r="Y79" i="5" s="1"/>
  <c r="AG80" i="3" s="1"/>
  <c r="BX80" i="16"/>
  <c r="Y80" i="5" s="1"/>
  <c r="AG81" i="3" s="1"/>
  <c r="BX81" i="16"/>
  <c r="Y81" i="5" s="1"/>
  <c r="AG82" i="3" s="1"/>
  <c r="BX82" i="16"/>
  <c r="Y82" i="5" s="1"/>
  <c r="AG83" i="3" s="1"/>
  <c r="BX83" i="16"/>
  <c r="Y83" i="5" s="1"/>
  <c r="AG84" i="3" s="1"/>
  <c r="BX84" i="16"/>
  <c r="Y84" i="5" s="1"/>
  <c r="AG85" i="3" s="1"/>
  <c r="BX85" i="16"/>
  <c r="Y85" i="5" s="1"/>
  <c r="AG86" i="3" s="1"/>
  <c r="BX86" i="16"/>
  <c r="Y86" i="5" s="1"/>
  <c r="AG87" i="3" s="1"/>
  <c r="BX87" i="16"/>
  <c r="Y87" i="5" s="1"/>
  <c r="AG88" i="3" s="1"/>
  <c r="BX88" i="16"/>
  <c r="Y88" i="5" s="1"/>
  <c r="AG89" i="3" s="1"/>
  <c r="BX89" i="16"/>
  <c r="Y89" i="5" s="1"/>
  <c r="AG90" i="3" s="1"/>
  <c r="BX90" i="16"/>
  <c r="Y90" i="5" s="1"/>
  <c r="AG91" i="3" s="1"/>
  <c r="BX91" i="16"/>
  <c r="Y91" i="5" s="1"/>
  <c r="AG92" i="3" s="1"/>
  <c r="BX92" i="16"/>
  <c r="Y92" i="5" s="1"/>
  <c r="AG93" i="3" s="1"/>
  <c r="BX93" i="16"/>
  <c r="Y93" i="5" s="1"/>
  <c r="AG94" i="3" s="1"/>
  <c r="BX94" i="16"/>
  <c r="Y94" i="5" s="1"/>
  <c r="AG95" i="3" s="1"/>
  <c r="BX95" i="16"/>
  <c r="Y95" i="5" s="1"/>
  <c r="AG96" i="3" s="1"/>
  <c r="BX96" i="16"/>
  <c r="Y96" i="5" s="1"/>
  <c r="AG97" i="3" s="1"/>
  <c r="BX97" i="16"/>
  <c r="Y97" i="5" s="1"/>
  <c r="AG98" i="3" s="1"/>
  <c r="BX98" i="16"/>
  <c r="Y98" i="5" s="1"/>
  <c r="AG99" i="3" s="1"/>
  <c r="BX99" i="16"/>
  <c r="Y99" i="5" s="1"/>
  <c r="AG100" i="3" s="1"/>
  <c r="BX100" i="16"/>
  <c r="Y100" i="5" s="1"/>
  <c r="AG101" i="3" s="1"/>
  <c r="BX101" i="16"/>
  <c r="Y101" i="5" s="1"/>
  <c r="AG102" i="3" s="1"/>
  <c r="BX102" i="16"/>
  <c r="Y102" i="5" s="1"/>
  <c r="AG103" i="3" s="1"/>
  <c r="BX103" i="16"/>
  <c r="Y103" i="5" s="1"/>
  <c r="AG104" i="3" s="1"/>
  <c r="BX104" i="16"/>
  <c r="Y104" i="5" s="1"/>
  <c r="AG105" i="3" s="1"/>
  <c r="BX105" i="16"/>
  <c r="Y105" i="5" s="1"/>
  <c r="AG106" i="3" s="1"/>
  <c r="BX106" i="16"/>
  <c r="Y106" i="5" s="1"/>
  <c r="AG107" i="3" s="1"/>
  <c r="BX107" i="16"/>
  <c r="Y107" i="5" s="1"/>
  <c r="AG108" i="3" s="1"/>
  <c r="BX108" i="16"/>
  <c r="Y108" i="5" s="1"/>
  <c r="AG109" i="3" s="1"/>
  <c r="BX109" i="16"/>
  <c r="Y109" i="5" s="1"/>
  <c r="AG110" i="3" s="1"/>
  <c r="BX110" i="16"/>
  <c r="Y110" i="5" s="1"/>
  <c r="AG111" i="3" s="1"/>
  <c r="BX111" i="16"/>
  <c r="Y111" i="5" s="1"/>
  <c r="AG112" i="3" s="1"/>
  <c r="BX112" i="16"/>
  <c r="Y112" i="5" s="1"/>
  <c r="AG113" i="3" s="1"/>
  <c r="BX113" i="16"/>
  <c r="Y113" i="5" s="1"/>
  <c r="AG114" i="3" s="1"/>
  <c r="BX114" i="16"/>
  <c r="Y114" i="5" s="1"/>
  <c r="AG115" i="3" s="1"/>
  <c r="BX115" i="16"/>
  <c r="Y115" i="5" s="1"/>
  <c r="AG116" i="3" s="1"/>
  <c r="BX116" i="16"/>
  <c r="Y116" i="5" s="1"/>
  <c r="AG117" i="3" s="1"/>
  <c r="BX117" i="16"/>
  <c r="Y117" i="5" s="1"/>
  <c r="AG118" i="3" s="1"/>
  <c r="BX118" i="16"/>
  <c r="Y118" i="5" s="1"/>
  <c r="AG119" i="3" s="1"/>
  <c r="BX119" i="16"/>
  <c r="Y119" i="5" s="1"/>
  <c r="AG120" i="3" s="1"/>
  <c r="BX120" i="16"/>
  <c r="Y120" i="5" s="1"/>
  <c r="AG121" i="3" s="1"/>
  <c r="BX121" i="16"/>
  <c r="Y121" i="5" s="1"/>
  <c r="AG122" i="3" s="1"/>
  <c r="BX122" i="16"/>
  <c r="Y122" i="5" s="1"/>
  <c r="AG123" i="3" s="1"/>
  <c r="BX123" i="16"/>
  <c r="Y123" i="5" s="1"/>
  <c r="AG124" i="3" s="1"/>
  <c r="BX124" i="16"/>
  <c r="Y124" i="5" s="1"/>
  <c r="AG125" i="3" s="1"/>
  <c r="BX125" i="16"/>
  <c r="Y125" i="5" s="1"/>
  <c r="AG126" i="3" s="1"/>
  <c r="BX126" i="16"/>
  <c r="Y126" i="5" s="1"/>
  <c r="AG127" i="3" s="1"/>
  <c r="BX127" i="16"/>
  <c r="Y127" i="5" s="1"/>
  <c r="AG128" i="3" s="1"/>
  <c r="BX128" i="16"/>
  <c r="Y128" i="5" s="1"/>
  <c r="AG129" i="3" s="1"/>
  <c r="BX129" i="16"/>
  <c r="Y129" i="5" s="1"/>
  <c r="AG130" i="3" s="1"/>
  <c r="BX130" i="16"/>
  <c r="Y130" i="5" s="1"/>
  <c r="AG131" i="3" s="1"/>
  <c r="BX131" i="16"/>
  <c r="Y131" i="5" s="1"/>
  <c r="AG132" i="3" s="1"/>
  <c r="BX132" i="16"/>
  <c r="Y132" i="5" s="1"/>
  <c r="AG133" i="3" s="1"/>
  <c r="BX133" i="16"/>
  <c r="Y133" i="5" s="1"/>
  <c r="AG134" i="3" s="1"/>
  <c r="BX134" i="16"/>
  <c r="Y134" i="5" s="1"/>
  <c r="AG135" i="3" s="1"/>
  <c r="BX135" i="16"/>
  <c r="Y135" i="5" s="1"/>
  <c r="AG136" i="3" s="1"/>
  <c r="BX136" i="16"/>
  <c r="Y136" i="5" s="1"/>
  <c r="AG137" i="3" s="1"/>
  <c r="BX137" i="16"/>
  <c r="Y137" i="5" s="1"/>
  <c r="AG138" i="3" s="1"/>
  <c r="BX138" i="16"/>
  <c r="Y138" i="5" s="1"/>
  <c r="AG139" i="3" s="1"/>
  <c r="BX139" i="16"/>
  <c r="Y139" i="5" s="1"/>
  <c r="AG140" i="3" s="1"/>
  <c r="BX140" i="16"/>
  <c r="Y140" i="5" s="1"/>
  <c r="AG141" i="3" s="1"/>
  <c r="BX141" i="16"/>
  <c r="Y141" i="5" s="1"/>
  <c r="AG142" i="3" s="1"/>
  <c r="BX142" i="16"/>
  <c r="Y142" i="5" s="1"/>
  <c r="AG143" i="3" s="1"/>
  <c r="BX143" i="16"/>
  <c r="Y143" i="5" s="1"/>
  <c r="AG144" i="3" s="1"/>
  <c r="BX144" i="16"/>
  <c r="Y144" i="5" s="1"/>
  <c r="AG145" i="3" s="1"/>
  <c r="BX145" i="16"/>
  <c r="Y145" i="5" s="1"/>
  <c r="AG146" i="3" s="1"/>
  <c r="BX146" i="16"/>
  <c r="Y146" i="5" s="1"/>
  <c r="AG147" i="3" s="1"/>
  <c r="BX147" i="16"/>
  <c r="Y147" i="5" s="1"/>
  <c r="AG148" i="3" s="1"/>
  <c r="BX148" i="16"/>
  <c r="Y148" i="5" s="1"/>
  <c r="AG149" i="3" s="1"/>
  <c r="BX149" i="16"/>
  <c r="Y149" i="5" s="1"/>
  <c r="AG150" i="3" s="1"/>
  <c r="BX150" i="16"/>
  <c r="Y150" i="5" s="1"/>
  <c r="AG151" i="3" s="1"/>
  <c r="BX151" i="16"/>
  <c r="Y151" i="5" s="1"/>
  <c r="AG152" i="3" s="1"/>
  <c r="BX152" i="16"/>
  <c r="Y152" i="5" s="1"/>
  <c r="AG153" i="3" s="1"/>
  <c r="BX153" i="16"/>
  <c r="Y153" i="5" s="1"/>
  <c r="AG154" i="3" s="1"/>
  <c r="BX154" i="16"/>
  <c r="Y154" i="5" s="1"/>
  <c r="AG155" i="3" s="1"/>
  <c r="BX155" i="16"/>
  <c r="Y155" i="5" s="1"/>
  <c r="AG156" i="3" s="1"/>
  <c r="BX156" i="16"/>
  <c r="Y156" i="5" s="1"/>
  <c r="AG157" i="3" s="1"/>
  <c r="BX157" i="16"/>
  <c r="Y157" i="5" s="1"/>
  <c r="AG158" i="3" s="1"/>
  <c r="BX158" i="16"/>
  <c r="Y158" i="5" s="1"/>
  <c r="AG159" i="3" s="1"/>
  <c r="BX159" i="16"/>
  <c r="Y159" i="5" s="1"/>
  <c r="AG160" i="3" s="1"/>
  <c r="BX160" i="16"/>
  <c r="Y160" i="5" s="1"/>
  <c r="AG161" i="3" s="1"/>
  <c r="BX161" i="16"/>
  <c r="Y161" i="5" s="1"/>
  <c r="AG162" i="3" s="1"/>
  <c r="BX162" i="16"/>
  <c r="Y162" i="5" s="1"/>
  <c r="AG163" i="3" s="1"/>
  <c r="BX163" i="16"/>
  <c r="Y163" i="5" s="1"/>
  <c r="AG164" i="3" s="1"/>
  <c r="BX164" i="16"/>
  <c r="Y164" i="5" s="1"/>
  <c r="AG165" i="3" s="1"/>
  <c r="BX165" i="16"/>
  <c r="Y165" i="5" s="1"/>
  <c r="AG166" i="3" s="1"/>
  <c r="BX166" i="16"/>
  <c r="Y166" i="5" s="1"/>
  <c r="AG167" i="3" s="1"/>
  <c r="BX167" i="16"/>
  <c r="Y167" i="5" s="1"/>
  <c r="AG168" i="3" s="1"/>
  <c r="BX168" i="16"/>
  <c r="Y168" i="5" s="1"/>
  <c r="AG169" i="3" s="1"/>
  <c r="BX169" i="16"/>
  <c r="Y169" i="5" s="1"/>
  <c r="AG170" i="3" s="1"/>
  <c r="BX170" i="16"/>
  <c r="Y170" i="5" s="1"/>
  <c r="AG171" i="3" s="1"/>
  <c r="BX171" i="16"/>
  <c r="Y171" i="5" s="1"/>
  <c r="AG172" i="3" s="1"/>
  <c r="BX172" i="16"/>
  <c r="Y172" i="5" s="1"/>
  <c r="AG173" i="3" s="1"/>
  <c r="BX173" i="16"/>
  <c r="Y173" i="5" s="1"/>
  <c r="AG174" i="3" s="1"/>
  <c r="BX174" i="16"/>
  <c r="Y174" i="5" s="1"/>
  <c r="AG175" i="3" s="1"/>
  <c r="BX175" i="16"/>
  <c r="Y175" i="5" s="1"/>
  <c r="AG176" i="3" s="1"/>
  <c r="BX176" i="16"/>
  <c r="Y176" i="5" s="1"/>
  <c r="AG177" i="3" s="1"/>
  <c r="BW3" i="16"/>
  <c r="BW4" i="16"/>
  <c r="X4" i="5" s="1"/>
  <c r="AF5" i="3" s="1"/>
  <c r="BW5" i="16"/>
  <c r="X5" i="5" s="1"/>
  <c r="AF6" i="3" s="1"/>
  <c r="BW6" i="16"/>
  <c r="X6" i="5" s="1"/>
  <c r="AF7" i="3" s="1"/>
  <c r="BW7" i="16"/>
  <c r="X7" i="5" s="1"/>
  <c r="AF8" i="3" s="1"/>
  <c r="BW8" i="16"/>
  <c r="X8" i="5" s="1"/>
  <c r="AF9" i="3" s="1"/>
  <c r="BW9" i="16"/>
  <c r="X9" i="5" s="1"/>
  <c r="AF10" i="3" s="1"/>
  <c r="BW10" i="16"/>
  <c r="X10" i="5" s="1"/>
  <c r="AF11" i="3" s="1"/>
  <c r="BW11" i="16"/>
  <c r="X11" i="5" s="1"/>
  <c r="AF12" i="3" s="1"/>
  <c r="BW12" i="16"/>
  <c r="X12" i="5" s="1"/>
  <c r="AF13" i="3" s="1"/>
  <c r="BW13" i="16"/>
  <c r="X13" i="5" s="1"/>
  <c r="AF14" i="3" s="1"/>
  <c r="BW14" i="16"/>
  <c r="X14" i="5" s="1"/>
  <c r="AF15" i="3" s="1"/>
  <c r="BW15" i="16"/>
  <c r="X15" i="5" s="1"/>
  <c r="AF16" i="3" s="1"/>
  <c r="BW16" i="16"/>
  <c r="X16" i="5" s="1"/>
  <c r="AF17" i="3" s="1"/>
  <c r="BW17" i="16"/>
  <c r="X17" i="5" s="1"/>
  <c r="AF18" i="3" s="1"/>
  <c r="BW18" i="16"/>
  <c r="X18" i="5" s="1"/>
  <c r="AF19" i="3" s="1"/>
  <c r="BW19" i="16"/>
  <c r="X19" i="5" s="1"/>
  <c r="AF20" i="3" s="1"/>
  <c r="BW20" i="16"/>
  <c r="X20" i="5" s="1"/>
  <c r="AF21" i="3" s="1"/>
  <c r="BW21" i="16"/>
  <c r="X21" i="5" s="1"/>
  <c r="AF22" i="3" s="1"/>
  <c r="BW22" i="16"/>
  <c r="X22" i="5" s="1"/>
  <c r="AF23" i="3" s="1"/>
  <c r="BW23" i="16"/>
  <c r="X23" i="5" s="1"/>
  <c r="AF24" i="3" s="1"/>
  <c r="BW24" i="16"/>
  <c r="X24" i="5" s="1"/>
  <c r="AF25" i="3" s="1"/>
  <c r="BW25" i="16"/>
  <c r="X25" i="5" s="1"/>
  <c r="AF26" i="3" s="1"/>
  <c r="BW26" i="16"/>
  <c r="X26" i="5" s="1"/>
  <c r="AF27" i="3" s="1"/>
  <c r="BW27" i="16"/>
  <c r="X27" i="5" s="1"/>
  <c r="AF28" i="3" s="1"/>
  <c r="BW28" i="16"/>
  <c r="X28" i="5" s="1"/>
  <c r="AF29" i="3" s="1"/>
  <c r="BW29" i="16"/>
  <c r="X29" i="5" s="1"/>
  <c r="AF30" i="3" s="1"/>
  <c r="BW30" i="16"/>
  <c r="X30" i="5" s="1"/>
  <c r="AF31" i="3" s="1"/>
  <c r="BW31" i="16"/>
  <c r="X31" i="5" s="1"/>
  <c r="AF32" i="3" s="1"/>
  <c r="BW32" i="16"/>
  <c r="X32" i="5" s="1"/>
  <c r="AF33" i="3" s="1"/>
  <c r="BW33" i="16"/>
  <c r="X33" i="5" s="1"/>
  <c r="AF34" i="3" s="1"/>
  <c r="BW34" i="16"/>
  <c r="X34" i="5" s="1"/>
  <c r="AF35" i="3" s="1"/>
  <c r="BW35" i="16"/>
  <c r="X35" i="5" s="1"/>
  <c r="AF36" i="3" s="1"/>
  <c r="BW36" i="16"/>
  <c r="X36" i="5" s="1"/>
  <c r="AF37" i="3" s="1"/>
  <c r="BW37" i="16"/>
  <c r="X37" i="5" s="1"/>
  <c r="AF38" i="3" s="1"/>
  <c r="BW38" i="16"/>
  <c r="X38" i="5" s="1"/>
  <c r="AF39" i="3" s="1"/>
  <c r="BW39" i="16"/>
  <c r="X39" i="5" s="1"/>
  <c r="AF40" i="3" s="1"/>
  <c r="BW40" i="16"/>
  <c r="X40" i="5" s="1"/>
  <c r="AF41" i="3" s="1"/>
  <c r="BW41" i="16"/>
  <c r="X41" i="5" s="1"/>
  <c r="AF42" i="3" s="1"/>
  <c r="BW42" i="16"/>
  <c r="X42" i="5" s="1"/>
  <c r="AF43" i="3" s="1"/>
  <c r="BW43" i="16"/>
  <c r="X43" i="5" s="1"/>
  <c r="AF44" i="3" s="1"/>
  <c r="BW44" i="16"/>
  <c r="X44" i="5" s="1"/>
  <c r="AF45" i="3" s="1"/>
  <c r="BW45" i="16"/>
  <c r="X45" i="5" s="1"/>
  <c r="AF46" i="3" s="1"/>
  <c r="BW46" i="16"/>
  <c r="X46" i="5" s="1"/>
  <c r="AF47" i="3" s="1"/>
  <c r="BW47" i="16"/>
  <c r="X47" i="5" s="1"/>
  <c r="AF48" i="3" s="1"/>
  <c r="BW48" i="16"/>
  <c r="X48" i="5" s="1"/>
  <c r="AF49" i="3" s="1"/>
  <c r="BW49" i="16"/>
  <c r="X49" i="5" s="1"/>
  <c r="AF50" i="3" s="1"/>
  <c r="BW50" i="16"/>
  <c r="X50" i="5" s="1"/>
  <c r="AF51" i="3" s="1"/>
  <c r="BW51" i="16"/>
  <c r="X51" i="5" s="1"/>
  <c r="AF52" i="3" s="1"/>
  <c r="BW52" i="16"/>
  <c r="X52" i="5" s="1"/>
  <c r="AF53" i="3" s="1"/>
  <c r="BW53" i="16"/>
  <c r="X53" i="5" s="1"/>
  <c r="AF54" i="3" s="1"/>
  <c r="BW54" i="16"/>
  <c r="X54" i="5" s="1"/>
  <c r="AF55" i="3" s="1"/>
  <c r="BW55" i="16"/>
  <c r="X55" i="5" s="1"/>
  <c r="AF56" i="3" s="1"/>
  <c r="BW56" i="16"/>
  <c r="X56" i="5" s="1"/>
  <c r="AF57" i="3" s="1"/>
  <c r="BW57" i="16"/>
  <c r="X57" i="5" s="1"/>
  <c r="AF58" i="3" s="1"/>
  <c r="BW58" i="16"/>
  <c r="X58" i="5" s="1"/>
  <c r="AF59" i="3" s="1"/>
  <c r="BW59" i="16"/>
  <c r="X59" i="5" s="1"/>
  <c r="AF60" i="3" s="1"/>
  <c r="BW60" i="16"/>
  <c r="X60" i="5" s="1"/>
  <c r="AF61" i="3" s="1"/>
  <c r="BW61" i="16"/>
  <c r="X61" i="5" s="1"/>
  <c r="AF62" i="3" s="1"/>
  <c r="BW62" i="16"/>
  <c r="X62" i="5" s="1"/>
  <c r="AF63" i="3" s="1"/>
  <c r="BW63" i="16"/>
  <c r="X63" i="5" s="1"/>
  <c r="AF64" i="3" s="1"/>
  <c r="BW64" i="16"/>
  <c r="X64" i="5" s="1"/>
  <c r="AF65" i="3" s="1"/>
  <c r="BW65" i="16"/>
  <c r="X65" i="5" s="1"/>
  <c r="AF66" i="3" s="1"/>
  <c r="BW66" i="16"/>
  <c r="X66" i="5" s="1"/>
  <c r="AF67" i="3" s="1"/>
  <c r="BW67" i="16"/>
  <c r="X67" i="5" s="1"/>
  <c r="AF68" i="3" s="1"/>
  <c r="BW68" i="16"/>
  <c r="X68" i="5" s="1"/>
  <c r="AF69" i="3" s="1"/>
  <c r="BW69" i="16"/>
  <c r="X69" i="5" s="1"/>
  <c r="AF70" i="3" s="1"/>
  <c r="BW70" i="16"/>
  <c r="X70" i="5" s="1"/>
  <c r="AF71" i="3" s="1"/>
  <c r="BW71" i="16"/>
  <c r="X71" i="5" s="1"/>
  <c r="AF72" i="3" s="1"/>
  <c r="BW72" i="16"/>
  <c r="X72" i="5" s="1"/>
  <c r="AF73" i="3" s="1"/>
  <c r="BW73" i="16"/>
  <c r="X73" i="5" s="1"/>
  <c r="AF74" i="3" s="1"/>
  <c r="BW74" i="16"/>
  <c r="X74" i="5" s="1"/>
  <c r="AF75" i="3" s="1"/>
  <c r="BW75" i="16"/>
  <c r="X75" i="5" s="1"/>
  <c r="AF76" i="3" s="1"/>
  <c r="BW76" i="16"/>
  <c r="X76" i="5" s="1"/>
  <c r="AF77" i="3" s="1"/>
  <c r="BW77" i="16"/>
  <c r="X77" i="5" s="1"/>
  <c r="AF78" i="3" s="1"/>
  <c r="BW78" i="16"/>
  <c r="X78" i="5" s="1"/>
  <c r="AF79" i="3" s="1"/>
  <c r="BW79" i="16"/>
  <c r="X79" i="5" s="1"/>
  <c r="AF80" i="3" s="1"/>
  <c r="BW80" i="16"/>
  <c r="X80" i="5" s="1"/>
  <c r="AF81" i="3" s="1"/>
  <c r="BW81" i="16"/>
  <c r="X81" i="5" s="1"/>
  <c r="AF82" i="3" s="1"/>
  <c r="BW82" i="16"/>
  <c r="X82" i="5" s="1"/>
  <c r="AF83" i="3" s="1"/>
  <c r="BW83" i="16"/>
  <c r="X83" i="5" s="1"/>
  <c r="AF84" i="3" s="1"/>
  <c r="BW84" i="16"/>
  <c r="X84" i="5" s="1"/>
  <c r="AF85" i="3" s="1"/>
  <c r="BW85" i="16"/>
  <c r="X85" i="5" s="1"/>
  <c r="AF86" i="3" s="1"/>
  <c r="BW86" i="16"/>
  <c r="X86" i="5" s="1"/>
  <c r="AF87" i="3" s="1"/>
  <c r="BW87" i="16"/>
  <c r="X87" i="5" s="1"/>
  <c r="AF88" i="3" s="1"/>
  <c r="BW88" i="16"/>
  <c r="X88" i="5" s="1"/>
  <c r="AF89" i="3" s="1"/>
  <c r="BW89" i="16"/>
  <c r="X89" i="5" s="1"/>
  <c r="AF90" i="3" s="1"/>
  <c r="BW90" i="16"/>
  <c r="X90" i="5" s="1"/>
  <c r="AF91" i="3" s="1"/>
  <c r="BW91" i="16"/>
  <c r="X91" i="5" s="1"/>
  <c r="AF92" i="3" s="1"/>
  <c r="BW92" i="16"/>
  <c r="X92" i="5" s="1"/>
  <c r="AF93" i="3" s="1"/>
  <c r="BW93" i="16"/>
  <c r="X93" i="5" s="1"/>
  <c r="AF94" i="3" s="1"/>
  <c r="BW94" i="16"/>
  <c r="X94" i="5" s="1"/>
  <c r="AF95" i="3" s="1"/>
  <c r="BW95" i="16"/>
  <c r="X95" i="5" s="1"/>
  <c r="AF96" i="3" s="1"/>
  <c r="BW96" i="16"/>
  <c r="X96" i="5" s="1"/>
  <c r="AF97" i="3" s="1"/>
  <c r="BW97" i="16"/>
  <c r="X97" i="5" s="1"/>
  <c r="AF98" i="3" s="1"/>
  <c r="BW98" i="16"/>
  <c r="X98" i="5" s="1"/>
  <c r="AF99" i="3" s="1"/>
  <c r="BW99" i="16"/>
  <c r="X99" i="5" s="1"/>
  <c r="AF100" i="3" s="1"/>
  <c r="BW100" i="16"/>
  <c r="X100" i="5" s="1"/>
  <c r="AF101" i="3" s="1"/>
  <c r="BW101" i="16"/>
  <c r="X101" i="5" s="1"/>
  <c r="AF102" i="3" s="1"/>
  <c r="BW102" i="16"/>
  <c r="X102" i="5" s="1"/>
  <c r="AF103" i="3" s="1"/>
  <c r="BW103" i="16"/>
  <c r="X103" i="5" s="1"/>
  <c r="AF104" i="3" s="1"/>
  <c r="BW104" i="16"/>
  <c r="X104" i="5" s="1"/>
  <c r="AF105" i="3" s="1"/>
  <c r="BW105" i="16"/>
  <c r="X105" i="5" s="1"/>
  <c r="AF106" i="3" s="1"/>
  <c r="BW106" i="16"/>
  <c r="X106" i="5" s="1"/>
  <c r="AF107" i="3" s="1"/>
  <c r="BW107" i="16"/>
  <c r="X107" i="5" s="1"/>
  <c r="AF108" i="3" s="1"/>
  <c r="BW108" i="16"/>
  <c r="X108" i="5" s="1"/>
  <c r="AF109" i="3" s="1"/>
  <c r="BW109" i="16"/>
  <c r="X109" i="5" s="1"/>
  <c r="AF110" i="3" s="1"/>
  <c r="BW110" i="16"/>
  <c r="X110" i="5" s="1"/>
  <c r="AF111" i="3" s="1"/>
  <c r="BW111" i="16"/>
  <c r="X111" i="5" s="1"/>
  <c r="AF112" i="3" s="1"/>
  <c r="BW112" i="16"/>
  <c r="X112" i="5" s="1"/>
  <c r="AF113" i="3" s="1"/>
  <c r="BW113" i="16"/>
  <c r="X113" i="5" s="1"/>
  <c r="AF114" i="3" s="1"/>
  <c r="BW114" i="16"/>
  <c r="X114" i="5" s="1"/>
  <c r="AF115" i="3" s="1"/>
  <c r="BW115" i="16"/>
  <c r="X115" i="5" s="1"/>
  <c r="AF116" i="3" s="1"/>
  <c r="BW116" i="16"/>
  <c r="X116" i="5" s="1"/>
  <c r="AF117" i="3" s="1"/>
  <c r="BW117" i="16"/>
  <c r="X117" i="5" s="1"/>
  <c r="AF118" i="3" s="1"/>
  <c r="BW118" i="16"/>
  <c r="X118" i="5" s="1"/>
  <c r="AF119" i="3" s="1"/>
  <c r="BW119" i="16"/>
  <c r="X119" i="5" s="1"/>
  <c r="AF120" i="3" s="1"/>
  <c r="BW120" i="16"/>
  <c r="X120" i="5" s="1"/>
  <c r="AF121" i="3" s="1"/>
  <c r="BW121" i="16"/>
  <c r="X121" i="5" s="1"/>
  <c r="AF122" i="3" s="1"/>
  <c r="BW122" i="16"/>
  <c r="X122" i="5" s="1"/>
  <c r="AF123" i="3" s="1"/>
  <c r="BW123" i="16"/>
  <c r="X123" i="5" s="1"/>
  <c r="AF124" i="3" s="1"/>
  <c r="BW124" i="16"/>
  <c r="X124" i="5" s="1"/>
  <c r="AF125" i="3" s="1"/>
  <c r="BW125" i="16"/>
  <c r="X125" i="5" s="1"/>
  <c r="AF126" i="3" s="1"/>
  <c r="BW126" i="16"/>
  <c r="X126" i="5" s="1"/>
  <c r="AF127" i="3" s="1"/>
  <c r="BW127" i="16"/>
  <c r="X127" i="5" s="1"/>
  <c r="AF128" i="3" s="1"/>
  <c r="BW128" i="16"/>
  <c r="X128" i="5" s="1"/>
  <c r="AF129" i="3" s="1"/>
  <c r="BW129" i="16"/>
  <c r="X129" i="5" s="1"/>
  <c r="AF130" i="3" s="1"/>
  <c r="BW130" i="16"/>
  <c r="X130" i="5" s="1"/>
  <c r="AF131" i="3" s="1"/>
  <c r="BW131" i="16"/>
  <c r="X131" i="5" s="1"/>
  <c r="AF132" i="3" s="1"/>
  <c r="BW132" i="16"/>
  <c r="X132" i="5" s="1"/>
  <c r="AF133" i="3" s="1"/>
  <c r="BW133" i="16"/>
  <c r="X133" i="5" s="1"/>
  <c r="AF134" i="3" s="1"/>
  <c r="BW134" i="16"/>
  <c r="X134" i="5" s="1"/>
  <c r="AF135" i="3" s="1"/>
  <c r="BW135" i="16"/>
  <c r="X135" i="5" s="1"/>
  <c r="AF136" i="3" s="1"/>
  <c r="BW136" i="16"/>
  <c r="X136" i="5" s="1"/>
  <c r="AF137" i="3" s="1"/>
  <c r="BW137" i="16"/>
  <c r="X137" i="5" s="1"/>
  <c r="AF138" i="3" s="1"/>
  <c r="BW138" i="16"/>
  <c r="X138" i="5" s="1"/>
  <c r="AF139" i="3" s="1"/>
  <c r="BW139" i="16"/>
  <c r="X139" i="5" s="1"/>
  <c r="AF140" i="3" s="1"/>
  <c r="BW140" i="16"/>
  <c r="X140" i="5" s="1"/>
  <c r="AF141" i="3" s="1"/>
  <c r="BW141" i="16"/>
  <c r="X141" i="5" s="1"/>
  <c r="AF142" i="3" s="1"/>
  <c r="BW142" i="16"/>
  <c r="X142" i="5" s="1"/>
  <c r="AF143" i="3" s="1"/>
  <c r="BW143" i="16"/>
  <c r="X143" i="5" s="1"/>
  <c r="AF144" i="3" s="1"/>
  <c r="BW144" i="16"/>
  <c r="X144" i="5" s="1"/>
  <c r="AF145" i="3" s="1"/>
  <c r="BW145" i="16"/>
  <c r="X145" i="5" s="1"/>
  <c r="AF146" i="3" s="1"/>
  <c r="BW146" i="16"/>
  <c r="X146" i="5" s="1"/>
  <c r="AF147" i="3" s="1"/>
  <c r="BW147" i="16"/>
  <c r="X147" i="5" s="1"/>
  <c r="AF148" i="3" s="1"/>
  <c r="BW148" i="16"/>
  <c r="X148" i="5" s="1"/>
  <c r="AF149" i="3" s="1"/>
  <c r="BW149" i="16"/>
  <c r="X149" i="5" s="1"/>
  <c r="AF150" i="3" s="1"/>
  <c r="BW150" i="16"/>
  <c r="X150" i="5" s="1"/>
  <c r="AF151" i="3" s="1"/>
  <c r="BW151" i="16"/>
  <c r="X151" i="5" s="1"/>
  <c r="AF152" i="3" s="1"/>
  <c r="BW152" i="16"/>
  <c r="X152" i="5" s="1"/>
  <c r="AF153" i="3" s="1"/>
  <c r="BW153" i="16"/>
  <c r="X153" i="5" s="1"/>
  <c r="AF154" i="3" s="1"/>
  <c r="BW154" i="16"/>
  <c r="X154" i="5" s="1"/>
  <c r="AF155" i="3" s="1"/>
  <c r="BW155" i="16"/>
  <c r="X155" i="5" s="1"/>
  <c r="AF156" i="3" s="1"/>
  <c r="BW156" i="16"/>
  <c r="X156" i="5" s="1"/>
  <c r="AF157" i="3" s="1"/>
  <c r="BW157" i="16"/>
  <c r="X157" i="5" s="1"/>
  <c r="AF158" i="3" s="1"/>
  <c r="BW158" i="16"/>
  <c r="X158" i="5" s="1"/>
  <c r="AF159" i="3" s="1"/>
  <c r="BW159" i="16"/>
  <c r="X159" i="5" s="1"/>
  <c r="AF160" i="3" s="1"/>
  <c r="BW160" i="16"/>
  <c r="X160" i="5" s="1"/>
  <c r="AF161" i="3" s="1"/>
  <c r="BW161" i="16"/>
  <c r="X161" i="5" s="1"/>
  <c r="AF162" i="3" s="1"/>
  <c r="BW162" i="16"/>
  <c r="X162" i="5" s="1"/>
  <c r="AF163" i="3" s="1"/>
  <c r="BW163" i="16"/>
  <c r="X163" i="5" s="1"/>
  <c r="AF164" i="3" s="1"/>
  <c r="BW164" i="16"/>
  <c r="X164" i="5" s="1"/>
  <c r="AF165" i="3" s="1"/>
  <c r="BW165" i="16"/>
  <c r="X165" i="5" s="1"/>
  <c r="AF166" i="3" s="1"/>
  <c r="BW166" i="16"/>
  <c r="X166" i="5" s="1"/>
  <c r="AF167" i="3" s="1"/>
  <c r="BW167" i="16"/>
  <c r="X167" i="5" s="1"/>
  <c r="AF168" i="3" s="1"/>
  <c r="BW168" i="16"/>
  <c r="X168" i="5" s="1"/>
  <c r="AF169" i="3" s="1"/>
  <c r="BW169" i="16"/>
  <c r="X169" i="5" s="1"/>
  <c r="AF170" i="3" s="1"/>
  <c r="BW170" i="16"/>
  <c r="X170" i="5" s="1"/>
  <c r="AF171" i="3" s="1"/>
  <c r="BW171" i="16"/>
  <c r="X171" i="5" s="1"/>
  <c r="AF172" i="3" s="1"/>
  <c r="BW172" i="16"/>
  <c r="X172" i="5" s="1"/>
  <c r="AF173" i="3" s="1"/>
  <c r="BW173" i="16"/>
  <c r="X173" i="5" s="1"/>
  <c r="AF174" i="3" s="1"/>
  <c r="BW174" i="16"/>
  <c r="X174" i="5" s="1"/>
  <c r="AF175" i="3" s="1"/>
  <c r="BW175" i="16"/>
  <c r="X175" i="5" s="1"/>
  <c r="AF176" i="3" s="1"/>
  <c r="BW176" i="16"/>
  <c r="X176" i="5" s="1"/>
  <c r="AF177" i="3" s="1"/>
  <c r="BV3" i="16"/>
  <c r="BV4" i="16"/>
  <c r="W4" i="5" s="1"/>
  <c r="AE5" i="3" s="1"/>
  <c r="BV5" i="16"/>
  <c r="W5" i="5" s="1"/>
  <c r="AE6" i="3" s="1"/>
  <c r="BV6" i="16"/>
  <c r="W6" i="5" s="1"/>
  <c r="AE7" i="3" s="1"/>
  <c r="BV7" i="16"/>
  <c r="W7" i="5" s="1"/>
  <c r="AE8" i="3" s="1"/>
  <c r="BV8" i="16"/>
  <c r="W8" i="5" s="1"/>
  <c r="AE9" i="3" s="1"/>
  <c r="BV9" i="16"/>
  <c r="W9" i="5" s="1"/>
  <c r="AE10" i="3" s="1"/>
  <c r="BV10" i="16"/>
  <c r="W10" i="5" s="1"/>
  <c r="AE11" i="3" s="1"/>
  <c r="BV11" i="16"/>
  <c r="W11" i="5" s="1"/>
  <c r="AE12" i="3" s="1"/>
  <c r="BV12" i="16"/>
  <c r="W12" i="5" s="1"/>
  <c r="AE13" i="3" s="1"/>
  <c r="BV13" i="16"/>
  <c r="W13" i="5" s="1"/>
  <c r="AE14" i="3" s="1"/>
  <c r="BV14" i="16"/>
  <c r="W14" i="5" s="1"/>
  <c r="AE15" i="3" s="1"/>
  <c r="BV15" i="16"/>
  <c r="W15" i="5" s="1"/>
  <c r="AE16" i="3" s="1"/>
  <c r="BV16" i="16"/>
  <c r="W16" i="5" s="1"/>
  <c r="AE17" i="3" s="1"/>
  <c r="BV17" i="16"/>
  <c r="W17" i="5" s="1"/>
  <c r="AE18" i="3" s="1"/>
  <c r="BV18" i="16"/>
  <c r="W18" i="5" s="1"/>
  <c r="AE19" i="3" s="1"/>
  <c r="BV19" i="16"/>
  <c r="W19" i="5" s="1"/>
  <c r="AE20" i="3" s="1"/>
  <c r="BV20" i="16"/>
  <c r="W20" i="5" s="1"/>
  <c r="AE21" i="3" s="1"/>
  <c r="BV21" i="16"/>
  <c r="W21" i="5" s="1"/>
  <c r="AE22" i="3" s="1"/>
  <c r="BV22" i="16"/>
  <c r="W22" i="5" s="1"/>
  <c r="AE23" i="3" s="1"/>
  <c r="BV23" i="16"/>
  <c r="W23" i="5" s="1"/>
  <c r="AE24" i="3" s="1"/>
  <c r="BV24" i="16"/>
  <c r="W24" i="5" s="1"/>
  <c r="AE25" i="3" s="1"/>
  <c r="BV25" i="16"/>
  <c r="W25" i="5" s="1"/>
  <c r="AE26" i="3" s="1"/>
  <c r="BV26" i="16"/>
  <c r="W26" i="5" s="1"/>
  <c r="AE27" i="3" s="1"/>
  <c r="BV27" i="16"/>
  <c r="W27" i="5" s="1"/>
  <c r="AE28" i="3" s="1"/>
  <c r="BV28" i="16"/>
  <c r="W28" i="5" s="1"/>
  <c r="AE29" i="3" s="1"/>
  <c r="BV29" i="16"/>
  <c r="W29" i="5" s="1"/>
  <c r="AE30" i="3" s="1"/>
  <c r="BV30" i="16"/>
  <c r="W30" i="5" s="1"/>
  <c r="AE31" i="3" s="1"/>
  <c r="BV31" i="16"/>
  <c r="W31" i="5" s="1"/>
  <c r="AE32" i="3" s="1"/>
  <c r="BV32" i="16"/>
  <c r="W32" i="5" s="1"/>
  <c r="AE33" i="3" s="1"/>
  <c r="BV33" i="16"/>
  <c r="W33" i="5" s="1"/>
  <c r="AE34" i="3" s="1"/>
  <c r="BV34" i="16"/>
  <c r="W34" i="5" s="1"/>
  <c r="AE35" i="3" s="1"/>
  <c r="BV35" i="16"/>
  <c r="W35" i="5" s="1"/>
  <c r="AE36" i="3" s="1"/>
  <c r="BV36" i="16"/>
  <c r="W36" i="5" s="1"/>
  <c r="AE37" i="3" s="1"/>
  <c r="BV37" i="16"/>
  <c r="W37" i="5" s="1"/>
  <c r="AE38" i="3" s="1"/>
  <c r="BV38" i="16"/>
  <c r="W38" i="5" s="1"/>
  <c r="AE39" i="3" s="1"/>
  <c r="BV39" i="16"/>
  <c r="W39" i="5" s="1"/>
  <c r="AE40" i="3" s="1"/>
  <c r="BV40" i="16"/>
  <c r="W40" i="5" s="1"/>
  <c r="AE41" i="3" s="1"/>
  <c r="BV41" i="16"/>
  <c r="W41" i="5" s="1"/>
  <c r="AE42" i="3" s="1"/>
  <c r="BV42" i="16"/>
  <c r="W42" i="5" s="1"/>
  <c r="AE43" i="3" s="1"/>
  <c r="BV43" i="16"/>
  <c r="W43" i="5" s="1"/>
  <c r="AE44" i="3" s="1"/>
  <c r="BV44" i="16"/>
  <c r="W44" i="5" s="1"/>
  <c r="AE45" i="3" s="1"/>
  <c r="BV45" i="16"/>
  <c r="W45" i="5" s="1"/>
  <c r="AE46" i="3" s="1"/>
  <c r="BV46" i="16"/>
  <c r="W46" i="5" s="1"/>
  <c r="AE47" i="3" s="1"/>
  <c r="BV47" i="16"/>
  <c r="W47" i="5" s="1"/>
  <c r="AE48" i="3" s="1"/>
  <c r="BV48" i="16"/>
  <c r="W48" i="5" s="1"/>
  <c r="AE49" i="3" s="1"/>
  <c r="BV49" i="16"/>
  <c r="W49" i="5" s="1"/>
  <c r="AE50" i="3" s="1"/>
  <c r="BV50" i="16"/>
  <c r="W50" i="5" s="1"/>
  <c r="AE51" i="3" s="1"/>
  <c r="BV51" i="16"/>
  <c r="W51" i="5" s="1"/>
  <c r="AE52" i="3" s="1"/>
  <c r="BV52" i="16"/>
  <c r="W52" i="5" s="1"/>
  <c r="AE53" i="3" s="1"/>
  <c r="BV53" i="16"/>
  <c r="W53" i="5" s="1"/>
  <c r="AE54" i="3" s="1"/>
  <c r="BV54" i="16"/>
  <c r="W54" i="5" s="1"/>
  <c r="AE55" i="3" s="1"/>
  <c r="BV55" i="16"/>
  <c r="W55" i="5" s="1"/>
  <c r="AE56" i="3" s="1"/>
  <c r="BV56" i="16"/>
  <c r="W56" i="5" s="1"/>
  <c r="AE57" i="3" s="1"/>
  <c r="BV57" i="16"/>
  <c r="W57" i="5" s="1"/>
  <c r="AE58" i="3" s="1"/>
  <c r="BV58" i="16"/>
  <c r="W58" i="5" s="1"/>
  <c r="AE59" i="3" s="1"/>
  <c r="BV59" i="16"/>
  <c r="W59" i="5" s="1"/>
  <c r="AE60" i="3" s="1"/>
  <c r="BV60" i="16"/>
  <c r="W60" i="5" s="1"/>
  <c r="AE61" i="3" s="1"/>
  <c r="BV61" i="16"/>
  <c r="W61" i="5" s="1"/>
  <c r="AE62" i="3" s="1"/>
  <c r="BV62" i="16"/>
  <c r="W62" i="5" s="1"/>
  <c r="AE63" i="3" s="1"/>
  <c r="BV63" i="16"/>
  <c r="W63" i="5" s="1"/>
  <c r="AE64" i="3" s="1"/>
  <c r="BV64" i="16"/>
  <c r="W64" i="5" s="1"/>
  <c r="AE65" i="3" s="1"/>
  <c r="BV65" i="16"/>
  <c r="W65" i="5" s="1"/>
  <c r="AE66" i="3" s="1"/>
  <c r="BV66" i="16"/>
  <c r="W66" i="5" s="1"/>
  <c r="AE67" i="3" s="1"/>
  <c r="BV67" i="16"/>
  <c r="W67" i="5" s="1"/>
  <c r="AE68" i="3" s="1"/>
  <c r="BV68" i="16"/>
  <c r="W68" i="5" s="1"/>
  <c r="AE69" i="3" s="1"/>
  <c r="BV69" i="16"/>
  <c r="W69" i="5" s="1"/>
  <c r="AE70" i="3" s="1"/>
  <c r="BV70" i="16"/>
  <c r="W70" i="5" s="1"/>
  <c r="AE71" i="3" s="1"/>
  <c r="BV71" i="16"/>
  <c r="W71" i="5" s="1"/>
  <c r="AE72" i="3" s="1"/>
  <c r="BV72" i="16"/>
  <c r="W72" i="5" s="1"/>
  <c r="AE73" i="3" s="1"/>
  <c r="BV73" i="16"/>
  <c r="W73" i="5" s="1"/>
  <c r="AE74" i="3" s="1"/>
  <c r="BV74" i="16"/>
  <c r="W74" i="5" s="1"/>
  <c r="AE75" i="3" s="1"/>
  <c r="BV75" i="16"/>
  <c r="W75" i="5" s="1"/>
  <c r="AE76" i="3" s="1"/>
  <c r="BV76" i="16"/>
  <c r="W76" i="5" s="1"/>
  <c r="AE77" i="3" s="1"/>
  <c r="BV77" i="16"/>
  <c r="W77" i="5" s="1"/>
  <c r="AE78" i="3" s="1"/>
  <c r="BV78" i="16"/>
  <c r="W78" i="5" s="1"/>
  <c r="AE79" i="3" s="1"/>
  <c r="BV79" i="16"/>
  <c r="W79" i="5" s="1"/>
  <c r="AE80" i="3" s="1"/>
  <c r="BV80" i="16"/>
  <c r="W80" i="5" s="1"/>
  <c r="AE81" i="3" s="1"/>
  <c r="BV81" i="16"/>
  <c r="W81" i="5" s="1"/>
  <c r="AE82" i="3" s="1"/>
  <c r="BV82" i="16"/>
  <c r="W82" i="5" s="1"/>
  <c r="AE83" i="3" s="1"/>
  <c r="BV83" i="16"/>
  <c r="W83" i="5" s="1"/>
  <c r="AE84" i="3" s="1"/>
  <c r="BV84" i="16"/>
  <c r="W84" i="5" s="1"/>
  <c r="AE85" i="3" s="1"/>
  <c r="BV85" i="16"/>
  <c r="W85" i="5" s="1"/>
  <c r="AE86" i="3" s="1"/>
  <c r="BV86" i="16"/>
  <c r="W86" i="5" s="1"/>
  <c r="AE87" i="3" s="1"/>
  <c r="BV87" i="16"/>
  <c r="W87" i="5" s="1"/>
  <c r="AE88" i="3" s="1"/>
  <c r="BV88" i="16"/>
  <c r="W88" i="5" s="1"/>
  <c r="AE89" i="3" s="1"/>
  <c r="BV89" i="16"/>
  <c r="W89" i="5" s="1"/>
  <c r="AE90" i="3" s="1"/>
  <c r="BV90" i="16"/>
  <c r="W90" i="5" s="1"/>
  <c r="AE91" i="3" s="1"/>
  <c r="BV91" i="16"/>
  <c r="W91" i="5" s="1"/>
  <c r="AE92" i="3" s="1"/>
  <c r="BV92" i="16"/>
  <c r="W92" i="5" s="1"/>
  <c r="AE93" i="3" s="1"/>
  <c r="BV93" i="16"/>
  <c r="W93" i="5" s="1"/>
  <c r="AE94" i="3" s="1"/>
  <c r="BV94" i="16"/>
  <c r="W94" i="5" s="1"/>
  <c r="AE95" i="3" s="1"/>
  <c r="BV95" i="16"/>
  <c r="W95" i="5" s="1"/>
  <c r="AE96" i="3" s="1"/>
  <c r="BV96" i="16"/>
  <c r="W96" i="5" s="1"/>
  <c r="AE97" i="3" s="1"/>
  <c r="BV97" i="16"/>
  <c r="W97" i="5" s="1"/>
  <c r="AE98" i="3" s="1"/>
  <c r="BV98" i="16"/>
  <c r="W98" i="5" s="1"/>
  <c r="AE99" i="3" s="1"/>
  <c r="BV99" i="16"/>
  <c r="W99" i="5" s="1"/>
  <c r="AE100" i="3" s="1"/>
  <c r="BV100" i="16"/>
  <c r="W100" i="5" s="1"/>
  <c r="AE101" i="3" s="1"/>
  <c r="BV101" i="16"/>
  <c r="W101" i="5" s="1"/>
  <c r="AE102" i="3" s="1"/>
  <c r="BV102" i="16"/>
  <c r="W102" i="5" s="1"/>
  <c r="AE103" i="3" s="1"/>
  <c r="BV103" i="16"/>
  <c r="W103" i="5" s="1"/>
  <c r="AE104" i="3" s="1"/>
  <c r="BV104" i="16"/>
  <c r="W104" i="5" s="1"/>
  <c r="AE105" i="3" s="1"/>
  <c r="BV105" i="16"/>
  <c r="W105" i="5" s="1"/>
  <c r="AE106" i="3" s="1"/>
  <c r="BV106" i="16"/>
  <c r="W106" i="5" s="1"/>
  <c r="AE107" i="3" s="1"/>
  <c r="BV107" i="16"/>
  <c r="W107" i="5" s="1"/>
  <c r="AE108" i="3" s="1"/>
  <c r="BV108" i="16"/>
  <c r="W108" i="5" s="1"/>
  <c r="AE109" i="3" s="1"/>
  <c r="BV109" i="16"/>
  <c r="W109" i="5" s="1"/>
  <c r="AE110" i="3" s="1"/>
  <c r="BV110" i="16"/>
  <c r="W110" i="5" s="1"/>
  <c r="AE111" i="3" s="1"/>
  <c r="BV111" i="16"/>
  <c r="W111" i="5" s="1"/>
  <c r="AE112" i="3" s="1"/>
  <c r="BV112" i="16"/>
  <c r="W112" i="5" s="1"/>
  <c r="AE113" i="3" s="1"/>
  <c r="BV113" i="16"/>
  <c r="W113" i="5" s="1"/>
  <c r="AE114" i="3" s="1"/>
  <c r="BV114" i="16"/>
  <c r="W114" i="5" s="1"/>
  <c r="AE115" i="3" s="1"/>
  <c r="BV115" i="16"/>
  <c r="W115" i="5" s="1"/>
  <c r="AE116" i="3" s="1"/>
  <c r="BV116" i="16"/>
  <c r="W116" i="5" s="1"/>
  <c r="AE117" i="3" s="1"/>
  <c r="BV117" i="16"/>
  <c r="W117" i="5" s="1"/>
  <c r="AE118" i="3" s="1"/>
  <c r="BV118" i="16"/>
  <c r="W118" i="5" s="1"/>
  <c r="AE119" i="3" s="1"/>
  <c r="BV119" i="16"/>
  <c r="W119" i="5" s="1"/>
  <c r="AE120" i="3" s="1"/>
  <c r="BV120" i="16"/>
  <c r="W120" i="5" s="1"/>
  <c r="AE121" i="3" s="1"/>
  <c r="BV121" i="16"/>
  <c r="W121" i="5" s="1"/>
  <c r="AE122" i="3" s="1"/>
  <c r="BV122" i="16"/>
  <c r="W122" i="5" s="1"/>
  <c r="AE123" i="3" s="1"/>
  <c r="BV123" i="16"/>
  <c r="W123" i="5" s="1"/>
  <c r="AE124" i="3" s="1"/>
  <c r="BV124" i="16"/>
  <c r="W124" i="5" s="1"/>
  <c r="AE125" i="3" s="1"/>
  <c r="BV125" i="16"/>
  <c r="W125" i="5" s="1"/>
  <c r="AE126" i="3" s="1"/>
  <c r="BV126" i="16"/>
  <c r="W126" i="5" s="1"/>
  <c r="AE127" i="3" s="1"/>
  <c r="BV127" i="16"/>
  <c r="W127" i="5" s="1"/>
  <c r="AE128" i="3" s="1"/>
  <c r="BV128" i="16"/>
  <c r="W128" i="5" s="1"/>
  <c r="AE129" i="3" s="1"/>
  <c r="BV129" i="16"/>
  <c r="W129" i="5" s="1"/>
  <c r="AE130" i="3" s="1"/>
  <c r="BV130" i="16"/>
  <c r="W130" i="5" s="1"/>
  <c r="AE131" i="3" s="1"/>
  <c r="BV131" i="16"/>
  <c r="W131" i="5" s="1"/>
  <c r="AE132" i="3" s="1"/>
  <c r="BV132" i="16"/>
  <c r="W132" i="5" s="1"/>
  <c r="AE133" i="3" s="1"/>
  <c r="BV133" i="16"/>
  <c r="W133" i="5" s="1"/>
  <c r="AE134" i="3" s="1"/>
  <c r="BV134" i="16"/>
  <c r="W134" i="5" s="1"/>
  <c r="AE135" i="3" s="1"/>
  <c r="BV135" i="16"/>
  <c r="W135" i="5" s="1"/>
  <c r="AE136" i="3" s="1"/>
  <c r="BV136" i="16"/>
  <c r="W136" i="5" s="1"/>
  <c r="AE137" i="3" s="1"/>
  <c r="BV137" i="16"/>
  <c r="W137" i="5" s="1"/>
  <c r="AE138" i="3" s="1"/>
  <c r="BV138" i="16"/>
  <c r="W138" i="5" s="1"/>
  <c r="AE139" i="3" s="1"/>
  <c r="BV139" i="16"/>
  <c r="W139" i="5" s="1"/>
  <c r="AE140" i="3" s="1"/>
  <c r="BV140" i="16"/>
  <c r="W140" i="5" s="1"/>
  <c r="AE141" i="3" s="1"/>
  <c r="BV141" i="16"/>
  <c r="W141" i="5" s="1"/>
  <c r="AE142" i="3" s="1"/>
  <c r="BV142" i="16"/>
  <c r="W142" i="5" s="1"/>
  <c r="AE143" i="3" s="1"/>
  <c r="BV143" i="16"/>
  <c r="W143" i="5" s="1"/>
  <c r="AE144" i="3" s="1"/>
  <c r="BV144" i="16"/>
  <c r="W144" i="5" s="1"/>
  <c r="AE145" i="3" s="1"/>
  <c r="BV145" i="16"/>
  <c r="W145" i="5" s="1"/>
  <c r="AE146" i="3" s="1"/>
  <c r="BV146" i="16"/>
  <c r="W146" i="5" s="1"/>
  <c r="AE147" i="3" s="1"/>
  <c r="BV147" i="16"/>
  <c r="W147" i="5" s="1"/>
  <c r="AE148" i="3" s="1"/>
  <c r="BV148" i="16"/>
  <c r="W148" i="5" s="1"/>
  <c r="AE149" i="3" s="1"/>
  <c r="BV149" i="16"/>
  <c r="W149" i="5" s="1"/>
  <c r="AE150" i="3" s="1"/>
  <c r="BV150" i="16"/>
  <c r="W150" i="5" s="1"/>
  <c r="AE151" i="3" s="1"/>
  <c r="BV151" i="16"/>
  <c r="W151" i="5" s="1"/>
  <c r="AE152" i="3" s="1"/>
  <c r="BV152" i="16"/>
  <c r="W152" i="5" s="1"/>
  <c r="AE153" i="3" s="1"/>
  <c r="BV153" i="16"/>
  <c r="W153" i="5" s="1"/>
  <c r="AE154" i="3" s="1"/>
  <c r="BV154" i="16"/>
  <c r="W154" i="5" s="1"/>
  <c r="AE155" i="3" s="1"/>
  <c r="BV155" i="16"/>
  <c r="W155" i="5" s="1"/>
  <c r="AE156" i="3" s="1"/>
  <c r="BV156" i="16"/>
  <c r="W156" i="5" s="1"/>
  <c r="AE157" i="3" s="1"/>
  <c r="BV157" i="16"/>
  <c r="W157" i="5" s="1"/>
  <c r="AE158" i="3" s="1"/>
  <c r="BV158" i="16"/>
  <c r="W158" i="5" s="1"/>
  <c r="AE159" i="3" s="1"/>
  <c r="BV159" i="16"/>
  <c r="W159" i="5" s="1"/>
  <c r="AE160" i="3" s="1"/>
  <c r="BV160" i="16"/>
  <c r="W160" i="5" s="1"/>
  <c r="AE161" i="3" s="1"/>
  <c r="BV161" i="16"/>
  <c r="W161" i="5" s="1"/>
  <c r="AE162" i="3" s="1"/>
  <c r="BV162" i="16"/>
  <c r="W162" i="5" s="1"/>
  <c r="AE163" i="3" s="1"/>
  <c r="BV163" i="16"/>
  <c r="W163" i="5" s="1"/>
  <c r="AE164" i="3" s="1"/>
  <c r="BV164" i="16"/>
  <c r="W164" i="5" s="1"/>
  <c r="AE165" i="3" s="1"/>
  <c r="BV165" i="16"/>
  <c r="W165" i="5" s="1"/>
  <c r="AE166" i="3" s="1"/>
  <c r="BV166" i="16"/>
  <c r="W166" i="5" s="1"/>
  <c r="AE167" i="3" s="1"/>
  <c r="BV167" i="16"/>
  <c r="W167" i="5" s="1"/>
  <c r="AE168" i="3" s="1"/>
  <c r="BV168" i="16"/>
  <c r="W168" i="5" s="1"/>
  <c r="AE169" i="3" s="1"/>
  <c r="BV169" i="16"/>
  <c r="W169" i="5" s="1"/>
  <c r="AE170" i="3" s="1"/>
  <c r="BV170" i="16"/>
  <c r="W170" i="5" s="1"/>
  <c r="AE171" i="3" s="1"/>
  <c r="BV171" i="16"/>
  <c r="W171" i="5" s="1"/>
  <c r="AE172" i="3" s="1"/>
  <c r="BV172" i="16"/>
  <c r="W172" i="5" s="1"/>
  <c r="AE173" i="3" s="1"/>
  <c r="BV173" i="16"/>
  <c r="W173" i="5" s="1"/>
  <c r="AE174" i="3" s="1"/>
  <c r="BV174" i="16"/>
  <c r="W174" i="5" s="1"/>
  <c r="AE175" i="3" s="1"/>
  <c r="BV175" i="16"/>
  <c r="W175" i="5" s="1"/>
  <c r="AE176" i="3" s="1"/>
  <c r="BV176" i="16"/>
  <c r="W176" i="5" s="1"/>
  <c r="AE177" i="3" s="1"/>
  <c r="BU3" i="16"/>
  <c r="BU4" i="16"/>
  <c r="BU5" i="16"/>
  <c r="BU6" i="16"/>
  <c r="BU7" i="16"/>
  <c r="BU8" i="16"/>
  <c r="BU9" i="16"/>
  <c r="BU10" i="16"/>
  <c r="BU11" i="16"/>
  <c r="BU12" i="16"/>
  <c r="BU13" i="16"/>
  <c r="BU14" i="16"/>
  <c r="BU15" i="16"/>
  <c r="BU16" i="16"/>
  <c r="BU17" i="16"/>
  <c r="BU18" i="16"/>
  <c r="BU19" i="16"/>
  <c r="BU20" i="16"/>
  <c r="BU21" i="16"/>
  <c r="BU22" i="16"/>
  <c r="BU23" i="16"/>
  <c r="BU24" i="16"/>
  <c r="BU25" i="16"/>
  <c r="BU26" i="16"/>
  <c r="BU27" i="16"/>
  <c r="BU28" i="16"/>
  <c r="BU29" i="16"/>
  <c r="BU30" i="16"/>
  <c r="BU31" i="16"/>
  <c r="BU32" i="16"/>
  <c r="BU33" i="16"/>
  <c r="BU34" i="16"/>
  <c r="BU35" i="16"/>
  <c r="BU36" i="16"/>
  <c r="BU37" i="16"/>
  <c r="BU38" i="16"/>
  <c r="BU39" i="16"/>
  <c r="BU40" i="16"/>
  <c r="BU41" i="16"/>
  <c r="BU42" i="16"/>
  <c r="BU43" i="16"/>
  <c r="BU44" i="16"/>
  <c r="BU45" i="16"/>
  <c r="BU46" i="16"/>
  <c r="BU47" i="16"/>
  <c r="BU48" i="16"/>
  <c r="BU49" i="16"/>
  <c r="BU50" i="16"/>
  <c r="BU51" i="16"/>
  <c r="BU52" i="16"/>
  <c r="BU53" i="16"/>
  <c r="BU54" i="16"/>
  <c r="BU55" i="16"/>
  <c r="BU56" i="16"/>
  <c r="BU57" i="16"/>
  <c r="BU58" i="16"/>
  <c r="BU59" i="16"/>
  <c r="BU60" i="16"/>
  <c r="BU61" i="16"/>
  <c r="BU62" i="16"/>
  <c r="BU63" i="16"/>
  <c r="BU64" i="16"/>
  <c r="BU65" i="16"/>
  <c r="BU66" i="16"/>
  <c r="BU67" i="16"/>
  <c r="BU68" i="16"/>
  <c r="BU69" i="16"/>
  <c r="BU70" i="16"/>
  <c r="BU71" i="16"/>
  <c r="BU72" i="16"/>
  <c r="BU73" i="16"/>
  <c r="BU74" i="16"/>
  <c r="BU75" i="16"/>
  <c r="BU76" i="16"/>
  <c r="BU77" i="16"/>
  <c r="BU78" i="16"/>
  <c r="BU79" i="16"/>
  <c r="BU80" i="16"/>
  <c r="BU81" i="16"/>
  <c r="BU82" i="16"/>
  <c r="BU83" i="16"/>
  <c r="BU84" i="16"/>
  <c r="BU85" i="16"/>
  <c r="BU86" i="16"/>
  <c r="BU87" i="16"/>
  <c r="BU88" i="16"/>
  <c r="BU89" i="16"/>
  <c r="BU90" i="16"/>
  <c r="BU91" i="16"/>
  <c r="BU92" i="16"/>
  <c r="BU93" i="16"/>
  <c r="BU94" i="16"/>
  <c r="BU95" i="16"/>
  <c r="BU96" i="16"/>
  <c r="BU97" i="16"/>
  <c r="BU98" i="16"/>
  <c r="BU99" i="16"/>
  <c r="BU100" i="16"/>
  <c r="BU101" i="16"/>
  <c r="BU102" i="16"/>
  <c r="BU103" i="16"/>
  <c r="BU104" i="16"/>
  <c r="BU105" i="16"/>
  <c r="BU106" i="16"/>
  <c r="BU107" i="16"/>
  <c r="BU108" i="16"/>
  <c r="BU109" i="16"/>
  <c r="BU110" i="16"/>
  <c r="BU111" i="16"/>
  <c r="BU112" i="16"/>
  <c r="BU113" i="16"/>
  <c r="BU114" i="16"/>
  <c r="BU115" i="16"/>
  <c r="BU116" i="16"/>
  <c r="BU117" i="16"/>
  <c r="BU118" i="16"/>
  <c r="BU119" i="16"/>
  <c r="BU120" i="16"/>
  <c r="BU121" i="16"/>
  <c r="BU122" i="16"/>
  <c r="BU123" i="16"/>
  <c r="BU124" i="16"/>
  <c r="BU125" i="16"/>
  <c r="BU126" i="16"/>
  <c r="BU127" i="16"/>
  <c r="BU128" i="16"/>
  <c r="BU129" i="16"/>
  <c r="BU130" i="16"/>
  <c r="BU131" i="16"/>
  <c r="BU132" i="16"/>
  <c r="BU133" i="16"/>
  <c r="BU134" i="16"/>
  <c r="BU135" i="16"/>
  <c r="BU136" i="16"/>
  <c r="BU137" i="16"/>
  <c r="BU138" i="16"/>
  <c r="BU139" i="16"/>
  <c r="BU140" i="16"/>
  <c r="BU141" i="16"/>
  <c r="BU142" i="16"/>
  <c r="BU143" i="16"/>
  <c r="BU144" i="16"/>
  <c r="BU145" i="16"/>
  <c r="BU146" i="16"/>
  <c r="BU147" i="16"/>
  <c r="BU148" i="16"/>
  <c r="BU149" i="16"/>
  <c r="BU150" i="16"/>
  <c r="BU151" i="16"/>
  <c r="BU152" i="16"/>
  <c r="BU153" i="16"/>
  <c r="BU154" i="16"/>
  <c r="BU155" i="16"/>
  <c r="BU156" i="16"/>
  <c r="BU157" i="16"/>
  <c r="BU158" i="16"/>
  <c r="BU159" i="16"/>
  <c r="BU160" i="16"/>
  <c r="BU161" i="16"/>
  <c r="BU162" i="16"/>
  <c r="BU163" i="16"/>
  <c r="BU164" i="16"/>
  <c r="BU165" i="16"/>
  <c r="BU166" i="16"/>
  <c r="BU167" i="16"/>
  <c r="BU168" i="16"/>
  <c r="BU169" i="16"/>
  <c r="BU170" i="16"/>
  <c r="BU171" i="16"/>
  <c r="BU172" i="16"/>
  <c r="BU173" i="16"/>
  <c r="BU174" i="16"/>
  <c r="BU175" i="16"/>
  <c r="BU176" i="16"/>
  <c r="BT3" i="16"/>
  <c r="BT4" i="16"/>
  <c r="BT5" i="16"/>
  <c r="BT6" i="16"/>
  <c r="BT7" i="16"/>
  <c r="BT8" i="16"/>
  <c r="BT9" i="16"/>
  <c r="BT10" i="16"/>
  <c r="BT11" i="16"/>
  <c r="BT12" i="16"/>
  <c r="BT13" i="16"/>
  <c r="BT14" i="16"/>
  <c r="BT15" i="16"/>
  <c r="BT16" i="16"/>
  <c r="BT17" i="16"/>
  <c r="BT18" i="16"/>
  <c r="BT19" i="16"/>
  <c r="BT20" i="16"/>
  <c r="BT21" i="16"/>
  <c r="BT22" i="16"/>
  <c r="BT23" i="16"/>
  <c r="BT24" i="16"/>
  <c r="BT25" i="16"/>
  <c r="BT26" i="16"/>
  <c r="BT27" i="16"/>
  <c r="BT28" i="16"/>
  <c r="BT29" i="16"/>
  <c r="BT30" i="16"/>
  <c r="BT31" i="16"/>
  <c r="BT32" i="16"/>
  <c r="BT33" i="16"/>
  <c r="BT34" i="16"/>
  <c r="BT35" i="16"/>
  <c r="BT36" i="16"/>
  <c r="BT37" i="16"/>
  <c r="BT38" i="16"/>
  <c r="BT39" i="16"/>
  <c r="BT40" i="16"/>
  <c r="BT41" i="16"/>
  <c r="BT42" i="16"/>
  <c r="BT43" i="16"/>
  <c r="BT44" i="16"/>
  <c r="BT45" i="16"/>
  <c r="BT46" i="16"/>
  <c r="BT47" i="16"/>
  <c r="BT48" i="16"/>
  <c r="BT49" i="16"/>
  <c r="BT50" i="16"/>
  <c r="BT51" i="16"/>
  <c r="BT52" i="16"/>
  <c r="BT53" i="16"/>
  <c r="BT54" i="16"/>
  <c r="BT55" i="16"/>
  <c r="BT56" i="16"/>
  <c r="BT57" i="16"/>
  <c r="BT58" i="16"/>
  <c r="BT59" i="16"/>
  <c r="BT60" i="16"/>
  <c r="BT61" i="16"/>
  <c r="BT62" i="16"/>
  <c r="BT63" i="16"/>
  <c r="BT64" i="16"/>
  <c r="BT65" i="16"/>
  <c r="BT66" i="16"/>
  <c r="BT67" i="16"/>
  <c r="BT68" i="16"/>
  <c r="BT69" i="16"/>
  <c r="BT70" i="16"/>
  <c r="BT71" i="16"/>
  <c r="BT72" i="16"/>
  <c r="BT73" i="16"/>
  <c r="BT74" i="16"/>
  <c r="BT75" i="16"/>
  <c r="BT76" i="16"/>
  <c r="BT77" i="16"/>
  <c r="BT78" i="16"/>
  <c r="BT79" i="16"/>
  <c r="BT80" i="16"/>
  <c r="BT81" i="16"/>
  <c r="BT82" i="16"/>
  <c r="BT83" i="16"/>
  <c r="BT84" i="16"/>
  <c r="BT85" i="16"/>
  <c r="BT86" i="16"/>
  <c r="BT87" i="16"/>
  <c r="BT88" i="16"/>
  <c r="BT89" i="16"/>
  <c r="BT90" i="16"/>
  <c r="BT91" i="16"/>
  <c r="BT92" i="16"/>
  <c r="BT93" i="16"/>
  <c r="BT94" i="16"/>
  <c r="BT95" i="16"/>
  <c r="BT96" i="16"/>
  <c r="BT97" i="16"/>
  <c r="BT98" i="16"/>
  <c r="BT99" i="16"/>
  <c r="BT100" i="16"/>
  <c r="BT101" i="16"/>
  <c r="BT102" i="16"/>
  <c r="BT103" i="16"/>
  <c r="BT104" i="16"/>
  <c r="BT105" i="16"/>
  <c r="BT106" i="16"/>
  <c r="BT107" i="16"/>
  <c r="BT108" i="16"/>
  <c r="BT109" i="16"/>
  <c r="BT110" i="16"/>
  <c r="BT111" i="16"/>
  <c r="BT112" i="16"/>
  <c r="BT113" i="16"/>
  <c r="BT114" i="16"/>
  <c r="BT115" i="16"/>
  <c r="BT116" i="16"/>
  <c r="BT117" i="16"/>
  <c r="BT118" i="16"/>
  <c r="BT119" i="16"/>
  <c r="BT120" i="16"/>
  <c r="BT121" i="16"/>
  <c r="BT122" i="16"/>
  <c r="BT123" i="16"/>
  <c r="BT124" i="16"/>
  <c r="BT125" i="16"/>
  <c r="BT126" i="16"/>
  <c r="BT127" i="16"/>
  <c r="BT128" i="16"/>
  <c r="BT129" i="16"/>
  <c r="BT130" i="16"/>
  <c r="BT131" i="16"/>
  <c r="BT132" i="16"/>
  <c r="BT133" i="16"/>
  <c r="BT134" i="16"/>
  <c r="CL134" i="16" s="1"/>
  <c r="O135" i="3" s="1"/>
  <c r="BT135" i="16"/>
  <c r="CL135" i="16" s="1"/>
  <c r="O136" i="3" s="1"/>
  <c r="BT136" i="16"/>
  <c r="CL136" i="16" s="1"/>
  <c r="O137" i="3" s="1"/>
  <c r="BT137" i="16"/>
  <c r="CL137" i="16" s="1"/>
  <c r="O138" i="3" s="1"/>
  <c r="BT138" i="16"/>
  <c r="CL138" i="16" s="1"/>
  <c r="O139" i="3" s="1"/>
  <c r="BT139" i="16"/>
  <c r="CL139" i="16" s="1"/>
  <c r="O140" i="3" s="1"/>
  <c r="BT140" i="16"/>
  <c r="CL140" i="16" s="1"/>
  <c r="O141" i="3" s="1"/>
  <c r="BT141" i="16"/>
  <c r="CL141" i="16" s="1"/>
  <c r="O142" i="3" s="1"/>
  <c r="BT142" i="16"/>
  <c r="CL142" i="16" s="1"/>
  <c r="O143" i="3" s="1"/>
  <c r="BT143" i="16"/>
  <c r="CL143" i="16" s="1"/>
  <c r="O144" i="3" s="1"/>
  <c r="BT144" i="16"/>
  <c r="CL144" i="16" s="1"/>
  <c r="O145" i="3" s="1"/>
  <c r="BT145" i="16"/>
  <c r="CL145" i="16" s="1"/>
  <c r="O146" i="3" s="1"/>
  <c r="BT146" i="16"/>
  <c r="CL146" i="16" s="1"/>
  <c r="O147" i="3" s="1"/>
  <c r="BT147" i="16"/>
  <c r="CL147" i="16" s="1"/>
  <c r="O148" i="3" s="1"/>
  <c r="BT148" i="16"/>
  <c r="CL148" i="16" s="1"/>
  <c r="O149" i="3" s="1"/>
  <c r="BT149" i="16"/>
  <c r="CL149" i="16" s="1"/>
  <c r="O150" i="3" s="1"/>
  <c r="BT150" i="16"/>
  <c r="CL150" i="16" s="1"/>
  <c r="O151" i="3" s="1"/>
  <c r="BT151" i="16"/>
  <c r="CL151" i="16" s="1"/>
  <c r="O152" i="3" s="1"/>
  <c r="BT152" i="16"/>
  <c r="CL152" i="16" s="1"/>
  <c r="O153" i="3" s="1"/>
  <c r="BT153" i="16"/>
  <c r="CL153" i="16" s="1"/>
  <c r="O154" i="3" s="1"/>
  <c r="BT154" i="16"/>
  <c r="CL154" i="16" s="1"/>
  <c r="O155" i="3" s="1"/>
  <c r="BT155" i="16"/>
  <c r="CL155" i="16" s="1"/>
  <c r="O156" i="3" s="1"/>
  <c r="BT156" i="16"/>
  <c r="CL156" i="16" s="1"/>
  <c r="O157" i="3" s="1"/>
  <c r="BT157" i="16"/>
  <c r="CL157" i="16" s="1"/>
  <c r="O158" i="3" s="1"/>
  <c r="BT158" i="16"/>
  <c r="CL158" i="16" s="1"/>
  <c r="O159" i="3" s="1"/>
  <c r="BT159" i="16"/>
  <c r="CL159" i="16" s="1"/>
  <c r="O160" i="3" s="1"/>
  <c r="BT160" i="16"/>
  <c r="CL160" i="16" s="1"/>
  <c r="O161" i="3" s="1"/>
  <c r="BT161" i="16"/>
  <c r="CL161" i="16" s="1"/>
  <c r="O162" i="3" s="1"/>
  <c r="BT162" i="16"/>
  <c r="CL162" i="16" s="1"/>
  <c r="O163" i="3" s="1"/>
  <c r="BT163" i="16"/>
  <c r="CL163" i="16" s="1"/>
  <c r="O164" i="3" s="1"/>
  <c r="BT164" i="16"/>
  <c r="CL164" i="16" s="1"/>
  <c r="O165" i="3" s="1"/>
  <c r="BT165" i="16"/>
  <c r="CL165" i="16" s="1"/>
  <c r="O166" i="3" s="1"/>
  <c r="BT166" i="16"/>
  <c r="CL166" i="16" s="1"/>
  <c r="O167" i="3" s="1"/>
  <c r="BT167" i="16"/>
  <c r="CL167" i="16" s="1"/>
  <c r="O168" i="3" s="1"/>
  <c r="BT168" i="16"/>
  <c r="CL168" i="16" s="1"/>
  <c r="O169" i="3" s="1"/>
  <c r="BT169" i="16"/>
  <c r="CL169" i="16" s="1"/>
  <c r="O170" i="3" s="1"/>
  <c r="BT170" i="16"/>
  <c r="CL170" i="16" s="1"/>
  <c r="O171" i="3" s="1"/>
  <c r="BT171" i="16"/>
  <c r="CL171" i="16" s="1"/>
  <c r="O172" i="3" s="1"/>
  <c r="BT172" i="16"/>
  <c r="CL172" i="16" s="1"/>
  <c r="O173" i="3" s="1"/>
  <c r="BT173" i="16"/>
  <c r="CL173" i="16" s="1"/>
  <c r="O174" i="3" s="1"/>
  <c r="BT174" i="16"/>
  <c r="CL174" i="16" s="1"/>
  <c r="O175" i="3" s="1"/>
  <c r="BT175" i="16"/>
  <c r="CL175" i="16" s="1"/>
  <c r="O176" i="3" s="1"/>
  <c r="BT176" i="16"/>
  <c r="CL176" i="16" s="1"/>
  <c r="O177" i="3" s="1"/>
  <c r="BS3" i="16"/>
  <c r="BS4" i="16"/>
  <c r="BS5" i="16"/>
  <c r="BS6" i="16"/>
  <c r="BS7" i="16"/>
  <c r="BS8" i="16"/>
  <c r="BS9" i="16"/>
  <c r="BS10" i="16"/>
  <c r="BS11" i="16"/>
  <c r="BS12" i="16"/>
  <c r="BS13" i="16"/>
  <c r="BS14" i="16"/>
  <c r="BS15" i="16"/>
  <c r="BS16" i="16"/>
  <c r="BS17" i="16"/>
  <c r="BS18" i="16"/>
  <c r="BS19" i="16"/>
  <c r="BS20" i="16"/>
  <c r="BS21" i="16"/>
  <c r="BS22" i="16"/>
  <c r="BS23" i="16"/>
  <c r="BS24" i="16"/>
  <c r="BS25" i="16"/>
  <c r="BS26" i="16"/>
  <c r="BS27" i="16"/>
  <c r="BS28" i="16"/>
  <c r="BS29" i="16"/>
  <c r="BS30" i="16"/>
  <c r="BS31" i="16"/>
  <c r="BS32" i="16"/>
  <c r="BS33" i="16"/>
  <c r="BS34" i="16"/>
  <c r="BS35" i="16"/>
  <c r="BS36" i="16"/>
  <c r="BS37" i="16"/>
  <c r="BS38" i="16"/>
  <c r="BS39" i="16"/>
  <c r="BS40" i="16"/>
  <c r="BS41" i="16"/>
  <c r="BS42" i="16"/>
  <c r="BS43" i="16"/>
  <c r="BS44" i="16"/>
  <c r="BS45" i="16"/>
  <c r="BS46" i="16"/>
  <c r="BS47" i="16"/>
  <c r="BS48" i="16"/>
  <c r="BS49" i="16"/>
  <c r="BS50" i="16"/>
  <c r="BS51" i="16"/>
  <c r="BS52" i="16"/>
  <c r="BS53" i="16"/>
  <c r="BS54" i="16"/>
  <c r="BS55" i="16"/>
  <c r="BS56" i="16"/>
  <c r="BS57" i="16"/>
  <c r="BS58" i="16"/>
  <c r="BS59" i="16"/>
  <c r="BS60" i="16"/>
  <c r="BS61" i="16"/>
  <c r="BS62" i="16"/>
  <c r="BS63" i="16"/>
  <c r="BS64" i="16"/>
  <c r="BS65" i="16"/>
  <c r="BS66" i="16"/>
  <c r="BS67" i="16"/>
  <c r="BS68" i="16"/>
  <c r="BS69" i="16"/>
  <c r="BS70" i="16"/>
  <c r="BS71" i="16"/>
  <c r="BS72" i="16"/>
  <c r="BS73" i="16"/>
  <c r="BS74" i="16"/>
  <c r="BS75" i="16"/>
  <c r="BS76" i="16"/>
  <c r="BS77" i="16"/>
  <c r="BS78" i="16"/>
  <c r="BS79" i="16"/>
  <c r="BS80" i="16"/>
  <c r="BS81" i="16"/>
  <c r="BS82" i="16"/>
  <c r="BS83" i="16"/>
  <c r="BS84" i="16"/>
  <c r="BS85" i="16"/>
  <c r="BS86" i="16"/>
  <c r="BS87" i="16"/>
  <c r="BS88" i="16"/>
  <c r="BS89" i="16"/>
  <c r="BS90" i="16"/>
  <c r="BS91" i="16"/>
  <c r="BS92" i="16"/>
  <c r="BS93" i="16"/>
  <c r="BS94" i="16"/>
  <c r="BS95" i="16"/>
  <c r="BS96" i="16"/>
  <c r="BS97" i="16"/>
  <c r="BS98" i="16"/>
  <c r="BS99" i="16"/>
  <c r="BS100" i="16"/>
  <c r="BS101" i="16"/>
  <c r="BS102" i="16"/>
  <c r="BS103" i="16"/>
  <c r="BS104" i="16"/>
  <c r="BS105" i="16"/>
  <c r="BS106" i="16"/>
  <c r="BS107" i="16"/>
  <c r="BS108" i="16"/>
  <c r="BS109" i="16"/>
  <c r="BS110" i="16"/>
  <c r="BS111" i="16"/>
  <c r="BS112" i="16"/>
  <c r="BS113" i="16"/>
  <c r="BS114" i="16"/>
  <c r="BS115" i="16"/>
  <c r="BS116" i="16"/>
  <c r="BS117" i="16"/>
  <c r="BS118" i="16"/>
  <c r="BS119" i="16"/>
  <c r="BS120" i="16"/>
  <c r="BS121" i="16"/>
  <c r="BS122" i="16"/>
  <c r="BS123" i="16"/>
  <c r="BS124" i="16"/>
  <c r="BS125" i="16"/>
  <c r="BS126" i="16"/>
  <c r="BS127" i="16"/>
  <c r="BS128" i="16"/>
  <c r="BS129" i="16"/>
  <c r="BS130" i="16"/>
  <c r="BS131" i="16"/>
  <c r="BS132" i="16"/>
  <c r="BS133" i="16"/>
  <c r="BS134" i="16"/>
  <c r="BS135" i="16"/>
  <c r="BS136" i="16"/>
  <c r="BS137" i="16"/>
  <c r="BS138" i="16"/>
  <c r="BS139" i="16"/>
  <c r="BS140" i="16"/>
  <c r="BS141" i="16"/>
  <c r="BS142" i="16"/>
  <c r="BS143" i="16"/>
  <c r="BS144" i="16"/>
  <c r="BS145" i="16"/>
  <c r="BS146" i="16"/>
  <c r="BS147" i="16"/>
  <c r="BS148" i="16"/>
  <c r="BS149" i="16"/>
  <c r="BS150" i="16"/>
  <c r="BS151" i="16"/>
  <c r="BS152" i="16"/>
  <c r="BS153" i="16"/>
  <c r="BS154" i="16"/>
  <c r="BS155" i="16"/>
  <c r="BS156" i="16"/>
  <c r="BS157" i="16"/>
  <c r="BS158" i="16"/>
  <c r="BS159" i="16"/>
  <c r="BS160" i="16"/>
  <c r="BS161" i="16"/>
  <c r="BS162" i="16"/>
  <c r="BS163" i="16"/>
  <c r="BS164" i="16"/>
  <c r="BS165" i="16"/>
  <c r="BS166" i="16"/>
  <c r="BS167" i="16"/>
  <c r="BS168" i="16"/>
  <c r="BS169" i="16"/>
  <c r="BS170" i="16"/>
  <c r="BS171" i="16"/>
  <c r="BS172" i="16"/>
  <c r="BS173" i="16"/>
  <c r="BS174" i="16"/>
  <c r="BS175" i="16"/>
  <c r="BS176" i="16"/>
  <c r="BR3" i="16"/>
  <c r="BR4" i="16"/>
  <c r="BR5" i="16"/>
  <c r="BR6" i="16"/>
  <c r="BR7" i="16"/>
  <c r="BR8" i="16"/>
  <c r="BR9" i="16"/>
  <c r="BR10" i="16"/>
  <c r="BR11" i="16"/>
  <c r="BR12" i="16"/>
  <c r="BR13" i="16"/>
  <c r="BR14" i="16"/>
  <c r="BR15" i="16"/>
  <c r="BR16" i="16"/>
  <c r="BR17" i="16"/>
  <c r="BR18" i="16"/>
  <c r="BR19" i="16"/>
  <c r="BR20" i="16"/>
  <c r="BR21" i="16"/>
  <c r="BR22" i="16"/>
  <c r="BR23" i="16"/>
  <c r="BR24" i="16"/>
  <c r="BR25" i="16"/>
  <c r="BR26" i="16"/>
  <c r="BR27" i="16"/>
  <c r="BR28" i="16"/>
  <c r="BR29" i="16"/>
  <c r="BR30" i="16"/>
  <c r="BR31" i="16"/>
  <c r="BR32" i="16"/>
  <c r="BR33" i="16"/>
  <c r="BR34" i="16"/>
  <c r="BR35" i="16"/>
  <c r="BR36" i="16"/>
  <c r="BR37" i="16"/>
  <c r="BR38" i="16"/>
  <c r="BR39" i="16"/>
  <c r="BR40" i="16"/>
  <c r="BR41" i="16"/>
  <c r="BR42" i="16"/>
  <c r="BR43" i="16"/>
  <c r="BR44" i="16"/>
  <c r="BR45" i="16"/>
  <c r="BR46" i="16"/>
  <c r="BR47" i="16"/>
  <c r="BR48" i="16"/>
  <c r="BR49" i="16"/>
  <c r="BR50" i="16"/>
  <c r="BR51" i="16"/>
  <c r="BR52" i="16"/>
  <c r="BR53" i="16"/>
  <c r="BR54" i="16"/>
  <c r="BR55" i="16"/>
  <c r="BR56" i="16"/>
  <c r="BR57" i="16"/>
  <c r="BR58" i="16"/>
  <c r="BR59" i="16"/>
  <c r="BR60" i="16"/>
  <c r="BR61" i="16"/>
  <c r="BR62" i="16"/>
  <c r="BR63" i="16"/>
  <c r="BR64" i="16"/>
  <c r="BR65" i="16"/>
  <c r="BR66" i="16"/>
  <c r="BR67" i="16"/>
  <c r="BR68" i="16"/>
  <c r="BR69" i="16"/>
  <c r="BR70" i="16"/>
  <c r="BR71" i="16"/>
  <c r="BR72" i="16"/>
  <c r="BR73" i="16"/>
  <c r="BR74" i="16"/>
  <c r="BR75" i="16"/>
  <c r="BR76" i="16"/>
  <c r="BR77" i="16"/>
  <c r="BR78" i="16"/>
  <c r="BR79" i="16"/>
  <c r="BR80" i="16"/>
  <c r="BR81" i="16"/>
  <c r="BR82" i="16"/>
  <c r="BR83" i="16"/>
  <c r="BR84" i="16"/>
  <c r="BR85" i="16"/>
  <c r="BR86" i="16"/>
  <c r="BR87" i="16"/>
  <c r="BR88" i="16"/>
  <c r="BR89" i="16"/>
  <c r="BR90" i="16"/>
  <c r="BR91" i="16"/>
  <c r="BR92" i="16"/>
  <c r="BR93" i="16"/>
  <c r="BR94" i="16"/>
  <c r="BR95" i="16"/>
  <c r="BR96" i="16"/>
  <c r="BR97" i="16"/>
  <c r="BR98" i="16"/>
  <c r="BR99" i="16"/>
  <c r="BR100" i="16"/>
  <c r="BR101" i="16"/>
  <c r="BR102" i="16"/>
  <c r="BR103" i="16"/>
  <c r="BR104" i="16"/>
  <c r="BR105" i="16"/>
  <c r="BR106" i="16"/>
  <c r="BR107" i="16"/>
  <c r="BR108" i="16"/>
  <c r="BR109" i="16"/>
  <c r="BR110" i="16"/>
  <c r="BR111" i="16"/>
  <c r="BR112" i="16"/>
  <c r="BR113" i="16"/>
  <c r="BR114" i="16"/>
  <c r="BR115" i="16"/>
  <c r="BR116" i="16"/>
  <c r="BR117" i="16"/>
  <c r="BR118" i="16"/>
  <c r="BR119" i="16"/>
  <c r="BR120" i="16"/>
  <c r="BR121" i="16"/>
  <c r="BR122" i="16"/>
  <c r="BR123" i="16"/>
  <c r="BR124" i="16"/>
  <c r="BR125" i="16"/>
  <c r="BR126" i="16"/>
  <c r="BR127" i="16"/>
  <c r="BR128" i="16"/>
  <c r="BR129" i="16"/>
  <c r="BR130" i="16"/>
  <c r="BR131" i="16"/>
  <c r="BR132" i="16"/>
  <c r="BR133" i="16"/>
  <c r="BR134" i="16"/>
  <c r="BR135" i="16"/>
  <c r="BR136" i="16"/>
  <c r="BR137" i="16"/>
  <c r="BR138" i="16"/>
  <c r="BR139" i="16"/>
  <c r="BR140" i="16"/>
  <c r="BR141" i="16"/>
  <c r="BR142" i="16"/>
  <c r="BR143" i="16"/>
  <c r="BR144" i="16"/>
  <c r="BR145" i="16"/>
  <c r="BR146" i="16"/>
  <c r="BR147" i="16"/>
  <c r="BR148" i="16"/>
  <c r="BR149" i="16"/>
  <c r="BR150" i="16"/>
  <c r="BR151" i="16"/>
  <c r="BR152" i="16"/>
  <c r="BR153" i="16"/>
  <c r="BR154" i="16"/>
  <c r="BR155" i="16"/>
  <c r="BR156" i="16"/>
  <c r="BR157" i="16"/>
  <c r="BR158" i="16"/>
  <c r="BR159" i="16"/>
  <c r="BR160" i="16"/>
  <c r="BR161" i="16"/>
  <c r="BR162" i="16"/>
  <c r="BR163" i="16"/>
  <c r="BR164" i="16"/>
  <c r="BR165" i="16"/>
  <c r="BR166" i="16"/>
  <c r="BR167" i="16"/>
  <c r="BR168" i="16"/>
  <c r="BR169" i="16"/>
  <c r="BR170" i="16"/>
  <c r="BR171" i="16"/>
  <c r="BR172" i="16"/>
  <c r="BR173" i="16"/>
  <c r="BR174" i="16"/>
  <c r="BR175" i="16"/>
  <c r="BR176" i="16"/>
  <c r="BQ3" i="16"/>
  <c r="CK3" i="16" s="1"/>
  <c r="N4" i="3" s="1"/>
  <c r="BQ4" i="16"/>
  <c r="CK4" i="16" s="1"/>
  <c r="N5" i="3" s="1"/>
  <c r="BQ5" i="16"/>
  <c r="CK5" i="16" s="1"/>
  <c r="N6" i="3" s="1"/>
  <c r="BQ6" i="16"/>
  <c r="CK6" i="16" s="1"/>
  <c r="N7" i="3" s="1"/>
  <c r="BQ7" i="16"/>
  <c r="CK7" i="16" s="1"/>
  <c r="N8" i="3" s="1"/>
  <c r="BQ8" i="16"/>
  <c r="CK8" i="16" s="1"/>
  <c r="N9" i="3" s="1"/>
  <c r="BQ9" i="16"/>
  <c r="CK9" i="16" s="1"/>
  <c r="N10" i="3" s="1"/>
  <c r="BQ10" i="16"/>
  <c r="CK10" i="16" s="1"/>
  <c r="N11" i="3" s="1"/>
  <c r="BQ11" i="16"/>
  <c r="CK11" i="16" s="1"/>
  <c r="N12" i="3" s="1"/>
  <c r="BQ12" i="16"/>
  <c r="CK12" i="16" s="1"/>
  <c r="N13" i="3" s="1"/>
  <c r="BQ13" i="16"/>
  <c r="CK13" i="16" s="1"/>
  <c r="N14" i="3" s="1"/>
  <c r="BQ14" i="16"/>
  <c r="CK14" i="16" s="1"/>
  <c r="N15" i="3" s="1"/>
  <c r="BQ15" i="16"/>
  <c r="CK15" i="16" s="1"/>
  <c r="N16" i="3" s="1"/>
  <c r="BQ16" i="16"/>
  <c r="CK16" i="16" s="1"/>
  <c r="N17" i="3" s="1"/>
  <c r="BQ17" i="16"/>
  <c r="CK17" i="16" s="1"/>
  <c r="N18" i="3" s="1"/>
  <c r="BQ18" i="16"/>
  <c r="CK18" i="16" s="1"/>
  <c r="N19" i="3" s="1"/>
  <c r="BQ19" i="16"/>
  <c r="CK19" i="16" s="1"/>
  <c r="N20" i="3" s="1"/>
  <c r="BQ20" i="16"/>
  <c r="CK20" i="16" s="1"/>
  <c r="N21" i="3" s="1"/>
  <c r="BQ21" i="16"/>
  <c r="CK21" i="16" s="1"/>
  <c r="N22" i="3" s="1"/>
  <c r="BQ22" i="16"/>
  <c r="CK22" i="16" s="1"/>
  <c r="N23" i="3" s="1"/>
  <c r="BQ23" i="16"/>
  <c r="CK23" i="16" s="1"/>
  <c r="N24" i="3" s="1"/>
  <c r="BQ24" i="16"/>
  <c r="CK24" i="16" s="1"/>
  <c r="N25" i="3" s="1"/>
  <c r="BQ25" i="16"/>
  <c r="CK25" i="16" s="1"/>
  <c r="N26" i="3" s="1"/>
  <c r="BQ26" i="16"/>
  <c r="CK26" i="16" s="1"/>
  <c r="N27" i="3" s="1"/>
  <c r="BQ27" i="16"/>
  <c r="CK27" i="16" s="1"/>
  <c r="N28" i="3" s="1"/>
  <c r="BQ28" i="16"/>
  <c r="CK28" i="16" s="1"/>
  <c r="N29" i="3" s="1"/>
  <c r="BQ29" i="16"/>
  <c r="CK29" i="16" s="1"/>
  <c r="N30" i="3" s="1"/>
  <c r="BQ30" i="16"/>
  <c r="CK30" i="16" s="1"/>
  <c r="N31" i="3" s="1"/>
  <c r="BQ31" i="16"/>
  <c r="CK31" i="16" s="1"/>
  <c r="N32" i="3" s="1"/>
  <c r="BQ32" i="16"/>
  <c r="CK32" i="16" s="1"/>
  <c r="N33" i="3" s="1"/>
  <c r="BQ33" i="16"/>
  <c r="CK33" i="16" s="1"/>
  <c r="N34" i="3" s="1"/>
  <c r="BQ34" i="16"/>
  <c r="CK34" i="16" s="1"/>
  <c r="N35" i="3" s="1"/>
  <c r="BQ35" i="16"/>
  <c r="CK35" i="16" s="1"/>
  <c r="N36" i="3" s="1"/>
  <c r="BQ36" i="16"/>
  <c r="CK36" i="16" s="1"/>
  <c r="N37" i="3" s="1"/>
  <c r="BQ37" i="16"/>
  <c r="CK37" i="16" s="1"/>
  <c r="N38" i="3" s="1"/>
  <c r="BQ38" i="16"/>
  <c r="CK38" i="16" s="1"/>
  <c r="N39" i="3" s="1"/>
  <c r="BQ39" i="16"/>
  <c r="CK39" i="16" s="1"/>
  <c r="N40" i="3" s="1"/>
  <c r="BQ40" i="16"/>
  <c r="CK40" i="16" s="1"/>
  <c r="N41" i="3" s="1"/>
  <c r="BQ41" i="16"/>
  <c r="CK41" i="16" s="1"/>
  <c r="N42" i="3" s="1"/>
  <c r="BQ42" i="16"/>
  <c r="CK42" i="16" s="1"/>
  <c r="N43" i="3" s="1"/>
  <c r="BQ43" i="16"/>
  <c r="CK43" i="16" s="1"/>
  <c r="N44" i="3" s="1"/>
  <c r="BQ44" i="16"/>
  <c r="CK44" i="16" s="1"/>
  <c r="N45" i="3" s="1"/>
  <c r="BQ45" i="16"/>
  <c r="CK45" i="16" s="1"/>
  <c r="N46" i="3" s="1"/>
  <c r="BQ46" i="16"/>
  <c r="CK46" i="16" s="1"/>
  <c r="N47" i="3" s="1"/>
  <c r="BQ47" i="16"/>
  <c r="CK47" i="16" s="1"/>
  <c r="N48" i="3" s="1"/>
  <c r="BQ48" i="16"/>
  <c r="CK48" i="16" s="1"/>
  <c r="N49" i="3" s="1"/>
  <c r="BQ49" i="16"/>
  <c r="CK49" i="16" s="1"/>
  <c r="N50" i="3" s="1"/>
  <c r="BQ50" i="16"/>
  <c r="CK50" i="16" s="1"/>
  <c r="N51" i="3" s="1"/>
  <c r="BQ51" i="16"/>
  <c r="CK51" i="16" s="1"/>
  <c r="N52" i="3" s="1"/>
  <c r="BQ52" i="16"/>
  <c r="CK52" i="16" s="1"/>
  <c r="N53" i="3" s="1"/>
  <c r="BQ53" i="16"/>
  <c r="CK53" i="16" s="1"/>
  <c r="N54" i="3" s="1"/>
  <c r="BQ54" i="16"/>
  <c r="CK54" i="16" s="1"/>
  <c r="N55" i="3" s="1"/>
  <c r="BQ55" i="16"/>
  <c r="CK55" i="16" s="1"/>
  <c r="N56" i="3" s="1"/>
  <c r="BQ56" i="16"/>
  <c r="CK56" i="16" s="1"/>
  <c r="N57" i="3" s="1"/>
  <c r="BQ57" i="16"/>
  <c r="CK57" i="16" s="1"/>
  <c r="N58" i="3" s="1"/>
  <c r="BQ58" i="16"/>
  <c r="CK58" i="16" s="1"/>
  <c r="N59" i="3" s="1"/>
  <c r="BQ59" i="16"/>
  <c r="CK59" i="16" s="1"/>
  <c r="N60" i="3" s="1"/>
  <c r="BQ60" i="16"/>
  <c r="CK60" i="16" s="1"/>
  <c r="N61" i="3" s="1"/>
  <c r="BQ61" i="16"/>
  <c r="CK61" i="16" s="1"/>
  <c r="N62" i="3" s="1"/>
  <c r="BQ62" i="16"/>
  <c r="CK62" i="16" s="1"/>
  <c r="N63" i="3" s="1"/>
  <c r="BQ63" i="16"/>
  <c r="CK63" i="16" s="1"/>
  <c r="N64" i="3" s="1"/>
  <c r="BQ64" i="16"/>
  <c r="CK64" i="16" s="1"/>
  <c r="N65" i="3" s="1"/>
  <c r="BQ65" i="16"/>
  <c r="CK65" i="16" s="1"/>
  <c r="N66" i="3" s="1"/>
  <c r="BQ66" i="16"/>
  <c r="CK66" i="16" s="1"/>
  <c r="N67" i="3" s="1"/>
  <c r="BQ67" i="16"/>
  <c r="CK67" i="16" s="1"/>
  <c r="N68" i="3" s="1"/>
  <c r="BQ68" i="16"/>
  <c r="CK68" i="16" s="1"/>
  <c r="N69" i="3" s="1"/>
  <c r="BQ69" i="16"/>
  <c r="CK69" i="16" s="1"/>
  <c r="N70" i="3" s="1"/>
  <c r="BQ70" i="16"/>
  <c r="CK70" i="16" s="1"/>
  <c r="N71" i="3" s="1"/>
  <c r="BQ71" i="16"/>
  <c r="CK71" i="16" s="1"/>
  <c r="N72" i="3" s="1"/>
  <c r="BQ72" i="16"/>
  <c r="CK72" i="16" s="1"/>
  <c r="N73" i="3" s="1"/>
  <c r="BQ73" i="16"/>
  <c r="CK73" i="16" s="1"/>
  <c r="N74" i="3" s="1"/>
  <c r="BQ74" i="16"/>
  <c r="CK74" i="16" s="1"/>
  <c r="N75" i="3" s="1"/>
  <c r="BQ75" i="16"/>
  <c r="CK75" i="16" s="1"/>
  <c r="N76" i="3" s="1"/>
  <c r="BQ76" i="16"/>
  <c r="CK76" i="16" s="1"/>
  <c r="N77" i="3" s="1"/>
  <c r="BQ77" i="16"/>
  <c r="CK77" i="16" s="1"/>
  <c r="N78" i="3" s="1"/>
  <c r="BQ78" i="16"/>
  <c r="CK78" i="16" s="1"/>
  <c r="N79" i="3" s="1"/>
  <c r="BQ79" i="16"/>
  <c r="CK79" i="16" s="1"/>
  <c r="N80" i="3" s="1"/>
  <c r="BQ80" i="16"/>
  <c r="CK80" i="16" s="1"/>
  <c r="N81" i="3" s="1"/>
  <c r="BQ81" i="16"/>
  <c r="CK81" i="16" s="1"/>
  <c r="N82" i="3" s="1"/>
  <c r="BQ82" i="16"/>
  <c r="CK82" i="16" s="1"/>
  <c r="N83" i="3" s="1"/>
  <c r="BQ83" i="16"/>
  <c r="CK83" i="16" s="1"/>
  <c r="N84" i="3" s="1"/>
  <c r="BQ84" i="16"/>
  <c r="CK84" i="16" s="1"/>
  <c r="N85" i="3" s="1"/>
  <c r="BQ85" i="16"/>
  <c r="CK85" i="16" s="1"/>
  <c r="N86" i="3" s="1"/>
  <c r="BQ86" i="16"/>
  <c r="BQ87" i="16"/>
  <c r="BQ88" i="16"/>
  <c r="BQ89" i="16"/>
  <c r="BQ90" i="16"/>
  <c r="BQ91" i="16"/>
  <c r="BQ92" i="16"/>
  <c r="BQ93" i="16"/>
  <c r="BQ94" i="16"/>
  <c r="BQ95" i="16"/>
  <c r="BQ96" i="16"/>
  <c r="BQ97" i="16"/>
  <c r="BQ98" i="16"/>
  <c r="BQ99" i="16"/>
  <c r="BQ100" i="16"/>
  <c r="BQ101" i="16"/>
  <c r="BQ102" i="16"/>
  <c r="BQ103" i="16"/>
  <c r="BQ104" i="16"/>
  <c r="BQ105" i="16"/>
  <c r="BQ106" i="16"/>
  <c r="BQ107" i="16"/>
  <c r="BQ108" i="16"/>
  <c r="BQ109" i="16"/>
  <c r="BQ110" i="16"/>
  <c r="BQ111" i="16"/>
  <c r="BQ112" i="16"/>
  <c r="BQ113" i="16"/>
  <c r="BQ114" i="16"/>
  <c r="BQ115" i="16"/>
  <c r="BQ116" i="16"/>
  <c r="BQ117" i="16"/>
  <c r="BQ118" i="16"/>
  <c r="BQ119" i="16"/>
  <c r="BQ120" i="16"/>
  <c r="BQ121" i="16"/>
  <c r="BQ122" i="16"/>
  <c r="BQ123" i="16"/>
  <c r="BQ124" i="16"/>
  <c r="BQ125" i="16"/>
  <c r="BQ126" i="16"/>
  <c r="BQ127" i="16"/>
  <c r="BQ128" i="16"/>
  <c r="BQ129" i="16"/>
  <c r="BQ130" i="16"/>
  <c r="BQ131" i="16"/>
  <c r="BQ132" i="16"/>
  <c r="BQ133" i="16"/>
  <c r="BQ134" i="16"/>
  <c r="BQ135" i="16"/>
  <c r="BQ136" i="16"/>
  <c r="BQ137" i="16"/>
  <c r="BQ138" i="16"/>
  <c r="BQ139" i="16"/>
  <c r="BQ140" i="16"/>
  <c r="BQ141" i="16"/>
  <c r="BQ142" i="16"/>
  <c r="BQ143" i="16"/>
  <c r="BQ144" i="16"/>
  <c r="BQ145" i="16"/>
  <c r="BQ146" i="16"/>
  <c r="BQ147" i="16"/>
  <c r="BQ148" i="16"/>
  <c r="BQ149" i="16"/>
  <c r="BQ150" i="16"/>
  <c r="BQ151" i="16"/>
  <c r="BQ152" i="16"/>
  <c r="BQ153" i="16"/>
  <c r="BQ154" i="16"/>
  <c r="BQ155" i="16"/>
  <c r="BQ156" i="16"/>
  <c r="BQ157" i="16"/>
  <c r="BQ158" i="16"/>
  <c r="BQ159" i="16"/>
  <c r="BQ160" i="16"/>
  <c r="BQ161" i="16"/>
  <c r="BQ162" i="16"/>
  <c r="BQ163" i="16"/>
  <c r="BQ164" i="16"/>
  <c r="BQ165" i="16"/>
  <c r="BQ166" i="16"/>
  <c r="BQ167" i="16"/>
  <c r="BQ168" i="16"/>
  <c r="BQ169" i="16"/>
  <c r="BQ170" i="16"/>
  <c r="BQ171" i="16"/>
  <c r="BQ172" i="16"/>
  <c r="BQ173" i="16"/>
  <c r="BQ174" i="16"/>
  <c r="BQ175" i="16"/>
  <c r="BQ176" i="16"/>
  <c r="BP3" i="16"/>
  <c r="BP4" i="16"/>
  <c r="BP5" i="16"/>
  <c r="BP6" i="16"/>
  <c r="BP7" i="16"/>
  <c r="BP8" i="16"/>
  <c r="BP9" i="16"/>
  <c r="BP10" i="16"/>
  <c r="BP11" i="16"/>
  <c r="BP12" i="16"/>
  <c r="BP13" i="16"/>
  <c r="BP14" i="16"/>
  <c r="BP15" i="16"/>
  <c r="BP16" i="16"/>
  <c r="BP17" i="16"/>
  <c r="BP18" i="16"/>
  <c r="BP19" i="16"/>
  <c r="BP20" i="16"/>
  <c r="BP21" i="16"/>
  <c r="BP22" i="16"/>
  <c r="BP23" i="16"/>
  <c r="BP24" i="16"/>
  <c r="BP25" i="16"/>
  <c r="BP26" i="16"/>
  <c r="BP27" i="16"/>
  <c r="BP28" i="16"/>
  <c r="BP29" i="16"/>
  <c r="BP30" i="16"/>
  <c r="BP31" i="16"/>
  <c r="BP32" i="16"/>
  <c r="BP33" i="16"/>
  <c r="BP34" i="16"/>
  <c r="BP35" i="16"/>
  <c r="BP36" i="16"/>
  <c r="BP37" i="16"/>
  <c r="BP38" i="16"/>
  <c r="BP39" i="16"/>
  <c r="BP40" i="16"/>
  <c r="BP41" i="16"/>
  <c r="BP42" i="16"/>
  <c r="BP43" i="16"/>
  <c r="BP44" i="16"/>
  <c r="BP45" i="16"/>
  <c r="BP46" i="16"/>
  <c r="BP47" i="16"/>
  <c r="BP48" i="16"/>
  <c r="BP49" i="16"/>
  <c r="BP50" i="16"/>
  <c r="BP51" i="16"/>
  <c r="BP52" i="16"/>
  <c r="BP53" i="16"/>
  <c r="BP54" i="16"/>
  <c r="BP55" i="16"/>
  <c r="BP56" i="16"/>
  <c r="BP57" i="16"/>
  <c r="BP58" i="16"/>
  <c r="BP59" i="16"/>
  <c r="BP60" i="16"/>
  <c r="BP61" i="16"/>
  <c r="BP62" i="16"/>
  <c r="BP63" i="16"/>
  <c r="BP64" i="16"/>
  <c r="BP65" i="16"/>
  <c r="BP66" i="16"/>
  <c r="BP67" i="16"/>
  <c r="BP68" i="16"/>
  <c r="BP69" i="16"/>
  <c r="BP70" i="16"/>
  <c r="BP71" i="16"/>
  <c r="BP72" i="16"/>
  <c r="BP73" i="16"/>
  <c r="BP74" i="16"/>
  <c r="BP75" i="16"/>
  <c r="BP76" i="16"/>
  <c r="BP77" i="16"/>
  <c r="BP78" i="16"/>
  <c r="BP79" i="16"/>
  <c r="BP80" i="16"/>
  <c r="BP81" i="16"/>
  <c r="BP82" i="16"/>
  <c r="BP83" i="16"/>
  <c r="BP84" i="16"/>
  <c r="BP85" i="16"/>
  <c r="BP86" i="16"/>
  <c r="BP87" i="16"/>
  <c r="BP88" i="16"/>
  <c r="BP89" i="16"/>
  <c r="BP90" i="16"/>
  <c r="BP91" i="16"/>
  <c r="BP92" i="16"/>
  <c r="BP93" i="16"/>
  <c r="BP94" i="16"/>
  <c r="BP95" i="16"/>
  <c r="BP96" i="16"/>
  <c r="BP97" i="16"/>
  <c r="BP98" i="16"/>
  <c r="BP99" i="16"/>
  <c r="BP100" i="16"/>
  <c r="BP101" i="16"/>
  <c r="BP102" i="16"/>
  <c r="BP103" i="16"/>
  <c r="BP104" i="16"/>
  <c r="BP105" i="16"/>
  <c r="BP106" i="16"/>
  <c r="BP107" i="16"/>
  <c r="BP108" i="16"/>
  <c r="BP109" i="16"/>
  <c r="BP110" i="16"/>
  <c r="BP111" i="16"/>
  <c r="BP112" i="16"/>
  <c r="BP113" i="16"/>
  <c r="BP114" i="16"/>
  <c r="BP115" i="16"/>
  <c r="BP116" i="16"/>
  <c r="BP117" i="16"/>
  <c r="BP118" i="16"/>
  <c r="BP119" i="16"/>
  <c r="BP120" i="16"/>
  <c r="BP121" i="16"/>
  <c r="BP122" i="16"/>
  <c r="BP123" i="16"/>
  <c r="BP124" i="16"/>
  <c r="BP125" i="16"/>
  <c r="BP126" i="16"/>
  <c r="BP127" i="16"/>
  <c r="BP128" i="16"/>
  <c r="BP129" i="16"/>
  <c r="BP130" i="16"/>
  <c r="BP131" i="16"/>
  <c r="BP132" i="16"/>
  <c r="BP133" i="16"/>
  <c r="BP134" i="16"/>
  <c r="BP135" i="16"/>
  <c r="BP136" i="16"/>
  <c r="BP137" i="16"/>
  <c r="BP138" i="16"/>
  <c r="BP139" i="16"/>
  <c r="BP140" i="16"/>
  <c r="BP141" i="16"/>
  <c r="BP142" i="16"/>
  <c r="BP143" i="16"/>
  <c r="BP144" i="16"/>
  <c r="BP145" i="16"/>
  <c r="BP146" i="16"/>
  <c r="BP147" i="16"/>
  <c r="BP148" i="16"/>
  <c r="BP149" i="16"/>
  <c r="BP150" i="16"/>
  <c r="BP151" i="16"/>
  <c r="BP152" i="16"/>
  <c r="BP153" i="16"/>
  <c r="BP154" i="16"/>
  <c r="BP155" i="16"/>
  <c r="BP156" i="16"/>
  <c r="BP157" i="16"/>
  <c r="BP158" i="16"/>
  <c r="BP159" i="16"/>
  <c r="BP160" i="16"/>
  <c r="BP161" i="16"/>
  <c r="BP162" i="16"/>
  <c r="BP163" i="16"/>
  <c r="BP164" i="16"/>
  <c r="BP165" i="16"/>
  <c r="BP166" i="16"/>
  <c r="BP167" i="16"/>
  <c r="BP168" i="16"/>
  <c r="BP169" i="16"/>
  <c r="BP170" i="16"/>
  <c r="BP171" i="16"/>
  <c r="BP172" i="16"/>
  <c r="BP173" i="16"/>
  <c r="BP174" i="16"/>
  <c r="BP175" i="16"/>
  <c r="BP176" i="16"/>
  <c r="BO3" i="16"/>
  <c r="BO4" i="16"/>
  <c r="BO5" i="16"/>
  <c r="BO6" i="16"/>
  <c r="BO7" i="16"/>
  <c r="BO8" i="16"/>
  <c r="BO9" i="16"/>
  <c r="BO10" i="16"/>
  <c r="BO11" i="16"/>
  <c r="BO12" i="16"/>
  <c r="BO13" i="16"/>
  <c r="BO14" i="16"/>
  <c r="BO15" i="16"/>
  <c r="BO16" i="16"/>
  <c r="BO17" i="16"/>
  <c r="BO18" i="16"/>
  <c r="BO19" i="16"/>
  <c r="BO20" i="16"/>
  <c r="BO21" i="16"/>
  <c r="BO22" i="16"/>
  <c r="BO23" i="16"/>
  <c r="BO24" i="16"/>
  <c r="BO25" i="16"/>
  <c r="BO26" i="16"/>
  <c r="BO27" i="16"/>
  <c r="BO28" i="16"/>
  <c r="BO29" i="16"/>
  <c r="BO30" i="16"/>
  <c r="BO31" i="16"/>
  <c r="BO32" i="16"/>
  <c r="BO33" i="16"/>
  <c r="BO34" i="16"/>
  <c r="BO35" i="16"/>
  <c r="BO36" i="16"/>
  <c r="BO37" i="16"/>
  <c r="BO38" i="16"/>
  <c r="BO39" i="16"/>
  <c r="BO40" i="16"/>
  <c r="BO41" i="16"/>
  <c r="BO42" i="16"/>
  <c r="BO43" i="16"/>
  <c r="BO44" i="16"/>
  <c r="BO45" i="16"/>
  <c r="BO46" i="16"/>
  <c r="BO47" i="16"/>
  <c r="BO48" i="16"/>
  <c r="BO49" i="16"/>
  <c r="BO50" i="16"/>
  <c r="BO51" i="16"/>
  <c r="BO52" i="16"/>
  <c r="BO53" i="16"/>
  <c r="BO54" i="16"/>
  <c r="BO55" i="16"/>
  <c r="BO56" i="16"/>
  <c r="BO57" i="16"/>
  <c r="BO58" i="16"/>
  <c r="BO59" i="16"/>
  <c r="BO60" i="16"/>
  <c r="BO61" i="16"/>
  <c r="BO62" i="16"/>
  <c r="BO63" i="16"/>
  <c r="BO64" i="16"/>
  <c r="BO65" i="16"/>
  <c r="BO66" i="16"/>
  <c r="BO67" i="16"/>
  <c r="BO68" i="16"/>
  <c r="BO69" i="16"/>
  <c r="BO70" i="16"/>
  <c r="BO71" i="16"/>
  <c r="BO72" i="16"/>
  <c r="BO73" i="16"/>
  <c r="BO74" i="16"/>
  <c r="BO75" i="16"/>
  <c r="BO76" i="16"/>
  <c r="BO77" i="16"/>
  <c r="BO78" i="16"/>
  <c r="BO79" i="16"/>
  <c r="BO80" i="16"/>
  <c r="BO81" i="16"/>
  <c r="BO82" i="16"/>
  <c r="BO83" i="16"/>
  <c r="BO84" i="16"/>
  <c r="BO85" i="16"/>
  <c r="BO86" i="16"/>
  <c r="BO87" i="16"/>
  <c r="BO88" i="16"/>
  <c r="BO89" i="16"/>
  <c r="BO90" i="16"/>
  <c r="BO91" i="16"/>
  <c r="BO92" i="16"/>
  <c r="BO93" i="16"/>
  <c r="BO94" i="16"/>
  <c r="BO95" i="16"/>
  <c r="BO96" i="16"/>
  <c r="BO97" i="16"/>
  <c r="BO98" i="16"/>
  <c r="BO99" i="16"/>
  <c r="BO100" i="16"/>
  <c r="BO101" i="16"/>
  <c r="BO102" i="16"/>
  <c r="BO103" i="16"/>
  <c r="BO104" i="16"/>
  <c r="BO105" i="16"/>
  <c r="BO106" i="16"/>
  <c r="BO107" i="16"/>
  <c r="BO108" i="16"/>
  <c r="BO109" i="16"/>
  <c r="BO110" i="16"/>
  <c r="BO111" i="16"/>
  <c r="BO112" i="16"/>
  <c r="BO113" i="16"/>
  <c r="BO114" i="16"/>
  <c r="BO115" i="16"/>
  <c r="BO116" i="16"/>
  <c r="BO117" i="16"/>
  <c r="BO118" i="16"/>
  <c r="BO119" i="16"/>
  <c r="BO120" i="16"/>
  <c r="BO121" i="16"/>
  <c r="BO122" i="16"/>
  <c r="BO123" i="16"/>
  <c r="BO124" i="16"/>
  <c r="BO125" i="16"/>
  <c r="BO126" i="16"/>
  <c r="BO127" i="16"/>
  <c r="BO128" i="16"/>
  <c r="BO129" i="16"/>
  <c r="BO130" i="16"/>
  <c r="BO131" i="16"/>
  <c r="BO132" i="16"/>
  <c r="BO133" i="16"/>
  <c r="BO134" i="16"/>
  <c r="BO135" i="16"/>
  <c r="BO136" i="16"/>
  <c r="BO137" i="16"/>
  <c r="BO138" i="16"/>
  <c r="BO139" i="16"/>
  <c r="BO140" i="16"/>
  <c r="BO141" i="16"/>
  <c r="BO142" i="16"/>
  <c r="BO143" i="16"/>
  <c r="BO144" i="16"/>
  <c r="BO145" i="16"/>
  <c r="BO146" i="16"/>
  <c r="BO147" i="16"/>
  <c r="BO148" i="16"/>
  <c r="BO149" i="16"/>
  <c r="BO150" i="16"/>
  <c r="BO151" i="16"/>
  <c r="BO152" i="16"/>
  <c r="BO153" i="16"/>
  <c r="BO154" i="16"/>
  <c r="BO155" i="16"/>
  <c r="BO156" i="16"/>
  <c r="BO157" i="16"/>
  <c r="BO158" i="16"/>
  <c r="BO159" i="16"/>
  <c r="BO160" i="16"/>
  <c r="BO161" i="16"/>
  <c r="BO162" i="16"/>
  <c r="BO163" i="16"/>
  <c r="BO164" i="16"/>
  <c r="BO165" i="16"/>
  <c r="BO166" i="16"/>
  <c r="BO167" i="16"/>
  <c r="BO168" i="16"/>
  <c r="BO169" i="16"/>
  <c r="BO170" i="16"/>
  <c r="BO171" i="16"/>
  <c r="BO172" i="16"/>
  <c r="BO173" i="16"/>
  <c r="BO174" i="16"/>
  <c r="BO175" i="16"/>
  <c r="BO176" i="16"/>
  <c r="BN3" i="16"/>
  <c r="BN4" i="16"/>
  <c r="BN5" i="16"/>
  <c r="BN6" i="16"/>
  <c r="BN7" i="16"/>
  <c r="BN8" i="16"/>
  <c r="BN9" i="16"/>
  <c r="BN10" i="16"/>
  <c r="BN11" i="16"/>
  <c r="BN12" i="16"/>
  <c r="BN13" i="16"/>
  <c r="BN14" i="16"/>
  <c r="BN15" i="16"/>
  <c r="BN16" i="16"/>
  <c r="BN17" i="16"/>
  <c r="BN18" i="16"/>
  <c r="BN19" i="16"/>
  <c r="BN20" i="16"/>
  <c r="BN21" i="16"/>
  <c r="BN22" i="16"/>
  <c r="BN23" i="16"/>
  <c r="BN24" i="16"/>
  <c r="BN25" i="16"/>
  <c r="BN26" i="16"/>
  <c r="BN27" i="16"/>
  <c r="BN28" i="16"/>
  <c r="BN29" i="16"/>
  <c r="BN30" i="16"/>
  <c r="BN31" i="16"/>
  <c r="BN32" i="16"/>
  <c r="BN33" i="16"/>
  <c r="BN34" i="16"/>
  <c r="BN35" i="16"/>
  <c r="BN36" i="16"/>
  <c r="BN37" i="16"/>
  <c r="BN38" i="16"/>
  <c r="BN39" i="16"/>
  <c r="BN40" i="16"/>
  <c r="BN41" i="16"/>
  <c r="BN42" i="16"/>
  <c r="BN43" i="16"/>
  <c r="BN44" i="16"/>
  <c r="BN45" i="16"/>
  <c r="BN46" i="16"/>
  <c r="BN47" i="16"/>
  <c r="BN48" i="16"/>
  <c r="BN49" i="16"/>
  <c r="BN50" i="16"/>
  <c r="BN51" i="16"/>
  <c r="BN52" i="16"/>
  <c r="BN53" i="16"/>
  <c r="BN54" i="16"/>
  <c r="BN55" i="16"/>
  <c r="BN56" i="16"/>
  <c r="BN57" i="16"/>
  <c r="BN58" i="16"/>
  <c r="BN59" i="16"/>
  <c r="BN60" i="16"/>
  <c r="BN61" i="16"/>
  <c r="BN62" i="16"/>
  <c r="BN63" i="16"/>
  <c r="BN64" i="16"/>
  <c r="BN65" i="16"/>
  <c r="BN66" i="16"/>
  <c r="BN67" i="16"/>
  <c r="BN68" i="16"/>
  <c r="BN69" i="16"/>
  <c r="BN70" i="16"/>
  <c r="BN71" i="16"/>
  <c r="BN72" i="16"/>
  <c r="BN73" i="16"/>
  <c r="BN74" i="16"/>
  <c r="BN75" i="16"/>
  <c r="BN76" i="16"/>
  <c r="BN77" i="16"/>
  <c r="BN78" i="16"/>
  <c r="BN79" i="16"/>
  <c r="BN80" i="16"/>
  <c r="BN81" i="16"/>
  <c r="BN82" i="16"/>
  <c r="BN83" i="16"/>
  <c r="BN84" i="16"/>
  <c r="BN85" i="16"/>
  <c r="BN86" i="16"/>
  <c r="BN87" i="16"/>
  <c r="BN88" i="16"/>
  <c r="BN89" i="16"/>
  <c r="BN90" i="16"/>
  <c r="BN91" i="16"/>
  <c r="BN92" i="16"/>
  <c r="BN93" i="16"/>
  <c r="BN94" i="16"/>
  <c r="BN95" i="16"/>
  <c r="BN96" i="16"/>
  <c r="BN97" i="16"/>
  <c r="BN98" i="16"/>
  <c r="BN99" i="16"/>
  <c r="BN100" i="16"/>
  <c r="BN101" i="16"/>
  <c r="BN102" i="16"/>
  <c r="BN103" i="16"/>
  <c r="BN104" i="16"/>
  <c r="BN105" i="16"/>
  <c r="BN106" i="16"/>
  <c r="BN107" i="16"/>
  <c r="BN108" i="16"/>
  <c r="BN109" i="16"/>
  <c r="BN110" i="16"/>
  <c r="BN111" i="16"/>
  <c r="BN112" i="16"/>
  <c r="BN113" i="16"/>
  <c r="BN114" i="16"/>
  <c r="BN115" i="16"/>
  <c r="BN116" i="16"/>
  <c r="BN117" i="16"/>
  <c r="BN118" i="16"/>
  <c r="BN119" i="16"/>
  <c r="BN120" i="16"/>
  <c r="BN121" i="16"/>
  <c r="BN122" i="16"/>
  <c r="BN123" i="16"/>
  <c r="BN124" i="16"/>
  <c r="BN125" i="16"/>
  <c r="BN126" i="16"/>
  <c r="BN127" i="16"/>
  <c r="BN128" i="16"/>
  <c r="BN129" i="16"/>
  <c r="BN130" i="16"/>
  <c r="BN131" i="16"/>
  <c r="BN132" i="16"/>
  <c r="BN133" i="16"/>
  <c r="BN134" i="16"/>
  <c r="BN135" i="16"/>
  <c r="BN136" i="16"/>
  <c r="BN137" i="16"/>
  <c r="BN138" i="16"/>
  <c r="BN139" i="16"/>
  <c r="BN140" i="16"/>
  <c r="BN141" i="16"/>
  <c r="BN142" i="16"/>
  <c r="BN143" i="16"/>
  <c r="BN144" i="16"/>
  <c r="BN145" i="16"/>
  <c r="BN146" i="16"/>
  <c r="BN147" i="16"/>
  <c r="BN148" i="16"/>
  <c r="BN149" i="16"/>
  <c r="BN150" i="16"/>
  <c r="BN151" i="16"/>
  <c r="BN152" i="16"/>
  <c r="BN153" i="16"/>
  <c r="BN154" i="16"/>
  <c r="BN155" i="16"/>
  <c r="BN156" i="16"/>
  <c r="BN157" i="16"/>
  <c r="BN158" i="16"/>
  <c r="BN159" i="16"/>
  <c r="BN160" i="16"/>
  <c r="BN161" i="16"/>
  <c r="BN162" i="16"/>
  <c r="BN163" i="16"/>
  <c r="BN164" i="16"/>
  <c r="BN165" i="16"/>
  <c r="BN166" i="16"/>
  <c r="BN167" i="16"/>
  <c r="BN168" i="16"/>
  <c r="BN169" i="16"/>
  <c r="BN170" i="16"/>
  <c r="BN171" i="16"/>
  <c r="BN172" i="16"/>
  <c r="BN173" i="16"/>
  <c r="BN174" i="16"/>
  <c r="BN175" i="16"/>
  <c r="BN176" i="16"/>
  <c r="BM3" i="16"/>
  <c r="BM4" i="16"/>
  <c r="BM5" i="16"/>
  <c r="BM6" i="16"/>
  <c r="BM7" i="16"/>
  <c r="BM8" i="16"/>
  <c r="BM9" i="16"/>
  <c r="BM10" i="16"/>
  <c r="BM11" i="16"/>
  <c r="BM12" i="16"/>
  <c r="BM13" i="16"/>
  <c r="BM14" i="16"/>
  <c r="BM15" i="16"/>
  <c r="BM16" i="16"/>
  <c r="BM17" i="16"/>
  <c r="BM18" i="16"/>
  <c r="BM19" i="16"/>
  <c r="BM20" i="16"/>
  <c r="BM21" i="16"/>
  <c r="BM22" i="16"/>
  <c r="BM23" i="16"/>
  <c r="BM24" i="16"/>
  <c r="BM25" i="16"/>
  <c r="BM26" i="16"/>
  <c r="BM27" i="16"/>
  <c r="BM28" i="16"/>
  <c r="BM29" i="16"/>
  <c r="BM30" i="16"/>
  <c r="BM31" i="16"/>
  <c r="BM32" i="16"/>
  <c r="BM33" i="16"/>
  <c r="BM34" i="16"/>
  <c r="BM35" i="16"/>
  <c r="BM36" i="16"/>
  <c r="BM37" i="16"/>
  <c r="BM38" i="16"/>
  <c r="BM39" i="16"/>
  <c r="BM40" i="16"/>
  <c r="BM41" i="16"/>
  <c r="BM42" i="16"/>
  <c r="BM43" i="16"/>
  <c r="BM44" i="16"/>
  <c r="BM45" i="16"/>
  <c r="BM46" i="16"/>
  <c r="BM47" i="16"/>
  <c r="BM48" i="16"/>
  <c r="BM49" i="16"/>
  <c r="BM50" i="16"/>
  <c r="BM51" i="16"/>
  <c r="BM52" i="16"/>
  <c r="BM53" i="16"/>
  <c r="BM54" i="16"/>
  <c r="BM55" i="16"/>
  <c r="BM56" i="16"/>
  <c r="BM57" i="16"/>
  <c r="BM58" i="16"/>
  <c r="BM59" i="16"/>
  <c r="BM60" i="16"/>
  <c r="BM61" i="16"/>
  <c r="BM62" i="16"/>
  <c r="BM63" i="16"/>
  <c r="BM64" i="16"/>
  <c r="BM65" i="16"/>
  <c r="BM66" i="16"/>
  <c r="BM67" i="16"/>
  <c r="BM68" i="16"/>
  <c r="BM69" i="16"/>
  <c r="BM70" i="16"/>
  <c r="BM71" i="16"/>
  <c r="BM72" i="16"/>
  <c r="BM73" i="16"/>
  <c r="BM74" i="16"/>
  <c r="BM75" i="16"/>
  <c r="BM76" i="16"/>
  <c r="BM77" i="16"/>
  <c r="BM78" i="16"/>
  <c r="BM79" i="16"/>
  <c r="BM80" i="16"/>
  <c r="BM81" i="16"/>
  <c r="BM82" i="16"/>
  <c r="BM83" i="16"/>
  <c r="BM84" i="16"/>
  <c r="BM85" i="16"/>
  <c r="BM86" i="16"/>
  <c r="BM87" i="16"/>
  <c r="BM88" i="16"/>
  <c r="BM89" i="16"/>
  <c r="BM90" i="16"/>
  <c r="BM91" i="16"/>
  <c r="BM92" i="16"/>
  <c r="BM93" i="16"/>
  <c r="BM94" i="16"/>
  <c r="BM95" i="16"/>
  <c r="BM96" i="16"/>
  <c r="BM97" i="16"/>
  <c r="BM98" i="16"/>
  <c r="BM99" i="16"/>
  <c r="BM100" i="16"/>
  <c r="BM101" i="16"/>
  <c r="BM102" i="16"/>
  <c r="BM103" i="16"/>
  <c r="BM104" i="16"/>
  <c r="BM105" i="16"/>
  <c r="BM106" i="16"/>
  <c r="BM107" i="16"/>
  <c r="BM108" i="16"/>
  <c r="BM109" i="16"/>
  <c r="BM110" i="16"/>
  <c r="BM111" i="16"/>
  <c r="BM112" i="16"/>
  <c r="BM113" i="16"/>
  <c r="BM114" i="16"/>
  <c r="BM115" i="16"/>
  <c r="BM116" i="16"/>
  <c r="BM117" i="16"/>
  <c r="BM118" i="16"/>
  <c r="BM119" i="16"/>
  <c r="BM120" i="16"/>
  <c r="BM121" i="16"/>
  <c r="BM122" i="16"/>
  <c r="BM123" i="16"/>
  <c r="BM124" i="16"/>
  <c r="BM125" i="16"/>
  <c r="BM126" i="16"/>
  <c r="BM127" i="16"/>
  <c r="BM128" i="16"/>
  <c r="BM129" i="16"/>
  <c r="BM130" i="16"/>
  <c r="BM131" i="16"/>
  <c r="BM132" i="16"/>
  <c r="BM133" i="16"/>
  <c r="BM134" i="16"/>
  <c r="BM135" i="16"/>
  <c r="BM136" i="16"/>
  <c r="BM137" i="16"/>
  <c r="BM138" i="16"/>
  <c r="BM139" i="16"/>
  <c r="BM140" i="16"/>
  <c r="BM141" i="16"/>
  <c r="BM142" i="16"/>
  <c r="BM143" i="16"/>
  <c r="BM144" i="16"/>
  <c r="BM145" i="16"/>
  <c r="BM146" i="16"/>
  <c r="BM147" i="16"/>
  <c r="BM148" i="16"/>
  <c r="BM149" i="16"/>
  <c r="BM150" i="16"/>
  <c r="BM151" i="16"/>
  <c r="BM152" i="16"/>
  <c r="BM153" i="16"/>
  <c r="BM154" i="16"/>
  <c r="BM155" i="16"/>
  <c r="BM156" i="16"/>
  <c r="BM157" i="16"/>
  <c r="BM158" i="16"/>
  <c r="BM159" i="16"/>
  <c r="BM160" i="16"/>
  <c r="BM161" i="16"/>
  <c r="BM162" i="16"/>
  <c r="BM163" i="16"/>
  <c r="BM164" i="16"/>
  <c r="BM165" i="16"/>
  <c r="BM166" i="16"/>
  <c r="BM167" i="16"/>
  <c r="BM168" i="16"/>
  <c r="BM169" i="16"/>
  <c r="BM170" i="16"/>
  <c r="BM171" i="16"/>
  <c r="BM172" i="16"/>
  <c r="BM173" i="16"/>
  <c r="BM174" i="16"/>
  <c r="BM175" i="16"/>
  <c r="BM176" i="16"/>
  <c r="BL3" i="16"/>
  <c r="BL4" i="16"/>
  <c r="BL5" i="16"/>
  <c r="BL6" i="16"/>
  <c r="BL7" i="16"/>
  <c r="BL8" i="16"/>
  <c r="BL9" i="16"/>
  <c r="BL10" i="16"/>
  <c r="BL11" i="16"/>
  <c r="BL12" i="16"/>
  <c r="BL13" i="16"/>
  <c r="BL14" i="16"/>
  <c r="BL15" i="16"/>
  <c r="BL16" i="16"/>
  <c r="BL17" i="16"/>
  <c r="BL18" i="16"/>
  <c r="BL19" i="16"/>
  <c r="BL20" i="16"/>
  <c r="BL21" i="16"/>
  <c r="BL22" i="16"/>
  <c r="BL23" i="16"/>
  <c r="BL24" i="16"/>
  <c r="BL25" i="16"/>
  <c r="BL26" i="16"/>
  <c r="BL27" i="16"/>
  <c r="BL28" i="16"/>
  <c r="BL29" i="16"/>
  <c r="BL30" i="16"/>
  <c r="BL31" i="16"/>
  <c r="BL32" i="16"/>
  <c r="BL33" i="16"/>
  <c r="BL34" i="16"/>
  <c r="BL35" i="16"/>
  <c r="BL36" i="16"/>
  <c r="BL37" i="16"/>
  <c r="BL38" i="16"/>
  <c r="BL39" i="16"/>
  <c r="BL40" i="16"/>
  <c r="BL41" i="16"/>
  <c r="BL42" i="16"/>
  <c r="BL43" i="16"/>
  <c r="BL44" i="16"/>
  <c r="BL45" i="16"/>
  <c r="BL46" i="16"/>
  <c r="BL47" i="16"/>
  <c r="BL48" i="16"/>
  <c r="BL49" i="16"/>
  <c r="BL50" i="16"/>
  <c r="BL51" i="16"/>
  <c r="BL52" i="16"/>
  <c r="BL53" i="16"/>
  <c r="BL54" i="16"/>
  <c r="BL55" i="16"/>
  <c r="BL56" i="16"/>
  <c r="BL57" i="16"/>
  <c r="BL58" i="16"/>
  <c r="BL59" i="16"/>
  <c r="BL60" i="16"/>
  <c r="BL61" i="16"/>
  <c r="BL62" i="16"/>
  <c r="BL63" i="16"/>
  <c r="BL64" i="16"/>
  <c r="BL65" i="16"/>
  <c r="BL66" i="16"/>
  <c r="BL67" i="16"/>
  <c r="BL68" i="16"/>
  <c r="BL69" i="16"/>
  <c r="BL70" i="16"/>
  <c r="BL71" i="16"/>
  <c r="BL72" i="16"/>
  <c r="BL73" i="16"/>
  <c r="BL74" i="16"/>
  <c r="BL75" i="16"/>
  <c r="BL76" i="16"/>
  <c r="BL77" i="16"/>
  <c r="BL78" i="16"/>
  <c r="BL79" i="16"/>
  <c r="BL80" i="16"/>
  <c r="BL81" i="16"/>
  <c r="BL82" i="16"/>
  <c r="BL83" i="16"/>
  <c r="BL84" i="16"/>
  <c r="BL85" i="16"/>
  <c r="BL86" i="16"/>
  <c r="BL87" i="16"/>
  <c r="BL88" i="16"/>
  <c r="BL89" i="16"/>
  <c r="BL90" i="16"/>
  <c r="BL91" i="16"/>
  <c r="BL92" i="16"/>
  <c r="BL93" i="16"/>
  <c r="BL94" i="16"/>
  <c r="BL95" i="16"/>
  <c r="BL96" i="16"/>
  <c r="BL97" i="16"/>
  <c r="BL98" i="16"/>
  <c r="BL99" i="16"/>
  <c r="BL100" i="16"/>
  <c r="BL101" i="16"/>
  <c r="BL102" i="16"/>
  <c r="BL103" i="16"/>
  <c r="BL104" i="16"/>
  <c r="BL105" i="16"/>
  <c r="BL106" i="16"/>
  <c r="BL107" i="16"/>
  <c r="BL108" i="16"/>
  <c r="BL109" i="16"/>
  <c r="BL110" i="16"/>
  <c r="BL111" i="16"/>
  <c r="BL112" i="16"/>
  <c r="BL113" i="16"/>
  <c r="BL114" i="16"/>
  <c r="BL115" i="16"/>
  <c r="BL116" i="16"/>
  <c r="BL117" i="16"/>
  <c r="BL118" i="16"/>
  <c r="BL119" i="16"/>
  <c r="BL120" i="16"/>
  <c r="BL121" i="16"/>
  <c r="BL122" i="16"/>
  <c r="BL123" i="16"/>
  <c r="BL124" i="16"/>
  <c r="BL125" i="16"/>
  <c r="BL126" i="16"/>
  <c r="BL127" i="16"/>
  <c r="BL128" i="16"/>
  <c r="BL129" i="16"/>
  <c r="BL130" i="16"/>
  <c r="BL131" i="16"/>
  <c r="BL132" i="16"/>
  <c r="BL133" i="16"/>
  <c r="BL134" i="16"/>
  <c r="BL135" i="16"/>
  <c r="BL136" i="16"/>
  <c r="BL137" i="16"/>
  <c r="BL138" i="16"/>
  <c r="BL139" i="16"/>
  <c r="BL140" i="16"/>
  <c r="BL141" i="16"/>
  <c r="BL142" i="16"/>
  <c r="BL143" i="16"/>
  <c r="BL144" i="16"/>
  <c r="BL145" i="16"/>
  <c r="BL146" i="16"/>
  <c r="BL147" i="16"/>
  <c r="BL148" i="16"/>
  <c r="BL149" i="16"/>
  <c r="BL150" i="16"/>
  <c r="BL151" i="16"/>
  <c r="BL152" i="16"/>
  <c r="BL153" i="16"/>
  <c r="BL154" i="16"/>
  <c r="BL155" i="16"/>
  <c r="BL156" i="16"/>
  <c r="BL157" i="16"/>
  <c r="BL158" i="16"/>
  <c r="BL159" i="16"/>
  <c r="BL160" i="16"/>
  <c r="BL161" i="16"/>
  <c r="BL162" i="16"/>
  <c r="BL163" i="16"/>
  <c r="BL164" i="16"/>
  <c r="BL165" i="16"/>
  <c r="BL166" i="16"/>
  <c r="BL167" i="16"/>
  <c r="BL168" i="16"/>
  <c r="BL169" i="16"/>
  <c r="BL170" i="16"/>
  <c r="BL171" i="16"/>
  <c r="BL172" i="16"/>
  <c r="BL173" i="16"/>
  <c r="BL174" i="16"/>
  <c r="BL175" i="16"/>
  <c r="BL176" i="16"/>
  <c r="BK3" i="16"/>
  <c r="BK4" i="16"/>
  <c r="BK5" i="16"/>
  <c r="BK6" i="16"/>
  <c r="BK7" i="16"/>
  <c r="BK8" i="16"/>
  <c r="BK9" i="16"/>
  <c r="BK10" i="16"/>
  <c r="BK11" i="16"/>
  <c r="BK12" i="16"/>
  <c r="BK13" i="16"/>
  <c r="BK14" i="16"/>
  <c r="BK15" i="16"/>
  <c r="BK16" i="16"/>
  <c r="BK17" i="16"/>
  <c r="BK18" i="16"/>
  <c r="BK19" i="16"/>
  <c r="BK20" i="16"/>
  <c r="BK21" i="16"/>
  <c r="BK22" i="16"/>
  <c r="BK23" i="16"/>
  <c r="BK24" i="16"/>
  <c r="BK25" i="16"/>
  <c r="BK26" i="16"/>
  <c r="BK27" i="16"/>
  <c r="BK28" i="16"/>
  <c r="BK29" i="16"/>
  <c r="BK30" i="16"/>
  <c r="BK31" i="16"/>
  <c r="BK32" i="16"/>
  <c r="BK33" i="16"/>
  <c r="BK34" i="16"/>
  <c r="BK35" i="16"/>
  <c r="BK36" i="16"/>
  <c r="BK37" i="16"/>
  <c r="BK38" i="16"/>
  <c r="BK39" i="16"/>
  <c r="BK40" i="16"/>
  <c r="BK41" i="16"/>
  <c r="BK42" i="16"/>
  <c r="BK43" i="16"/>
  <c r="BK44" i="16"/>
  <c r="BK45" i="16"/>
  <c r="BK46" i="16"/>
  <c r="BK47" i="16"/>
  <c r="BK48" i="16"/>
  <c r="BK49" i="16"/>
  <c r="BK50" i="16"/>
  <c r="BK51" i="16"/>
  <c r="BK52" i="16"/>
  <c r="BK53" i="16"/>
  <c r="BK54" i="16"/>
  <c r="BK55" i="16"/>
  <c r="BK56" i="16"/>
  <c r="BK57" i="16"/>
  <c r="BK58" i="16"/>
  <c r="BK59" i="16"/>
  <c r="BK60" i="16"/>
  <c r="BK61" i="16"/>
  <c r="BK62" i="16"/>
  <c r="BK63" i="16"/>
  <c r="BK64" i="16"/>
  <c r="BK65" i="16"/>
  <c r="BK66" i="16"/>
  <c r="BK67" i="16"/>
  <c r="BK68" i="16"/>
  <c r="BK69" i="16"/>
  <c r="BK70" i="16"/>
  <c r="BK71" i="16"/>
  <c r="BK72" i="16"/>
  <c r="BK73" i="16"/>
  <c r="BK74" i="16"/>
  <c r="BK75" i="16"/>
  <c r="BK76" i="16"/>
  <c r="BK77" i="16"/>
  <c r="BK78" i="16"/>
  <c r="BK79" i="16"/>
  <c r="BK80" i="16"/>
  <c r="BK81" i="16"/>
  <c r="BK82" i="16"/>
  <c r="BK83" i="16"/>
  <c r="BK84" i="16"/>
  <c r="BK85" i="16"/>
  <c r="BK86" i="16"/>
  <c r="BK87" i="16"/>
  <c r="BK88" i="16"/>
  <c r="BK89" i="16"/>
  <c r="BK90" i="16"/>
  <c r="BK91" i="16"/>
  <c r="BK92" i="16"/>
  <c r="BK93" i="16"/>
  <c r="BK94" i="16"/>
  <c r="BK95" i="16"/>
  <c r="BK96" i="16"/>
  <c r="BK97" i="16"/>
  <c r="BK98" i="16"/>
  <c r="BK99" i="16"/>
  <c r="BK100" i="16"/>
  <c r="BK101" i="16"/>
  <c r="BK102" i="16"/>
  <c r="BK103" i="16"/>
  <c r="BK104" i="16"/>
  <c r="BK105" i="16"/>
  <c r="BK106" i="16"/>
  <c r="BK107" i="16"/>
  <c r="BK108" i="16"/>
  <c r="BK109" i="16"/>
  <c r="BK110" i="16"/>
  <c r="BK111" i="16"/>
  <c r="BK112" i="16"/>
  <c r="BK113" i="16"/>
  <c r="BK114" i="16"/>
  <c r="BK115" i="16"/>
  <c r="BK116" i="16"/>
  <c r="BK117" i="16"/>
  <c r="BK118" i="16"/>
  <c r="BK119" i="16"/>
  <c r="BK120" i="16"/>
  <c r="BK121" i="16"/>
  <c r="BK122" i="16"/>
  <c r="BK123" i="16"/>
  <c r="BK124" i="16"/>
  <c r="BK125" i="16"/>
  <c r="BK126" i="16"/>
  <c r="BK127" i="16"/>
  <c r="BK128" i="16"/>
  <c r="BK129" i="16"/>
  <c r="BK130" i="16"/>
  <c r="BK131" i="16"/>
  <c r="BK132" i="16"/>
  <c r="BK133" i="16"/>
  <c r="BK134" i="16"/>
  <c r="BK135" i="16"/>
  <c r="BK136" i="16"/>
  <c r="BK137" i="16"/>
  <c r="BK138" i="16"/>
  <c r="BK139" i="16"/>
  <c r="BK140" i="16"/>
  <c r="BK141" i="16"/>
  <c r="BK142" i="16"/>
  <c r="BK143" i="16"/>
  <c r="BK144" i="16"/>
  <c r="BK145" i="16"/>
  <c r="BK146" i="16"/>
  <c r="BK147" i="16"/>
  <c r="BK148" i="16"/>
  <c r="BK149" i="16"/>
  <c r="BK150" i="16"/>
  <c r="BK151" i="16"/>
  <c r="BK152" i="16"/>
  <c r="BK153" i="16"/>
  <c r="BK154" i="16"/>
  <c r="BK155" i="16"/>
  <c r="BK156" i="16"/>
  <c r="BK157" i="16"/>
  <c r="BK158" i="16"/>
  <c r="BK159" i="16"/>
  <c r="BK160" i="16"/>
  <c r="BK161" i="16"/>
  <c r="BK162" i="16"/>
  <c r="BK163" i="16"/>
  <c r="BK164" i="16"/>
  <c r="BK165" i="16"/>
  <c r="BK166" i="16"/>
  <c r="BK167" i="16"/>
  <c r="BK168" i="16"/>
  <c r="BK169" i="16"/>
  <c r="BK170" i="16"/>
  <c r="BK171" i="16"/>
  <c r="BK172" i="16"/>
  <c r="BK173" i="16"/>
  <c r="BK174" i="16"/>
  <c r="BK175" i="16"/>
  <c r="BK176" i="16"/>
  <c r="BJ3" i="16"/>
  <c r="BJ4" i="16"/>
  <c r="BJ5" i="16"/>
  <c r="BJ6" i="16"/>
  <c r="BJ7" i="16"/>
  <c r="BJ8" i="16"/>
  <c r="BJ9" i="16"/>
  <c r="BJ10" i="16"/>
  <c r="BJ11" i="16"/>
  <c r="BJ12" i="16"/>
  <c r="BJ13" i="16"/>
  <c r="BJ14" i="16"/>
  <c r="BJ15" i="16"/>
  <c r="BJ16" i="16"/>
  <c r="BJ17" i="16"/>
  <c r="BJ18" i="16"/>
  <c r="BJ19" i="16"/>
  <c r="BJ20" i="16"/>
  <c r="BJ21" i="16"/>
  <c r="BJ22" i="16"/>
  <c r="BJ23" i="16"/>
  <c r="BJ24" i="16"/>
  <c r="BJ25" i="16"/>
  <c r="BJ26" i="16"/>
  <c r="BJ27" i="16"/>
  <c r="BJ28" i="16"/>
  <c r="BJ29" i="16"/>
  <c r="BJ30" i="16"/>
  <c r="BJ31" i="16"/>
  <c r="BJ32" i="16"/>
  <c r="BJ33" i="16"/>
  <c r="BJ34" i="16"/>
  <c r="BJ35" i="16"/>
  <c r="BJ36" i="16"/>
  <c r="BJ37" i="16"/>
  <c r="BJ38" i="16"/>
  <c r="BJ39" i="16"/>
  <c r="BJ40" i="16"/>
  <c r="BJ41" i="16"/>
  <c r="BJ42" i="16"/>
  <c r="BJ43" i="16"/>
  <c r="BJ44" i="16"/>
  <c r="BJ45" i="16"/>
  <c r="BJ46" i="16"/>
  <c r="BJ47" i="16"/>
  <c r="BJ48" i="16"/>
  <c r="BJ49" i="16"/>
  <c r="BJ50" i="16"/>
  <c r="BJ51" i="16"/>
  <c r="BJ52" i="16"/>
  <c r="BJ53" i="16"/>
  <c r="BJ54" i="16"/>
  <c r="BJ55" i="16"/>
  <c r="BJ56" i="16"/>
  <c r="BJ57" i="16"/>
  <c r="BJ58" i="16"/>
  <c r="BJ59" i="16"/>
  <c r="BJ60" i="16"/>
  <c r="BJ61" i="16"/>
  <c r="BJ62" i="16"/>
  <c r="BJ63" i="16"/>
  <c r="BJ64" i="16"/>
  <c r="BJ65" i="16"/>
  <c r="BJ66" i="16"/>
  <c r="BJ67" i="16"/>
  <c r="BJ68" i="16"/>
  <c r="BJ69" i="16"/>
  <c r="BJ70" i="16"/>
  <c r="BJ71" i="16"/>
  <c r="BJ72" i="16"/>
  <c r="BJ73" i="16"/>
  <c r="BJ74" i="16"/>
  <c r="BJ75" i="16"/>
  <c r="BJ76" i="16"/>
  <c r="BJ77" i="16"/>
  <c r="BJ78" i="16"/>
  <c r="BJ79" i="16"/>
  <c r="BJ80" i="16"/>
  <c r="BJ81" i="16"/>
  <c r="BJ82" i="16"/>
  <c r="BJ83" i="16"/>
  <c r="BJ84" i="16"/>
  <c r="BJ85" i="16"/>
  <c r="BJ86" i="16"/>
  <c r="BJ87" i="16"/>
  <c r="BJ88" i="16"/>
  <c r="BJ89" i="16"/>
  <c r="BJ90" i="16"/>
  <c r="BJ91" i="16"/>
  <c r="BJ92" i="16"/>
  <c r="BJ93" i="16"/>
  <c r="BJ94" i="16"/>
  <c r="BJ95" i="16"/>
  <c r="BJ96" i="16"/>
  <c r="BJ97" i="16"/>
  <c r="BJ98" i="16"/>
  <c r="BJ99" i="16"/>
  <c r="BJ100" i="16"/>
  <c r="BJ101" i="16"/>
  <c r="BJ102" i="16"/>
  <c r="BJ103" i="16"/>
  <c r="BJ104" i="16"/>
  <c r="BJ105" i="16"/>
  <c r="BJ106" i="16"/>
  <c r="BJ107" i="16"/>
  <c r="BJ108" i="16"/>
  <c r="BJ109" i="16"/>
  <c r="BJ110" i="16"/>
  <c r="BJ111" i="16"/>
  <c r="BJ112" i="16"/>
  <c r="BJ113" i="16"/>
  <c r="BJ114" i="16"/>
  <c r="BJ115" i="16"/>
  <c r="BJ116" i="16"/>
  <c r="BJ117" i="16"/>
  <c r="BJ118" i="16"/>
  <c r="BJ119" i="16"/>
  <c r="BJ120" i="16"/>
  <c r="BJ121" i="16"/>
  <c r="BJ122" i="16"/>
  <c r="BJ123" i="16"/>
  <c r="BJ124" i="16"/>
  <c r="BJ125" i="16"/>
  <c r="BJ126" i="16"/>
  <c r="BJ127" i="16"/>
  <c r="BJ128" i="16"/>
  <c r="BJ129" i="16"/>
  <c r="BJ130" i="16"/>
  <c r="BJ131" i="16"/>
  <c r="BJ132" i="16"/>
  <c r="BJ133" i="16"/>
  <c r="BJ134" i="16"/>
  <c r="BJ135" i="16"/>
  <c r="BJ136" i="16"/>
  <c r="BJ137" i="16"/>
  <c r="BJ138" i="16"/>
  <c r="BJ139" i="16"/>
  <c r="BJ140" i="16"/>
  <c r="BJ141" i="16"/>
  <c r="BJ142" i="16"/>
  <c r="BJ143" i="16"/>
  <c r="BJ144" i="16"/>
  <c r="BJ145" i="16"/>
  <c r="BJ146" i="16"/>
  <c r="BJ147" i="16"/>
  <c r="BJ148" i="16"/>
  <c r="BJ149" i="16"/>
  <c r="BJ150" i="16"/>
  <c r="BJ151" i="16"/>
  <c r="BJ152" i="16"/>
  <c r="BJ153" i="16"/>
  <c r="BJ154" i="16"/>
  <c r="BJ155" i="16"/>
  <c r="BJ156" i="16"/>
  <c r="BJ157" i="16"/>
  <c r="BJ158" i="16"/>
  <c r="BJ159" i="16"/>
  <c r="BJ160" i="16"/>
  <c r="BJ161" i="16"/>
  <c r="BJ162" i="16"/>
  <c r="BJ163" i="16"/>
  <c r="BJ164" i="16"/>
  <c r="BJ165" i="16"/>
  <c r="BJ166" i="16"/>
  <c r="BJ167" i="16"/>
  <c r="BJ168" i="16"/>
  <c r="BJ169" i="16"/>
  <c r="BJ170" i="16"/>
  <c r="BJ171" i="16"/>
  <c r="BJ172" i="16"/>
  <c r="BJ173" i="16"/>
  <c r="BJ174" i="16"/>
  <c r="BJ175" i="16"/>
  <c r="BJ176" i="16"/>
  <c r="BI3" i="16"/>
  <c r="BI4" i="16"/>
  <c r="BI5" i="16"/>
  <c r="BI6" i="16"/>
  <c r="BI7" i="16"/>
  <c r="BI8" i="16"/>
  <c r="BI9" i="16"/>
  <c r="BI10" i="16"/>
  <c r="BI11" i="16"/>
  <c r="BI12" i="16"/>
  <c r="BI13" i="16"/>
  <c r="BI14" i="16"/>
  <c r="BI15" i="16"/>
  <c r="BI16" i="16"/>
  <c r="BI17" i="16"/>
  <c r="BI18" i="16"/>
  <c r="BI19" i="16"/>
  <c r="BI20" i="16"/>
  <c r="BI21" i="16"/>
  <c r="BI22" i="16"/>
  <c r="BI23" i="16"/>
  <c r="BI24" i="16"/>
  <c r="BI25" i="16"/>
  <c r="BI26" i="16"/>
  <c r="BI27" i="16"/>
  <c r="BI28" i="16"/>
  <c r="BI29" i="16"/>
  <c r="BI30" i="16"/>
  <c r="BI31" i="16"/>
  <c r="BI32" i="16"/>
  <c r="BI33" i="16"/>
  <c r="BI34" i="16"/>
  <c r="BI35" i="16"/>
  <c r="BI36" i="16"/>
  <c r="BI37" i="16"/>
  <c r="BI38" i="16"/>
  <c r="BI39" i="16"/>
  <c r="BI40" i="16"/>
  <c r="BI41" i="16"/>
  <c r="BI42" i="16"/>
  <c r="BI43" i="16"/>
  <c r="BI44" i="16"/>
  <c r="BI45" i="16"/>
  <c r="BI46" i="16"/>
  <c r="BI47" i="16"/>
  <c r="BI48" i="16"/>
  <c r="BI49" i="16"/>
  <c r="BI50" i="16"/>
  <c r="BI51" i="16"/>
  <c r="BI52" i="16"/>
  <c r="BI53" i="16"/>
  <c r="BI54" i="16"/>
  <c r="BI55" i="16"/>
  <c r="BI56" i="16"/>
  <c r="BI57" i="16"/>
  <c r="BI58" i="16"/>
  <c r="BI59" i="16"/>
  <c r="BI60" i="16"/>
  <c r="BI61" i="16"/>
  <c r="BI62" i="16"/>
  <c r="BI63" i="16"/>
  <c r="BI64" i="16"/>
  <c r="BI65" i="16"/>
  <c r="BI66" i="16"/>
  <c r="BI67" i="16"/>
  <c r="BI68" i="16"/>
  <c r="BI69" i="16"/>
  <c r="BI70" i="16"/>
  <c r="BI71" i="16"/>
  <c r="BI72" i="16"/>
  <c r="BI73" i="16"/>
  <c r="BI74" i="16"/>
  <c r="BI75" i="16"/>
  <c r="BI76" i="16"/>
  <c r="BI77" i="16"/>
  <c r="BI78" i="16"/>
  <c r="BI79" i="16"/>
  <c r="BI80" i="16"/>
  <c r="BI81" i="16"/>
  <c r="BI82" i="16"/>
  <c r="BI83" i="16"/>
  <c r="BI84" i="16"/>
  <c r="BI85" i="16"/>
  <c r="BI86" i="16"/>
  <c r="BI87" i="16"/>
  <c r="BI88" i="16"/>
  <c r="BI89" i="16"/>
  <c r="BI90" i="16"/>
  <c r="BI91" i="16"/>
  <c r="BI92" i="16"/>
  <c r="BI93" i="16"/>
  <c r="BI94" i="16"/>
  <c r="BI95" i="16"/>
  <c r="BI96" i="16"/>
  <c r="BI97" i="16"/>
  <c r="BI98" i="16"/>
  <c r="BI99" i="16"/>
  <c r="BI100" i="16"/>
  <c r="BI101" i="16"/>
  <c r="BI102" i="16"/>
  <c r="BI103" i="16"/>
  <c r="BI104" i="16"/>
  <c r="BI105" i="16"/>
  <c r="BI106" i="16"/>
  <c r="BI107" i="16"/>
  <c r="BI108" i="16"/>
  <c r="BI109" i="16"/>
  <c r="BI110" i="16"/>
  <c r="BI111" i="16"/>
  <c r="BI112" i="16"/>
  <c r="BI113" i="16"/>
  <c r="BI114" i="16"/>
  <c r="BI115" i="16"/>
  <c r="BI116" i="16"/>
  <c r="BI117" i="16"/>
  <c r="BI118" i="16"/>
  <c r="BI119" i="16"/>
  <c r="BI120" i="16"/>
  <c r="BI121" i="16"/>
  <c r="BI122" i="16"/>
  <c r="BI123" i="16"/>
  <c r="BI124" i="16"/>
  <c r="BI125" i="16"/>
  <c r="BI126" i="16"/>
  <c r="BI127" i="16"/>
  <c r="BI128" i="16"/>
  <c r="BI129" i="16"/>
  <c r="BI130" i="16"/>
  <c r="BI131" i="16"/>
  <c r="BI132" i="16"/>
  <c r="BI133" i="16"/>
  <c r="BI134" i="16"/>
  <c r="BI135" i="16"/>
  <c r="BI136" i="16"/>
  <c r="BI137" i="16"/>
  <c r="BI138" i="16"/>
  <c r="BI139" i="16"/>
  <c r="BI140" i="16"/>
  <c r="BI141" i="16"/>
  <c r="BI142" i="16"/>
  <c r="BI143" i="16"/>
  <c r="BI144" i="16"/>
  <c r="BI145" i="16"/>
  <c r="BI146" i="16"/>
  <c r="BI147" i="16"/>
  <c r="BI148" i="16"/>
  <c r="BI149" i="16"/>
  <c r="BI150" i="16"/>
  <c r="BI151" i="16"/>
  <c r="BI152" i="16"/>
  <c r="BI153" i="16"/>
  <c r="BI154" i="16"/>
  <c r="BI155" i="16"/>
  <c r="BI156" i="16"/>
  <c r="BI157" i="16"/>
  <c r="BI158" i="16"/>
  <c r="BI159" i="16"/>
  <c r="BI160" i="16"/>
  <c r="BI161" i="16"/>
  <c r="BI162" i="16"/>
  <c r="BI163" i="16"/>
  <c r="BI164" i="16"/>
  <c r="BI165" i="16"/>
  <c r="BI166" i="16"/>
  <c r="BI167" i="16"/>
  <c r="BI168" i="16"/>
  <c r="BI169" i="16"/>
  <c r="BI170" i="16"/>
  <c r="BI171" i="16"/>
  <c r="BI172" i="16"/>
  <c r="BI173" i="16"/>
  <c r="BI174" i="16"/>
  <c r="BI175" i="16"/>
  <c r="BI176" i="16"/>
  <c r="BH3" i="16"/>
  <c r="BH4" i="16"/>
  <c r="BH5" i="16"/>
  <c r="BH6" i="16"/>
  <c r="BH7" i="16"/>
  <c r="BH8" i="16"/>
  <c r="BH9" i="16"/>
  <c r="BH10" i="16"/>
  <c r="BH11" i="16"/>
  <c r="BH12" i="16"/>
  <c r="BH13" i="16"/>
  <c r="BH14" i="16"/>
  <c r="BH15" i="16"/>
  <c r="BH16" i="16"/>
  <c r="BH17" i="16"/>
  <c r="BH18" i="16"/>
  <c r="BH19" i="16"/>
  <c r="BH20" i="16"/>
  <c r="BH21" i="16"/>
  <c r="BH22" i="16"/>
  <c r="BH23" i="16"/>
  <c r="BH24" i="16"/>
  <c r="BH25" i="16"/>
  <c r="BH26" i="16"/>
  <c r="BH27" i="16"/>
  <c r="BH28" i="16"/>
  <c r="BH29" i="16"/>
  <c r="BH30" i="16"/>
  <c r="BH31" i="16"/>
  <c r="BH32" i="16"/>
  <c r="BH33" i="16"/>
  <c r="BH34" i="16"/>
  <c r="BH35" i="16"/>
  <c r="BH36" i="16"/>
  <c r="BH37" i="16"/>
  <c r="BH38" i="16"/>
  <c r="BH39" i="16"/>
  <c r="BH40" i="16"/>
  <c r="BH41" i="16"/>
  <c r="BH42" i="16"/>
  <c r="BH43" i="16"/>
  <c r="BH44" i="16"/>
  <c r="BH45" i="16"/>
  <c r="BH46" i="16"/>
  <c r="BH47" i="16"/>
  <c r="BH48" i="16"/>
  <c r="BH49" i="16"/>
  <c r="BH50" i="16"/>
  <c r="BH51" i="16"/>
  <c r="BH52" i="16"/>
  <c r="BH53" i="16"/>
  <c r="BH54" i="16"/>
  <c r="BH55" i="16"/>
  <c r="BH56" i="16"/>
  <c r="BH57" i="16"/>
  <c r="BH58" i="16"/>
  <c r="BH59" i="16"/>
  <c r="BH60" i="16"/>
  <c r="BH61" i="16"/>
  <c r="BH62" i="16"/>
  <c r="BH63" i="16"/>
  <c r="BH64" i="16"/>
  <c r="BH65" i="16"/>
  <c r="BH66" i="16"/>
  <c r="BH67" i="16"/>
  <c r="BH68" i="16"/>
  <c r="BH69" i="16"/>
  <c r="BH70" i="16"/>
  <c r="BH71" i="16"/>
  <c r="BH72" i="16"/>
  <c r="BH73" i="16"/>
  <c r="BH74" i="16"/>
  <c r="BH75" i="16"/>
  <c r="BH76" i="16"/>
  <c r="BH77" i="16"/>
  <c r="BH78" i="16"/>
  <c r="BH79" i="16"/>
  <c r="BH80" i="16"/>
  <c r="BH81" i="16"/>
  <c r="BH82" i="16"/>
  <c r="BH83" i="16"/>
  <c r="BH84" i="16"/>
  <c r="BH85" i="16"/>
  <c r="BH86" i="16"/>
  <c r="BH87" i="16"/>
  <c r="BH88" i="16"/>
  <c r="BH89" i="16"/>
  <c r="BH90" i="16"/>
  <c r="BH91" i="16"/>
  <c r="BH92" i="16"/>
  <c r="BH93" i="16"/>
  <c r="BH94" i="16"/>
  <c r="BH95" i="16"/>
  <c r="BH96" i="16"/>
  <c r="BH97" i="16"/>
  <c r="BH98" i="16"/>
  <c r="BH99" i="16"/>
  <c r="BH100" i="16"/>
  <c r="BH101" i="16"/>
  <c r="BH102" i="16"/>
  <c r="BH103" i="16"/>
  <c r="BH104" i="16"/>
  <c r="BH105" i="16"/>
  <c r="BH106" i="16"/>
  <c r="BH107" i="16"/>
  <c r="BH108" i="16"/>
  <c r="BH109" i="16"/>
  <c r="BH110" i="16"/>
  <c r="BH111" i="16"/>
  <c r="BH112" i="16"/>
  <c r="BH113" i="16"/>
  <c r="BH114" i="16"/>
  <c r="BH115" i="16"/>
  <c r="BH116" i="16"/>
  <c r="BH117" i="16"/>
  <c r="BH118" i="16"/>
  <c r="BH119" i="16"/>
  <c r="BH120" i="16"/>
  <c r="BH121" i="16"/>
  <c r="BH122" i="16"/>
  <c r="BH123" i="16"/>
  <c r="BH124" i="16"/>
  <c r="BH125" i="16"/>
  <c r="BH126" i="16"/>
  <c r="BH127" i="16"/>
  <c r="BH128" i="16"/>
  <c r="BH129" i="16"/>
  <c r="BH130" i="16"/>
  <c r="BH131" i="16"/>
  <c r="BH132" i="16"/>
  <c r="BH133" i="16"/>
  <c r="BH134" i="16"/>
  <c r="BH135" i="16"/>
  <c r="BH136" i="16"/>
  <c r="BH137" i="16"/>
  <c r="BH138" i="16"/>
  <c r="BH139" i="16"/>
  <c r="BH140" i="16"/>
  <c r="BH141" i="16"/>
  <c r="BH142" i="16"/>
  <c r="BH143" i="16"/>
  <c r="BH144" i="16"/>
  <c r="BH145" i="16"/>
  <c r="BH146" i="16"/>
  <c r="BH147" i="16"/>
  <c r="BH148" i="16"/>
  <c r="BH149" i="16"/>
  <c r="BH150" i="16"/>
  <c r="BH151" i="16"/>
  <c r="BH152" i="16"/>
  <c r="BH153" i="16"/>
  <c r="BH154" i="16"/>
  <c r="BH155" i="16"/>
  <c r="BH156" i="16"/>
  <c r="BH157" i="16"/>
  <c r="BH158" i="16"/>
  <c r="BH159" i="16"/>
  <c r="BH160" i="16"/>
  <c r="BH161" i="16"/>
  <c r="BH162" i="16"/>
  <c r="BH163" i="16"/>
  <c r="BH164" i="16"/>
  <c r="BH165" i="16"/>
  <c r="BH166" i="16"/>
  <c r="BH167" i="16"/>
  <c r="BH168" i="16"/>
  <c r="BH169" i="16"/>
  <c r="BH170" i="16"/>
  <c r="BH171" i="16"/>
  <c r="BH172" i="16"/>
  <c r="BH173" i="16"/>
  <c r="BH174" i="16"/>
  <c r="BH175" i="16"/>
  <c r="BH176" i="16"/>
  <c r="BG3" i="16"/>
  <c r="BG4" i="16"/>
  <c r="BG5" i="16"/>
  <c r="BG6" i="16"/>
  <c r="BG7" i="16"/>
  <c r="BG8" i="16"/>
  <c r="BG9" i="16"/>
  <c r="BG10" i="16"/>
  <c r="BG11" i="16"/>
  <c r="BG12" i="16"/>
  <c r="BG13" i="16"/>
  <c r="BG14" i="16"/>
  <c r="BG15" i="16"/>
  <c r="BG16" i="16"/>
  <c r="BG17" i="16"/>
  <c r="BG18" i="16"/>
  <c r="BG19" i="16"/>
  <c r="BG20" i="16"/>
  <c r="BG21" i="16"/>
  <c r="BG22" i="16"/>
  <c r="BG23" i="16"/>
  <c r="BG24" i="16"/>
  <c r="BG25" i="16"/>
  <c r="BG26" i="16"/>
  <c r="BG27" i="16"/>
  <c r="BG28" i="16"/>
  <c r="BG29" i="16"/>
  <c r="BG30" i="16"/>
  <c r="BG31" i="16"/>
  <c r="BG32" i="16"/>
  <c r="BG33" i="16"/>
  <c r="BG34" i="16"/>
  <c r="BG35" i="16"/>
  <c r="BG36" i="16"/>
  <c r="BG37" i="16"/>
  <c r="BG38" i="16"/>
  <c r="BG39" i="16"/>
  <c r="BG40" i="16"/>
  <c r="BG41" i="16"/>
  <c r="BG42" i="16"/>
  <c r="BG43" i="16"/>
  <c r="BG44" i="16"/>
  <c r="BG45" i="16"/>
  <c r="BG46" i="16"/>
  <c r="BG47" i="16"/>
  <c r="BG48" i="16"/>
  <c r="BG49" i="16"/>
  <c r="BG50" i="16"/>
  <c r="BG51" i="16"/>
  <c r="BG52" i="16"/>
  <c r="BG53" i="16"/>
  <c r="BG54" i="16"/>
  <c r="BG55" i="16"/>
  <c r="BG56" i="16"/>
  <c r="BG57" i="16"/>
  <c r="BG58" i="16"/>
  <c r="BG59" i="16"/>
  <c r="BG60" i="16"/>
  <c r="BG61" i="16"/>
  <c r="BG62" i="16"/>
  <c r="BG63" i="16"/>
  <c r="BG64" i="16"/>
  <c r="BG65" i="16"/>
  <c r="BG66" i="16"/>
  <c r="BG67" i="16"/>
  <c r="BG68" i="16"/>
  <c r="BG69" i="16"/>
  <c r="BG70" i="16"/>
  <c r="BG71" i="16"/>
  <c r="BG72" i="16"/>
  <c r="BG73" i="16"/>
  <c r="BG74" i="16"/>
  <c r="BG75" i="16"/>
  <c r="BG76" i="16"/>
  <c r="BG77" i="16"/>
  <c r="BG78" i="16"/>
  <c r="BG79" i="16"/>
  <c r="BG80" i="16"/>
  <c r="BG81" i="16"/>
  <c r="BG82" i="16"/>
  <c r="BG83" i="16"/>
  <c r="BG84" i="16"/>
  <c r="BG85" i="16"/>
  <c r="BG86" i="16"/>
  <c r="BG87" i="16"/>
  <c r="BG88" i="16"/>
  <c r="BG89" i="16"/>
  <c r="BG90" i="16"/>
  <c r="BG91" i="16"/>
  <c r="BG92" i="16"/>
  <c r="BG93" i="16"/>
  <c r="BG94" i="16"/>
  <c r="BG95" i="16"/>
  <c r="BG96" i="16"/>
  <c r="BG97" i="16"/>
  <c r="BG98" i="16"/>
  <c r="BG99" i="16"/>
  <c r="BG100" i="16"/>
  <c r="BG101" i="16"/>
  <c r="BG102" i="16"/>
  <c r="BG103" i="16"/>
  <c r="BG104" i="16"/>
  <c r="BG105" i="16"/>
  <c r="BG106" i="16"/>
  <c r="BG107" i="16"/>
  <c r="BG108" i="16"/>
  <c r="BG109" i="16"/>
  <c r="BG110" i="16"/>
  <c r="BG111" i="16"/>
  <c r="BG112" i="16"/>
  <c r="BG113" i="16"/>
  <c r="BG114" i="16"/>
  <c r="BG115" i="16"/>
  <c r="BG116" i="16"/>
  <c r="BG117" i="16"/>
  <c r="BG118" i="16"/>
  <c r="BG119" i="16"/>
  <c r="BG120" i="16"/>
  <c r="BG121" i="16"/>
  <c r="BG122" i="16"/>
  <c r="BG123" i="16"/>
  <c r="BG124" i="16"/>
  <c r="BG125" i="16"/>
  <c r="BG126" i="16"/>
  <c r="BG127" i="16"/>
  <c r="BG128" i="16"/>
  <c r="BG129" i="16"/>
  <c r="BG130" i="16"/>
  <c r="BG131" i="16"/>
  <c r="BG132" i="16"/>
  <c r="BG133" i="16"/>
  <c r="BG134" i="16"/>
  <c r="BG135" i="16"/>
  <c r="BG136" i="16"/>
  <c r="BG137" i="16"/>
  <c r="BG138" i="16"/>
  <c r="BG139" i="16"/>
  <c r="BG140" i="16"/>
  <c r="BG141" i="16"/>
  <c r="BG142" i="16"/>
  <c r="BG143" i="16"/>
  <c r="BG144" i="16"/>
  <c r="BG145" i="16"/>
  <c r="BG146" i="16"/>
  <c r="BG147" i="16"/>
  <c r="BG148" i="16"/>
  <c r="BG149" i="16"/>
  <c r="BG150" i="16"/>
  <c r="BG151" i="16"/>
  <c r="BG152" i="16"/>
  <c r="BG153" i="16"/>
  <c r="BG154" i="16"/>
  <c r="BG155" i="16"/>
  <c r="BG156" i="16"/>
  <c r="BG157" i="16"/>
  <c r="BG158" i="16"/>
  <c r="BG159" i="16"/>
  <c r="BG160" i="16"/>
  <c r="BG161" i="16"/>
  <c r="BG162" i="16"/>
  <c r="BG163" i="16"/>
  <c r="BG164" i="16"/>
  <c r="BG165" i="16"/>
  <c r="BG166" i="16"/>
  <c r="BG167" i="16"/>
  <c r="BG168" i="16"/>
  <c r="BG169" i="16"/>
  <c r="BG170" i="16"/>
  <c r="BG171" i="16"/>
  <c r="BG172" i="16"/>
  <c r="BG173" i="16"/>
  <c r="BG174" i="16"/>
  <c r="BG175" i="16"/>
  <c r="BG176" i="16"/>
  <c r="BF3" i="16"/>
  <c r="BF4" i="16"/>
  <c r="BF5" i="16"/>
  <c r="BF6" i="16"/>
  <c r="BF7" i="16"/>
  <c r="BF8" i="16"/>
  <c r="BF9" i="16"/>
  <c r="BF10" i="16"/>
  <c r="BF11" i="16"/>
  <c r="BF12" i="16"/>
  <c r="BF13" i="16"/>
  <c r="BF14" i="16"/>
  <c r="BF15" i="16"/>
  <c r="BF16" i="16"/>
  <c r="BF17" i="16"/>
  <c r="BF18" i="16"/>
  <c r="BF19" i="16"/>
  <c r="BF20" i="16"/>
  <c r="BF21" i="16"/>
  <c r="BF22" i="16"/>
  <c r="BF23" i="16"/>
  <c r="BF24" i="16"/>
  <c r="BF25" i="16"/>
  <c r="BF26" i="16"/>
  <c r="BF27" i="16"/>
  <c r="BF28" i="16"/>
  <c r="BF29" i="16"/>
  <c r="BF30" i="16"/>
  <c r="BF31" i="16"/>
  <c r="BF32" i="16"/>
  <c r="BF33" i="16"/>
  <c r="BF34" i="16"/>
  <c r="BF35" i="16"/>
  <c r="BF36" i="16"/>
  <c r="BF37" i="16"/>
  <c r="BF38" i="16"/>
  <c r="BF39" i="16"/>
  <c r="BF40" i="16"/>
  <c r="BF41" i="16"/>
  <c r="BF42" i="16"/>
  <c r="BF43" i="16"/>
  <c r="BF44" i="16"/>
  <c r="BF45" i="16"/>
  <c r="BF46" i="16"/>
  <c r="BF47" i="16"/>
  <c r="BF48" i="16"/>
  <c r="BF49" i="16"/>
  <c r="BF50" i="16"/>
  <c r="BF51" i="16"/>
  <c r="BF52" i="16"/>
  <c r="BF53" i="16"/>
  <c r="BF54" i="16"/>
  <c r="BF55" i="16"/>
  <c r="BF56" i="16"/>
  <c r="BF57" i="16"/>
  <c r="BF58" i="16"/>
  <c r="BF59" i="16"/>
  <c r="BF60" i="16"/>
  <c r="BF61" i="16"/>
  <c r="BF62" i="16"/>
  <c r="BF63" i="16"/>
  <c r="BF64" i="16"/>
  <c r="BF65" i="16"/>
  <c r="BF66" i="16"/>
  <c r="BF67" i="16"/>
  <c r="BF68" i="16"/>
  <c r="BF69" i="16"/>
  <c r="BF70" i="16"/>
  <c r="BF71" i="16"/>
  <c r="BF72" i="16"/>
  <c r="BF73" i="16"/>
  <c r="BF74" i="16"/>
  <c r="BF75" i="16"/>
  <c r="BF76" i="16"/>
  <c r="BF77" i="16"/>
  <c r="BF78" i="16"/>
  <c r="BF79" i="16"/>
  <c r="BF80" i="16"/>
  <c r="BF81" i="16"/>
  <c r="BF82" i="16"/>
  <c r="BF83" i="16"/>
  <c r="BF84" i="16"/>
  <c r="BF85" i="16"/>
  <c r="BF86" i="16"/>
  <c r="BF87" i="16"/>
  <c r="BF88" i="16"/>
  <c r="BF89" i="16"/>
  <c r="BF90" i="16"/>
  <c r="BF91" i="16"/>
  <c r="BF92" i="16"/>
  <c r="BF93" i="16"/>
  <c r="BF94" i="16"/>
  <c r="BF95" i="16"/>
  <c r="BF96" i="16"/>
  <c r="BF97" i="16"/>
  <c r="BF98" i="16"/>
  <c r="BF99" i="16"/>
  <c r="BF100" i="16"/>
  <c r="BF101" i="16"/>
  <c r="BF102" i="16"/>
  <c r="BF103" i="16"/>
  <c r="BF104" i="16"/>
  <c r="BF105" i="16"/>
  <c r="BF106" i="16"/>
  <c r="BF107" i="16"/>
  <c r="BF108" i="16"/>
  <c r="BF109" i="16"/>
  <c r="BF110" i="16"/>
  <c r="BF111" i="16"/>
  <c r="BF112" i="16"/>
  <c r="BF113" i="16"/>
  <c r="BF114" i="16"/>
  <c r="BF115" i="16"/>
  <c r="BF116" i="16"/>
  <c r="BF117" i="16"/>
  <c r="BF118" i="16"/>
  <c r="BF119" i="16"/>
  <c r="BF120" i="16"/>
  <c r="BF121" i="16"/>
  <c r="BF122" i="16"/>
  <c r="BF123" i="16"/>
  <c r="BF124" i="16"/>
  <c r="BF125" i="16"/>
  <c r="BF126" i="16"/>
  <c r="BF127" i="16"/>
  <c r="BF128" i="16"/>
  <c r="BF129" i="16"/>
  <c r="BF130" i="16"/>
  <c r="BF131" i="16"/>
  <c r="BF132" i="16"/>
  <c r="BF133" i="16"/>
  <c r="BF134" i="16"/>
  <c r="BF135" i="16"/>
  <c r="BF136" i="16"/>
  <c r="BF137" i="16"/>
  <c r="BF138" i="16"/>
  <c r="BF139" i="16"/>
  <c r="BF140" i="16"/>
  <c r="BF141" i="16"/>
  <c r="BF142" i="16"/>
  <c r="BF143" i="16"/>
  <c r="BF144" i="16"/>
  <c r="BF145" i="16"/>
  <c r="BF146" i="16"/>
  <c r="BF147" i="16"/>
  <c r="BF148" i="16"/>
  <c r="BF149" i="16"/>
  <c r="BF150" i="16"/>
  <c r="BF151" i="16"/>
  <c r="BF152" i="16"/>
  <c r="BF153" i="16"/>
  <c r="BF154" i="16"/>
  <c r="BF155" i="16"/>
  <c r="BF156" i="16"/>
  <c r="BF157" i="16"/>
  <c r="BF158" i="16"/>
  <c r="BF159" i="16"/>
  <c r="BF160" i="16"/>
  <c r="BF161" i="16"/>
  <c r="BF162" i="16"/>
  <c r="BF163" i="16"/>
  <c r="BF164" i="16"/>
  <c r="BF165" i="16"/>
  <c r="BF166" i="16"/>
  <c r="BF167" i="16"/>
  <c r="BF168" i="16"/>
  <c r="BF169" i="16"/>
  <c r="BF170" i="16"/>
  <c r="BF171" i="16"/>
  <c r="BF172" i="16"/>
  <c r="BF173" i="16"/>
  <c r="BF174" i="16"/>
  <c r="BF175" i="16"/>
  <c r="BF176" i="16"/>
  <c r="BE3" i="16"/>
  <c r="BE4" i="16"/>
  <c r="BE5" i="16"/>
  <c r="BE6" i="16"/>
  <c r="BE7" i="16"/>
  <c r="BE8" i="16"/>
  <c r="BE9" i="16"/>
  <c r="BE10" i="16"/>
  <c r="BE11" i="16"/>
  <c r="BE12" i="16"/>
  <c r="BE13" i="16"/>
  <c r="BE14" i="16"/>
  <c r="BE15" i="16"/>
  <c r="BE16" i="16"/>
  <c r="BE17" i="16"/>
  <c r="BE18" i="16"/>
  <c r="BE19" i="16"/>
  <c r="BE20" i="16"/>
  <c r="BE21" i="16"/>
  <c r="BE22" i="16"/>
  <c r="BE23" i="16"/>
  <c r="BE24" i="16"/>
  <c r="BE25" i="16"/>
  <c r="BE26" i="16"/>
  <c r="BE27" i="16"/>
  <c r="BE28" i="16"/>
  <c r="BE29" i="16"/>
  <c r="BE30" i="16"/>
  <c r="BE31" i="16"/>
  <c r="BE32" i="16"/>
  <c r="BE33" i="16"/>
  <c r="BE34" i="16"/>
  <c r="BE35" i="16"/>
  <c r="BE36" i="16"/>
  <c r="BE37" i="16"/>
  <c r="BE38" i="16"/>
  <c r="BE39" i="16"/>
  <c r="BE40" i="16"/>
  <c r="BE41" i="16"/>
  <c r="BE42" i="16"/>
  <c r="BE43" i="16"/>
  <c r="BE44" i="16"/>
  <c r="BE45" i="16"/>
  <c r="BE46" i="16"/>
  <c r="BE47" i="16"/>
  <c r="BE48" i="16"/>
  <c r="BE49" i="16"/>
  <c r="BE50" i="16"/>
  <c r="BE51" i="16"/>
  <c r="BE52" i="16"/>
  <c r="BE53" i="16"/>
  <c r="BE54" i="16"/>
  <c r="BE55" i="16"/>
  <c r="BE56" i="16"/>
  <c r="BE57" i="16"/>
  <c r="BE58" i="16"/>
  <c r="BE59" i="16"/>
  <c r="BE60" i="16"/>
  <c r="BE61" i="16"/>
  <c r="BE62" i="16"/>
  <c r="BE63" i="16"/>
  <c r="BE64" i="16"/>
  <c r="BE65" i="16"/>
  <c r="BE66" i="16"/>
  <c r="BE67" i="16"/>
  <c r="BE68" i="16"/>
  <c r="BE69" i="16"/>
  <c r="BE70" i="16"/>
  <c r="BE71" i="16"/>
  <c r="BE72" i="16"/>
  <c r="BE73" i="16"/>
  <c r="BE74" i="16"/>
  <c r="BE75" i="16"/>
  <c r="BE76" i="16"/>
  <c r="BE77" i="16"/>
  <c r="BE78" i="16"/>
  <c r="BE79" i="16"/>
  <c r="BE80" i="16"/>
  <c r="BE81" i="16"/>
  <c r="BE82" i="16"/>
  <c r="BE83" i="16"/>
  <c r="BE84" i="16"/>
  <c r="BE85" i="16"/>
  <c r="BE86" i="16"/>
  <c r="BE87" i="16"/>
  <c r="BE88" i="16"/>
  <c r="BE89" i="16"/>
  <c r="BE90" i="16"/>
  <c r="BE91" i="16"/>
  <c r="BE92" i="16"/>
  <c r="BE93" i="16"/>
  <c r="BE94" i="16"/>
  <c r="BE95" i="16"/>
  <c r="BE96" i="16"/>
  <c r="BE97" i="16"/>
  <c r="BE98" i="16"/>
  <c r="BE99" i="16"/>
  <c r="BE100" i="16"/>
  <c r="BE101" i="16"/>
  <c r="BE102" i="16"/>
  <c r="BE103" i="16"/>
  <c r="BE104" i="16"/>
  <c r="BE105" i="16"/>
  <c r="BE106" i="16"/>
  <c r="BE107" i="16"/>
  <c r="BE108" i="16"/>
  <c r="BE109" i="16"/>
  <c r="BE110" i="16"/>
  <c r="BE111" i="16"/>
  <c r="BE112" i="16"/>
  <c r="BE113" i="16"/>
  <c r="BE114" i="16"/>
  <c r="BE115" i="16"/>
  <c r="BE116" i="16"/>
  <c r="BE117" i="16"/>
  <c r="BE118" i="16"/>
  <c r="BE119" i="16"/>
  <c r="BE120" i="16"/>
  <c r="BE121" i="16"/>
  <c r="BE122" i="16"/>
  <c r="BE123" i="16"/>
  <c r="BE124" i="16"/>
  <c r="BE125" i="16"/>
  <c r="BE126" i="16"/>
  <c r="BE127" i="16"/>
  <c r="BE128" i="16"/>
  <c r="BE129" i="16"/>
  <c r="BE130" i="16"/>
  <c r="BE131" i="16"/>
  <c r="BE132" i="16"/>
  <c r="BE133" i="16"/>
  <c r="BE134" i="16"/>
  <c r="BE135" i="16"/>
  <c r="BE136" i="16"/>
  <c r="BE137" i="16"/>
  <c r="BE138" i="16"/>
  <c r="BE139" i="16"/>
  <c r="BE140" i="16"/>
  <c r="BE141" i="16"/>
  <c r="BE142" i="16"/>
  <c r="BE143" i="16"/>
  <c r="BE144" i="16"/>
  <c r="BE145" i="16"/>
  <c r="BE146" i="16"/>
  <c r="BE147" i="16"/>
  <c r="BE148" i="16"/>
  <c r="BE149" i="16"/>
  <c r="BE150" i="16"/>
  <c r="BE151" i="16"/>
  <c r="BE152" i="16"/>
  <c r="BE153" i="16"/>
  <c r="BE154" i="16"/>
  <c r="BE155" i="16"/>
  <c r="BE156" i="16"/>
  <c r="BE157" i="16"/>
  <c r="BE158" i="16"/>
  <c r="BE159" i="16"/>
  <c r="BE160" i="16"/>
  <c r="BE161" i="16"/>
  <c r="BE162" i="16"/>
  <c r="BE163" i="16"/>
  <c r="BE164" i="16"/>
  <c r="BE165" i="16"/>
  <c r="BE166" i="16"/>
  <c r="BE167" i="16"/>
  <c r="BE168" i="16"/>
  <c r="BE169" i="16"/>
  <c r="BE170" i="16"/>
  <c r="BE171" i="16"/>
  <c r="BE172" i="16"/>
  <c r="BE173" i="16"/>
  <c r="BE174" i="16"/>
  <c r="BE175" i="16"/>
  <c r="BE176" i="16"/>
  <c r="BD3" i="16"/>
  <c r="BD4" i="16"/>
  <c r="BD5" i="16"/>
  <c r="BD6" i="16"/>
  <c r="BD7" i="16"/>
  <c r="BD8" i="16"/>
  <c r="BD9" i="16"/>
  <c r="BD10" i="16"/>
  <c r="BD11" i="16"/>
  <c r="BD12" i="16"/>
  <c r="BD13" i="16"/>
  <c r="BD14" i="16"/>
  <c r="BD15" i="16"/>
  <c r="BD16" i="16"/>
  <c r="BD17" i="16"/>
  <c r="BD18" i="16"/>
  <c r="BD19" i="16"/>
  <c r="BD20" i="16"/>
  <c r="BD21" i="16"/>
  <c r="BD22" i="16"/>
  <c r="BD23" i="16"/>
  <c r="BD24" i="16"/>
  <c r="BD25" i="16"/>
  <c r="BD26" i="16"/>
  <c r="BD27" i="16"/>
  <c r="BD28" i="16"/>
  <c r="BD29" i="16"/>
  <c r="BD30" i="16"/>
  <c r="BD31" i="16"/>
  <c r="BD32" i="16"/>
  <c r="BD33" i="16"/>
  <c r="BD34" i="16"/>
  <c r="BD35" i="16"/>
  <c r="BD36" i="16"/>
  <c r="BD37" i="16"/>
  <c r="BD38" i="16"/>
  <c r="BD39" i="16"/>
  <c r="BD40" i="16"/>
  <c r="BD41" i="16"/>
  <c r="BD42" i="16"/>
  <c r="BD43" i="16"/>
  <c r="BD44" i="16"/>
  <c r="BD45" i="16"/>
  <c r="BD46" i="16"/>
  <c r="BD47" i="16"/>
  <c r="BD48" i="16"/>
  <c r="BD49" i="16"/>
  <c r="BD50" i="16"/>
  <c r="BD51" i="16"/>
  <c r="BD52" i="16"/>
  <c r="BD53" i="16"/>
  <c r="BD54" i="16"/>
  <c r="BD55" i="16"/>
  <c r="BD56" i="16"/>
  <c r="BD57" i="16"/>
  <c r="BD58" i="16"/>
  <c r="BD59" i="16"/>
  <c r="BD60" i="16"/>
  <c r="BD61" i="16"/>
  <c r="BD62" i="16"/>
  <c r="BD63" i="16"/>
  <c r="BD64" i="16"/>
  <c r="BD65" i="16"/>
  <c r="BD66" i="16"/>
  <c r="BD67" i="16"/>
  <c r="BD68" i="16"/>
  <c r="BD69" i="16"/>
  <c r="BD70" i="16"/>
  <c r="BD71" i="16"/>
  <c r="BD72" i="16"/>
  <c r="BD73" i="16"/>
  <c r="BD74" i="16"/>
  <c r="BD75" i="16"/>
  <c r="BD76" i="16"/>
  <c r="BD77" i="16"/>
  <c r="BD78" i="16"/>
  <c r="BD79" i="16"/>
  <c r="BD80" i="16"/>
  <c r="BD81" i="16"/>
  <c r="BD82" i="16"/>
  <c r="BD83" i="16"/>
  <c r="BD84" i="16"/>
  <c r="BD85" i="16"/>
  <c r="BD86" i="16"/>
  <c r="BD87" i="16"/>
  <c r="BD88" i="16"/>
  <c r="BD89" i="16"/>
  <c r="BD90" i="16"/>
  <c r="BD91" i="16"/>
  <c r="BD92" i="16"/>
  <c r="BD93" i="16"/>
  <c r="BD94" i="16"/>
  <c r="BD95" i="16"/>
  <c r="BD96" i="16"/>
  <c r="BD97" i="16"/>
  <c r="BD98" i="16"/>
  <c r="BD99" i="16"/>
  <c r="BD100" i="16"/>
  <c r="BD101" i="16"/>
  <c r="BD102" i="16"/>
  <c r="BD103" i="16"/>
  <c r="BD104" i="16"/>
  <c r="BD105" i="16"/>
  <c r="BD106" i="16"/>
  <c r="BD107" i="16"/>
  <c r="BD108" i="16"/>
  <c r="BD109" i="16"/>
  <c r="BD110" i="16"/>
  <c r="BD111" i="16"/>
  <c r="BD112" i="16"/>
  <c r="BD113" i="16"/>
  <c r="BD114" i="16"/>
  <c r="BD115" i="16"/>
  <c r="BD116" i="16"/>
  <c r="BD117" i="16"/>
  <c r="BD118" i="16"/>
  <c r="BD119" i="16"/>
  <c r="BD120" i="16"/>
  <c r="BD121" i="16"/>
  <c r="BD122" i="16"/>
  <c r="BD123" i="16"/>
  <c r="BD124" i="16"/>
  <c r="BD125" i="16"/>
  <c r="BD126" i="16"/>
  <c r="BD127" i="16"/>
  <c r="BD128" i="16"/>
  <c r="BD129" i="16"/>
  <c r="BD130" i="16"/>
  <c r="BD131" i="16"/>
  <c r="BD132" i="16"/>
  <c r="BD133" i="16"/>
  <c r="BD134" i="16"/>
  <c r="BD135" i="16"/>
  <c r="BD136" i="16"/>
  <c r="BD137" i="16"/>
  <c r="BD138" i="16"/>
  <c r="BD139" i="16"/>
  <c r="BD140" i="16"/>
  <c r="BD141" i="16"/>
  <c r="BD142" i="16"/>
  <c r="BD143" i="16"/>
  <c r="BD144" i="16"/>
  <c r="BD145" i="16"/>
  <c r="BD146" i="16"/>
  <c r="BD147" i="16"/>
  <c r="BD148" i="16"/>
  <c r="BD149" i="16"/>
  <c r="BD150" i="16"/>
  <c r="BD151" i="16"/>
  <c r="BD152" i="16"/>
  <c r="BD153" i="16"/>
  <c r="BD154" i="16"/>
  <c r="BD155" i="16"/>
  <c r="BD156" i="16"/>
  <c r="BD157" i="16"/>
  <c r="BD158" i="16"/>
  <c r="BD159" i="16"/>
  <c r="BD160" i="16"/>
  <c r="BD161" i="16"/>
  <c r="BD162" i="16"/>
  <c r="BD163" i="16"/>
  <c r="BD164" i="16"/>
  <c r="BD165" i="16"/>
  <c r="BD166" i="16"/>
  <c r="BD167" i="16"/>
  <c r="BD168" i="16"/>
  <c r="BD169" i="16"/>
  <c r="BD170" i="16"/>
  <c r="BD171" i="16"/>
  <c r="BD172" i="16"/>
  <c r="BD173" i="16"/>
  <c r="BD174" i="16"/>
  <c r="BD175" i="16"/>
  <c r="BD176" i="16"/>
  <c r="BC3" i="16"/>
  <c r="BC4" i="16"/>
  <c r="BC5" i="16"/>
  <c r="BC6" i="16"/>
  <c r="BC7" i="16"/>
  <c r="BC8" i="16"/>
  <c r="BC9" i="16"/>
  <c r="BC10" i="16"/>
  <c r="BC11" i="16"/>
  <c r="BC12" i="16"/>
  <c r="BC13" i="16"/>
  <c r="BC14" i="16"/>
  <c r="BC15" i="16"/>
  <c r="BC16" i="16"/>
  <c r="BC17" i="16"/>
  <c r="BC18" i="16"/>
  <c r="BC19" i="16"/>
  <c r="BC20" i="16"/>
  <c r="BC21" i="16"/>
  <c r="BC22" i="16"/>
  <c r="BC23" i="16"/>
  <c r="BC24" i="16"/>
  <c r="BC25" i="16"/>
  <c r="BC26" i="16"/>
  <c r="BC27" i="16"/>
  <c r="BC28" i="16"/>
  <c r="BC29" i="16"/>
  <c r="BC30" i="16"/>
  <c r="BC31" i="16"/>
  <c r="BC32" i="16"/>
  <c r="BC33" i="16"/>
  <c r="BC34" i="16"/>
  <c r="BC35" i="16"/>
  <c r="BC36" i="16"/>
  <c r="BC37" i="16"/>
  <c r="BC38" i="16"/>
  <c r="BC39" i="16"/>
  <c r="BC40" i="16"/>
  <c r="BC41" i="16"/>
  <c r="BC42" i="16"/>
  <c r="BC43" i="16"/>
  <c r="BC44" i="16"/>
  <c r="BC45" i="16"/>
  <c r="BC46" i="16"/>
  <c r="BC47" i="16"/>
  <c r="BC48" i="16"/>
  <c r="BC49" i="16"/>
  <c r="BC50" i="16"/>
  <c r="BC51" i="16"/>
  <c r="BC52" i="16"/>
  <c r="BC53" i="16"/>
  <c r="BC54" i="16"/>
  <c r="BC55" i="16"/>
  <c r="BC56" i="16"/>
  <c r="BC57" i="16"/>
  <c r="BC58" i="16"/>
  <c r="BC59" i="16"/>
  <c r="BC60" i="16"/>
  <c r="BC61" i="16"/>
  <c r="BC62" i="16"/>
  <c r="BC63" i="16"/>
  <c r="BC64" i="16"/>
  <c r="BC65" i="16"/>
  <c r="BC66" i="16"/>
  <c r="BC67" i="16"/>
  <c r="BC68" i="16"/>
  <c r="BC69" i="16"/>
  <c r="BC70" i="16"/>
  <c r="BC71" i="16"/>
  <c r="BC72" i="16"/>
  <c r="BC73" i="16"/>
  <c r="BC74" i="16"/>
  <c r="BC75" i="16"/>
  <c r="BC76" i="16"/>
  <c r="BC77" i="16"/>
  <c r="BC78" i="16"/>
  <c r="BC79" i="16"/>
  <c r="BC80" i="16"/>
  <c r="BC81" i="16"/>
  <c r="BC82" i="16"/>
  <c r="BC83" i="16"/>
  <c r="BC84" i="16"/>
  <c r="BC85" i="16"/>
  <c r="BC86" i="16"/>
  <c r="BC87" i="16"/>
  <c r="BC88" i="16"/>
  <c r="BC89" i="16"/>
  <c r="BC90" i="16"/>
  <c r="BC91" i="16"/>
  <c r="BC92" i="16"/>
  <c r="BC93" i="16"/>
  <c r="BC94" i="16"/>
  <c r="BC95" i="16"/>
  <c r="BC96" i="16"/>
  <c r="BC97" i="16"/>
  <c r="BC98" i="16"/>
  <c r="BC99" i="16"/>
  <c r="BC100" i="16"/>
  <c r="BC101" i="16"/>
  <c r="BC102" i="16"/>
  <c r="BC103" i="16"/>
  <c r="BC104" i="16"/>
  <c r="BC105" i="16"/>
  <c r="BC106" i="16"/>
  <c r="BC107" i="16"/>
  <c r="BC108" i="16"/>
  <c r="BC109" i="16"/>
  <c r="BC110" i="16"/>
  <c r="BC111" i="16"/>
  <c r="BC112" i="16"/>
  <c r="BC113" i="16"/>
  <c r="BC114" i="16"/>
  <c r="BC115" i="16"/>
  <c r="BC116" i="16"/>
  <c r="BC117" i="16"/>
  <c r="BC118" i="16"/>
  <c r="BC119" i="16"/>
  <c r="BC120" i="16"/>
  <c r="BC121" i="16"/>
  <c r="BC122" i="16"/>
  <c r="BC123" i="16"/>
  <c r="BC124" i="16"/>
  <c r="BC125" i="16"/>
  <c r="BC126" i="16"/>
  <c r="BC127" i="16"/>
  <c r="BC128" i="16"/>
  <c r="BC129" i="16"/>
  <c r="BC130" i="16"/>
  <c r="BC131" i="16"/>
  <c r="BC132" i="16"/>
  <c r="BC133" i="16"/>
  <c r="BC134" i="16"/>
  <c r="BC135" i="16"/>
  <c r="BC136" i="16"/>
  <c r="BC137" i="16"/>
  <c r="BC138" i="16"/>
  <c r="BC139" i="16"/>
  <c r="BC140" i="16"/>
  <c r="BC141" i="16"/>
  <c r="BC142" i="16"/>
  <c r="BC143" i="16"/>
  <c r="BC144" i="16"/>
  <c r="BC145" i="16"/>
  <c r="BC146" i="16"/>
  <c r="BC147" i="16"/>
  <c r="BC148" i="16"/>
  <c r="BC149" i="16"/>
  <c r="BC150" i="16"/>
  <c r="BC151" i="16"/>
  <c r="BC152" i="16"/>
  <c r="BC153" i="16"/>
  <c r="BC154" i="16"/>
  <c r="BC155" i="16"/>
  <c r="BC156" i="16"/>
  <c r="BC157" i="16"/>
  <c r="BC158" i="16"/>
  <c r="BC159" i="16"/>
  <c r="BC160" i="16"/>
  <c r="BC161" i="16"/>
  <c r="BC162" i="16"/>
  <c r="BC163" i="16"/>
  <c r="BC164" i="16"/>
  <c r="BC165" i="16"/>
  <c r="BC166" i="16"/>
  <c r="BC167" i="16"/>
  <c r="BC168" i="16"/>
  <c r="BC169" i="16"/>
  <c r="BC170" i="16"/>
  <c r="BC171" i="16"/>
  <c r="BC172" i="16"/>
  <c r="BC173" i="16"/>
  <c r="BC174" i="16"/>
  <c r="BC175" i="16"/>
  <c r="BC176" i="16"/>
  <c r="BB3" i="16"/>
  <c r="BB4" i="16"/>
  <c r="BB5" i="16"/>
  <c r="BB6" i="16"/>
  <c r="BB7" i="16"/>
  <c r="BB8" i="16"/>
  <c r="BB9" i="16"/>
  <c r="BB10" i="16"/>
  <c r="BB11" i="16"/>
  <c r="BB12" i="16"/>
  <c r="BB13" i="16"/>
  <c r="BB14" i="16"/>
  <c r="BB15" i="16"/>
  <c r="BB16" i="16"/>
  <c r="BB17" i="16"/>
  <c r="BB18" i="16"/>
  <c r="BB19" i="16"/>
  <c r="BB20" i="16"/>
  <c r="BB21" i="16"/>
  <c r="BB22" i="16"/>
  <c r="BB23" i="16"/>
  <c r="BB24" i="16"/>
  <c r="BB25" i="16"/>
  <c r="BB26" i="16"/>
  <c r="BB27" i="16"/>
  <c r="BB28" i="16"/>
  <c r="BB29" i="16"/>
  <c r="BB30" i="16"/>
  <c r="BB31" i="16"/>
  <c r="BB32" i="16"/>
  <c r="BB33" i="16"/>
  <c r="BB34" i="16"/>
  <c r="BB35" i="16"/>
  <c r="BB36" i="16"/>
  <c r="BB37" i="16"/>
  <c r="BB38" i="16"/>
  <c r="BB39" i="16"/>
  <c r="BB40" i="16"/>
  <c r="BB41" i="16"/>
  <c r="BB42" i="16"/>
  <c r="BB43" i="16"/>
  <c r="BB44" i="16"/>
  <c r="BB45" i="16"/>
  <c r="BB46" i="16"/>
  <c r="BB47" i="16"/>
  <c r="BB48" i="16"/>
  <c r="BB49" i="16"/>
  <c r="BB50" i="16"/>
  <c r="BB51" i="16"/>
  <c r="BB52" i="16"/>
  <c r="BB53" i="16"/>
  <c r="BB54" i="16"/>
  <c r="BB55" i="16"/>
  <c r="BB56" i="16"/>
  <c r="BB57" i="16"/>
  <c r="BB58" i="16"/>
  <c r="BB59" i="16"/>
  <c r="BB60" i="16"/>
  <c r="BB61" i="16"/>
  <c r="BB62" i="16"/>
  <c r="BB63" i="16"/>
  <c r="BB64" i="16"/>
  <c r="BB65" i="16"/>
  <c r="BB66" i="16"/>
  <c r="BB67" i="16"/>
  <c r="BB68" i="16"/>
  <c r="BB69" i="16"/>
  <c r="BB70" i="16"/>
  <c r="BB71" i="16"/>
  <c r="BB72" i="16"/>
  <c r="BB73" i="16"/>
  <c r="BB74" i="16"/>
  <c r="BB75" i="16"/>
  <c r="BB76" i="16"/>
  <c r="BB77" i="16"/>
  <c r="BB78" i="16"/>
  <c r="BB79" i="16"/>
  <c r="BB80" i="16"/>
  <c r="BB81" i="16"/>
  <c r="BB82" i="16"/>
  <c r="BB83" i="16"/>
  <c r="BB84" i="16"/>
  <c r="BB85" i="16"/>
  <c r="BB86" i="16"/>
  <c r="BB87" i="16"/>
  <c r="BB88" i="16"/>
  <c r="BB89" i="16"/>
  <c r="BB90" i="16"/>
  <c r="BB91" i="16"/>
  <c r="BB92" i="16"/>
  <c r="BB93" i="16"/>
  <c r="BB94" i="16"/>
  <c r="BB95" i="16"/>
  <c r="BB96" i="16"/>
  <c r="BB97" i="16"/>
  <c r="BB98" i="16"/>
  <c r="BB99" i="16"/>
  <c r="BB100" i="16"/>
  <c r="BB101" i="16"/>
  <c r="BB102" i="16"/>
  <c r="BB103" i="16"/>
  <c r="BB104" i="16"/>
  <c r="BB105" i="16"/>
  <c r="BB106" i="16"/>
  <c r="BB107" i="16"/>
  <c r="BB108" i="16"/>
  <c r="BB109" i="16"/>
  <c r="BB110" i="16"/>
  <c r="BB111" i="16"/>
  <c r="BB112" i="16"/>
  <c r="BB113" i="16"/>
  <c r="BB114" i="16"/>
  <c r="BB115" i="16"/>
  <c r="BB116" i="16"/>
  <c r="BB117" i="16"/>
  <c r="BB118" i="16"/>
  <c r="BB119" i="16"/>
  <c r="BB120" i="16"/>
  <c r="BB121" i="16"/>
  <c r="BB122" i="16"/>
  <c r="BB123" i="16"/>
  <c r="BB124" i="16"/>
  <c r="BB125" i="16"/>
  <c r="BB126" i="16"/>
  <c r="BB127" i="16"/>
  <c r="BB128" i="16"/>
  <c r="BB129" i="16"/>
  <c r="BB130" i="16"/>
  <c r="BB131" i="16"/>
  <c r="BB132" i="16"/>
  <c r="BB133" i="16"/>
  <c r="BB134" i="16"/>
  <c r="BB135" i="16"/>
  <c r="BB136" i="16"/>
  <c r="BB137" i="16"/>
  <c r="BB138" i="16"/>
  <c r="BB139" i="16"/>
  <c r="BB140" i="16"/>
  <c r="BB141" i="16"/>
  <c r="BB142" i="16"/>
  <c r="BB143" i="16"/>
  <c r="BB144" i="16"/>
  <c r="BB145" i="16"/>
  <c r="BB146" i="16"/>
  <c r="BB147" i="16"/>
  <c r="BB148" i="16"/>
  <c r="BB149" i="16"/>
  <c r="BB150" i="16"/>
  <c r="BB151" i="16"/>
  <c r="BB152" i="16"/>
  <c r="BB153" i="16"/>
  <c r="BB154" i="16"/>
  <c r="BB155" i="16"/>
  <c r="BB156" i="16"/>
  <c r="BB157" i="16"/>
  <c r="BB158" i="16"/>
  <c r="BB159" i="16"/>
  <c r="BB160" i="16"/>
  <c r="BB161" i="16"/>
  <c r="BB162" i="16"/>
  <c r="BB163" i="16"/>
  <c r="BB164" i="16"/>
  <c r="BB165" i="16"/>
  <c r="BB166" i="16"/>
  <c r="BB167" i="16"/>
  <c r="BB168" i="16"/>
  <c r="BB169" i="16"/>
  <c r="BB170" i="16"/>
  <c r="BB171" i="16"/>
  <c r="BB172" i="16"/>
  <c r="BB173" i="16"/>
  <c r="BB174" i="16"/>
  <c r="BB175" i="16"/>
  <c r="BB176" i="16"/>
  <c r="BA3" i="16"/>
  <c r="BA4" i="16"/>
  <c r="BA5" i="16"/>
  <c r="BA6" i="16"/>
  <c r="BA7" i="16"/>
  <c r="BA8" i="16"/>
  <c r="BA9" i="16"/>
  <c r="BA10" i="16"/>
  <c r="BA11" i="16"/>
  <c r="BA12" i="16"/>
  <c r="BA13" i="16"/>
  <c r="BA14" i="16"/>
  <c r="BA15" i="16"/>
  <c r="BA16" i="16"/>
  <c r="BA17" i="16"/>
  <c r="BA18" i="16"/>
  <c r="BA19" i="16"/>
  <c r="BA20" i="16"/>
  <c r="BA21" i="16"/>
  <c r="BA22" i="16"/>
  <c r="BA23" i="16"/>
  <c r="BA24" i="16"/>
  <c r="BA25" i="16"/>
  <c r="BA26" i="16"/>
  <c r="BA27" i="16"/>
  <c r="BA28" i="16"/>
  <c r="BA29" i="16"/>
  <c r="BA30" i="16"/>
  <c r="BA31" i="16"/>
  <c r="BA32" i="16"/>
  <c r="BA33" i="16"/>
  <c r="BA34" i="16"/>
  <c r="BA35" i="16"/>
  <c r="BA36" i="16"/>
  <c r="BA37" i="16"/>
  <c r="BA38" i="16"/>
  <c r="BA39" i="16"/>
  <c r="BA40" i="16"/>
  <c r="BA41" i="16"/>
  <c r="BA42" i="16"/>
  <c r="BA43" i="16"/>
  <c r="BA44" i="16"/>
  <c r="BA45" i="16"/>
  <c r="BA46" i="16"/>
  <c r="BA47" i="16"/>
  <c r="BA48" i="16"/>
  <c r="BA49" i="16"/>
  <c r="BA50" i="16"/>
  <c r="BA51" i="16"/>
  <c r="BA52" i="16"/>
  <c r="BA53" i="16"/>
  <c r="BA54" i="16"/>
  <c r="BA55" i="16"/>
  <c r="BA56" i="16"/>
  <c r="BA57" i="16"/>
  <c r="BA58" i="16"/>
  <c r="BA59" i="16"/>
  <c r="BA60" i="16"/>
  <c r="BA61" i="16"/>
  <c r="BA62" i="16"/>
  <c r="BA63" i="16"/>
  <c r="BA64" i="16"/>
  <c r="BA65" i="16"/>
  <c r="BA66" i="16"/>
  <c r="BA67" i="16"/>
  <c r="BA68" i="16"/>
  <c r="BA69" i="16"/>
  <c r="BA70" i="16"/>
  <c r="BA71" i="16"/>
  <c r="BA72" i="16"/>
  <c r="BA73" i="16"/>
  <c r="BA74" i="16"/>
  <c r="BA75" i="16"/>
  <c r="BA76" i="16"/>
  <c r="BA77" i="16"/>
  <c r="BA78" i="16"/>
  <c r="BA79" i="16"/>
  <c r="BA80" i="16"/>
  <c r="BA81" i="16"/>
  <c r="BA82" i="16"/>
  <c r="BA83" i="16"/>
  <c r="BA84" i="16"/>
  <c r="BA85" i="16"/>
  <c r="BA86" i="16"/>
  <c r="BA87" i="16"/>
  <c r="BA88" i="16"/>
  <c r="BA89" i="16"/>
  <c r="BA90" i="16"/>
  <c r="BA91" i="16"/>
  <c r="BA92" i="16"/>
  <c r="BA93" i="16"/>
  <c r="BA94" i="16"/>
  <c r="BA95" i="16"/>
  <c r="BA96" i="16"/>
  <c r="BA97" i="16"/>
  <c r="BA98" i="16"/>
  <c r="BA99" i="16"/>
  <c r="BA100" i="16"/>
  <c r="BA101" i="16"/>
  <c r="BA102" i="16"/>
  <c r="BA103" i="16"/>
  <c r="BA104" i="16"/>
  <c r="BA105" i="16"/>
  <c r="BA106" i="16"/>
  <c r="BA107" i="16"/>
  <c r="BA108" i="16"/>
  <c r="BA109" i="16"/>
  <c r="BA110" i="16"/>
  <c r="BA111" i="16"/>
  <c r="BA112" i="16"/>
  <c r="BA113" i="16"/>
  <c r="BA114" i="16"/>
  <c r="BA115" i="16"/>
  <c r="BA116" i="16"/>
  <c r="BA117" i="16"/>
  <c r="BA118" i="16"/>
  <c r="BA119" i="16"/>
  <c r="BA120" i="16"/>
  <c r="BA121" i="16"/>
  <c r="BA122" i="16"/>
  <c r="BA123" i="16"/>
  <c r="BA124" i="16"/>
  <c r="BA125" i="16"/>
  <c r="BA126" i="16"/>
  <c r="BA127" i="16"/>
  <c r="BA128" i="16"/>
  <c r="BA129" i="16"/>
  <c r="BA130" i="16"/>
  <c r="BA131" i="16"/>
  <c r="BA132" i="16"/>
  <c r="BA133" i="16"/>
  <c r="BA134" i="16"/>
  <c r="BA135" i="16"/>
  <c r="BA136" i="16"/>
  <c r="BA137" i="16"/>
  <c r="BA138" i="16"/>
  <c r="BA139" i="16"/>
  <c r="BA140" i="16"/>
  <c r="BA141" i="16"/>
  <c r="BA142" i="16"/>
  <c r="BA143" i="16"/>
  <c r="BA144" i="16"/>
  <c r="BA145" i="16"/>
  <c r="BA146" i="16"/>
  <c r="BA147" i="16"/>
  <c r="BA148" i="16"/>
  <c r="BA149" i="16"/>
  <c r="BA150" i="16"/>
  <c r="BA151" i="16"/>
  <c r="BA152" i="16"/>
  <c r="BA153" i="16"/>
  <c r="BA154" i="16"/>
  <c r="BA155" i="16"/>
  <c r="BA156" i="16"/>
  <c r="BA157" i="16"/>
  <c r="BA158" i="16"/>
  <c r="BA159" i="16"/>
  <c r="BA160" i="16"/>
  <c r="BA161" i="16"/>
  <c r="BA162" i="16"/>
  <c r="BA163" i="16"/>
  <c r="BA164" i="16"/>
  <c r="BA165" i="16"/>
  <c r="BA166" i="16"/>
  <c r="BA167" i="16"/>
  <c r="BA168" i="16"/>
  <c r="BA169" i="16"/>
  <c r="BA170" i="16"/>
  <c r="BA171" i="16"/>
  <c r="BA172" i="16"/>
  <c r="BA173" i="16"/>
  <c r="BA174" i="16"/>
  <c r="BA175" i="16"/>
  <c r="BA176" i="16"/>
  <c r="AZ3" i="16"/>
  <c r="AZ4" i="16"/>
  <c r="AZ5" i="16"/>
  <c r="AZ6" i="16"/>
  <c r="AZ7" i="16"/>
  <c r="AZ8" i="16"/>
  <c r="AZ9" i="16"/>
  <c r="AZ10" i="16"/>
  <c r="AZ11" i="16"/>
  <c r="AZ12" i="16"/>
  <c r="AZ13" i="16"/>
  <c r="AZ14" i="16"/>
  <c r="AZ15" i="16"/>
  <c r="AZ16" i="16"/>
  <c r="AZ17" i="16"/>
  <c r="AZ18" i="16"/>
  <c r="AZ19" i="16"/>
  <c r="AZ20" i="16"/>
  <c r="AZ21" i="16"/>
  <c r="AZ22" i="16"/>
  <c r="AZ23" i="16"/>
  <c r="AZ24" i="16"/>
  <c r="AZ25" i="16"/>
  <c r="AZ26" i="16"/>
  <c r="AZ27" i="16"/>
  <c r="AZ28" i="16"/>
  <c r="AZ29" i="16"/>
  <c r="AZ30" i="16"/>
  <c r="AZ31" i="16"/>
  <c r="AZ32" i="16"/>
  <c r="AZ33" i="16"/>
  <c r="AZ34" i="16"/>
  <c r="AZ35" i="16"/>
  <c r="AZ36" i="16"/>
  <c r="AZ37" i="16"/>
  <c r="AZ38" i="16"/>
  <c r="AZ39" i="16"/>
  <c r="AZ40" i="16"/>
  <c r="AZ41" i="16"/>
  <c r="AZ42" i="16"/>
  <c r="AZ43" i="16"/>
  <c r="AZ44" i="16"/>
  <c r="AZ45" i="16"/>
  <c r="AZ46" i="16"/>
  <c r="AZ47" i="16"/>
  <c r="AZ48" i="16"/>
  <c r="AZ49" i="16"/>
  <c r="AZ50" i="16"/>
  <c r="AZ51" i="16"/>
  <c r="AZ52" i="16"/>
  <c r="AZ53" i="16"/>
  <c r="AZ54" i="16"/>
  <c r="AZ55" i="16"/>
  <c r="AZ56" i="16"/>
  <c r="AZ57" i="16"/>
  <c r="AZ58" i="16"/>
  <c r="AZ59" i="16"/>
  <c r="AZ60" i="16"/>
  <c r="AZ61" i="16"/>
  <c r="AZ62" i="16"/>
  <c r="AZ63" i="16"/>
  <c r="AZ64" i="16"/>
  <c r="AZ65" i="16"/>
  <c r="AZ66" i="16"/>
  <c r="AZ67" i="16"/>
  <c r="AZ68" i="16"/>
  <c r="AZ69" i="16"/>
  <c r="AZ70" i="16"/>
  <c r="AZ71" i="16"/>
  <c r="AZ72" i="16"/>
  <c r="AZ73" i="16"/>
  <c r="AZ74" i="16"/>
  <c r="AZ75" i="16"/>
  <c r="AZ76" i="16"/>
  <c r="AZ77" i="16"/>
  <c r="AZ78" i="16"/>
  <c r="AZ79" i="16"/>
  <c r="AZ80" i="16"/>
  <c r="AZ81" i="16"/>
  <c r="AZ82" i="16"/>
  <c r="AZ83" i="16"/>
  <c r="AZ84" i="16"/>
  <c r="AZ85" i="16"/>
  <c r="AZ86" i="16"/>
  <c r="AZ87" i="16"/>
  <c r="AZ88" i="16"/>
  <c r="AZ89" i="16"/>
  <c r="AZ90" i="16"/>
  <c r="AZ91" i="16"/>
  <c r="AZ92" i="16"/>
  <c r="AZ93" i="16"/>
  <c r="AZ94" i="16"/>
  <c r="AZ95" i="16"/>
  <c r="AZ96" i="16"/>
  <c r="AZ97" i="16"/>
  <c r="AZ98" i="16"/>
  <c r="AZ99" i="16"/>
  <c r="AZ100" i="16"/>
  <c r="AZ101" i="16"/>
  <c r="AZ102" i="16"/>
  <c r="AZ103" i="16"/>
  <c r="AZ104" i="16"/>
  <c r="AZ105" i="16"/>
  <c r="AZ106" i="16"/>
  <c r="AZ107" i="16"/>
  <c r="AZ108" i="16"/>
  <c r="AZ109" i="16"/>
  <c r="AZ110" i="16"/>
  <c r="AZ111" i="16"/>
  <c r="AZ112" i="16"/>
  <c r="AZ113" i="16"/>
  <c r="AZ114" i="16"/>
  <c r="AZ115" i="16"/>
  <c r="AZ116" i="16"/>
  <c r="AZ117" i="16"/>
  <c r="AZ118" i="16"/>
  <c r="AZ119" i="16"/>
  <c r="AZ120" i="16"/>
  <c r="AZ121" i="16"/>
  <c r="AZ122" i="16"/>
  <c r="AZ123" i="16"/>
  <c r="AZ124" i="16"/>
  <c r="AZ125" i="16"/>
  <c r="AZ126" i="16"/>
  <c r="AZ127" i="16"/>
  <c r="AZ128" i="16"/>
  <c r="AZ129" i="16"/>
  <c r="AZ130" i="16"/>
  <c r="AZ131" i="16"/>
  <c r="AZ132" i="16"/>
  <c r="AZ133" i="16"/>
  <c r="AZ134" i="16"/>
  <c r="AZ135" i="16"/>
  <c r="AZ136" i="16"/>
  <c r="AZ137" i="16"/>
  <c r="AZ138" i="16"/>
  <c r="AZ139" i="16"/>
  <c r="AZ140" i="16"/>
  <c r="AZ141" i="16"/>
  <c r="AZ142" i="16"/>
  <c r="AZ143" i="16"/>
  <c r="AZ144" i="16"/>
  <c r="AZ145" i="16"/>
  <c r="AZ146" i="16"/>
  <c r="AZ147" i="16"/>
  <c r="AZ148" i="16"/>
  <c r="AZ149" i="16"/>
  <c r="AZ150" i="16"/>
  <c r="AZ151" i="16"/>
  <c r="AZ152" i="16"/>
  <c r="AZ153" i="16"/>
  <c r="AZ154" i="16"/>
  <c r="AZ155" i="16"/>
  <c r="AZ156" i="16"/>
  <c r="AZ157" i="16"/>
  <c r="AZ158" i="16"/>
  <c r="AZ159" i="16"/>
  <c r="AZ160" i="16"/>
  <c r="AZ161" i="16"/>
  <c r="AZ162" i="16"/>
  <c r="AZ163" i="16"/>
  <c r="AZ164" i="16"/>
  <c r="AZ165" i="16"/>
  <c r="AZ166" i="16"/>
  <c r="AZ167" i="16"/>
  <c r="AZ168" i="16"/>
  <c r="AZ169" i="16"/>
  <c r="AZ170" i="16"/>
  <c r="AZ171" i="16"/>
  <c r="AZ172" i="16"/>
  <c r="AZ173" i="16"/>
  <c r="AZ174" i="16"/>
  <c r="AZ175" i="16"/>
  <c r="AZ176" i="16"/>
  <c r="AY3" i="16"/>
  <c r="AY4" i="16"/>
  <c r="AY5" i="16"/>
  <c r="AY6" i="16"/>
  <c r="AY7" i="16"/>
  <c r="AY8" i="16"/>
  <c r="AY9" i="16"/>
  <c r="AY10" i="16"/>
  <c r="AY11" i="16"/>
  <c r="AY12" i="16"/>
  <c r="AY13" i="16"/>
  <c r="AY14" i="16"/>
  <c r="AY15" i="16"/>
  <c r="AY16" i="16"/>
  <c r="AY17" i="16"/>
  <c r="AY18" i="16"/>
  <c r="AY19" i="16"/>
  <c r="AY20" i="16"/>
  <c r="AY21" i="16"/>
  <c r="AY22" i="16"/>
  <c r="AY23" i="16"/>
  <c r="AY24" i="16"/>
  <c r="AY25" i="16"/>
  <c r="AY26" i="16"/>
  <c r="AY27" i="16"/>
  <c r="AY28" i="16"/>
  <c r="AY29" i="16"/>
  <c r="AY30" i="16"/>
  <c r="AY31" i="16"/>
  <c r="AY32" i="16"/>
  <c r="AY33" i="16"/>
  <c r="AY34" i="16"/>
  <c r="AY35" i="16"/>
  <c r="AY36" i="16"/>
  <c r="AY37" i="16"/>
  <c r="AY38" i="16"/>
  <c r="AY39" i="16"/>
  <c r="AY40" i="16"/>
  <c r="AY41" i="16"/>
  <c r="AY42" i="16"/>
  <c r="AY43" i="16"/>
  <c r="AY44" i="16"/>
  <c r="AY45" i="16"/>
  <c r="AY46" i="16"/>
  <c r="AY47" i="16"/>
  <c r="AY48" i="16"/>
  <c r="AY49" i="16"/>
  <c r="AY50" i="16"/>
  <c r="AY51" i="16"/>
  <c r="AY52" i="16"/>
  <c r="AY53" i="16"/>
  <c r="AY54" i="16"/>
  <c r="AY55" i="16"/>
  <c r="AY56" i="16"/>
  <c r="AY57" i="16"/>
  <c r="AY58" i="16"/>
  <c r="AY59" i="16"/>
  <c r="AY60" i="16"/>
  <c r="AY61" i="16"/>
  <c r="AY62" i="16"/>
  <c r="AY63" i="16"/>
  <c r="AY64" i="16"/>
  <c r="AY65" i="16"/>
  <c r="AY66" i="16"/>
  <c r="AY67" i="16"/>
  <c r="AY68" i="16"/>
  <c r="AY69" i="16"/>
  <c r="AY70" i="16"/>
  <c r="AY71" i="16"/>
  <c r="AY72" i="16"/>
  <c r="AY73" i="16"/>
  <c r="AY74" i="16"/>
  <c r="AY75" i="16"/>
  <c r="AY76" i="16"/>
  <c r="AY77" i="16"/>
  <c r="AY78" i="16"/>
  <c r="AY79" i="16"/>
  <c r="AY80" i="16"/>
  <c r="AY81" i="16"/>
  <c r="AY82" i="16"/>
  <c r="AY83" i="16"/>
  <c r="AY84" i="16"/>
  <c r="AY85" i="16"/>
  <c r="AY86" i="16"/>
  <c r="AY87" i="16"/>
  <c r="AY88" i="16"/>
  <c r="AY89" i="16"/>
  <c r="AY90" i="16"/>
  <c r="AY91" i="16"/>
  <c r="AY92" i="16"/>
  <c r="AY93" i="16"/>
  <c r="AY94" i="16"/>
  <c r="AY95" i="16"/>
  <c r="AY96" i="16"/>
  <c r="AY97" i="16"/>
  <c r="AY98" i="16"/>
  <c r="AY99" i="16"/>
  <c r="AY100" i="16"/>
  <c r="AY101" i="16"/>
  <c r="AY102" i="16"/>
  <c r="AY103" i="16"/>
  <c r="AY104" i="16"/>
  <c r="AY105" i="16"/>
  <c r="AY106" i="16"/>
  <c r="AY107" i="16"/>
  <c r="AY108" i="16"/>
  <c r="AY109" i="16"/>
  <c r="AY110" i="16"/>
  <c r="AY111" i="16"/>
  <c r="AY112" i="16"/>
  <c r="AY113" i="16"/>
  <c r="AY114" i="16"/>
  <c r="AY115" i="16"/>
  <c r="AY116" i="16"/>
  <c r="AY117" i="16"/>
  <c r="AY118" i="16"/>
  <c r="AY119" i="16"/>
  <c r="AY120" i="16"/>
  <c r="AY121" i="16"/>
  <c r="AY122" i="16"/>
  <c r="AY123" i="16"/>
  <c r="AY124" i="16"/>
  <c r="AY125" i="16"/>
  <c r="AY126" i="16"/>
  <c r="AY127" i="16"/>
  <c r="AY128" i="16"/>
  <c r="AY129" i="16"/>
  <c r="AY130" i="16"/>
  <c r="AY131" i="16"/>
  <c r="AY132" i="16"/>
  <c r="AY133" i="16"/>
  <c r="AY134" i="16"/>
  <c r="AY135" i="16"/>
  <c r="AY136" i="16"/>
  <c r="AY137" i="16"/>
  <c r="AY138" i="16"/>
  <c r="AY139" i="16"/>
  <c r="AY140" i="16"/>
  <c r="AY141" i="16"/>
  <c r="AY142" i="16"/>
  <c r="AY143" i="16"/>
  <c r="AY144" i="16"/>
  <c r="AY145" i="16"/>
  <c r="AY146" i="16"/>
  <c r="AY147" i="16"/>
  <c r="AY148" i="16"/>
  <c r="AY149" i="16"/>
  <c r="AY150" i="16"/>
  <c r="AY151" i="16"/>
  <c r="AY152" i="16"/>
  <c r="AY153" i="16"/>
  <c r="AY154" i="16"/>
  <c r="AY155" i="16"/>
  <c r="AY156" i="16"/>
  <c r="AY157" i="16"/>
  <c r="AY158" i="16"/>
  <c r="AY159" i="16"/>
  <c r="AY160" i="16"/>
  <c r="AY161" i="16"/>
  <c r="AY162" i="16"/>
  <c r="AY163" i="16"/>
  <c r="AY164" i="16"/>
  <c r="AY165" i="16"/>
  <c r="AY166" i="16"/>
  <c r="AY167" i="16"/>
  <c r="AY168" i="16"/>
  <c r="AY169" i="16"/>
  <c r="AY170" i="16"/>
  <c r="AY171" i="16"/>
  <c r="AY172" i="16"/>
  <c r="AY173" i="16"/>
  <c r="AY174" i="16"/>
  <c r="AY175" i="16"/>
  <c r="AY176" i="16"/>
  <c r="AX3" i="16"/>
  <c r="AX4" i="16"/>
  <c r="AX5" i="16"/>
  <c r="AX6" i="16"/>
  <c r="AX7" i="16"/>
  <c r="AX8" i="16"/>
  <c r="AX9" i="16"/>
  <c r="AX10" i="16"/>
  <c r="AX11" i="16"/>
  <c r="AX12" i="16"/>
  <c r="AX13" i="16"/>
  <c r="AX14" i="16"/>
  <c r="AX15" i="16"/>
  <c r="AX16" i="16"/>
  <c r="AX17" i="16"/>
  <c r="AX18" i="16"/>
  <c r="AX19" i="16"/>
  <c r="AX20" i="16"/>
  <c r="AX21" i="16"/>
  <c r="AX22" i="16"/>
  <c r="AX23" i="16"/>
  <c r="AX24" i="16"/>
  <c r="AX25" i="16"/>
  <c r="AX26" i="16"/>
  <c r="AX27" i="16"/>
  <c r="AX28" i="16"/>
  <c r="AX29" i="16"/>
  <c r="AX30" i="16"/>
  <c r="AX31" i="16"/>
  <c r="AX32" i="16"/>
  <c r="AX33" i="16"/>
  <c r="AX34" i="16"/>
  <c r="AX35" i="16"/>
  <c r="AX36" i="16"/>
  <c r="AX37" i="16"/>
  <c r="AX38" i="16"/>
  <c r="AX39" i="16"/>
  <c r="AX40" i="16"/>
  <c r="AX41" i="16"/>
  <c r="AX42" i="16"/>
  <c r="AX43" i="16"/>
  <c r="AX44" i="16"/>
  <c r="AX45" i="16"/>
  <c r="AX46" i="16"/>
  <c r="AX47" i="16"/>
  <c r="AX48" i="16"/>
  <c r="AX49" i="16"/>
  <c r="AX50" i="16"/>
  <c r="AX51" i="16"/>
  <c r="AX52" i="16"/>
  <c r="AX53" i="16"/>
  <c r="AX54" i="16"/>
  <c r="AX55" i="16"/>
  <c r="AX56" i="16"/>
  <c r="AX57" i="16"/>
  <c r="AX58" i="16"/>
  <c r="AX59" i="16"/>
  <c r="AX60" i="16"/>
  <c r="AX61" i="16"/>
  <c r="AX62" i="16"/>
  <c r="AX63" i="16"/>
  <c r="AX64" i="16"/>
  <c r="AX65" i="16"/>
  <c r="AX66" i="16"/>
  <c r="AX67" i="16"/>
  <c r="AX68" i="16"/>
  <c r="AX69" i="16"/>
  <c r="AX70" i="16"/>
  <c r="AX71" i="16"/>
  <c r="AX72" i="16"/>
  <c r="AX73" i="16"/>
  <c r="AX74" i="16"/>
  <c r="AX75" i="16"/>
  <c r="AX76" i="16"/>
  <c r="AX77" i="16"/>
  <c r="AX78" i="16"/>
  <c r="AX79" i="16"/>
  <c r="AX80" i="16"/>
  <c r="AX81" i="16"/>
  <c r="AX82" i="16"/>
  <c r="AX83" i="16"/>
  <c r="AX84" i="16"/>
  <c r="AX85" i="16"/>
  <c r="AX86" i="16"/>
  <c r="AX87" i="16"/>
  <c r="AX88" i="16"/>
  <c r="AX89" i="16"/>
  <c r="AX90" i="16"/>
  <c r="AX91" i="16"/>
  <c r="AX92" i="16"/>
  <c r="AX93" i="16"/>
  <c r="AX94" i="16"/>
  <c r="AX95" i="16"/>
  <c r="AX96" i="16"/>
  <c r="AX97" i="16"/>
  <c r="AX98" i="16"/>
  <c r="AX99" i="16"/>
  <c r="AX100" i="16"/>
  <c r="AX101" i="16"/>
  <c r="AX102" i="16"/>
  <c r="AX103" i="16"/>
  <c r="AX104" i="16"/>
  <c r="AX105" i="16"/>
  <c r="AX106" i="16"/>
  <c r="AX107" i="16"/>
  <c r="AX108" i="16"/>
  <c r="AX109" i="16"/>
  <c r="AX110" i="16"/>
  <c r="AX111" i="16"/>
  <c r="AX112" i="16"/>
  <c r="AX113" i="16"/>
  <c r="AX114" i="16"/>
  <c r="AX115" i="16"/>
  <c r="AX116" i="16"/>
  <c r="AX117" i="16"/>
  <c r="AX118" i="16"/>
  <c r="AX119" i="16"/>
  <c r="AX120" i="16"/>
  <c r="AX121" i="16"/>
  <c r="AX122" i="16"/>
  <c r="AX123" i="16"/>
  <c r="AX124" i="16"/>
  <c r="AX125" i="16"/>
  <c r="AX126" i="16"/>
  <c r="AX127" i="16"/>
  <c r="AX128" i="16"/>
  <c r="AX129" i="16"/>
  <c r="AX130" i="16"/>
  <c r="AX131" i="16"/>
  <c r="AX132" i="16"/>
  <c r="AX133" i="16"/>
  <c r="AX134" i="16"/>
  <c r="AX135" i="16"/>
  <c r="AX136" i="16"/>
  <c r="AX137" i="16"/>
  <c r="AX138" i="16"/>
  <c r="AX139" i="16"/>
  <c r="AX140" i="16"/>
  <c r="AX141" i="16"/>
  <c r="AX142" i="16"/>
  <c r="AX143" i="16"/>
  <c r="AX144" i="16"/>
  <c r="AX145" i="16"/>
  <c r="AX146" i="16"/>
  <c r="AX147" i="16"/>
  <c r="AX148" i="16"/>
  <c r="AX149" i="16"/>
  <c r="AX150" i="16"/>
  <c r="AX151" i="16"/>
  <c r="AX152" i="16"/>
  <c r="AX153" i="16"/>
  <c r="AX154" i="16"/>
  <c r="AX155" i="16"/>
  <c r="AX156" i="16"/>
  <c r="AX157" i="16"/>
  <c r="AX158" i="16"/>
  <c r="AX159" i="16"/>
  <c r="AX160" i="16"/>
  <c r="AX161" i="16"/>
  <c r="AX162" i="16"/>
  <c r="AX163" i="16"/>
  <c r="AX164" i="16"/>
  <c r="AX165" i="16"/>
  <c r="AX166" i="16"/>
  <c r="AX167" i="16"/>
  <c r="AX168" i="16"/>
  <c r="AX169" i="16"/>
  <c r="AX170" i="16"/>
  <c r="AX171" i="16"/>
  <c r="AX172" i="16"/>
  <c r="AX173" i="16"/>
  <c r="AX174" i="16"/>
  <c r="AX175" i="16"/>
  <c r="AX176" i="16"/>
  <c r="AW3" i="16"/>
  <c r="AW4" i="16"/>
  <c r="AW5" i="16"/>
  <c r="AW6" i="16"/>
  <c r="AW7" i="16"/>
  <c r="AW8" i="16"/>
  <c r="AW9" i="16"/>
  <c r="AW10" i="16"/>
  <c r="AW11" i="16"/>
  <c r="AW12" i="16"/>
  <c r="AW13" i="16"/>
  <c r="AW14" i="16"/>
  <c r="AW15" i="16"/>
  <c r="AW16" i="16"/>
  <c r="AW17" i="16"/>
  <c r="AW18" i="16"/>
  <c r="AW19" i="16"/>
  <c r="AW20" i="16"/>
  <c r="AW21" i="16"/>
  <c r="AW22" i="16"/>
  <c r="AW23" i="16"/>
  <c r="AW24" i="16"/>
  <c r="AW25" i="16"/>
  <c r="AW26" i="16"/>
  <c r="AW27" i="16"/>
  <c r="AW28" i="16"/>
  <c r="AW29" i="16"/>
  <c r="AW30" i="16"/>
  <c r="AW31" i="16"/>
  <c r="AW32" i="16"/>
  <c r="AW33" i="16"/>
  <c r="AW34" i="16"/>
  <c r="AW35" i="16"/>
  <c r="AW36" i="16"/>
  <c r="AW37" i="16"/>
  <c r="AW38" i="16"/>
  <c r="AW39" i="16"/>
  <c r="AW40" i="16"/>
  <c r="AW41" i="16"/>
  <c r="AW42" i="16"/>
  <c r="AW43" i="16"/>
  <c r="AW44" i="16"/>
  <c r="AW45" i="16"/>
  <c r="AW46" i="16"/>
  <c r="AW47" i="16"/>
  <c r="AW48" i="16"/>
  <c r="AW49" i="16"/>
  <c r="AW50" i="16"/>
  <c r="AW51" i="16"/>
  <c r="AW52" i="16"/>
  <c r="AW53" i="16"/>
  <c r="AW54" i="16"/>
  <c r="AW55" i="16"/>
  <c r="AW56" i="16"/>
  <c r="AW57" i="16"/>
  <c r="AW58" i="16"/>
  <c r="AW59" i="16"/>
  <c r="AW60" i="16"/>
  <c r="AW61" i="16"/>
  <c r="AW62" i="16"/>
  <c r="AW63" i="16"/>
  <c r="AW64" i="16"/>
  <c r="AW65" i="16"/>
  <c r="AW66" i="16"/>
  <c r="AW67" i="16"/>
  <c r="AW68" i="16"/>
  <c r="AW69" i="16"/>
  <c r="AW70" i="16"/>
  <c r="AW71" i="16"/>
  <c r="AW72" i="16"/>
  <c r="AW73" i="16"/>
  <c r="AW74" i="16"/>
  <c r="AW75" i="16"/>
  <c r="AW76" i="16"/>
  <c r="AW77" i="16"/>
  <c r="AW78" i="16"/>
  <c r="AW79" i="16"/>
  <c r="AW80" i="16"/>
  <c r="AW81" i="16"/>
  <c r="AW82" i="16"/>
  <c r="AW83" i="16"/>
  <c r="AW84" i="16"/>
  <c r="AW85" i="16"/>
  <c r="AW86" i="16"/>
  <c r="AW87" i="16"/>
  <c r="AW88" i="16"/>
  <c r="AW89" i="16"/>
  <c r="AW90" i="16"/>
  <c r="AW91" i="16"/>
  <c r="AW92" i="16"/>
  <c r="AW93" i="16"/>
  <c r="AW94" i="16"/>
  <c r="AW95" i="16"/>
  <c r="AW96" i="16"/>
  <c r="AW97" i="16"/>
  <c r="AW98" i="16"/>
  <c r="AW99" i="16"/>
  <c r="AW100" i="16"/>
  <c r="AW101" i="16"/>
  <c r="AW102" i="16"/>
  <c r="AW103" i="16"/>
  <c r="AW104" i="16"/>
  <c r="AW105" i="16"/>
  <c r="AW106" i="16"/>
  <c r="AW107" i="16"/>
  <c r="AW108" i="16"/>
  <c r="AW109" i="16"/>
  <c r="AW110" i="16"/>
  <c r="AW111" i="16"/>
  <c r="AW112" i="16"/>
  <c r="AW113" i="16"/>
  <c r="AW114" i="16"/>
  <c r="AW115" i="16"/>
  <c r="AW116" i="16"/>
  <c r="AW117" i="16"/>
  <c r="AW118" i="16"/>
  <c r="AW119" i="16"/>
  <c r="AW120" i="16"/>
  <c r="AW121" i="16"/>
  <c r="AW122" i="16"/>
  <c r="AW123" i="16"/>
  <c r="AW124" i="16"/>
  <c r="AW125" i="16"/>
  <c r="AW126" i="16"/>
  <c r="AW127" i="16"/>
  <c r="AW128" i="16"/>
  <c r="AW129" i="16"/>
  <c r="AW130" i="16"/>
  <c r="AW131" i="16"/>
  <c r="AW132" i="16"/>
  <c r="AW133" i="16"/>
  <c r="AW134" i="16"/>
  <c r="AW135" i="16"/>
  <c r="AW136" i="16"/>
  <c r="AW137" i="16"/>
  <c r="AW138" i="16"/>
  <c r="AW139" i="16"/>
  <c r="AW140" i="16"/>
  <c r="AW141" i="16"/>
  <c r="AW142" i="16"/>
  <c r="AW143" i="16"/>
  <c r="AW144" i="16"/>
  <c r="AW145" i="16"/>
  <c r="AW146" i="16"/>
  <c r="AW147" i="16"/>
  <c r="AW148" i="16"/>
  <c r="AW149" i="16"/>
  <c r="AW150" i="16"/>
  <c r="AW151" i="16"/>
  <c r="AW152" i="16"/>
  <c r="AW153" i="16"/>
  <c r="AW154" i="16"/>
  <c r="AW155" i="16"/>
  <c r="AW156" i="16"/>
  <c r="AW157" i="16"/>
  <c r="AW158" i="16"/>
  <c r="AW159" i="16"/>
  <c r="AW160" i="16"/>
  <c r="AW161" i="16"/>
  <c r="AW162" i="16"/>
  <c r="AW163" i="16"/>
  <c r="AW164" i="16"/>
  <c r="AW165" i="16"/>
  <c r="AW166" i="16"/>
  <c r="AW167" i="16"/>
  <c r="AW168" i="16"/>
  <c r="AW169" i="16"/>
  <c r="AW170" i="16"/>
  <c r="AW171" i="16"/>
  <c r="AW172" i="16"/>
  <c r="AW173" i="16"/>
  <c r="AW174" i="16"/>
  <c r="AW175" i="16"/>
  <c r="AW176" i="16"/>
  <c r="AV3" i="16"/>
  <c r="AV4" i="16"/>
  <c r="AV5" i="16"/>
  <c r="AV6" i="16"/>
  <c r="AV7" i="16"/>
  <c r="AV8" i="16"/>
  <c r="AV9" i="16"/>
  <c r="AV10" i="16"/>
  <c r="AV11" i="16"/>
  <c r="AV12" i="16"/>
  <c r="AV13" i="16"/>
  <c r="AV14" i="16"/>
  <c r="AV15" i="16"/>
  <c r="AV16" i="16"/>
  <c r="AV17" i="16"/>
  <c r="AV18" i="16"/>
  <c r="AV19" i="16"/>
  <c r="AV20" i="16"/>
  <c r="AV21" i="16"/>
  <c r="AV22" i="16"/>
  <c r="AV23" i="16"/>
  <c r="AV24" i="16"/>
  <c r="AV25" i="16"/>
  <c r="AV26" i="16"/>
  <c r="AV27" i="16"/>
  <c r="AV28" i="16"/>
  <c r="AV29" i="16"/>
  <c r="AV30" i="16"/>
  <c r="AV31" i="16"/>
  <c r="AV32" i="16"/>
  <c r="AV33" i="16"/>
  <c r="AV34" i="16"/>
  <c r="AV35" i="16"/>
  <c r="AV36" i="16"/>
  <c r="AV37" i="16"/>
  <c r="AV38" i="16"/>
  <c r="AV39" i="16"/>
  <c r="AV40" i="16"/>
  <c r="AV41" i="16"/>
  <c r="AV42" i="16"/>
  <c r="AV43" i="16"/>
  <c r="AV44" i="16"/>
  <c r="AV45" i="16"/>
  <c r="AV46" i="16"/>
  <c r="AV47" i="16"/>
  <c r="AV48" i="16"/>
  <c r="AV49" i="16"/>
  <c r="AV50" i="16"/>
  <c r="AV51" i="16"/>
  <c r="AV52" i="16"/>
  <c r="AV53" i="16"/>
  <c r="AV54" i="16"/>
  <c r="AV55" i="16"/>
  <c r="AV56" i="16"/>
  <c r="AV57" i="16"/>
  <c r="AV58" i="16"/>
  <c r="AV59" i="16"/>
  <c r="AV60" i="16"/>
  <c r="AV61" i="16"/>
  <c r="AV62" i="16"/>
  <c r="AV63" i="16"/>
  <c r="AV64" i="16"/>
  <c r="AV65" i="16"/>
  <c r="AV66" i="16"/>
  <c r="AV67" i="16"/>
  <c r="AV68" i="16"/>
  <c r="AV69" i="16"/>
  <c r="AV70" i="16"/>
  <c r="AV71" i="16"/>
  <c r="AV72" i="16"/>
  <c r="AV73" i="16"/>
  <c r="AV74" i="16"/>
  <c r="AV75" i="16"/>
  <c r="AV76" i="16"/>
  <c r="AV77" i="16"/>
  <c r="AV78" i="16"/>
  <c r="AV79" i="16"/>
  <c r="AV80" i="16"/>
  <c r="AV81" i="16"/>
  <c r="AV82" i="16"/>
  <c r="AV83" i="16"/>
  <c r="AV84" i="16"/>
  <c r="AV85" i="16"/>
  <c r="AV86" i="16"/>
  <c r="AV87" i="16"/>
  <c r="AV88" i="16"/>
  <c r="AV89" i="16"/>
  <c r="AV90" i="16"/>
  <c r="AV91" i="16"/>
  <c r="AV92" i="16"/>
  <c r="AV93" i="16"/>
  <c r="AV94" i="16"/>
  <c r="AV95" i="16"/>
  <c r="AV96" i="16"/>
  <c r="AV97" i="16"/>
  <c r="AV98" i="16"/>
  <c r="AV99" i="16"/>
  <c r="AV100" i="16"/>
  <c r="AV101" i="16"/>
  <c r="AV102" i="16"/>
  <c r="AV103" i="16"/>
  <c r="AV104" i="16"/>
  <c r="AV105" i="16"/>
  <c r="AV106" i="16"/>
  <c r="AV107" i="16"/>
  <c r="AV108" i="16"/>
  <c r="AV109" i="16"/>
  <c r="AV110" i="16"/>
  <c r="AV111" i="16"/>
  <c r="AV112" i="16"/>
  <c r="AV113" i="16"/>
  <c r="AV114" i="16"/>
  <c r="AV115" i="16"/>
  <c r="AV116" i="16"/>
  <c r="AV117" i="16"/>
  <c r="AV118" i="16"/>
  <c r="AV119" i="16"/>
  <c r="AV120" i="16"/>
  <c r="AV121" i="16"/>
  <c r="AV122" i="16"/>
  <c r="AV123" i="16"/>
  <c r="AV124" i="16"/>
  <c r="AV125" i="16"/>
  <c r="AV126" i="16"/>
  <c r="AV127" i="16"/>
  <c r="AV128" i="16"/>
  <c r="AV129" i="16"/>
  <c r="AV130" i="16"/>
  <c r="AV131" i="16"/>
  <c r="AV132" i="16"/>
  <c r="AV133" i="16"/>
  <c r="AV134" i="16"/>
  <c r="AV135" i="16"/>
  <c r="AV136" i="16"/>
  <c r="AV137" i="16"/>
  <c r="AV138" i="16"/>
  <c r="AV139" i="16"/>
  <c r="AV140" i="16"/>
  <c r="AV141" i="16"/>
  <c r="AV142" i="16"/>
  <c r="AV143" i="16"/>
  <c r="AV144" i="16"/>
  <c r="AV145" i="16"/>
  <c r="AV146" i="16"/>
  <c r="AV147" i="16"/>
  <c r="AV148" i="16"/>
  <c r="AV149" i="16"/>
  <c r="AV150" i="16"/>
  <c r="AV151" i="16"/>
  <c r="AV152" i="16"/>
  <c r="AV153" i="16"/>
  <c r="AV154" i="16"/>
  <c r="AV155" i="16"/>
  <c r="AV156" i="16"/>
  <c r="AV157" i="16"/>
  <c r="AV158" i="16"/>
  <c r="AV159" i="16"/>
  <c r="AV160" i="16"/>
  <c r="AV161" i="16"/>
  <c r="AV162" i="16"/>
  <c r="AV163" i="16"/>
  <c r="AV164" i="16"/>
  <c r="AV165" i="16"/>
  <c r="AV166" i="16"/>
  <c r="AV167" i="16"/>
  <c r="AV168" i="16"/>
  <c r="AV169" i="16"/>
  <c r="AV170" i="16"/>
  <c r="AV171" i="16"/>
  <c r="AV172" i="16"/>
  <c r="AV173" i="16"/>
  <c r="AV174" i="16"/>
  <c r="AV175" i="16"/>
  <c r="AV176" i="16"/>
  <c r="AU3" i="16"/>
  <c r="AU4" i="16"/>
  <c r="AU5" i="16"/>
  <c r="AU6" i="16"/>
  <c r="AU7" i="16"/>
  <c r="AU8" i="16"/>
  <c r="AU9" i="16"/>
  <c r="AU10" i="16"/>
  <c r="AU11" i="16"/>
  <c r="AU12" i="16"/>
  <c r="AU13" i="16"/>
  <c r="AU14" i="16"/>
  <c r="AU15" i="16"/>
  <c r="AU16" i="16"/>
  <c r="AU17" i="16"/>
  <c r="AU18" i="16"/>
  <c r="AU19" i="16"/>
  <c r="AU20" i="16"/>
  <c r="AU21" i="16"/>
  <c r="AU22" i="16"/>
  <c r="AU23" i="16"/>
  <c r="AU24" i="16"/>
  <c r="AU25" i="16"/>
  <c r="AU26" i="16"/>
  <c r="AU27" i="16"/>
  <c r="AU28" i="16"/>
  <c r="AU29" i="16"/>
  <c r="AU30" i="16"/>
  <c r="AU31" i="16"/>
  <c r="AU32" i="16"/>
  <c r="AU33" i="16"/>
  <c r="AU34" i="16"/>
  <c r="AU35" i="16"/>
  <c r="AU36" i="16"/>
  <c r="AU37" i="16"/>
  <c r="AU38" i="16"/>
  <c r="AU39" i="16"/>
  <c r="AU40" i="16"/>
  <c r="AU41" i="16"/>
  <c r="AU42" i="16"/>
  <c r="AU43" i="16"/>
  <c r="AU44" i="16"/>
  <c r="AU45" i="16"/>
  <c r="AU46" i="16"/>
  <c r="AU47" i="16"/>
  <c r="AU48" i="16"/>
  <c r="AU49" i="16"/>
  <c r="AU50" i="16"/>
  <c r="AU51" i="16"/>
  <c r="AU52" i="16"/>
  <c r="AU53" i="16"/>
  <c r="AU54" i="16"/>
  <c r="AU55" i="16"/>
  <c r="AU56" i="16"/>
  <c r="AU57" i="16"/>
  <c r="AU58" i="16"/>
  <c r="AU59" i="16"/>
  <c r="AU60" i="16"/>
  <c r="AU61" i="16"/>
  <c r="AU62" i="16"/>
  <c r="AU63" i="16"/>
  <c r="AU64" i="16"/>
  <c r="AU65" i="16"/>
  <c r="AU66" i="16"/>
  <c r="AU67" i="16"/>
  <c r="AU68" i="16"/>
  <c r="AU69" i="16"/>
  <c r="AU70" i="16"/>
  <c r="AU71" i="16"/>
  <c r="AU72" i="16"/>
  <c r="AU73" i="16"/>
  <c r="AU74" i="16"/>
  <c r="AU75" i="16"/>
  <c r="AU76" i="16"/>
  <c r="AU77" i="16"/>
  <c r="AU78" i="16"/>
  <c r="AU79" i="16"/>
  <c r="AU80" i="16"/>
  <c r="AU81" i="16"/>
  <c r="AU82" i="16"/>
  <c r="AU83" i="16"/>
  <c r="AU84" i="16"/>
  <c r="AU85" i="16"/>
  <c r="AU86" i="16"/>
  <c r="AU87" i="16"/>
  <c r="AU88" i="16"/>
  <c r="AU89" i="16"/>
  <c r="AU90" i="16"/>
  <c r="AU91" i="16"/>
  <c r="AU92" i="16"/>
  <c r="AU93" i="16"/>
  <c r="AU94" i="16"/>
  <c r="AU95" i="16"/>
  <c r="AU96" i="16"/>
  <c r="AU97" i="16"/>
  <c r="AU98" i="16"/>
  <c r="AU99" i="16"/>
  <c r="AU100" i="16"/>
  <c r="AU101" i="16"/>
  <c r="AU102" i="16"/>
  <c r="AU103" i="16"/>
  <c r="AU104" i="16"/>
  <c r="AU105" i="16"/>
  <c r="AU106" i="16"/>
  <c r="AU107" i="16"/>
  <c r="AU108" i="16"/>
  <c r="AU109" i="16"/>
  <c r="AU110" i="16"/>
  <c r="AU111" i="16"/>
  <c r="AU112" i="16"/>
  <c r="AU113" i="16"/>
  <c r="AU114" i="16"/>
  <c r="AU115" i="16"/>
  <c r="AU116" i="16"/>
  <c r="AU117" i="16"/>
  <c r="AU118" i="16"/>
  <c r="AU119" i="16"/>
  <c r="AU120" i="16"/>
  <c r="AU121" i="16"/>
  <c r="AU122" i="16"/>
  <c r="AU123" i="16"/>
  <c r="AU124" i="16"/>
  <c r="AU125" i="16"/>
  <c r="AU126" i="16"/>
  <c r="AU127" i="16"/>
  <c r="AU128" i="16"/>
  <c r="AU129" i="16"/>
  <c r="AU130" i="16"/>
  <c r="AU131" i="16"/>
  <c r="AU132" i="16"/>
  <c r="AU133" i="16"/>
  <c r="AU134" i="16"/>
  <c r="AU135" i="16"/>
  <c r="AU136" i="16"/>
  <c r="AU137" i="16"/>
  <c r="AU138" i="16"/>
  <c r="AU139" i="16"/>
  <c r="AU140" i="16"/>
  <c r="AU141" i="16"/>
  <c r="AU142" i="16"/>
  <c r="AU143" i="16"/>
  <c r="AU144" i="16"/>
  <c r="AU145" i="16"/>
  <c r="AU146" i="16"/>
  <c r="AU147" i="16"/>
  <c r="AU148" i="16"/>
  <c r="AU149" i="16"/>
  <c r="AU150" i="16"/>
  <c r="AU151" i="16"/>
  <c r="AU152" i="16"/>
  <c r="AU153" i="16"/>
  <c r="AU154" i="16"/>
  <c r="AU155" i="16"/>
  <c r="AU156" i="16"/>
  <c r="AU157" i="16"/>
  <c r="AU158" i="16"/>
  <c r="AU159" i="16"/>
  <c r="AU160" i="16"/>
  <c r="AU161" i="16"/>
  <c r="AU162" i="16"/>
  <c r="AU163" i="16"/>
  <c r="AU164" i="16"/>
  <c r="AU165" i="16"/>
  <c r="AU166" i="16"/>
  <c r="AU167" i="16"/>
  <c r="AU168" i="16"/>
  <c r="AU169" i="16"/>
  <c r="AU170" i="16"/>
  <c r="AU171" i="16"/>
  <c r="AU172" i="16"/>
  <c r="AU173" i="16"/>
  <c r="AU174" i="16"/>
  <c r="AU175" i="16"/>
  <c r="AU176" i="16"/>
  <c r="AT3" i="16"/>
  <c r="AT4" i="16"/>
  <c r="AT5" i="16"/>
  <c r="AT6" i="16"/>
  <c r="AT7" i="16"/>
  <c r="AT8" i="16"/>
  <c r="AT9" i="16"/>
  <c r="AT10" i="16"/>
  <c r="AT11" i="16"/>
  <c r="AT12" i="16"/>
  <c r="AT13" i="16"/>
  <c r="AT14" i="16"/>
  <c r="AT15" i="16"/>
  <c r="AT16" i="16"/>
  <c r="AT17" i="16"/>
  <c r="AT18" i="16"/>
  <c r="AT19" i="16"/>
  <c r="AT20" i="16"/>
  <c r="AT21" i="16"/>
  <c r="AT22" i="16"/>
  <c r="AT23" i="16"/>
  <c r="AT24" i="16"/>
  <c r="AT25" i="16"/>
  <c r="AT26" i="16"/>
  <c r="AT27" i="16"/>
  <c r="AT28" i="16"/>
  <c r="AT29" i="16"/>
  <c r="AT30" i="16"/>
  <c r="AT31" i="16"/>
  <c r="AT32" i="16"/>
  <c r="AT33" i="16"/>
  <c r="AT34" i="16"/>
  <c r="AT35" i="16"/>
  <c r="AT36" i="16"/>
  <c r="AT37" i="16"/>
  <c r="AT38" i="16"/>
  <c r="AT39" i="16"/>
  <c r="AT40" i="16"/>
  <c r="AT41" i="16"/>
  <c r="AT42" i="16"/>
  <c r="AT43" i="16"/>
  <c r="AT44" i="16"/>
  <c r="AT45" i="16"/>
  <c r="AT46" i="16"/>
  <c r="AT47" i="16"/>
  <c r="AT48" i="16"/>
  <c r="AT49" i="16"/>
  <c r="AT50" i="16"/>
  <c r="AT51" i="16"/>
  <c r="AT52" i="16"/>
  <c r="AT53" i="16"/>
  <c r="AT54" i="16"/>
  <c r="AT55" i="16"/>
  <c r="AT56" i="16"/>
  <c r="AT57" i="16"/>
  <c r="AT58" i="16"/>
  <c r="AT59" i="16"/>
  <c r="AT60" i="16"/>
  <c r="AT61" i="16"/>
  <c r="AT62" i="16"/>
  <c r="AT63" i="16"/>
  <c r="AT64" i="16"/>
  <c r="AT65" i="16"/>
  <c r="AT66" i="16"/>
  <c r="AT67" i="16"/>
  <c r="AT68" i="16"/>
  <c r="AT69" i="16"/>
  <c r="AT70" i="16"/>
  <c r="AT71" i="16"/>
  <c r="AT72" i="16"/>
  <c r="AT73" i="16"/>
  <c r="AT74" i="16"/>
  <c r="AT75" i="16"/>
  <c r="AT76" i="16"/>
  <c r="AT77" i="16"/>
  <c r="AT78" i="16"/>
  <c r="AT79" i="16"/>
  <c r="AT80" i="16"/>
  <c r="AT81" i="16"/>
  <c r="AT82" i="16"/>
  <c r="AT83" i="16"/>
  <c r="AT84" i="16"/>
  <c r="AT85" i="16"/>
  <c r="AT86" i="16"/>
  <c r="AT87" i="16"/>
  <c r="AT88" i="16"/>
  <c r="AT89" i="16"/>
  <c r="AT90" i="16"/>
  <c r="AT91" i="16"/>
  <c r="AT92" i="16"/>
  <c r="AT93" i="16"/>
  <c r="AT94" i="16"/>
  <c r="AT95" i="16"/>
  <c r="AT96" i="16"/>
  <c r="AT97" i="16"/>
  <c r="AT98" i="16"/>
  <c r="AT99" i="16"/>
  <c r="AT100" i="16"/>
  <c r="AT101" i="16"/>
  <c r="AT102" i="16"/>
  <c r="AT103" i="16"/>
  <c r="AT104" i="16"/>
  <c r="AT105" i="16"/>
  <c r="AT106" i="16"/>
  <c r="AT107" i="16"/>
  <c r="AT108" i="16"/>
  <c r="AT109" i="16"/>
  <c r="AT110" i="16"/>
  <c r="AT111" i="16"/>
  <c r="AT112" i="16"/>
  <c r="AT113" i="16"/>
  <c r="AT114" i="16"/>
  <c r="AT115" i="16"/>
  <c r="AT116" i="16"/>
  <c r="AT117" i="16"/>
  <c r="AT118" i="16"/>
  <c r="AT119" i="16"/>
  <c r="AT120" i="16"/>
  <c r="AT121" i="16"/>
  <c r="AT122" i="16"/>
  <c r="AT123" i="16"/>
  <c r="AT124" i="16"/>
  <c r="AT125" i="16"/>
  <c r="AT126" i="16"/>
  <c r="AT127" i="16"/>
  <c r="AT128" i="16"/>
  <c r="AT129" i="16"/>
  <c r="AT130" i="16"/>
  <c r="AT131" i="16"/>
  <c r="AT132" i="16"/>
  <c r="AT133" i="16"/>
  <c r="AT134" i="16"/>
  <c r="AT135" i="16"/>
  <c r="AT136" i="16"/>
  <c r="AT137" i="16"/>
  <c r="AT138" i="16"/>
  <c r="AT139" i="16"/>
  <c r="AT140" i="16"/>
  <c r="AT141" i="16"/>
  <c r="AT142" i="16"/>
  <c r="AT143" i="16"/>
  <c r="AT144" i="16"/>
  <c r="AT145" i="16"/>
  <c r="AT146" i="16"/>
  <c r="AT147" i="16"/>
  <c r="AT148" i="16"/>
  <c r="AT149" i="16"/>
  <c r="AT150" i="16"/>
  <c r="AT151" i="16"/>
  <c r="AT152" i="16"/>
  <c r="AT153" i="16"/>
  <c r="AT154" i="16"/>
  <c r="AT155" i="16"/>
  <c r="AT156" i="16"/>
  <c r="AT157" i="16"/>
  <c r="AT158" i="16"/>
  <c r="AT159" i="16"/>
  <c r="AT160" i="16"/>
  <c r="AT161" i="16"/>
  <c r="AT162" i="16"/>
  <c r="AT163" i="16"/>
  <c r="AT164" i="16"/>
  <c r="AT165" i="16"/>
  <c r="AT166" i="16"/>
  <c r="AT167" i="16"/>
  <c r="AT168" i="16"/>
  <c r="AT169" i="16"/>
  <c r="AT170" i="16"/>
  <c r="AT171" i="16"/>
  <c r="AT172" i="16"/>
  <c r="AT173" i="16"/>
  <c r="AT174" i="16"/>
  <c r="AT175" i="16"/>
  <c r="AT176" i="16"/>
  <c r="AS3" i="16"/>
  <c r="AS4" i="16"/>
  <c r="AS5" i="16"/>
  <c r="AS6" i="16"/>
  <c r="AS7" i="16"/>
  <c r="AS8" i="16"/>
  <c r="AS9" i="16"/>
  <c r="AS10" i="16"/>
  <c r="AS11" i="16"/>
  <c r="AS12" i="16"/>
  <c r="AS13" i="16"/>
  <c r="AS14" i="16"/>
  <c r="AS15" i="16"/>
  <c r="AS16" i="16"/>
  <c r="AS17" i="16"/>
  <c r="AS18" i="16"/>
  <c r="AS19" i="16"/>
  <c r="AS20" i="16"/>
  <c r="AS21" i="16"/>
  <c r="AS22" i="16"/>
  <c r="AS23" i="16"/>
  <c r="AS24" i="16"/>
  <c r="AS25" i="16"/>
  <c r="AS26" i="16"/>
  <c r="AS27" i="16"/>
  <c r="AS28" i="16"/>
  <c r="AS29" i="16"/>
  <c r="AS30" i="16"/>
  <c r="AS31" i="16"/>
  <c r="AS32" i="16"/>
  <c r="AS33" i="16"/>
  <c r="AS34" i="16"/>
  <c r="AS35" i="16"/>
  <c r="AS36" i="16"/>
  <c r="AS37" i="16"/>
  <c r="AS38" i="16"/>
  <c r="AS39" i="16"/>
  <c r="AS40" i="16"/>
  <c r="AS41" i="16"/>
  <c r="AS42" i="16"/>
  <c r="AS43" i="16"/>
  <c r="AS44" i="16"/>
  <c r="AS45" i="16"/>
  <c r="AS46" i="16"/>
  <c r="AS47" i="16"/>
  <c r="AS48" i="16"/>
  <c r="AS49" i="16"/>
  <c r="AS50" i="16"/>
  <c r="AS51" i="16"/>
  <c r="AS52" i="16"/>
  <c r="AS53" i="16"/>
  <c r="AS54" i="16"/>
  <c r="AS55" i="16"/>
  <c r="AS56" i="16"/>
  <c r="AS57" i="16"/>
  <c r="AS58" i="16"/>
  <c r="AS59" i="16"/>
  <c r="AS60" i="16"/>
  <c r="AS61" i="16"/>
  <c r="AS62" i="16"/>
  <c r="AS63" i="16"/>
  <c r="AS64" i="16"/>
  <c r="AS65" i="16"/>
  <c r="AS66" i="16"/>
  <c r="AS67" i="16"/>
  <c r="AS68" i="16"/>
  <c r="AS69" i="16"/>
  <c r="AS70" i="16"/>
  <c r="AS71" i="16"/>
  <c r="AS72" i="16"/>
  <c r="AS73" i="16"/>
  <c r="AS74" i="16"/>
  <c r="AS75" i="16"/>
  <c r="AS76" i="16"/>
  <c r="AS77" i="16"/>
  <c r="AS78" i="16"/>
  <c r="AS79" i="16"/>
  <c r="AS80" i="16"/>
  <c r="AS81" i="16"/>
  <c r="AS82" i="16"/>
  <c r="AS83" i="16"/>
  <c r="AS84" i="16"/>
  <c r="AS85" i="16"/>
  <c r="AS86" i="16"/>
  <c r="AS87" i="16"/>
  <c r="AS88" i="16"/>
  <c r="AS89" i="16"/>
  <c r="AS90" i="16"/>
  <c r="AS91" i="16"/>
  <c r="AS92" i="16"/>
  <c r="AS93" i="16"/>
  <c r="AS94" i="16"/>
  <c r="AS95" i="16"/>
  <c r="AS96" i="16"/>
  <c r="AS97" i="16"/>
  <c r="AS98" i="16"/>
  <c r="AS99" i="16"/>
  <c r="AS100" i="16"/>
  <c r="AS101" i="16"/>
  <c r="AS102" i="16"/>
  <c r="AS103" i="16"/>
  <c r="AS104" i="16"/>
  <c r="AS105" i="16"/>
  <c r="AS106" i="16"/>
  <c r="AS107" i="16"/>
  <c r="AS108" i="16"/>
  <c r="AS109" i="16"/>
  <c r="AS110" i="16"/>
  <c r="AS111" i="16"/>
  <c r="AS112" i="16"/>
  <c r="AS113" i="16"/>
  <c r="AS114" i="16"/>
  <c r="AS115" i="16"/>
  <c r="AS116" i="16"/>
  <c r="AS117" i="16"/>
  <c r="AS118" i="16"/>
  <c r="AS119" i="16"/>
  <c r="AS120" i="16"/>
  <c r="AS121" i="16"/>
  <c r="AS122" i="16"/>
  <c r="AS123" i="16"/>
  <c r="AS124" i="16"/>
  <c r="AS125" i="16"/>
  <c r="AS126" i="16"/>
  <c r="AS127" i="16"/>
  <c r="AS128" i="16"/>
  <c r="AS129" i="16"/>
  <c r="AS130" i="16"/>
  <c r="AS131" i="16"/>
  <c r="AS132" i="16"/>
  <c r="AS133" i="16"/>
  <c r="AS134" i="16"/>
  <c r="AS135" i="16"/>
  <c r="AS136" i="16"/>
  <c r="AS137" i="16"/>
  <c r="AS138" i="16"/>
  <c r="AS139" i="16"/>
  <c r="AS140" i="16"/>
  <c r="AS141" i="16"/>
  <c r="AS142" i="16"/>
  <c r="AS143" i="16"/>
  <c r="AS144" i="16"/>
  <c r="AS145" i="16"/>
  <c r="AS146" i="16"/>
  <c r="AS147" i="16"/>
  <c r="AS148" i="16"/>
  <c r="AS149" i="16"/>
  <c r="AS150" i="16"/>
  <c r="AS151" i="16"/>
  <c r="AS152" i="16"/>
  <c r="AS153" i="16"/>
  <c r="AS154" i="16"/>
  <c r="AS155" i="16"/>
  <c r="AS156" i="16"/>
  <c r="AS157" i="16"/>
  <c r="AS158" i="16"/>
  <c r="AS159" i="16"/>
  <c r="AS160" i="16"/>
  <c r="AS161" i="16"/>
  <c r="AS162" i="16"/>
  <c r="AS163" i="16"/>
  <c r="AS164" i="16"/>
  <c r="AS165" i="16"/>
  <c r="AS166" i="16"/>
  <c r="AS167" i="16"/>
  <c r="AS168" i="16"/>
  <c r="AS169" i="16"/>
  <c r="AS170" i="16"/>
  <c r="AS171" i="16"/>
  <c r="AS172" i="16"/>
  <c r="AS173" i="16"/>
  <c r="AS174" i="16"/>
  <c r="AS175" i="16"/>
  <c r="AS176" i="16"/>
  <c r="AR3" i="16"/>
  <c r="AR4" i="16"/>
  <c r="AR5" i="16"/>
  <c r="AR6" i="16"/>
  <c r="AR7" i="16"/>
  <c r="AR8" i="16"/>
  <c r="AR9" i="16"/>
  <c r="AR10" i="16"/>
  <c r="AR11" i="16"/>
  <c r="AR12" i="16"/>
  <c r="AR13" i="16"/>
  <c r="AR14" i="16"/>
  <c r="AR15" i="16"/>
  <c r="AR16" i="16"/>
  <c r="AR17" i="16"/>
  <c r="AR18" i="16"/>
  <c r="AR19" i="16"/>
  <c r="AR20" i="16"/>
  <c r="AR21" i="16"/>
  <c r="AR22" i="16"/>
  <c r="AR23" i="16"/>
  <c r="AR24" i="16"/>
  <c r="AR25" i="16"/>
  <c r="AR26" i="16"/>
  <c r="AR27" i="16"/>
  <c r="AR28" i="16"/>
  <c r="AR29" i="16"/>
  <c r="AR30" i="16"/>
  <c r="AR31" i="16"/>
  <c r="AR32" i="16"/>
  <c r="AR33" i="16"/>
  <c r="AR34" i="16"/>
  <c r="AR35" i="16"/>
  <c r="AR36" i="16"/>
  <c r="AR37" i="16"/>
  <c r="AR38" i="16"/>
  <c r="AR39" i="16"/>
  <c r="AR40" i="16"/>
  <c r="AR41" i="16"/>
  <c r="AR42" i="16"/>
  <c r="AR43" i="16"/>
  <c r="AR44" i="16"/>
  <c r="AR45" i="16"/>
  <c r="AR46" i="16"/>
  <c r="AR47" i="16"/>
  <c r="AR48" i="16"/>
  <c r="AR49" i="16"/>
  <c r="AR50" i="16"/>
  <c r="AR51" i="16"/>
  <c r="AR52" i="16"/>
  <c r="AR53" i="16"/>
  <c r="AR54" i="16"/>
  <c r="AR55" i="16"/>
  <c r="AR56" i="16"/>
  <c r="AR57" i="16"/>
  <c r="AR58" i="16"/>
  <c r="AR59" i="16"/>
  <c r="AR60" i="16"/>
  <c r="AR61" i="16"/>
  <c r="AR62" i="16"/>
  <c r="AR63" i="16"/>
  <c r="AR64" i="16"/>
  <c r="AR65" i="16"/>
  <c r="AR66" i="16"/>
  <c r="AR67" i="16"/>
  <c r="AR68" i="16"/>
  <c r="AR69" i="16"/>
  <c r="AR70" i="16"/>
  <c r="AR71" i="16"/>
  <c r="AR72" i="16"/>
  <c r="AR73" i="16"/>
  <c r="AR74" i="16"/>
  <c r="AR75" i="16"/>
  <c r="AR76" i="16"/>
  <c r="AR77" i="16"/>
  <c r="AR78" i="16"/>
  <c r="AR79" i="16"/>
  <c r="AR80" i="16"/>
  <c r="AR81" i="16"/>
  <c r="AR82" i="16"/>
  <c r="AR83" i="16"/>
  <c r="AR84" i="16"/>
  <c r="AR85" i="16"/>
  <c r="AR86" i="16"/>
  <c r="AR87" i="16"/>
  <c r="AR88" i="16"/>
  <c r="AR89" i="16"/>
  <c r="AR90" i="16"/>
  <c r="AR91" i="16"/>
  <c r="AR92" i="16"/>
  <c r="AR93" i="16"/>
  <c r="AR94" i="16"/>
  <c r="AR95" i="16"/>
  <c r="AR96" i="16"/>
  <c r="AR97" i="16"/>
  <c r="AR98" i="16"/>
  <c r="AR99" i="16"/>
  <c r="AR100" i="16"/>
  <c r="AR101" i="16"/>
  <c r="AR102" i="16"/>
  <c r="AR103" i="16"/>
  <c r="AR104" i="16"/>
  <c r="AR105" i="16"/>
  <c r="AR106" i="16"/>
  <c r="AR107" i="16"/>
  <c r="AR108" i="16"/>
  <c r="AR109" i="16"/>
  <c r="AR110" i="16"/>
  <c r="AR111" i="16"/>
  <c r="AR112" i="16"/>
  <c r="AR113" i="16"/>
  <c r="AR114" i="16"/>
  <c r="AR115" i="16"/>
  <c r="AR116" i="16"/>
  <c r="AR117" i="16"/>
  <c r="AR118" i="16"/>
  <c r="AR119" i="16"/>
  <c r="AR120" i="16"/>
  <c r="AR121" i="16"/>
  <c r="AR122" i="16"/>
  <c r="AR123" i="16"/>
  <c r="AR124" i="16"/>
  <c r="AR125" i="16"/>
  <c r="AR126" i="16"/>
  <c r="AR127" i="16"/>
  <c r="AR128" i="16"/>
  <c r="AR129" i="16"/>
  <c r="AR130" i="16"/>
  <c r="AR131" i="16"/>
  <c r="AR132" i="16"/>
  <c r="AR133" i="16"/>
  <c r="AR134" i="16"/>
  <c r="AR135" i="16"/>
  <c r="AR136" i="16"/>
  <c r="AR137" i="16"/>
  <c r="AR138" i="16"/>
  <c r="AR139" i="16"/>
  <c r="AR140" i="16"/>
  <c r="AR141" i="16"/>
  <c r="AR142" i="16"/>
  <c r="AR143" i="16"/>
  <c r="AR144" i="16"/>
  <c r="AR145" i="16"/>
  <c r="AR146" i="16"/>
  <c r="AR147" i="16"/>
  <c r="AR148" i="16"/>
  <c r="AR149" i="16"/>
  <c r="AR150" i="16"/>
  <c r="AR151" i="16"/>
  <c r="AR152" i="16"/>
  <c r="AR153" i="16"/>
  <c r="AR154" i="16"/>
  <c r="AR155" i="16"/>
  <c r="AR156" i="16"/>
  <c r="AR157" i="16"/>
  <c r="AR158" i="16"/>
  <c r="AR159" i="16"/>
  <c r="AR160" i="16"/>
  <c r="AR161" i="16"/>
  <c r="AR162" i="16"/>
  <c r="AR163" i="16"/>
  <c r="AR164" i="16"/>
  <c r="AR165" i="16"/>
  <c r="AR166" i="16"/>
  <c r="AR167" i="16"/>
  <c r="AR168" i="16"/>
  <c r="AR169" i="16"/>
  <c r="AR170" i="16"/>
  <c r="AR171" i="16"/>
  <c r="AR172" i="16"/>
  <c r="AR173" i="16"/>
  <c r="AR174" i="16"/>
  <c r="AR175" i="16"/>
  <c r="AR176" i="16"/>
  <c r="AQ3" i="16"/>
  <c r="AQ4" i="16"/>
  <c r="AQ5" i="16"/>
  <c r="AQ6" i="16"/>
  <c r="AQ7" i="16"/>
  <c r="AQ8" i="16"/>
  <c r="AQ9" i="16"/>
  <c r="AQ10" i="16"/>
  <c r="AQ11" i="16"/>
  <c r="AQ12" i="16"/>
  <c r="AQ13" i="16"/>
  <c r="AQ14" i="16"/>
  <c r="AQ15" i="16"/>
  <c r="AQ16" i="16"/>
  <c r="AQ17" i="16"/>
  <c r="AQ18" i="16"/>
  <c r="AQ19" i="16"/>
  <c r="AQ20" i="16"/>
  <c r="AQ21" i="16"/>
  <c r="AQ22" i="16"/>
  <c r="AQ23" i="16"/>
  <c r="AQ24" i="16"/>
  <c r="AQ25" i="16"/>
  <c r="AQ26" i="16"/>
  <c r="AQ27" i="16"/>
  <c r="AQ28" i="16"/>
  <c r="AQ29" i="16"/>
  <c r="AQ30" i="16"/>
  <c r="AQ31" i="16"/>
  <c r="AQ32" i="16"/>
  <c r="AQ33" i="16"/>
  <c r="AQ34" i="16"/>
  <c r="AQ35" i="16"/>
  <c r="AQ36" i="16"/>
  <c r="AQ37" i="16"/>
  <c r="AQ38" i="16"/>
  <c r="AQ39" i="16"/>
  <c r="AQ40" i="16"/>
  <c r="AQ41" i="16"/>
  <c r="AQ42" i="16"/>
  <c r="AQ43" i="16"/>
  <c r="AQ44" i="16"/>
  <c r="AQ45" i="16"/>
  <c r="AQ46" i="16"/>
  <c r="AQ47" i="16"/>
  <c r="AQ48" i="16"/>
  <c r="AQ49" i="16"/>
  <c r="AQ50" i="16"/>
  <c r="AQ51" i="16"/>
  <c r="AQ52" i="16"/>
  <c r="AQ53" i="16"/>
  <c r="AQ54" i="16"/>
  <c r="AQ55" i="16"/>
  <c r="AQ56" i="16"/>
  <c r="AQ57" i="16"/>
  <c r="AQ58" i="16"/>
  <c r="AQ59" i="16"/>
  <c r="AQ60" i="16"/>
  <c r="AQ61" i="16"/>
  <c r="AQ62" i="16"/>
  <c r="AQ63" i="16"/>
  <c r="AQ64" i="16"/>
  <c r="AQ65" i="16"/>
  <c r="AQ66" i="16"/>
  <c r="AQ67" i="16"/>
  <c r="AQ68" i="16"/>
  <c r="AQ69" i="16"/>
  <c r="AQ70" i="16"/>
  <c r="AQ71" i="16"/>
  <c r="AQ72" i="16"/>
  <c r="AQ73" i="16"/>
  <c r="AQ74" i="16"/>
  <c r="AQ75" i="16"/>
  <c r="AQ76" i="16"/>
  <c r="AQ77" i="16"/>
  <c r="AQ78" i="16"/>
  <c r="AQ79" i="16"/>
  <c r="AQ80" i="16"/>
  <c r="AQ81" i="16"/>
  <c r="AQ82" i="16"/>
  <c r="AQ83" i="16"/>
  <c r="AQ84" i="16"/>
  <c r="AQ85" i="16"/>
  <c r="AQ86" i="16"/>
  <c r="AQ87" i="16"/>
  <c r="AQ88" i="16"/>
  <c r="AQ89" i="16"/>
  <c r="AQ90" i="16"/>
  <c r="AQ91" i="16"/>
  <c r="AQ92" i="16"/>
  <c r="AQ93" i="16"/>
  <c r="AQ94" i="16"/>
  <c r="AQ95" i="16"/>
  <c r="AQ96" i="16"/>
  <c r="AQ97" i="16"/>
  <c r="AQ98" i="16"/>
  <c r="AQ99" i="16"/>
  <c r="AQ100" i="16"/>
  <c r="AQ101" i="16"/>
  <c r="AQ102" i="16"/>
  <c r="AQ103" i="16"/>
  <c r="AQ104" i="16"/>
  <c r="AQ105" i="16"/>
  <c r="AQ106" i="16"/>
  <c r="AQ107" i="16"/>
  <c r="AQ108" i="16"/>
  <c r="AQ109" i="16"/>
  <c r="AQ110" i="16"/>
  <c r="AQ111" i="16"/>
  <c r="AQ112" i="16"/>
  <c r="AQ113" i="16"/>
  <c r="AQ114" i="16"/>
  <c r="AQ115" i="16"/>
  <c r="AQ116" i="16"/>
  <c r="AQ117" i="16"/>
  <c r="AQ118" i="16"/>
  <c r="AQ119" i="16"/>
  <c r="AQ120" i="16"/>
  <c r="AQ121" i="16"/>
  <c r="AQ122" i="16"/>
  <c r="AQ123" i="16"/>
  <c r="AQ124" i="16"/>
  <c r="AQ125" i="16"/>
  <c r="AQ126" i="16"/>
  <c r="AQ127" i="16"/>
  <c r="AQ128" i="16"/>
  <c r="AQ129" i="16"/>
  <c r="AQ130" i="16"/>
  <c r="AQ131" i="16"/>
  <c r="AQ132" i="16"/>
  <c r="AQ133" i="16"/>
  <c r="AQ134" i="16"/>
  <c r="AQ135" i="16"/>
  <c r="AQ136" i="16"/>
  <c r="AQ137" i="16"/>
  <c r="AQ138" i="16"/>
  <c r="AQ139" i="16"/>
  <c r="AQ140" i="16"/>
  <c r="AQ141" i="16"/>
  <c r="AQ142" i="16"/>
  <c r="AQ143" i="16"/>
  <c r="AQ144" i="16"/>
  <c r="AQ145" i="16"/>
  <c r="AQ146" i="16"/>
  <c r="AQ147" i="16"/>
  <c r="AQ148" i="16"/>
  <c r="AQ149" i="16"/>
  <c r="AQ150" i="16"/>
  <c r="AQ151" i="16"/>
  <c r="AQ152" i="16"/>
  <c r="AQ153" i="16"/>
  <c r="AQ154" i="16"/>
  <c r="AQ155" i="16"/>
  <c r="AQ156" i="16"/>
  <c r="AQ157" i="16"/>
  <c r="AQ158" i="16"/>
  <c r="AQ159" i="16"/>
  <c r="AQ160" i="16"/>
  <c r="AQ161" i="16"/>
  <c r="AQ162" i="16"/>
  <c r="AQ163" i="16"/>
  <c r="AQ164" i="16"/>
  <c r="AQ165" i="16"/>
  <c r="AQ166" i="16"/>
  <c r="AQ167" i="16"/>
  <c r="AQ168" i="16"/>
  <c r="AQ169" i="16"/>
  <c r="AQ170" i="16"/>
  <c r="AQ171" i="16"/>
  <c r="AQ172" i="16"/>
  <c r="AQ173" i="16"/>
  <c r="AQ174" i="16"/>
  <c r="AQ175" i="16"/>
  <c r="AQ176" i="16"/>
  <c r="AP3" i="16"/>
  <c r="AP4" i="16"/>
  <c r="AP5" i="16"/>
  <c r="AP6" i="16"/>
  <c r="AP7" i="16"/>
  <c r="AP8" i="16"/>
  <c r="AP9" i="16"/>
  <c r="AP10" i="16"/>
  <c r="AP11" i="16"/>
  <c r="AP12" i="16"/>
  <c r="AP13" i="16"/>
  <c r="AP14" i="16"/>
  <c r="AP15" i="16"/>
  <c r="AP16" i="16"/>
  <c r="AP17" i="16"/>
  <c r="AP18" i="16"/>
  <c r="AP19" i="16"/>
  <c r="AP20" i="16"/>
  <c r="AP21" i="16"/>
  <c r="AP22" i="16"/>
  <c r="AP23" i="16"/>
  <c r="AP24" i="16"/>
  <c r="AP25" i="16"/>
  <c r="AP26" i="16"/>
  <c r="AP27" i="16"/>
  <c r="AP28" i="16"/>
  <c r="AP29" i="16"/>
  <c r="AP30" i="16"/>
  <c r="AP31" i="16"/>
  <c r="AP32" i="16"/>
  <c r="AP33" i="16"/>
  <c r="AP34" i="16"/>
  <c r="AP35" i="16"/>
  <c r="AP36" i="16"/>
  <c r="AP37" i="16"/>
  <c r="AP38" i="16"/>
  <c r="AP39" i="16"/>
  <c r="AP40" i="16"/>
  <c r="AP41" i="16"/>
  <c r="AP42" i="16"/>
  <c r="AP43" i="16"/>
  <c r="AP44" i="16"/>
  <c r="AP45" i="16"/>
  <c r="AP46" i="16"/>
  <c r="AP47" i="16"/>
  <c r="AP48" i="16"/>
  <c r="AP49" i="16"/>
  <c r="AP50" i="16"/>
  <c r="AP51" i="16"/>
  <c r="AP52" i="16"/>
  <c r="AP53" i="16"/>
  <c r="AP54" i="16"/>
  <c r="AP55" i="16"/>
  <c r="AP56" i="16"/>
  <c r="AP57" i="16"/>
  <c r="AP58" i="16"/>
  <c r="AP59" i="16"/>
  <c r="AP60" i="16"/>
  <c r="AP61" i="16"/>
  <c r="AP62" i="16"/>
  <c r="AP63" i="16"/>
  <c r="AP64" i="16"/>
  <c r="AP65" i="16"/>
  <c r="AP66" i="16"/>
  <c r="AP67" i="16"/>
  <c r="AP68" i="16"/>
  <c r="AP69" i="16"/>
  <c r="AP70" i="16"/>
  <c r="AP71" i="16"/>
  <c r="AP72" i="16"/>
  <c r="AP73" i="16"/>
  <c r="AP74" i="16"/>
  <c r="AP75" i="16"/>
  <c r="AP76" i="16"/>
  <c r="AP77" i="16"/>
  <c r="AP78" i="16"/>
  <c r="AP79" i="16"/>
  <c r="AP80" i="16"/>
  <c r="AP81" i="16"/>
  <c r="AP82" i="16"/>
  <c r="AP83" i="16"/>
  <c r="AP84" i="16"/>
  <c r="AP85" i="16"/>
  <c r="AP86" i="16"/>
  <c r="AP87" i="16"/>
  <c r="AP88" i="16"/>
  <c r="AP89" i="16"/>
  <c r="AP90" i="16"/>
  <c r="AP91" i="16"/>
  <c r="AP92" i="16"/>
  <c r="AP93" i="16"/>
  <c r="AP94" i="16"/>
  <c r="AP95" i="16"/>
  <c r="AP96" i="16"/>
  <c r="AP97" i="16"/>
  <c r="AP98" i="16"/>
  <c r="AP99" i="16"/>
  <c r="AP100" i="16"/>
  <c r="AP101" i="16"/>
  <c r="AP102" i="16"/>
  <c r="AP103" i="16"/>
  <c r="AP104" i="16"/>
  <c r="AP105" i="16"/>
  <c r="AP106" i="16"/>
  <c r="AP107" i="16"/>
  <c r="AP108" i="16"/>
  <c r="AP109" i="16"/>
  <c r="AP110" i="16"/>
  <c r="AP111" i="16"/>
  <c r="AP112" i="16"/>
  <c r="AP113" i="16"/>
  <c r="AP114" i="16"/>
  <c r="AP115" i="16"/>
  <c r="AP116" i="16"/>
  <c r="AP117" i="16"/>
  <c r="AP118" i="16"/>
  <c r="AP119" i="16"/>
  <c r="AP120" i="16"/>
  <c r="AP121" i="16"/>
  <c r="AP122" i="16"/>
  <c r="AP123" i="16"/>
  <c r="AP124" i="16"/>
  <c r="AP125" i="16"/>
  <c r="AP126" i="16"/>
  <c r="AP127" i="16"/>
  <c r="AP128" i="16"/>
  <c r="AP129" i="16"/>
  <c r="AP130" i="16"/>
  <c r="AP131" i="16"/>
  <c r="AP132" i="16"/>
  <c r="AP133" i="16"/>
  <c r="AP134" i="16"/>
  <c r="AP135" i="16"/>
  <c r="AP136" i="16"/>
  <c r="AP137" i="16"/>
  <c r="AP138" i="16"/>
  <c r="AP139" i="16"/>
  <c r="AP140" i="16"/>
  <c r="AP141" i="16"/>
  <c r="AP142" i="16"/>
  <c r="AP143" i="16"/>
  <c r="AP144" i="16"/>
  <c r="AP145" i="16"/>
  <c r="AP146" i="16"/>
  <c r="AP147" i="16"/>
  <c r="AP148" i="16"/>
  <c r="AP149" i="16"/>
  <c r="AP150" i="16"/>
  <c r="AP151" i="16"/>
  <c r="AP152" i="16"/>
  <c r="AP153" i="16"/>
  <c r="AP154" i="16"/>
  <c r="AP155" i="16"/>
  <c r="AP156" i="16"/>
  <c r="AP157" i="16"/>
  <c r="AP158" i="16"/>
  <c r="AP159" i="16"/>
  <c r="AP160" i="16"/>
  <c r="AP161" i="16"/>
  <c r="AP162" i="16"/>
  <c r="AP163" i="16"/>
  <c r="AP164" i="16"/>
  <c r="AP165" i="16"/>
  <c r="AP166" i="16"/>
  <c r="AP167" i="16"/>
  <c r="AP168" i="16"/>
  <c r="AP169" i="16"/>
  <c r="AP170" i="16"/>
  <c r="AP171" i="16"/>
  <c r="AP172" i="16"/>
  <c r="AP173" i="16"/>
  <c r="AP174" i="16"/>
  <c r="AP175" i="16"/>
  <c r="AP176" i="16"/>
  <c r="AO3" i="16"/>
  <c r="AO4" i="16"/>
  <c r="AO5" i="16"/>
  <c r="AO6" i="16"/>
  <c r="AO7" i="16"/>
  <c r="AO8" i="16"/>
  <c r="AO9" i="16"/>
  <c r="AO10" i="16"/>
  <c r="AO11" i="16"/>
  <c r="AO12" i="16"/>
  <c r="AO13" i="16"/>
  <c r="AO14" i="16"/>
  <c r="AO15" i="16"/>
  <c r="AO16" i="16"/>
  <c r="AO17" i="16"/>
  <c r="AO18" i="16"/>
  <c r="AO19" i="16"/>
  <c r="AO20" i="16"/>
  <c r="AO21" i="16"/>
  <c r="AO22" i="16"/>
  <c r="AO23" i="16"/>
  <c r="AO24" i="16"/>
  <c r="AO25" i="16"/>
  <c r="AO26" i="16"/>
  <c r="AO27" i="16"/>
  <c r="AO28" i="16"/>
  <c r="AO29" i="16"/>
  <c r="AO30" i="16"/>
  <c r="AO31" i="16"/>
  <c r="AO32" i="16"/>
  <c r="AO33" i="16"/>
  <c r="AO34" i="16"/>
  <c r="AO35" i="16"/>
  <c r="AO36" i="16"/>
  <c r="AO37" i="16"/>
  <c r="AO38" i="16"/>
  <c r="AO39" i="16"/>
  <c r="AO40" i="16"/>
  <c r="AO41" i="16"/>
  <c r="AO42" i="16"/>
  <c r="AO43" i="16"/>
  <c r="AO44" i="16"/>
  <c r="AO45" i="16"/>
  <c r="AO46" i="16"/>
  <c r="AO47" i="16"/>
  <c r="AO48" i="16"/>
  <c r="AO49" i="16"/>
  <c r="AO50" i="16"/>
  <c r="AO51" i="16"/>
  <c r="AO52" i="16"/>
  <c r="AO53" i="16"/>
  <c r="AO54" i="16"/>
  <c r="AO55" i="16"/>
  <c r="AO56" i="16"/>
  <c r="AO57" i="16"/>
  <c r="AO58" i="16"/>
  <c r="AO59" i="16"/>
  <c r="AO60" i="16"/>
  <c r="AO61" i="16"/>
  <c r="AO62" i="16"/>
  <c r="AO63" i="16"/>
  <c r="AO64" i="16"/>
  <c r="AO65" i="16"/>
  <c r="AO66" i="16"/>
  <c r="AO67" i="16"/>
  <c r="AO68" i="16"/>
  <c r="AO69" i="16"/>
  <c r="AO70" i="16"/>
  <c r="AO71" i="16"/>
  <c r="AO72" i="16"/>
  <c r="AO73" i="16"/>
  <c r="AO74" i="16"/>
  <c r="AO75" i="16"/>
  <c r="AO76" i="16"/>
  <c r="AO77" i="16"/>
  <c r="AO78" i="16"/>
  <c r="AO79" i="16"/>
  <c r="AO80" i="16"/>
  <c r="AO81" i="16"/>
  <c r="AO82" i="16"/>
  <c r="AO83" i="16"/>
  <c r="AO84" i="16"/>
  <c r="AO85" i="16"/>
  <c r="AO86" i="16"/>
  <c r="AO87" i="16"/>
  <c r="AO88" i="16"/>
  <c r="AO89" i="16"/>
  <c r="AO90" i="16"/>
  <c r="AO91" i="16"/>
  <c r="AO92" i="16"/>
  <c r="AO93" i="16"/>
  <c r="AO94" i="16"/>
  <c r="AO95" i="16"/>
  <c r="AO96" i="16"/>
  <c r="AO97" i="16"/>
  <c r="AO98" i="16"/>
  <c r="AO99" i="16"/>
  <c r="AO100" i="16"/>
  <c r="AO101" i="16"/>
  <c r="AO102" i="16"/>
  <c r="AO103" i="16"/>
  <c r="AO104" i="16"/>
  <c r="AO105" i="16"/>
  <c r="AO106" i="16"/>
  <c r="AO107" i="16"/>
  <c r="AO108" i="16"/>
  <c r="AO109" i="16"/>
  <c r="AO110" i="16"/>
  <c r="AO111" i="16"/>
  <c r="AO112" i="16"/>
  <c r="AO113" i="16"/>
  <c r="AO114" i="16"/>
  <c r="AO115" i="16"/>
  <c r="AO116" i="16"/>
  <c r="AO117" i="16"/>
  <c r="AO118" i="16"/>
  <c r="AO119" i="16"/>
  <c r="AO120" i="16"/>
  <c r="AO121" i="16"/>
  <c r="AO122" i="16"/>
  <c r="AO123" i="16"/>
  <c r="AO124" i="16"/>
  <c r="AO125" i="16"/>
  <c r="AO126" i="16"/>
  <c r="AO127" i="16"/>
  <c r="AO128" i="16"/>
  <c r="AO129" i="16"/>
  <c r="AO130" i="16"/>
  <c r="AO131" i="16"/>
  <c r="AO132" i="16"/>
  <c r="AO133" i="16"/>
  <c r="AO134" i="16"/>
  <c r="AO135" i="16"/>
  <c r="AO136" i="16"/>
  <c r="AO137" i="16"/>
  <c r="AO138" i="16"/>
  <c r="AO139" i="16"/>
  <c r="AO140" i="16"/>
  <c r="AO141" i="16"/>
  <c r="AO142" i="16"/>
  <c r="AO143" i="16"/>
  <c r="AO144" i="16"/>
  <c r="AO145" i="16"/>
  <c r="AO146" i="16"/>
  <c r="AO147" i="16"/>
  <c r="AO148" i="16"/>
  <c r="AO149" i="16"/>
  <c r="AO150" i="16"/>
  <c r="AO151" i="16"/>
  <c r="AO152" i="16"/>
  <c r="AO153" i="16"/>
  <c r="AO154" i="16"/>
  <c r="AO155" i="16"/>
  <c r="AO156" i="16"/>
  <c r="AO157" i="16"/>
  <c r="AO158" i="16"/>
  <c r="AO159" i="16"/>
  <c r="AO160" i="16"/>
  <c r="AO161" i="16"/>
  <c r="AO162" i="16"/>
  <c r="AO163" i="16"/>
  <c r="AO164" i="16"/>
  <c r="AO165" i="16"/>
  <c r="AO166" i="16"/>
  <c r="AO167" i="16"/>
  <c r="AO168" i="16"/>
  <c r="AO169" i="16"/>
  <c r="AO170" i="16"/>
  <c r="AO171" i="16"/>
  <c r="AO172" i="16"/>
  <c r="AO173" i="16"/>
  <c r="AO174" i="16"/>
  <c r="AO175" i="16"/>
  <c r="AO176" i="16"/>
  <c r="AN3" i="16"/>
  <c r="AN4" i="16"/>
  <c r="AN5" i="16"/>
  <c r="AN6" i="16"/>
  <c r="AN7" i="16"/>
  <c r="AN8" i="16"/>
  <c r="AN9" i="16"/>
  <c r="AN10" i="16"/>
  <c r="AN11" i="16"/>
  <c r="AN12" i="16"/>
  <c r="AN13" i="16"/>
  <c r="AN14" i="16"/>
  <c r="AN15" i="16"/>
  <c r="AN16" i="16"/>
  <c r="AN17" i="16"/>
  <c r="AN18" i="16"/>
  <c r="AN19" i="16"/>
  <c r="AN20" i="16"/>
  <c r="AN21" i="16"/>
  <c r="AN22" i="16"/>
  <c r="AN23" i="16"/>
  <c r="AN24" i="16"/>
  <c r="AN25" i="16"/>
  <c r="AN26" i="16"/>
  <c r="AN27" i="16"/>
  <c r="AN28" i="16"/>
  <c r="AN29" i="16"/>
  <c r="AN30" i="16"/>
  <c r="AN31" i="16"/>
  <c r="AN32" i="16"/>
  <c r="AN33" i="16"/>
  <c r="AN34" i="16"/>
  <c r="AN35" i="16"/>
  <c r="AN36" i="16"/>
  <c r="AN37" i="16"/>
  <c r="AN38" i="16"/>
  <c r="AN39" i="16"/>
  <c r="AN40" i="16"/>
  <c r="AN41" i="16"/>
  <c r="AN42" i="16"/>
  <c r="AN43" i="16"/>
  <c r="AN44" i="16"/>
  <c r="AN45" i="16"/>
  <c r="AN46" i="16"/>
  <c r="AN47" i="16"/>
  <c r="AN48" i="16"/>
  <c r="AN49" i="16"/>
  <c r="AN50" i="16"/>
  <c r="AN51" i="16"/>
  <c r="AN52" i="16"/>
  <c r="AN53" i="16"/>
  <c r="AN54" i="16"/>
  <c r="AN55" i="16"/>
  <c r="AN56" i="16"/>
  <c r="AN57" i="16"/>
  <c r="AN58" i="16"/>
  <c r="AN59" i="16"/>
  <c r="AN60" i="16"/>
  <c r="AN61" i="16"/>
  <c r="AN62" i="16"/>
  <c r="AN63" i="16"/>
  <c r="AN64" i="16"/>
  <c r="AN65" i="16"/>
  <c r="AN66" i="16"/>
  <c r="AN67" i="16"/>
  <c r="AN68" i="16"/>
  <c r="AN69" i="16"/>
  <c r="AN70" i="16"/>
  <c r="AN71" i="16"/>
  <c r="AN72" i="16"/>
  <c r="AN73" i="16"/>
  <c r="AN74" i="16"/>
  <c r="AN75" i="16"/>
  <c r="AN76" i="16"/>
  <c r="AN77" i="16"/>
  <c r="AN78" i="16"/>
  <c r="AN79" i="16"/>
  <c r="AN80" i="16"/>
  <c r="AN81" i="16"/>
  <c r="AN82" i="16"/>
  <c r="AN83" i="16"/>
  <c r="AN84" i="16"/>
  <c r="AN85" i="16"/>
  <c r="AN86" i="16"/>
  <c r="AN87" i="16"/>
  <c r="AN88" i="16"/>
  <c r="AN89" i="16"/>
  <c r="AN90" i="16"/>
  <c r="AN91" i="16"/>
  <c r="AN92" i="16"/>
  <c r="AN93" i="16"/>
  <c r="AN94" i="16"/>
  <c r="AN95" i="16"/>
  <c r="AN96" i="16"/>
  <c r="AN97" i="16"/>
  <c r="AN98" i="16"/>
  <c r="AN99" i="16"/>
  <c r="AN100" i="16"/>
  <c r="AN101" i="16"/>
  <c r="AN102" i="16"/>
  <c r="AN103" i="16"/>
  <c r="AN104" i="16"/>
  <c r="AN105" i="16"/>
  <c r="AN106" i="16"/>
  <c r="AN107" i="16"/>
  <c r="AN108" i="16"/>
  <c r="AN109" i="16"/>
  <c r="AN110" i="16"/>
  <c r="AN111" i="16"/>
  <c r="AN112" i="16"/>
  <c r="AN113" i="16"/>
  <c r="AN114" i="16"/>
  <c r="AN115" i="16"/>
  <c r="AN116" i="16"/>
  <c r="AN117" i="16"/>
  <c r="AN118" i="16"/>
  <c r="AN119" i="16"/>
  <c r="AN120" i="16"/>
  <c r="AN121" i="16"/>
  <c r="AN122" i="16"/>
  <c r="AN123" i="16"/>
  <c r="AN124" i="16"/>
  <c r="AN125" i="16"/>
  <c r="AN126" i="16"/>
  <c r="AN127" i="16"/>
  <c r="AN128" i="16"/>
  <c r="AN129" i="16"/>
  <c r="AN130" i="16"/>
  <c r="AN131" i="16"/>
  <c r="AN132" i="16"/>
  <c r="AN133" i="16"/>
  <c r="AN134" i="16"/>
  <c r="AN135" i="16"/>
  <c r="AN136" i="16"/>
  <c r="AN137" i="16"/>
  <c r="AN138" i="16"/>
  <c r="AN139" i="16"/>
  <c r="AN140" i="16"/>
  <c r="AN141" i="16"/>
  <c r="AN142" i="16"/>
  <c r="AN143" i="16"/>
  <c r="AN144" i="16"/>
  <c r="AN145" i="16"/>
  <c r="AN146" i="16"/>
  <c r="AN147" i="16"/>
  <c r="AN148" i="16"/>
  <c r="AN149" i="16"/>
  <c r="AN150" i="16"/>
  <c r="AN151" i="16"/>
  <c r="AN152" i="16"/>
  <c r="AN153" i="16"/>
  <c r="AN154" i="16"/>
  <c r="AN155" i="16"/>
  <c r="AN156" i="16"/>
  <c r="AN157" i="16"/>
  <c r="AN158" i="16"/>
  <c r="AN159" i="16"/>
  <c r="AN160" i="16"/>
  <c r="AN161" i="16"/>
  <c r="AN162" i="16"/>
  <c r="AN163" i="16"/>
  <c r="AN164" i="16"/>
  <c r="AN165" i="16"/>
  <c r="AN166" i="16"/>
  <c r="AN167" i="16"/>
  <c r="AN168" i="16"/>
  <c r="AN169" i="16"/>
  <c r="AN170" i="16"/>
  <c r="AN171" i="16"/>
  <c r="AN172" i="16"/>
  <c r="AN173" i="16"/>
  <c r="AN174" i="16"/>
  <c r="AN175" i="16"/>
  <c r="AN176" i="16"/>
  <c r="AM3" i="16"/>
  <c r="AM4" i="16"/>
  <c r="AM5" i="16"/>
  <c r="AM6" i="16"/>
  <c r="AM7" i="16"/>
  <c r="AM8" i="16"/>
  <c r="AM9" i="16"/>
  <c r="AM10" i="16"/>
  <c r="AM11" i="16"/>
  <c r="AM12" i="16"/>
  <c r="AM13" i="16"/>
  <c r="AM14" i="16"/>
  <c r="AM15" i="16"/>
  <c r="AM16" i="16"/>
  <c r="AM17" i="16"/>
  <c r="AM18" i="16"/>
  <c r="AM19" i="16"/>
  <c r="AM20" i="16"/>
  <c r="AM21" i="16"/>
  <c r="AM22" i="16"/>
  <c r="AM23" i="16"/>
  <c r="AM24" i="16"/>
  <c r="AM25" i="16"/>
  <c r="AM26" i="16"/>
  <c r="AM27" i="16"/>
  <c r="AM28" i="16"/>
  <c r="AM29" i="16"/>
  <c r="AM30" i="16"/>
  <c r="AM31" i="16"/>
  <c r="AM32" i="16"/>
  <c r="AM33" i="16"/>
  <c r="AM34" i="16"/>
  <c r="AM35" i="16"/>
  <c r="AM36" i="16"/>
  <c r="AM37" i="16"/>
  <c r="AM38" i="16"/>
  <c r="AM39" i="16"/>
  <c r="AM40" i="16"/>
  <c r="AM41" i="16"/>
  <c r="AM42" i="16"/>
  <c r="AM43" i="16"/>
  <c r="AM44" i="16"/>
  <c r="AM45" i="16"/>
  <c r="AM46" i="16"/>
  <c r="AM47" i="16"/>
  <c r="AM48" i="16"/>
  <c r="AM49" i="16"/>
  <c r="AM50" i="16"/>
  <c r="AM51" i="16"/>
  <c r="AM52" i="16"/>
  <c r="AM53" i="16"/>
  <c r="AM54" i="16"/>
  <c r="AM55" i="16"/>
  <c r="AM56" i="16"/>
  <c r="AM57" i="16"/>
  <c r="AM58" i="16"/>
  <c r="AM59" i="16"/>
  <c r="AM60" i="16"/>
  <c r="AM61" i="16"/>
  <c r="AM62" i="16"/>
  <c r="AM63" i="16"/>
  <c r="AM64" i="16"/>
  <c r="AM65" i="16"/>
  <c r="AM66" i="16"/>
  <c r="AM67" i="16"/>
  <c r="AM68" i="16"/>
  <c r="AM69" i="16"/>
  <c r="AM70" i="16"/>
  <c r="AM71" i="16"/>
  <c r="AM72" i="16"/>
  <c r="AM73" i="16"/>
  <c r="AM74" i="16"/>
  <c r="AM75" i="16"/>
  <c r="AM76" i="16"/>
  <c r="AM77" i="16"/>
  <c r="AM78" i="16"/>
  <c r="AM79" i="16"/>
  <c r="AM80" i="16"/>
  <c r="AM81" i="16"/>
  <c r="AM82" i="16"/>
  <c r="AM83" i="16"/>
  <c r="AM84" i="16"/>
  <c r="AM85" i="16"/>
  <c r="AM86" i="16"/>
  <c r="AM87" i="16"/>
  <c r="AM88" i="16"/>
  <c r="AM89" i="16"/>
  <c r="AM90" i="16"/>
  <c r="AM91" i="16"/>
  <c r="AM92" i="16"/>
  <c r="AM93" i="16"/>
  <c r="AM94" i="16"/>
  <c r="AM95" i="16"/>
  <c r="AM96" i="16"/>
  <c r="AM97" i="16"/>
  <c r="AM98" i="16"/>
  <c r="AM99" i="16"/>
  <c r="AM100" i="16"/>
  <c r="AM101" i="16"/>
  <c r="AM102" i="16"/>
  <c r="AM103" i="16"/>
  <c r="AM104" i="16"/>
  <c r="AM105" i="16"/>
  <c r="AM106" i="16"/>
  <c r="AM107" i="16"/>
  <c r="AM108" i="16"/>
  <c r="AM109" i="16"/>
  <c r="AM110" i="16"/>
  <c r="AM111" i="16"/>
  <c r="AM112" i="16"/>
  <c r="AM113" i="16"/>
  <c r="AM114" i="16"/>
  <c r="AM115" i="16"/>
  <c r="AM116" i="16"/>
  <c r="AM117" i="16"/>
  <c r="AM118" i="16"/>
  <c r="AM119" i="16"/>
  <c r="AM120" i="16"/>
  <c r="AM121" i="16"/>
  <c r="AM122" i="16"/>
  <c r="AM123" i="16"/>
  <c r="AM124" i="16"/>
  <c r="AM125" i="16"/>
  <c r="AM126" i="16"/>
  <c r="AM127" i="16"/>
  <c r="AM128" i="16"/>
  <c r="AM129" i="16"/>
  <c r="AM130" i="16"/>
  <c r="AM131" i="16"/>
  <c r="AM132" i="16"/>
  <c r="AM133" i="16"/>
  <c r="AM134" i="16"/>
  <c r="AM135" i="16"/>
  <c r="AM136" i="16"/>
  <c r="AM137" i="16"/>
  <c r="AM138" i="16"/>
  <c r="AM139" i="16"/>
  <c r="AM140" i="16"/>
  <c r="AM141" i="16"/>
  <c r="AM142" i="16"/>
  <c r="AM143" i="16"/>
  <c r="AM144" i="16"/>
  <c r="AM145" i="16"/>
  <c r="AM146" i="16"/>
  <c r="AM147" i="16"/>
  <c r="AM148" i="16"/>
  <c r="AM149" i="16"/>
  <c r="AM150" i="16"/>
  <c r="AM151" i="16"/>
  <c r="AM152" i="16"/>
  <c r="AM153" i="16"/>
  <c r="AM154" i="16"/>
  <c r="AM155" i="16"/>
  <c r="AM156" i="16"/>
  <c r="AM157" i="16"/>
  <c r="AM158" i="16"/>
  <c r="AM159" i="16"/>
  <c r="AM160" i="16"/>
  <c r="AM161" i="16"/>
  <c r="AM162" i="16"/>
  <c r="AM163" i="16"/>
  <c r="AM164" i="16"/>
  <c r="AM165" i="16"/>
  <c r="AM166" i="16"/>
  <c r="AM167" i="16"/>
  <c r="AM168" i="16"/>
  <c r="AM169" i="16"/>
  <c r="AM170" i="16"/>
  <c r="AM171" i="16"/>
  <c r="AM172" i="16"/>
  <c r="AM173" i="16"/>
  <c r="AM174" i="16"/>
  <c r="AM175" i="16"/>
  <c r="AM176" i="16"/>
  <c r="AL3" i="16"/>
  <c r="AL4" i="16"/>
  <c r="AL5" i="16"/>
  <c r="AL6" i="16"/>
  <c r="AL7" i="16"/>
  <c r="AL8" i="16"/>
  <c r="AL9" i="16"/>
  <c r="AL10" i="16"/>
  <c r="AL11" i="16"/>
  <c r="AL12" i="16"/>
  <c r="AL13" i="16"/>
  <c r="AL14" i="16"/>
  <c r="AL15" i="16"/>
  <c r="AL16" i="16"/>
  <c r="AL17" i="16"/>
  <c r="AL18" i="16"/>
  <c r="AL19" i="16"/>
  <c r="AL20" i="16"/>
  <c r="AL21" i="16"/>
  <c r="AL22" i="16"/>
  <c r="AL23" i="16"/>
  <c r="AL24" i="16"/>
  <c r="AL25" i="16"/>
  <c r="AL26" i="16"/>
  <c r="AL27" i="16"/>
  <c r="AL28" i="16"/>
  <c r="AL29" i="16"/>
  <c r="AL30" i="16"/>
  <c r="AL31" i="16"/>
  <c r="AL32" i="16"/>
  <c r="AL33" i="16"/>
  <c r="AL34" i="16"/>
  <c r="AL35" i="16"/>
  <c r="AL36" i="16"/>
  <c r="AL37" i="16"/>
  <c r="AL38" i="16"/>
  <c r="AL39" i="16"/>
  <c r="AL40" i="16"/>
  <c r="AL41" i="16"/>
  <c r="AL42" i="16"/>
  <c r="AL43" i="16"/>
  <c r="AL44" i="16"/>
  <c r="AL45" i="16"/>
  <c r="AL46" i="16"/>
  <c r="AL47" i="16"/>
  <c r="AL48" i="16"/>
  <c r="AL49" i="16"/>
  <c r="AL50" i="16"/>
  <c r="AL51" i="16"/>
  <c r="AL52" i="16"/>
  <c r="AL53" i="16"/>
  <c r="AL54" i="16"/>
  <c r="AL55" i="16"/>
  <c r="AL56" i="16"/>
  <c r="AL57" i="16"/>
  <c r="AL58" i="16"/>
  <c r="AL59" i="16"/>
  <c r="AL60" i="16"/>
  <c r="AL61" i="16"/>
  <c r="AL62" i="16"/>
  <c r="AL63" i="16"/>
  <c r="AL64" i="16"/>
  <c r="AL65" i="16"/>
  <c r="AL66" i="16"/>
  <c r="AL67" i="16"/>
  <c r="AL68" i="16"/>
  <c r="AL69" i="16"/>
  <c r="AL70" i="16"/>
  <c r="AL71" i="16"/>
  <c r="AL72" i="16"/>
  <c r="AL73" i="16"/>
  <c r="AL74" i="16"/>
  <c r="AL75" i="16"/>
  <c r="AL76" i="16"/>
  <c r="AL77" i="16"/>
  <c r="AL78" i="16"/>
  <c r="AL79" i="16"/>
  <c r="AL80" i="16"/>
  <c r="AL81" i="16"/>
  <c r="AL82" i="16"/>
  <c r="AL83" i="16"/>
  <c r="AL84" i="16"/>
  <c r="AL85" i="16"/>
  <c r="AL86" i="16"/>
  <c r="AL87" i="16"/>
  <c r="AL88" i="16"/>
  <c r="AL89" i="16"/>
  <c r="AL90" i="16"/>
  <c r="AL91" i="16"/>
  <c r="AL92" i="16"/>
  <c r="AL93" i="16"/>
  <c r="AL94" i="16"/>
  <c r="AL95" i="16"/>
  <c r="AL96" i="16"/>
  <c r="AL97" i="16"/>
  <c r="AL98" i="16"/>
  <c r="AL99" i="16"/>
  <c r="AL100" i="16"/>
  <c r="AL101" i="16"/>
  <c r="AL102" i="16"/>
  <c r="AL103" i="16"/>
  <c r="AL104" i="16"/>
  <c r="AL105" i="16"/>
  <c r="AL106" i="16"/>
  <c r="AL107" i="16"/>
  <c r="AL108" i="16"/>
  <c r="AL109" i="16"/>
  <c r="AL110" i="16"/>
  <c r="AL111" i="16"/>
  <c r="AL112" i="16"/>
  <c r="AL113" i="16"/>
  <c r="AL114" i="16"/>
  <c r="AL115" i="16"/>
  <c r="AL116" i="16"/>
  <c r="AL117" i="16"/>
  <c r="AL118" i="16"/>
  <c r="AL119" i="16"/>
  <c r="AL120" i="16"/>
  <c r="AL121" i="16"/>
  <c r="AL122" i="16"/>
  <c r="AL123" i="16"/>
  <c r="AL124" i="16"/>
  <c r="AL125" i="16"/>
  <c r="AL126" i="16"/>
  <c r="AL127" i="16"/>
  <c r="AL128" i="16"/>
  <c r="AL129" i="16"/>
  <c r="AL130" i="16"/>
  <c r="AL131" i="16"/>
  <c r="AL132" i="16"/>
  <c r="AL133" i="16"/>
  <c r="AL134" i="16"/>
  <c r="AL135" i="16"/>
  <c r="AL136" i="16"/>
  <c r="AL137" i="16"/>
  <c r="AL138" i="16"/>
  <c r="AL139" i="16"/>
  <c r="AL140" i="16"/>
  <c r="AL141" i="16"/>
  <c r="AL142" i="16"/>
  <c r="AL143" i="16"/>
  <c r="AL144" i="16"/>
  <c r="AL145" i="16"/>
  <c r="AL146" i="16"/>
  <c r="AL147" i="16"/>
  <c r="AL148" i="16"/>
  <c r="AL149" i="16"/>
  <c r="AL150" i="16"/>
  <c r="AL151" i="16"/>
  <c r="AL152" i="16"/>
  <c r="AL153" i="16"/>
  <c r="AL154" i="16"/>
  <c r="AL155" i="16"/>
  <c r="AL156" i="16"/>
  <c r="AL157" i="16"/>
  <c r="AL158" i="16"/>
  <c r="AL159" i="16"/>
  <c r="AL160" i="16"/>
  <c r="AL161" i="16"/>
  <c r="AL162" i="16"/>
  <c r="AL163" i="16"/>
  <c r="AL164" i="16"/>
  <c r="AL165" i="16"/>
  <c r="AL166" i="16"/>
  <c r="AL167" i="16"/>
  <c r="AL168" i="16"/>
  <c r="AL169" i="16"/>
  <c r="AL170" i="16"/>
  <c r="AL171" i="16"/>
  <c r="AL172" i="16"/>
  <c r="AL173" i="16"/>
  <c r="AL174" i="16"/>
  <c r="AL175" i="16"/>
  <c r="AL176" i="16"/>
  <c r="AK3" i="16"/>
  <c r="AK4" i="16"/>
  <c r="AK5" i="16"/>
  <c r="AK6" i="16"/>
  <c r="AK7" i="16"/>
  <c r="AK8" i="16"/>
  <c r="AK9" i="16"/>
  <c r="AK10" i="16"/>
  <c r="AK11" i="16"/>
  <c r="AK12" i="16"/>
  <c r="AK13" i="16"/>
  <c r="AK14" i="16"/>
  <c r="AK15" i="16"/>
  <c r="AK16" i="16"/>
  <c r="AK17" i="16"/>
  <c r="AK18" i="16"/>
  <c r="AK19" i="16"/>
  <c r="AK20" i="16"/>
  <c r="AK21" i="16"/>
  <c r="AK22" i="16"/>
  <c r="AK23" i="16"/>
  <c r="AK24" i="16"/>
  <c r="AK25" i="16"/>
  <c r="AK26" i="16"/>
  <c r="AK27" i="16"/>
  <c r="AK28" i="16"/>
  <c r="AK29" i="16"/>
  <c r="AK30" i="16"/>
  <c r="AK31" i="16"/>
  <c r="AK32" i="16"/>
  <c r="AK33" i="16"/>
  <c r="AK34" i="16"/>
  <c r="AK35" i="16"/>
  <c r="AK36" i="16"/>
  <c r="AK37" i="16"/>
  <c r="AK38" i="16"/>
  <c r="AK39" i="16"/>
  <c r="AK40" i="16"/>
  <c r="AK41" i="16"/>
  <c r="AK42" i="16"/>
  <c r="AK43" i="16"/>
  <c r="AK44" i="16"/>
  <c r="AK45" i="16"/>
  <c r="AK46" i="16"/>
  <c r="AK47" i="16"/>
  <c r="AK48" i="16"/>
  <c r="AK49" i="16"/>
  <c r="AK50" i="16"/>
  <c r="AK51" i="16"/>
  <c r="AK52" i="16"/>
  <c r="AK53" i="16"/>
  <c r="AK54" i="16"/>
  <c r="AK55" i="16"/>
  <c r="AK56" i="16"/>
  <c r="AK57" i="16"/>
  <c r="AK58" i="16"/>
  <c r="AK59" i="16"/>
  <c r="AK60" i="16"/>
  <c r="AK61" i="16"/>
  <c r="AK62" i="16"/>
  <c r="AK63" i="16"/>
  <c r="AK64" i="16"/>
  <c r="AK65" i="16"/>
  <c r="AK66" i="16"/>
  <c r="AK67" i="16"/>
  <c r="AK68" i="16"/>
  <c r="AK69" i="16"/>
  <c r="AK70" i="16"/>
  <c r="AK71" i="16"/>
  <c r="AK72" i="16"/>
  <c r="AK73" i="16"/>
  <c r="AK74" i="16"/>
  <c r="AK75" i="16"/>
  <c r="AK76" i="16"/>
  <c r="AK77" i="16"/>
  <c r="AK78" i="16"/>
  <c r="AK79" i="16"/>
  <c r="AK80" i="16"/>
  <c r="AK81" i="16"/>
  <c r="AK82" i="16"/>
  <c r="AK83" i="16"/>
  <c r="AK84" i="16"/>
  <c r="AK85" i="16"/>
  <c r="AK86" i="16"/>
  <c r="AK87" i="16"/>
  <c r="AK88" i="16"/>
  <c r="AK89" i="16"/>
  <c r="AK90" i="16"/>
  <c r="AK91" i="16"/>
  <c r="AK92" i="16"/>
  <c r="AK93" i="16"/>
  <c r="AK94" i="16"/>
  <c r="AK95" i="16"/>
  <c r="AK96" i="16"/>
  <c r="AK97" i="16"/>
  <c r="AK98" i="16"/>
  <c r="AK99" i="16"/>
  <c r="AK100" i="16"/>
  <c r="AK101" i="16"/>
  <c r="AK102" i="16"/>
  <c r="AK103" i="16"/>
  <c r="AK104" i="16"/>
  <c r="AK105" i="16"/>
  <c r="AK106" i="16"/>
  <c r="AK107" i="16"/>
  <c r="AK108" i="16"/>
  <c r="AK109" i="16"/>
  <c r="AK110" i="16"/>
  <c r="AK111" i="16"/>
  <c r="AK112" i="16"/>
  <c r="AK113" i="16"/>
  <c r="AK114" i="16"/>
  <c r="AK115" i="16"/>
  <c r="AK116" i="16"/>
  <c r="AK117" i="16"/>
  <c r="AK118" i="16"/>
  <c r="AK119" i="16"/>
  <c r="AK120" i="16"/>
  <c r="AK121" i="16"/>
  <c r="AK122" i="16"/>
  <c r="AK123" i="16"/>
  <c r="AK124" i="16"/>
  <c r="AK125" i="16"/>
  <c r="AK126" i="16"/>
  <c r="AK127" i="16"/>
  <c r="AK128" i="16"/>
  <c r="AK129" i="16"/>
  <c r="AK130" i="16"/>
  <c r="AK131" i="16"/>
  <c r="AK132" i="16"/>
  <c r="AK133" i="16"/>
  <c r="AK134" i="16"/>
  <c r="AK135" i="16"/>
  <c r="AK136" i="16"/>
  <c r="AK137" i="16"/>
  <c r="AK138" i="16"/>
  <c r="AK139" i="16"/>
  <c r="AK140" i="16"/>
  <c r="AK141" i="16"/>
  <c r="AK142" i="16"/>
  <c r="AK143" i="16"/>
  <c r="AK144" i="16"/>
  <c r="AK145" i="16"/>
  <c r="AK146" i="16"/>
  <c r="AK147" i="16"/>
  <c r="AK148" i="16"/>
  <c r="AK149" i="16"/>
  <c r="AK150" i="16"/>
  <c r="AK151" i="16"/>
  <c r="AK152" i="16"/>
  <c r="AK153" i="16"/>
  <c r="AK154" i="16"/>
  <c r="AK155" i="16"/>
  <c r="AK156" i="16"/>
  <c r="AK157" i="16"/>
  <c r="AK158" i="16"/>
  <c r="AK159" i="16"/>
  <c r="AK160" i="16"/>
  <c r="AK161" i="16"/>
  <c r="AK162" i="16"/>
  <c r="AK163" i="16"/>
  <c r="AK164" i="16"/>
  <c r="AK165" i="16"/>
  <c r="AK166" i="16"/>
  <c r="AK167" i="16"/>
  <c r="AK168" i="16"/>
  <c r="AK169" i="16"/>
  <c r="AK170" i="16"/>
  <c r="AK171" i="16"/>
  <c r="AK172" i="16"/>
  <c r="AK173" i="16"/>
  <c r="AK174" i="16"/>
  <c r="AK175" i="16"/>
  <c r="AK176" i="16"/>
  <c r="AJ3" i="16"/>
  <c r="AJ4" i="16"/>
  <c r="AJ5" i="16"/>
  <c r="AJ6" i="16"/>
  <c r="AJ7" i="16"/>
  <c r="AJ8" i="16"/>
  <c r="AJ9" i="16"/>
  <c r="AJ10" i="16"/>
  <c r="AJ11" i="16"/>
  <c r="AJ12" i="16"/>
  <c r="AJ13" i="16"/>
  <c r="AJ14" i="16"/>
  <c r="AJ15" i="16"/>
  <c r="AJ16" i="16"/>
  <c r="AJ17" i="16"/>
  <c r="AJ18" i="16"/>
  <c r="AJ19" i="16"/>
  <c r="AJ20" i="16"/>
  <c r="AJ21" i="16"/>
  <c r="AJ22" i="16"/>
  <c r="AJ23" i="16"/>
  <c r="AJ24" i="16"/>
  <c r="AJ25" i="16"/>
  <c r="AJ26" i="16"/>
  <c r="AJ27" i="16"/>
  <c r="AJ28" i="16"/>
  <c r="AJ29" i="16"/>
  <c r="AJ30" i="16"/>
  <c r="AJ31" i="16"/>
  <c r="AJ32" i="16"/>
  <c r="AJ33" i="16"/>
  <c r="AJ34" i="16"/>
  <c r="AJ35" i="16"/>
  <c r="AJ36" i="16"/>
  <c r="AJ37" i="16"/>
  <c r="AJ38" i="16"/>
  <c r="AJ39" i="16"/>
  <c r="AJ40" i="16"/>
  <c r="AJ41" i="16"/>
  <c r="AJ42" i="16"/>
  <c r="AJ43" i="16"/>
  <c r="AJ44" i="16"/>
  <c r="AJ45" i="16"/>
  <c r="AJ46" i="16"/>
  <c r="AJ47" i="16"/>
  <c r="AJ48" i="16"/>
  <c r="AJ49" i="16"/>
  <c r="AJ50" i="16"/>
  <c r="AJ51" i="16"/>
  <c r="AJ52" i="16"/>
  <c r="AJ53" i="16"/>
  <c r="AJ54" i="16"/>
  <c r="AJ55" i="16"/>
  <c r="AJ56" i="16"/>
  <c r="AJ57" i="16"/>
  <c r="AJ58" i="16"/>
  <c r="AJ59" i="16"/>
  <c r="AJ60" i="16"/>
  <c r="AJ61" i="16"/>
  <c r="AJ62" i="16"/>
  <c r="AJ63" i="16"/>
  <c r="AJ64" i="16"/>
  <c r="AJ65" i="16"/>
  <c r="AJ66" i="16"/>
  <c r="AJ67" i="16"/>
  <c r="AJ68" i="16"/>
  <c r="AJ69" i="16"/>
  <c r="AJ70" i="16"/>
  <c r="AJ71" i="16"/>
  <c r="AJ72" i="16"/>
  <c r="AJ73" i="16"/>
  <c r="AJ74" i="16"/>
  <c r="AJ75" i="16"/>
  <c r="AJ76" i="16"/>
  <c r="AJ77" i="16"/>
  <c r="AJ78" i="16"/>
  <c r="AJ79" i="16"/>
  <c r="AJ80" i="16"/>
  <c r="AJ81" i="16"/>
  <c r="AJ82" i="16"/>
  <c r="AJ83" i="16"/>
  <c r="AJ84" i="16"/>
  <c r="AJ85" i="16"/>
  <c r="AJ86" i="16"/>
  <c r="AJ87" i="16"/>
  <c r="AJ88" i="16"/>
  <c r="AJ89" i="16"/>
  <c r="AJ90" i="16"/>
  <c r="AJ91" i="16"/>
  <c r="AJ92" i="16"/>
  <c r="AJ93" i="16"/>
  <c r="AJ94" i="16"/>
  <c r="AJ95" i="16"/>
  <c r="AJ96" i="16"/>
  <c r="AJ97" i="16"/>
  <c r="AJ98" i="16"/>
  <c r="AJ99" i="16"/>
  <c r="AJ100" i="16"/>
  <c r="AJ101" i="16"/>
  <c r="AJ102" i="16"/>
  <c r="AJ103" i="16"/>
  <c r="AJ104" i="16"/>
  <c r="AJ105" i="16"/>
  <c r="AJ106" i="16"/>
  <c r="AJ107" i="16"/>
  <c r="AJ108" i="16"/>
  <c r="AJ109" i="16"/>
  <c r="AJ110" i="16"/>
  <c r="AJ111" i="16"/>
  <c r="AJ112" i="16"/>
  <c r="AJ113" i="16"/>
  <c r="AJ114" i="16"/>
  <c r="AJ115" i="16"/>
  <c r="AJ116" i="16"/>
  <c r="AJ117" i="16"/>
  <c r="AJ118" i="16"/>
  <c r="AJ119" i="16"/>
  <c r="AJ120" i="16"/>
  <c r="AJ121" i="16"/>
  <c r="AJ122" i="16"/>
  <c r="AJ123" i="16"/>
  <c r="AJ124" i="16"/>
  <c r="AJ125" i="16"/>
  <c r="AJ126" i="16"/>
  <c r="AJ127" i="16"/>
  <c r="AJ128" i="16"/>
  <c r="AJ129" i="16"/>
  <c r="AJ130" i="16"/>
  <c r="AJ131" i="16"/>
  <c r="AJ132" i="16"/>
  <c r="AJ133" i="16"/>
  <c r="AJ134" i="16"/>
  <c r="AJ135" i="16"/>
  <c r="AJ136" i="16"/>
  <c r="AJ137" i="16"/>
  <c r="AJ138" i="16"/>
  <c r="AJ139" i="16"/>
  <c r="AJ140" i="16"/>
  <c r="AJ141" i="16"/>
  <c r="AJ142" i="16"/>
  <c r="AJ143" i="16"/>
  <c r="AJ144" i="16"/>
  <c r="AJ145" i="16"/>
  <c r="AJ146" i="16"/>
  <c r="AJ147" i="16"/>
  <c r="AJ148" i="16"/>
  <c r="AJ149" i="16"/>
  <c r="AJ150" i="16"/>
  <c r="AJ151" i="16"/>
  <c r="AJ152" i="16"/>
  <c r="AJ153" i="16"/>
  <c r="AJ154" i="16"/>
  <c r="AJ155" i="16"/>
  <c r="AJ156" i="16"/>
  <c r="AJ157" i="16"/>
  <c r="AJ158" i="16"/>
  <c r="AJ159" i="16"/>
  <c r="AJ160" i="16"/>
  <c r="AJ161" i="16"/>
  <c r="AJ162" i="16"/>
  <c r="AJ163" i="16"/>
  <c r="AJ164" i="16"/>
  <c r="AJ165" i="16"/>
  <c r="AJ166" i="16"/>
  <c r="AJ167" i="16"/>
  <c r="AJ168" i="16"/>
  <c r="AJ169" i="16"/>
  <c r="AJ170" i="16"/>
  <c r="AJ171" i="16"/>
  <c r="AJ172" i="16"/>
  <c r="AJ173" i="16"/>
  <c r="AJ174" i="16"/>
  <c r="AJ175" i="16"/>
  <c r="AJ176" i="16"/>
  <c r="AI3" i="16"/>
  <c r="AI4" i="16"/>
  <c r="AI5" i="16"/>
  <c r="AI6" i="16"/>
  <c r="AI7" i="16"/>
  <c r="AI8" i="16"/>
  <c r="AI9" i="16"/>
  <c r="AI10" i="16"/>
  <c r="AI11" i="16"/>
  <c r="AI12" i="16"/>
  <c r="AI13" i="16"/>
  <c r="AI14" i="16"/>
  <c r="AI15" i="16"/>
  <c r="AI16" i="16"/>
  <c r="AI17" i="16"/>
  <c r="AI18" i="16"/>
  <c r="AI19" i="16"/>
  <c r="AI20" i="16"/>
  <c r="AI21" i="16"/>
  <c r="AI22" i="16"/>
  <c r="AI23" i="16"/>
  <c r="AI24" i="16"/>
  <c r="AI25" i="16"/>
  <c r="AI26" i="16"/>
  <c r="AI27" i="16"/>
  <c r="AI28" i="16"/>
  <c r="AI29" i="16"/>
  <c r="AI30" i="16"/>
  <c r="AI31" i="16"/>
  <c r="AI32" i="16"/>
  <c r="AI33" i="16"/>
  <c r="AI34" i="16"/>
  <c r="AI35" i="16"/>
  <c r="AI36" i="16"/>
  <c r="AI37" i="16"/>
  <c r="AI38" i="16"/>
  <c r="AI39" i="16"/>
  <c r="AI40" i="16"/>
  <c r="AI41" i="16"/>
  <c r="AI42" i="16"/>
  <c r="AI43" i="16"/>
  <c r="AI44" i="16"/>
  <c r="AI45" i="16"/>
  <c r="AI46" i="16"/>
  <c r="AI47" i="16"/>
  <c r="AI48" i="16"/>
  <c r="AI49" i="16"/>
  <c r="AI50" i="16"/>
  <c r="AI51" i="16"/>
  <c r="AI52" i="16"/>
  <c r="AI53" i="16"/>
  <c r="AI54" i="16"/>
  <c r="AI55" i="16"/>
  <c r="AI56" i="16"/>
  <c r="AI57" i="16"/>
  <c r="AI58" i="16"/>
  <c r="AI59" i="16"/>
  <c r="AI60" i="16"/>
  <c r="AI61" i="16"/>
  <c r="AI62" i="16"/>
  <c r="AI63" i="16"/>
  <c r="AI64" i="16"/>
  <c r="AI65" i="16"/>
  <c r="AI66" i="16"/>
  <c r="AI67" i="16"/>
  <c r="AI68" i="16"/>
  <c r="AI69" i="16"/>
  <c r="AI70" i="16"/>
  <c r="AI71" i="16"/>
  <c r="AI72" i="16"/>
  <c r="AI73" i="16"/>
  <c r="AI74" i="16"/>
  <c r="AI75" i="16"/>
  <c r="AI76" i="16"/>
  <c r="AI77" i="16"/>
  <c r="AI78" i="16"/>
  <c r="AI79" i="16"/>
  <c r="AI80" i="16"/>
  <c r="AI81" i="16"/>
  <c r="AI82" i="16"/>
  <c r="AI83" i="16"/>
  <c r="AI84" i="16"/>
  <c r="AI85" i="16"/>
  <c r="AI86" i="16"/>
  <c r="AI87" i="16"/>
  <c r="AI88" i="16"/>
  <c r="AI89" i="16"/>
  <c r="AI90" i="16"/>
  <c r="AI91" i="16"/>
  <c r="AI92" i="16"/>
  <c r="AI93" i="16"/>
  <c r="AI94" i="16"/>
  <c r="AI95" i="16"/>
  <c r="AI96" i="16"/>
  <c r="AI97" i="16"/>
  <c r="AI98" i="16"/>
  <c r="AI99" i="16"/>
  <c r="AI100" i="16"/>
  <c r="AI101" i="16"/>
  <c r="AI102" i="16"/>
  <c r="AI103" i="16"/>
  <c r="AI104" i="16"/>
  <c r="AI105" i="16"/>
  <c r="AI106" i="16"/>
  <c r="AI107" i="16"/>
  <c r="AI108" i="16"/>
  <c r="AI109" i="16"/>
  <c r="AI110" i="16"/>
  <c r="AI111" i="16"/>
  <c r="AI112" i="16"/>
  <c r="AI113" i="16"/>
  <c r="AI114" i="16"/>
  <c r="AI115" i="16"/>
  <c r="AI116" i="16"/>
  <c r="AI117" i="16"/>
  <c r="AI118" i="16"/>
  <c r="AI119" i="16"/>
  <c r="AI120" i="16"/>
  <c r="AI121" i="16"/>
  <c r="AI122" i="16"/>
  <c r="AI123" i="16"/>
  <c r="AI124" i="16"/>
  <c r="AI125" i="16"/>
  <c r="AI126" i="16"/>
  <c r="AI127" i="16"/>
  <c r="AI128" i="16"/>
  <c r="AI129" i="16"/>
  <c r="AI130" i="16"/>
  <c r="AI131" i="16"/>
  <c r="AI132" i="16"/>
  <c r="AI133" i="16"/>
  <c r="AI134" i="16"/>
  <c r="AI135" i="16"/>
  <c r="AI136" i="16"/>
  <c r="AI137" i="16"/>
  <c r="AI138" i="16"/>
  <c r="AI139" i="16"/>
  <c r="AI140" i="16"/>
  <c r="AI141" i="16"/>
  <c r="AI142" i="16"/>
  <c r="AI143" i="16"/>
  <c r="AI144" i="16"/>
  <c r="AI145" i="16"/>
  <c r="AI146" i="16"/>
  <c r="AI147" i="16"/>
  <c r="AI148" i="16"/>
  <c r="AI149" i="16"/>
  <c r="AI150" i="16"/>
  <c r="AI151" i="16"/>
  <c r="AI152" i="16"/>
  <c r="AI153" i="16"/>
  <c r="AI154" i="16"/>
  <c r="AI155" i="16"/>
  <c r="AI156" i="16"/>
  <c r="AI157" i="16"/>
  <c r="AI158" i="16"/>
  <c r="AI159" i="16"/>
  <c r="AI160" i="16"/>
  <c r="AI161" i="16"/>
  <c r="AI162" i="16"/>
  <c r="AI163" i="16"/>
  <c r="AI164" i="16"/>
  <c r="AI165" i="16"/>
  <c r="AI166" i="16"/>
  <c r="AI167" i="16"/>
  <c r="AI168" i="16"/>
  <c r="AI169" i="16"/>
  <c r="AI170" i="16"/>
  <c r="AI171" i="16"/>
  <c r="AI172" i="16"/>
  <c r="AI173" i="16"/>
  <c r="AI174" i="16"/>
  <c r="AI175" i="16"/>
  <c r="AI176" i="16"/>
  <c r="AH3" i="16"/>
  <c r="AH4" i="16"/>
  <c r="AH5" i="16"/>
  <c r="AH6" i="16"/>
  <c r="AH7" i="16"/>
  <c r="AH8" i="16"/>
  <c r="AH9" i="16"/>
  <c r="AH10" i="16"/>
  <c r="AH11" i="16"/>
  <c r="AH12" i="16"/>
  <c r="AH13" i="16"/>
  <c r="AH14" i="16"/>
  <c r="AH15" i="16"/>
  <c r="AH16" i="16"/>
  <c r="AH17" i="16"/>
  <c r="AH18" i="16"/>
  <c r="AH19" i="16"/>
  <c r="AH20" i="16"/>
  <c r="AH21" i="16"/>
  <c r="AH22" i="16"/>
  <c r="AH23" i="16"/>
  <c r="AH24" i="16"/>
  <c r="AH25" i="16"/>
  <c r="AH26" i="16"/>
  <c r="AH27" i="16"/>
  <c r="AH28" i="16"/>
  <c r="AH29" i="16"/>
  <c r="AH30" i="16"/>
  <c r="AH31" i="16"/>
  <c r="AH32" i="16"/>
  <c r="AH33" i="16"/>
  <c r="AH34" i="16"/>
  <c r="AH35" i="16"/>
  <c r="AH36" i="16"/>
  <c r="AH37" i="16"/>
  <c r="AH38" i="16"/>
  <c r="AH39" i="16"/>
  <c r="AH40" i="16"/>
  <c r="AH41" i="16"/>
  <c r="AH42" i="16"/>
  <c r="AH43" i="16"/>
  <c r="AH44" i="16"/>
  <c r="AH45" i="16"/>
  <c r="AH46" i="16"/>
  <c r="AH47" i="16"/>
  <c r="AH48" i="16"/>
  <c r="AH49" i="16"/>
  <c r="AH50" i="16"/>
  <c r="AH51" i="16"/>
  <c r="AH52" i="16"/>
  <c r="AH53" i="16"/>
  <c r="AH54" i="16"/>
  <c r="AH55" i="16"/>
  <c r="AH56" i="16"/>
  <c r="AH57" i="16"/>
  <c r="AH58" i="16"/>
  <c r="AH59" i="16"/>
  <c r="AH60" i="16"/>
  <c r="AH61" i="16"/>
  <c r="AH62" i="16"/>
  <c r="AH63" i="16"/>
  <c r="AH64" i="16"/>
  <c r="AH65" i="16"/>
  <c r="AH66" i="16"/>
  <c r="AH67" i="16"/>
  <c r="AH68" i="16"/>
  <c r="AH69" i="16"/>
  <c r="AH70" i="16"/>
  <c r="AH71" i="16"/>
  <c r="AH72" i="16"/>
  <c r="AH73" i="16"/>
  <c r="AH74" i="16"/>
  <c r="AH75" i="16"/>
  <c r="AH76" i="16"/>
  <c r="AH77" i="16"/>
  <c r="AH78" i="16"/>
  <c r="AH79" i="16"/>
  <c r="AH80" i="16"/>
  <c r="AH81" i="16"/>
  <c r="AH82" i="16"/>
  <c r="AH83" i="16"/>
  <c r="AH84" i="16"/>
  <c r="AH85" i="16"/>
  <c r="AH86" i="16"/>
  <c r="AH87" i="16"/>
  <c r="AH88" i="16"/>
  <c r="AH89" i="16"/>
  <c r="AH90" i="16"/>
  <c r="AH91" i="16"/>
  <c r="AH92" i="16"/>
  <c r="AH93" i="16"/>
  <c r="AH94" i="16"/>
  <c r="AH95" i="16"/>
  <c r="AH96" i="16"/>
  <c r="AH97" i="16"/>
  <c r="AH98" i="16"/>
  <c r="AH99" i="16"/>
  <c r="AH100" i="16"/>
  <c r="AH101" i="16"/>
  <c r="AH102" i="16"/>
  <c r="AH103" i="16"/>
  <c r="AH104" i="16"/>
  <c r="AH105" i="16"/>
  <c r="AH106" i="16"/>
  <c r="AH107" i="16"/>
  <c r="AH108" i="16"/>
  <c r="AH109" i="16"/>
  <c r="AH110" i="16"/>
  <c r="AH111" i="16"/>
  <c r="AH112" i="16"/>
  <c r="AH113" i="16"/>
  <c r="AH114" i="16"/>
  <c r="AH115" i="16"/>
  <c r="AH116" i="16"/>
  <c r="AH117" i="16"/>
  <c r="AH118" i="16"/>
  <c r="AH119" i="16"/>
  <c r="AH120" i="16"/>
  <c r="AH121" i="16"/>
  <c r="AH122" i="16"/>
  <c r="AH123" i="16"/>
  <c r="AH124" i="16"/>
  <c r="AH125" i="16"/>
  <c r="AH126" i="16"/>
  <c r="AH127" i="16"/>
  <c r="AH128" i="16"/>
  <c r="AH129" i="16"/>
  <c r="AH130" i="16"/>
  <c r="AH131" i="16"/>
  <c r="AH132" i="16"/>
  <c r="AH133" i="16"/>
  <c r="AH134" i="16"/>
  <c r="AH135" i="16"/>
  <c r="AH136" i="16"/>
  <c r="AH137" i="16"/>
  <c r="AH138" i="16"/>
  <c r="AH139" i="16"/>
  <c r="AH140" i="16"/>
  <c r="AH141" i="16"/>
  <c r="AH142" i="16"/>
  <c r="AH143" i="16"/>
  <c r="AH144" i="16"/>
  <c r="AH145" i="16"/>
  <c r="AH146" i="16"/>
  <c r="AH147" i="16"/>
  <c r="AH148" i="16"/>
  <c r="AH149" i="16"/>
  <c r="AH150" i="16"/>
  <c r="AH151" i="16"/>
  <c r="AH152" i="16"/>
  <c r="AH153" i="16"/>
  <c r="AH154" i="16"/>
  <c r="AH155" i="16"/>
  <c r="AH156" i="16"/>
  <c r="AH157" i="16"/>
  <c r="AH158" i="16"/>
  <c r="AH159" i="16"/>
  <c r="AH160" i="16"/>
  <c r="AH161" i="16"/>
  <c r="AH162" i="16"/>
  <c r="AH163" i="16"/>
  <c r="AH164" i="16"/>
  <c r="AH165" i="16"/>
  <c r="AH166" i="16"/>
  <c r="AH167" i="16"/>
  <c r="AH168" i="16"/>
  <c r="AH169" i="16"/>
  <c r="AH170" i="16"/>
  <c r="AH171" i="16"/>
  <c r="AH172" i="16"/>
  <c r="AH173" i="16"/>
  <c r="AH174" i="16"/>
  <c r="AH175" i="16"/>
  <c r="AH176" i="16"/>
  <c r="AG3" i="16"/>
  <c r="AG4" i="16"/>
  <c r="AG5" i="16"/>
  <c r="AG6" i="16"/>
  <c r="AG7" i="16"/>
  <c r="AG8" i="16"/>
  <c r="AG9" i="16"/>
  <c r="AG10" i="16"/>
  <c r="AG11" i="16"/>
  <c r="AG12" i="16"/>
  <c r="AG13" i="16"/>
  <c r="AG14" i="16"/>
  <c r="AG15" i="16"/>
  <c r="AG16" i="16"/>
  <c r="AG17" i="16"/>
  <c r="AG18" i="16"/>
  <c r="AG19" i="16"/>
  <c r="AG20" i="16"/>
  <c r="AG21" i="16"/>
  <c r="AG22" i="16"/>
  <c r="AG23" i="16"/>
  <c r="AG24" i="16"/>
  <c r="AG25" i="16"/>
  <c r="AG26" i="16"/>
  <c r="AG27" i="16"/>
  <c r="AG28" i="16"/>
  <c r="AG29" i="16"/>
  <c r="AG30" i="16"/>
  <c r="AG31" i="16"/>
  <c r="AG32" i="16"/>
  <c r="AG33" i="16"/>
  <c r="AG34" i="16"/>
  <c r="AG35" i="16"/>
  <c r="AG36" i="16"/>
  <c r="AG37" i="16"/>
  <c r="AG38" i="16"/>
  <c r="AG39" i="16"/>
  <c r="AG40" i="16"/>
  <c r="AG41" i="16"/>
  <c r="AG42" i="16"/>
  <c r="AG43" i="16"/>
  <c r="AG44" i="16"/>
  <c r="AG45" i="16"/>
  <c r="AG46" i="16"/>
  <c r="AG47" i="16"/>
  <c r="AG48" i="16"/>
  <c r="AG49" i="16"/>
  <c r="AG50" i="16"/>
  <c r="AG51" i="16"/>
  <c r="AG52" i="16"/>
  <c r="AG53" i="16"/>
  <c r="AG54" i="16"/>
  <c r="AG55" i="16"/>
  <c r="AG56" i="16"/>
  <c r="AG57" i="16"/>
  <c r="AG58" i="16"/>
  <c r="AG59" i="16"/>
  <c r="AG60" i="16"/>
  <c r="AG61" i="16"/>
  <c r="AG62" i="16"/>
  <c r="AG63" i="16"/>
  <c r="AG64" i="16"/>
  <c r="AG65" i="16"/>
  <c r="AG66" i="16"/>
  <c r="AG67" i="16"/>
  <c r="AG68" i="16"/>
  <c r="AG69" i="16"/>
  <c r="AG70" i="16"/>
  <c r="AG71" i="16"/>
  <c r="AG72" i="16"/>
  <c r="AG73" i="16"/>
  <c r="AG74" i="16"/>
  <c r="AG75" i="16"/>
  <c r="AG76" i="16"/>
  <c r="AG77" i="16"/>
  <c r="AG78" i="16"/>
  <c r="AG79" i="16"/>
  <c r="AG80" i="16"/>
  <c r="AG81" i="16"/>
  <c r="AG82" i="16"/>
  <c r="AG83" i="16"/>
  <c r="AG84" i="16"/>
  <c r="AG85" i="16"/>
  <c r="AG86" i="16"/>
  <c r="AG87" i="16"/>
  <c r="AG88" i="16"/>
  <c r="AG89" i="16"/>
  <c r="AG90" i="16"/>
  <c r="AG91" i="16"/>
  <c r="AG92" i="16"/>
  <c r="AG93" i="16"/>
  <c r="AG94" i="16"/>
  <c r="AG95" i="16"/>
  <c r="AG96" i="16"/>
  <c r="AG97" i="16"/>
  <c r="AG98" i="16"/>
  <c r="AG99" i="16"/>
  <c r="AG100" i="16"/>
  <c r="AG101" i="16"/>
  <c r="AG102" i="16"/>
  <c r="AG103" i="16"/>
  <c r="AG104" i="16"/>
  <c r="AG105" i="16"/>
  <c r="AG106" i="16"/>
  <c r="AG107" i="16"/>
  <c r="AG108" i="16"/>
  <c r="AG109" i="16"/>
  <c r="AG110" i="16"/>
  <c r="AG111" i="16"/>
  <c r="AG112" i="16"/>
  <c r="AG113" i="16"/>
  <c r="AG114" i="16"/>
  <c r="AG115" i="16"/>
  <c r="AG116" i="16"/>
  <c r="AG117" i="16"/>
  <c r="AG118" i="16"/>
  <c r="AG119" i="16"/>
  <c r="AG120" i="16"/>
  <c r="AG121" i="16"/>
  <c r="AG122" i="16"/>
  <c r="AG123" i="16"/>
  <c r="AG124" i="16"/>
  <c r="AG125" i="16"/>
  <c r="AG126" i="16"/>
  <c r="AG127" i="16"/>
  <c r="AG128" i="16"/>
  <c r="AG129" i="16"/>
  <c r="AG130" i="16"/>
  <c r="AG131" i="16"/>
  <c r="AG132" i="16"/>
  <c r="AG133" i="16"/>
  <c r="AG134" i="16"/>
  <c r="AG135" i="16"/>
  <c r="AG136" i="16"/>
  <c r="AG137" i="16"/>
  <c r="AG138" i="16"/>
  <c r="AG139" i="16"/>
  <c r="AG140" i="16"/>
  <c r="AG141" i="16"/>
  <c r="AG142" i="16"/>
  <c r="AG143" i="16"/>
  <c r="AG144" i="16"/>
  <c r="AG145" i="16"/>
  <c r="AG146" i="16"/>
  <c r="AG147" i="16"/>
  <c r="AG148" i="16"/>
  <c r="AG149" i="16"/>
  <c r="AG150" i="16"/>
  <c r="AG151" i="16"/>
  <c r="AG152" i="16"/>
  <c r="AG153" i="16"/>
  <c r="AG154" i="16"/>
  <c r="AG155" i="16"/>
  <c r="AG156" i="16"/>
  <c r="AG157" i="16"/>
  <c r="AG158" i="16"/>
  <c r="AG159" i="16"/>
  <c r="AG160" i="16"/>
  <c r="AG161" i="16"/>
  <c r="AG162" i="16"/>
  <c r="AG163" i="16"/>
  <c r="AG164" i="16"/>
  <c r="AG165" i="16"/>
  <c r="AG166" i="16"/>
  <c r="AG167" i="16"/>
  <c r="AG168" i="16"/>
  <c r="AG169" i="16"/>
  <c r="AG170" i="16"/>
  <c r="AG171" i="16"/>
  <c r="AG172" i="16"/>
  <c r="AG173" i="16"/>
  <c r="AG174" i="16"/>
  <c r="AG175" i="16"/>
  <c r="AG176" i="16"/>
  <c r="AF3" i="16"/>
  <c r="AF4" i="16"/>
  <c r="AF5" i="16"/>
  <c r="AF6" i="16"/>
  <c r="AF7" i="16"/>
  <c r="AF8" i="16"/>
  <c r="AF9" i="16"/>
  <c r="AF10" i="16"/>
  <c r="AF11" i="16"/>
  <c r="AF12" i="16"/>
  <c r="AF13" i="16"/>
  <c r="AF14" i="16"/>
  <c r="AF15" i="16"/>
  <c r="AF16" i="16"/>
  <c r="AF17" i="16"/>
  <c r="AF18" i="16"/>
  <c r="AF19" i="16"/>
  <c r="AF20" i="16"/>
  <c r="AF21" i="16"/>
  <c r="AF22" i="16"/>
  <c r="AF23" i="16"/>
  <c r="AF24" i="16"/>
  <c r="AF25" i="16"/>
  <c r="AF26" i="16"/>
  <c r="AF27" i="16"/>
  <c r="AF28" i="16"/>
  <c r="AF29" i="16"/>
  <c r="AF30" i="16"/>
  <c r="AF31" i="16"/>
  <c r="AF32" i="16"/>
  <c r="AF33" i="16"/>
  <c r="AF34" i="16"/>
  <c r="AF35" i="16"/>
  <c r="AF36" i="16"/>
  <c r="AF37" i="16"/>
  <c r="AF38" i="16"/>
  <c r="AF39" i="16"/>
  <c r="AF40" i="16"/>
  <c r="AF41" i="16"/>
  <c r="AF42" i="16"/>
  <c r="AF43" i="16"/>
  <c r="AF44" i="16"/>
  <c r="AF45" i="16"/>
  <c r="AF46" i="16"/>
  <c r="AF47" i="16"/>
  <c r="AF48" i="16"/>
  <c r="AF49" i="16"/>
  <c r="AF50" i="16"/>
  <c r="AF51" i="16"/>
  <c r="AF52" i="16"/>
  <c r="AF53" i="16"/>
  <c r="AF54" i="16"/>
  <c r="AF55" i="16"/>
  <c r="AF56" i="16"/>
  <c r="AF57" i="16"/>
  <c r="AF58" i="16"/>
  <c r="AF59" i="16"/>
  <c r="AF60" i="16"/>
  <c r="AF61" i="16"/>
  <c r="AF62" i="16"/>
  <c r="AF63" i="16"/>
  <c r="AF64" i="16"/>
  <c r="AF65" i="16"/>
  <c r="AF66" i="16"/>
  <c r="AF67" i="16"/>
  <c r="AF68" i="16"/>
  <c r="AF69" i="16"/>
  <c r="AF70" i="16"/>
  <c r="AF71" i="16"/>
  <c r="AF72" i="16"/>
  <c r="AF73" i="16"/>
  <c r="AF74" i="16"/>
  <c r="AF75" i="16"/>
  <c r="AF76" i="16"/>
  <c r="AF77" i="16"/>
  <c r="AF78" i="16"/>
  <c r="AF79" i="16"/>
  <c r="AF80" i="16"/>
  <c r="AF81" i="16"/>
  <c r="AF82" i="16"/>
  <c r="AF83" i="16"/>
  <c r="AF84" i="16"/>
  <c r="AF85" i="16"/>
  <c r="AF86" i="16"/>
  <c r="AF87" i="16"/>
  <c r="AF88" i="16"/>
  <c r="AF89" i="16"/>
  <c r="AF90" i="16"/>
  <c r="AF91" i="16"/>
  <c r="AF92" i="16"/>
  <c r="AF93" i="16"/>
  <c r="AF94" i="16"/>
  <c r="AF95" i="16"/>
  <c r="AF96" i="16"/>
  <c r="AF97" i="16"/>
  <c r="AF98" i="16"/>
  <c r="AF99" i="16"/>
  <c r="AF100" i="16"/>
  <c r="AF101" i="16"/>
  <c r="AF102" i="16"/>
  <c r="AF103" i="16"/>
  <c r="AF104" i="16"/>
  <c r="AF105" i="16"/>
  <c r="AF106" i="16"/>
  <c r="AF107" i="16"/>
  <c r="AF108" i="16"/>
  <c r="AF109" i="16"/>
  <c r="AF110" i="16"/>
  <c r="AF111" i="16"/>
  <c r="AF112" i="16"/>
  <c r="AF113" i="16"/>
  <c r="AF114" i="16"/>
  <c r="AF115" i="16"/>
  <c r="AF116" i="16"/>
  <c r="AF117" i="16"/>
  <c r="AF118" i="16"/>
  <c r="AF119" i="16"/>
  <c r="AF120" i="16"/>
  <c r="AF121" i="16"/>
  <c r="AF122" i="16"/>
  <c r="AF123" i="16"/>
  <c r="AF124" i="16"/>
  <c r="AF125" i="16"/>
  <c r="AF126" i="16"/>
  <c r="AF127" i="16"/>
  <c r="AF128" i="16"/>
  <c r="AF129" i="16"/>
  <c r="AF130" i="16"/>
  <c r="AF131" i="16"/>
  <c r="AF132" i="16"/>
  <c r="AF133" i="16"/>
  <c r="AF134" i="16"/>
  <c r="AF135" i="16"/>
  <c r="AF136" i="16"/>
  <c r="AF137" i="16"/>
  <c r="AF138" i="16"/>
  <c r="AF139" i="16"/>
  <c r="AF140" i="16"/>
  <c r="AF141" i="16"/>
  <c r="AF142" i="16"/>
  <c r="AF143" i="16"/>
  <c r="AF144" i="16"/>
  <c r="AF145" i="16"/>
  <c r="AF146" i="16"/>
  <c r="AF147" i="16"/>
  <c r="AF148" i="16"/>
  <c r="AF149" i="16"/>
  <c r="AF150" i="16"/>
  <c r="AF151" i="16"/>
  <c r="AF152" i="16"/>
  <c r="AF153" i="16"/>
  <c r="AF154" i="16"/>
  <c r="AF155" i="16"/>
  <c r="AF156" i="16"/>
  <c r="AF157" i="16"/>
  <c r="AF158" i="16"/>
  <c r="AF159" i="16"/>
  <c r="AF160" i="16"/>
  <c r="AF161" i="16"/>
  <c r="AF162" i="16"/>
  <c r="AF163" i="16"/>
  <c r="AF164" i="16"/>
  <c r="AF165" i="16"/>
  <c r="AF166" i="16"/>
  <c r="AF167" i="16"/>
  <c r="AF168" i="16"/>
  <c r="AF169" i="16"/>
  <c r="AF170" i="16"/>
  <c r="AF171" i="16"/>
  <c r="AF172" i="16"/>
  <c r="AF173" i="16"/>
  <c r="AF174" i="16"/>
  <c r="AF175" i="16"/>
  <c r="AF176" i="16"/>
  <c r="AE3" i="16"/>
  <c r="AE4" i="16"/>
  <c r="AE5" i="16"/>
  <c r="AE6" i="16"/>
  <c r="AE7" i="16"/>
  <c r="AE8" i="16"/>
  <c r="AE9" i="16"/>
  <c r="AE10" i="16"/>
  <c r="AE11" i="16"/>
  <c r="AE12" i="16"/>
  <c r="AE13" i="16"/>
  <c r="AE14" i="16"/>
  <c r="AE15" i="16"/>
  <c r="AE16" i="16"/>
  <c r="AE17" i="16"/>
  <c r="AE18" i="16"/>
  <c r="AE19" i="16"/>
  <c r="AE20" i="16"/>
  <c r="AE21" i="16"/>
  <c r="AE22" i="16"/>
  <c r="AE23" i="16"/>
  <c r="AE24" i="16"/>
  <c r="AE25" i="16"/>
  <c r="AE26" i="16"/>
  <c r="AE27" i="16"/>
  <c r="AE28" i="16"/>
  <c r="AE29" i="16"/>
  <c r="AE30" i="16"/>
  <c r="AE31" i="16"/>
  <c r="AE32" i="16"/>
  <c r="AE33" i="16"/>
  <c r="AE34" i="16"/>
  <c r="AE35" i="16"/>
  <c r="AE36" i="16"/>
  <c r="AE37" i="16"/>
  <c r="AE38" i="16"/>
  <c r="AE39" i="16"/>
  <c r="AE40" i="16"/>
  <c r="AE41" i="16"/>
  <c r="AE42" i="16"/>
  <c r="AE43" i="16"/>
  <c r="AE44" i="16"/>
  <c r="AE45" i="16"/>
  <c r="AE46" i="16"/>
  <c r="AE47" i="16"/>
  <c r="AE48" i="16"/>
  <c r="AE49" i="16"/>
  <c r="AE50" i="16"/>
  <c r="AE51" i="16"/>
  <c r="AE52" i="16"/>
  <c r="AE53" i="16"/>
  <c r="AE54" i="16"/>
  <c r="AE55" i="16"/>
  <c r="AE56" i="16"/>
  <c r="AE57" i="16"/>
  <c r="AE58" i="16"/>
  <c r="AE59" i="16"/>
  <c r="AE60" i="16"/>
  <c r="AE61" i="16"/>
  <c r="AE62" i="16"/>
  <c r="AE63" i="16"/>
  <c r="AE64" i="16"/>
  <c r="AE65" i="16"/>
  <c r="AE66" i="16"/>
  <c r="AE67" i="16"/>
  <c r="AE68" i="16"/>
  <c r="AE69" i="16"/>
  <c r="AE70" i="16"/>
  <c r="AE71" i="16"/>
  <c r="AE72" i="16"/>
  <c r="AE73" i="16"/>
  <c r="AE74" i="16"/>
  <c r="AE75" i="16"/>
  <c r="AE76" i="16"/>
  <c r="AE77" i="16"/>
  <c r="AE78" i="16"/>
  <c r="AE79" i="16"/>
  <c r="AE80" i="16"/>
  <c r="AE81" i="16"/>
  <c r="AE82" i="16"/>
  <c r="AE83" i="16"/>
  <c r="AE84" i="16"/>
  <c r="AE85" i="16"/>
  <c r="AE86" i="16"/>
  <c r="AE87" i="16"/>
  <c r="AE88" i="16"/>
  <c r="AE89" i="16"/>
  <c r="AE90" i="16"/>
  <c r="AE91" i="16"/>
  <c r="AE92" i="16"/>
  <c r="AE93" i="16"/>
  <c r="AE94" i="16"/>
  <c r="AE95" i="16"/>
  <c r="AE96" i="16"/>
  <c r="AE97" i="16"/>
  <c r="AE98" i="16"/>
  <c r="AE99" i="16"/>
  <c r="AE100" i="16"/>
  <c r="AE101" i="16"/>
  <c r="AE102" i="16"/>
  <c r="AE103" i="16"/>
  <c r="AE104" i="16"/>
  <c r="AE105" i="16"/>
  <c r="AE106" i="16"/>
  <c r="AE107" i="16"/>
  <c r="AE108" i="16"/>
  <c r="AE109" i="16"/>
  <c r="AE110" i="16"/>
  <c r="AE111" i="16"/>
  <c r="AE112" i="16"/>
  <c r="AE113" i="16"/>
  <c r="AE114" i="16"/>
  <c r="AE115" i="16"/>
  <c r="AE116" i="16"/>
  <c r="AE117" i="16"/>
  <c r="AE118" i="16"/>
  <c r="AE119" i="16"/>
  <c r="AE120" i="16"/>
  <c r="AE121" i="16"/>
  <c r="AE122" i="16"/>
  <c r="AE123" i="16"/>
  <c r="AE124" i="16"/>
  <c r="AE125" i="16"/>
  <c r="AE126" i="16"/>
  <c r="AE127" i="16"/>
  <c r="AE128" i="16"/>
  <c r="AE129" i="16"/>
  <c r="AE130" i="16"/>
  <c r="AE131" i="16"/>
  <c r="AE132" i="16"/>
  <c r="AE133" i="16"/>
  <c r="AE134" i="16"/>
  <c r="AE135" i="16"/>
  <c r="AE136" i="16"/>
  <c r="AE137" i="16"/>
  <c r="AE138" i="16"/>
  <c r="AE139" i="16"/>
  <c r="AE140" i="16"/>
  <c r="AE141" i="16"/>
  <c r="AE142" i="16"/>
  <c r="AE143" i="16"/>
  <c r="AE144" i="16"/>
  <c r="AE145" i="16"/>
  <c r="AE146" i="16"/>
  <c r="AE147" i="16"/>
  <c r="AE148" i="16"/>
  <c r="AE149" i="16"/>
  <c r="AE150" i="16"/>
  <c r="AE151" i="16"/>
  <c r="AE152" i="16"/>
  <c r="AE153" i="16"/>
  <c r="AE154" i="16"/>
  <c r="AE155" i="16"/>
  <c r="AE156" i="16"/>
  <c r="AE157" i="16"/>
  <c r="AE158" i="16"/>
  <c r="AE159" i="16"/>
  <c r="AE160" i="16"/>
  <c r="AE161" i="16"/>
  <c r="AE162" i="16"/>
  <c r="AE163" i="16"/>
  <c r="AE164" i="16"/>
  <c r="AE165" i="16"/>
  <c r="AE166" i="16"/>
  <c r="AE167" i="16"/>
  <c r="AE168" i="16"/>
  <c r="AE169" i="16"/>
  <c r="AE170" i="16"/>
  <c r="AE171" i="16"/>
  <c r="AE172" i="16"/>
  <c r="AE173" i="16"/>
  <c r="AE174" i="16"/>
  <c r="AE175" i="16"/>
  <c r="AE176" i="16"/>
  <c r="AD3" i="16"/>
  <c r="AD4" i="16"/>
  <c r="AD5" i="16"/>
  <c r="AD6" i="16"/>
  <c r="AD7" i="16"/>
  <c r="AD8" i="16"/>
  <c r="AD9" i="16"/>
  <c r="AD10" i="16"/>
  <c r="AD11" i="16"/>
  <c r="AD12" i="16"/>
  <c r="AD13" i="16"/>
  <c r="AD14" i="16"/>
  <c r="AD15" i="16"/>
  <c r="AD16" i="16"/>
  <c r="AD17" i="16"/>
  <c r="AD18" i="16"/>
  <c r="AD19" i="16"/>
  <c r="AD20" i="16"/>
  <c r="AD21" i="16"/>
  <c r="AD22" i="16"/>
  <c r="AD23" i="16"/>
  <c r="AD24" i="16"/>
  <c r="AD25" i="16"/>
  <c r="AD26" i="16"/>
  <c r="AD27" i="16"/>
  <c r="AD28" i="16"/>
  <c r="AD29" i="16"/>
  <c r="AD30" i="16"/>
  <c r="AD31" i="16"/>
  <c r="AD32" i="16"/>
  <c r="AD33" i="16"/>
  <c r="AD34" i="16"/>
  <c r="AD35" i="16"/>
  <c r="AD36" i="16"/>
  <c r="AD37" i="16"/>
  <c r="AD38" i="16"/>
  <c r="AD39" i="16"/>
  <c r="AD40" i="16"/>
  <c r="AD41" i="16"/>
  <c r="AD42" i="16"/>
  <c r="AD43" i="16"/>
  <c r="AD44" i="16"/>
  <c r="AD45" i="16"/>
  <c r="AD46" i="16"/>
  <c r="AD47" i="16"/>
  <c r="AD48" i="16"/>
  <c r="AD49" i="16"/>
  <c r="AD50" i="16"/>
  <c r="AD51" i="16"/>
  <c r="AD52" i="16"/>
  <c r="AD53" i="16"/>
  <c r="AD54" i="16"/>
  <c r="AD55" i="16"/>
  <c r="AD56" i="16"/>
  <c r="AD57" i="16"/>
  <c r="AD58" i="16"/>
  <c r="AD59" i="16"/>
  <c r="AD60" i="16"/>
  <c r="AD61" i="16"/>
  <c r="AD62" i="16"/>
  <c r="AD63" i="16"/>
  <c r="AD64" i="16"/>
  <c r="AD65" i="16"/>
  <c r="AD66" i="16"/>
  <c r="AD67" i="16"/>
  <c r="AD68" i="16"/>
  <c r="AD69" i="16"/>
  <c r="AD70" i="16"/>
  <c r="AD71" i="16"/>
  <c r="AD72" i="16"/>
  <c r="AD73" i="16"/>
  <c r="AD74" i="16"/>
  <c r="AD75" i="16"/>
  <c r="AD76" i="16"/>
  <c r="AD77" i="16"/>
  <c r="AD78" i="16"/>
  <c r="AD79" i="16"/>
  <c r="AD80" i="16"/>
  <c r="AD81" i="16"/>
  <c r="AD82" i="16"/>
  <c r="AD83" i="16"/>
  <c r="AD84" i="16"/>
  <c r="AD85" i="16"/>
  <c r="AD86" i="16"/>
  <c r="AD87" i="16"/>
  <c r="AD88" i="16"/>
  <c r="AD89" i="16"/>
  <c r="AD90" i="16"/>
  <c r="AD91" i="16"/>
  <c r="AD92" i="16"/>
  <c r="AD93" i="16"/>
  <c r="AD94" i="16"/>
  <c r="AD95" i="16"/>
  <c r="AD96" i="16"/>
  <c r="AD97" i="16"/>
  <c r="AD98" i="16"/>
  <c r="AD99" i="16"/>
  <c r="AD100" i="16"/>
  <c r="AD101" i="16"/>
  <c r="AD102" i="16"/>
  <c r="AD103" i="16"/>
  <c r="AD104" i="16"/>
  <c r="AD105" i="16"/>
  <c r="AD106" i="16"/>
  <c r="AD107" i="16"/>
  <c r="AD108" i="16"/>
  <c r="AD109" i="16"/>
  <c r="AD110" i="16"/>
  <c r="AD111" i="16"/>
  <c r="AD112" i="16"/>
  <c r="AD113" i="16"/>
  <c r="AD114" i="16"/>
  <c r="AD115" i="16"/>
  <c r="AD116" i="16"/>
  <c r="AD117" i="16"/>
  <c r="AD118" i="16"/>
  <c r="AD119" i="16"/>
  <c r="AD120" i="16"/>
  <c r="AD121" i="16"/>
  <c r="AD122" i="16"/>
  <c r="AD123" i="16"/>
  <c r="AD124" i="16"/>
  <c r="AD125" i="16"/>
  <c r="AD126" i="16"/>
  <c r="AD127" i="16"/>
  <c r="AD128" i="16"/>
  <c r="AD129" i="16"/>
  <c r="AD130" i="16"/>
  <c r="AD131" i="16"/>
  <c r="AD132" i="16"/>
  <c r="AD133" i="16"/>
  <c r="AD134" i="16"/>
  <c r="AD135" i="16"/>
  <c r="AD136" i="16"/>
  <c r="AD137" i="16"/>
  <c r="AD138" i="16"/>
  <c r="AD139" i="16"/>
  <c r="AD140" i="16"/>
  <c r="AD141" i="16"/>
  <c r="AD142" i="16"/>
  <c r="AD143" i="16"/>
  <c r="AD144" i="16"/>
  <c r="AD145" i="16"/>
  <c r="AD146" i="16"/>
  <c r="AD147" i="16"/>
  <c r="AD148" i="16"/>
  <c r="AD149" i="16"/>
  <c r="AD150" i="16"/>
  <c r="AD151" i="16"/>
  <c r="AD152" i="16"/>
  <c r="AD153" i="16"/>
  <c r="AD154" i="16"/>
  <c r="AD155" i="16"/>
  <c r="AD156" i="16"/>
  <c r="AD157" i="16"/>
  <c r="AD158" i="16"/>
  <c r="AD159" i="16"/>
  <c r="AD160" i="16"/>
  <c r="AD161" i="16"/>
  <c r="AD162" i="16"/>
  <c r="AD163" i="16"/>
  <c r="AD164" i="16"/>
  <c r="AD165" i="16"/>
  <c r="AD166" i="16"/>
  <c r="AD167" i="16"/>
  <c r="AD168" i="16"/>
  <c r="AD169" i="16"/>
  <c r="AD170" i="16"/>
  <c r="AD171" i="16"/>
  <c r="AD172" i="16"/>
  <c r="AD173" i="16"/>
  <c r="AD174" i="16"/>
  <c r="AD175" i="16"/>
  <c r="AD176" i="16"/>
  <c r="AC3" i="16"/>
  <c r="AC4" i="16"/>
  <c r="AC5" i="16"/>
  <c r="AC6" i="16"/>
  <c r="AC7" i="16"/>
  <c r="AC8" i="16"/>
  <c r="AC9" i="16"/>
  <c r="AC10" i="16"/>
  <c r="AC11" i="16"/>
  <c r="AC12" i="16"/>
  <c r="AC13" i="16"/>
  <c r="AC14" i="16"/>
  <c r="AC15" i="16"/>
  <c r="AC16" i="16"/>
  <c r="AC17" i="16"/>
  <c r="AC18" i="16"/>
  <c r="AC19" i="16"/>
  <c r="AC20" i="16"/>
  <c r="AC21" i="16"/>
  <c r="AC22" i="16"/>
  <c r="AC23" i="16"/>
  <c r="AC24" i="16"/>
  <c r="AC25" i="16"/>
  <c r="AC26" i="16"/>
  <c r="AC27" i="16"/>
  <c r="AC28" i="16"/>
  <c r="AC29" i="16"/>
  <c r="AC30" i="16"/>
  <c r="AC31" i="16"/>
  <c r="AC32" i="16"/>
  <c r="AC33" i="16"/>
  <c r="AC34" i="16"/>
  <c r="AC35" i="16"/>
  <c r="AC36" i="16"/>
  <c r="AC37" i="16"/>
  <c r="AC38" i="16"/>
  <c r="AC39" i="16"/>
  <c r="AC40" i="16"/>
  <c r="AC41" i="16"/>
  <c r="AC42" i="16"/>
  <c r="AC43" i="16"/>
  <c r="AC44" i="16"/>
  <c r="AC45" i="16"/>
  <c r="AC46" i="16"/>
  <c r="AC47" i="16"/>
  <c r="AC48" i="16"/>
  <c r="AC49" i="16"/>
  <c r="AC50" i="16"/>
  <c r="AC51" i="16"/>
  <c r="AC52" i="16"/>
  <c r="AC53" i="16"/>
  <c r="AC54" i="16"/>
  <c r="AC55" i="16"/>
  <c r="AC56" i="16"/>
  <c r="AC57" i="16"/>
  <c r="AC58" i="16"/>
  <c r="AC59" i="16"/>
  <c r="AC60" i="16"/>
  <c r="AC61" i="16"/>
  <c r="AC62" i="16"/>
  <c r="AC63" i="16"/>
  <c r="AC64" i="16"/>
  <c r="AC65" i="16"/>
  <c r="AC66" i="16"/>
  <c r="AC67" i="16"/>
  <c r="AC68" i="16"/>
  <c r="AC69" i="16"/>
  <c r="AC70" i="16"/>
  <c r="AC71" i="16"/>
  <c r="AC72" i="16"/>
  <c r="AC73" i="16"/>
  <c r="AC74" i="16"/>
  <c r="AC75" i="16"/>
  <c r="AC76" i="16"/>
  <c r="AC77" i="16"/>
  <c r="AC78" i="16"/>
  <c r="AC79" i="16"/>
  <c r="AC80" i="16"/>
  <c r="AC81" i="16"/>
  <c r="AC82" i="16"/>
  <c r="AC83" i="16"/>
  <c r="AC84" i="16"/>
  <c r="AC85" i="16"/>
  <c r="AC86" i="16"/>
  <c r="AC87" i="16"/>
  <c r="AC88" i="16"/>
  <c r="AC89" i="16"/>
  <c r="AC90" i="16"/>
  <c r="AC91" i="16"/>
  <c r="AC92" i="16"/>
  <c r="AC93" i="16"/>
  <c r="AC94" i="16"/>
  <c r="AC95" i="16"/>
  <c r="AC96" i="16"/>
  <c r="AC97" i="16"/>
  <c r="AC98" i="16"/>
  <c r="AC99" i="16"/>
  <c r="AC100" i="16"/>
  <c r="AC101" i="16"/>
  <c r="AC102" i="16"/>
  <c r="AC103" i="16"/>
  <c r="AC104" i="16"/>
  <c r="AC105" i="16"/>
  <c r="AC106" i="16"/>
  <c r="AC107" i="16"/>
  <c r="AC108" i="16"/>
  <c r="AC109" i="16"/>
  <c r="AC110" i="16"/>
  <c r="AC111" i="16"/>
  <c r="AC112" i="16"/>
  <c r="AC113" i="16"/>
  <c r="AC114" i="16"/>
  <c r="AC115" i="16"/>
  <c r="AC116" i="16"/>
  <c r="AC117" i="16"/>
  <c r="AC118" i="16"/>
  <c r="AC119" i="16"/>
  <c r="AC120" i="16"/>
  <c r="AC121" i="16"/>
  <c r="AC122" i="16"/>
  <c r="AC123" i="16"/>
  <c r="AC124" i="16"/>
  <c r="AC125" i="16"/>
  <c r="AC126" i="16"/>
  <c r="AC127" i="16"/>
  <c r="AC128" i="16"/>
  <c r="AC129" i="16"/>
  <c r="AC130" i="16"/>
  <c r="AC131" i="16"/>
  <c r="AC132" i="16"/>
  <c r="AC133" i="16"/>
  <c r="AC134" i="16"/>
  <c r="AC135" i="16"/>
  <c r="AC136" i="16"/>
  <c r="AC137" i="16"/>
  <c r="AC138" i="16"/>
  <c r="AC139" i="16"/>
  <c r="AC140" i="16"/>
  <c r="AC141" i="16"/>
  <c r="AC142" i="16"/>
  <c r="AC143" i="16"/>
  <c r="AC144" i="16"/>
  <c r="AC145" i="16"/>
  <c r="AC146" i="16"/>
  <c r="AC147" i="16"/>
  <c r="AC148" i="16"/>
  <c r="AC149" i="16"/>
  <c r="AC150" i="16"/>
  <c r="AC151" i="16"/>
  <c r="AC152" i="16"/>
  <c r="AC153" i="16"/>
  <c r="AC154" i="16"/>
  <c r="AC155" i="16"/>
  <c r="AC156" i="16"/>
  <c r="AC157" i="16"/>
  <c r="AC158" i="16"/>
  <c r="AC159" i="16"/>
  <c r="AC160" i="16"/>
  <c r="AC161" i="16"/>
  <c r="AC162" i="16"/>
  <c r="AC163" i="16"/>
  <c r="AC164" i="16"/>
  <c r="AC165" i="16"/>
  <c r="AC166" i="16"/>
  <c r="AC167" i="16"/>
  <c r="AC168" i="16"/>
  <c r="AC169" i="16"/>
  <c r="AC170" i="16"/>
  <c r="AC171" i="16"/>
  <c r="AC172" i="16"/>
  <c r="AC173" i="16"/>
  <c r="AC174" i="16"/>
  <c r="AC175" i="16"/>
  <c r="AC176" i="16"/>
  <c r="AB3" i="16"/>
  <c r="AB4" i="16"/>
  <c r="AB5" i="16"/>
  <c r="AB6" i="16"/>
  <c r="AB7" i="16"/>
  <c r="AB8" i="16"/>
  <c r="AB9" i="16"/>
  <c r="AB10" i="16"/>
  <c r="AB11" i="16"/>
  <c r="AB12" i="16"/>
  <c r="AB13" i="16"/>
  <c r="AB14" i="16"/>
  <c r="AB15" i="16"/>
  <c r="AB16" i="16"/>
  <c r="AB17" i="16"/>
  <c r="AB18" i="16"/>
  <c r="AB19" i="16"/>
  <c r="AB20" i="16"/>
  <c r="AB21" i="16"/>
  <c r="AB22" i="16"/>
  <c r="AB23" i="16"/>
  <c r="AB24" i="16"/>
  <c r="AB25" i="16"/>
  <c r="AB26" i="16"/>
  <c r="AB27" i="16"/>
  <c r="AB28" i="16"/>
  <c r="AB29" i="16"/>
  <c r="AB30" i="16"/>
  <c r="AB31" i="16"/>
  <c r="AB32" i="16"/>
  <c r="AB33" i="16"/>
  <c r="AB34" i="16"/>
  <c r="AB35" i="16"/>
  <c r="AB36" i="16"/>
  <c r="AB37" i="16"/>
  <c r="AB38" i="16"/>
  <c r="AB39" i="16"/>
  <c r="AB40" i="16"/>
  <c r="AB41" i="16"/>
  <c r="AB42" i="16"/>
  <c r="AB43" i="16"/>
  <c r="AB44" i="16"/>
  <c r="AB45" i="16"/>
  <c r="AB46" i="16"/>
  <c r="AB47" i="16"/>
  <c r="AB48" i="16"/>
  <c r="AB49" i="16"/>
  <c r="AB50" i="16"/>
  <c r="AB51" i="16"/>
  <c r="AB52" i="16"/>
  <c r="AB53" i="16"/>
  <c r="AB54" i="16"/>
  <c r="AB55" i="16"/>
  <c r="AB56" i="16"/>
  <c r="AB57" i="16"/>
  <c r="AB58" i="16"/>
  <c r="AB59" i="16"/>
  <c r="AB60" i="16"/>
  <c r="AB61" i="16"/>
  <c r="AB62" i="16"/>
  <c r="AB63" i="16"/>
  <c r="AB64" i="16"/>
  <c r="AB65" i="16"/>
  <c r="AB66" i="16"/>
  <c r="AB67" i="16"/>
  <c r="AB68" i="16"/>
  <c r="AB69" i="16"/>
  <c r="AB70" i="16"/>
  <c r="AB71" i="16"/>
  <c r="AB72" i="16"/>
  <c r="AB73" i="16"/>
  <c r="AB74" i="16"/>
  <c r="AB75" i="16"/>
  <c r="AB76" i="16"/>
  <c r="AB77" i="16"/>
  <c r="AB78" i="16"/>
  <c r="AB79" i="16"/>
  <c r="AB80" i="16"/>
  <c r="AB81" i="16"/>
  <c r="AB82" i="16"/>
  <c r="AB83" i="16"/>
  <c r="AB84" i="16"/>
  <c r="AB85" i="16"/>
  <c r="AB86" i="16"/>
  <c r="AB87" i="16"/>
  <c r="AB88" i="16"/>
  <c r="AB89" i="16"/>
  <c r="AB90" i="16"/>
  <c r="AB91" i="16"/>
  <c r="AB92" i="16"/>
  <c r="AB93" i="16"/>
  <c r="AB94" i="16"/>
  <c r="AB95" i="16"/>
  <c r="AB96" i="16"/>
  <c r="AB97" i="16"/>
  <c r="AB98" i="16"/>
  <c r="AB99" i="16"/>
  <c r="AB100" i="16"/>
  <c r="AB101" i="16"/>
  <c r="AB102" i="16"/>
  <c r="AB103" i="16"/>
  <c r="AB104" i="16"/>
  <c r="AB105" i="16"/>
  <c r="AB106" i="16"/>
  <c r="AB107" i="16"/>
  <c r="AB108" i="16"/>
  <c r="AB109" i="16"/>
  <c r="AB110" i="16"/>
  <c r="AB111" i="16"/>
  <c r="AB112" i="16"/>
  <c r="AB113" i="16"/>
  <c r="AB114" i="16"/>
  <c r="AB115" i="16"/>
  <c r="AB116" i="16"/>
  <c r="AB117" i="16"/>
  <c r="AB118" i="16"/>
  <c r="AB119" i="16"/>
  <c r="AB120" i="16"/>
  <c r="AB121" i="16"/>
  <c r="AB122" i="16"/>
  <c r="AB123" i="16"/>
  <c r="AB124" i="16"/>
  <c r="AB125" i="16"/>
  <c r="AB126" i="16"/>
  <c r="AB127" i="16"/>
  <c r="AB128" i="16"/>
  <c r="AB129" i="16"/>
  <c r="AB130" i="16"/>
  <c r="AB131" i="16"/>
  <c r="AB132" i="16"/>
  <c r="AB133" i="16"/>
  <c r="AB134" i="16"/>
  <c r="AB135" i="16"/>
  <c r="AB136" i="16"/>
  <c r="AB137" i="16"/>
  <c r="AB138" i="16"/>
  <c r="AB139" i="16"/>
  <c r="AB140" i="16"/>
  <c r="AB141" i="16"/>
  <c r="AB142" i="16"/>
  <c r="AB143" i="16"/>
  <c r="AB144" i="16"/>
  <c r="AB145" i="16"/>
  <c r="AB146" i="16"/>
  <c r="AB147" i="16"/>
  <c r="AB148" i="16"/>
  <c r="AB149" i="16"/>
  <c r="AB150" i="16"/>
  <c r="AB151" i="16"/>
  <c r="AB152" i="16"/>
  <c r="AB153" i="16"/>
  <c r="AB154" i="16"/>
  <c r="AB155" i="16"/>
  <c r="AB156" i="16"/>
  <c r="AB157" i="16"/>
  <c r="AB158" i="16"/>
  <c r="AB159" i="16"/>
  <c r="AB160" i="16"/>
  <c r="AB161" i="16"/>
  <c r="AB162" i="16"/>
  <c r="AB163" i="16"/>
  <c r="AB164" i="16"/>
  <c r="AB165" i="16"/>
  <c r="AB166" i="16"/>
  <c r="AB167" i="16"/>
  <c r="AB168" i="16"/>
  <c r="AB169" i="16"/>
  <c r="AB170" i="16"/>
  <c r="AB171" i="16"/>
  <c r="AB172" i="16"/>
  <c r="AB173" i="16"/>
  <c r="AB174" i="16"/>
  <c r="AB175" i="16"/>
  <c r="AB176" i="16"/>
  <c r="AA3" i="16"/>
  <c r="AA4" i="16"/>
  <c r="AA5" i="16"/>
  <c r="AA6" i="16"/>
  <c r="AA7" i="16"/>
  <c r="AA8" i="16"/>
  <c r="AA9" i="16"/>
  <c r="AA10" i="16"/>
  <c r="AA11" i="16"/>
  <c r="AA12" i="16"/>
  <c r="AA13" i="16"/>
  <c r="AA14" i="16"/>
  <c r="AA15" i="16"/>
  <c r="AA16" i="16"/>
  <c r="AA17" i="16"/>
  <c r="AA18" i="16"/>
  <c r="AA19" i="16"/>
  <c r="AA20" i="16"/>
  <c r="AA21" i="16"/>
  <c r="AA22" i="16"/>
  <c r="AA23" i="16"/>
  <c r="AA24" i="16"/>
  <c r="AA25" i="16"/>
  <c r="AA26" i="16"/>
  <c r="AA27" i="16"/>
  <c r="AA28" i="16"/>
  <c r="AA29" i="16"/>
  <c r="AA30" i="16"/>
  <c r="AA31" i="16"/>
  <c r="AA32" i="16"/>
  <c r="AA33" i="16"/>
  <c r="AA34" i="16"/>
  <c r="AA35" i="16"/>
  <c r="AA36" i="16"/>
  <c r="AA37" i="16"/>
  <c r="AA38" i="16"/>
  <c r="AA39" i="16"/>
  <c r="AA40" i="16"/>
  <c r="AA41" i="16"/>
  <c r="AA42" i="16"/>
  <c r="AA43" i="16"/>
  <c r="AA44" i="16"/>
  <c r="AA45" i="16"/>
  <c r="AA46" i="16"/>
  <c r="AA47" i="16"/>
  <c r="AA48" i="16"/>
  <c r="AA49" i="16"/>
  <c r="AA50" i="16"/>
  <c r="AA51" i="16"/>
  <c r="AA52" i="16"/>
  <c r="AA53" i="16"/>
  <c r="AA54" i="16"/>
  <c r="AA55" i="16"/>
  <c r="AA56" i="16"/>
  <c r="AA57" i="16"/>
  <c r="AA58" i="16"/>
  <c r="AA59" i="16"/>
  <c r="AA60" i="16"/>
  <c r="AA61" i="16"/>
  <c r="AA62" i="16"/>
  <c r="AA63" i="16"/>
  <c r="AA64" i="16"/>
  <c r="AA65" i="16"/>
  <c r="AA66" i="16"/>
  <c r="AA67" i="16"/>
  <c r="AA68" i="16"/>
  <c r="AA69" i="16"/>
  <c r="AA70" i="16"/>
  <c r="AA71" i="16"/>
  <c r="AA72" i="16"/>
  <c r="AA73" i="16"/>
  <c r="AA74" i="16"/>
  <c r="AA75" i="16"/>
  <c r="AA76" i="16"/>
  <c r="AA77" i="16"/>
  <c r="AA78" i="16"/>
  <c r="AA79" i="16"/>
  <c r="AA80" i="16"/>
  <c r="AA81" i="16"/>
  <c r="AA82" i="16"/>
  <c r="AA83" i="16"/>
  <c r="AA84" i="16"/>
  <c r="AA85" i="16"/>
  <c r="AA86" i="16"/>
  <c r="AA87" i="16"/>
  <c r="AA88" i="16"/>
  <c r="AA89" i="16"/>
  <c r="AA90" i="16"/>
  <c r="AA91" i="16"/>
  <c r="AA92" i="16"/>
  <c r="AA93" i="16"/>
  <c r="AA94" i="16"/>
  <c r="AA95" i="16"/>
  <c r="AA96" i="16"/>
  <c r="AA97" i="16"/>
  <c r="AA98" i="16"/>
  <c r="AA99" i="16"/>
  <c r="AA100" i="16"/>
  <c r="AA101" i="16"/>
  <c r="AA102" i="16"/>
  <c r="AA103" i="16"/>
  <c r="AA104" i="16"/>
  <c r="AA105" i="16"/>
  <c r="AA106" i="16"/>
  <c r="AA107" i="16"/>
  <c r="AA108" i="16"/>
  <c r="AA109" i="16"/>
  <c r="AA110" i="16"/>
  <c r="AA111" i="16"/>
  <c r="AA112" i="16"/>
  <c r="AA113" i="16"/>
  <c r="AA114" i="16"/>
  <c r="AA115" i="16"/>
  <c r="AA116" i="16"/>
  <c r="AA117" i="16"/>
  <c r="AA118" i="16"/>
  <c r="AA119" i="16"/>
  <c r="AA120" i="16"/>
  <c r="AA121" i="16"/>
  <c r="AA122" i="16"/>
  <c r="AA123" i="16"/>
  <c r="AA124" i="16"/>
  <c r="AA125" i="16"/>
  <c r="AA126" i="16"/>
  <c r="AA127" i="16"/>
  <c r="AA128" i="16"/>
  <c r="AA129" i="16"/>
  <c r="AA130" i="16"/>
  <c r="AA131" i="16"/>
  <c r="AA132" i="16"/>
  <c r="AA133" i="16"/>
  <c r="AA134" i="16"/>
  <c r="AA135" i="16"/>
  <c r="AA136" i="16"/>
  <c r="AA137" i="16"/>
  <c r="AA138" i="16"/>
  <c r="AA139" i="16"/>
  <c r="AA140" i="16"/>
  <c r="AA141" i="16"/>
  <c r="AA142" i="16"/>
  <c r="AA143" i="16"/>
  <c r="AA144" i="16"/>
  <c r="AA145" i="16"/>
  <c r="AA146" i="16"/>
  <c r="AA147" i="16"/>
  <c r="AA148" i="16"/>
  <c r="AA149" i="16"/>
  <c r="AA150" i="16"/>
  <c r="AA151" i="16"/>
  <c r="AA152" i="16"/>
  <c r="AA153" i="16"/>
  <c r="AA154" i="16"/>
  <c r="AA155" i="16"/>
  <c r="AA156" i="16"/>
  <c r="AA157" i="16"/>
  <c r="AA158" i="16"/>
  <c r="AA159" i="16"/>
  <c r="AA160" i="16"/>
  <c r="AA161" i="16"/>
  <c r="AA162" i="16"/>
  <c r="AA163" i="16"/>
  <c r="AA164" i="16"/>
  <c r="AA165" i="16"/>
  <c r="AA166" i="16"/>
  <c r="AA167" i="16"/>
  <c r="AA168" i="16"/>
  <c r="AA169" i="16"/>
  <c r="AA170" i="16"/>
  <c r="AA171" i="16"/>
  <c r="AA172" i="16"/>
  <c r="AA173" i="16"/>
  <c r="AA174" i="16"/>
  <c r="AA175" i="16"/>
  <c r="AA176" i="16"/>
  <c r="Z3" i="16"/>
  <c r="Z4" i="16"/>
  <c r="Z5" i="16"/>
  <c r="Z6" i="16"/>
  <c r="Z7" i="16"/>
  <c r="Z8" i="16"/>
  <c r="Z9" i="16"/>
  <c r="Z10" i="16"/>
  <c r="Z11" i="16"/>
  <c r="Z12" i="16"/>
  <c r="Z13" i="16"/>
  <c r="Z14" i="16"/>
  <c r="Z15" i="16"/>
  <c r="Z16" i="16"/>
  <c r="Z17" i="16"/>
  <c r="Z18" i="16"/>
  <c r="Z19" i="16"/>
  <c r="Z20" i="16"/>
  <c r="Z21" i="16"/>
  <c r="Z22" i="16"/>
  <c r="Z23" i="16"/>
  <c r="Z24" i="16"/>
  <c r="Z25" i="16"/>
  <c r="Z26" i="16"/>
  <c r="Z27" i="16"/>
  <c r="Z28" i="16"/>
  <c r="Z29" i="16"/>
  <c r="Z30" i="16"/>
  <c r="Z31" i="16"/>
  <c r="Z32" i="16"/>
  <c r="Z33" i="16"/>
  <c r="Z34" i="16"/>
  <c r="Z35" i="16"/>
  <c r="Z36" i="16"/>
  <c r="Z37" i="16"/>
  <c r="Z38" i="16"/>
  <c r="Z39" i="16"/>
  <c r="Z40" i="16"/>
  <c r="Z41" i="16"/>
  <c r="Z42" i="16"/>
  <c r="Z43" i="16"/>
  <c r="Z44" i="16"/>
  <c r="Z45" i="16"/>
  <c r="Z46" i="16"/>
  <c r="Z47" i="16"/>
  <c r="Z48" i="16"/>
  <c r="Z49" i="16"/>
  <c r="Z50" i="16"/>
  <c r="Z51" i="16"/>
  <c r="Z52" i="16"/>
  <c r="Z53" i="16"/>
  <c r="Z54" i="16"/>
  <c r="Z55" i="16"/>
  <c r="Z56" i="16"/>
  <c r="Z57" i="16"/>
  <c r="Z58" i="16"/>
  <c r="Z59" i="16"/>
  <c r="Z60" i="16"/>
  <c r="Z61" i="16"/>
  <c r="Z62" i="16"/>
  <c r="Z63" i="16"/>
  <c r="Z64" i="16"/>
  <c r="Z65" i="16"/>
  <c r="Z66" i="16"/>
  <c r="Z67" i="16"/>
  <c r="Z68" i="16"/>
  <c r="Z69" i="16"/>
  <c r="Z70" i="16"/>
  <c r="Z71" i="16"/>
  <c r="Z72" i="16"/>
  <c r="Z73" i="16"/>
  <c r="Z74" i="16"/>
  <c r="Z75" i="16"/>
  <c r="Z76" i="16"/>
  <c r="Z77" i="16"/>
  <c r="Z78" i="16"/>
  <c r="Z79" i="16"/>
  <c r="Z80" i="16"/>
  <c r="Z81" i="16"/>
  <c r="Z82" i="16"/>
  <c r="Z83" i="16"/>
  <c r="Z84" i="16"/>
  <c r="Z85" i="16"/>
  <c r="Z86" i="16"/>
  <c r="Z87" i="16"/>
  <c r="Z88" i="16"/>
  <c r="Z89" i="16"/>
  <c r="Z90" i="16"/>
  <c r="Z91" i="16"/>
  <c r="Z92" i="16"/>
  <c r="Z93" i="16"/>
  <c r="Z94" i="16"/>
  <c r="Z95" i="16"/>
  <c r="Z96" i="16"/>
  <c r="Z97" i="16"/>
  <c r="Z98" i="16"/>
  <c r="Z99" i="16"/>
  <c r="Z100" i="16"/>
  <c r="Z101" i="16"/>
  <c r="Z102" i="16"/>
  <c r="Z103" i="16"/>
  <c r="Z104" i="16"/>
  <c r="Z105" i="16"/>
  <c r="Z106" i="16"/>
  <c r="Z107" i="16"/>
  <c r="Z108" i="16"/>
  <c r="Z109" i="16"/>
  <c r="Z110" i="16"/>
  <c r="Z111" i="16"/>
  <c r="Z112" i="16"/>
  <c r="Z113" i="16"/>
  <c r="Z114" i="16"/>
  <c r="Z115" i="16"/>
  <c r="Z116" i="16"/>
  <c r="Z117" i="16"/>
  <c r="Z118" i="16"/>
  <c r="Z119" i="16"/>
  <c r="Z120" i="16"/>
  <c r="Z121" i="16"/>
  <c r="Z122" i="16"/>
  <c r="Z123" i="16"/>
  <c r="Z124" i="16"/>
  <c r="Z125" i="16"/>
  <c r="Z126" i="16"/>
  <c r="Z127" i="16"/>
  <c r="Z128" i="16"/>
  <c r="Z129" i="16"/>
  <c r="Z130" i="16"/>
  <c r="Z131" i="16"/>
  <c r="Z132" i="16"/>
  <c r="Z133" i="16"/>
  <c r="Z134" i="16"/>
  <c r="Z135" i="16"/>
  <c r="Z136" i="16"/>
  <c r="Z137" i="16"/>
  <c r="Z138" i="16"/>
  <c r="Z139" i="16"/>
  <c r="Z140" i="16"/>
  <c r="Z141" i="16"/>
  <c r="Z142" i="16"/>
  <c r="Z143" i="16"/>
  <c r="Z144" i="16"/>
  <c r="Z145" i="16"/>
  <c r="Z146" i="16"/>
  <c r="Z147" i="16"/>
  <c r="Z148" i="16"/>
  <c r="Z149" i="16"/>
  <c r="Z150" i="16"/>
  <c r="Z151" i="16"/>
  <c r="Z152" i="16"/>
  <c r="Z153" i="16"/>
  <c r="Z154" i="16"/>
  <c r="Z155" i="16"/>
  <c r="Z156" i="16"/>
  <c r="Z157" i="16"/>
  <c r="Z158" i="16"/>
  <c r="Z159" i="16"/>
  <c r="Z160" i="16"/>
  <c r="Z161" i="16"/>
  <c r="Z162" i="16"/>
  <c r="Z163" i="16"/>
  <c r="Z164" i="16"/>
  <c r="Z165" i="16"/>
  <c r="Z166" i="16"/>
  <c r="Z167" i="16"/>
  <c r="Z168" i="16"/>
  <c r="Z169" i="16"/>
  <c r="Z170" i="16"/>
  <c r="Z171" i="16"/>
  <c r="Z172" i="16"/>
  <c r="Z173" i="16"/>
  <c r="Z174" i="16"/>
  <c r="Z175" i="16"/>
  <c r="Z176" i="16"/>
  <c r="Y3" i="16"/>
  <c r="Y4" i="16"/>
  <c r="Y5" i="16"/>
  <c r="Y6" i="16"/>
  <c r="Y7" i="16"/>
  <c r="Y8" i="16"/>
  <c r="Y9" i="16"/>
  <c r="Y10" i="16"/>
  <c r="Y11" i="16"/>
  <c r="Y12" i="16"/>
  <c r="Y13" i="16"/>
  <c r="Y14" i="16"/>
  <c r="Y15" i="16"/>
  <c r="Y16" i="16"/>
  <c r="Y17" i="16"/>
  <c r="Y18" i="16"/>
  <c r="Y19" i="16"/>
  <c r="Y20" i="16"/>
  <c r="Y21" i="16"/>
  <c r="Y22" i="16"/>
  <c r="Y23" i="16"/>
  <c r="Y24" i="16"/>
  <c r="Y25" i="16"/>
  <c r="Y26" i="16"/>
  <c r="Y27" i="16"/>
  <c r="Y28" i="16"/>
  <c r="Y29" i="16"/>
  <c r="Y30" i="16"/>
  <c r="Y31" i="16"/>
  <c r="Y32" i="16"/>
  <c r="Y33" i="16"/>
  <c r="Y34" i="16"/>
  <c r="Y35" i="16"/>
  <c r="Y36" i="16"/>
  <c r="Y37" i="16"/>
  <c r="Y38" i="16"/>
  <c r="Y39" i="16"/>
  <c r="Y40" i="16"/>
  <c r="Y41" i="16"/>
  <c r="Y42" i="16"/>
  <c r="Y43" i="16"/>
  <c r="Y44" i="16"/>
  <c r="Y45" i="16"/>
  <c r="Y46" i="16"/>
  <c r="Y47" i="16"/>
  <c r="Y48" i="16"/>
  <c r="Y49" i="16"/>
  <c r="Y50" i="16"/>
  <c r="Y51" i="16"/>
  <c r="Y52" i="16"/>
  <c r="Y53" i="16"/>
  <c r="Y54" i="16"/>
  <c r="Y55" i="16"/>
  <c r="Y56" i="16"/>
  <c r="Y57" i="16"/>
  <c r="Y58" i="16"/>
  <c r="Y59" i="16"/>
  <c r="Y60" i="16"/>
  <c r="Y61" i="16"/>
  <c r="Y62" i="16"/>
  <c r="Y63" i="16"/>
  <c r="Y64" i="16"/>
  <c r="Y65" i="16"/>
  <c r="Y66" i="16"/>
  <c r="Y67" i="16"/>
  <c r="Y68" i="16"/>
  <c r="Y69" i="16"/>
  <c r="Y70" i="16"/>
  <c r="Y71" i="16"/>
  <c r="Y72" i="16"/>
  <c r="Y73" i="16"/>
  <c r="Y74" i="16"/>
  <c r="Y75" i="16"/>
  <c r="Y76" i="16"/>
  <c r="Y77" i="16"/>
  <c r="Y78" i="16"/>
  <c r="Y79" i="16"/>
  <c r="Y80" i="16"/>
  <c r="Y81" i="16"/>
  <c r="Y82" i="16"/>
  <c r="Y83" i="16"/>
  <c r="Y84" i="16"/>
  <c r="Y85" i="16"/>
  <c r="Y86" i="16"/>
  <c r="Y87" i="16"/>
  <c r="Y88" i="16"/>
  <c r="Y89" i="16"/>
  <c r="Y90" i="16"/>
  <c r="Y91" i="16"/>
  <c r="Y92" i="16"/>
  <c r="Y93" i="16"/>
  <c r="Y94" i="16"/>
  <c r="Y95" i="16"/>
  <c r="Y96" i="16"/>
  <c r="Y97" i="16"/>
  <c r="Y98" i="16"/>
  <c r="Y99" i="16"/>
  <c r="Y100" i="16"/>
  <c r="Y101" i="16"/>
  <c r="Y102" i="16"/>
  <c r="Y103" i="16"/>
  <c r="Y104" i="16"/>
  <c r="Y105" i="16"/>
  <c r="Y106" i="16"/>
  <c r="Y107" i="16"/>
  <c r="Y108" i="16"/>
  <c r="Y109" i="16"/>
  <c r="Y110" i="16"/>
  <c r="Y111" i="16"/>
  <c r="Y112" i="16"/>
  <c r="Y113" i="16"/>
  <c r="Y114" i="16"/>
  <c r="Y115" i="16"/>
  <c r="Y116" i="16"/>
  <c r="Y117" i="16"/>
  <c r="Y118" i="16"/>
  <c r="Y119" i="16"/>
  <c r="Y120" i="16"/>
  <c r="Y121" i="16"/>
  <c r="Y122" i="16"/>
  <c r="Y123" i="16"/>
  <c r="Y124" i="16"/>
  <c r="Y125" i="16"/>
  <c r="Y126" i="16"/>
  <c r="Y127" i="16"/>
  <c r="Y128" i="16"/>
  <c r="Y129" i="16"/>
  <c r="Y130" i="16"/>
  <c r="Y131" i="16"/>
  <c r="Y132" i="16"/>
  <c r="Y133" i="16"/>
  <c r="Y134" i="16"/>
  <c r="Y135" i="16"/>
  <c r="Y136" i="16"/>
  <c r="Y137" i="16"/>
  <c r="Y138" i="16"/>
  <c r="Y139" i="16"/>
  <c r="Y140" i="16"/>
  <c r="Y141" i="16"/>
  <c r="Y142" i="16"/>
  <c r="Y143" i="16"/>
  <c r="Y144" i="16"/>
  <c r="Y145" i="16"/>
  <c r="Y146" i="16"/>
  <c r="Y147" i="16"/>
  <c r="Y148" i="16"/>
  <c r="Y149" i="16"/>
  <c r="Y150" i="16"/>
  <c r="Y151" i="16"/>
  <c r="Y152" i="16"/>
  <c r="Y153" i="16"/>
  <c r="Y154" i="16"/>
  <c r="Y155" i="16"/>
  <c r="Y156" i="16"/>
  <c r="Y157" i="16"/>
  <c r="Y158" i="16"/>
  <c r="Y159" i="16"/>
  <c r="Y160" i="16"/>
  <c r="Y161" i="16"/>
  <c r="Y162" i="16"/>
  <c r="Y163" i="16"/>
  <c r="Y164" i="16"/>
  <c r="Y165" i="16"/>
  <c r="Y166" i="16"/>
  <c r="Y167" i="16"/>
  <c r="Y168" i="16"/>
  <c r="Y169" i="16"/>
  <c r="Y170" i="16"/>
  <c r="Y171" i="16"/>
  <c r="Y172" i="16"/>
  <c r="Y173" i="16"/>
  <c r="Y174" i="16"/>
  <c r="Y175" i="16"/>
  <c r="Y176" i="16"/>
  <c r="X3" i="16"/>
  <c r="X4" i="16"/>
  <c r="X5" i="16"/>
  <c r="X6" i="16"/>
  <c r="X7" i="16"/>
  <c r="X8" i="16"/>
  <c r="X9" i="16"/>
  <c r="X10" i="16"/>
  <c r="X11" i="16"/>
  <c r="X12" i="16"/>
  <c r="X13" i="16"/>
  <c r="X14" i="16"/>
  <c r="X15" i="16"/>
  <c r="X16" i="16"/>
  <c r="X17" i="16"/>
  <c r="X18" i="16"/>
  <c r="X19" i="16"/>
  <c r="X20" i="16"/>
  <c r="X21" i="16"/>
  <c r="X22" i="16"/>
  <c r="X23" i="16"/>
  <c r="X24" i="16"/>
  <c r="X25" i="16"/>
  <c r="X26" i="16"/>
  <c r="X27" i="16"/>
  <c r="X28" i="16"/>
  <c r="X29" i="16"/>
  <c r="X30" i="16"/>
  <c r="X31" i="16"/>
  <c r="X32" i="16"/>
  <c r="X33" i="16"/>
  <c r="X34" i="16"/>
  <c r="X35" i="16"/>
  <c r="X36" i="16"/>
  <c r="X37" i="16"/>
  <c r="X38" i="16"/>
  <c r="X39" i="16"/>
  <c r="X40" i="16"/>
  <c r="X41" i="16"/>
  <c r="X42" i="16"/>
  <c r="X43" i="16"/>
  <c r="X44" i="16"/>
  <c r="X45" i="16"/>
  <c r="X46" i="16"/>
  <c r="X47" i="16"/>
  <c r="X48" i="16"/>
  <c r="X49" i="16"/>
  <c r="X50" i="16"/>
  <c r="X51" i="16"/>
  <c r="X52" i="16"/>
  <c r="X53" i="16"/>
  <c r="X54" i="16"/>
  <c r="X55" i="16"/>
  <c r="X56" i="16"/>
  <c r="X57" i="16"/>
  <c r="X58" i="16"/>
  <c r="X59" i="16"/>
  <c r="X60" i="16"/>
  <c r="X61" i="16"/>
  <c r="X62" i="16"/>
  <c r="X63" i="16"/>
  <c r="X64" i="16"/>
  <c r="X65" i="16"/>
  <c r="X66" i="16"/>
  <c r="X67" i="16"/>
  <c r="X68" i="16"/>
  <c r="X69" i="16"/>
  <c r="X70" i="16"/>
  <c r="X71" i="16"/>
  <c r="X72" i="16"/>
  <c r="X73" i="16"/>
  <c r="X74" i="16"/>
  <c r="X75" i="16"/>
  <c r="X76" i="16"/>
  <c r="X77" i="16"/>
  <c r="X78" i="16"/>
  <c r="X79" i="16"/>
  <c r="X80" i="16"/>
  <c r="X81" i="16"/>
  <c r="X82" i="16"/>
  <c r="X83" i="16"/>
  <c r="X84" i="16"/>
  <c r="X85" i="16"/>
  <c r="X86" i="16"/>
  <c r="X87" i="16"/>
  <c r="X88" i="16"/>
  <c r="X89" i="16"/>
  <c r="X90" i="16"/>
  <c r="X91" i="16"/>
  <c r="X92" i="16"/>
  <c r="X93" i="16"/>
  <c r="X94" i="16"/>
  <c r="X95" i="16"/>
  <c r="X96" i="16"/>
  <c r="X97" i="16"/>
  <c r="X98" i="16"/>
  <c r="X99" i="16"/>
  <c r="X100" i="16"/>
  <c r="X101" i="16"/>
  <c r="X102" i="16"/>
  <c r="X103" i="16"/>
  <c r="X104" i="16"/>
  <c r="X105" i="16"/>
  <c r="X106" i="16"/>
  <c r="X107" i="16"/>
  <c r="X108" i="16"/>
  <c r="X109" i="16"/>
  <c r="X110" i="16"/>
  <c r="X111" i="16"/>
  <c r="X112" i="16"/>
  <c r="X113" i="16"/>
  <c r="X114" i="16"/>
  <c r="X115" i="16"/>
  <c r="X116" i="16"/>
  <c r="X117" i="16"/>
  <c r="X118" i="16"/>
  <c r="X119" i="16"/>
  <c r="X120" i="16"/>
  <c r="X121" i="16"/>
  <c r="X122" i="16"/>
  <c r="X123" i="16"/>
  <c r="X124" i="16"/>
  <c r="X125" i="16"/>
  <c r="X126" i="16"/>
  <c r="X127" i="16"/>
  <c r="X128" i="16"/>
  <c r="X129" i="16"/>
  <c r="X130" i="16"/>
  <c r="X131" i="16"/>
  <c r="X132" i="16"/>
  <c r="X133" i="16"/>
  <c r="X134" i="16"/>
  <c r="X135" i="16"/>
  <c r="X136" i="16"/>
  <c r="X137" i="16"/>
  <c r="X138" i="16"/>
  <c r="X139" i="16"/>
  <c r="X140" i="16"/>
  <c r="X141" i="16"/>
  <c r="X142" i="16"/>
  <c r="X143" i="16"/>
  <c r="X144" i="16"/>
  <c r="X145" i="16"/>
  <c r="X146" i="16"/>
  <c r="X147" i="16"/>
  <c r="X148" i="16"/>
  <c r="X149" i="16"/>
  <c r="X150" i="16"/>
  <c r="X151" i="16"/>
  <c r="X152" i="16"/>
  <c r="X153" i="16"/>
  <c r="X154" i="16"/>
  <c r="X155" i="16"/>
  <c r="X156" i="16"/>
  <c r="X157" i="16"/>
  <c r="X158" i="16"/>
  <c r="X159" i="16"/>
  <c r="X160" i="16"/>
  <c r="X161" i="16"/>
  <c r="X162" i="16"/>
  <c r="X163" i="16"/>
  <c r="X164" i="16"/>
  <c r="X165" i="16"/>
  <c r="X166" i="16"/>
  <c r="X167" i="16"/>
  <c r="X168" i="16"/>
  <c r="X169" i="16"/>
  <c r="X170" i="16"/>
  <c r="X171" i="16"/>
  <c r="X172" i="16"/>
  <c r="X173" i="16"/>
  <c r="X174" i="16"/>
  <c r="X175" i="16"/>
  <c r="X176" i="16"/>
  <c r="W3" i="16"/>
  <c r="W4" i="16"/>
  <c r="W5" i="16"/>
  <c r="W6" i="16"/>
  <c r="W7" i="16"/>
  <c r="W8" i="16"/>
  <c r="W9" i="16"/>
  <c r="W10" i="16"/>
  <c r="W11" i="16"/>
  <c r="W12" i="16"/>
  <c r="W13" i="16"/>
  <c r="W14" i="16"/>
  <c r="W15" i="16"/>
  <c r="W16" i="16"/>
  <c r="W17" i="16"/>
  <c r="W18" i="16"/>
  <c r="W19" i="16"/>
  <c r="W20" i="16"/>
  <c r="W21" i="16"/>
  <c r="W22" i="16"/>
  <c r="W23" i="16"/>
  <c r="W24" i="16"/>
  <c r="W25" i="16"/>
  <c r="W26" i="16"/>
  <c r="W27" i="16"/>
  <c r="W28" i="16"/>
  <c r="W29" i="16"/>
  <c r="W30" i="16"/>
  <c r="W31" i="16"/>
  <c r="W32" i="16"/>
  <c r="W33" i="16"/>
  <c r="W34" i="16"/>
  <c r="W35" i="16"/>
  <c r="W36" i="16"/>
  <c r="W37" i="16"/>
  <c r="W38" i="16"/>
  <c r="W39" i="16"/>
  <c r="W40" i="16"/>
  <c r="W41" i="16"/>
  <c r="W42" i="16"/>
  <c r="W43" i="16"/>
  <c r="W44" i="16"/>
  <c r="W45" i="16"/>
  <c r="W46" i="16"/>
  <c r="W47" i="16"/>
  <c r="W48" i="16"/>
  <c r="W49" i="16"/>
  <c r="W50" i="16"/>
  <c r="W51" i="16"/>
  <c r="W52" i="16"/>
  <c r="W53" i="16"/>
  <c r="W54" i="16"/>
  <c r="W55" i="16"/>
  <c r="W56" i="16"/>
  <c r="W57" i="16"/>
  <c r="W58" i="16"/>
  <c r="W59" i="16"/>
  <c r="W60" i="16"/>
  <c r="W61" i="16"/>
  <c r="W62" i="16"/>
  <c r="W63" i="16"/>
  <c r="W64" i="16"/>
  <c r="W65" i="16"/>
  <c r="W66" i="16"/>
  <c r="W67" i="16"/>
  <c r="W68" i="16"/>
  <c r="W69" i="16"/>
  <c r="W70" i="16"/>
  <c r="W71" i="16"/>
  <c r="W72" i="16"/>
  <c r="W73" i="16"/>
  <c r="W74" i="16"/>
  <c r="W75" i="16"/>
  <c r="W76" i="16"/>
  <c r="W77" i="16"/>
  <c r="W78" i="16"/>
  <c r="W79" i="16"/>
  <c r="W80" i="16"/>
  <c r="W81" i="16"/>
  <c r="W82" i="16"/>
  <c r="W83" i="16"/>
  <c r="W84" i="16"/>
  <c r="W85" i="16"/>
  <c r="W86" i="16"/>
  <c r="W87" i="16"/>
  <c r="W88" i="16"/>
  <c r="W89" i="16"/>
  <c r="W90" i="16"/>
  <c r="W91" i="16"/>
  <c r="W92" i="16"/>
  <c r="W93" i="16"/>
  <c r="W94" i="16"/>
  <c r="W95" i="16"/>
  <c r="W96" i="16"/>
  <c r="W97" i="16"/>
  <c r="W98" i="16"/>
  <c r="W99" i="16"/>
  <c r="W100" i="16"/>
  <c r="W101" i="16"/>
  <c r="W102" i="16"/>
  <c r="W103" i="16"/>
  <c r="W104" i="16"/>
  <c r="W105" i="16"/>
  <c r="W106" i="16"/>
  <c r="W107" i="16"/>
  <c r="W108" i="16"/>
  <c r="W109" i="16"/>
  <c r="W110" i="16"/>
  <c r="W111" i="16"/>
  <c r="W112" i="16"/>
  <c r="W113" i="16"/>
  <c r="W114" i="16"/>
  <c r="W115" i="16"/>
  <c r="W116" i="16"/>
  <c r="W117" i="16"/>
  <c r="W118" i="16"/>
  <c r="W119" i="16"/>
  <c r="W120" i="16"/>
  <c r="W121" i="16"/>
  <c r="W122" i="16"/>
  <c r="W123" i="16"/>
  <c r="W124" i="16"/>
  <c r="W125" i="16"/>
  <c r="W126" i="16"/>
  <c r="W127" i="16"/>
  <c r="W128" i="16"/>
  <c r="W129" i="16"/>
  <c r="W130" i="16"/>
  <c r="W131" i="16"/>
  <c r="W132" i="16"/>
  <c r="W133" i="16"/>
  <c r="W134" i="16"/>
  <c r="W135" i="16"/>
  <c r="W136" i="16"/>
  <c r="W137" i="16"/>
  <c r="W138" i="16"/>
  <c r="W139" i="16"/>
  <c r="W140" i="16"/>
  <c r="W141" i="16"/>
  <c r="W142" i="16"/>
  <c r="W143" i="16"/>
  <c r="W144" i="16"/>
  <c r="W145" i="16"/>
  <c r="W146" i="16"/>
  <c r="W147" i="16"/>
  <c r="W148" i="16"/>
  <c r="W149" i="16"/>
  <c r="W150" i="16"/>
  <c r="W151" i="16"/>
  <c r="W152" i="16"/>
  <c r="W153" i="16"/>
  <c r="W154" i="16"/>
  <c r="W155" i="16"/>
  <c r="W156" i="16"/>
  <c r="W157" i="16"/>
  <c r="W158" i="16"/>
  <c r="W159" i="16"/>
  <c r="W160" i="16"/>
  <c r="W161" i="16"/>
  <c r="W162" i="16"/>
  <c r="W163" i="16"/>
  <c r="W164" i="16"/>
  <c r="W165" i="16"/>
  <c r="W166" i="16"/>
  <c r="W167" i="16"/>
  <c r="W168" i="16"/>
  <c r="W169" i="16"/>
  <c r="W170" i="16"/>
  <c r="W171" i="16"/>
  <c r="W172" i="16"/>
  <c r="W173" i="16"/>
  <c r="W174" i="16"/>
  <c r="W175" i="16"/>
  <c r="W176" i="16"/>
  <c r="V3" i="16"/>
  <c r="V4" i="16"/>
  <c r="V5" i="16"/>
  <c r="V6" i="16"/>
  <c r="V7" i="16"/>
  <c r="V8" i="16"/>
  <c r="V9" i="16"/>
  <c r="V10" i="16"/>
  <c r="V11" i="16"/>
  <c r="V12" i="16"/>
  <c r="V13" i="16"/>
  <c r="V14" i="16"/>
  <c r="V15" i="16"/>
  <c r="V16" i="16"/>
  <c r="V17" i="16"/>
  <c r="V18" i="16"/>
  <c r="V19" i="16"/>
  <c r="V20" i="16"/>
  <c r="V21" i="16"/>
  <c r="V22" i="16"/>
  <c r="V23" i="16"/>
  <c r="V24" i="16"/>
  <c r="V25" i="16"/>
  <c r="V26" i="16"/>
  <c r="V27" i="16"/>
  <c r="V28" i="16"/>
  <c r="V29" i="16"/>
  <c r="V30" i="16"/>
  <c r="V31" i="16"/>
  <c r="V32" i="16"/>
  <c r="V33" i="16"/>
  <c r="V34" i="16"/>
  <c r="V35" i="16"/>
  <c r="V36" i="16"/>
  <c r="V37" i="16"/>
  <c r="V38" i="16"/>
  <c r="V39" i="16"/>
  <c r="V40" i="16"/>
  <c r="V41" i="16"/>
  <c r="V42" i="16"/>
  <c r="V43" i="16"/>
  <c r="V44" i="16"/>
  <c r="V45" i="16"/>
  <c r="V46" i="16"/>
  <c r="V47" i="16"/>
  <c r="V48" i="16"/>
  <c r="V49" i="16"/>
  <c r="V50" i="16"/>
  <c r="V51" i="16"/>
  <c r="V52" i="16"/>
  <c r="V53" i="16"/>
  <c r="V54" i="16"/>
  <c r="V55" i="16"/>
  <c r="V56" i="16"/>
  <c r="V57" i="16"/>
  <c r="V58" i="16"/>
  <c r="V59" i="16"/>
  <c r="V60" i="16"/>
  <c r="V61" i="16"/>
  <c r="V62" i="16"/>
  <c r="V63" i="16"/>
  <c r="V64" i="16"/>
  <c r="V65" i="16"/>
  <c r="V66" i="16"/>
  <c r="V67" i="16"/>
  <c r="V68" i="16"/>
  <c r="V69" i="16"/>
  <c r="V70" i="16"/>
  <c r="V71" i="16"/>
  <c r="V72" i="16"/>
  <c r="V73" i="16"/>
  <c r="V74" i="16"/>
  <c r="V75" i="16"/>
  <c r="V76" i="16"/>
  <c r="V77" i="16"/>
  <c r="V78" i="16"/>
  <c r="V79" i="16"/>
  <c r="V80" i="16"/>
  <c r="V81" i="16"/>
  <c r="V82" i="16"/>
  <c r="V83" i="16"/>
  <c r="V84" i="16"/>
  <c r="V85" i="16"/>
  <c r="V86" i="16"/>
  <c r="V87" i="16"/>
  <c r="V88" i="16"/>
  <c r="V89" i="16"/>
  <c r="V90" i="16"/>
  <c r="V91" i="16"/>
  <c r="V92" i="16"/>
  <c r="V93" i="16"/>
  <c r="V94" i="16"/>
  <c r="V95" i="16"/>
  <c r="V96" i="16"/>
  <c r="V97" i="16"/>
  <c r="V98" i="16"/>
  <c r="V99" i="16"/>
  <c r="V100" i="16"/>
  <c r="V101" i="16"/>
  <c r="V102" i="16"/>
  <c r="V103" i="16"/>
  <c r="V104" i="16"/>
  <c r="V105" i="16"/>
  <c r="V106" i="16"/>
  <c r="V107" i="16"/>
  <c r="V108" i="16"/>
  <c r="V109" i="16"/>
  <c r="V110" i="16"/>
  <c r="V111" i="16"/>
  <c r="V112" i="16"/>
  <c r="V113" i="16"/>
  <c r="V114" i="16"/>
  <c r="V115" i="16"/>
  <c r="V116" i="16"/>
  <c r="V117" i="16"/>
  <c r="V118" i="16"/>
  <c r="V119" i="16"/>
  <c r="V120" i="16"/>
  <c r="V121" i="16"/>
  <c r="V122" i="16"/>
  <c r="V123" i="16"/>
  <c r="V124" i="16"/>
  <c r="V125" i="16"/>
  <c r="V126" i="16"/>
  <c r="V127" i="16"/>
  <c r="V128" i="16"/>
  <c r="V129" i="16"/>
  <c r="V130" i="16"/>
  <c r="V131" i="16"/>
  <c r="V132" i="16"/>
  <c r="V133" i="16"/>
  <c r="V134" i="16"/>
  <c r="V135" i="16"/>
  <c r="V136" i="16"/>
  <c r="V137" i="16"/>
  <c r="V138" i="16"/>
  <c r="V139" i="16"/>
  <c r="V140" i="16"/>
  <c r="V141" i="16"/>
  <c r="V142" i="16"/>
  <c r="V143" i="16"/>
  <c r="V144" i="16"/>
  <c r="V145" i="16"/>
  <c r="V146" i="16"/>
  <c r="V147" i="16"/>
  <c r="V148" i="16"/>
  <c r="V149" i="16"/>
  <c r="V150" i="16"/>
  <c r="V151" i="16"/>
  <c r="V152" i="16"/>
  <c r="V153" i="16"/>
  <c r="V154" i="16"/>
  <c r="V155" i="16"/>
  <c r="V156" i="16"/>
  <c r="V157" i="16"/>
  <c r="V158" i="16"/>
  <c r="V159" i="16"/>
  <c r="V160" i="16"/>
  <c r="V161" i="16"/>
  <c r="V162" i="16"/>
  <c r="V163" i="16"/>
  <c r="V164" i="16"/>
  <c r="V165" i="16"/>
  <c r="V166" i="16"/>
  <c r="V167" i="16"/>
  <c r="V168" i="16"/>
  <c r="V169" i="16"/>
  <c r="V170" i="16"/>
  <c r="V171" i="16"/>
  <c r="V172" i="16"/>
  <c r="V173" i="16"/>
  <c r="V174" i="16"/>
  <c r="V175" i="16"/>
  <c r="V176" i="16"/>
  <c r="U3" i="16"/>
  <c r="U4" i="16"/>
  <c r="U5" i="16"/>
  <c r="U6" i="16"/>
  <c r="U7" i="16"/>
  <c r="U8" i="16"/>
  <c r="U9" i="16"/>
  <c r="U10" i="16"/>
  <c r="U11" i="16"/>
  <c r="U12" i="16"/>
  <c r="U13" i="16"/>
  <c r="U14" i="16"/>
  <c r="U15" i="16"/>
  <c r="U16" i="16"/>
  <c r="U17" i="16"/>
  <c r="U18" i="16"/>
  <c r="U19" i="16"/>
  <c r="U20" i="16"/>
  <c r="U21" i="16"/>
  <c r="U22" i="16"/>
  <c r="U23" i="16"/>
  <c r="U24" i="16"/>
  <c r="U25" i="16"/>
  <c r="U26" i="16"/>
  <c r="U27" i="16"/>
  <c r="U28" i="16"/>
  <c r="U29" i="16"/>
  <c r="U30" i="16"/>
  <c r="U31" i="16"/>
  <c r="U32" i="16"/>
  <c r="U33" i="16"/>
  <c r="U34" i="16"/>
  <c r="U35" i="16"/>
  <c r="U36" i="16"/>
  <c r="U37" i="16"/>
  <c r="U38" i="16"/>
  <c r="U39" i="16"/>
  <c r="U40" i="16"/>
  <c r="U41" i="16"/>
  <c r="U42" i="16"/>
  <c r="U43" i="16"/>
  <c r="U44" i="16"/>
  <c r="U45" i="16"/>
  <c r="U46" i="16"/>
  <c r="U47" i="16"/>
  <c r="U48" i="16"/>
  <c r="U49" i="16"/>
  <c r="U50" i="16"/>
  <c r="U51" i="16"/>
  <c r="U52" i="16"/>
  <c r="U53" i="16"/>
  <c r="U54" i="16"/>
  <c r="U55" i="16"/>
  <c r="U56" i="16"/>
  <c r="U57" i="16"/>
  <c r="U58" i="16"/>
  <c r="U59" i="16"/>
  <c r="U60" i="16"/>
  <c r="U61" i="16"/>
  <c r="U62" i="16"/>
  <c r="U63" i="16"/>
  <c r="U64" i="16"/>
  <c r="U65" i="16"/>
  <c r="U66" i="16"/>
  <c r="U67" i="16"/>
  <c r="U68" i="16"/>
  <c r="U69" i="16"/>
  <c r="U70" i="16"/>
  <c r="U71" i="16"/>
  <c r="U72" i="16"/>
  <c r="U73" i="16"/>
  <c r="U74" i="16"/>
  <c r="U75" i="16"/>
  <c r="U76" i="16"/>
  <c r="U77" i="16"/>
  <c r="U78" i="16"/>
  <c r="U79" i="16"/>
  <c r="U80" i="16"/>
  <c r="U81" i="16"/>
  <c r="U82" i="16"/>
  <c r="U83" i="16"/>
  <c r="U84" i="16"/>
  <c r="U85" i="16"/>
  <c r="U86" i="16"/>
  <c r="U87" i="16"/>
  <c r="U88" i="16"/>
  <c r="U89" i="16"/>
  <c r="U90" i="16"/>
  <c r="U91" i="16"/>
  <c r="U92" i="16"/>
  <c r="U93" i="16"/>
  <c r="U94" i="16"/>
  <c r="U95" i="16"/>
  <c r="U96" i="16"/>
  <c r="U97" i="16"/>
  <c r="U98" i="16"/>
  <c r="U99" i="16"/>
  <c r="U100" i="16"/>
  <c r="U101" i="16"/>
  <c r="U102" i="16"/>
  <c r="U103" i="16"/>
  <c r="U104" i="16"/>
  <c r="U105" i="16"/>
  <c r="U106" i="16"/>
  <c r="U107" i="16"/>
  <c r="U108" i="16"/>
  <c r="U109" i="16"/>
  <c r="U110" i="16"/>
  <c r="U111" i="16"/>
  <c r="U112" i="16"/>
  <c r="U113" i="16"/>
  <c r="U114" i="16"/>
  <c r="U115" i="16"/>
  <c r="U116" i="16"/>
  <c r="U117" i="16"/>
  <c r="U118" i="16"/>
  <c r="U119" i="16"/>
  <c r="U120" i="16"/>
  <c r="U121" i="16"/>
  <c r="U122" i="16"/>
  <c r="U123" i="16"/>
  <c r="U124" i="16"/>
  <c r="U125" i="16"/>
  <c r="U126" i="16"/>
  <c r="U127" i="16"/>
  <c r="U128" i="16"/>
  <c r="U129" i="16"/>
  <c r="U130" i="16"/>
  <c r="U131" i="16"/>
  <c r="U132" i="16"/>
  <c r="U133" i="16"/>
  <c r="U134" i="16"/>
  <c r="U135" i="16"/>
  <c r="U136" i="16"/>
  <c r="U137" i="16"/>
  <c r="U138" i="16"/>
  <c r="U139" i="16"/>
  <c r="U140" i="16"/>
  <c r="U141" i="16"/>
  <c r="U142" i="16"/>
  <c r="U143" i="16"/>
  <c r="U144" i="16"/>
  <c r="U145" i="16"/>
  <c r="U146" i="16"/>
  <c r="U147" i="16"/>
  <c r="U148" i="16"/>
  <c r="U149" i="16"/>
  <c r="U150" i="16"/>
  <c r="U151" i="16"/>
  <c r="U152" i="16"/>
  <c r="U153" i="16"/>
  <c r="U154" i="16"/>
  <c r="U155" i="16"/>
  <c r="U156" i="16"/>
  <c r="U157" i="16"/>
  <c r="U158" i="16"/>
  <c r="U159" i="16"/>
  <c r="U160" i="16"/>
  <c r="U161" i="16"/>
  <c r="U162" i="16"/>
  <c r="U163" i="16"/>
  <c r="U164" i="16"/>
  <c r="U165" i="16"/>
  <c r="U166" i="16"/>
  <c r="U167" i="16"/>
  <c r="U168" i="16"/>
  <c r="U169" i="16"/>
  <c r="U170" i="16"/>
  <c r="U171" i="16"/>
  <c r="U172" i="16"/>
  <c r="U173" i="16"/>
  <c r="U174" i="16"/>
  <c r="U175" i="16"/>
  <c r="U176" i="16"/>
  <c r="T3" i="16"/>
  <c r="T4" i="16"/>
  <c r="T5" i="16"/>
  <c r="T6" i="16"/>
  <c r="T7" i="16"/>
  <c r="T8" i="16"/>
  <c r="T9" i="16"/>
  <c r="T10" i="16"/>
  <c r="T11" i="16"/>
  <c r="T12" i="16"/>
  <c r="T13" i="16"/>
  <c r="T14" i="16"/>
  <c r="T15" i="16"/>
  <c r="T16" i="16"/>
  <c r="T17" i="16"/>
  <c r="T18" i="16"/>
  <c r="T19" i="16"/>
  <c r="T20" i="16"/>
  <c r="T21" i="16"/>
  <c r="T22" i="16"/>
  <c r="T23" i="16"/>
  <c r="T24" i="16"/>
  <c r="T25" i="16"/>
  <c r="T26" i="16"/>
  <c r="T27" i="16"/>
  <c r="T28" i="16"/>
  <c r="T29" i="16"/>
  <c r="T30" i="16"/>
  <c r="T31" i="16"/>
  <c r="T32" i="16"/>
  <c r="T33" i="16"/>
  <c r="T34" i="16"/>
  <c r="T35" i="16"/>
  <c r="T36" i="16"/>
  <c r="T37" i="16"/>
  <c r="T38" i="16"/>
  <c r="T39" i="16"/>
  <c r="T40" i="16"/>
  <c r="T41" i="16"/>
  <c r="T42" i="16"/>
  <c r="T43" i="16"/>
  <c r="T44" i="16"/>
  <c r="T45" i="16"/>
  <c r="T46" i="16"/>
  <c r="T47" i="16"/>
  <c r="T48" i="16"/>
  <c r="T49" i="16"/>
  <c r="T50" i="16"/>
  <c r="T51" i="16"/>
  <c r="T52" i="16"/>
  <c r="T53" i="16"/>
  <c r="T54" i="16"/>
  <c r="T55" i="16"/>
  <c r="T56" i="16"/>
  <c r="T57" i="16"/>
  <c r="T58" i="16"/>
  <c r="T59" i="16"/>
  <c r="T60" i="16"/>
  <c r="T61" i="16"/>
  <c r="T62" i="16"/>
  <c r="T63" i="16"/>
  <c r="T64" i="16"/>
  <c r="T65" i="16"/>
  <c r="T66" i="16"/>
  <c r="T67" i="16"/>
  <c r="T68" i="16"/>
  <c r="T69" i="16"/>
  <c r="T70" i="16"/>
  <c r="T71" i="16"/>
  <c r="T72" i="16"/>
  <c r="T73" i="16"/>
  <c r="T74" i="16"/>
  <c r="T75" i="16"/>
  <c r="T76" i="16"/>
  <c r="T77" i="16"/>
  <c r="T78" i="16"/>
  <c r="T79" i="16"/>
  <c r="T80" i="16"/>
  <c r="T81" i="16"/>
  <c r="T82" i="16"/>
  <c r="T83" i="16"/>
  <c r="T84" i="16"/>
  <c r="T85" i="16"/>
  <c r="T86" i="16"/>
  <c r="T87" i="16"/>
  <c r="T88" i="16"/>
  <c r="T89" i="16"/>
  <c r="T90" i="16"/>
  <c r="T91" i="16"/>
  <c r="T92" i="16"/>
  <c r="T93" i="16"/>
  <c r="T94" i="16"/>
  <c r="T95" i="16"/>
  <c r="T96" i="16"/>
  <c r="T97" i="16"/>
  <c r="T98" i="16"/>
  <c r="T99" i="16"/>
  <c r="T100" i="16"/>
  <c r="T101" i="16"/>
  <c r="T102" i="16"/>
  <c r="T103" i="16"/>
  <c r="T104" i="16"/>
  <c r="T105" i="16"/>
  <c r="T106" i="16"/>
  <c r="T107" i="16"/>
  <c r="T108" i="16"/>
  <c r="T109" i="16"/>
  <c r="T110" i="16"/>
  <c r="T111" i="16"/>
  <c r="T112" i="16"/>
  <c r="T113" i="16"/>
  <c r="T114" i="16"/>
  <c r="T115" i="16"/>
  <c r="T116" i="16"/>
  <c r="T117" i="16"/>
  <c r="T118" i="16"/>
  <c r="T119" i="16"/>
  <c r="T120" i="16"/>
  <c r="T121" i="16"/>
  <c r="T122" i="16"/>
  <c r="T123" i="16"/>
  <c r="T124" i="16"/>
  <c r="T125" i="16"/>
  <c r="T126" i="16"/>
  <c r="T127" i="16"/>
  <c r="T128" i="16"/>
  <c r="T129" i="16"/>
  <c r="T130" i="16"/>
  <c r="T131" i="16"/>
  <c r="T132" i="16"/>
  <c r="T133" i="16"/>
  <c r="T134" i="16"/>
  <c r="T135" i="16"/>
  <c r="T136" i="16"/>
  <c r="T137" i="16"/>
  <c r="T138" i="16"/>
  <c r="T139" i="16"/>
  <c r="T140" i="16"/>
  <c r="T141" i="16"/>
  <c r="T142" i="16"/>
  <c r="T143" i="16"/>
  <c r="T144" i="16"/>
  <c r="T145" i="16"/>
  <c r="T146" i="16"/>
  <c r="T147" i="16"/>
  <c r="T148" i="16"/>
  <c r="T149" i="16"/>
  <c r="T150" i="16"/>
  <c r="T151" i="16"/>
  <c r="T152" i="16"/>
  <c r="T153" i="16"/>
  <c r="T154" i="16"/>
  <c r="T155" i="16"/>
  <c r="T156" i="16"/>
  <c r="T157" i="16"/>
  <c r="T158" i="16"/>
  <c r="T159" i="16"/>
  <c r="T160" i="16"/>
  <c r="T161" i="16"/>
  <c r="T162" i="16"/>
  <c r="T163" i="16"/>
  <c r="T164" i="16"/>
  <c r="T165" i="16"/>
  <c r="T166" i="16"/>
  <c r="T167" i="16"/>
  <c r="T168" i="16"/>
  <c r="T169" i="16"/>
  <c r="T170" i="16"/>
  <c r="T171" i="16"/>
  <c r="T172" i="16"/>
  <c r="T173" i="16"/>
  <c r="T174" i="16"/>
  <c r="T175" i="16"/>
  <c r="T176" i="16"/>
  <c r="S3" i="16"/>
  <c r="S4" i="16"/>
  <c r="S5" i="16"/>
  <c r="S6" i="16"/>
  <c r="S7" i="16"/>
  <c r="S8" i="16"/>
  <c r="S9" i="16"/>
  <c r="S10" i="16"/>
  <c r="S11" i="16"/>
  <c r="S12" i="16"/>
  <c r="S13" i="16"/>
  <c r="S14" i="16"/>
  <c r="S15" i="16"/>
  <c r="S16" i="16"/>
  <c r="S17" i="16"/>
  <c r="S18" i="16"/>
  <c r="S19" i="16"/>
  <c r="S20" i="16"/>
  <c r="S21" i="16"/>
  <c r="S22" i="16"/>
  <c r="S23" i="16"/>
  <c r="S24" i="16"/>
  <c r="S25" i="16"/>
  <c r="S26" i="16"/>
  <c r="S27" i="16"/>
  <c r="S28" i="16"/>
  <c r="S29" i="16"/>
  <c r="S30" i="16"/>
  <c r="S31" i="16"/>
  <c r="S32" i="16"/>
  <c r="S33" i="16"/>
  <c r="S34" i="16"/>
  <c r="S35" i="16"/>
  <c r="S36" i="16"/>
  <c r="S37" i="16"/>
  <c r="S38" i="16"/>
  <c r="S39" i="16"/>
  <c r="S40" i="16"/>
  <c r="S41" i="16"/>
  <c r="S42" i="16"/>
  <c r="S43" i="16"/>
  <c r="S44" i="16"/>
  <c r="S45" i="16"/>
  <c r="S46" i="16"/>
  <c r="S47" i="16"/>
  <c r="S48" i="16"/>
  <c r="S49" i="16"/>
  <c r="S50" i="16"/>
  <c r="S51" i="16"/>
  <c r="S52" i="16"/>
  <c r="S53" i="16"/>
  <c r="S54" i="16"/>
  <c r="S55" i="16"/>
  <c r="S56" i="16"/>
  <c r="S57" i="16"/>
  <c r="S58" i="16"/>
  <c r="S59" i="16"/>
  <c r="S60" i="16"/>
  <c r="S61" i="16"/>
  <c r="S62" i="16"/>
  <c r="S63" i="16"/>
  <c r="S64" i="16"/>
  <c r="S65" i="16"/>
  <c r="S66" i="16"/>
  <c r="S67" i="16"/>
  <c r="S68" i="16"/>
  <c r="S69" i="16"/>
  <c r="S70" i="16"/>
  <c r="S71" i="16"/>
  <c r="S72" i="16"/>
  <c r="S73" i="16"/>
  <c r="S74" i="16"/>
  <c r="S75" i="16"/>
  <c r="S76" i="16"/>
  <c r="S77" i="16"/>
  <c r="S78" i="16"/>
  <c r="S79" i="16"/>
  <c r="S80" i="16"/>
  <c r="S81" i="16"/>
  <c r="S82" i="16"/>
  <c r="S83" i="16"/>
  <c r="S84" i="16"/>
  <c r="S85" i="16"/>
  <c r="S86" i="16"/>
  <c r="S87" i="16"/>
  <c r="S88" i="16"/>
  <c r="S89" i="16"/>
  <c r="S90" i="16"/>
  <c r="S91" i="16"/>
  <c r="S92" i="16"/>
  <c r="S93" i="16"/>
  <c r="S94" i="16"/>
  <c r="S95" i="16"/>
  <c r="S96" i="16"/>
  <c r="S97" i="16"/>
  <c r="S98" i="16"/>
  <c r="S99" i="16"/>
  <c r="S100" i="16"/>
  <c r="S101" i="16"/>
  <c r="S102" i="16"/>
  <c r="S103" i="16"/>
  <c r="S104" i="16"/>
  <c r="S105" i="16"/>
  <c r="S106" i="16"/>
  <c r="S107" i="16"/>
  <c r="S108" i="16"/>
  <c r="S109" i="16"/>
  <c r="S110" i="16"/>
  <c r="S111" i="16"/>
  <c r="S112" i="16"/>
  <c r="S113" i="16"/>
  <c r="S114" i="16"/>
  <c r="S115" i="16"/>
  <c r="S116" i="16"/>
  <c r="S117" i="16"/>
  <c r="S118" i="16"/>
  <c r="S119" i="16"/>
  <c r="S120" i="16"/>
  <c r="S121" i="16"/>
  <c r="S122" i="16"/>
  <c r="S123" i="16"/>
  <c r="S124" i="16"/>
  <c r="S125" i="16"/>
  <c r="S126" i="16"/>
  <c r="S127" i="16"/>
  <c r="S128" i="16"/>
  <c r="S129" i="16"/>
  <c r="S130" i="16"/>
  <c r="S131" i="16"/>
  <c r="S132" i="16"/>
  <c r="S133" i="16"/>
  <c r="S134" i="16"/>
  <c r="S135" i="16"/>
  <c r="S136" i="16"/>
  <c r="S137" i="16"/>
  <c r="S138" i="16"/>
  <c r="S139" i="16"/>
  <c r="S140" i="16"/>
  <c r="S141" i="16"/>
  <c r="S142" i="16"/>
  <c r="S143" i="16"/>
  <c r="S144" i="16"/>
  <c r="S145" i="16"/>
  <c r="S146" i="16"/>
  <c r="S147" i="16"/>
  <c r="S148" i="16"/>
  <c r="S149" i="16"/>
  <c r="S150" i="16"/>
  <c r="S151" i="16"/>
  <c r="S152" i="16"/>
  <c r="S153" i="16"/>
  <c r="S154" i="16"/>
  <c r="S155" i="16"/>
  <c r="S156" i="16"/>
  <c r="S157" i="16"/>
  <c r="S158" i="16"/>
  <c r="S159" i="16"/>
  <c r="S160" i="16"/>
  <c r="S161" i="16"/>
  <c r="S162" i="16"/>
  <c r="S163" i="16"/>
  <c r="S164" i="16"/>
  <c r="S165" i="16"/>
  <c r="S166" i="16"/>
  <c r="S167" i="16"/>
  <c r="S168" i="16"/>
  <c r="S169" i="16"/>
  <c r="S170" i="16"/>
  <c r="S171" i="16"/>
  <c r="S172" i="16"/>
  <c r="S173" i="16"/>
  <c r="S174" i="16"/>
  <c r="S175" i="16"/>
  <c r="S176" i="16"/>
  <c r="R3" i="16"/>
  <c r="R4" i="16"/>
  <c r="R5" i="16"/>
  <c r="R6" i="16"/>
  <c r="R7" i="16"/>
  <c r="R8" i="16"/>
  <c r="R9" i="16"/>
  <c r="R10" i="16"/>
  <c r="R11" i="16"/>
  <c r="R12" i="16"/>
  <c r="R13" i="16"/>
  <c r="R14" i="16"/>
  <c r="R15" i="16"/>
  <c r="R16" i="16"/>
  <c r="R17" i="16"/>
  <c r="R18" i="16"/>
  <c r="R19" i="16"/>
  <c r="R20" i="16"/>
  <c r="R21" i="16"/>
  <c r="R22" i="16"/>
  <c r="R23" i="16"/>
  <c r="R24" i="16"/>
  <c r="R25" i="16"/>
  <c r="R26" i="16"/>
  <c r="R27" i="16"/>
  <c r="R28" i="16"/>
  <c r="R29" i="16"/>
  <c r="R30" i="16"/>
  <c r="R31" i="16"/>
  <c r="R32" i="16"/>
  <c r="R33" i="16"/>
  <c r="R34" i="16"/>
  <c r="R35" i="16"/>
  <c r="R36" i="16"/>
  <c r="R37" i="16"/>
  <c r="R38" i="16"/>
  <c r="R39" i="16"/>
  <c r="R40" i="16"/>
  <c r="R41" i="16"/>
  <c r="R42" i="16"/>
  <c r="R43" i="16"/>
  <c r="R44" i="16"/>
  <c r="R45" i="16"/>
  <c r="R46" i="16"/>
  <c r="R47" i="16"/>
  <c r="R48" i="16"/>
  <c r="R49" i="16"/>
  <c r="R50" i="16"/>
  <c r="R51" i="16"/>
  <c r="R52" i="16"/>
  <c r="R53" i="16"/>
  <c r="R54" i="16"/>
  <c r="R55" i="16"/>
  <c r="R56" i="16"/>
  <c r="R57" i="16"/>
  <c r="R58" i="16"/>
  <c r="R59" i="16"/>
  <c r="R60" i="16"/>
  <c r="R61" i="16"/>
  <c r="R62" i="16"/>
  <c r="R63" i="16"/>
  <c r="R64" i="16"/>
  <c r="R65" i="16"/>
  <c r="R66" i="16"/>
  <c r="R67" i="16"/>
  <c r="R68" i="16"/>
  <c r="R69" i="16"/>
  <c r="R70" i="16"/>
  <c r="R71" i="16"/>
  <c r="R72" i="16"/>
  <c r="R73" i="16"/>
  <c r="R74" i="16"/>
  <c r="R75" i="16"/>
  <c r="R76" i="16"/>
  <c r="R77" i="16"/>
  <c r="R78" i="16"/>
  <c r="R79" i="16"/>
  <c r="R80" i="16"/>
  <c r="R81" i="16"/>
  <c r="R82" i="16"/>
  <c r="R83" i="16"/>
  <c r="R84" i="16"/>
  <c r="R85" i="16"/>
  <c r="R86" i="16"/>
  <c r="R87" i="16"/>
  <c r="R88" i="16"/>
  <c r="R89" i="16"/>
  <c r="R90" i="16"/>
  <c r="R91" i="16"/>
  <c r="R92" i="16"/>
  <c r="R93" i="16"/>
  <c r="R94" i="16"/>
  <c r="R95" i="16"/>
  <c r="R96" i="16"/>
  <c r="R97" i="16"/>
  <c r="R98" i="16"/>
  <c r="R99" i="16"/>
  <c r="R100" i="16"/>
  <c r="R101" i="16"/>
  <c r="R102" i="16"/>
  <c r="R103" i="16"/>
  <c r="R104" i="16"/>
  <c r="R105" i="16"/>
  <c r="R106" i="16"/>
  <c r="R107" i="16"/>
  <c r="R108" i="16"/>
  <c r="R109" i="16"/>
  <c r="R110" i="16"/>
  <c r="R111" i="16"/>
  <c r="R112" i="16"/>
  <c r="R113" i="16"/>
  <c r="R114" i="16"/>
  <c r="R115" i="16"/>
  <c r="R116" i="16"/>
  <c r="R117" i="16"/>
  <c r="R118" i="16"/>
  <c r="R119" i="16"/>
  <c r="R120" i="16"/>
  <c r="R121" i="16"/>
  <c r="R122" i="16"/>
  <c r="R123" i="16"/>
  <c r="R124" i="16"/>
  <c r="R125" i="16"/>
  <c r="R126" i="16"/>
  <c r="R127" i="16"/>
  <c r="R128" i="16"/>
  <c r="R129" i="16"/>
  <c r="R130" i="16"/>
  <c r="R131" i="16"/>
  <c r="R132" i="16"/>
  <c r="R133" i="16"/>
  <c r="R134" i="16"/>
  <c r="R135" i="16"/>
  <c r="R136" i="16"/>
  <c r="R137" i="16"/>
  <c r="R138" i="16"/>
  <c r="R139" i="16"/>
  <c r="R140" i="16"/>
  <c r="R141" i="16"/>
  <c r="R142" i="16"/>
  <c r="R143" i="16"/>
  <c r="R144" i="16"/>
  <c r="R145" i="16"/>
  <c r="R146" i="16"/>
  <c r="R147" i="16"/>
  <c r="R148" i="16"/>
  <c r="R149" i="16"/>
  <c r="R150" i="16"/>
  <c r="R151" i="16"/>
  <c r="R152" i="16"/>
  <c r="R153" i="16"/>
  <c r="R154" i="16"/>
  <c r="R155" i="16"/>
  <c r="R156" i="16"/>
  <c r="R157" i="16"/>
  <c r="R158" i="16"/>
  <c r="R159" i="16"/>
  <c r="R160" i="16"/>
  <c r="R161" i="16"/>
  <c r="R162" i="16"/>
  <c r="R163" i="16"/>
  <c r="R164" i="16"/>
  <c r="R165" i="16"/>
  <c r="R166" i="16"/>
  <c r="R167" i="16"/>
  <c r="R168" i="16"/>
  <c r="R169" i="16"/>
  <c r="R170" i="16"/>
  <c r="R171" i="16"/>
  <c r="R172" i="16"/>
  <c r="R173" i="16"/>
  <c r="R174" i="16"/>
  <c r="R175" i="16"/>
  <c r="R176" i="16"/>
  <c r="Q3" i="16"/>
  <c r="Q4" i="16"/>
  <c r="Q5" i="16"/>
  <c r="Q6" i="16"/>
  <c r="Q7" i="16"/>
  <c r="Q8" i="16"/>
  <c r="Q9" i="16"/>
  <c r="Q10" i="16"/>
  <c r="Q11" i="16"/>
  <c r="Q12" i="16"/>
  <c r="Q13" i="16"/>
  <c r="Q14" i="16"/>
  <c r="Q15" i="16"/>
  <c r="Q16" i="16"/>
  <c r="Q17" i="16"/>
  <c r="Q18" i="16"/>
  <c r="Q19" i="16"/>
  <c r="Q20" i="16"/>
  <c r="Q21" i="16"/>
  <c r="Q22" i="16"/>
  <c r="Q23" i="16"/>
  <c r="Q24" i="16"/>
  <c r="Q25" i="16"/>
  <c r="Q26" i="16"/>
  <c r="Q27" i="16"/>
  <c r="Q28" i="16"/>
  <c r="Q29" i="16"/>
  <c r="Q30" i="16"/>
  <c r="Q31" i="16"/>
  <c r="Q32" i="16"/>
  <c r="Q33" i="16"/>
  <c r="Q34" i="16"/>
  <c r="Q35" i="16"/>
  <c r="Q36" i="16"/>
  <c r="Q37" i="16"/>
  <c r="Q38" i="16"/>
  <c r="Q39" i="16"/>
  <c r="Q40" i="16"/>
  <c r="Q41" i="16"/>
  <c r="Q42" i="16"/>
  <c r="Q43" i="16"/>
  <c r="Q44" i="16"/>
  <c r="Q45" i="16"/>
  <c r="Q46" i="16"/>
  <c r="Q47" i="16"/>
  <c r="Q48" i="16"/>
  <c r="Q49" i="16"/>
  <c r="Q50" i="16"/>
  <c r="Q51" i="16"/>
  <c r="Q52" i="16"/>
  <c r="Q53" i="16"/>
  <c r="Q54" i="16"/>
  <c r="Q55" i="16"/>
  <c r="Q56" i="16"/>
  <c r="Q57" i="16"/>
  <c r="Q58" i="16"/>
  <c r="Q59" i="16"/>
  <c r="Q60" i="16"/>
  <c r="Q61" i="16"/>
  <c r="Q62" i="16"/>
  <c r="Q63" i="16"/>
  <c r="Q64" i="16"/>
  <c r="Q65" i="16"/>
  <c r="Q66" i="16"/>
  <c r="Q67" i="16"/>
  <c r="Q68" i="16"/>
  <c r="Q69" i="16"/>
  <c r="Q70" i="16"/>
  <c r="Q71" i="16"/>
  <c r="Q72" i="16"/>
  <c r="Q73" i="16"/>
  <c r="Q74" i="16"/>
  <c r="Q75" i="16"/>
  <c r="Q76" i="16"/>
  <c r="Q77" i="16"/>
  <c r="Q78" i="16"/>
  <c r="Q79" i="16"/>
  <c r="Q80" i="16"/>
  <c r="Q81" i="16"/>
  <c r="Q82" i="16"/>
  <c r="Q83" i="16"/>
  <c r="Q84" i="16"/>
  <c r="Q85" i="16"/>
  <c r="Q86" i="16"/>
  <c r="Q87" i="16"/>
  <c r="Q88" i="16"/>
  <c r="Q89" i="16"/>
  <c r="Q90" i="16"/>
  <c r="Q91" i="16"/>
  <c r="Q92" i="16"/>
  <c r="Q93" i="16"/>
  <c r="Q94" i="16"/>
  <c r="Q95" i="16"/>
  <c r="Q96" i="16"/>
  <c r="Q97" i="16"/>
  <c r="Q98" i="16"/>
  <c r="Q99" i="16"/>
  <c r="Q100" i="16"/>
  <c r="Q101" i="16"/>
  <c r="Q102" i="16"/>
  <c r="Q103" i="16"/>
  <c r="Q104" i="16"/>
  <c r="Q105" i="16"/>
  <c r="Q106" i="16"/>
  <c r="Q107" i="16"/>
  <c r="Q108" i="16"/>
  <c r="Q109" i="16"/>
  <c r="Q110" i="16"/>
  <c r="Q111" i="16"/>
  <c r="Q112" i="16"/>
  <c r="Q113" i="16"/>
  <c r="Q114" i="16"/>
  <c r="Q115" i="16"/>
  <c r="Q116" i="16"/>
  <c r="Q117" i="16"/>
  <c r="Q118" i="16"/>
  <c r="Q119" i="16"/>
  <c r="Q120" i="16"/>
  <c r="Q121" i="16"/>
  <c r="Q122" i="16"/>
  <c r="Q123" i="16"/>
  <c r="Q124" i="16"/>
  <c r="Q125" i="16"/>
  <c r="Q126" i="16"/>
  <c r="Q127" i="16"/>
  <c r="Q128" i="16"/>
  <c r="Q129" i="16"/>
  <c r="Q130" i="16"/>
  <c r="Q131" i="16"/>
  <c r="Q132" i="16"/>
  <c r="Q133" i="16"/>
  <c r="Q134" i="16"/>
  <c r="Q135" i="16"/>
  <c r="Q136" i="16"/>
  <c r="Q137" i="16"/>
  <c r="Q138" i="16"/>
  <c r="Q139" i="16"/>
  <c r="Q140" i="16"/>
  <c r="Q141" i="16"/>
  <c r="Q142" i="16"/>
  <c r="Q143" i="16"/>
  <c r="Q144" i="16"/>
  <c r="Q145" i="16"/>
  <c r="Q146" i="16"/>
  <c r="Q147" i="16"/>
  <c r="Q148" i="16"/>
  <c r="Q149" i="16"/>
  <c r="Q150" i="16"/>
  <c r="Q151" i="16"/>
  <c r="Q152" i="16"/>
  <c r="Q153" i="16"/>
  <c r="Q154" i="16"/>
  <c r="Q155" i="16"/>
  <c r="Q156" i="16"/>
  <c r="Q157" i="16"/>
  <c r="Q158" i="16"/>
  <c r="Q159" i="16"/>
  <c r="Q160" i="16"/>
  <c r="Q161" i="16"/>
  <c r="Q162" i="16"/>
  <c r="Q163" i="16"/>
  <c r="Q164" i="16"/>
  <c r="Q165" i="16"/>
  <c r="Q166" i="16"/>
  <c r="Q167" i="16"/>
  <c r="Q168" i="16"/>
  <c r="Q169" i="16"/>
  <c r="Q170" i="16"/>
  <c r="Q171" i="16"/>
  <c r="Q172" i="16"/>
  <c r="Q173" i="16"/>
  <c r="Q174" i="16"/>
  <c r="Q175" i="16"/>
  <c r="Q176" i="16"/>
  <c r="P3" i="16"/>
  <c r="P4" i="16"/>
  <c r="P5" i="16"/>
  <c r="P6" i="16"/>
  <c r="P7" i="16"/>
  <c r="P8" i="16"/>
  <c r="P9" i="16"/>
  <c r="P10" i="16"/>
  <c r="P11" i="16"/>
  <c r="P12" i="16"/>
  <c r="P13" i="16"/>
  <c r="P14" i="16"/>
  <c r="P15" i="16"/>
  <c r="P16" i="16"/>
  <c r="P17" i="16"/>
  <c r="P18" i="16"/>
  <c r="P19" i="16"/>
  <c r="P20" i="16"/>
  <c r="P21" i="16"/>
  <c r="P22" i="16"/>
  <c r="P23" i="16"/>
  <c r="P24" i="16"/>
  <c r="P25" i="16"/>
  <c r="P26" i="16"/>
  <c r="P27" i="16"/>
  <c r="P28" i="16"/>
  <c r="P29" i="16"/>
  <c r="P30" i="16"/>
  <c r="P31" i="16"/>
  <c r="P32" i="16"/>
  <c r="P33" i="16"/>
  <c r="P34" i="16"/>
  <c r="P35" i="16"/>
  <c r="P36" i="16"/>
  <c r="P37" i="16"/>
  <c r="P38" i="16"/>
  <c r="P39" i="16"/>
  <c r="P40" i="16"/>
  <c r="P41" i="16"/>
  <c r="P42" i="16"/>
  <c r="P43" i="16"/>
  <c r="P44" i="16"/>
  <c r="P45" i="16"/>
  <c r="P46" i="16"/>
  <c r="P47" i="16"/>
  <c r="P48" i="16"/>
  <c r="P49" i="16"/>
  <c r="P50" i="16"/>
  <c r="P51" i="16"/>
  <c r="P52" i="16"/>
  <c r="P53" i="16"/>
  <c r="P54" i="16"/>
  <c r="P55" i="16"/>
  <c r="P56" i="16"/>
  <c r="P57" i="16"/>
  <c r="P58" i="16"/>
  <c r="P59" i="16"/>
  <c r="P60" i="16"/>
  <c r="P61" i="16"/>
  <c r="P62" i="16"/>
  <c r="P63" i="16"/>
  <c r="P64" i="16"/>
  <c r="P65" i="16"/>
  <c r="P66" i="16"/>
  <c r="P67" i="16"/>
  <c r="P68" i="16"/>
  <c r="P69" i="16"/>
  <c r="P70" i="16"/>
  <c r="P71" i="16"/>
  <c r="P72" i="16"/>
  <c r="P73" i="16"/>
  <c r="P74" i="16"/>
  <c r="P75" i="16"/>
  <c r="P76" i="16"/>
  <c r="P77" i="16"/>
  <c r="P78" i="16"/>
  <c r="P79" i="16"/>
  <c r="P80" i="16"/>
  <c r="P81" i="16"/>
  <c r="P82" i="16"/>
  <c r="P83" i="16"/>
  <c r="P84" i="16"/>
  <c r="P85" i="16"/>
  <c r="P86" i="16"/>
  <c r="P87" i="16"/>
  <c r="P88" i="16"/>
  <c r="P89" i="16"/>
  <c r="P90" i="16"/>
  <c r="P91" i="16"/>
  <c r="P92" i="16"/>
  <c r="P93" i="16"/>
  <c r="P94" i="16"/>
  <c r="P95" i="16"/>
  <c r="P96" i="16"/>
  <c r="P97" i="16"/>
  <c r="P98" i="16"/>
  <c r="P99" i="16"/>
  <c r="P100" i="16"/>
  <c r="P101" i="16"/>
  <c r="P102" i="16"/>
  <c r="P103" i="16"/>
  <c r="P104" i="16"/>
  <c r="P105" i="16"/>
  <c r="P106" i="16"/>
  <c r="P107" i="16"/>
  <c r="P108" i="16"/>
  <c r="P109" i="16"/>
  <c r="P110" i="16"/>
  <c r="P111" i="16"/>
  <c r="P112" i="16"/>
  <c r="P113" i="16"/>
  <c r="P114" i="16"/>
  <c r="P115" i="16"/>
  <c r="P116" i="16"/>
  <c r="P117" i="16"/>
  <c r="P118" i="16"/>
  <c r="P119" i="16"/>
  <c r="P120" i="16"/>
  <c r="P121" i="16"/>
  <c r="P122" i="16"/>
  <c r="P123" i="16"/>
  <c r="P124" i="16"/>
  <c r="P125" i="16"/>
  <c r="P126" i="16"/>
  <c r="P127" i="16"/>
  <c r="P128" i="16"/>
  <c r="P129" i="16"/>
  <c r="P130" i="16"/>
  <c r="P131" i="16"/>
  <c r="P132" i="16"/>
  <c r="P133" i="16"/>
  <c r="P134" i="16"/>
  <c r="P135" i="16"/>
  <c r="P136" i="16"/>
  <c r="P137" i="16"/>
  <c r="P138" i="16"/>
  <c r="P139" i="16"/>
  <c r="P140" i="16"/>
  <c r="P141" i="16"/>
  <c r="P142" i="16"/>
  <c r="P143" i="16"/>
  <c r="P144" i="16"/>
  <c r="P145" i="16"/>
  <c r="P146" i="16"/>
  <c r="P147" i="16"/>
  <c r="P148" i="16"/>
  <c r="P149" i="16"/>
  <c r="P150" i="16"/>
  <c r="P151" i="16"/>
  <c r="P152" i="16"/>
  <c r="P153" i="16"/>
  <c r="P154" i="16"/>
  <c r="P155" i="16"/>
  <c r="P156" i="16"/>
  <c r="P157" i="16"/>
  <c r="P158" i="16"/>
  <c r="P159" i="16"/>
  <c r="P160" i="16"/>
  <c r="P161" i="16"/>
  <c r="P162" i="16"/>
  <c r="P163" i="16"/>
  <c r="P164" i="16"/>
  <c r="P165" i="16"/>
  <c r="P166" i="16"/>
  <c r="P167" i="16"/>
  <c r="P168" i="16"/>
  <c r="P169" i="16"/>
  <c r="P170" i="16"/>
  <c r="P171" i="16"/>
  <c r="P172" i="16"/>
  <c r="P173" i="16"/>
  <c r="P174" i="16"/>
  <c r="P175" i="16"/>
  <c r="P176" i="16"/>
  <c r="O3" i="16"/>
  <c r="O4" i="16"/>
  <c r="O5" i="16"/>
  <c r="O6" i="16"/>
  <c r="O7" i="16"/>
  <c r="O8" i="16"/>
  <c r="O9" i="16"/>
  <c r="O10" i="16"/>
  <c r="O11" i="16"/>
  <c r="O12" i="16"/>
  <c r="O13" i="16"/>
  <c r="O14" i="16"/>
  <c r="O15" i="16"/>
  <c r="O16" i="16"/>
  <c r="O17" i="16"/>
  <c r="O18" i="16"/>
  <c r="O19" i="16"/>
  <c r="O20" i="16"/>
  <c r="O21" i="16"/>
  <c r="O22" i="16"/>
  <c r="O23" i="16"/>
  <c r="O24" i="16"/>
  <c r="O25" i="16"/>
  <c r="O26" i="16"/>
  <c r="O27" i="16"/>
  <c r="O28" i="16"/>
  <c r="O29" i="16"/>
  <c r="O30" i="16"/>
  <c r="O31" i="16"/>
  <c r="O32" i="16"/>
  <c r="O33" i="16"/>
  <c r="O34" i="16"/>
  <c r="O35" i="16"/>
  <c r="O36" i="16"/>
  <c r="O37" i="16"/>
  <c r="O38" i="16"/>
  <c r="O39" i="16"/>
  <c r="O40" i="16"/>
  <c r="O41" i="16"/>
  <c r="O42" i="16"/>
  <c r="O43" i="16"/>
  <c r="O44" i="16"/>
  <c r="O45" i="16"/>
  <c r="O46" i="16"/>
  <c r="O47" i="16"/>
  <c r="O48" i="16"/>
  <c r="O49" i="16"/>
  <c r="O50" i="16"/>
  <c r="O51" i="16"/>
  <c r="O52" i="16"/>
  <c r="O53" i="16"/>
  <c r="O54" i="16"/>
  <c r="O55" i="16"/>
  <c r="O56" i="16"/>
  <c r="O57" i="16"/>
  <c r="O58" i="16"/>
  <c r="O59" i="16"/>
  <c r="O60" i="16"/>
  <c r="O61" i="16"/>
  <c r="O62" i="16"/>
  <c r="O63" i="16"/>
  <c r="O64" i="16"/>
  <c r="O65" i="16"/>
  <c r="O66" i="16"/>
  <c r="O67" i="16"/>
  <c r="O68" i="16"/>
  <c r="O69" i="16"/>
  <c r="O70" i="16"/>
  <c r="O71" i="16"/>
  <c r="O72" i="16"/>
  <c r="O73" i="16"/>
  <c r="O74" i="16"/>
  <c r="O75" i="16"/>
  <c r="O76" i="16"/>
  <c r="O77" i="16"/>
  <c r="O78" i="16"/>
  <c r="O79" i="16"/>
  <c r="O80" i="16"/>
  <c r="O81" i="16"/>
  <c r="O82" i="16"/>
  <c r="O83" i="16"/>
  <c r="O84" i="16"/>
  <c r="O85" i="16"/>
  <c r="O86" i="16"/>
  <c r="O87" i="16"/>
  <c r="O88" i="16"/>
  <c r="O89" i="16"/>
  <c r="O90" i="16"/>
  <c r="O91" i="16"/>
  <c r="O92" i="16"/>
  <c r="O93" i="16"/>
  <c r="O94" i="16"/>
  <c r="O95" i="16"/>
  <c r="O96" i="16"/>
  <c r="O97" i="16"/>
  <c r="O98" i="16"/>
  <c r="O99" i="16"/>
  <c r="O100" i="16"/>
  <c r="O101" i="16"/>
  <c r="O102" i="16"/>
  <c r="O103" i="16"/>
  <c r="O104" i="16"/>
  <c r="O105" i="16"/>
  <c r="O106" i="16"/>
  <c r="O107" i="16"/>
  <c r="O108" i="16"/>
  <c r="O109" i="16"/>
  <c r="O110" i="16"/>
  <c r="O111" i="16"/>
  <c r="O112" i="16"/>
  <c r="O113" i="16"/>
  <c r="O114" i="16"/>
  <c r="O115" i="16"/>
  <c r="O116" i="16"/>
  <c r="O117" i="16"/>
  <c r="O118" i="16"/>
  <c r="O119" i="16"/>
  <c r="O120" i="16"/>
  <c r="O121" i="16"/>
  <c r="O122" i="16"/>
  <c r="O123" i="16"/>
  <c r="O124" i="16"/>
  <c r="O125" i="16"/>
  <c r="O126" i="16"/>
  <c r="O127" i="16"/>
  <c r="O128" i="16"/>
  <c r="O129" i="16"/>
  <c r="O130" i="16"/>
  <c r="O131" i="16"/>
  <c r="O132" i="16"/>
  <c r="O133" i="16"/>
  <c r="O134" i="16"/>
  <c r="O135" i="16"/>
  <c r="O136" i="16"/>
  <c r="O137" i="16"/>
  <c r="O138" i="16"/>
  <c r="O139" i="16"/>
  <c r="O140" i="16"/>
  <c r="O141" i="16"/>
  <c r="O142" i="16"/>
  <c r="O143" i="16"/>
  <c r="O144" i="16"/>
  <c r="O145" i="16"/>
  <c r="O146" i="16"/>
  <c r="O147" i="16"/>
  <c r="O148" i="16"/>
  <c r="O149" i="16"/>
  <c r="O150" i="16"/>
  <c r="O151" i="16"/>
  <c r="O152" i="16"/>
  <c r="O153" i="16"/>
  <c r="O154" i="16"/>
  <c r="O155" i="16"/>
  <c r="O156" i="16"/>
  <c r="O157" i="16"/>
  <c r="O158" i="16"/>
  <c r="O159" i="16"/>
  <c r="O160" i="16"/>
  <c r="O161" i="16"/>
  <c r="O162" i="16"/>
  <c r="O163" i="16"/>
  <c r="O164" i="16"/>
  <c r="O165" i="16"/>
  <c r="O166" i="16"/>
  <c r="O167" i="16"/>
  <c r="O168" i="16"/>
  <c r="O169" i="16"/>
  <c r="O170" i="16"/>
  <c r="O171" i="16"/>
  <c r="O172" i="16"/>
  <c r="O173" i="16"/>
  <c r="O174" i="16"/>
  <c r="O175" i="16"/>
  <c r="O176" i="16"/>
  <c r="N3" i="16"/>
  <c r="N4" i="16"/>
  <c r="N5" i="16"/>
  <c r="N6" i="16"/>
  <c r="N7" i="16"/>
  <c r="N8" i="16"/>
  <c r="N9" i="16"/>
  <c r="N10" i="16"/>
  <c r="N11" i="16"/>
  <c r="N12" i="16"/>
  <c r="N13" i="16"/>
  <c r="N14" i="16"/>
  <c r="N15" i="16"/>
  <c r="N16" i="16"/>
  <c r="N17" i="16"/>
  <c r="N18" i="16"/>
  <c r="N19" i="16"/>
  <c r="N20" i="16"/>
  <c r="N21" i="16"/>
  <c r="N22" i="16"/>
  <c r="N23" i="16"/>
  <c r="N24" i="16"/>
  <c r="N25" i="16"/>
  <c r="N26" i="16"/>
  <c r="N27" i="16"/>
  <c r="N28" i="16"/>
  <c r="N29" i="16"/>
  <c r="N30" i="16"/>
  <c r="N31" i="16"/>
  <c r="N32" i="16"/>
  <c r="N33" i="16"/>
  <c r="N34" i="16"/>
  <c r="N35" i="16"/>
  <c r="N36" i="16"/>
  <c r="N37" i="16"/>
  <c r="N38" i="16"/>
  <c r="N39" i="16"/>
  <c r="N40" i="16"/>
  <c r="N41" i="16"/>
  <c r="N42" i="16"/>
  <c r="N43" i="16"/>
  <c r="N44" i="16"/>
  <c r="N45" i="16"/>
  <c r="N46" i="16"/>
  <c r="N47" i="16"/>
  <c r="N48" i="16"/>
  <c r="N49" i="16"/>
  <c r="N50" i="16"/>
  <c r="N51" i="16"/>
  <c r="N52" i="16"/>
  <c r="N53" i="16"/>
  <c r="N54" i="16"/>
  <c r="N55" i="16"/>
  <c r="N56" i="16"/>
  <c r="N57" i="16"/>
  <c r="N58" i="16"/>
  <c r="N59" i="16"/>
  <c r="N60" i="16"/>
  <c r="N61" i="16"/>
  <c r="N62" i="16"/>
  <c r="N63" i="16"/>
  <c r="N64" i="16"/>
  <c r="N65" i="16"/>
  <c r="N66" i="16"/>
  <c r="N67" i="16"/>
  <c r="N68" i="16"/>
  <c r="N69" i="16"/>
  <c r="N70" i="16"/>
  <c r="N71" i="16"/>
  <c r="N72" i="16"/>
  <c r="N73" i="16"/>
  <c r="N74" i="16"/>
  <c r="N75" i="16"/>
  <c r="N76" i="16"/>
  <c r="N77" i="16"/>
  <c r="N78" i="16"/>
  <c r="N79" i="16"/>
  <c r="N80" i="16"/>
  <c r="N81" i="16"/>
  <c r="N82" i="16"/>
  <c r="N83" i="16"/>
  <c r="N84" i="16"/>
  <c r="N85" i="16"/>
  <c r="N86" i="16"/>
  <c r="N87" i="16"/>
  <c r="N88" i="16"/>
  <c r="N89" i="16"/>
  <c r="N90" i="16"/>
  <c r="N91" i="16"/>
  <c r="N92" i="16"/>
  <c r="N93" i="16"/>
  <c r="N94" i="16"/>
  <c r="N95" i="16"/>
  <c r="N96" i="16"/>
  <c r="N97" i="16"/>
  <c r="N98" i="16"/>
  <c r="N99" i="16"/>
  <c r="N100" i="16"/>
  <c r="N101" i="16"/>
  <c r="N102" i="16"/>
  <c r="N103" i="16"/>
  <c r="N104" i="16"/>
  <c r="N105" i="16"/>
  <c r="N106" i="16"/>
  <c r="N107" i="16"/>
  <c r="N108" i="16"/>
  <c r="N109" i="16"/>
  <c r="N110" i="16"/>
  <c r="N111" i="16"/>
  <c r="N112" i="16"/>
  <c r="N113" i="16"/>
  <c r="N114" i="16"/>
  <c r="N115" i="16"/>
  <c r="N116" i="16"/>
  <c r="N117" i="16"/>
  <c r="N118" i="16"/>
  <c r="N119" i="16"/>
  <c r="N120" i="16"/>
  <c r="N121" i="16"/>
  <c r="N122" i="16"/>
  <c r="N123" i="16"/>
  <c r="N124" i="16"/>
  <c r="N125" i="16"/>
  <c r="N126" i="16"/>
  <c r="N127" i="16"/>
  <c r="N128" i="16"/>
  <c r="N129" i="16"/>
  <c r="N130" i="16"/>
  <c r="N131" i="16"/>
  <c r="N132" i="16"/>
  <c r="N133" i="16"/>
  <c r="N134" i="16"/>
  <c r="N135" i="16"/>
  <c r="N136" i="16"/>
  <c r="N137" i="16"/>
  <c r="N138" i="16"/>
  <c r="N139" i="16"/>
  <c r="N140" i="16"/>
  <c r="N141" i="16"/>
  <c r="N142" i="16"/>
  <c r="N143" i="16"/>
  <c r="N144" i="16"/>
  <c r="N145" i="16"/>
  <c r="N146" i="16"/>
  <c r="N147" i="16"/>
  <c r="N148" i="16"/>
  <c r="N149" i="16"/>
  <c r="N150" i="16"/>
  <c r="N151" i="16"/>
  <c r="N152" i="16"/>
  <c r="N153" i="16"/>
  <c r="N154" i="16"/>
  <c r="N155" i="16"/>
  <c r="N156" i="16"/>
  <c r="N157" i="16"/>
  <c r="N158" i="16"/>
  <c r="N159" i="16"/>
  <c r="N160" i="16"/>
  <c r="N161" i="16"/>
  <c r="N162" i="16"/>
  <c r="N163" i="16"/>
  <c r="N164" i="16"/>
  <c r="N165" i="16"/>
  <c r="N166" i="16"/>
  <c r="N167" i="16"/>
  <c r="N168" i="16"/>
  <c r="N169" i="16"/>
  <c r="N170" i="16"/>
  <c r="N171" i="16"/>
  <c r="N172" i="16"/>
  <c r="N173" i="16"/>
  <c r="N174" i="16"/>
  <c r="N175" i="16"/>
  <c r="N176" i="16"/>
  <c r="M3" i="16"/>
  <c r="M4" i="16"/>
  <c r="M5" i="16"/>
  <c r="M6" i="16"/>
  <c r="M7" i="16"/>
  <c r="M8" i="16"/>
  <c r="M9" i="16"/>
  <c r="M10" i="16"/>
  <c r="M11" i="16"/>
  <c r="M12" i="16"/>
  <c r="M13" i="16"/>
  <c r="M14" i="16"/>
  <c r="M15" i="16"/>
  <c r="M16" i="16"/>
  <c r="M17" i="16"/>
  <c r="M18" i="16"/>
  <c r="M19" i="16"/>
  <c r="M20" i="16"/>
  <c r="M21" i="16"/>
  <c r="M22" i="16"/>
  <c r="M23" i="16"/>
  <c r="M24" i="16"/>
  <c r="M25" i="16"/>
  <c r="M26" i="16"/>
  <c r="M27" i="16"/>
  <c r="M28" i="16"/>
  <c r="M29" i="16"/>
  <c r="M30" i="16"/>
  <c r="M31" i="16"/>
  <c r="M32" i="16"/>
  <c r="M33" i="16"/>
  <c r="M34" i="16"/>
  <c r="M35" i="16"/>
  <c r="M36" i="16"/>
  <c r="M37" i="16"/>
  <c r="M38" i="16"/>
  <c r="M39" i="16"/>
  <c r="M40" i="16"/>
  <c r="M41" i="16"/>
  <c r="M42" i="16"/>
  <c r="M43" i="16"/>
  <c r="M44" i="16"/>
  <c r="M45" i="16"/>
  <c r="M46" i="16"/>
  <c r="M47" i="16"/>
  <c r="M48" i="16"/>
  <c r="M49" i="16"/>
  <c r="M50" i="16"/>
  <c r="M51" i="16"/>
  <c r="M52" i="16"/>
  <c r="M53" i="16"/>
  <c r="M54" i="16"/>
  <c r="M55" i="16"/>
  <c r="M56" i="16"/>
  <c r="M57" i="16"/>
  <c r="M58" i="16"/>
  <c r="M59" i="16"/>
  <c r="M60" i="16"/>
  <c r="M61" i="16"/>
  <c r="M62" i="16"/>
  <c r="M63" i="16"/>
  <c r="M64" i="16"/>
  <c r="M65" i="16"/>
  <c r="M66" i="16"/>
  <c r="M67" i="16"/>
  <c r="M68" i="16"/>
  <c r="M69" i="16"/>
  <c r="M70" i="16"/>
  <c r="M71" i="16"/>
  <c r="M72" i="16"/>
  <c r="M73" i="16"/>
  <c r="M74" i="16"/>
  <c r="M75" i="16"/>
  <c r="M76" i="16"/>
  <c r="M77" i="16"/>
  <c r="M78" i="16"/>
  <c r="M79" i="16"/>
  <c r="M80" i="16"/>
  <c r="M81" i="16"/>
  <c r="M82" i="16"/>
  <c r="M83" i="16"/>
  <c r="M84" i="16"/>
  <c r="M85" i="16"/>
  <c r="M86" i="16"/>
  <c r="M87" i="16"/>
  <c r="M88" i="16"/>
  <c r="M89" i="16"/>
  <c r="M90" i="16"/>
  <c r="M91" i="16"/>
  <c r="M92" i="16"/>
  <c r="M93" i="16"/>
  <c r="M94" i="16"/>
  <c r="M95" i="16"/>
  <c r="M96" i="16"/>
  <c r="M97" i="16"/>
  <c r="M98" i="16"/>
  <c r="M99" i="16"/>
  <c r="M100" i="16"/>
  <c r="M101" i="16"/>
  <c r="M102" i="16"/>
  <c r="M103" i="16"/>
  <c r="M104" i="16"/>
  <c r="M105" i="16"/>
  <c r="M106" i="16"/>
  <c r="M107" i="16"/>
  <c r="M108" i="16"/>
  <c r="M109" i="16"/>
  <c r="M110" i="16"/>
  <c r="M111" i="16"/>
  <c r="M112" i="16"/>
  <c r="M113" i="16"/>
  <c r="M114" i="16"/>
  <c r="M115" i="16"/>
  <c r="M116" i="16"/>
  <c r="M117" i="16"/>
  <c r="M118" i="16"/>
  <c r="M119" i="16"/>
  <c r="M120" i="16"/>
  <c r="M121" i="16"/>
  <c r="M122" i="16"/>
  <c r="M123" i="16"/>
  <c r="M124" i="16"/>
  <c r="M125" i="16"/>
  <c r="M126" i="16"/>
  <c r="M127" i="16"/>
  <c r="M128" i="16"/>
  <c r="M129" i="16"/>
  <c r="M130" i="16"/>
  <c r="M131" i="16"/>
  <c r="M132" i="16"/>
  <c r="M133" i="16"/>
  <c r="M134" i="16"/>
  <c r="M135" i="16"/>
  <c r="M136" i="16"/>
  <c r="M137" i="16"/>
  <c r="M138" i="16"/>
  <c r="M139" i="16"/>
  <c r="M140" i="16"/>
  <c r="M141" i="16"/>
  <c r="M142" i="16"/>
  <c r="M143" i="16"/>
  <c r="M144" i="16"/>
  <c r="M145" i="16"/>
  <c r="M146" i="16"/>
  <c r="M147" i="16"/>
  <c r="M148" i="16"/>
  <c r="M149" i="16"/>
  <c r="M150" i="16"/>
  <c r="M151" i="16"/>
  <c r="M152" i="16"/>
  <c r="M153" i="16"/>
  <c r="M154" i="16"/>
  <c r="M155" i="16"/>
  <c r="M156" i="16"/>
  <c r="M157" i="16"/>
  <c r="M158" i="16"/>
  <c r="M159" i="16"/>
  <c r="M160" i="16"/>
  <c r="M161" i="16"/>
  <c r="M162" i="16"/>
  <c r="M163" i="16"/>
  <c r="M164" i="16"/>
  <c r="M165" i="16"/>
  <c r="M166" i="16"/>
  <c r="M167" i="16"/>
  <c r="M168" i="16"/>
  <c r="M169" i="16"/>
  <c r="M170" i="16"/>
  <c r="M171" i="16"/>
  <c r="M172" i="16"/>
  <c r="M173" i="16"/>
  <c r="M174" i="16"/>
  <c r="M175" i="16"/>
  <c r="M176" i="16"/>
  <c r="L3" i="16"/>
  <c r="L4" i="16"/>
  <c r="L5" i="16"/>
  <c r="L6" i="16"/>
  <c r="L7" i="16"/>
  <c r="L8" i="16"/>
  <c r="L9" i="16"/>
  <c r="L10" i="16"/>
  <c r="L11" i="16"/>
  <c r="L12" i="16"/>
  <c r="L13" i="16"/>
  <c r="L14" i="16"/>
  <c r="L15" i="16"/>
  <c r="L16" i="16"/>
  <c r="L17" i="16"/>
  <c r="L18" i="16"/>
  <c r="L19" i="16"/>
  <c r="L20" i="16"/>
  <c r="L21" i="16"/>
  <c r="L22" i="16"/>
  <c r="L23" i="16"/>
  <c r="L24" i="16"/>
  <c r="L25" i="16"/>
  <c r="L26" i="16"/>
  <c r="L27" i="16"/>
  <c r="L28" i="16"/>
  <c r="L29" i="16"/>
  <c r="L30" i="16"/>
  <c r="L31" i="16"/>
  <c r="L32" i="16"/>
  <c r="L33" i="16"/>
  <c r="L34" i="16"/>
  <c r="L35" i="16"/>
  <c r="L36" i="16"/>
  <c r="L37" i="16"/>
  <c r="L38" i="16"/>
  <c r="L39" i="16"/>
  <c r="L40" i="16"/>
  <c r="L41" i="16"/>
  <c r="L42" i="16"/>
  <c r="L43" i="16"/>
  <c r="L44" i="16"/>
  <c r="L45" i="16"/>
  <c r="L46" i="16"/>
  <c r="L47" i="16"/>
  <c r="L48" i="16"/>
  <c r="L49" i="16"/>
  <c r="L50" i="16"/>
  <c r="L51" i="16"/>
  <c r="L52" i="16"/>
  <c r="L53" i="16"/>
  <c r="L54" i="16"/>
  <c r="L55" i="16"/>
  <c r="L56" i="16"/>
  <c r="L57" i="16"/>
  <c r="L58" i="16"/>
  <c r="L59" i="16"/>
  <c r="L60" i="16"/>
  <c r="L61" i="16"/>
  <c r="L62" i="16"/>
  <c r="L63" i="16"/>
  <c r="L64" i="16"/>
  <c r="L65" i="16"/>
  <c r="L66" i="16"/>
  <c r="L67" i="16"/>
  <c r="L68" i="16"/>
  <c r="L69" i="16"/>
  <c r="L70" i="16"/>
  <c r="L71" i="16"/>
  <c r="L72" i="16"/>
  <c r="L73" i="16"/>
  <c r="L74" i="16"/>
  <c r="L75" i="16"/>
  <c r="L76" i="16"/>
  <c r="L77" i="16"/>
  <c r="L78" i="16"/>
  <c r="L79" i="16"/>
  <c r="L80" i="16"/>
  <c r="L81" i="16"/>
  <c r="L82" i="16"/>
  <c r="L83" i="16"/>
  <c r="L84" i="16"/>
  <c r="L85" i="16"/>
  <c r="L86" i="16"/>
  <c r="L87" i="16"/>
  <c r="L88" i="16"/>
  <c r="L89" i="16"/>
  <c r="L90" i="16"/>
  <c r="L91" i="16"/>
  <c r="L92" i="16"/>
  <c r="L93" i="16"/>
  <c r="L94" i="16"/>
  <c r="L95" i="16"/>
  <c r="L96" i="16"/>
  <c r="L97" i="16"/>
  <c r="L98" i="16"/>
  <c r="L99" i="16"/>
  <c r="L100" i="16"/>
  <c r="L101" i="16"/>
  <c r="L102" i="16"/>
  <c r="L103" i="16"/>
  <c r="L104" i="16"/>
  <c r="L105" i="16"/>
  <c r="L106" i="16"/>
  <c r="L107" i="16"/>
  <c r="L108" i="16"/>
  <c r="L109" i="16"/>
  <c r="L110" i="16"/>
  <c r="L111" i="16"/>
  <c r="L112" i="16"/>
  <c r="L113" i="16"/>
  <c r="L114" i="16"/>
  <c r="L115" i="16"/>
  <c r="L116" i="16"/>
  <c r="L117" i="16"/>
  <c r="L118" i="16"/>
  <c r="L119" i="16"/>
  <c r="L120" i="16"/>
  <c r="L121" i="16"/>
  <c r="L122" i="16"/>
  <c r="L123" i="16"/>
  <c r="L124" i="16"/>
  <c r="L125" i="16"/>
  <c r="L126" i="16"/>
  <c r="L127" i="16"/>
  <c r="L128" i="16"/>
  <c r="L129" i="16"/>
  <c r="L130" i="16"/>
  <c r="L131" i="16"/>
  <c r="L132" i="16"/>
  <c r="L133" i="16"/>
  <c r="L134" i="16"/>
  <c r="L135" i="16"/>
  <c r="L136" i="16"/>
  <c r="L137" i="16"/>
  <c r="L138" i="16"/>
  <c r="L139" i="16"/>
  <c r="L140" i="16"/>
  <c r="L141" i="16"/>
  <c r="L142" i="16"/>
  <c r="L143" i="16"/>
  <c r="L144" i="16"/>
  <c r="L145" i="16"/>
  <c r="L146" i="16"/>
  <c r="L147" i="16"/>
  <c r="L148" i="16"/>
  <c r="L149" i="16"/>
  <c r="L150" i="16"/>
  <c r="L151" i="16"/>
  <c r="L152" i="16"/>
  <c r="L153" i="16"/>
  <c r="L154" i="16"/>
  <c r="L155" i="16"/>
  <c r="L156" i="16"/>
  <c r="L157" i="16"/>
  <c r="L158" i="16"/>
  <c r="L159" i="16"/>
  <c r="L160" i="16"/>
  <c r="L161" i="16"/>
  <c r="L162" i="16"/>
  <c r="L163" i="16"/>
  <c r="L164" i="16"/>
  <c r="L165" i="16"/>
  <c r="L166" i="16"/>
  <c r="L167" i="16"/>
  <c r="L168" i="16"/>
  <c r="L169" i="16"/>
  <c r="L170" i="16"/>
  <c r="L171" i="16"/>
  <c r="L172" i="16"/>
  <c r="L173" i="16"/>
  <c r="L174" i="16"/>
  <c r="L175" i="16"/>
  <c r="L176" i="16"/>
  <c r="K3" i="16"/>
  <c r="K4" i="16"/>
  <c r="K5" i="16"/>
  <c r="K6" i="16"/>
  <c r="K7" i="16"/>
  <c r="K8" i="16"/>
  <c r="K9" i="16"/>
  <c r="K10" i="16"/>
  <c r="K11" i="16"/>
  <c r="K12" i="16"/>
  <c r="K13" i="16"/>
  <c r="K14" i="16"/>
  <c r="K15" i="16"/>
  <c r="K16" i="16"/>
  <c r="K17" i="16"/>
  <c r="K18" i="16"/>
  <c r="K19" i="16"/>
  <c r="K20" i="16"/>
  <c r="K21" i="16"/>
  <c r="K22" i="16"/>
  <c r="K23" i="16"/>
  <c r="K24" i="16"/>
  <c r="K25" i="16"/>
  <c r="K26" i="16"/>
  <c r="K27" i="16"/>
  <c r="K28" i="16"/>
  <c r="K29" i="16"/>
  <c r="K30" i="16"/>
  <c r="K31" i="16"/>
  <c r="K32" i="16"/>
  <c r="K33" i="16"/>
  <c r="K34" i="16"/>
  <c r="K35" i="16"/>
  <c r="K36" i="16"/>
  <c r="K37" i="16"/>
  <c r="K38" i="16"/>
  <c r="K39" i="16"/>
  <c r="K40" i="16"/>
  <c r="K41" i="16"/>
  <c r="K42" i="16"/>
  <c r="K43" i="16"/>
  <c r="K44" i="16"/>
  <c r="K45" i="16"/>
  <c r="K46" i="16"/>
  <c r="K47" i="16"/>
  <c r="K48" i="16"/>
  <c r="K49" i="16"/>
  <c r="K50" i="16"/>
  <c r="K51" i="16"/>
  <c r="K52" i="16"/>
  <c r="K53" i="16"/>
  <c r="K54" i="16"/>
  <c r="K55" i="16"/>
  <c r="K56" i="16"/>
  <c r="K57" i="16"/>
  <c r="K58" i="16"/>
  <c r="K59" i="16"/>
  <c r="K60" i="16"/>
  <c r="K61" i="16"/>
  <c r="K62" i="16"/>
  <c r="K63" i="16"/>
  <c r="K64" i="16"/>
  <c r="K65" i="16"/>
  <c r="K66" i="16"/>
  <c r="K67" i="16"/>
  <c r="K68" i="16"/>
  <c r="K69" i="16"/>
  <c r="K70" i="16"/>
  <c r="K71" i="16"/>
  <c r="K72" i="16"/>
  <c r="K73" i="16"/>
  <c r="K74" i="16"/>
  <c r="K75" i="16"/>
  <c r="K76" i="16"/>
  <c r="K77" i="16"/>
  <c r="K78" i="16"/>
  <c r="K79" i="16"/>
  <c r="K80" i="16"/>
  <c r="K81" i="16"/>
  <c r="K82" i="16"/>
  <c r="K83" i="16"/>
  <c r="K84" i="16"/>
  <c r="K85" i="16"/>
  <c r="K86" i="16"/>
  <c r="K87" i="16"/>
  <c r="K88" i="16"/>
  <c r="K89" i="16"/>
  <c r="K90" i="16"/>
  <c r="K91" i="16"/>
  <c r="K92" i="16"/>
  <c r="K93" i="16"/>
  <c r="K94" i="16"/>
  <c r="K95" i="16"/>
  <c r="K96" i="16"/>
  <c r="K97" i="16"/>
  <c r="K98" i="16"/>
  <c r="K99" i="16"/>
  <c r="K100" i="16"/>
  <c r="K101" i="16"/>
  <c r="K102" i="16"/>
  <c r="K103" i="16"/>
  <c r="K104" i="16"/>
  <c r="K105" i="16"/>
  <c r="K106" i="16"/>
  <c r="K107" i="16"/>
  <c r="K108" i="16"/>
  <c r="K109" i="16"/>
  <c r="K110" i="16"/>
  <c r="K111" i="16"/>
  <c r="K112" i="16"/>
  <c r="K113" i="16"/>
  <c r="K114" i="16"/>
  <c r="K115" i="16"/>
  <c r="K116" i="16"/>
  <c r="K117" i="16"/>
  <c r="K118" i="16"/>
  <c r="K119" i="16"/>
  <c r="K120" i="16"/>
  <c r="K121" i="16"/>
  <c r="K122" i="16"/>
  <c r="K123" i="16"/>
  <c r="K124" i="16"/>
  <c r="K125" i="16"/>
  <c r="K126" i="16"/>
  <c r="K127" i="16"/>
  <c r="K128" i="16"/>
  <c r="K129" i="16"/>
  <c r="K130" i="16"/>
  <c r="K131" i="16"/>
  <c r="K132" i="16"/>
  <c r="K133" i="16"/>
  <c r="K134" i="16"/>
  <c r="K135" i="16"/>
  <c r="K136" i="16"/>
  <c r="K137" i="16"/>
  <c r="K138" i="16"/>
  <c r="K139" i="16"/>
  <c r="K140" i="16"/>
  <c r="K141" i="16"/>
  <c r="K142" i="16"/>
  <c r="K143" i="16"/>
  <c r="K144" i="16"/>
  <c r="K145" i="16"/>
  <c r="K146" i="16"/>
  <c r="K147" i="16"/>
  <c r="K148" i="16"/>
  <c r="K149" i="16"/>
  <c r="K150" i="16"/>
  <c r="K151" i="16"/>
  <c r="K152" i="16"/>
  <c r="K153" i="16"/>
  <c r="K154" i="16"/>
  <c r="K155" i="16"/>
  <c r="K156" i="16"/>
  <c r="K157" i="16"/>
  <c r="K158" i="16"/>
  <c r="K159" i="16"/>
  <c r="K160" i="16"/>
  <c r="K161" i="16"/>
  <c r="K162" i="16"/>
  <c r="K163" i="16"/>
  <c r="K164" i="16"/>
  <c r="K165" i="16"/>
  <c r="K166" i="16"/>
  <c r="K167" i="16"/>
  <c r="K168" i="16"/>
  <c r="K169" i="16"/>
  <c r="K170" i="16"/>
  <c r="K171" i="16"/>
  <c r="K172" i="16"/>
  <c r="K173" i="16"/>
  <c r="K174" i="16"/>
  <c r="K175" i="16"/>
  <c r="K176" i="16"/>
  <c r="J3" i="16"/>
  <c r="J4" i="16"/>
  <c r="J5" i="16"/>
  <c r="J6" i="16"/>
  <c r="J7" i="16"/>
  <c r="J8" i="16"/>
  <c r="J9" i="16"/>
  <c r="J10" i="16"/>
  <c r="J11" i="16"/>
  <c r="J12" i="16"/>
  <c r="J13" i="16"/>
  <c r="J14" i="16"/>
  <c r="J15" i="16"/>
  <c r="J16" i="16"/>
  <c r="J17" i="16"/>
  <c r="J18" i="16"/>
  <c r="J19" i="16"/>
  <c r="J20" i="16"/>
  <c r="J21" i="16"/>
  <c r="J22" i="16"/>
  <c r="J23" i="16"/>
  <c r="J24" i="16"/>
  <c r="J25" i="16"/>
  <c r="J26" i="16"/>
  <c r="J27" i="16"/>
  <c r="J28" i="16"/>
  <c r="J29" i="16"/>
  <c r="J30" i="16"/>
  <c r="J31" i="16"/>
  <c r="J32" i="16"/>
  <c r="J33" i="16"/>
  <c r="J34" i="16"/>
  <c r="J35" i="16"/>
  <c r="J36" i="16"/>
  <c r="J37" i="16"/>
  <c r="J38" i="16"/>
  <c r="J39" i="16"/>
  <c r="J40" i="16"/>
  <c r="J41" i="16"/>
  <c r="J42" i="16"/>
  <c r="J43" i="16"/>
  <c r="J44" i="16"/>
  <c r="J45" i="16"/>
  <c r="J46" i="16"/>
  <c r="J47" i="16"/>
  <c r="J48" i="16"/>
  <c r="J49" i="16"/>
  <c r="J50" i="16"/>
  <c r="J51" i="16"/>
  <c r="J52" i="16"/>
  <c r="J53" i="16"/>
  <c r="J54" i="16"/>
  <c r="J55" i="16"/>
  <c r="J56" i="16"/>
  <c r="J57" i="16"/>
  <c r="J58" i="16"/>
  <c r="J59" i="16"/>
  <c r="J60" i="16"/>
  <c r="J61" i="16"/>
  <c r="J62" i="16"/>
  <c r="J63" i="16"/>
  <c r="J64" i="16"/>
  <c r="J65" i="16"/>
  <c r="J66" i="16"/>
  <c r="J67" i="16"/>
  <c r="J68" i="16"/>
  <c r="J69" i="16"/>
  <c r="J70" i="16"/>
  <c r="J71" i="16"/>
  <c r="J72" i="16"/>
  <c r="J73" i="16"/>
  <c r="J74" i="16"/>
  <c r="J75" i="16"/>
  <c r="J76" i="16"/>
  <c r="J77" i="16"/>
  <c r="J78" i="16"/>
  <c r="J79" i="16"/>
  <c r="J80" i="16"/>
  <c r="J81" i="16"/>
  <c r="J82" i="16"/>
  <c r="J83" i="16"/>
  <c r="J84" i="16"/>
  <c r="J85" i="16"/>
  <c r="J86" i="16"/>
  <c r="J87" i="16"/>
  <c r="J88" i="16"/>
  <c r="J89" i="16"/>
  <c r="J90" i="16"/>
  <c r="J91" i="16"/>
  <c r="J92" i="16"/>
  <c r="J93" i="16"/>
  <c r="J94" i="16"/>
  <c r="J95" i="16"/>
  <c r="J96" i="16"/>
  <c r="J97" i="16"/>
  <c r="J98" i="16"/>
  <c r="J99" i="16"/>
  <c r="J100" i="16"/>
  <c r="J101" i="16"/>
  <c r="J102" i="16"/>
  <c r="J103" i="16"/>
  <c r="J104" i="16"/>
  <c r="J105" i="16"/>
  <c r="J106" i="16"/>
  <c r="J107" i="16"/>
  <c r="J108" i="16"/>
  <c r="J109" i="16"/>
  <c r="J110" i="16"/>
  <c r="J111" i="16"/>
  <c r="J112" i="16"/>
  <c r="J113" i="16"/>
  <c r="J114" i="16"/>
  <c r="J115" i="16"/>
  <c r="J116" i="16"/>
  <c r="J117" i="16"/>
  <c r="J118" i="16"/>
  <c r="J119" i="16"/>
  <c r="J120" i="16"/>
  <c r="J121" i="16"/>
  <c r="J122" i="16"/>
  <c r="J123" i="16"/>
  <c r="J124" i="16"/>
  <c r="J125" i="16"/>
  <c r="J126" i="16"/>
  <c r="J127" i="16"/>
  <c r="J128" i="16"/>
  <c r="J129" i="16"/>
  <c r="J130" i="16"/>
  <c r="J131" i="16"/>
  <c r="J132" i="16"/>
  <c r="J133" i="16"/>
  <c r="J134" i="16"/>
  <c r="J135" i="16"/>
  <c r="J136" i="16"/>
  <c r="J137" i="16"/>
  <c r="J138" i="16"/>
  <c r="J139" i="16"/>
  <c r="J140" i="16"/>
  <c r="J141" i="16"/>
  <c r="J142" i="16"/>
  <c r="J143" i="16"/>
  <c r="J144" i="16"/>
  <c r="J145" i="16"/>
  <c r="J146" i="16"/>
  <c r="J147" i="16"/>
  <c r="J148" i="16"/>
  <c r="J149" i="16"/>
  <c r="J150" i="16"/>
  <c r="J151" i="16"/>
  <c r="J152" i="16"/>
  <c r="J153" i="16"/>
  <c r="J154" i="16"/>
  <c r="J155" i="16"/>
  <c r="J156" i="16"/>
  <c r="J157" i="16"/>
  <c r="J158" i="16"/>
  <c r="J159" i="16"/>
  <c r="J160" i="16"/>
  <c r="J161" i="16"/>
  <c r="J162" i="16"/>
  <c r="J163" i="16"/>
  <c r="J164" i="16"/>
  <c r="J165" i="16"/>
  <c r="J166" i="16"/>
  <c r="J167" i="16"/>
  <c r="J168" i="16"/>
  <c r="J169" i="16"/>
  <c r="J170" i="16"/>
  <c r="J171" i="16"/>
  <c r="J172" i="16"/>
  <c r="J173" i="16"/>
  <c r="J174" i="16"/>
  <c r="J175" i="16"/>
  <c r="J176" i="16"/>
  <c r="I3" i="16"/>
  <c r="I4" i="16"/>
  <c r="I5" i="16"/>
  <c r="I6" i="16"/>
  <c r="I7" i="16"/>
  <c r="I8" i="16"/>
  <c r="I9" i="16"/>
  <c r="I10" i="16"/>
  <c r="I11" i="16"/>
  <c r="I12" i="16"/>
  <c r="I13" i="16"/>
  <c r="I14" i="16"/>
  <c r="I15" i="16"/>
  <c r="I16" i="16"/>
  <c r="I17" i="16"/>
  <c r="I18" i="16"/>
  <c r="I19" i="16"/>
  <c r="I20" i="16"/>
  <c r="I21" i="16"/>
  <c r="I22" i="16"/>
  <c r="I23" i="16"/>
  <c r="I24" i="16"/>
  <c r="I25" i="16"/>
  <c r="I26" i="16"/>
  <c r="I27" i="16"/>
  <c r="I28" i="16"/>
  <c r="I29" i="16"/>
  <c r="I30" i="16"/>
  <c r="I31" i="16"/>
  <c r="I32" i="16"/>
  <c r="I33" i="16"/>
  <c r="I34" i="16"/>
  <c r="I35" i="16"/>
  <c r="I36" i="16"/>
  <c r="I37" i="16"/>
  <c r="I38" i="16"/>
  <c r="I39" i="16"/>
  <c r="I40" i="16"/>
  <c r="I41" i="16"/>
  <c r="I42" i="16"/>
  <c r="I43" i="16"/>
  <c r="I44" i="16"/>
  <c r="I45" i="16"/>
  <c r="I46" i="16"/>
  <c r="I47" i="16"/>
  <c r="I48" i="16"/>
  <c r="I49" i="16"/>
  <c r="I50" i="16"/>
  <c r="I51" i="16"/>
  <c r="I52" i="16"/>
  <c r="I53" i="16"/>
  <c r="I54" i="16"/>
  <c r="I55" i="16"/>
  <c r="I56" i="16"/>
  <c r="I57" i="16"/>
  <c r="I58" i="16"/>
  <c r="I59" i="16"/>
  <c r="I60" i="16"/>
  <c r="I61" i="16"/>
  <c r="I62" i="16"/>
  <c r="I63" i="16"/>
  <c r="I64" i="16"/>
  <c r="I65" i="16"/>
  <c r="I66" i="16"/>
  <c r="I67" i="16"/>
  <c r="I68" i="16"/>
  <c r="I69" i="16"/>
  <c r="I70" i="16"/>
  <c r="I71" i="16"/>
  <c r="I72" i="16"/>
  <c r="I73" i="16"/>
  <c r="I74" i="16"/>
  <c r="I75" i="16"/>
  <c r="I76" i="16"/>
  <c r="I77" i="16"/>
  <c r="I78" i="16"/>
  <c r="I79" i="16"/>
  <c r="I80" i="16"/>
  <c r="I81" i="16"/>
  <c r="I82" i="16"/>
  <c r="I83" i="16"/>
  <c r="I84" i="16"/>
  <c r="I85" i="16"/>
  <c r="I86" i="16"/>
  <c r="I87" i="16"/>
  <c r="I88" i="16"/>
  <c r="I89" i="16"/>
  <c r="I90" i="16"/>
  <c r="I91" i="16"/>
  <c r="I92" i="16"/>
  <c r="I93" i="16"/>
  <c r="I94" i="16"/>
  <c r="I95" i="16"/>
  <c r="I96" i="16"/>
  <c r="I97" i="16"/>
  <c r="I98" i="16"/>
  <c r="I99" i="16"/>
  <c r="I100" i="16"/>
  <c r="I101" i="16"/>
  <c r="I102" i="16"/>
  <c r="I103" i="16"/>
  <c r="I104" i="16"/>
  <c r="I105" i="16"/>
  <c r="I106" i="16"/>
  <c r="I107" i="16"/>
  <c r="I108" i="16"/>
  <c r="I109" i="16"/>
  <c r="I110" i="16"/>
  <c r="I111" i="16"/>
  <c r="I112" i="16"/>
  <c r="I113" i="16"/>
  <c r="I114" i="16"/>
  <c r="I115" i="16"/>
  <c r="I116" i="16"/>
  <c r="I117" i="16"/>
  <c r="I118" i="16"/>
  <c r="I119" i="16"/>
  <c r="I120" i="16"/>
  <c r="I121" i="16"/>
  <c r="I122" i="16"/>
  <c r="I123" i="16"/>
  <c r="I124" i="16"/>
  <c r="I125" i="16"/>
  <c r="I126" i="16"/>
  <c r="I127" i="16"/>
  <c r="I128" i="16"/>
  <c r="I129" i="16"/>
  <c r="I130" i="16"/>
  <c r="I131" i="16"/>
  <c r="I132" i="16"/>
  <c r="I133" i="16"/>
  <c r="I134" i="16"/>
  <c r="I135" i="16"/>
  <c r="I136" i="16"/>
  <c r="I137" i="16"/>
  <c r="I138" i="16"/>
  <c r="I139" i="16"/>
  <c r="I140" i="16"/>
  <c r="I141" i="16"/>
  <c r="I142" i="16"/>
  <c r="I143" i="16"/>
  <c r="I144" i="16"/>
  <c r="I145" i="16"/>
  <c r="I146" i="16"/>
  <c r="I147" i="16"/>
  <c r="I148" i="16"/>
  <c r="I149" i="16"/>
  <c r="I150" i="16"/>
  <c r="I151" i="16"/>
  <c r="I152" i="16"/>
  <c r="I153" i="16"/>
  <c r="I154" i="16"/>
  <c r="I155" i="16"/>
  <c r="I156" i="16"/>
  <c r="I157" i="16"/>
  <c r="I158" i="16"/>
  <c r="I159" i="16"/>
  <c r="I160" i="16"/>
  <c r="I161" i="16"/>
  <c r="I162" i="16"/>
  <c r="I163" i="16"/>
  <c r="I164" i="16"/>
  <c r="I165" i="16"/>
  <c r="I166" i="16"/>
  <c r="I167" i="16"/>
  <c r="I168" i="16"/>
  <c r="I169" i="16"/>
  <c r="I170" i="16"/>
  <c r="I171" i="16"/>
  <c r="I172" i="16"/>
  <c r="I173" i="16"/>
  <c r="I174" i="16"/>
  <c r="I175" i="16"/>
  <c r="I176" i="16"/>
  <c r="H3" i="16"/>
  <c r="CB3" i="16" s="1"/>
  <c r="E4" i="3" s="1"/>
  <c r="H4" i="16"/>
  <c r="CB4" i="16" s="1"/>
  <c r="E5" i="3" s="1"/>
  <c r="H5" i="16"/>
  <c r="CB5" i="16" s="1"/>
  <c r="E6" i="3" s="1"/>
  <c r="H6" i="16"/>
  <c r="CB6" i="16" s="1"/>
  <c r="E7" i="3" s="1"/>
  <c r="H7" i="16"/>
  <c r="CB7" i="16" s="1"/>
  <c r="E8" i="3" s="1"/>
  <c r="H8" i="16"/>
  <c r="CB8" i="16" s="1"/>
  <c r="E9" i="3" s="1"/>
  <c r="H9" i="16"/>
  <c r="CB9" i="16" s="1"/>
  <c r="E10" i="3" s="1"/>
  <c r="H10" i="16"/>
  <c r="CB10" i="16" s="1"/>
  <c r="E11" i="3" s="1"/>
  <c r="H11" i="16"/>
  <c r="CB11" i="16" s="1"/>
  <c r="E12" i="3" s="1"/>
  <c r="H12" i="16"/>
  <c r="CB12" i="16" s="1"/>
  <c r="E13" i="3" s="1"/>
  <c r="H13" i="16"/>
  <c r="CB13" i="16" s="1"/>
  <c r="E14" i="3" s="1"/>
  <c r="H14" i="16"/>
  <c r="CB14" i="16" s="1"/>
  <c r="E15" i="3" s="1"/>
  <c r="H15" i="16"/>
  <c r="CB15" i="16" s="1"/>
  <c r="E16" i="3" s="1"/>
  <c r="H16" i="16"/>
  <c r="CB16" i="16" s="1"/>
  <c r="E17" i="3" s="1"/>
  <c r="H17" i="16"/>
  <c r="CB17" i="16" s="1"/>
  <c r="E18" i="3" s="1"/>
  <c r="H18" i="16"/>
  <c r="CB18" i="16" s="1"/>
  <c r="E19" i="3" s="1"/>
  <c r="H19" i="16"/>
  <c r="CB19" i="16" s="1"/>
  <c r="E20" i="3" s="1"/>
  <c r="H20" i="16"/>
  <c r="CB20" i="16" s="1"/>
  <c r="E21" i="3" s="1"/>
  <c r="H21" i="16"/>
  <c r="CB21" i="16" s="1"/>
  <c r="E22" i="3" s="1"/>
  <c r="H22" i="16"/>
  <c r="CB22" i="16" s="1"/>
  <c r="E23" i="3" s="1"/>
  <c r="H23" i="16"/>
  <c r="CB23" i="16" s="1"/>
  <c r="E24" i="3" s="1"/>
  <c r="H24" i="16"/>
  <c r="CB24" i="16" s="1"/>
  <c r="E25" i="3" s="1"/>
  <c r="H25" i="16"/>
  <c r="CB25" i="16" s="1"/>
  <c r="E26" i="3" s="1"/>
  <c r="H26" i="16"/>
  <c r="CB26" i="16" s="1"/>
  <c r="E27" i="3" s="1"/>
  <c r="H27" i="16"/>
  <c r="CB27" i="16" s="1"/>
  <c r="E28" i="3" s="1"/>
  <c r="H28" i="16"/>
  <c r="CB28" i="16" s="1"/>
  <c r="E29" i="3" s="1"/>
  <c r="H29" i="16"/>
  <c r="CB29" i="16" s="1"/>
  <c r="E30" i="3" s="1"/>
  <c r="H30" i="16"/>
  <c r="CB30" i="16" s="1"/>
  <c r="E31" i="3" s="1"/>
  <c r="H31" i="16"/>
  <c r="CB31" i="16" s="1"/>
  <c r="E32" i="3" s="1"/>
  <c r="H32" i="16"/>
  <c r="CB32" i="16" s="1"/>
  <c r="E33" i="3" s="1"/>
  <c r="H33" i="16"/>
  <c r="CB33" i="16" s="1"/>
  <c r="E34" i="3" s="1"/>
  <c r="H34" i="16"/>
  <c r="CB34" i="16" s="1"/>
  <c r="E35" i="3" s="1"/>
  <c r="H35" i="16"/>
  <c r="CB35" i="16" s="1"/>
  <c r="E36" i="3" s="1"/>
  <c r="H36" i="16"/>
  <c r="CB36" i="16" s="1"/>
  <c r="E37" i="3" s="1"/>
  <c r="H37" i="16"/>
  <c r="CB37" i="16" s="1"/>
  <c r="E38" i="3" s="1"/>
  <c r="H38" i="16"/>
  <c r="CB38" i="16" s="1"/>
  <c r="E39" i="3" s="1"/>
  <c r="H39" i="16"/>
  <c r="CB39" i="16" s="1"/>
  <c r="E40" i="3" s="1"/>
  <c r="H40" i="16"/>
  <c r="CB40" i="16" s="1"/>
  <c r="E41" i="3" s="1"/>
  <c r="H41" i="16"/>
  <c r="CB41" i="16" s="1"/>
  <c r="E42" i="3" s="1"/>
  <c r="H42" i="16"/>
  <c r="CB42" i="16" s="1"/>
  <c r="E43" i="3" s="1"/>
  <c r="H43" i="16"/>
  <c r="CB43" i="16" s="1"/>
  <c r="E44" i="3" s="1"/>
  <c r="H44" i="16"/>
  <c r="CB44" i="16" s="1"/>
  <c r="E45" i="3" s="1"/>
  <c r="H45" i="16"/>
  <c r="CB45" i="16" s="1"/>
  <c r="E46" i="3" s="1"/>
  <c r="H46" i="16"/>
  <c r="CB46" i="16" s="1"/>
  <c r="E47" i="3" s="1"/>
  <c r="H47" i="16"/>
  <c r="CB47" i="16" s="1"/>
  <c r="E48" i="3" s="1"/>
  <c r="H48" i="16"/>
  <c r="CB48" i="16" s="1"/>
  <c r="E49" i="3" s="1"/>
  <c r="H49" i="16"/>
  <c r="CB49" i="16" s="1"/>
  <c r="E50" i="3" s="1"/>
  <c r="H50" i="16"/>
  <c r="CB50" i="16" s="1"/>
  <c r="E51" i="3" s="1"/>
  <c r="H51" i="16"/>
  <c r="CB51" i="16" s="1"/>
  <c r="E52" i="3" s="1"/>
  <c r="H52" i="16"/>
  <c r="CB52" i="16" s="1"/>
  <c r="E53" i="3" s="1"/>
  <c r="H53" i="16"/>
  <c r="CB53" i="16" s="1"/>
  <c r="E54" i="3" s="1"/>
  <c r="H54" i="16"/>
  <c r="CB54" i="16" s="1"/>
  <c r="E55" i="3" s="1"/>
  <c r="H55" i="16"/>
  <c r="CB55" i="16" s="1"/>
  <c r="E56" i="3" s="1"/>
  <c r="H56" i="16"/>
  <c r="CB56" i="16" s="1"/>
  <c r="E57" i="3" s="1"/>
  <c r="H57" i="16"/>
  <c r="CB57" i="16" s="1"/>
  <c r="E58" i="3" s="1"/>
  <c r="H58" i="16"/>
  <c r="CB58" i="16" s="1"/>
  <c r="E59" i="3" s="1"/>
  <c r="H59" i="16"/>
  <c r="CB59" i="16" s="1"/>
  <c r="E60" i="3" s="1"/>
  <c r="H60" i="16"/>
  <c r="CB60" i="16" s="1"/>
  <c r="E61" i="3" s="1"/>
  <c r="H61" i="16"/>
  <c r="CB61" i="16" s="1"/>
  <c r="E62" i="3" s="1"/>
  <c r="H62" i="16"/>
  <c r="CB62" i="16" s="1"/>
  <c r="E63" i="3" s="1"/>
  <c r="H63" i="16"/>
  <c r="CB63" i="16" s="1"/>
  <c r="E64" i="3" s="1"/>
  <c r="H64" i="16"/>
  <c r="CB64" i="16" s="1"/>
  <c r="E65" i="3" s="1"/>
  <c r="H65" i="16"/>
  <c r="CB65" i="16" s="1"/>
  <c r="E66" i="3" s="1"/>
  <c r="H66" i="16"/>
  <c r="CB66" i="16" s="1"/>
  <c r="E67" i="3" s="1"/>
  <c r="H67" i="16"/>
  <c r="CB67" i="16" s="1"/>
  <c r="E68" i="3" s="1"/>
  <c r="H68" i="16"/>
  <c r="CB68" i="16" s="1"/>
  <c r="E69" i="3" s="1"/>
  <c r="H69" i="16"/>
  <c r="CB69" i="16" s="1"/>
  <c r="E70" i="3" s="1"/>
  <c r="H70" i="16"/>
  <c r="CB70" i="16" s="1"/>
  <c r="E71" i="3" s="1"/>
  <c r="H71" i="16"/>
  <c r="CB71" i="16" s="1"/>
  <c r="E72" i="3" s="1"/>
  <c r="H72" i="16"/>
  <c r="CB72" i="16" s="1"/>
  <c r="E73" i="3" s="1"/>
  <c r="H73" i="16"/>
  <c r="CB73" i="16" s="1"/>
  <c r="E74" i="3" s="1"/>
  <c r="H74" i="16"/>
  <c r="CB74" i="16" s="1"/>
  <c r="E75" i="3" s="1"/>
  <c r="H75" i="16"/>
  <c r="CB75" i="16" s="1"/>
  <c r="E76" i="3" s="1"/>
  <c r="H76" i="16"/>
  <c r="CB76" i="16" s="1"/>
  <c r="E77" i="3" s="1"/>
  <c r="H77" i="16"/>
  <c r="CB77" i="16" s="1"/>
  <c r="E78" i="3" s="1"/>
  <c r="H78" i="16"/>
  <c r="CB78" i="16" s="1"/>
  <c r="E79" i="3" s="1"/>
  <c r="H79" i="16"/>
  <c r="CB79" i="16" s="1"/>
  <c r="E80" i="3" s="1"/>
  <c r="H80" i="16"/>
  <c r="CB80" i="16" s="1"/>
  <c r="E81" i="3" s="1"/>
  <c r="H81" i="16"/>
  <c r="CB81" i="16" s="1"/>
  <c r="E82" i="3" s="1"/>
  <c r="H82" i="16"/>
  <c r="CB82" i="16" s="1"/>
  <c r="E83" i="3" s="1"/>
  <c r="H83" i="16"/>
  <c r="CB83" i="16" s="1"/>
  <c r="E84" i="3" s="1"/>
  <c r="H84" i="16"/>
  <c r="CB84" i="16" s="1"/>
  <c r="E85" i="3" s="1"/>
  <c r="H85" i="16"/>
  <c r="CB85" i="16" s="1"/>
  <c r="E86" i="3" s="1"/>
  <c r="H86" i="16"/>
  <c r="CB86" i="16" s="1"/>
  <c r="E87" i="3" s="1"/>
  <c r="H87" i="16"/>
  <c r="CB87" i="16" s="1"/>
  <c r="E88" i="3" s="1"/>
  <c r="H88" i="16"/>
  <c r="CB88" i="16" s="1"/>
  <c r="E89" i="3" s="1"/>
  <c r="H89" i="16"/>
  <c r="CB89" i="16" s="1"/>
  <c r="E90" i="3" s="1"/>
  <c r="H90" i="16"/>
  <c r="CB90" i="16" s="1"/>
  <c r="E91" i="3" s="1"/>
  <c r="H91" i="16"/>
  <c r="CB91" i="16" s="1"/>
  <c r="E92" i="3" s="1"/>
  <c r="H92" i="16"/>
  <c r="CB92" i="16" s="1"/>
  <c r="E93" i="3" s="1"/>
  <c r="H93" i="16"/>
  <c r="CB93" i="16" s="1"/>
  <c r="E94" i="3" s="1"/>
  <c r="H94" i="16"/>
  <c r="CB94" i="16" s="1"/>
  <c r="E95" i="3" s="1"/>
  <c r="H95" i="16"/>
  <c r="CB95" i="16" s="1"/>
  <c r="E96" i="3" s="1"/>
  <c r="H96" i="16"/>
  <c r="CB96" i="16" s="1"/>
  <c r="E97" i="3" s="1"/>
  <c r="H97" i="16"/>
  <c r="CB97" i="16" s="1"/>
  <c r="E98" i="3" s="1"/>
  <c r="H98" i="16"/>
  <c r="CB98" i="16" s="1"/>
  <c r="E99" i="3" s="1"/>
  <c r="H99" i="16"/>
  <c r="CB99" i="16" s="1"/>
  <c r="E100" i="3" s="1"/>
  <c r="H100" i="16"/>
  <c r="CB100" i="16" s="1"/>
  <c r="E101" i="3" s="1"/>
  <c r="H101" i="16"/>
  <c r="CB101" i="16" s="1"/>
  <c r="E102" i="3" s="1"/>
  <c r="H102" i="16"/>
  <c r="CB102" i="16" s="1"/>
  <c r="E103" i="3" s="1"/>
  <c r="H103" i="16"/>
  <c r="CB103" i="16" s="1"/>
  <c r="E104" i="3" s="1"/>
  <c r="H104" i="16"/>
  <c r="CB104" i="16" s="1"/>
  <c r="E105" i="3" s="1"/>
  <c r="H105" i="16"/>
  <c r="CB105" i="16" s="1"/>
  <c r="E106" i="3" s="1"/>
  <c r="H106" i="16"/>
  <c r="CB106" i="16" s="1"/>
  <c r="E107" i="3" s="1"/>
  <c r="H107" i="16"/>
  <c r="CB107" i="16" s="1"/>
  <c r="E108" i="3" s="1"/>
  <c r="H108" i="16"/>
  <c r="CB108" i="16" s="1"/>
  <c r="E109" i="3" s="1"/>
  <c r="H109" i="16"/>
  <c r="CB109" i="16" s="1"/>
  <c r="E110" i="3" s="1"/>
  <c r="H110" i="16"/>
  <c r="CB110" i="16" s="1"/>
  <c r="E111" i="3" s="1"/>
  <c r="H111" i="16"/>
  <c r="CB111" i="16" s="1"/>
  <c r="E112" i="3" s="1"/>
  <c r="H112" i="16"/>
  <c r="CB112" i="16" s="1"/>
  <c r="E113" i="3" s="1"/>
  <c r="H113" i="16"/>
  <c r="CB113" i="16" s="1"/>
  <c r="E114" i="3" s="1"/>
  <c r="H114" i="16"/>
  <c r="CB114" i="16" s="1"/>
  <c r="E115" i="3" s="1"/>
  <c r="H115" i="16"/>
  <c r="CB115" i="16" s="1"/>
  <c r="E116" i="3" s="1"/>
  <c r="H116" i="16"/>
  <c r="CB116" i="16" s="1"/>
  <c r="E117" i="3" s="1"/>
  <c r="H117" i="16"/>
  <c r="CB117" i="16" s="1"/>
  <c r="E118" i="3" s="1"/>
  <c r="H118" i="16"/>
  <c r="CB118" i="16" s="1"/>
  <c r="E119" i="3" s="1"/>
  <c r="H119" i="16"/>
  <c r="CB119" i="16" s="1"/>
  <c r="E120" i="3" s="1"/>
  <c r="H120" i="16"/>
  <c r="CB120" i="16" s="1"/>
  <c r="E121" i="3" s="1"/>
  <c r="H121" i="16"/>
  <c r="CB121" i="16" s="1"/>
  <c r="E122" i="3" s="1"/>
  <c r="H122" i="16"/>
  <c r="CB122" i="16" s="1"/>
  <c r="E123" i="3" s="1"/>
  <c r="H123" i="16"/>
  <c r="CB123" i="16" s="1"/>
  <c r="E124" i="3" s="1"/>
  <c r="H124" i="16"/>
  <c r="CB124" i="16" s="1"/>
  <c r="E125" i="3" s="1"/>
  <c r="H125" i="16"/>
  <c r="CB125" i="16" s="1"/>
  <c r="E126" i="3" s="1"/>
  <c r="H126" i="16"/>
  <c r="CB126" i="16" s="1"/>
  <c r="E127" i="3" s="1"/>
  <c r="H127" i="16"/>
  <c r="CB127" i="16" s="1"/>
  <c r="E128" i="3" s="1"/>
  <c r="H128" i="16"/>
  <c r="CB128" i="16" s="1"/>
  <c r="E129" i="3" s="1"/>
  <c r="H129" i="16"/>
  <c r="H130" i="16"/>
  <c r="CB130" i="16" s="1"/>
  <c r="E131" i="3" s="1"/>
  <c r="H131" i="16"/>
  <c r="CB131" i="16" s="1"/>
  <c r="E132" i="3" s="1"/>
  <c r="H132" i="16"/>
  <c r="CB132" i="16" s="1"/>
  <c r="E133" i="3" s="1"/>
  <c r="H133" i="16"/>
  <c r="CB133" i="16" s="1"/>
  <c r="E134" i="3" s="1"/>
  <c r="H134" i="16"/>
  <c r="CB134" i="16" s="1"/>
  <c r="E135" i="3" s="1"/>
  <c r="H135" i="16"/>
  <c r="CB135" i="16" s="1"/>
  <c r="E136" i="3" s="1"/>
  <c r="H136" i="16"/>
  <c r="CB136" i="16" s="1"/>
  <c r="E137" i="3" s="1"/>
  <c r="H137" i="16"/>
  <c r="CB137" i="16" s="1"/>
  <c r="E138" i="3" s="1"/>
  <c r="H138" i="16"/>
  <c r="CB138" i="16" s="1"/>
  <c r="E139" i="3" s="1"/>
  <c r="H139" i="16"/>
  <c r="CB139" i="16" s="1"/>
  <c r="E140" i="3" s="1"/>
  <c r="H140" i="16"/>
  <c r="CB140" i="16" s="1"/>
  <c r="E141" i="3" s="1"/>
  <c r="H141" i="16"/>
  <c r="CB141" i="16" s="1"/>
  <c r="E142" i="3" s="1"/>
  <c r="H142" i="16"/>
  <c r="CB142" i="16" s="1"/>
  <c r="E143" i="3" s="1"/>
  <c r="H143" i="16"/>
  <c r="CB143" i="16" s="1"/>
  <c r="E144" i="3" s="1"/>
  <c r="H144" i="16"/>
  <c r="CB144" i="16" s="1"/>
  <c r="E145" i="3" s="1"/>
  <c r="H145" i="16"/>
  <c r="CB145" i="16" s="1"/>
  <c r="E146" i="3" s="1"/>
  <c r="H146" i="16"/>
  <c r="CB146" i="16" s="1"/>
  <c r="E147" i="3" s="1"/>
  <c r="H147" i="16"/>
  <c r="CB147" i="16" s="1"/>
  <c r="E148" i="3" s="1"/>
  <c r="H148" i="16"/>
  <c r="CB148" i="16" s="1"/>
  <c r="E149" i="3" s="1"/>
  <c r="H149" i="16"/>
  <c r="CB149" i="16" s="1"/>
  <c r="E150" i="3" s="1"/>
  <c r="H150" i="16"/>
  <c r="CB150" i="16" s="1"/>
  <c r="E151" i="3" s="1"/>
  <c r="H151" i="16"/>
  <c r="CB151" i="16" s="1"/>
  <c r="E152" i="3" s="1"/>
  <c r="H152" i="16"/>
  <c r="CB152" i="16" s="1"/>
  <c r="E153" i="3" s="1"/>
  <c r="H153" i="16"/>
  <c r="CB153" i="16" s="1"/>
  <c r="E154" i="3" s="1"/>
  <c r="H154" i="16"/>
  <c r="CB154" i="16" s="1"/>
  <c r="E155" i="3" s="1"/>
  <c r="H155" i="16"/>
  <c r="CB155" i="16" s="1"/>
  <c r="E156" i="3" s="1"/>
  <c r="H156" i="16"/>
  <c r="CB156" i="16" s="1"/>
  <c r="E157" i="3" s="1"/>
  <c r="H157" i="16"/>
  <c r="CB157" i="16" s="1"/>
  <c r="E158" i="3" s="1"/>
  <c r="H158" i="16"/>
  <c r="CB158" i="16" s="1"/>
  <c r="E159" i="3" s="1"/>
  <c r="H159" i="16"/>
  <c r="CB159" i="16" s="1"/>
  <c r="E160" i="3" s="1"/>
  <c r="H160" i="16"/>
  <c r="CB160" i="16" s="1"/>
  <c r="E161" i="3" s="1"/>
  <c r="H161" i="16"/>
  <c r="CB161" i="16" s="1"/>
  <c r="E162" i="3" s="1"/>
  <c r="H162" i="16"/>
  <c r="CB162" i="16" s="1"/>
  <c r="E163" i="3" s="1"/>
  <c r="H163" i="16"/>
  <c r="CB163" i="16" s="1"/>
  <c r="E164" i="3" s="1"/>
  <c r="H164" i="16"/>
  <c r="CB164" i="16" s="1"/>
  <c r="E165" i="3" s="1"/>
  <c r="H165" i="16"/>
  <c r="CB165" i="16" s="1"/>
  <c r="E166" i="3" s="1"/>
  <c r="H166" i="16"/>
  <c r="CB166" i="16" s="1"/>
  <c r="E167" i="3" s="1"/>
  <c r="H167" i="16"/>
  <c r="CB167" i="16" s="1"/>
  <c r="E168" i="3" s="1"/>
  <c r="H168" i="16"/>
  <c r="CB168" i="16" s="1"/>
  <c r="E169" i="3" s="1"/>
  <c r="H169" i="16"/>
  <c r="CB169" i="16" s="1"/>
  <c r="E170" i="3" s="1"/>
  <c r="H170" i="16"/>
  <c r="CB170" i="16" s="1"/>
  <c r="E171" i="3" s="1"/>
  <c r="H171" i="16"/>
  <c r="CB171" i="16" s="1"/>
  <c r="E172" i="3" s="1"/>
  <c r="H172" i="16"/>
  <c r="CB172" i="16" s="1"/>
  <c r="E173" i="3" s="1"/>
  <c r="H173" i="16"/>
  <c r="CB173" i="16" s="1"/>
  <c r="E174" i="3" s="1"/>
  <c r="H174" i="16"/>
  <c r="CB174" i="16" s="1"/>
  <c r="E175" i="3" s="1"/>
  <c r="H175" i="16"/>
  <c r="CB175" i="16" s="1"/>
  <c r="E176" i="3" s="1"/>
  <c r="H176" i="16"/>
  <c r="CB176" i="16" s="1"/>
  <c r="E177" i="3" s="1"/>
  <c r="G3" i="16"/>
  <c r="CJ3" i="16" s="1"/>
  <c r="M4" i="3" s="1"/>
  <c r="G4" i="16"/>
  <c r="CJ4" i="16" s="1"/>
  <c r="M5" i="3" s="1"/>
  <c r="G5" i="16"/>
  <c r="CJ5" i="16" s="1"/>
  <c r="M6" i="3" s="1"/>
  <c r="G6" i="16"/>
  <c r="G7" i="16"/>
  <c r="CJ7" i="16" s="1"/>
  <c r="M8" i="3" s="1"/>
  <c r="G8" i="16"/>
  <c r="CJ8" i="16" s="1"/>
  <c r="M9" i="3" s="1"/>
  <c r="G9" i="16"/>
  <c r="CJ9" i="16" s="1"/>
  <c r="M10" i="3" s="1"/>
  <c r="G10" i="16"/>
  <c r="CJ10" i="16" s="1"/>
  <c r="M11" i="3" s="1"/>
  <c r="G11" i="16"/>
  <c r="CJ11" i="16" s="1"/>
  <c r="M12" i="3" s="1"/>
  <c r="G12" i="16"/>
  <c r="CJ12" i="16" s="1"/>
  <c r="M13" i="3" s="1"/>
  <c r="G13" i="16"/>
  <c r="CJ13" i="16" s="1"/>
  <c r="M14" i="3" s="1"/>
  <c r="G14" i="16"/>
  <c r="CJ14" i="16" s="1"/>
  <c r="M15" i="3" s="1"/>
  <c r="G15" i="16"/>
  <c r="CJ15" i="16" s="1"/>
  <c r="M16" i="3" s="1"/>
  <c r="G16" i="16"/>
  <c r="CJ16" i="16" s="1"/>
  <c r="M17" i="3" s="1"/>
  <c r="G17" i="16"/>
  <c r="G18" i="16"/>
  <c r="G19" i="16"/>
  <c r="G20" i="16"/>
  <c r="G21" i="16"/>
  <c r="G22" i="16"/>
  <c r="G23" i="16"/>
  <c r="G24" i="16"/>
  <c r="G25" i="16"/>
  <c r="G26" i="16"/>
  <c r="G27" i="16"/>
  <c r="G28" i="16"/>
  <c r="G29" i="16"/>
  <c r="G30" i="16"/>
  <c r="G31" i="16"/>
  <c r="G32" i="16"/>
  <c r="G33" i="16"/>
  <c r="G34" i="16"/>
  <c r="G35" i="16"/>
  <c r="G36" i="16"/>
  <c r="G37" i="16"/>
  <c r="G38" i="16"/>
  <c r="G39" i="16"/>
  <c r="G40" i="16"/>
  <c r="G41" i="16"/>
  <c r="G42" i="16"/>
  <c r="G43" i="16"/>
  <c r="G44" i="16"/>
  <c r="G45" i="16"/>
  <c r="G46" i="16"/>
  <c r="G47" i="16"/>
  <c r="G48" i="16"/>
  <c r="G49" i="16"/>
  <c r="G50" i="16"/>
  <c r="G51" i="16"/>
  <c r="G52" i="16"/>
  <c r="G53" i="16"/>
  <c r="G54" i="16"/>
  <c r="G55" i="16"/>
  <c r="G56" i="16"/>
  <c r="G57" i="16"/>
  <c r="G58" i="16"/>
  <c r="G59" i="16"/>
  <c r="G60" i="16"/>
  <c r="G61" i="16"/>
  <c r="G62" i="16"/>
  <c r="G63" i="16"/>
  <c r="G64" i="16"/>
  <c r="G65" i="16"/>
  <c r="G66" i="16"/>
  <c r="G67" i="16"/>
  <c r="G68" i="16"/>
  <c r="G69" i="16"/>
  <c r="G70" i="16"/>
  <c r="G71" i="16"/>
  <c r="G72" i="16"/>
  <c r="G73" i="16"/>
  <c r="G74" i="16"/>
  <c r="G75" i="16"/>
  <c r="G76" i="16"/>
  <c r="G77" i="16"/>
  <c r="G78" i="16"/>
  <c r="G79" i="16"/>
  <c r="G80" i="16"/>
  <c r="G81" i="16"/>
  <c r="G82" i="16"/>
  <c r="G83" i="16"/>
  <c r="G84" i="16"/>
  <c r="G85" i="16"/>
  <c r="G86" i="16"/>
  <c r="G87" i="16"/>
  <c r="G88" i="16"/>
  <c r="G89" i="16"/>
  <c r="G90" i="16"/>
  <c r="G91" i="16"/>
  <c r="G92" i="16"/>
  <c r="G93" i="16"/>
  <c r="G94" i="16"/>
  <c r="G95" i="16"/>
  <c r="G96" i="16"/>
  <c r="G97" i="16"/>
  <c r="G98" i="16"/>
  <c r="G99" i="16"/>
  <c r="G100" i="16"/>
  <c r="G101" i="16"/>
  <c r="G102" i="16"/>
  <c r="G103" i="16"/>
  <c r="G104" i="16"/>
  <c r="G105" i="16"/>
  <c r="G106" i="16"/>
  <c r="G107" i="16"/>
  <c r="G108" i="16"/>
  <c r="G109" i="16"/>
  <c r="G110" i="16"/>
  <c r="G111" i="16"/>
  <c r="G112" i="16"/>
  <c r="G113" i="16"/>
  <c r="G114" i="16"/>
  <c r="G115" i="16"/>
  <c r="G116" i="16"/>
  <c r="G117" i="16"/>
  <c r="G118" i="16"/>
  <c r="G119" i="16"/>
  <c r="G120" i="16"/>
  <c r="G121" i="16"/>
  <c r="G122" i="16"/>
  <c r="G123" i="16"/>
  <c r="G124" i="16"/>
  <c r="G125" i="16"/>
  <c r="G126" i="16"/>
  <c r="G127" i="16"/>
  <c r="G128" i="16"/>
  <c r="G129" i="16"/>
  <c r="G130" i="16"/>
  <c r="G131" i="16"/>
  <c r="G132" i="16"/>
  <c r="G133" i="16"/>
  <c r="G134" i="16"/>
  <c r="G135" i="16"/>
  <c r="G136" i="16"/>
  <c r="G137" i="16"/>
  <c r="G138" i="16"/>
  <c r="G139" i="16"/>
  <c r="G140" i="16"/>
  <c r="G141" i="16"/>
  <c r="G142" i="16"/>
  <c r="G143" i="16"/>
  <c r="G144" i="16"/>
  <c r="G145" i="16"/>
  <c r="G146" i="16"/>
  <c r="G147" i="16"/>
  <c r="G148" i="16"/>
  <c r="G149" i="16"/>
  <c r="CJ149" i="16" s="1"/>
  <c r="M150" i="3" s="1"/>
  <c r="G150" i="16"/>
  <c r="G151" i="16"/>
  <c r="CJ151" i="16" s="1"/>
  <c r="M152" i="3" s="1"/>
  <c r="G152" i="16"/>
  <c r="CJ152" i="16" s="1"/>
  <c r="M153" i="3" s="1"/>
  <c r="G153" i="16"/>
  <c r="CJ153" i="16" s="1"/>
  <c r="M154" i="3" s="1"/>
  <c r="G154" i="16"/>
  <c r="CJ154" i="16" s="1"/>
  <c r="M155" i="3" s="1"/>
  <c r="G155" i="16"/>
  <c r="CJ155" i="16" s="1"/>
  <c r="M156" i="3" s="1"/>
  <c r="G156" i="16"/>
  <c r="CJ156" i="16" s="1"/>
  <c r="M157" i="3" s="1"/>
  <c r="G157" i="16"/>
  <c r="CJ157" i="16" s="1"/>
  <c r="M158" i="3" s="1"/>
  <c r="G158" i="16"/>
  <c r="CJ158" i="16" s="1"/>
  <c r="M159" i="3" s="1"/>
  <c r="G159" i="16"/>
  <c r="G160" i="16"/>
  <c r="CJ160" i="16" s="1"/>
  <c r="M161" i="3" s="1"/>
  <c r="G161" i="16"/>
  <c r="CJ161" i="16" s="1"/>
  <c r="M162" i="3" s="1"/>
  <c r="G162" i="16"/>
  <c r="CJ162" i="16" s="1"/>
  <c r="M163" i="3" s="1"/>
  <c r="G163" i="16"/>
  <c r="CJ163" i="16" s="1"/>
  <c r="M164" i="3" s="1"/>
  <c r="G164" i="16"/>
  <c r="CJ164" i="16" s="1"/>
  <c r="M165" i="3" s="1"/>
  <c r="G165" i="16"/>
  <c r="CJ165" i="16" s="1"/>
  <c r="M166" i="3" s="1"/>
  <c r="G166" i="16"/>
  <c r="CJ166" i="16" s="1"/>
  <c r="M167" i="3" s="1"/>
  <c r="G167" i="16"/>
  <c r="CJ167" i="16" s="1"/>
  <c r="M168" i="3" s="1"/>
  <c r="G168" i="16"/>
  <c r="CJ168" i="16" s="1"/>
  <c r="M169" i="3" s="1"/>
  <c r="G169" i="16"/>
  <c r="CJ169" i="16" s="1"/>
  <c r="M170" i="3" s="1"/>
  <c r="G170" i="16"/>
  <c r="CJ170" i="16" s="1"/>
  <c r="M171" i="3" s="1"/>
  <c r="G171" i="16"/>
  <c r="CJ171" i="16" s="1"/>
  <c r="M172" i="3" s="1"/>
  <c r="G172" i="16"/>
  <c r="CJ172" i="16" s="1"/>
  <c r="M173" i="3" s="1"/>
  <c r="G173" i="16"/>
  <c r="CJ173" i="16" s="1"/>
  <c r="M174" i="3" s="1"/>
  <c r="G174" i="16"/>
  <c r="CJ174" i="16" s="1"/>
  <c r="M175" i="3" s="1"/>
  <c r="G175" i="16"/>
  <c r="CJ175" i="16" s="1"/>
  <c r="M176" i="3" s="1"/>
  <c r="G176" i="16"/>
  <c r="CJ176" i="16" s="1"/>
  <c r="M177" i="3" s="1"/>
  <c r="F3" i="16"/>
  <c r="F4" i="16"/>
  <c r="F5" i="16"/>
  <c r="F6" i="16"/>
  <c r="F7" i="16"/>
  <c r="F8" i="16"/>
  <c r="F9" i="16"/>
  <c r="F10" i="16"/>
  <c r="F11" i="16"/>
  <c r="F12" i="16"/>
  <c r="F13" i="16"/>
  <c r="F14" i="16"/>
  <c r="F15" i="16"/>
  <c r="F16" i="16"/>
  <c r="F17" i="16"/>
  <c r="F18" i="16"/>
  <c r="F19" i="16"/>
  <c r="F20" i="16"/>
  <c r="F21" i="16"/>
  <c r="F22" i="16"/>
  <c r="F23" i="16"/>
  <c r="F24" i="16"/>
  <c r="F25" i="16"/>
  <c r="F26" i="16"/>
  <c r="F27" i="16"/>
  <c r="F28" i="16"/>
  <c r="F29" i="16"/>
  <c r="F30" i="16"/>
  <c r="F31" i="16"/>
  <c r="F32" i="16"/>
  <c r="F33" i="16"/>
  <c r="F34" i="16"/>
  <c r="F35" i="16"/>
  <c r="F36" i="16"/>
  <c r="F37" i="16"/>
  <c r="F38" i="16"/>
  <c r="F39" i="16"/>
  <c r="F40" i="16"/>
  <c r="F41" i="16"/>
  <c r="F42" i="16"/>
  <c r="F43" i="16"/>
  <c r="F44" i="16"/>
  <c r="F45" i="16"/>
  <c r="F46" i="16"/>
  <c r="F47" i="16"/>
  <c r="F48" i="16"/>
  <c r="F49" i="16"/>
  <c r="F50" i="16"/>
  <c r="F51" i="16"/>
  <c r="F52" i="16"/>
  <c r="F53" i="16"/>
  <c r="F54" i="16"/>
  <c r="F55" i="16"/>
  <c r="F56" i="16"/>
  <c r="F57" i="16"/>
  <c r="F58" i="16"/>
  <c r="F59" i="16"/>
  <c r="F60" i="16"/>
  <c r="F61" i="16"/>
  <c r="F62" i="16"/>
  <c r="F63" i="16"/>
  <c r="F64" i="16"/>
  <c r="F65" i="16"/>
  <c r="F66" i="16"/>
  <c r="F67" i="16"/>
  <c r="F68" i="16"/>
  <c r="F69" i="16"/>
  <c r="F70" i="16"/>
  <c r="F71" i="16"/>
  <c r="F72" i="16"/>
  <c r="F73" i="16"/>
  <c r="F74" i="16"/>
  <c r="F75" i="16"/>
  <c r="F76" i="16"/>
  <c r="F77" i="16"/>
  <c r="F78" i="16"/>
  <c r="F79" i="16"/>
  <c r="F80" i="16"/>
  <c r="F81" i="16"/>
  <c r="F82" i="16"/>
  <c r="F83" i="16"/>
  <c r="F84" i="16"/>
  <c r="F85" i="16"/>
  <c r="F86" i="16"/>
  <c r="F87" i="16"/>
  <c r="F88" i="16"/>
  <c r="F89" i="16"/>
  <c r="F90" i="16"/>
  <c r="F91" i="16"/>
  <c r="F92" i="16"/>
  <c r="F93" i="16"/>
  <c r="F94" i="16"/>
  <c r="F95" i="16"/>
  <c r="F96" i="16"/>
  <c r="F97" i="16"/>
  <c r="F98" i="16"/>
  <c r="F99" i="16"/>
  <c r="F100" i="16"/>
  <c r="F101" i="16"/>
  <c r="F102" i="16"/>
  <c r="F103" i="16"/>
  <c r="F104" i="16"/>
  <c r="F105" i="16"/>
  <c r="F106" i="16"/>
  <c r="F107" i="16"/>
  <c r="F108" i="16"/>
  <c r="F109" i="16"/>
  <c r="F110" i="16"/>
  <c r="F111" i="16"/>
  <c r="F112" i="16"/>
  <c r="F113" i="16"/>
  <c r="F114" i="16"/>
  <c r="F115" i="16"/>
  <c r="F116" i="16"/>
  <c r="F117" i="16"/>
  <c r="F118" i="16"/>
  <c r="F119" i="16"/>
  <c r="F120" i="16"/>
  <c r="F121" i="16"/>
  <c r="F122" i="16"/>
  <c r="F123" i="16"/>
  <c r="F124" i="16"/>
  <c r="F125" i="16"/>
  <c r="F126" i="16"/>
  <c r="F127" i="16"/>
  <c r="F128" i="16"/>
  <c r="F129" i="16"/>
  <c r="F130" i="16"/>
  <c r="F131" i="16"/>
  <c r="F132" i="16"/>
  <c r="F133" i="16"/>
  <c r="F134" i="16"/>
  <c r="F135" i="16"/>
  <c r="F136" i="16"/>
  <c r="F137" i="16"/>
  <c r="F138" i="16"/>
  <c r="F139" i="16"/>
  <c r="F140" i="16"/>
  <c r="F141" i="16"/>
  <c r="F142" i="16"/>
  <c r="F143" i="16"/>
  <c r="F144" i="16"/>
  <c r="F145" i="16"/>
  <c r="F146" i="16"/>
  <c r="F147" i="16"/>
  <c r="F148" i="16"/>
  <c r="F149" i="16"/>
  <c r="F150" i="16"/>
  <c r="F151" i="16"/>
  <c r="F152" i="16"/>
  <c r="F153" i="16"/>
  <c r="F154" i="16"/>
  <c r="F155" i="16"/>
  <c r="F156" i="16"/>
  <c r="F157" i="16"/>
  <c r="F158" i="16"/>
  <c r="F159" i="16"/>
  <c r="F160" i="16"/>
  <c r="F161" i="16"/>
  <c r="F162" i="16"/>
  <c r="F163" i="16"/>
  <c r="F164" i="16"/>
  <c r="F165" i="16"/>
  <c r="F166" i="16"/>
  <c r="F167" i="16"/>
  <c r="F168" i="16"/>
  <c r="F169" i="16"/>
  <c r="F170" i="16"/>
  <c r="F171" i="16"/>
  <c r="F172" i="16"/>
  <c r="F173" i="16"/>
  <c r="F174" i="16"/>
  <c r="F175" i="16"/>
  <c r="F176" i="16"/>
  <c r="E3" i="16"/>
  <c r="E4" i="16"/>
  <c r="E5" i="16"/>
  <c r="E6" i="16"/>
  <c r="E7" i="16"/>
  <c r="E8" i="16"/>
  <c r="E9" i="16"/>
  <c r="E10" i="16"/>
  <c r="E11" i="16"/>
  <c r="E12" i="16"/>
  <c r="E13" i="16"/>
  <c r="E14" i="16"/>
  <c r="E15" i="16"/>
  <c r="E16" i="16"/>
  <c r="E17" i="16"/>
  <c r="E18" i="16"/>
  <c r="E19" i="16"/>
  <c r="E20" i="16"/>
  <c r="E21" i="16"/>
  <c r="E22" i="16"/>
  <c r="E23" i="16"/>
  <c r="E24" i="16"/>
  <c r="E25" i="16"/>
  <c r="E26" i="16"/>
  <c r="E27" i="16"/>
  <c r="E28" i="16"/>
  <c r="E29" i="16"/>
  <c r="E30" i="16"/>
  <c r="E31" i="16"/>
  <c r="E32" i="16"/>
  <c r="E33" i="16"/>
  <c r="E34" i="16"/>
  <c r="E35" i="16"/>
  <c r="E36" i="16"/>
  <c r="E37" i="16"/>
  <c r="E38" i="16"/>
  <c r="E39" i="16"/>
  <c r="E40" i="16"/>
  <c r="E41" i="16"/>
  <c r="E42" i="16"/>
  <c r="E43" i="16"/>
  <c r="E44" i="16"/>
  <c r="E45" i="16"/>
  <c r="E46" i="16"/>
  <c r="E47" i="16"/>
  <c r="E48" i="16"/>
  <c r="E49" i="16"/>
  <c r="E50" i="16"/>
  <c r="E51" i="16"/>
  <c r="E52" i="16"/>
  <c r="E53" i="16"/>
  <c r="E54" i="16"/>
  <c r="E55" i="16"/>
  <c r="E56" i="16"/>
  <c r="E57" i="16"/>
  <c r="E58" i="16"/>
  <c r="E59" i="16"/>
  <c r="E60" i="16"/>
  <c r="E61" i="16"/>
  <c r="E62" i="16"/>
  <c r="E63" i="16"/>
  <c r="E64" i="16"/>
  <c r="E65" i="16"/>
  <c r="E66" i="16"/>
  <c r="E67" i="16"/>
  <c r="E68" i="16"/>
  <c r="E69" i="16"/>
  <c r="E70" i="16"/>
  <c r="E71" i="16"/>
  <c r="E72" i="16"/>
  <c r="E73" i="16"/>
  <c r="E74" i="16"/>
  <c r="E75" i="16"/>
  <c r="E76" i="16"/>
  <c r="E77" i="16"/>
  <c r="E78" i="16"/>
  <c r="E79" i="16"/>
  <c r="E80" i="16"/>
  <c r="E81" i="16"/>
  <c r="E82" i="16"/>
  <c r="E83" i="16"/>
  <c r="E84" i="16"/>
  <c r="E85" i="16"/>
  <c r="E86" i="16"/>
  <c r="E87" i="16"/>
  <c r="E88" i="16"/>
  <c r="E89" i="16"/>
  <c r="E90" i="16"/>
  <c r="E91" i="16"/>
  <c r="E92" i="16"/>
  <c r="E93" i="16"/>
  <c r="E94" i="16"/>
  <c r="E95" i="16"/>
  <c r="E96" i="16"/>
  <c r="E97" i="16"/>
  <c r="E98" i="16"/>
  <c r="E99" i="16"/>
  <c r="E100" i="16"/>
  <c r="E101" i="16"/>
  <c r="E102" i="16"/>
  <c r="E103" i="16"/>
  <c r="E104" i="16"/>
  <c r="E105" i="16"/>
  <c r="E106" i="16"/>
  <c r="E107" i="16"/>
  <c r="E108" i="16"/>
  <c r="E109" i="16"/>
  <c r="E110" i="16"/>
  <c r="E111" i="16"/>
  <c r="E112" i="16"/>
  <c r="E113" i="16"/>
  <c r="E114" i="16"/>
  <c r="E115" i="16"/>
  <c r="E116" i="16"/>
  <c r="E117" i="16"/>
  <c r="E118" i="16"/>
  <c r="E119" i="16"/>
  <c r="E120" i="16"/>
  <c r="E121" i="16"/>
  <c r="E122" i="16"/>
  <c r="E123" i="16"/>
  <c r="E124" i="16"/>
  <c r="E125" i="16"/>
  <c r="E126" i="16"/>
  <c r="E127" i="16"/>
  <c r="E128" i="16"/>
  <c r="E129" i="16"/>
  <c r="E130" i="16"/>
  <c r="E131" i="16"/>
  <c r="E132" i="16"/>
  <c r="E133" i="16"/>
  <c r="E134" i="16"/>
  <c r="E135" i="16"/>
  <c r="E136" i="16"/>
  <c r="E137" i="16"/>
  <c r="E138" i="16"/>
  <c r="E139" i="16"/>
  <c r="E140" i="16"/>
  <c r="E141" i="16"/>
  <c r="E142" i="16"/>
  <c r="E143" i="16"/>
  <c r="E144" i="16"/>
  <c r="E145" i="16"/>
  <c r="E146" i="16"/>
  <c r="E147" i="16"/>
  <c r="E148" i="16"/>
  <c r="E149" i="16"/>
  <c r="E150" i="16"/>
  <c r="E151" i="16"/>
  <c r="E152" i="16"/>
  <c r="E153" i="16"/>
  <c r="E154" i="16"/>
  <c r="E155" i="16"/>
  <c r="E156" i="16"/>
  <c r="E157" i="16"/>
  <c r="E158" i="16"/>
  <c r="E159" i="16"/>
  <c r="E160" i="16"/>
  <c r="E161" i="16"/>
  <c r="E162" i="16"/>
  <c r="E163" i="16"/>
  <c r="E164" i="16"/>
  <c r="E165" i="16"/>
  <c r="E166" i="16"/>
  <c r="E167" i="16"/>
  <c r="E168" i="16"/>
  <c r="E169" i="16"/>
  <c r="E170" i="16"/>
  <c r="E171" i="16"/>
  <c r="E172" i="16"/>
  <c r="E173" i="16"/>
  <c r="E174" i="16"/>
  <c r="E175" i="16"/>
  <c r="E176" i="16"/>
  <c r="D3" i="16"/>
  <c r="D4" i="16"/>
  <c r="D5" i="16"/>
  <c r="D6" i="16"/>
  <c r="D7" i="16"/>
  <c r="D8" i="16"/>
  <c r="D9" i="16"/>
  <c r="D10" i="16"/>
  <c r="D11" i="16"/>
  <c r="D12" i="16"/>
  <c r="D13" i="16"/>
  <c r="D14" i="16"/>
  <c r="D15" i="16"/>
  <c r="D16" i="16"/>
  <c r="D17" i="16"/>
  <c r="D18" i="16"/>
  <c r="D19" i="16"/>
  <c r="D20" i="16"/>
  <c r="D21" i="16"/>
  <c r="D22" i="16"/>
  <c r="D23" i="16"/>
  <c r="D24" i="16"/>
  <c r="D25" i="16"/>
  <c r="D26" i="16"/>
  <c r="D27" i="16"/>
  <c r="D28" i="16"/>
  <c r="D29" i="16"/>
  <c r="D30" i="16"/>
  <c r="D31" i="16"/>
  <c r="D32" i="16"/>
  <c r="D33" i="16"/>
  <c r="D34" i="16"/>
  <c r="D35" i="16"/>
  <c r="D36" i="16"/>
  <c r="D37" i="16"/>
  <c r="D38" i="16"/>
  <c r="D39" i="16"/>
  <c r="D40" i="16"/>
  <c r="D41" i="16"/>
  <c r="D42" i="16"/>
  <c r="D43" i="16"/>
  <c r="D44" i="16"/>
  <c r="D45" i="16"/>
  <c r="D46" i="16"/>
  <c r="D47" i="16"/>
  <c r="D48" i="16"/>
  <c r="D49" i="16"/>
  <c r="D50" i="16"/>
  <c r="D51" i="16"/>
  <c r="D52" i="16"/>
  <c r="D53" i="16"/>
  <c r="D54" i="16"/>
  <c r="D55" i="16"/>
  <c r="D56" i="16"/>
  <c r="D57" i="16"/>
  <c r="D58" i="16"/>
  <c r="D59" i="16"/>
  <c r="D60" i="16"/>
  <c r="D61" i="16"/>
  <c r="D62" i="16"/>
  <c r="D63" i="16"/>
  <c r="D64" i="16"/>
  <c r="D65" i="16"/>
  <c r="D66" i="16"/>
  <c r="D67" i="16"/>
  <c r="D68" i="16"/>
  <c r="D69" i="16"/>
  <c r="D70" i="16"/>
  <c r="D71" i="16"/>
  <c r="D72" i="16"/>
  <c r="D73" i="16"/>
  <c r="D74" i="16"/>
  <c r="D75" i="16"/>
  <c r="D76" i="16"/>
  <c r="D77" i="16"/>
  <c r="D78" i="16"/>
  <c r="D79" i="16"/>
  <c r="D80" i="16"/>
  <c r="D81" i="16"/>
  <c r="D82" i="16"/>
  <c r="D83" i="16"/>
  <c r="D84" i="16"/>
  <c r="D85" i="16"/>
  <c r="D86" i="16"/>
  <c r="D87" i="16"/>
  <c r="D88" i="16"/>
  <c r="D89" i="16"/>
  <c r="D90" i="16"/>
  <c r="D91" i="16"/>
  <c r="D92" i="16"/>
  <c r="D93" i="16"/>
  <c r="D94" i="16"/>
  <c r="D95" i="16"/>
  <c r="D96" i="16"/>
  <c r="D97" i="16"/>
  <c r="D98" i="16"/>
  <c r="D99" i="16"/>
  <c r="D100" i="16"/>
  <c r="D101" i="16"/>
  <c r="D102" i="16"/>
  <c r="D103" i="16"/>
  <c r="D104" i="16"/>
  <c r="D105" i="16"/>
  <c r="D106" i="16"/>
  <c r="D107" i="16"/>
  <c r="D108" i="16"/>
  <c r="D109" i="16"/>
  <c r="D110" i="16"/>
  <c r="D111" i="16"/>
  <c r="D112" i="16"/>
  <c r="D113" i="16"/>
  <c r="D114" i="16"/>
  <c r="D115" i="16"/>
  <c r="D116" i="16"/>
  <c r="D117" i="16"/>
  <c r="D118" i="16"/>
  <c r="D119" i="16"/>
  <c r="D120" i="16"/>
  <c r="D121" i="16"/>
  <c r="D122" i="16"/>
  <c r="D123" i="16"/>
  <c r="D124" i="16"/>
  <c r="D125" i="16"/>
  <c r="D126" i="16"/>
  <c r="D127" i="16"/>
  <c r="D128" i="16"/>
  <c r="D129" i="16"/>
  <c r="D130" i="16"/>
  <c r="D131" i="16"/>
  <c r="D132" i="16"/>
  <c r="D133" i="16"/>
  <c r="D134" i="16"/>
  <c r="D135" i="16"/>
  <c r="D136" i="16"/>
  <c r="D137" i="16"/>
  <c r="D138" i="16"/>
  <c r="D139" i="16"/>
  <c r="D140" i="16"/>
  <c r="D141" i="16"/>
  <c r="D142" i="16"/>
  <c r="D143" i="16"/>
  <c r="D144" i="16"/>
  <c r="D145" i="16"/>
  <c r="D146" i="16"/>
  <c r="D147" i="16"/>
  <c r="D148" i="16"/>
  <c r="D149" i="16"/>
  <c r="D150" i="16"/>
  <c r="D151" i="16"/>
  <c r="D152" i="16"/>
  <c r="D153" i="16"/>
  <c r="D154" i="16"/>
  <c r="D155" i="16"/>
  <c r="D156" i="16"/>
  <c r="D157" i="16"/>
  <c r="D158" i="16"/>
  <c r="D159" i="16"/>
  <c r="D160" i="16"/>
  <c r="D161" i="16"/>
  <c r="D162" i="16"/>
  <c r="D163" i="16"/>
  <c r="D164" i="16"/>
  <c r="D165" i="16"/>
  <c r="D166" i="16"/>
  <c r="D167" i="16"/>
  <c r="D168" i="16"/>
  <c r="D169" i="16"/>
  <c r="D170" i="16"/>
  <c r="D171" i="16"/>
  <c r="D172" i="16"/>
  <c r="D173" i="16"/>
  <c r="D174" i="16"/>
  <c r="D175" i="16"/>
  <c r="D176" i="16"/>
  <c r="C3" i="16"/>
  <c r="C4" i="16"/>
  <c r="C5" i="16"/>
  <c r="C6" i="16"/>
  <c r="C7" i="16"/>
  <c r="C8" i="16"/>
  <c r="C9" i="16"/>
  <c r="C10" i="16"/>
  <c r="C11" i="16"/>
  <c r="C12" i="16"/>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48" i="16"/>
  <c r="C49" i="16"/>
  <c r="C50" i="16"/>
  <c r="C51" i="16"/>
  <c r="C52" i="16"/>
  <c r="C53" i="16"/>
  <c r="C54" i="16"/>
  <c r="C55" i="16"/>
  <c r="C56" i="16"/>
  <c r="C57" i="16"/>
  <c r="C58" i="16"/>
  <c r="C59" i="16"/>
  <c r="C60" i="16"/>
  <c r="C61" i="16"/>
  <c r="C62" i="16"/>
  <c r="C63" i="16"/>
  <c r="C64" i="16"/>
  <c r="C65" i="16"/>
  <c r="C66" i="16"/>
  <c r="C67" i="16"/>
  <c r="C68" i="16"/>
  <c r="C69" i="16"/>
  <c r="C70" i="16"/>
  <c r="C71" i="16"/>
  <c r="C72" i="16"/>
  <c r="C73" i="16"/>
  <c r="C74" i="16"/>
  <c r="C75" i="16"/>
  <c r="C76" i="16"/>
  <c r="C77" i="16"/>
  <c r="C78" i="16"/>
  <c r="C79" i="16"/>
  <c r="C80" i="16"/>
  <c r="C81" i="16"/>
  <c r="C82" i="16"/>
  <c r="C83" i="16"/>
  <c r="C84" i="16"/>
  <c r="C85" i="16"/>
  <c r="C86" i="16"/>
  <c r="C87" i="16"/>
  <c r="C88" i="16"/>
  <c r="C89" i="16"/>
  <c r="C90" i="16"/>
  <c r="C91" i="16"/>
  <c r="C92" i="16"/>
  <c r="C93" i="16"/>
  <c r="C94" i="16"/>
  <c r="C95" i="16"/>
  <c r="C96" i="16"/>
  <c r="C97" i="16"/>
  <c r="C98" i="16"/>
  <c r="C99" i="16"/>
  <c r="C100" i="16"/>
  <c r="C101" i="16"/>
  <c r="C102" i="16"/>
  <c r="C103" i="16"/>
  <c r="C104" i="16"/>
  <c r="C105" i="16"/>
  <c r="C106" i="16"/>
  <c r="C107" i="16"/>
  <c r="C108" i="16"/>
  <c r="C109" i="16"/>
  <c r="C110" i="16"/>
  <c r="C111" i="16"/>
  <c r="C112" i="16"/>
  <c r="C113" i="16"/>
  <c r="C114" i="16"/>
  <c r="C115" i="16"/>
  <c r="C116" i="16"/>
  <c r="C117" i="16"/>
  <c r="C118" i="16"/>
  <c r="C119" i="16"/>
  <c r="C120" i="16"/>
  <c r="C121" i="16"/>
  <c r="C122" i="16"/>
  <c r="C123" i="16"/>
  <c r="C124" i="16"/>
  <c r="C125" i="16"/>
  <c r="C126" i="16"/>
  <c r="C127" i="16"/>
  <c r="C128" i="16"/>
  <c r="C129" i="16"/>
  <c r="C130" i="16"/>
  <c r="C131" i="16"/>
  <c r="C132" i="16"/>
  <c r="C133" i="16"/>
  <c r="C134" i="16"/>
  <c r="C135" i="16"/>
  <c r="C136" i="16"/>
  <c r="C137" i="16"/>
  <c r="C138" i="16"/>
  <c r="C139" i="16"/>
  <c r="C140" i="16"/>
  <c r="C141" i="16"/>
  <c r="C142" i="16"/>
  <c r="C143" i="16"/>
  <c r="C144" i="16"/>
  <c r="C145" i="16"/>
  <c r="C146" i="16"/>
  <c r="C147" i="16"/>
  <c r="C148" i="16"/>
  <c r="C149" i="16"/>
  <c r="C150" i="16"/>
  <c r="C151" i="16"/>
  <c r="C152" i="16"/>
  <c r="C153" i="16"/>
  <c r="C154" i="16"/>
  <c r="C155" i="16"/>
  <c r="C156" i="16"/>
  <c r="C157" i="16"/>
  <c r="C158" i="16"/>
  <c r="C159" i="16"/>
  <c r="C160" i="16"/>
  <c r="C161" i="16"/>
  <c r="C162" i="16"/>
  <c r="C163" i="16"/>
  <c r="C164" i="16"/>
  <c r="C165" i="16"/>
  <c r="C166" i="16"/>
  <c r="C167" i="16"/>
  <c r="C168" i="16"/>
  <c r="C169" i="16"/>
  <c r="C170" i="16"/>
  <c r="C171" i="16"/>
  <c r="C172" i="16"/>
  <c r="C173" i="16"/>
  <c r="C174" i="16"/>
  <c r="C175" i="16"/>
  <c r="C176" i="16"/>
  <c r="B3" i="16"/>
  <c r="B4" i="16"/>
  <c r="B5" i="16"/>
  <c r="B6" i="16"/>
  <c r="B7" i="16"/>
  <c r="B8" i="16"/>
  <c r="B9" i="16"/>
  <c r="B10" i="16"/>
  <c r="B11" i="16"/>
  <c r="B12" i="16"/>
  <c r="B13" i="16"/>
  <c r="B14" i="16"/>
  <c r="B15" i="16"/>
  <c r="B16" i="16"/>
  <c r="B17" i="16"/>
  <c r="B18" i="16"/>
  <c r="B19" i="16"/>
  <c r="B20" i="16"/>
  <c r="B21" i="16"/>
  <c r="B22" i="16"/>
  <c r="B23" i="16"/>
  <c r="B24" i="16"/>
  <c r="B25" i="16"/>
  <c r="B26" i="16"/>
  <c r="B27" i="16"/>
  <c r="B28" i="16"/>
  <c r="B29" i="16"/>
  <c r="B30" i="16"/>
  <c r="B31" i="16"/>
  <c r="B32" i="16"/>
  <c r="B33" i="16"/>
  <c r="B34" i="16"/>
  <c r="B35" i="16"/>
  <c r="B36" i="16"/>
  <c r="B37" i="16"/>
  <c r="B38" i="16"/>
  <c r="B39" i="16"/>
  <c r="B40" i="16"/>
  <c r="B41" i="16"/>
  <c r="B42" i="16"/>
  <c r="B43" i="16"/>
  <c r="B44" i="16"/>
  <c r="B45" i="16"/>
  <c r="B46" i="16"/>
  <c r="B47" i="16"/>
  <c r="B48" i="16"/>
  <c r="B49" i="16"/>
  <c r="B50" i="16"/>
  <c r="B51" i="16"/>
  <c r="B52" i="16"/>
  <c r="B53" i="16"/>
  <c r="B54" i="16"/>
  <c r="B55" i="16"/>
  <c r="B56" i="16"/>
  <c r="B57" i="16"/>
  <c r="B58" i="16"/>
  <c r="B59" i="16"/>
  <c r="B60" i="16"/>
  <c r="B61" i="16"/>
  <c r="B62" i="16"/>
  <c r="B63" i="16"/>
  <c r="B64" i="16"/>
  <c r="B65" i="16"/>
  <c r="B66" i="16"/>
  <c r="B67" i="16"/>
  <c r="B68" i="16"/>
  <c r="B69" i="16"/>
  <c r="B70" i="16"/>
  <c r="B71" i="16"/>
  <c r="B72" i="16"/>
  <c r="B73" i="16"/>
  <c r="B74" i="16"/>
  <c r="B75" i="16"/>
  <c r="B76" i="16"/>
  <c r="B77" i="16"/>
  <c r="B78" i="16"/>
  <c r="B79" i="16"/>
  <c r="B80" i="16"/>
  <c r="B81" i="16"/>
  <c r="B82" i="16"/>
  <c r="B83" i="16"/>
  <c r="B84" i="16"/>
  <c r="B85" i="16"/>
  <c r="B86" i="16"/>
  <c r="B87" i="16"/>
  <c r="B88" i="16"/>
  <c r="B89" i="16"/>
  <c r="B90" i="16"/>
  <c r="B91" i="16"/>
  <c r="B92" i="16"/>
  <c r="B93" i="16"/>
  <c r="B94" i="16"/>
  <c r="B95" i="16"/>
  <c r="B96" i="16"/>
  <c r="B97" i="16"/>
  <c r="B98" i="16"/>
  <c r="B99" i="16"/>
  <c r="B100" i="16"/>
  <c r="B101" i="16"/>
  <c r="B102" i="16"/>
  <c r="B103" i="16"/>
  <c r="B104" i="16"/>
  <c r="B105" i="16"/>
  <c r="B106" i="16"/>
  <c r="B107" i="16"/>
  <c r="B108" i="16"/>
  <c r="B109" i="16"/>
  <c r="B110" i="16"/>
  <c r="B111" i="16"/>
  <c r="B112" i="16"/>
  <c r="B113" i="16"/>
  <c r="B114" i="16"/>
  <c r="B115" i="16"/>
  <c r="B116" i="16"/>
  <c r="B117" i="16"/>
  <c r="B118" i="16"/>
  <c r="B119" i="16"/>
  <c r="B120" i="16"/>
  <c r="B121" i="16"/>
  <c r="B122" i="16"/>
  <c r="B123" i="16"/>
  <c r="B124" i="16"/>
  <c r="B125" i="16"/>
  <c r="B126" i="16"/>
  <c r="B127" i="16"/>
  <c r="B128" i="16"/>
  <c r="B129" i="16"/>
  <c r="B130" i="16"/>
  <c r="B131" i="16"/>
  <c r="B132" i="16"/>
  <c r="B133" i="16"/>
  <c r="B134" i="16"/>
  <c r="B135" i="16"/>
  <c r="B136" i="16"/>
  <c r="B137" i="16"/>
  <c r="B138" i="16"/>
  <c r="B139" i="16"/>
  <c r="B140" i="16"/>
  <c r="B141" i="16"/>
  <c r="B142" i="16"/>
  <c r="B143" i="16"/>
  <c r="B144" i="16"/>
  <c r="B145" i="16"/>
  <c r="B146" i="16"/>
  <c r="B147" i="16"/>
  <c r="B148" i="16"/>
  <c r="B149" i="16"/>
  <c r="B150" i="16"/>
  <c r="B151" i="16"/>
  <c r="B152" i="16"/>
  <c r="B153" i="16"/>
  <c r="B154" i="16"/>
  <c r="B155" i="16"/>
  <c r="B156" i="16"/>
  <c r="B157" i="16"/>
  <c r="B158" i="16"/>
  <c r="B159" i="16"/>
  <c r="B160" i="16"/>
  <c r="B161" i="16"/>
  <c r="B162" i="16"/>
  <c r="B163" i="16"/>
  <c r="B164" i="16"/>
  <c r="B165" i="16"/>
  <c r="B166" i="16"/>
  <c r="B167" i="16"/>
  <c r="B168" i="16"/>
  <c r="B169" i="16"/>
  <c r="B170" i="16"/>
  <c r="B171" i="16"/>
  <c r="B172" i="16"/>
  <c r="B173" i="16"/>
  <c r="B174" i="16"/>
  <c r="B175" i="16"/>
  <c r="B176" i="16"/>
  <c r="A3" i="16"/>
  <c r="A4" i="16"/>
  <c r="A5" i="16"/>
  <c r="A6" i="16"/>
  <c r="A7" i="16"/>
  <c r="A8" i="16"/>
  <c r="A9" i="16"/>
  <c r="A10" i="16"/>
  <c r="A11" i="16"/>
  <c r="A12" i="16"/>
  <c r="A13" i="16"/>
  <c r="A14" i="16"/>
  <c r="A15" i="16"/>
  <c r="A16" i="16"/>
  <c r="A17" i="16"/>
  <c r="A18" i="16"/>
  <c r="A19" i="16"/>
  <c r="A20" i="16"/>
  <c r="A21" i="16"/>
  <c r="A22" i="16"/>
  <c r="A23" i="16"/>
  <c r="A24" i="16"/>
  <c r="A25" i="16"/>
  <c r="A26" i="16"/>
  <c r="A27" i="16"/>
  <c r="A28" i="16"/>
  <c r="A29" i="16"/>
  <c r="A30" i="16"/>
  <c r="A31" i="16"/>
  <c r="A32" i="16"/>
  <c r="A33" i="16"/>
  <c r="A34" i="16"/>
  <c r="A35" i="16"/>
  <c r="A36" i="16"/>
  <c r="A37" i="16"/>
  <c r="A38" i="16"/>
  <c r="A39" i="16"/>
  <c r="A40" i="16"/>
  <c r="A41" i="16"/>
  <c r="A42" i="16"/>
  <c r="A43" i="16"/>
  <c r="A44" i="16"/>
  <c r="A45" i="16"/>
  <c r="A46" i="16"/>
  <c r="A47" i="16"/>
  <c r="A48" i="16"/>
  <c r="A49" i="16"/>
  <c r="A50" i="16"/>
  <c r="A51" i="16"/>
  <c r="A52" i="16"/>
  <c r="A53" i="16"/>
  <c r="A54" i="16"/>
  <c r="A55" i="16"/>
  <c r="A56" i="16"/>
  <c r="A57" i="16"/>
  <c r="A58" i="16"/>
  <c r="A59" i="16"/>
  <c r="A60" i="16"/>
  <c r="A61" i="16"/>
  <c r="A62" i="16"/>
  <c r="A63" i="16"/>
  <c r="A64" i="16"/>
  <c r="A65" i="16"/>
  <c r="A66" i="16"/>
  <c r="A67" i="16"/>
  <c r="A68" i="16"/>
  <c r="A69" i="16"/>
  <c r="A70" i="16"/>
  <c r="A71" i="16"/>
  <c r="A72" i="16"/>
  <c r="A73" i="16"/>
  <c r="A74" i="16"/>
  <c r="A75" i="16"/>
  <c r="A76" i="16"/>
  <c r="A77" i="16"/>
  <c r="A78" i="16"/>
  <c r="A79" i="16"/>
  <c r="A80" i="16"/>
  <c r="A81" i="16"/>
  <c r="A82" i="16"/>
  <c r="A83" i="16"/>
  <c r="A84" i="16"/>
  <c r="A85" i="16"/>
  <c r="A86" i="16"/>
  <c r="A87" i="16"/>
  <c r="A88" i="16"/>
  <c r="A89" i="16"/>
  <c r="A90" i="16"/>
  <c r="A91" i="16"/>
  <c r="A92" i="16"/>
  <c r="A93" i="16"/>
  <c r="A94" i="16"/>
  <c r="A95" i="16"/>
  <c r="A96" i="16"/>
  <c r="A97" i="16"/>
  <c r="A98" i="16"/>
  <c r="A99" i="16"/>
  <c r="A100" i="16"/>
  <c r="A101" i="16"/>
  <c r="A102" i="16"/>
  <c r="A103" i="16"/>
  <c r="A104" i="16"/>
  <c r="A105" i="16"/>
  <c r="A106" i="16"/>
  <c r="A107" i="16"/>
  <c r="A108" i="16"/>
  <c r="A109" i="16"/>
  <c r="A110" i="16"/>
  <c r="A111" i="16"/>
  <c r="A112" i="16"/>
  <c r="A113" i="16"/>
  <c r="A114" i="16"/>
  <c r="A115" i="16"/>
  <c r="A116" i="16"/>
  <c r="A117" i="16"/>
  <c r="A118" i="16"/>
  <c r="A119" i="16"/>
  <c r="A120" i="16"/>
  <c r="A121" i="16"/>
  <c r="A122" i="16"/>
  <c r="A123" i="16"/>
  <c r="A124" i="16"/>
  <c r="A125" i="16"/>
  <c r="A126" i="16"/>
  <c r="A127" i="16"/>
  <c r="A128" i="16"/>
  <c r="A129" i="16"/>
  <c r="A130" i="16"/>
  <c r="A131" i="16"/>
  <c r="A132" i="16"/>
  <c r="A133" i="16"/>
  <c r="A134" i="16"/>
  <c r="A135" i="16"/>
  <c r="A136" i="16"/>
  <c r="A137" i="16"/>
  <c r="A138" i="16"/>
  <c r="A139" i="16"/>
  <c r="A140" i="16"/>
  <c r="A141" i="16"/>
  <c r="A142" i="16"/>
  <c r="A143" i="16"/>
  <c r="A144" i="16"/>
  <c r="A145" i="16"/>
  <c r="A146" i="16"/>
  <c r="A147" i="16"/>
  <c r="A148" i="16"/>
  <c r="A149" i="16"/>
  <c r="A150" i="16"/>
  <c r="A151" i="16"/>
  <c r="A152" i="16"/>
  <c r="A153" i="16"/>
  <c r="A154" i="16"/>
  <c r="A155" i="16"/>
  <c r="A156" i="16"/>
  <c r="A157" i="16"/>
  <c r="A158" i="16"/>
  <c r="A159" i="16"/>
  <c r="A160" i="16"/>
  <c r="A161" i="16"/>
  <c r="A162" i="16"/>
  <c r="A163" i="16"/>
  <c r="A164" i="16"/>
  <c r="A165" i="16"/>
  <c r="A166" i="16"/>
  <c r="A167" i="16"/>
  <c r="A168" i="16"/>
  <c r="A169" i="16"/>
  <c r="A170" i="16"/>
  <c r="A171" i="16"/>
  <c r="A172" i="16"/>
  <c r="A173" i="16"/>
  <c r="A174" i="16"/>
  <c r="A175" i="16"/>
  <c r="A176" i="16"/>
  <c r="L17" i="7"/>
  <c r="K17" i="7"/>
  <c r="J17" i="7"/>
  <c r="I17" i="7"/>
  <c r="H17" i="7"/>
  <c r="E17" i="7"/>
  <c r="D17" i="7"/>
  <c r="B17" i="7"/>
  <c r="AD4" i="3"/>
  <c r="AD5" i="3"/>
  <c r="AD6" i="3"/>
  <c r="AD7" i="3"/>
  <c r="AD8" i="3"/>
  <c r="AD9" i="3"/>
  <c r="AD10" i="3"/>
  <c r="AD11" i="3"/>
  <c r="AD12" i="3"/>
  <c r="AD13" i="3"/>
  <c r="AD14" i="3"/>
  <c r="AD15" i="3"/>
  <c r="AD16" i="3"/>
  <c r="AD17" i="3"/>
  <c r="AD18" i="3"/>
  <c r="AD19" i="3"/>
  <c r="AD20" i="3"/>
  <c r="AD21" i="3"/>
  <c r="AD22" i="3"/>
  <c r="AD23" i="3"/>
  <c r="AD24" i="3"/>
  <c r="AD25" i="3"/>
  <c r="AD26" i="3"/>
  <c r="AD27" i="3"/>
  <c r="AD28" i="3"/>
  <c r="AD29" i="3"/>
  <c r="AD30" i="3"/>
  <c r="AD31" i="3"/>
  <c r="AD32" i="3"/>
  <c r="AD33" i="3"/>
  <c r="AD34" i="3"/>
  <c r="AD35" i="3"/>
  <c r="AD36" i="3"/>
  <c r="AD37" i="3"/>
  <c r="AD38" i="3"/>
  <c r="AD39" i="3"/>
  <c r="AD40" i="3"/>
  <c r="AD41" i="3"/>
  <c r="AD42" i="3"/>
  <c r="AD43" i="3"/>
  <c r="AD44" i="3"/>
  <c r="AD45" i="3"/>
  <c r="AD46" i="3"/>
  <c r="AD47" i="3"/>
  <c r="AD48" i="3"/>
  <c r="AD49" i="3"/>
  <c r="AD50" i="3"/>
  <c r="AD51" i="3"/>
  <c r="AD52" i="3"/>
  <c r="AD53" i="3"/>
  <c r="AD54" i="3"/>
  <c r="AD55" i="3"/>
  <c r="AD56" i="3"/>
  <c r="AD57" i="3"/>
  <c r="AD58" i="3"/>
  <c r="AD59" i="3"/>
  <c r="AD60" i="3"/>
  <c r="AD61" i="3"/>
  <c r="AD62" i="3"/>
  <c r="AD63" i="3"/>
  <c r="AD64" i="3"/>
  <c r="AD65" i="3"/>
  <c r="AD66" i="3"/>
  <c r="AD67" i="3"/>
  <c r="AD68" i="3"/>
  <c r="AD69" i="3"/>
  <c r="AD70" i="3"/>
  <c r="AD71" i="3"/>
  <c r="AD72" i="3"/>
  <c r="AD73" i="3"/>
  <c r="AD74" i="3"/>
  <c r="AD75" i="3"/>
  <c r="AD76" i="3"/>
  <c r="AD77" i="3"/>
  <c r="AD78" i="3"/>
  <c r="AD79" i="3"/>
  <c r="AD80" i="3"/>
  <c r="AD81" i="3"/>
  <c r="AD82" i="3"/>
  <c r="AD83" i="3"/>
  <c r="AD84" i="3"/>
  <c r="AD85" i="3"/>
  <c r="AD86" i="3"/>
  <c r="AD87" i="3"/>
  <c r="AD88" i="3"/>
  <c r="AD89" i="3"/>
  <c r="AD90" i="3"/>
  <c r="AD91" i="3"/>
  <c r="AD92" i="3"/>
  <c r="AD93" i="3"/>
  <c r="AD94" i="3"/>
  <c r="AD95" i="3"/>
  <c r="AD96" i="3"/>
  <c r="AD97" i="3"/>
  <c r="AD98" i="3"/>
  <c r="AD99" i="3"/>
  <c r="AD100" i="3"/>
  <c r="AD101" i="3"/>
  <c r="AD102" i="3"/>
  <c r="AD103" i="3"/>
  <c r="AD104" i="3"/>
  <c r="AD105" i="3"/>
  <c r="AD106" i="3"/>
  <c r="AD107" i="3"/>
  <c r="AD108" i="3"/>
  <c r="AD109" i="3"/>
  <c r="AD110" i="3"/>
  <c r="AD111" i="3"/>
  <c r="AD112" i="3"/>
  <c r="AD113" i="3"/>
  <c r="AD114" i="3"/>
  <c r="AD115" i="3"/>
  <c r="AD116" i="3"/>
  <c r="AD117" i="3"/>
  <c r="AD118" i="3"/>
  <c r="AD119" i="3"/>
  <c r="AD120" i="3"/>
  <c r="AD121" i="3"/>
  <c r="AD122" i="3"/>
  <c r="AD123" i="3"/>
  <c r="AD124" i="3"/>
  <c r="AD125" i="3"/>
  <c r="AD126" i="3"/>
  <c r="AD127" i="3"/>
  <c r="AD128" i="3"/>
  <c r="AD129" i="3"/>
  <c r="AD130" i="3"/>
  <c r="AD131" i="3"/>
  <c r="AD132" i="3"/>
  <c r="AD133" i="3"/>
  <c r="AD134" i="3"/>
  <c r="AD135" i="3"/>
  <c r="AD136" i="3"/>
  <c r="AD137" i="3"/>
  <c r="AD138" i="3"/>
  <c r="AD139" i="3"/>
  <c r="AD140" i="3"/>
  <c r="AD141" i="3"/>
  <c r="AD142" i="3"/>
  <c r="AD143" i="3"/>
  <c r="AD144" i="3"/>
  <c r="AD145" i="3"/>
  <c r="AD146" i="3"/>
  <c r="AD147" i="3"/>
  <c r="AD148" i="3"/>
  <c r="AD149" i="3"/>
  <c r="AD150" i="3"/>
  <c r="AD151" i="3"/>
  <c r="AD152" i="3"/>
  <c r="AD153" i="3"/>
  <c r="AD154" i="3"/>
  <c r="AD155" i="3"/>
  <c r="AD156" i="3"/>
  <c r="AD157" i="3"/>
  <c r="AD158" i="3"/>
  <c r="AD159" i="3"/>
  <c r="AD160" i="3"/>
  <c r="AD161" i="3"/>
  <c r="AD162" i="3"/>
  <c r="AD163" i="3"/>
  <c r="AD164" i="3"/>
  <c r="AD165" i="3"/>
  <c r="AD166" i="3"/>
  <c r="AD167" i="3"/>
  <c r="AD168" i="3"/>
  <c r="AD169" i="3"/>
  <c r="AD170" i="3"/>
  <c r="AD171" i="3"/>
  <c r="AD172" i="3"/>
  <c r="AD173" i="3"/>
  <c r="AD174" i="3"/>
  <c r="AD175" i="3"/>
  <c r="AD176" i="3"/>
  <c r="AD177" i="3"/>
  <c r="K3" i="6"/>
  <c r="K4" i="6"/>
  <c r="K5" i="6"/>
  <c r="K6" i="6"/>
  <c r="K7" i="6"/>
  <c r="K8" i="6"/>
  <c r="K9" i="6"/>
  <c r="K10" i="6"/>
  <c r="K11" i="6"/>
  <c r="K12" i="6"/>
  <c r="K13" i="6"/>
  <c r="K14" i="6"/>
  <c r="K15" i="6"/>
  <c r="K16" i="6"/>
  <c r="K17" i="6"/>
  <c r="K18" i="6"/>
  <c r="K19" i="6"/>
  <c r="K20" i="6"/>
  <c r="K21" i="6"/>
  <c r="K22" i="6"/>
  <c r="K23" i="6"/>
  <c r="K24" i="6"/>
  <c r="K25" i="6"/>
  <c r="K26" i="6"/>
  <c r="K27" i="6"/>
  <c r="K28" i="6"/>
  <c r="K29" i="6"/>
  <c r="K30" i="6"/>
  <c r="K31" i="6"/>
  <c r="K32" i="6"/>
  <c r="K33" i="6"/>
  <c r="K34" i="6"/>
  <c r="K35" i="6"/>
  <c r="K36" i="6"/>
  <c r="K37" i="6"/>
  <c r="K38" i="6"/>
  <c r="K39" i="6"/>
  <c r="K40" i="6"/>
  <c r="K41" i="6"/>
  <c r="K42" i="6"/>
  <c r="K43" i="6"/>
  <c r="K44" i="6"/>
  <c r="K45" i="6"/>
  <c r="K46" i="6"/>
  <c r="K47" i="6"/>
  <c r="K48" i="6"/>
  <c r="K49" i="6"/>
  <c r="K50" i="6"/>
  <c r="K51" i="6"/>
  <c r="K52" i="6"/>
  <c r="K53" i="6"/>
  <c r="K54" i="6"/>
  <c r="K55" i="6"/>
  <c r="K56" i="6"/>
  <c r="K57" i="6"/>
  <c r="K58" i="6"/>
  <c r="K59" i="6"/>
  <c r="K60" i="6"/>
  <c r="K61" i="6"/>
  <c r="K62" i="6"/>
  <c r="K63" i="6"/>
  <c r="K64" i="6"/>
  <c r="K65" i="6"/>
  <c r="K66" i="6"/>
  <c r="K67" i="6"/>
  <c r="K68" i="6"/>
  <c r="K69" i="6"/>
  <c r="K70" i="6"/>
  <c r="K71" i="6"/>
  <c r="K72" i="6"/>
  <c r="K73" i="6"/>
  <c r="K74" i="6"/>
  <c r="K75" i="6"/>
  <c r="K76" i="6"/>
  <c r="K77" i="6"/>
  <c r="K78" i="6"/>
  <c r="K79" i="6"/>
  <c r="K80" i="6"/>
  <c r="K81" i="6"/>
  <c r="K82" i="6"/>
  <c r="K83" i="6"/>
  <c r="K84" i="6"/>
  <c r="K85" i="6"/>
  <c r="K86" i="6"/>
  <c r="K87" i="6"/>
  <c r="K88" i="6"/>
  <c r="K89" i="6"/>
  <c r="K90" i="6"/>
  <c r="K91" i="6"/>
  <c r="K92" i="6"/>
  <c r="K93" i="6"/>
  <c r="K94" i="6"/>
  <c r="K95" i="6"/>
  <c r="K96" i="6"/>
  <c r="K97" i="6"/>
  <c r="K98" i="6"/>
  <c r="K99" i="6"/>
  <c r="K100" i="6"/>
  <c r="K101" i="6"/>
  <c r="K102" i="6"/>
  <c r="K103" i="6"/>
  <c r="K104" i="6"/>
  <c r="K105" i="6"/>
  <c r="K106" i="6"/>
  <c r="K107" i="6"/>
  <c r="K108" i="6"/>
  <c r="K109" i="6"/>
  <c r="K110" i="6"/>
  <c r="K111" i="6"/>
  <c r="K112" i="6"/>
  <c r="K113" i="6"/>
  <c r="K114" i="6"/>
  <c r="K115" i="6"/>
  <c r="K116" i="6"/>
  <c r="K117" i="6"/>
  <c r="K118" i="6"/>
  <c r="K119" i="6"/>
  <c r="K120" i="6"/>
  <c r="K121" i="6"/>
  <c r="K122" i="6"/>
  <c r="K123" i="6"/>
  <c r="K124" i="6"/>
  <c r="K125" i="6"/>
  <c r="K126" i="6"/>
  <c r="K127" i="6"/>
  <c r="K128" i="6"/>
  <c r="K129" i="6"/>
  <c r="K130" i="6"/>
  <c r="K131" i="6"/>
  <c r="K132" i="6"/>
  <c r="K133" i="6"/>
  <c r="K134" i="6"/>
  <c r="K135" i="6"/>
  <c r="K136" i="6"/>
  <c r="K137" i="6"/>
  <c r="K138" i="6"/>
  <c r="K139" i="6"/>
  <c r="K140" i="6"/>
  <c r="K141" i="6"/>
  <c r="K142" i="6"/>
  <c r="K143" i="6"/>
  <c r="K144" i="6"/>
  <c r="K145" i="6"/>
  <c r="K146" i="6"/>
  <c r="K147" i="6"/>
  <c r="K148" i="6"/>
  <c r="K149" i="6"/>
  <c r="K150" i="6"/>
  <c r="K151" i="6"/>
  <c r="K152" i="6"/>
  <c r="K153" i="6"/>
  <c r="K154" i="6"/>
  <c r="K155" i="6"/>
  <c r="K156" i="6"/>
  <c r="K157" i="6"/>
  <c r="K158" i="6"/>
  <c r="K159" i="6"/>
  <c r="K160" i="6"/>
  <c r="K161" i="6"/>
  <c r="K162" i="6"/>
  <c r="K163" i="6"/>
  <c r="K164" i="6"/>
  <c r="K165" i="6"/>
  <c r="K166" i="6"/>
  <c r="K167" i="6"/>
  <c r="K168" i="6"/>
  <c r="K169" i="6"/>
  <c r="K170" i="6"/>
  <c r="K171" i="6"/>
  <c r="K172" i="6"/>
  <c r="K173" i="6"/>
  <c r="K174" i="6"/>
  <c r="K175" i="6"/>
  <c r="K176" i="6"/>
  <c r="B32" i="7"/>
  <c r="B31" i="7"/>
  <c r="B30" i="7"/>
  <c r="K187" i="6"/>
  <c r="K186" i="6"/>
  <c r="K185" i="6"/>
  <c r="K184" i="6"/>
  <c r="K183" i="6"/>
  <c r="K182" i="6"/>
  <c r="K181" i="6"/>
  <c r="K180" i="6"/>
  <c r="B180" i="6"/>
  <c r="K179" i="6"/>
  <c r="K178" i="6"/>
  <c r="K177" i="6"/>
  <c r="P176" i="6"/>
  <c r="P175" i="6"/>
  <c r="P174" i="6"/>
  <c r="P173" i="6"/>
  <c r="P172" i="6"/>
  <c r="P171" i="6"/>
  <c r="P170" i="6"/>
  <c r="P169" i="6"/>
  <c r="P168" i="6"/>
  <c r="P167" i="6"/>
  <c r="P166" i="6"/>
  <c r="P165" i="6"/>
  <c r="L165" i="6"/>
  <c r="G165" i="6"/>
  <c r="P164" i="6"/>
  <c r="L164" i="6"/>
  <c r="G164" i="6"/>
  <c r="P163" i="6"/>
  <c r="L163" i="6"/>
  <c r="G163" i="6"/>
  <c r="P162" i="6"/>
  <c r="L162" i="6"/>
  <c r="G162" i="6"/>
  <c r="P161" i="6"/>
  <c r="L161" i="6"/>
  <c r="G161" i="6"/>
  <c r="P160" i="6"/>
  <c r="P159" i="6"/>
  <c r="P158" i="6"/>
  <c r="P157" i="6"/>
  <c r="P156" i="6"/>
  <c r="P155" i="6"/>
  <c r="P154" i="6"/>
  <c r="P153" i="6"/>
  <c r="P152" i="6"/>
  <c r="P151" i="6"/>
  <c r="P150" i="6"/>
  <c r="P149" i="6"/>
  <c r="P148" i="6"/>
  <c r="P147" i="6"/>
  <c r="P146" i="6"/>
  <c r="P145" i="6"/>
  <c r="P144" i="6"/>
  <c r="P143" i="6"/>
  <c r="P142" i="6"/>
  <c r="P141" i="6"/>
  <c r="P140" i="6"/>
  <c r="P139" i="6"/>
  <c r="P138" i="6"/>
  <c r="P137" i="6"/>
  <c r="P136" i="6"/>
  <c r="P135" i="6"/>
  <c r="P134" i="6"/>
  <c r="P133" i="6"/>
  <c r="P132" i="6"/>
  <c r="P131" i="6"/>
  <c r="P130" i="6"/>
  <c r="P129" i="6"/>
  <c r="P128" i="6"/>
  <c r="P127" i="6"/>
  <c r="P126" i="6"/>
  <c r="P125" i="6"/>
  <c r="P124" i="6"/>
  <c r="P123" i="6"/>
  <c r="P122" i="6"/>
  <c r="P121" i="6"/>
  <c r="P120" i="6"/>
  <c r="P119" i="6"/>
  <c r="P118" i="6"/>
  <c r="P117" i="6"/>
  <c r="P116" i="6"/>
  <c r="P115" i="6"/>
  <c r="P114" i="6"/>
  <c r="P113" i="6"/>
  <c r="P112" i="6"/>
  <c r="P111" i="6"/>
  <c r="P110" i="6"/>
  <c r="P109" i="6"/>
  <c r="P108" i="6"/>
  <c r="P107" i="6"/>
  <c r="P106" i="6"/>
  <c r="P105" i="6"/>
  <c r="P104" i="6"/>
  <c r="P103" i="6"/>
  <c r="P102" i="6"/>
  <c r="P101" i="6"/>
  <c r="P100" i="6"/>
  <c r="P99" i="6"/>
  <c r="P98" i="6"/>
  <c r="P97" i="6"/>
  <c r="P96" i="6"/>
  <c r="P95" i="6"/>
  <c r="P94" i="6"/>
  <c r="P93" i="6"/>
  <c r="P92" i="6"/>
  <c r="P91" i="6"/>
  <c r="P90" i="6"/>
  <c r="P89" i="6"/>
  <c r="P88" i="6"/>
  <c r="P87" i="6"/>
  <c r="P86" i="6"/>
  <c r="P85" i="6"/>
  <c r="P84" i="6"/>
  <c r="P83" i="6"/>
  <c r="P82" i="6"/>
  <c r="P81" i="6"/>
  <c r="P80" i="6"/>
  <c r="P79" i="6"/>
  <c r="P78" i="6"/>
  <c r="P77" i="6"/>
  <c r="P76" i="6"/>
  <c r="P75" i="6"/>
  <c r="P74" i="6"/>
  <c r="P73" i="6"/>
  <c r="P72" i="6"/>
  <c r="P71" i="6"/>
  <c r="P70" i="6"/>
  <c r="P69" i="6"/>
  <c r="P68" i="6"/>
  <c r="P67" i="6"/>
  <c r="P66" i="6"/>
  <c r="P65" i="6"/>
  <c r="P64" i="6"/>
  <c r="P63" i="6"/>
  <c r="P62" i="6"/>
  <c r="P61" i="6"/>
  <c r="P60" i="6"/>
  <c r="P59" i="6"/>
  <c r="P58" i="6"/>
  <c r="P57" i="6"/>
  <c r="P56" i="6"/>
  <c r="P55" i="6"/>
  <c r="P54" i="6"/>
  <c r="P53" i="6"/>
  <c r="P52" i="6"/>
  <c r="P51" i="6"/>
  <c r="P50" i="6"/>
  <c r="P49" i="6"/>
  <c r="P48" i="6"/>
  <c r="P47" i="6"/>
  <c r="P46" i="6"/>
  <c r="P45" i="6"/>
  <c r="P44" i="6"/>
  <c r="P43" i="6"/>
  <c r="P42" i="6"/>
  <c r="P41" i="6"/>
  <c r="P40" i="6"/>
  <c r="P39" i="6"/>
  <c r="P38" i="6"/>
  <c r="P37" i="6"/>
  <c r="P36" i="6"/>
  <c r="P35" i="6"/>
  <c r="P34" i="6"/>
  <c r="P33" i="6"/>
  <c r="P32" i="6"/>
  <c r="P31" i="6"/>
  <c r="P30" i="6"/>
  <c r="P29" i="6"/>
  <c r="P28" i="6"/>
  <c r="P27" i="6"/>
  <c r="P26" i="6"/>
  <c r="P25" i="6"/>
  <c r="P24" i="6"/>
  <c r="P23" i="6"/>
  <c r="P22" i="6"/>
  <c r="P21" i="6"/>
  <c r="P20" i="6"/>
  <c r="P19" i="6"/>
  <c r="P18" i="6"/>
  <c r="P17" i="6"/>
  <c r="P16" i="6"/>
  <c r="P15" i="6"/>
  <c r="P14" i="6"/>
  <c r="P13" i="6"/>
  <c r="P12" i="6"/>
  <c r="P11" i="6"/>
  <c r="P10" i="6"/>
  <c r="P9" i="6"/>
  <c r="P8" i="6"/>
  <c r="P7" i="6"/>
  <c r="P6" i="6"/>
  <c r="P5" i="6"/>
  <c r="P4" i="6"/>
  <c r="P3" i="6"/>
  <c r="D20" i="4"/>
  <c r="Y177" i="3"/>
  <c r="W177" i="3"/>
  <c r="Y176" i="3"/>
  <c r="W176" i="3"/>
  <c r="Y175" i="3"/>
  <c r="W175" i="3"/>
  <c r="Y174" i="3"/>
  <c r="W174" i="3"/>
  <c r="Y173" i="3"/>
  <c r="W173" i="3"/>
  <c r="Y172" i="3"/>
  <c r="W172" i="3"/>
  <c r="Y171" i="3"/>
  <c r="W171" i="3"/>
  <c r="Y170" i="3"/>
  <c r="W170" i="3"/>
  <c r="Y169" i="3"/>
  <c r="W169" i="3"/>
  <c r="Y168" i="3"/>
  <c r="W168" i="3"/>
  <c r="Y167" i="3"/>
  <c r="W167" i="3"/>
  <c r="Y166" i="3"/>
  <c r="W166" i="3"/>
  <c r="Y165" i="3"/>
  <c r="W165" i="3"/>
  <c r="Y164" i="3"/>
  <c r="W164" i="3"/>
  <c r="Y163" i="3"/>
  <c r="W163" i="3"/>
  <c r="Y162" i="3"/>
  <c r="W162" i="3"/>
  <c r="Y161" i="3"/>
  <c r="W161" i="3"/>
  <c r="Y160" i="3"/>
  <c r="W160" i="3"/>
  <c r="Y159" i="3"/>
  <c r="W159" i="3"/>
  <c r="Y158" i="3"/>
  <c r="W158" i="3"/>
  <c r="Y157" i="3"/>
  <c r="W157" i="3"/>
  <c r="Y156" i="3"/>
  <c r="W156" i="3"/>
  <c r="Y155" i="3"/>
  <c r="W155" i="3"/>
  <c r="Y154" i="3"/>
  <c r="W154" i="3"/>
  <c r="Y153" i="3"/>
  <c r="W153" i="3"/>
  <c r="Y152" i="3"/>
  <c r="W152" i="3"/>
  <c r="Y151" i="3"/>
  <c r="W151" i="3"/>
  <c r="Y150" i="3"/>
  <c r="W150" i="3"/>
  <c r="Y149" i="3"/>
  <c r="W149" i="3"/>
  <c r="Y148" i="3"/>
  <c r="W148" i="3"/>
  <c r="Y147" i="3"/>
  <c r="W147" i="3"/>
  <c r="Y146" i="3"/>
  <c r="W146" i="3"/>
  <c r="Y145" i="3"/>
  <c r="W145" i="3"/>
  <c r="Y144" i="3"/>
  <c r="W144" i="3"/>
  <c r="Y143" i="3"/>
  <c r="W143" i="3"/>
  <c r="Y142" i="3"/>
  <c r="W142" i="3"/>
  <c r="Y141" i="3"/>
  <c r="W141" i="3"/>
  <c r="Y140" i="3"/>
  <c r="W140" i="3"/>
  <c r="Y139" i="3"/>
  <c r="W139" i="3"/>
  <c r="Y138" i="3"/>
  <c r="W138" i="3"/>
  <c r="Y137" i="3"/>
  <c r="W137" i="3"/>
  <c r="Y136" i="3"/>
  <c r="W136" i="3"/>
  <c r="Y135" i="3"/>
  <c r="W135" i="3"/>
  <c r="Y134" i="3"/>
  <c r="W134" i="3"/>
  <c r="Y133" i="3"/>
  <c r="W133" i="3"/>
  <c r="Y132" i="3"/>
  <c r="W132" i="3"/>
  <c r="Y131" i="3"/>
  <c r="W131" i="3"/>
  <c r="Y130" i="3"/>
  <c r="W130" i="3"/>
  <c r="Y129" i="3"/>
  <c r="W129" i="3"/>
  <c r="Y128" i="3"/>
  <c r="W128" i="3"/>
  <c r="Y127" i="3"/>
  <c r="W127" i="3"/>
  <c r="Y126" i="3"/>
  <c r="W126" i="3"/>
  <c r="Y125" i="3"/>
  <c r="W125" i="3"/>
  <c r="Y124" i="3"/>
  <c r="W124" i="3"/>
  <c r="Y123" i="3"/>
  <c r="W123" i="3"/>
  <c r="Y122" i="3"/>
  <c r="W122" i="3"/>
  <c r="Y121" i="3"/>
  <c r="W121" i="3"/>
  <c r="Y120" i="3"/>
  <c r="W120" i="3"/>
  <c r="Y119" i="3"/>
  <c r="W119" i="3"/>
  <c r="Y118" i="3"/>
  <c r="W118" i="3"/>
  <c r="Y117" i="3"/>
  <c r="W117" i="3"/>
  <c r="Y116" i="3"/>
  <c r="W116" i="3"/>
  <c r="Y115" i="3"/>
  <c r="W115" i="3"/>
  <c r="Y114" i="3"/>
  <c r="W114" i="3"/>
  <c r="Y113" i="3"/>
  <c r="W113" i="3"/>
  <c r="Y112" i="3"/>
  <c r="W112" i="3"/>
  <c r="Y111" i="3"/>
  <c r="W111" i="3"/>
  <c r="Y110" i="3"/>
  <c r="W110" i="3"/>
  <c r="Y109" i="3"/>
  <c r="W109" i="3"/>
  <c r="Y108" i="3"/>
  <c r="W108" i="3"/>
  <c r="Y107" i="3"/>
  <c r="W107" i="3"/>
  <c r="Y106" i="3"/>
  <c r="W106" i="3"/>
  <c r="Y105" i="3"/>
  <c r="W105" i="3"/>
  <c r="Y104" i="3"/>
  <c r="W104" i="3"/>
  <c r="Y103" i="3"/>
  <c r="W103" i="3"/>
  <c r="Y102" i="3"/>
  <c r="W102" i="3"/>
  <c r="Y101" i="3"/>
  <c r="W101" i="3"/>
  <c r="Y100" i="3"/>
  <c r="W100" i="3"/>
  <c r="Y99" i="3"/>
  <c r="W99" i="3"/>
  <c r="Y98" i="3"/>
  <c r="W98" i="3"/>
  <c r="Y97" i="3"/>
  <c r="W97" i="3"/>
  <c r="Y96" i="3"/>
  <c r="W96" i="3"/>
  <c r="Y95" i="3"/>
  <c r="W95" i="3"/>
  <c r="Y94" i="3"/>
  <c r="W94" i="3"/>
  <c r="Y93" i="3"/>
  <c r="W93" i="3"/>
  <c r="Y92" i="3"/>
  <c r="W92" i="3"/>
  <c r="Y91" i="3"/>
  <c r="W91" i="3"/>
  <c r="Y90" i="3"/>
  <c r="W90" i="3"/>
  <c r="Y89" i="3"/>
  <c r="W89" i="3"/>
  <c r="Y88" i="3"/>
  <c r="W88" i="3"/>
  <c r="Y87" i="3"/>
  <c r="W87" i="3"/>
  <c r="Y86" i="3"/>
  <c r="W86" i="3"/>
  <c r="Y85" i="3"/>
  <c r="W85" i="3"/>
  <c r="Y84" i="3"/>
  <c r="W84" i="3"/>
  <c r="Y83" i="3"/>
  <c r="W83" i="3"/>
  <c r="Y82" i="3"/>
  <c r="W82" i="3"/>
  <c r="Y81" i="3"/>
  <c r="W81" i="3"/>
  <c r="Y80" i="3"/>
  <c r="W80" i="3"/>
  <c r="Y79" i="3"/>
  <c r="W79" i="3"/>
  <c r="Y78" i="3"/>
  <c r="W78" i="3"/>
  <c r="Y77" i="3"/>
  <c r="W77" i="3"/>
  <c r="Y76" i="3"/>
  <c r="W76" i="3"/>
  <c r="Y75" i="3"/>
  <c r="W75" i="3"/>
  <c r="Y74" i="3"/>
  <c r="W74" i="3"/>
  <c r="Y73" i="3"/>
  <c r="W73" i="3"/>
  <c r="Y72" i="3"/>
  <c r="W72" i="3"/>
  <c r="Y71" i="3"/>
  <c r="W71" i="3"/>
  <c r="Y70" i="3"/>
  <c r="W70" i="3"/>
  <c r="Y69" i="3"/>
  <c r="W69" i="3"/>
  <c r="Y68" i="3"/>
  <c r="W68" i="3"/>
  <c r="Y67" i="3"/>
  <c r="W67" i="3"/>
  <c r="Y66" i="3"/>
  <c r="W66" i="3"/>
  <c r="Y65" i="3"/>
  <c r="W65" i="3"/>
  <c r="Y64" i="3"/>
  <c r="W64" i="3"/>
  <c r="Y63" i="3"/>
  <c r="W63" i="3"/>
  <c r="Y62" i="3"/>
  <c r="W62" i="3"/>
  <c r="Y61" i="3"/>
  <c r="W61" i="3"/>
  <c r="Y60" i="3"/>
  <c r="W60" i="3"/>
  <c r="Y59" i="3"/>
  <c r="W59" i="3"/>
  <c r="Y58" i="3"/>
  <c r="W58" i="3"/>
  <c r="Y57" i="3"/>
  <c r="W57" i="3"/>
  <c r="Y56" i="3"/>
  <c r="W56" i="3"/>
  <c r="Y55" i="3"/>
  <c r="W55" i="3"/>
  <c r="Y54" i="3"/>
  <c r="W54" i="3"/>
  <c r="Y53" i="3"/>
  <c r="W53" i="3"/>
  <c r="Y52" i="3"/>
  <c r="W52" i="3"/>
  <c r="Y51" i="3"/>
  <c r="W51" i="3"/>
  <c r="Y50" i="3"/>
  <c r="W50" i="3"/>
  <c r="Y49" i="3"/>
  <c r="W49" i="3"/>
  <c r="Y48" i="3"/>
  <c r="W48" i="3"/>
  <c r="Y47" i="3"/>
  <c r="W47" i="3"/>
  <c r="Y46" i="3"/>
  <c r="W46" i="3"/>
  <c r="Y45" i="3"/>
  <c r="W45" i="3"/>
  <c r="Y44" i="3"/>
  <c r="W44" i="3"/>
  <c r="Y43" i="3"/>
  <c r="W43" i="3"/>
  <c r="Y42" i="3"/>
  <c r="W42" i="3"/>
  <c r="Y41" i="3"/>
  <c r="W41" i="3"/>
  <c r="Y40" i="3"/>
  <c r="W40" i="3"/>
  <c r="Y39" i="3"/>
  <c r="W39" i="3"/>
  <c r="Y38" i="3"/>
  <c r="W38" i="3"/>
  <c r="Y37" i="3"/>
  <c r="W37" i="3"/>
  <c r="Y36" i="3"/>
  <c r="W36" i="3"/>
  <c r="Y35" i="3"/>
  <c r="W35" i="3"/>
  <c r="Y34" i="3"/>
  <c r="W34" i="3"/>
  <c r="Y33" i="3"/>
  <c r="W33" i="3"/>
  <c r="Y32" i="3"/>
  <c r="W32" i="3"/>
  <c r="Y31" i="3"/>
  <c r="W31" i="3"/>
  <c r="Y30" i="3"/>
  <c r="W30" i="3"/>
  <c r="Y29" i="3"/>
  <c r="W29" i="3"/>
  <c r="Y28" i="3"/>
  <c r="W28" i="3"/>
  <c r="Y27" i="3"/>
  <c r="W27" i="3"/>
  <c r="Y26" i="3"/>
  <c r="W26" i="3"/>
  <c r="Y25" i="3"/>
  <c r="W25" i="3"/>
  <c r="Y24" i="3"/>
  <c r="W24" i="3"/>
  <c r="Y23" i="3"/>
  <c r="W23" i="3"/>
  <c r="Y22" i="3"/>
  <c r="W22" i="3"/>
  <c r="Y21" i="3"/>
  <c r="W21" i="3"/>
  <c r="Y20" i="3"/>
  <c r="W20" i="3"/>
  <c r="Y19" i="3"/>
  <c r="W19" i="3"/>
  <c r="Y18" i="3"/>
  <c r="W18" i="3"/>
  <c r="Y17" i="3"/>
  <c r="W17" i="3"/>
  <c r="Y16" i="3"/>
  <c r="W16" i="3"/>
  <c r="Y15" i="3"/>
  <c r="W15" i="3"/>
  <c r="Y14" i="3"/>
  <c r="W14" i="3"/>
  <c r="Y13" i="3"/>
  <c r="W13" i="3"/>
  <c r="Y12" i="3"/>
  <c r="W12" i="3"/>
  <c r="Y11" i="3"/>
  <c r="W11" i="3"/>
  <c r="Y10" i="3"/>
  <c r="W10" i="3"/>
  <c r="Y9" i="3"/>
  <c r="W9" i="3"/>
  <c r="Y8" i="3"/>
  <c r="W8" i="3"/>
  <c r="Y7" i="3"/>
  <c r="W7" i="3"/>
  <c r="Y6" i="3"/>
  <c r="W6" i="3"/>
  <c r="Y5" i="3"/>
  <c r="W5" i="3"/>
  <c r="Y4" i="3"/>
  <c r="W4" i="3"/>
  <c r="AO176" i="5"/>
  <c r="AJ177" i="3" s="1"/>
  <c r="AO175" i="5"/>
  <c r="AJ176" i="3" s="1"/>
  <c r="AO174" i="5"/>
  <c r="AJ175" i="3" s="1"/>
  <c r="AO173" i="5"/>
  <c r="AJ174" i="3" s="1"/>
  <c r="AO172" i="5"/>
  <c r="AJ173" i="3" s="1"/>
  <c r="AO171" i="5"/>
  <c r="AJ172" i="3" s="1"/>
  <c r="AO170" i="5"/>
  <c r="AJ171" i="3" s="1"/>
  <c r="AO169" i="5"/>
  <c r="AJ170" i="3" s="1"/>
  <c r="AO168" i="5"/>
  <c r="AJ169" i="3" s="1"/>
  <c r="AO167" i="5"/>
  <c r="AJ168" i="3" s="1"/>
  <c r="AO166" i="5"/>
  <c r="AJ167" i="3" s="1"/>
  <c r="AO165" i="5"/>
  <c r="AJ166" i="3" s="1"/>
  <c r="AO164" i="5"/>
  <c r="AJ165" i="3" s="1"/>
  <c r="AO163" i="5"/>
  <c r="AJ164" i="3" s="1"/>
  <c r="AO162" i="5"/>
  <c r="AJ163" i="3" s="1"/>
  <c r="AO161" i="5"/>
  <c r="AJ162" i="3" s="1"/>
  <c r="AO160" i="5"/>
  <c r="AJ161" i="3" s="1"/>
  <c r="AO159" i="5"/>
  <c r="AJ160" i="3" s="1"/>
  <c r="AO158" i="5"/>
  <c r="AJ159" i="3" s="1"/>
  <c r="AO157" i="5"/>
  <c r="AJ158" i="3" s="1"/>
  <c r="AO156" i="5"/>
  <c r="AJ157" i="3" s="1"/>
  <c r="AO155" i="5"/>
  <c r="AJ156" i="3" s="1"/>
  <c r="AO154" i="5"/>
  <c r="AJ155" i="3" s="1"/>
  <c r="AO153" i="5"/>
  <c r="AJ154" i="3" s="1"/>
  <c r="AO152" i="5"/>
  <c r="AJ153" i="3" s="1"/>
  <c r="AO151" i="5"/>
  <c r="AJ152" i="3" s="1"/>
  <c r="AO150" i="5"/>
  <c r="AJ151" i="3" s="1"/>
  <c r="AO149" i="5"/>
  <c r="AJ150" i="3" s="1"/>
  <c r="AO148" i="5"/>
  <c r="AJ149" i="3" s="1"/>
  <c r="AO147" i="5"/>
  <c r="AJ148" i="3" s="1"/>
  <c r="AO146" i="5"/>
  <c r="AJ147" i="3" s="1"/>
  <c r="AO145" i="5"/>
  <c r="AJ146" i="3" s="1"/>
  <c r="AO144" i="5"/>
  <c r="AJ145" i="3" s="1"/>
  <c r="AO143" i="5"/>
  <c r="AJ144" i="3" s="1"/>
  <c r="AO142" i="5"/>
  <c r="AJ143" i="3" s="1"/>
  <c r="AO141" i="5"/>
  <c r="AJ142" i="3" s="1"/>
  <c r="AO140" i="5"/>
  <c r="AJ141" i="3" s="1"/>
  <c r="AO139" i="5"/>
  <c r="AJ140" i="3" s="1"/>
  <c r="AO138" i="5"/>
  <c r="AJ139" i="3" s="1"/>
  <c r="AO137" i="5"/>
  <c r="AJ138" i="3" s="1"/>
  <c r="AO136" i="5"/>
  <c r="AJ137" i="3" s="1"/>
  <c r="AO135" i="5"/>
  <c r="AJ136" i="3" s="1"/>
  <c r="AO134" i="5"/>
  <c r="AJ135" i="3" s="1"/>
  <c r="AO133" i="5"/>
  <c r="AJ134" i="3" s="1"/>
  <c r="AO132" i="5"/>
  <c r="AJ133" i="3" s="1"/>
  <c r="AO131" i="5"/>
  <c r="AJ132" i="3" s="1"/>
  <c r="AO130" i="5"/>
  <c r="AJ131" i="3" s="1"/>
  <c r="AO129" i="5"/>
  <c r="AJ130" i="3" s="1"/>
  <c r="AO128" i="5"/>
  <c r="AJ129" i="3" s="1"/>
  <c r="AO127" i="5"/>
  <c r="AJ128" i="3" s="1"/>
  <c r="AO126" i="5"/>
  <c r="AJ127" i="3" s="1"/>
  <c r="AO125" i="5"/>
  <c r="AJ126" i="3" s="1"/>
  <c r="AO124" i="5"/>
  <c r="AJ125" i="3" s="1"/>
  <c r="AO123" i="5"/>
  <c r="AJ124" i="3" s="1"/>
  <c r="AO122" i="5"/>
  <c r="AJ123" i="3" s="1"/>
  <c r="AO121" i="5"/>
  <c r="AJ122" i="3" s="1"/>
  <c r="AO120" i="5"/>
  <c r="AJ121" i="3" s="1"/>
  <c r="AO119" i="5"/>
  <c r="AJ120" i="3" s="1"/>
  <c r="AO118" i="5"/>
  <c r="AJ119" i="3" s="1"/>
  <c r="AO117" i="5"/>
  <c r="AJ118" i="3" s="1"/>
  <c r="AO116" i="5"/>
  <c r="AJ117" i="3" s="1"/>
  <c r="AO115" i="5"/>
  <c r="AJ116" i="3" s="1"/>
  <c r="AO114" i="5"/>
  <c r="AJ115" i="3" s="1"/>
  <c r="AO113" i="5"/>
  <c r="AJ114" i="3" s="1"/>
  <c r="AO112" i="5"/>
  <c r="AJ113" i="3" s="1"/>
  <c r="AO111" i="5"/>
  <c r="AJ112" i="3" s="1"/>
  <c r="AO110" i="5"/>
  <c r="AJ111" i="3" s="1"/>
  <c r="AO109" i="5"/>
  <c r="AJ110" i="3" s="1"/>
  <c r="AO108" i="5"/>
  <c r="AJ109" i="3" s="1"/>
  <c r="AO107" i="5"/>
  <c r="AJ108" i="3" s="1"/>
  <c r="AO106" i="5"/>
  <c r="AJ107" i="3" s="1"/>
  <c r="AO105" i="5"/>
  <c r="AJ106" i="3" s="1"/>
  <c r="AO104" i="5"/>
  <c r="AJ105" i="3" s="1"/>
  <c r="AO103" i="5"/>
  <c r="AJ104" i="3" s="1"/>
  <c r="AO102" i="5"/>
  <c r="AJ103" i="3" s="1"/>
  <c r="AO101" i="5"/>
  <c r="AJ102" i="3" s="1"/>
  <c r="AO100" i="5"/>
  <c r="AJ101" i="3" s="1"/>
  <c r="AO99" i="5"/>
  <c r="AJ100" i="3" s="1"/>
  <c r="AO98" i="5"/>
  <c r="AJ99" i="3" s="1"/>
  <c r="AO97" i="5"/>
  <c r="AJ98" i="3" s="1"/>
  <c r="AO96" i="5"/>
  <c r="AJ97" i="3" s="1"/>
  <c r="AO95" i="5"/>
  <c r="AJ96" i="3" s="1"/>
  <c r="AO94" i="5"/>
  <c r="AJ95" i="3" s="1"/>
  <c r="AO93" i="5"/>
  <c r="AJ94" i="3" s="1"/>
  <c r="AO92" i="5"/>
  <c r="AJ93" i="3" s="1"/>
  <c r="AO91" i="5"/>
  <c r="AJ92" i="3" s="1"/>
  <c r="AO90" i="5"/>
  <c r="AJ91" i="3" s="1"/>
  <c r="AO89" i="5"/>
  <c r="AJ90" i="3" s="1"/>
  <c r="AO88" i="5"/>
  <c r="AJ89" i="3" s="1"/>
  <c r="AO87" i="5"/>
  <c r="AJ88" i="3" s="1"/>
  <c r="AO86" i="5"/>
  <c r="AJ87" i="3" s="1"/>
  <c r="AO85" i="5"/>
  <c r="AJ86" i="3" s="1"/>
  <c r="AO84" i="5"/>
  <c r="AJ85" i="3" s="1"/>
  <c r="AO83" i="5"/>
  <c r="AJ84" i="3" s="1"/>
  <c r="AO82" i="5"/>
  <c r="AJ83" i="3" s="1"/>
  <c r="AO81" i="5"/>
  <c r="AJ82" i="3" s="1"/>
  <c r="AO80" i="5"/>
  <c r="AJ81" i="3" s="1"/>
  <c r="AO79" i="5"/>
  <c r="AJ80" i="3" s="1"/>
  <c r="AO78" i="5"/>
  <c r="AJ79" i="3" s="1"/>
  <c r="AO77" i="5"/>
  <c r="AJ78" i="3" s="1"/>
  <c r="AO76" i="5"/>
  <c r="AJ77" i="3" s="1"/>
  <c r="AO75" i="5"/>
  <c r="AJ76" i="3" s="1"/>
  <c r="AO74" i="5"/>
  <c r="AJ75" i="3" s="1"/>
  <c r="AO73" i="5"/>
  <c r="AJ74" i="3" s="1"/>
  <c r="AO72" i="5"/>
  <c r="AJ73" i="3" s="1"/>
  <c r="AO71" i="5"/>
  <c r="AJ72" i="3" s="1"/>
  <c r="AO70" i="5"/>
  <c r="AJ71" i="3" s="1"/>
  <c r="AO69" i="5"/>
  <c r="AJ70" i="3" s="1"/>
  <c r="AO68" i="5"/>
  <c r="AJ69" i="3" s="1"/>
  <c r="AO67" i="5"/>
  <c r="AJ68" i="3" s="1"/>
  <c r="AO66" i="5"/>
  <c r="AJ67" i="3" s="1"/>
  <c r="AO65" i="5"/>
  <c r="AJ66" i="3" s="1"/>
  <c r="AO64" i="5"/>
  <c r="AJ65" i="3" s="1"/>
  <c r="AO63" i="5"/>
  <c r="AJ64" i="3" s="1"/>
  <c r="AO62" i="5"/>
  <c r="AJ63" i="3" s="1"/>
  <c r="AO61" i="5"/>
  <c r="AJ62" i="3" s="1"/>
  <c r="AO60" i="5"/>
  <c r="AJ61" i="3" s="1"/>
  <c r="AO59" i="5"/>
  <c r="AJ60" i="3" s="1"/>
  <c r="AO58" i="5"/>
  <c r="AJ59" i="3" s="1"/>
  <c r="AO57" i="5"/>
  <c r="AJ58" i="3" s="1"/>
  <c r="AO56" i="5"/>
  <c r="AJ57" i="3" s="1"/>
  <c r="AO55" i="5"/>
  <c r="AJ56" i="3" s="1"/>
  <c r="AO54" i="5"/>
  <c r="AJ55" i="3" s="1"/>
  <c r="AO53" i="5"/>
  <c r="AJ54" i="3" s="1"/>
  <c r="AO52" i="5"/>
  <c r="AJ53" i="3" s="1"/>
  <c r="AO51" i="5"/>
  <c r="AJ52" i="3" s="1"/>
  <c r="AO50" i="5"/>
  <c r="AJ51" i="3" s="1"/>
  <c r="AO49" i="5"/>
  <c r="AJ50" i="3" s="1"/>
  <c r="AO48" i="5"/>
  <c r="AJ49" i="3" s="1"/>
  <c r="AO47" i="5"/>
  <c r="AJ48" i="3" s="1"/>
  <c r="AO46" i="5"/>
  <c r="AJ47" i="3" s="1"/>
  <c r="AO45" i="5"/>
  <c r="AJ46" i="3" s="1"/>
  <c r="AO44" i="5"/>
  <c r="AJ45" i="3" s="1"/>
  <c r="AO43" i="5"/>
  <c r="AJ44" i="3" s="1"/>
  <c r="AO42" i="5"/>
  <c r="AJ43" i="3" s="1"/>
  <c r="AO41" i="5"/>
  <c r="AJ42" i="3" s="1"/>
  <c r="AO40" i="5"/>
  <c r="AJ41" i="3" s="1"/>
  <c r="AO39" i="5"/>
  <c r="AJ40" i="3" s="1"/>
  <c r="AO38" i="5"/>
  <c r="AJ39" i="3" s="1"/>
  <c r="AO37" i="5"/>
  <c r="AJ38" i="3" s="1"/>
  <c r="AO36" i="5"/>
  <c r="AJ37" i="3" s="1"/>
  <c r="AO35" i="5"/>
  <c r="AJ36" i="3" s="1"/>
  <c r="AO34" i="5"/>
  <c r="AJ35" i="3" s="1"/>
  <c r="AO33" i="5"/>
  <c r="AJ34" i="3" s="1"/>
  <c r="AO32" i="5"/>
  <c r="AJ33" i="3" s="1"/>
  <c r="AO31" i="5"/>
  <c r="AJ32" i="3" s="1"/>
  <c r="AO30" i="5"/>
  <c r="AJ31" i="3" s="1"/>
  <c r="AO29" i="5"/>
  <c r="AJ30" i="3" s="1"/>
  <c r="AO28" i="5"/>
  <c r="AJ29" i="3" s="1"/>
  <c r="AO27" i="5"/>
  <c r="AJ28" i="3" s="1"/>
  <c r="AO26" i="5"/>
  <c r="AJ27" i="3" s="1"/>
  <c r="AO25" i="5"/>
  <c r="AJ26" i="3" s="1"/>
  <c r="AO24" i="5"/>
  <c r="AJ25" i="3" s="1"/>
  <c r="AO23" i="5"/>
  <c r="AJ24" i="3" s="1"/>
  <c r="AO22" i="5"/>
  <c r="AJ23" i="3" s="1"/>
  <c r="AO21" i="5"/>
  <c r="AJ22" i="3" s="1"/>
  <c r="AO20" i="5"/>
  <c r="AJ21" i="3" s="1"/>
  <c r="AO19" i="5"/>
  <c r="AJ20" i="3" s="1"/>
  <c r="AO18" i="5"/>
  <c r="AJ19" i="3" s="1"/>
  <c r="AO17" i="5"/>
  <c r="AJ18" i="3" s="1"/>
  <c r="AO16" i="5"/>
  <c r="AJ17" i="3" s="1"/>
  <c r="AO15" i="5"/>
  <c r="AJ16" i="3" s="1"/>
  <c r="AO14" i="5"/>
  <c r="AJ15" i="3" s="1"/>
  <c r="AO13" i="5"/>
  <c r="AJ14" i="3" s="1"/>
  <c r="AO12" i="5"/>
  <c r="AJ13" i="3" s="1"/>
  <c r="AO11" i="5"/>
  <c r="AJ12" i="3" s="1"/>
  <c r="AO10" i="5"/>
  <c r="AJ11" i="3" s="1"/>
  <c r="AO9" i="5"/>
  <c r="AJ10" i="3" s="1"/>
  <c r="AO8" i="5"/>
  <c r="AJ9" i="3" s="1"/>
  <c r="AO7" i="5"/>
  <c r="AJ8" i="3" s="1"/>
  <c r="AO6" i="5"/>
  <c r="AJ7" i="3" s="1"/>
  <c r="AO5" i="5"/>
  <c r="AJ6" i="3" s="1"/>
  <c r="AO4" i="5"/>
  <c r="AJ5" i="3" s="1"/>
  <c r="AO3" i="5"/>
  <c r="AJ4" i="3" s="1"/>
  <c r="CJ108" i="16" l="1"/>
  <c r="M109" i="3" s="1"/>
  <c r="CJ114" i="16"/>
  <c r="M115" i="3" s="1"/>
  <c r="CJ118" i="16"/>
  <c r="M119" i="3" s="1"/>
  <c r="CJ121" i="16"/>
  <c r="M122" i="3" s="1"/>
  <c r="CJ125" i="16"/>
  <c r="M126" i="3" s="1"/>
  <c r="CJ128" i="16"/>
  <c r="M129" i="3" s="1"/>
  <c r="CJ132" i="16"/>
  <c r="M133" i="3" s="1"/>
  <c r="CJ136" i="16"/>
  <c r="M137" i="3" s="1"/>
  <c r="CJ140" i="16"/>
  <c r="M141" i="3" s="1"/>
  <c r="CJ144" i="16"/>
  <c r="M145" i="3" s="1"/>
  <c r="CJ148" i="16"/>
  <c r="M149" i="3" s="1"/>
  <c r="CE3" i="16"/>
  <c r="H4" i="3" s="1"/>
  <c r="B186" i="3" s="1"/>
  <c r="C186" i="3" s="1"/>
  <c r="CE4" i="16"/>
  <c r="H5" i="3" s="1"/>
  <c r="CE5" i="16"/>
  <c r="H6" i="3" s="1"/>
  <c r="CE6" i="16"/>
  <c r="H7" i="3" s="1"/>
  <c r="CE7" i="16"/>
  <c r="H8" i="3" s="1"/>
  <c r="CE8" i="16"/>
  <c r="H9" i="3" s="1"/>
  <c r="CE9" i="16"/>
  <c r="H10" i="3" s="1"/>
  <c r="CE10" i="16"/>
  <c r="H11" i="3" s="1"/>
  <c r="CE11" i="16"/>
  <c r="H12" i="3" s="1"/>
  <c r="CE12" i="16"/>
  <c r="H13" i="3" s="1"/>
  <c r="CE13" i="16"/>
  <c r="H14" i="3" s="1"/>
  <c r="CE14" i="16"/>
  <c r="H15" i="3" s="1"/>
  <c r="CE15" i="16"/>
  <c r="H16" i="3" s="1"/>
  <c r="CE16" i="16"/>
  <c r="H17" i="3" s="1"/>
  <c r="CE17" i="16"/>
  <c r="H18" i="3" s="1"/>
  <c r="CE18" i="16"/>
  <c r="H19" i="3" s="1"/>
  <c r="CE19" i="16"/>
  <c r="H20" i="3" s="1"/>
  <c r="CE20" i="16"/>
  <c r="H21" i="3" s="1"/>
  <c r="CE21" i="16"/>
  <c r="H22" i="3" s="1"/>
  <c r="CE22" i="16"/>
  <c r="H23" i="3" s="1"/>
  <c r="CE23" i="16"/>
  <c r="H24" i="3" s="1"/>
  <c r="CE24" i="16"/>
  <c r="H25" i="3" s="1"/>
  <c r="CE25" i="16"/>
  <c r="H26" i="3" s="1"/>
  <c r="CE26" i="16"/>
  <c r="H27" i="3" s="1"/>
  <c r="CE27" i="16"/>
  <c r="H28" i="3" s="1"/>
  <c r="CE28" i="16"/>
  <c r="H29" i="3" s="1"/>
  <c r="CE29" i="16"/>
  <c r="H30" i="3" s="1"/>
  <c r="CE30" i="16"/>
  <c r="H31" i="3" s="1"/>
  <c r="CE31" i="16"/>
  <c r="H32" i="3" s="1"/>
  <c r="CE32" i="16"/>
  <c r="H33" i="3" s="1"/>
  <c r="CE33" i="16"/>
  <c r="H34" i="3" s="1"/>
  <c r="CE34" i="16"/>
  <c r="H35" i="3" s="1"/>
  <c r="CE35" i="16"/>
  <c r="H36" i="3" s="1"/>
  <c r="CE36" i="16"/>
  <c r="H37" i="3" s="1"/>
  <c r="CE37" i="16"/>
  <c r="H38" i="3" s="1"/>
  <c r="CE38" i="16"/>
  <c r="H39" i="3" s="1"/>
  <c r="CE39" i="16"/>
  <c r="H40" i="3" s="1"/>
  <c r="CE40" i="16"/>
  <c r="H41" i="3" s="1"/>
  <c r="CE41" i="16"/>
  <c r="H42" i="3" s="1"/>
  <c r="CE42" i="16"/>
  <c r="H43" i="3" s="1"/>
  <c r="CE43" i="16"/>
  <c r="H44" i="3" s="1"/>
  <c r="CE44" i="16"/>
  <c r="H45" i="3" s="1"/>
  <c r="CE45" i="16"/>
  <c r="H46" i="3" s="1"/>
  <c r="CE46" i="16"/>
  <c r="H47" i="3" s="1"/>
  <c r="CE47" i="16"/>
  <c r="H48" i="3" s="1"/>
  <c r="CE48" i="16"/>
  <c r="H49" i="3" s="1"/>
  <c r="CE49" i="16"/>
  <c r="H50" i="3" s="1"/>
  <c r="CE50" i="16"/>
  <c r="H51" i="3" s="1"/>
  <c r="CE51" i="16"/>
  <c r="H52" i="3" s="1"/>
  <c r="CE52" i="16"/>
  <c r="H53" i="3" s="1"/>
  <c r="CE53" i="16"/>
  <c r="H54" i="3" s="1"/>
  <c r="CE54" i="16"/>
  <c r="H55" i="3" s="1"/>
  <c r="CE55" i="16"/>
  <c r="H56" i="3" s="1"/>
  <c r="CE56" i="16"/>
  <c r="H57" i="3" s="1"/>
  <c r="CE57" i="16"/>
  <c r="H58" i="3" s="1"/>
  <c r="CE58" i="16"/>
  <c r="H59" i="3" s="1"/>
  <c r="CE59" i="16"/>
  <c r="H60" i="3" s="1"/>
  <c r="CE60" i="16"/>
  <c r="H61" i="3" s="1"/>
  <c r="E13" i="7" s="1"/>
  <c r="CE61" i="16"/>
  <c r="H62" i="3" s="1"/>
  <c r="CE62" i="16"/>
  <c r="H63" i="3" s="1"/>
  <c r="CE63" i="16"/>
  <c r="H64" i="3" s="1"/>
  <c r="CE64" i="16"/>
  <c r="H65" i="3" s="1"/>
  <c r="CE65" i="16"/>
  <c r="H66" i="3" s="1"/>
  <c r="CE66" i="16"/>
  <c r="H67" i="3" s="1"/>
  <c r="CE67" i="16"/>
  <c r="H68" i="3" s="1"/>
  <c r="CE68" i="16"/>
  <c r="H69" i="3" s="1"/>
  <c r="CE69" i="16"/>
  <c r="H70" i="3" s="1"/>
  <c r="CE70" i="16"/>
  <c r="H71" i="3" s="1"/>
  <c r="CE71" i="16"/>
  <c r="H72" i="3" s="1"/>
  <c r="CE72" i="16"/>
  <c r="H73" i="3" s="1"/>
  <c r="CE73" i="16"/>
  <c r="H74" i="3" s="1"/>
  <c r="CE74" i="16"/>
  <c r="H75" i="3" s="1"/>
  <c r="CE75" i="16"/>
  <c r="H76" i="3" s="1"/>
  <c r="CE76" i="16"/>
  <c r="H77" i="3" s="1"/>
  <c r="CE77" i="16"/>
  <c r="H78" i="3" s="1"/>
  <c r="CE78" i="16"/>
  <c r="H79" i="3" s="1"/>
  <c r="CE79" i="16"/>
  <c r="H80" i="3" s="1"/>
  <c r="CE80" i="16"/>
  <c r="H81" i="3" s="1"/>
  <c r="CE81" i="16"/>
  <c r="H82" i="3" s="1"/>
  <c r="CE82" i="16"/>
  <c r="H83" i="3" s="1"/>
  <c r="CE83" i="16"/>
  <c r="H84" i="3" s="1"/>
  <c r="CE84" i="16"/>
  <c r="H85" i="3" s="1"/>
  <c r="CE85" i="16"/>
  <c r="H86" i="3" s="1"/>
  <c r="CE86" i="16"/>
  <c r="H87" i="3" s="1"/>
  <c r="CE87" i="16"/>
  <c r="H88" i="3" s="1"/>
  <c r="CE88" i="16"/>
  <c r="H89" i="3" s="1"/>
  <c r="CE89" i="16"/>
  <c r="H90" i="3" s="1"/>
  <c r="CE90" i="16"/>
  <c r="H91" i="3" s="1"/>
  <c r="CE91" i="16"/>
  <c r="H92" i="3" s="1"/>
  <c r="CE92" i="16"/>
  <c r="H93" i="3" s="1"/>
  <c r="CE93" i="16"/>
  <c r="H94" i="3" s="1"/>
  <c r="CE94" i="16"/>
  <c r="H95" i="3" s="1"/>
  <c r="CE95" i="16"/>
  <c r="H96" i="3" s="1"/>
  <c r="CE96" i="16"/>
  <c r="H97" i="3" s="1"/>
  <c r="CE97" i="16"/>
  <c r="H98" i="3" s="1"/>
  <c r="CE98" i="16"/>
  <c r="H99" i="3" s="1"/>
  <c r="CE99" i="16"/>
  <c r="H100" i="3" s="1"/>
  <c r="CE100" i="16"/>
  <c r="H101" i="3" s="1"/>
  <c r="CE101" i="16"/>
  <c r="H102" i="3" s="1"/>
  <c r="CE102" i="16"/>
  <c r="H103" i="3" s="1"/>
  <c r="CE103" i="16"/>
  <c r="H104" i="3" s="1"/>
  <c r="CE104" i="16"/>
  <c r="H105" i="3" s="1"/>
  <c r="CE105" i="16"/>
  <c r="H106" i="3" s="1"/>
  <c r="CE106" i="16"/>
  <c r="H107" i="3" s="1"/>
  <c r="CE107" i="16"/>
  <c r="H108" i="3" s="1"/>
  <c r="CE108" i="16"/>
  <c r="H109" i="3" s="1"/>
  <c r="CE109" i="16"/>
  <c r="H110" i="3" s="1"/>
  <c r="CE110" i="16"/>
  <c r="H111" i="3" s="1"/>
  <c r="CE111" i="16"/>
  <c r="H112" i="3" s="1"/>
  <c r="CE112" i="16"/>
  <c r="H113" i="3" s="1"/>
  <c r="CE113" i="16"/>
  <c r="H114" i="3" s="1"/>
  <c r="CE114" i="16"/>
  <c r="H115" i="3" s="1"/>
  <c r="CE115" i="16"/>
  <c r="H116" i="3" s="1"/>
  <c r="CE116" i="16"/>
  <c r="H117" i="3" s="1"/>
  <c r="CE117" i="16"/>
  <c r="H118" i="3" s="1"/>
  <c r="CE118" i="16"/>
  <c r="H119" i="3" s="1"/>
  <c r="CE119" i="16"/>
  <c r="H120" i="3" s="1"/>
  <c r="CE120" i="16"/>
  <c r="H121" i="3" s="1"/>
  <c r="CE121" i="16"/>
  <c r="H122" i="3" s="1"/>
  <c r="CE122" i="16"/>
  <c r="H123" i="3" s="1"/>
  <c r="CE123" i="16"/>
  <c r="H124" i="3" s="1"/>
  <c r="CE124" i="16"/>
  <c r="H125" i="3" s="1"/>
  <c r="CE125" i="16"/>
  <c r="H126" i="3" s="1"/>
  <c r="CE126" i="16"/>
  <c r="H127" i="3" s="1"/>
  <c r="CE127" i="16"/>
  <c r="H128" i="3" s="1"/>
  <c r="CE128" i="16"/>
  <c r="H129" i="3" s="1"/>
  <c r="CE129" i="16"/>
  <c r="H130" i="3" s="1"/>
  <c r="CE130" i="16"/>
  <c r="H131" i="3" s="1"/>
  <c r="CE131" i="16"/>
  <c r="H132" i="3" s="1"/>
  <c r="CE132" i="16"/>
  <c r="H133" i="3" s="1"/>
  <c r="CE133" i="16"/>
  <c r="H134" i="3" s="1"/>
  <c r="CE134" i="16"/>
  <c r="H135" i="3" s="1"/>
  <c r="CE135" i="16"/>
  <c r="H136" i="3" s="1"/>
  <c r="CE136" i="16"/>
  <c r="H137" i="3" s="1"/>
  <c r="CE137" i="16"/>
  <c r="H138" i="3" s="1"/>
  <c r="CE138" i="16"/>
  <c r="H139" i="3" s="1"/>
  <c r="CE139" i="16"/>
  <c r="H140" i="3" s="1"/>
  <c r="CE140" i="16"/>
  <c r="H141" i="3" s="1"/>
  <c r="CE141" i="16"/>
  <c r="H142" i="3" s="1"/>
  <c r="CE142" i="16"/>
  <c r="H143" i="3" s="1"/>
  <c r="CE143" i="16"/>
  <c r="H144" i="3" s="1"/>
  <c r="CE144" i="16"/>
  <c r="H145" i="3" s="1"/>
  <c r="CE145" i="16"/>
  <c r="H146" i="3" s="1"/>
  <c r="CE146" i="16"/>
  <c r="H147" i="3" s="1"/>
  <c r="CE147" i="16"/>
  <c r="H148" i="3" s="1"/>
  <c r="CE148" i="16"/>
  <c r="H149" i="3" s="1"/>
  <c r="CE149" i="16"/>
  <c r="H150" i="3" s="1"/>
  <c r="CE150" i="16"/>
  <c r="H151" i="3" s="1"/>
  <c r="CE151" i="16"/>
  <c r="H152" i="3" s="1"/>
  <c r="CE152" i="16"/>
  <c r="H153" i="3" s="1"/>
  <c r="CE153" i="16"/>
  <c r="H154" i="3" s="1"/>
  <c r="CE154" i="16"/>
  <c r="H155" i="3" s="1"/>
  <c r="CE155" i="16"/>
  <c r="H156" i="3" s="1"/>
  <c r="CE156" i="16"/>
  <c r="H157" i="3" s="1"/>
  <c r="CE157" i="16"/>
  <c r="H158" i="3" s="1"/>
  <c r="CE158" i="16"/>
  <c r="H159" i="3" s="1"/>
  <c r="CE159" i="16"/>
  <c r="H160" i="3" s="1"/>
  <c r="CE160" i="16"/>
  <c r="H161" i="3" s="1"/>
  <c r="CE161" i="16"/>
  <c r="H162" i="3" s="1"/>
  <c r="CE162" i="16"/>
  <c r="H163" i="3" s="1"/>
  <c r="CE163" i="16"/>
  <c r="H164" i="3" s="1"/>
  <c r="CE164" i="16"/>
  <c r="H165" i="3" s="1"/>
  <c r="CE165" i="16"/>
  <c r="H166" i="3" s="1"/>
  <c r="CE166" i="16"/>
  <c r="H167" i="3" s="1"/>
  <c r="CE167" i="16"/>
  <c r="H168" i="3" s="1"/>
  <c r="CE168" i="16"/>
  <c r="H169" i="3" s="1"/>
  <c r="CE169" i="16"/>
  <c r="H170" i="3" s="1"/>
  <c r="CE170" i="16"/>
  <c r="H171" i="3" s="1"/>
  <c r="CE171" i="16"/>
  <c r="H172" i="3" s="1"/>
  <c r="CE172" i="16"/>
  <c r="H173" i="3" s="1"/>
  <c r="CE173" i="16"/>
  <c r="H174" i="3" s="1"/>
  <c r="CE174" i="16"/>
  <c r="H175" i="3" s="1"/>
  <c r="CE175" i="16"/>
  <c r="H176" i="3" s="1"/>
  <c r="CE176" i="16"/>
  <c r="H177" i="3" s="1"/>
  <c r="CJ109" i="16"/>
  <c r="M110" i="3" s="1"/>
  <c r="CJ112" i="16"/>
  <c r="M113" i="3" s="1"/>
  <c r="CJ117" i="16"/>
  <c r="M118" i="3" s="1"/>
  <c r="CJ122" i="16"/>
  <c r="M123" i="3" s="1"/>
  <c r="CJ126" i="16"/>
  <c r="M127" i="3" s="1"/>
  <c r="CJ130" i="16"/>
  <c r="M131" i="3" s="1"/>
  <c r="CJ134" i="16"/>
  <c r="M135" i="3" s="1"/>
  <c r="CJ137" i="16"/>
  <c r="M138" i="3" s="1"/>
  <c r="CJ141" i="16"/>
  <c r="M142" i="3" s="1"/>
  <c r="CJ145" i="16"/>
  <c r="M146" i="3" s="1"/>
  <c r="CJ6" i="16"/>
  <c r="M7" i="3" s="1"/>
  <c r="CJ111" i="16"/>
  <c r="M112" i="3" s="1"/>
  <c r="CJ113" i="16"/>
  <c r="M114" i="3" s="1"/>
  <c r="CJ116" i="16"/>
  <c r="M117" i="3" s="1"/>
  <c r="CJ120" i="16"/>
  <c r="M121" i="3" s="1"/>
  <c r="CJ123" i="16"/>
  <c r="M124" i="3" s="1"/>
  <c r="CJ127" i="16"/>
  <c r="M128" i="3" s="1"/>
  <c r="CJ131" i="16"/>
  <c r="M132" i="3" s="1"/>
  <c r="CJ135" i="16"/>
  <c r="M136" i="3" s="1"/>
  <c r="CJ139" i="16"/>
  <c r="M140" i="3" s="1"/>
  <c r="CJ143" i="16"/>
  <c r="M144" i="3" s="1"/>
  <c r="CJ147" i="16"/>
  <c r="M148" i="3" s="1"/>
  <c r="CJ150" i="16"/>
  <c r="M151" i="3" s="1"/>
  <c r="CJ159" i="16"/>
  <c r="M160" i="3" s="1"/>
  <c r="CJ110" i="16"/>
  <c r="M111" i="3" s="1"/>
  <c r="CJ115" i="16"/>
  <c r="M116" i="3" s="1"/>
  <c r="CJ119" i="16"/>
  <c r="M120" i="3" s="1"/>
  <c r="CJ124" i="16"/>
  <c r="M125" i="3" s="1"/>
  <c r="CJ129" i="16"/>
  <c r="M130" i="3" s="1"/>
  <c r="CJ133" i="16"/>
  <c r="M134" i="3" s="1"/>
  <c r="CJ138" i="16"/>
  <c r="M139" i="3" s="1"/>
  <c r="CJ142" i="16"/>
  <c r="M143" i="3" s="1"/>
  <c r="CJ146" i="16"/>
  <c r="M147" i="3" s="1"/>
  <c r="CH3" i="16"/>
  <c r="K4" i="3" s="1"/>
  <c r="CH5" i="16"/>
  <c r="K6" i="3" s="1"/>
  <c r="CH9" i="16"/>
  <c r="K10" i="3" s="1"/>
  <c r="CH10" i="16"/>
  <c r="K11" i="3" s="1"/>
  <c r="CH12" i="16"/>
  <c r="K13" i="3" s="1"/>
  <c r="CH14" i="16"/>
  <c r="K15" i="3" s="1"/>
  <c r="CH16" i="16"/>
  <c r="K17" i="3" s="1"/>
  <c r="CH18" i="16"/>
  <c r="K19" i="3" s="1"/>
  <c r="CH20" i="16"/>
  <c r="K21" i="3" s="1"/>
  <c r="CH22" i="16"/>
  <c r="K23" i="3" s="1"/>
  <c r="CH24" i="16"/>
  <c r="K25" i="3" s="1"/>
  <c r="CH26" i="16"/>
  <c r="K27" i="3" s="1"/>
  <c r="CH28" i="16"/>
  <c r="K29" i="3" s="1"/>
  <c r="CH30" i="16"/>
  <c r="K31" i="3" s="1"/>
  <c r="CH32" i="16"/>
  <c r="K33" i="3" s="1"/>
  <c r="CH34" i="16"/>
  <c r="K35" i="3" s="1"/>
  <c r="CH36" i="16"/>
  <c r="K37" i="3" s="1"/>
  <c r="CH38" i="16"/>
  <c r="K39" i="3" s="1"/>
  <c r="CH40" i="16"/>
  <c r="K41" i="3" s="1"/>
  <c r="CH42" i="16"/>
  <c r="K43" i="3" s="1"/>
  <c r="CH44" i="16"/>
  <c r="K45" i="3" s="1"/>
  <c r="CH4" i="16"/>
  <c r="K5" i="3" s="1"/>
  <c r="CH6" i="16"/>
  <c r="K7" i="3" s="1"/>
  <c r="CH8" i="16"/>
  <c r="K9" i="3" s="1"/>
  <c r="CH11" i="16"/>
  <c r="K12" i="3" s="1"/>
  <c r="CH13" i="16"/>
  <c r="K14" i="3" s="1"/>
  <c r="CH15" i="16"/>
  <c r="K16" i="3" s="1"/>
  <c r="CH17" i="16"/>
  <c r="K18" i="3" s="1"/>
  <c r="CH19" i="16"/>
  <c r="K20" i="3" s="1"/>
  <c r="CH21" i="16"/>
  <c r="K22" i="3" s="1"/>
  <c r="CH23" i="16"/>
  <c r="K24" i="3" s="1"/>
  <c r="CH25" i="16"/>
  <c r="K26" i="3" s="1"/>
  <c r="CH27" i="16"/>
  <c r="K28" i="3" s="1"/>
  <c r="CH29" i="16"/>
  <c r="K30" i="3" s="1"/>
  <c r="CH31" i="16"/>
  <c r="K32" i="3" s="1"/>
  <c r="CH33" i="16"/>
  <c r="K34" i="3" s="1"/>
  <c r="CH35" i="16"/>
  <c r="K36" i="3" s="1"/>
  <c r="CH37" i="16"/>
  <c r="K38" i="3" s="1"/>
  <c r="CH39" i="16"/>
  <c r="K40" i="3" s="1"/>
  <c r="CH41" i="16"/>
  <c r="K42" i="3" s="1"/>
  <c r="CH43" i="16"/>
  <c r="K44" i="3" s="1"/>
  <c r="CH45" i="16"/>
  <c r="K46" i="3" s="1"/>
  <c r="T5" i="3"/>
  <c r="X5" i="3"/>
  <c r="T6" i="3"/>
  <c r="X6" i="3"/>
  <c r="T7" i="3"/>
  <c r="X7" i="3"/>
  <c r="X8" i="3"/>
  <c r="T9" i="3"/>
  <c r="X9" i="3"/>
  <c r="T10" i="3"/>
  <c r="X10" i="3"/>
  <c r="T11" i="3"/>
  <c r="X11" i="3"/>
  <c r="T12" i="3"/>
  <c r="X12" i="3"/>
  <c r="T13" i="3"/>
  <c r="X13" i="3"/>
  <c r="T14" i="3"/>
  <c r="X14" i="3"/>
  <c r="T15" i="3"/>
  <c r="X15" i="3"/>
  <c r="T16" i="3"/>
  <c r="X16" i="3"/>
  <c r="X17" i="3"/>
  <c r="T17" i="3"/>
  <c r="X18" i="3"/>
  <c r="T19" i="3"/>
  <c r="X19" i="3"/>
  <c r="X20" i="3"/>
  <c r="T20" i="3"/>
  <c r="X21" i="3"/>
  <c r="X22" i="3"/>
  <c r="T22" i="3"/>
  <c r="T23" i="3"/>
  <c r="X23" i="3"/>
  <c r="T24" i="3"/>
  <c r="X24" i="3"/>
  <c r="T25" i="3"/>
  <c r="X25" i="3"/>
  <c r="T26" i="3"/>
  <c r="X26" i="3"/>
  <c r="T27" i="3"/>
  <c r="X27" i="3"/>
  <c r="T28" i="3"/>
  <c r="X28" i="3"/>
  <c r="T29" i="3"/>
  <c r="X29" i="3"/>
  <c r="T30" i="3"/>
  <c r="X30" i="3"/>
  <c r="T31" i="3"/>
  <c r="X31" i="3"/>
  <c r="T32" i="3"/>
  <c r="X32" i="3"/>
  <c r="T33" i="3"/>
  <c r="X33" i="3"/>
  <c r="T34" i="3"/>
  <c r="X34" i="3"/>
  <c r="T35" i="3"/>
  <c r="X35" i="3"/>
  <c r="T36" i="3"/>
  <c r="X36" i="3"/>
  <c r="X37" i="3"/>
  <c r="T38" i="3"/>
  <c r="X38" i="3"/>
  <c r="T39" i="3"/>
  <c r="X39" i="3"/>
  <c r="T40" i="3"/>
  <c r="X40" i="3"/>
  <c r="T41" i="3"/>
  <c r="X41" i="3"/>
  <c r="T42" i="3"/>
  <c r="X42" i="3"/>
  <c r="T43" i="3"/>
  <c r="X43" i="3"/>
  <c r="T44" i="3"/>
  <c r="X44" i="3"/>
  <c r="T45" i="3"/>
  <c r="X45" i="3"/>
  <c r="T46" i="3"/>
  <c r="X46" i="3"/>
  <c r="T47" i="3"/>
  <c r="X47" i="3"/>
  <c r="T48" i="3"/>
  <c r="X48" i="3"/>
  <c r="T49" i="3"/>
  <c r="X49" i="3"/>
  <c r="T50" i="3"/>
  <c r="X50" i="3"/>
  <c r="T51" i="3"/>
  <c r="X51" i="3"/>
  <c r="T52" i="3"/>
  <c r="X52" i="3"/>
  <c r="T53" i="3"/>
  <c r="X53" i="3"/>
  <c r="T54" i="3"/>
  <c r="X54" i="3"/>
  <c r="T55" i="3"/>
  <c r="X55" i="3"/>
  <c r="T56" i="3"/>
  <c r="X56" i="3"/>
  <c r="T57" i="3"/>
  <c r="X57" i="3"/>
  <c r="T58" i="3"/>
  <c r="X58" i="3"/>
  <c r="T59" i="3"/>
  <c r="X59" i="3"/>
  <c r="T60" i="3"/>
  <c r="X60" i="3"/>
  <c r="T61" i="3"/>
  <c r="X61" i="3"/>
  <c r="T62" i="3"/>
  <c r="X62" i="3"/>
  <c r="T63" i="3"/>
  <c r="X63" i="3"/>
  <c r="T64" i="3"/>
  <c r="X64" i="3"/>
  <c r="T65" i="3"/>
  <c r="X65" i="3"/>
  <c r="T66" i="3"/>
  <c r="X66" i="3"/>
  <c r="T67" i="3"/>
  <c r="X67" i="3"/>
  <c r="T68" i="3"/>
  <c r="X68" i="3"/>
  <c r="T69" i="3"/>
  <c r="X69" i="3"/>
  <c r="T70" i="3"/>
  <c r="X70" i="3"/>
  <c r="X71" i="3"/>
  <c r="X72" i="3"/>
  <c r="T72" i="3"/>
  <c r="T73" i="3"/>
  <c r="X73" i="3"/>
  <c r="X74" i="3"/>
  <c r="X75" i="3"/>
  <c r="T75" i="3"/>
  <c r="X76" i="3"/>
  <c r="T76" i="3"/>
  <c r="T77" i="3"/>
  <c r="X77" i="3"/>
  <c r="X78" i="3"/>
  <c r="T78" i="3"/>
  <c r="X79" i="3"/>
  <c r="T79" i="3"/>
  <c r="X80" i="3"/>
  <c r="T80" i="3"/>
  <c r="X81" i="3"/>
  <c r="X82" i="3"/>
  <c r="T82" i="3"/>
  <c r="T83" i="3"/>
  <c r="X83" i="3"/>
  <c r="T84" i="3"/>
  <c r="X84" i="3"/>
  <c r="T85" i="3"/>
  <c r="X85" i="3"/>
  <c r="T86" i="3"/>
  <c r="X86" i="3"/>
  <c r="T87" i="3"/>
  <c r="X87" i="3"/>
  <c r="T88" i="3"/>
  <c r="X88" i="3"/>
  <c r="T89" i="3"/>
  <c r="X89" i="3"/>
  <c r="T90" i="3"/>
  <c r="X90" i="3"/>
  <c r="T91" i="3"/>
  <c r="X91" i="3"/>
  <c r="T92" i="3"/>
  <c r="X92" i="3"/>
  <c r="T93" i="3"/>
  <c r="X93" i="3"/>
  <c r="T94" i="3"/>
  <c r="X94" i="3"/>
  <c r="T95" i="3"/>
  <c r="X95" i="3"/>
  <c r="T96" i="3"/>
  <c r="X96" i="3"/>
  <c r="T97" i="3"/>
  <c r="X97" i="3"/>
  <c r="T98" i="3"/>
  <c r="X98" i="3"/>
  <c r="T99" i="3"/>
  <c r="X99" i="3"/>
  <c r="T100" i="3"/>
  <c r="X100" i="3"/>
  <c r="T101" i="3"/>
  <c r="X101" i="3"/>
  <c r="T102" i="3"/>
  <c r="X102" i="3"/>
  <c r="T103" i="3"/>
  <c r="X103" i="3"/>
  <c r="T104" i="3"/>
  <c r="X104" i="3"/>
  <c r="T105" i="3"/>
  <c r="X105" i="3"/>
  <c r="T106" i="3"/>
  <c r="X106" i="3"/>
  <c r="X107" i="3"/>
  <c r="T108" i="3"/>
  <c r="X108" i="3"/>
  <c r="T109" i="3"/>
  <c r="X109" i="3"/>
  <c r="T110" i="3"/>
  <c r="X110" i="3"/>
  <c r="T111" i="3"/>
  <c r="X111" i="3"/>
  <c r="T112" i="3"/>
  <c r="X112" i="3"/>
  <c r="T113" i="3"/>
  <c r="X113" i="3"/>
  <c r="T114" i="3"/>
  <c r="X114" i="3"/>
  <c r="T115" i="3"/>
  <c r="X115" i="3"/>
  <c r="T116" i="3"/>
  <c r="X116" i="3"/>
  <c r="T117" i="3"/>
  <c r="X117" i="3"/>
  <c r="T118" i="3"/>
  <c r="X118" i="3"/>
  <c r="T119" i="3"/>
  <c r="X119" i="3"/>
  <c r="T120" i="3"/>
  <c r="X120" i="3"/>
  <c r="T121" i="3"/>
  <c r="X121" i="3"/>
  <c r="T122" i="3"/>
  <c r="X122" i="3"/>
  <c r="T123" i="3"/>
  <c r="X123" i="3"/>
  <c r="T124" i="3"/>
  <c r="X124" i="3"/>
  <c r="X125" i="3"/>
  <c r="X126" i="3"/>
  <c r="T126" i="3"/>
  <c r="X127" i="3"/>
  <c r="T127" i="3"/>
  <c r="X128" i="3"/>
  <c r="T128" i="3"/>
  <c r="T129" i="3"/>
  <c r="X129" i="3"/>
  <c r="T130" i="3"/>
  <c r="X130" i="3"/>
  <c r="X131" i="3"/>
  <c r="X132" i="3"/>
  <c r="T132" i="3"/>
  <c r="X133" i="3"/>
  <c r="T133" i="3"/>
  <c r="T134" i="3"/>
  <c r="X134" i="3"/>
  <c r="X135" i="3"/>
  <c r="X136" i="3"/>
  <c r="T137" i="3"/>
  <c r="X137" i="3"/>
  <c r="T138" i="3"/>
  <c r="X138" i="3"/>
  <c r="X139" i="3"/>
  <c r="T139" i="3"/>
  <c r="T140" i="3"/>
  <c r="X140" i="3"/>
  <c r="T141" i="3"/>
  <c r="X141" i="3"/>
  <c r="X142" i="3"/>
  <c r="T142" i="3"/>
  <c r="X143" i="3"/>
  <c r="T143" i="3"/>
  <c r="X144" i="3"/>
  <c r="X145" i="3"/>
  <c r="T145" i="3"/>
  <c r="X146" i="3"/>
  <c r="T146" i="3"/>
  <c r="X147" i="3"/>
  <c r="X148" i="3"/>
  <c r="T148" i="3"/>
  <c r="T149" i="3"/>
  <c r="X149" i="3"/>
  <c r="X150" i="3"/>
  <c r="T151" i="3"/>
  <c r="X151" i="3"/>
  <c r="T152" i="3"/>
  <c r="X152" i="3"/>
  <c r="T153" i="3"/>
  <c r="X153" i="3"/>
  <c r="T154" i="3"/>
  <c r="X154" i="3"/>
  <c r="X155" i="3"/>
  <c r="T156" i="3"/>
  <c r="X156" i="3"/>
  <c r="T157" i="3"/>
  <c r="X157" i="3"/>
  <c r="X158" i="3"/>
  <c r="T159" i="3"/>
  <c r="X159" i="3"/>
  <c r="T160" i="3"/>
  <c r="X160" i="3"/>
  <c r="T161" i="3"/>
  <c r="X161" i="3"/>
  <c r="T162" i="3"/>
  <c r="X162" i="3"/>
  <c r="T163" i="3"/>
  <c r="X163" i="3"/>
  <c r="T164" i="3"/>
  <c r="X164" i="3"/>
  <c r="T165" i="3"/>
  <c r="X165" i="3"/>
  <c r="T166" i="3"/>
  <c r="X166" i="3"/>
  <c r="T167" i="3"/>
  <c r="X167" i="3"/>
  <c r="T168" i="3"/>
  <c r="X168" i="3"/>
  <c r="T169" i="3"/>
  <c r="X169" i="3"/>
  <c r="T170" i="3"/>
  <c r="X170" i="3"/>
  <c r="T171" i="3"/>
  <c r="X171" i="3"/>
  <c r="X172" i="3"/>
  <c r="T173" i="3"/>
  <c r="X173" i="3"/>
  <c r="T174" i="3"/>
  <c r="X174" i="3"/>
  <c r="T175" i="3"/>
  <c r="X175" i="3"/>
  <c r="T176" i="3"/>
  <c r="X176" i="3"/>
  <c r="T177" i="3"/>
  <c r="X177" i="3"/>
  <c r="T4" i="3"/>
  <c r="X4" i="3"/>
  <c r="CG3" i="16"/>
  <c r="CG4" i="16"/>
  <c r="CG5" i="16"/>
  <c r="CG6" i="16"/>
  <c r="CG7" i="16"/>
  <c r="CG8" i="16"/>
  <c r="CG9" i="16"/>
  <c r="CG10" i="16"/>
  <c r="CG11" i="16"/>
  <c r="CG12" i="16"/>
  <c r="CG13" i="16"/>
  <c r="CG14" i="16"/>
  <c r="CG15" i="16"/>
  <c r="CG16" i="16"/>
  <c r="CG17" i="16"/>
  <c r="CG18" i="16"/>
  <c r="CG19" i="16"/>
  <c r="CG20" i="16"/>
  <c r="CG21" i="16"/>
  <c r="CG22" i="16"/>
  <c r="CG23" i="16"/>
  <c r="CG24" i="16"/>
  <c r="CG25" i="16"/>
  <c r="CG26" i="16"/>
  <c r="CG27" i="16"/>
  <c r="CG28" i="16"/>
  <c r="CG29" i="16"/>
  <c r="CG30" i="16"/>
  <c r="CG31" i="16"/>
  <c r="CG32" i="16"/>
  <c r="CG33" i="16"/>
  <c r="CG34" i="16"/>
  <c r="CG35" i="16"/>
  <c r="CG36" i="16"/>
  <c r="CG37" i="16"/>
  <c r="CG38" i="16"/>
  <c r="CG39" i="16"/>
  <c r="CG40" i="16"/>
  <c r="CG41" i="16"/>
  <c r="CG42" i="16"/>
  <c r="CG43" i="16"/>
  <c r="CG44" i="16"/>
  <c r="CG45" i="16"/>
  <c r="CG46" i="16"/>
  <c r="CG47" i="16"/>
  <c r="CG48" i="16"/>
  <c r="CG49" i="16"/>
  <c r="CG50" i="16"/>
  <c r="CG51" i="16"/>
  <c r="CG52" i="16"/>
  <c r="CG53" i="16"/>
  <c r="CG54" i="16"/>
  <c r="CG55" i="16"/>
  <c r="CG56" i="16"/>
  <c r="CG57" i="16"/>
  <c r="CG58" i="16"/>
  <c r="CG59" i="16"/>
  <c r="CG60" i="16"/>
  <c r="CG61" i="16"/>
  <c r="CG62" i="16"/>
  <c r="CG64" i="16"/>
  <c r="CG65" i="16"/>
  <c r="CG66" i="16"/>
  <c r="CG67" i="16"/>
  <c r="CG68" i="16"/>
  <c r="CG69" i="16"/>
  <c r="CG71" i="16"/>
  <c r="CG72" i="16"/>
  <c r="CG73" i="16"/>
  <c r="CG74" i="16"/>
  <c r="CG75" i="16"/>
  <c r="CG76" i="16"/>
  <c r="CG77" i="16"/>
  <c r="CG78" i="16"/>
  <c r="CG79" i="16"/>
  <c r="CG80" i="16"/>
  <c r="CG81" i="16"/>
  <c r="CG82" i="16"/>
  <c r="CG83" i="16"/>
  <c r="CG84" i="16"/>
  <c r="CG85" i="16"/>
  <c r="CG86" i="16"/>
  <c r="CG87" i="16"/>
  <c r="CG88" i="16"/>
  <c r="CG89" i="16"/>
  <c r="CG90" i="16"/>
  <c r="CG91" i="16"/>
  <c r="CG92" i="16"/>
  <c r="CG93" i="16"/>
  <c r="CG94" i="16"/>
  <c r="CG95" i="16"/>
  <c r="CG96" i="16"/>
  <c r="CG97" i="16"/>
  <c r="CG98" i="16"/>
  <c r="CG99" i="16"/>
  <c r="CG100" i="16"/>
  <c r="CG101" i="16"/>
  <c r="CG102" i="16"/>
  <c r="CG104" i="16"/>
  <c r="CG105" i="16"/>
  <c r="CG106" i="16"/>
  <c r="CG107" i="16"/>
  <c r="CG108" i="16"/>
  <c r="CG109" i="16"/>
  <c r="CG110" i="16"/>
  <c r="CG111" i="16"/>
  <c r="CG112" i="16"/>
  <c r="CG113" i="16"/>
  <c r="CG114" i="16"/>
  <c r="CG115" i="16"/>
  <c r="CG116" i="16"/>
  <c r="CG117" i="16"/>
  <c r="CG118" i="16"/>
  <c r="CG119" i="16"/>
  <c r="CG120" i="16"/>
  <c r="CG121" i="16"/>
  <c r="CG122" i="16"/>
  <c r="CG123" i="16"/>
  <c r="CG124" i="16"/>
  <c r="CG125" i="16"/>
  <c r="CG126" i="16"/>
  <c r="CG127" i="16"/>
  <c r="CG128" i="16"/>
  <c r="CG129" i="16"/>
  <c r="CG130" i="16"/>
  <c r="CG132" i="16"/>
  <c r="CG133" i="16"/>
  <c r="CG134" i="16"/>
  <c r="CG135" i="16"/>
  <c r="CG136" i="16"/>
  <c r="CG137" i="16"/>
  <c r="CG138" i="16"/>
  <c r="CG139" i="16"/>
  <c r="CG140" i="16"/>
  <c r="CG141" i="16"/>
  <c r="CG142" i="16"/>
  <c r="CG143" i="16"/>
  <c r="CG144" i="16"/>
  <c r="CG145" i="16"/>
  <c r="CG146" i="16"/>
  <c r="CG147" i="16"/>
  <c r="CG148" i="16"/>
  <c r="CG149" i="16"/>
  <c r="CG150" i="16"/>
  <c r="CG151" i="16"/>
  <c r="CG152" i="16"/>
  <c r="CG153" i="16"/>
  <c r="CG154" i="16"/>
  <c r="CG155" i="16"/>
  <c r="CG156" i="16"/>
  <c r="CG157" i="16"/>
  <c r="CG158" i="16"/>
  <c r="CG159" i="16"/>
  <c r="CG160" i="16"/>
  <c r="CG161" i="16"/>
  <c r="CG162" i="16"/>
  <c r="CG163" i="16"/>
  <c r="CG164" i="16"/>
  <c r="CG165" i="16"/>
  <c r="CG166" i="16"/>
  <c r="CG167" i="16"/>
  <c r="CG168" i="16"/>
  <c r="CG169" i="16"/>
  <c r="CG170" i="16"/>
  <c r="CG171" i="16"/>
  <c r="CG172" i="16"/>
  <c r="CG173" i="16"/>
  <c r="CG174" i="16"/>
  <c r="CG175" i="16"/>
  <c r="CG176" i="16"/>
  <c r="CJ17" i="16"/>
  <c r="M18" i="3" s="1"/>
  <c r="T18" i="3" s="1"/>
  <c r="CJ18" i="16"/>
  <c r="M19" i="3" s="1"/>
  <c r="CJ19" i="16"/>
  <c r="M20" i="3" s="1"/>
  <c r="CJ20" i="16"/>
  <c r="M21" i="3" s="1"/>
  <c r="T21" i="3" s="1"/>
  <c r="CJ21" i="16"/>
  <c r="M22" i="3" s="1"/>
  <c r="CJ22" i="16"/>
  <c r="M23" i="3" s="1"/>
  <c r="CJ23" i="16"/>
  <c r="M24" i="3" s="1"/>
  <c r="CJ24" i="16"/>
  <c r="M25" i="3" s="1"/>
  <c r="CJ25" i="16"/>
  <c r="M26" i="3" s="1"/>
  <c r="CJ26" i="16"/>
  <c r="M27" i="3" s="1"/>
  <c r="CJ27" i="16"/>
  <c r="M28" i="3" s="1"/>
  <c r="CJ28" i="16"/>
  <c r="M29" i="3" s="1"/>
  <c r="CJ38" i="16"/>
  <c r="M39" i="3" s="1"/>
  <c r="CJ39" i="16"/>
  <c r="M40" i="3" s="1"/>
  <c r="CJ40" i="16"/>
  <c r="M41" i="3" s="1"/>
  <c r="CJ41" i="16"/>
  <c r="M42" i="3" s="1"/>
  <c r="CJ42" i="16"/>
  <c r="M43" i="3" s="1"/>
  <c r="CJ43" i="16"/>
  <c r="M44" i="3" s="1"/>
  <c r="CJ44" i="16"/>
  <c r="M45" i="3" s="1"/>
  <c r="CJ45" i="16"/>
  <c r="M46" i="3" s="1"/>
  <c r="CJ46" i="16"/>
  <c r="M47" i="3" s="1"/>
  <c r="CJ47" i="16"/>
  <c r="M48" i="3" s="1"/>
  <c r="CJ48" i="16"/>
  <c r="M49" i="3" s="1"/>
  <c r="CJ49" i="16"/>
  <c r="M50" i="3" s="1"/>
  <c r="CJ50" i="16"/>
  <c r="M51" i="3" s="1"/>
  <c r="CJ51" i="16"/>
  <c r="M52" i="3" s="1"/>
  <c r="CJ52" i="16"/>
  <c r="M53" i="3" s="1"/>
  <c r="CJ53" i="16"/>
  <c r="M54" i="3" s="1"/>
  <c r="CJ54" i="16"/>
  <c r="M55" i="3" s="1"/>
  <c r="CJ55" i="16"/>
  <c r="M56" i="3" s="1"/>
  <c r="CJ56" i="16"/>
  <c r="M57" i="3" s="1"/>
  <c r="CJ57" i="16"/>
  <c r="M58" i="3" s="1"/>
  <c r="CJ58" i="16"/>
  <c r="M59" i="3" s="1"/>
  <c r="CJ59" i="16"/>
  <c r="M60" i="3" s="1"/>
  <c r="CJ60" i="16"/>
  <c r="M61" i="3" s="1"/>
  <c r="J13" i="7" s="1"/>
  <c r="CJ61" i="16"/>
  <c r="M62" i="3" s="1"/>
  <c r="CJ62" i="16"/>
  <c r="M63" i="3" s="1"/>
  <c r="CJ63" i="16"/>
  <c r="M64" i="3" s="1"/>
  <c r="CJ64" i="16"/>
  <c r="M65" i="3" s="1"/>
  <c r="CJ65" i="16"/>
  <c r="M66" i="3" s="1"/>
  <c r="CJ66" i="16"/>
  <c r="M67" i="3" s="1"/>
  <c r="CJ67" i="16"/>
  <c r="M68" i="3" s="1"/>
  <c r="CJ68" i="16"/>
  <c r="M69" i="3" s="1"/>
  <c r="CJ69" i="16"/>
  <c r="M70" i="3" s="1"/>
  <c r="CJ70" i="16"/>
  <c r="M71" i="3" s="1"/>
  <c r="CJ71" i="16"/>
  <c r="M72" i="3" s="1"/>
  <c r="CJ72" i="16"/>
  <c r="M73" i="3" s="1"/>
  <c r="CJ73" i="16"/>
  <c r="M74" i="3" s="1"/>
  <c r="CJ74" i="16"/>
  <c r="M75" i="3" s="1"/>
  <c r="CJ75" i="16"/>
  <c r="M76" i="3" s="1"/>
  <c r="CJ76" i="16"/>
  <c r="M77" i="3" s="1"/>
  <c r="CJ77" i="16"/>
  <c r="M78" i="3" s="1"/>
  <c r="CJ78" i="16"/>
  <c r="M79" i="3" s="1"/>
  <c r="CJ79" i="16"/>
  <c r="M80" i="3" s="1"/>
  <c r="CJ80" i="16"/>
  <c r="M81" i="3" s="1"/>
  <c r="CJ81" i="16"/>
  <c r="M82" i="3" s="1"/>
  <c r="CJ82" i="16"/>
  <c r="M83" i="3" s="1"/>
  <c r="CJ83" i="16"/>
  <c r="M84" i="3" s="1"/>
  <c r="CJ84" i="16"/>
  <c r="M85" i="3" s="1"/>
  <c r="CJ85" i="16"/>
  <c r="M86" i="3" s="1"/>
  <c r="CJ86" i="16"/>
  <c r="M87" i="3" s="1"/>
  <c r="CJ87" i="16"/>
  <c r="M88" i="3" s="1"/>
  <c r="CJ88" i="16"/>
  <c r="M89" i="3" s="1"/>
  <c r="CJ89" i="16"/>
  <c r="M90" i="3" s="1"/>
  <c r="CJ90" i="16"/>
  <c r="M91" i="3" s="1"/>
  <c r="CJ91" i="16"/>
  <c r="M92" i="3" s="1"/>
  <c r="CJ92" i="16"/>
  <c r="M93" i="3" s="1"/>
  <c r="CJ93" i="16"/>
  <c r="M94" i="3" s="1"/>
  <c r="CJ94" i="16"/>
  <c r="M95" i="3" s="1"/>
  <c r="CJ95" i="16"/>
  <c r="M96" i="3" s="1"/>
  <c r="CJ96" i="16"/>
  <c r="M97" i="3" s="1"/>
  <c r="CJ97" i="16"/>
  <c r="M98" i="3" s="1"/>
  <c r="CJ98" i="16"/>
  <c r="M99" i="3" s="1"/>
  <c r="CJ99" i="16"/>
  <c r="M100" i="3" s="1"/>
  <c r="CJ100" i="16"/>
  <c r="M101" i="3" s="1"/>
  <c r="CJ101" i="16"/>
  <c r="M102" i="3" s="1"/>
  <c r="CJ102" i="16"/>
  <c r="M103" i="3" s="1"/>
  <c r="CJ103" i="16"/>
  <c r="M104" i="3" s="1"/>
  <c r="CJ104" i="16"/>
  <c r="M105" i="3" s="1"/>
  <c r="CJ105" i="16"/>
  <c r="M106" i="3" s="1"/>
  <c r="CJ106" i="16"/>
  <c r="M107" i="3" s="1"/>
  <c r="CJ107" i="16"/>
  <c r="M108" i="3" s="1"/>
  <c r="CH7" i="16"/>
  <c r="K8" i="3" s="1"/>
  <c r="T8" i="3" s="1"/>
  <c r="CK86" i="16"/>
  <c r="N87" i="3" s="1"/>
  <c r="CK87" i="16"/>
  <c r="N88" i="3" s="1"/>
  <c r="CK88" i="16"/>
  <c r="N89" i="3" s="1"/>
  <c r="CK89" i="16"/>
  <c r="N90" i="3" s="1"/>
  <c r="CK90" i="16"/>
  <c r="N91" i="3" s="1"/>
  <c r="CK91" i="16"/>
  <c r="N92" i="3" s="1"/>
  <c r="CK92" i="16"/>
  <c r="N93" i="3" s="1"/>
  <c r="CK93" i="16"/>
  <c r="N94" i="3" s="1"/>
  <c r="CK94" i="16"/>
  <c r="N95" i="3" s="1"/>
  <c r="CK95" i="16"/>
  <c r="N96" i="3" s="1"/>
  <c r="CK96" i="16"/>
  <c r="N97" i="3" s="1"/>
  <c r="CK97" i="16"/>
  <c r="N98" i="3" s="1"/>
  <c r="CK98" i="16"/>
  <c r="N99" i="3" s="1"/>
  <c r="CK99" i="16"/>
  <c r="N100" i="3" s="1"/>
  <c r="CK100" i="16"/>
  <c r="N101" i="3" s="1"/>
  <c r="CK101" i="16"/>
  <c r="N102" i="3" s="1"/>
  <c r="CK102" i="16"/>
  <c r="N103" i="3" s="1"/>
  <c r="CK103" i="16"/>
  <c r="N104" i="3" s="1"/>
  <c r="CK104" i="16"/>
  <c r="N105" i="3" s="1"/>
  <c r="CK105" i="16"/>
  <c r="N106" i="3" s="1"/>
  <c r="CK106" i="16"/>
  <c r="N107" i="3" s="1"/>
  <c r="CK107" i="16"/>
  <c r="N108" i="3" s="1"/>
  <c r="CK108" i="16"/>
  <c r="N109" i="3" s="1"/>
  <c r="CK109" i="16"/>
  <c r="N110" i="3" s="1"/>
  <c r="CK110" i="16"/>
  <c r="N111" i="3" s="1"/>
  <c r="CK111" i="16"/>
  <c r="N112" i="3" s="1"/>
  <c r="CK112" i="16"/>
  <c r="N113" i="3" s="1"/>
  <c r="CK113" i="16"/>
  <c r="N114" i="3" s="1"/>
  <c r="CK114" i="16"/>
  <c r="N115" i="3" s="1"/>
  <c r="CK115" i="16"/>
  <c r="N116" i="3" s="1"/>
  <c r="CK116" i="16"/>
  <c r="N117" i="3" s="1"/>
  <c r="CK117" i="16"/>
  <c r="N118" i="3" s="1"/>
  <c r="CK118" i="16"/>
  <c r="N119" i="3" s="1"/>
  <c r="CK119" i="16"/>
  <c r="N120" i="3" s="1"/>
  <c r="CK120" i="16"/>
  <c r="N121" i="3" s="1"/>
  <c r="CK121" i="16"/>
  <c r="N122" i="3" s="1"/>
  <c r="CK122" i="16"/>
  <c r="N123" i="3" s="1"/>
  <c r="CK123" i="16"/>
  <c r="N124" i="3" s="1"/>
  <c r="CK124" i="16"/>
  <c r="N125" i="3" s="1"/>
  <c r="CK125" i="16"/>
  <c r="N126" i="3" s="1"/>
  <c r="CK126" i="16"/>
  <c r="N127" i="3" s="1"/>
  <c r="CK127" i="16"/>
  <c r="N128" i="3" s="1"/>
  <c r="CK128" i="16"/>
  <c r="N129" i="3" s="1"/>
  <c r="CK129" i="16"/>
  <c r="N130" i="3" s="1"/>
  <c r="CK130" i="16"/>
  <c r="N131" i="3" s="1"/>
  <c r="CK131" i="16"/>
  <c r="N132" i="3" s="1"/>
  <c r="CK132" i="16"/>
  <c r="N133" i="3" s="1"/>
  <c r="CK133" i="16"/>
  <c r="N134" i="3" s="1"/>
  <c r="CK134" i="16"/>
  <c r="N135" i="3" s="1"/>
  <c r="CK135" i="16"/>
  <c r="N136" i="3" s="1"/>
  <c r="CK136" i="16"/>
  <c r="N137" i="3" s="1"/>
  <c r="CK137" i="16"/>
  <c r="N138" i="3" s="1"/>
  <c r="CK138" i="16"/>
  <c r="N139" i="3" s="1"/>
  <c r="CK139" i="16"/>
  <c r="N140" i="3" s="1"/>
  <c r="CK140" i="16"/>
  <c r="N141" i="3" s="1"/>
  <c r="CK141" i="16"/>
  <c r="N142" i="3" s="1"/>
  <c r="CK142" i="16"/>
  <c r="N143" i="3" s="1"/>
  <c r="CK143" i="16"/>
  <c r="N144" i="3" s="1"/>
  <c r="CK144" i="16"/>
  <c r="N145" i="3" s="1"/>
  <c r="CK145" i="16"/>
  <c r="N146" i="3" s="1"/>
  <c r="CK146" i="16"/>
  <c r="N147" i="3" s="1"/>
  <c r="CK147" i="16"/>
  <c r="N148" i="3" s="1"/>
  <c r="CK148" i="16"/>
  <c r="N149" i="3" s="1"/>
  <c r="CK149" i="16"/>
  <c r="N150" i="3" s="1"/>
  <c r="CK150" i="16"/>
  <c r="N151" i="3" s="1"/>
  <c r="CK151" i="16"/>
  <c r="N152" i="3" s="1"/>
  <c r="CK152" i="16"/>
  <c r="N153" i="3" s="1"/>
  <c r="CK153" i="16"/>
  <c r="N154" i="3" s="1"/>
  <c r="CK154" i="16"/>
  <c r="N155" i="3" s="1"/>
  <c r="CK155" i="16"/>
  <c r="N156" i="3" s="1"/>
  <c r="CK156" i="16"/>
  <c r="N157" i="3" s="1"/>
  <c r="CK157" i="16"/>
  <c r="N158" i="3" s="1"/>
  <c r="CK158" i="16"/>
  <c r="N159" i="3" s="1"/>
  <c r="CK159" i="16"/>
  <c r="N160" i="3" s="1"/>
  <c r="CK160" i="16"/>
  <c r="N161" i="3" s="1"/>
  <c r="CK161" i="16"/>
  <c r="N162" i="3" s="1"/>
  <c r="CK162" i="16"/>
  <c r="N163" i="3" s="1"/>
  <c r="CK163" i="16"/>
  <c r="N164" i="3" s="1"/>
  <c r="CK164" i="16"/>
  <c r="N165" i="3" s="1"/>
  <c r="CK165" i="16"/>
  <c r="N166" i="3" s="1"/>
  <c r="CK166" i="16"/>
  <c r="N167" i="3" s="1"/>
  <c r="CK167" i="16"/>
  <c r="N168" i="3" s="1"/>
  <c r="CK168" i="16"/>
  <c r="N169" i="3" s="1"/>
  <c r="CK169" i="16"/>
  <c r="N170" i="3" s="1"/>
  <c r="CK170" i="16"/>
  <c r="N171" i="3" s="1"/>
  <c r="CK171" i="16"/>
  <c r="N172" i="3" s="1"/>
  <c r="CK172" i="16"/>
  <c r="N173" i="3" s="1"/>
  <c r="CK173" i="16"/>
  <c r="N174" i="3" s="1"/>
  <c r="CK174" i="16"/>
  <c r="N175" i="3" s="1"/>
  <c r="CK175" i="16"/>
  <c r="N176" i="3" s="1"/>
  <c r="CK176" i="16"/>
  <c r="N177" i="3" s="1"/>
  <c r="CI3" i="16"/>
  <c r="L4" i="3" s="1"/>
  <c r="CI4" i="16"/>
  <c r="L5" i="3" s="1"/>
  <c r="CI5" i="16"/>
  <c r="L6" i="3" s="1"/>
  <c r="CI6" i="16"/>
  <c r="L7" i="3" s="1"/>
  <c r="CI7" i="16"/>
  <c r="L8" i="3" s="1"/>
  <c r="CI8" i="16"/>
  <c r="L9" i="3" s="1"/>
  <c r="CI9" i="16"/>
  <c r="L10" i="3" s="1"/>
  <c r="CI10" i="16"/>
  <c r="L11" i="3" s="1"/>
  <c r="CI11" i="16"/>
  <c r="L12" i="3" s="1"/>
  <c r="CI12" i="16"/>
  <c r="L13" i="3" s="1"/>
  <c r="CI13" i="16"/>
  <c r="L14" i="3" s="1"/>
  <c r="CI14" i="16"/>
  <c r="L15" i="3" s="1"/>
  <c r="CI15" i="16"/>
  <c r="L16" i="3" s="1"/>
  <c r="CI16" i="16"/>
  <c r="L17" i="3" s="1"/>
  <c r="CI17" i="16"/>
  <c r="L18" i="3" s="1"/>
  <c r="CI18" i="16"/>
  <c r="L19" i="3" s="1"/>
  <c r="CI19" i="16"/>
  <c r="L20" i="3" s="1"/>
  <c r="CI20" i="16"/>
  <c r="L21" i="3" s="1"/>
  <c r="CI21" i="16"/>
  <c r="L22" i="3" s="1"/>
  <c r="CI22" i="16"/>
  <c r="L23" i="3" s="1"/>
  <c r="CI23" i="16"/>
  <c r="L24" i="3" s="1"/>
  <c r="CI24" i="16"/>
  <c r="L25" i="3" s="1"/>
  <c r="CI25" i="16"/>
  <c r="L26" i="3" s="1"/>
  <c r="CI26" i="16"/>
  <c r="L27" i="3" s="1"/>
  <c r="CI27" i="16"/>
  <c r="L28" i="3" s="1"/>
  <c r="CI28" i="16"/>
  <c r="L29" i="3" s="1"/>
  <c r="CI29" i="16"/>
  <c r="L30" i="3" s="1"/>
  <c r="CI30" i="16"/>
  <c r="L31" i="3" s="1"/>
  <c r="CI31" i="16"/>
  <c r="L32" i="3" s="1"/>
  <c r="CI32" i="16"/>
  <c r="L33" i="3" s="1"/>
  <c r="CI33" i="16"/>
  <c r="L34" i="3" s="1"/>
  <c r="CI34" i="16"/>
  <c r="L35" i="3" s="1"/>
  <c r="CI35" i="16"/>
  <c r="L36" i="3" s="1"/>
  <c r="CI36" i="16"/>
  <c r="L37" i="3" s="1"/>
  <c r="CI37" i="16"/>
  <c r="L38" i="3" s="1"/>
  <c r="CI38" i="16"/>
  <c r="L39" i="3" s="1"/>
  <c r="CI39" i="16"/>
  <c r="L40" i="3" s="1"/>
  <c r="CI40" i="16"/>
  <c r="L41" i="3" s="1"/>
  <c r="CI41" i="16"/>
  <c r="L42" i="3" s="1"/>
  <c r="CI42" i="16"/>
  <c r="L43" i="3" s="1"/>
  <c r="CI43" i="16"/>
  <c r="L44" i="3" s="1"/>
  <c r="CI44" i="16"/>
  <c r="L45" i="3" s="1"/>
  <c r="CI45" i="16"/>
  <c r="L46" i="3" s="1"/>
  <c r="CI46" i="16"/>
  <c r="L47" i="3" s="1"/>
  <c r="CI47" i="16"/>
  <c r="L48" i="3" s="1"/>
  <c r="CI48" i="16"/>
  <c r="L49" i="3" s="1"/>
  <c r="CI49" i="16"/>
  <c r="L50" i="3" s="1"/>
  <c r="CI50" i="16"/>
  <c r="L51" i="3" s="1"/>
  <c r="CI51" i="16"/>
  <c r="L52" i="3" s="1"/>
  <c r="CI52" i="16"/>
  <c r="L53" i="3" s="1"/>
  <c r="CI53" i="16"/>
  <c r="L54" i="3" s="1"/>
  <c r="CI54" i="16"/>
  <c r="L55" i="3" s="1"/>
  <c r="CI55" i="16"/>
  <c r="L56" i="3" s="1"/>
  <c r="CI56" i="16"/>
  <c r="L57" i="3" s="1"/>
  <c r="CI57" i="16"/>
  <c r="L58" i="3" s="1"/>
  <c r="CI58" i="16"/>
  <c r="L59" i="3" s="1"/>
  <c r="CI59" i="16"/>
  <c r="L60" i="3" s="1"/>
  <c r="CI60" i="16"/>
  <c r="L61" i="3" s="1"/>
  <c r="I13" i="7" s="1"/>
  <c r="CI61" i="16"/>
  <c r="L62" i="3" s="1"/>
  <c r="CI62" i="16"/>
  <c r="L63" i="3" s="1"/>
  <c r="CI63" i="16"/>
  <c r="L64" i="3" s="1"/>
  <c r="CI64" i="16"/>
  <c r="L65" i="3" s="1"/>
  <c r="CI65" i="16"/>
  <c r="L66" i="3" s="1"/>
  <c r="CI66" i="16"/>
  <c r="L67" i="3" s="1"/>
  <c r="CI67" i="16"/>
  <c r="L68" i="3" s="1"/>
  <c r="CI68" i="16"/>
  <c r="L69" i="3" s="1"/>
  <c r="CI69" i="16"/>
  <c r="L70" i="3" s="1"/>
  <c r="CI70" i="16"/>
  <c r="L71" i="3" s="1"/>
  <c r="CI71" i="16"/>
  <c r="L72" i="3" s="1"/>
  <c r="CI72" i="16"/>
  <c r="L73" i="3" s="1"/>
  <c r="CI73" i="16"/>
  <c r="L74" i="3" s="1"/>
  <c r="CI74" i="16"/>
  <c r="L75" i="3" s="1"/>
  <c r="CI75" i="16"/>
  <c r="L76" i="3" s="1"/>
  <c r="CI76" i="16"/>
  <c r="L77" i="3" s="1"/>
  <c r="CI77" i="16"/>
  <c r="L78" i="3" s="1"/>
  <c r="CI78" i="16"/>
  <c r="L79" i="3" s="1"/>
  <c r="CI79" i="16"/>
  <c r="L80" i="3" s="1"/>
  <c r="CI80" i="16"/>
  <c r="L81" i="3" s="1"/>
  <c r="CI81" i="16"/>
  <c r="L82" i="3" s="1"/>
  <c r="CI82" i="16"/>
  <c r="L83" i="3" s="1"/>
  <c r="CI83" i="16"/>
  <c r="L84" i="3" s="1"/>
  <c r="CI84" i="16"/>
  <c r="L85" i="3" s="1"/>
  <c r="CI85" i="16"/>
  <c r="L86" i="3" s="1"/>
  <c r="CI86" i="16"/>
  <c r="L87" i="3" s="1"/>
  <c r="CI87" i="16"/>
  <c r="L88" i="3" s="1"/>
  <c r="CI88" i="16"/>
  <c r="L89" i="3" s="1"/>
  <c r="CI89" i="16"/>
  <c r="L90" i="3" s="1"/>
  <c r="CI90" i="16"/>
  <c r="L91" i="3" s="1"/>
  <c r="CI91" i="16"/>
  <c r="L92" i="3" s="1"/>
  <c r="CI92" i="16"/>
  <c r="L93" i="3" s="1"/>
  <c r="CI93" i="16"/>
  <c r="L94" i="3" s="1"/>
  <c r="CI94" i="16"/>
  <c r="L95" i="3" s="1"/>
  <c r="CI95" i="16"/>
  <c r="L96" i="3" s="1"/>
  <c r="CI96" i="16"/>
  <c r="L97" i="3" s="1"/>
  <c r="CI97" i="16"/>
  <c r="L98" i="3" s="1"/>
  <c r="CI98" i="16"/>
  <c r="L99" i="3" s="1"/>
  <c r="CI99" i="16"/>
  <c r="L100" i="3" s="1"/>
  <c r="CI100" i="16"/>
  <c r="L101" i="3" s="1"/>
  <c r="CI101" i="16"/>
  <c r="L102" i="3" s="1"/>
  <c r="CI102" i="16"/>
  <c r="L103" i="3" s="1"/>
  <c r="CI103" i="16"/>
  <c r="L104" i="3" s="1"/>
  <c r="CI104" i="16"/>
  <c r="L105" i="3" s="1"/>
  <c r="CI105" i="16"/>
  <c r="L106" i="3" s="1"/>
  <c r="CI106" i="16"/>
  <c r="L107" i="3" s="1"/>
  <c r="CI107" i="16"/>
  <c r="L108" i="3" s="1"/>
  <c r="CI108" i="16"/>
  <c r="L109" i="3" s="1"/>
  <c r="CI109" i="16"/>
  <c r="L110" i="3" s="1"/>
  <c r="CI110" i="16"/>
  <c r="L111" i="3" s="1"/>
  <c r="CI111" i="16"/>
  <c r="L112" i="3" s="1"/>
  <c r="CI112" i="16"/>
  <c r="L113" i="3" s="1"/>
  <c r="CI113" i="16"/>
  <c r="L114" i="3" s="1"/>
  <c r="CI114" i="16"/>
  <c r="L115" i="3" s="1"/>
  <c r="CI115" i="16"/>
  <c r="L116" i="3" s="1"/>
  <c r="CI116" i="16"/>
  <c r="L117" i="3" s="1"/>
  <c r="CI117" i="16"/>
  <c r="L118" i="3" s="1"/>
  <c r="CI118" i="16"/>
  <c r="L119" i="3" s="1"/>
  <c r="CI119" i="16"/>
  <c r="L120" i="3" s="1"/>
  <c r="CI120" i="16"/>
  <c r="L121" i="3" s="1"/>
  <c r="CI121" i="16"/>
  <c r="L122" i="3" s="1"/>
  <c r="CI122" i="16"/>
  <c r="L123" i="3" s="1"/>
  <c r="CI123" i="16"/>
  <c r="L124" i="3" s="1"/>
  <c r="CI124" i="16"/>
  <c r="L125" i="3" s="1"/>
  <c r="CI125" i="16"/>
  <c r="L126" i="3" s="1"/>
  <c r="CI126" i="16"/>
  <c r="L127" i="3" s="1"/>
  <c r="CI127" i="16"/>
  <c r="L128" i="3" s="1"/>
  <c r="CI128" i="16"/>
  <c r="L129" i="3" s="1"/>
  <c r="CI129" i="16"/>
  <c r="L130" i="3" s="1"/>
  <c r="CI130" i="16"/>
  <c r="L131" i="3" s="1"/>
  <c r="CI131" i="16"/>
  <c r="L132" i="3" s="1"/>
  <c r="CI132" i="16"/>
  <c r="L133" i="3" s="1"/>
  <c r="CI133" i="16"/>
  <c r="L134" i="3" s="1"/>
  <c r="CI134" i="16"/>
  <c r="L135" i="3" s="1"/>
  <c r="CI135" i="16"/>
  <c r="L136" i="3" s="1"/>
  <c r="CI136" i="16"/>
  <c r="L137" i="3" s="1"/>
  <c r="CI137" i="16"/>
  <c r="L138" i="3" s="1"/>
  <c r="CI138" i="16"/>
  <c r="L139" i="3" s="1"/>
  <c r="CI139" i="16"/>
  <c r="L140" i="3" s="1"/>
  <c r="CI140" i="16"/>
  <c r="L141" i="3" s="1"/>
  <c r="CI141" i="16"/>
  <c r="L142" i="3" s="1"/>
  <c r="CI142" i="16"/>
  <c r="L143" i="3" s="1"/>
  <c r="CI143" i="16"/>
  <c r="L144" i="3" s="1"/>
  <c r="CI144" i="16"/>
  <c r="L145" i="3" s="1"/>
  <c r="CI145" i="16"/>
  <c r="L146" i="3" s="1"/>
  <c r="CI146" i="16"/>
  <c r="L147" i="3" s="1"/>
  <c r="CI147" i="16"/>
  <c r="L148" i="3" s="1"/>
  <c r="CI148" i="16"/>
  <c r="L149" i="3" s="1"/>
  <c r="CI149" i="16"/>
  <c r="L150" i="3" s="1"/>
  <c r="CI150" i="16"/>
  <c r="L151" i="3" s="1"/>
  <c r="CI151" i="16"/>
  <c r="L152" i="3" s="1"/>
  <c r="CI152" i="16"/>
  <c r="L153" i="3" s="1"/>
  <c r="CI153" i="16"/>
  <c r="L154" i="3" s="1"/>
  <c r="CI154" i="16"/>
  <c r="L155" i="3" s="1"/>
  <c r="CI155" i="16"/>
  <c r="L156" i="3" s="1"/>
  <c r="CI156" i="16"/>
  <c r="L157" i="3" s="1"/>
  <c r="CI157" i="16"/>
  <c r="L158" i="3" s="1"/>
  <c r="CI158" i="16"/>
  <c r="L159" i="3" s="1"/>
  <c r="CI159" i="16"/>
  <c r="L160" i="3" s="1"/>
  <c r="CI160" i="16"/>
  <c r="L161" i="3" s="1"/>
  <c r="CI161" i="16"/>
  <c r="L162" i="3" s="1"/>
  <c r="CI162" i="16"/>
  <c r="L163" i="3" s="1"/>
  <c r="CI163" i="16"/>
  <c r="L164" i="3" s="1"/>
  <c r="CI164" i="16"/>
  <c r="L165" i="3" s="1"/>
  <c r="CI165" i="16"/>
  <c r="L166" i="3" s="1"/>
  <c r="CI166" i="16"/>
  <c r="L167" i="3" s="1"/>
  <c r="CI167" i="16"/>
  <c r="L168" i="3" s="1"/>
  <c r="CI168" i="16"/>
  <c r="L169" i="3" s="1"/>
  <c r="CI169" i="16"/>
  <c r="L170" i="3" s="1"/>
  <c r="CI170" i="16"/>
  <c r="L171" i="3" s="1"/>
  <c r="CI171" i="16"/>
  <c r="L172" i="3" s="1"/>
  <c r="CI172" i="16"/>
  <c r="L173" i="3" s="1"/>
  <c r="CI173" i="16"/>
  <c r="L174" i="3" s="1"/>
  <c r="CI174" i="16"/>
  <c r="L175" i="3" s="1"/>
  <c r="CI175" i="16"/>
  <c r="L176" i="3" s="1"/>
  <c r="CI176" i="16"/>
  <c r="L177" i="3" s="1"/>
  <c r="CD3" i="16"/>
  <c r="G4" i="3" s="1"/>
  <c r="CD4" i="16"/>
  <c r="G5" i="3" s="1"/>
  <c r="CD5" i="16"/>
  <c r="G6" i="3" s="1"/>
  <c r="CD6" i="16"/>
  <c r="G7" i="3" s="1"/>
  <c r="CD7" i="16"/>
  <c r="G8" i="3" s="1"/>
  <c r="CD8" i="16"/>
  <c r="G9" i="3" s="1"/>
  <c r="CD9" i="16"/>
  <c r="G10" i="3" s="1"/>
  <c r="CD10" i="16"/>
  <c r="G11" i="3" s="1"/>
  <c r="CD11" i="16"/>
  <c r="G12" i="3" s="1"/>
  <c r="CD12" i="16"/>
  <c r="G13" i="3" s="1"/>
  <c r="CD13" i="16"/>
  <c r="G14" i="3" s="1"/>
  <c r="CD14" i="16"/>
  <c r="G15" i="3" s="1"/>
  <c r="CD15" i="16"/>
  <c r="G16" i="3" s="1"/>
  <c r="CD16" i="16"/>
  <c r="G17" i="3" s="1"/>
  <c r="CD17" i="16"/>
  <c r="G18" i="3" s="1"/>
  <c r="CD18" i="16"/>
  <c r="G19" i="3" s="1"/>
  <c r="CD19" i="16"/>
  <c r="G20" i="3" s="1"/>
  <c r="CD20" i="16"/>
  <c r="G21" i="3" s="1"/>
  <c r="CD21" i="16"/>
  <c r="G22" i="3" s="1"/>
  <c r="CD22" i="16"/>
  <c r="G23" i="3" s="1"/>
  <c r="CD23" i="16"/>
  <c r="G24" i="3" s="1"/>
  <c r="CD24" i="16"/>
  <c r="G25" i="3" s="1"/>
  <c r="CD25" i="16"/>
  <c r="G26" i="3" s="1"/>
  <c r="CD26" i="16"/>
  <c r="G27" i="3" s="1"/>
  <c r="CD27" i="16"/>
  <c r="G28" i="3" s="1"/>
  <c r="CD28" i="16"/>
  <c r="G29" i="3" s="1"/>
  <c r="CD29" i="16"/>
  <c r="G30" i="3" s="1"/>
  <c r="CD30" i="16"/>
  <c r="G31" i="3" s="1"/>
  <c r="CD31" i="16"/>
  <c r="G32" i="3" s="1"/>
  <c r="CD32" i="16"/>
  <c r="G33" i="3" s="1"/>
  <c r="CD33" i="16"/>
  <c r="G34" i="3" s="1"/>
  <c r="CD34" i="16"/>
  <c r="G35" i="3" s="1"/>
  <c r="CD35" i="16"/>
  <c r="G36" i="3" s="1"/>
  <c r="CD36" i="16"/>
  <c r="G37" i="3" s="1"/>
  <c r="CD37" i="16"/>
  <c r="G38" i="3" s="1"/>
  <c r="CD38" i="16"/>
  <c r="G39" i="3" s="1"/>
  <c r="CD39" i="16"/>
  <c r="G40" i="3" s="1"/>
  <c r="CD40" i="16"/>
  <c r="G41" i="3" s="1"/>
  <c r="CD41" i="16"/>
  <c r="G42" i="3" s="1"/>
  <c r="CD42" i="16"/>
  <c r="G43" i="3" s="1"/>
  <c r="CD43" i="16"/>
  <c r="G44" i="3" s="1"/>
  <c r="CD44" i="16"/>
  <c r="G45" i="3" s="1"/>
  <c r="CD45" i="16"/>
  <c r="G46" i="3" s="1"/>
  <c r="CD46" i="16"/>
  <c r="G47" i="3" s="1"/>
  <c r="CD47" i="16"/>
  <c r="G48" i="3" s="1"/>
  <c r="CD48" i="16"/>
  <c r="G49" i="3" s="1"/>
  <c r="CD49" i="16"/>
  <c r="G50" i="3" s="1"/>
  <c r="CD51" i="16"/>
  <c r="G52" i="3" s="1"/>
  <c r="CD52" i="16"/>
  <c r="G53" i="3" s="1"/>
  <c r="CD53" i="16"/>
  <c r="G54" i="3" s="1"/>
  <c r="CD54" i="16"/>
  <c r="G55" i="3" s="1"/>
  <c r="CD55" i="16"/>
  <c r="G56" i="3" s="1"/>
  <c r="CD56" i="16"/>
  <c r="G57" i="3" s="1"/>
  <c r="CD57" i="16"/>
  <c r="G58" i="3" s="1"/>
  <c r="CD58" i="16"/>
  <c r="G59" i="3" s="1"/>
  <c r="CD59" i="16"/>
  <c r="G60" i="3" s="1"/>
  <c r="CD60" i="16"/>
  <c r="G61" i="3" s="1"/>
  <c r="CD61" i="16"/>
  <c r="G62" i="3" s="1"/>
  <c r="CD62" i="16"/>
  <c r="G63" i="3" s="1"/>
  <c r="CD63" i="16"/>
  <c r="G64" i="3" s="1"/>
  <c r="CD64" i="16"/>
  <c r="G65" i="3" s="1"/>
  <c r="CD65" i="16"/>
  <c r="G66" i="3" s="1"/>
  <c r="CD68" i="16"/>
  <c r="G69" i="3" s="1"/>
  <c r="CD69" i="16"/>
  <c r="G70" i="3" s="1"/>
  <c r="CD71" i="16"/>
  <c r="G72" i="3" s="1"/>
  <c r="CD72" i="16"/>
  <c r="G73" i="3" s="1"/>
  <c r="CD73" i="16"/>
  <c r="G74" i="3" s="1"/>
  <c r="CD74" i="16"/>
  <c r="G75" i="3" s="1"/>
  <c r="CD75" i="16"/>
  <c r="G76" i="3" s="1"/>
  <c r="CD76" i="16"/>
  <c r="G77" i="3" s="1"/>
  <c r="CD77" i="16"/>
  <c r="G78" i="3" s="1"/>
  <c r="CD78" i="16"/>
  <c r="G79" i="3" s="1"/>
  <c r="CD79" i="16"/>
  <c r="G80" i="3" s="1"/>
  <c r="CD80" i="16"/>
  <c r="G81" i="3" s="1"/>
  <c r="CD81" i="16"/>
  <c r="G82" i="3" s="1"/>
  <c r="CD82" i="16"/>
  <c r="G83" i="3" s="1"/>
  <c r="CD83" i="16"/>
  <c r="G84" i="3" s="1"/>
  <c r="CD84" i="16"/>
  <c r="G85" i="3" s="1"/>
  <c r="CD85" i="16"/>
  <c r="G86" i="3" s="1"/>
  <c r="CD86" i="16"/>
  <c r="G87" i="3" s="1"/>
  <c r="CD87" i="16"/>
  <c r="G88" i="3" s="1"/>
  <c r="CD88" i="16"/>
  <c r="G89" i="3" s="1"/>
  <c r="CD89" i="16"/>
  <c r="G90" i="3" s="1"/>
  <c r="CD90" i="16"/>
  <c r="G91" i="3" s="1"/>
  <c r="CD91" i="16"/>
  <c r="G92" i="3" s="1"/>
  <c r="CD92" i="16"/>
  <c r="G93" i="3" s="1"/>
  <c r="CD93" i="16"/>
  <c r="G94" i="3" s="1"/>
  <c r="CD94" i="16"/>
  <c r="G95" i="3" s="1"/>
  <c r="CD95" i="16"/>
  <c r="G96" i="3" s="1"/>
  <c r="CD96" i="16"/>
  <c r="G97" i="3" s="1"/>
  <c r="CD97" i="16"/>
  <c r="G98" i="3" s="1"/>
  <c r="CD98" i="16"/>
  <c r="G99" i="3" s="1"/>
  <c r="CD99" i="16"/>
  <c r="G100" i="3" s="1"/>
  <c r="CD100" i="16"/>
  <c r="G101" i="3" s="1"/>
  <c r="CD101" i="16"/>
  <c r="G102" i="3" s="1"/>
  <c r="CD102" i="16"/>
  <c r="G103" i="3" s="1"/>
  <c r="CD103" i="16"/>
  <c r="G104" i="3" s="1"/>
  <c r="CD104" i="16"/>
  <c r="G105" i="3" s="1"/>
  <c r="CD105" i="16"/>
  <c r="G106" i="3" s="1"/>
  <c r="CD106" i="16"/>
  <c r="G107" i="3" s="1"/>
  <c r="CD107" i="16"/>
  <c r="G108" i="3" s="1"/>
  <c r="CD108" i="16"/>
  <c r="G109" i="3" s="1"/>
  <c r="CD109" i="16"/>
  <c r="G110" i="3" s="1"/>
  <c r="CD110" i="16"/>
  <c r="G111" i="3" s="1"/>
  <c r="CD111" i="16"/>
  <c r="G112" i="3" s="1"/>
  <c r="CD112" i="16"/>
  <c r="G113" i="3" s="1"/>
  <c r="CD113" i="16"/>
  <c r="G114" i="3" s="1"/>
  <c r="CD114" i="16"/>
  <c r="G115" i="3" s="1"/>
  <c r="CD115" i="16"/>
  <c r="G116" i="3" s="1"/>
  <c r="CD116" i="16"/>
  <c r="G117" i="3" s="1"/>
  <c r="CD117" i="16"/>
  <c r="G118" i="3" s="1"/>
  <c r="CD118" i="16"/>
  <c r="G119" i="3" s="1"/>
  <c r="CD119" i="16"/>
  <c r="G120" i="3" s="1"/>
  <c r="CD120" i="16"/>
  <c r="G121" i="3" s="1"/>
  <c r="CD121" i="16"/>
  <c r="G122" i="3" s="1"/>
  <c r="CD122" i="16"/>
  <c r="G123" i="3" s="1"/>
  <c r="CD123" i="16"/>
  <c r="G124" i="3" s="1"/>
  <c r="CD124" i="16"/>
  <c r="G125" i="3" s="1"/>
  <c r="CD125" i="16"/>
  <c r="G126" i="3" s="1"/>
  <c r="CD126" i="16"/>
  <c r="G127" i="3" s="1"/>
  <c r="CD127" i="16"/>
  <c r="G128" i="3" s="1"/>
  <c r="CD128" i="16"/>
  <c r="G129" i="3" s="1"/>
  <c r="CD129" i="16"/>
  <c r="G130" i="3" s="1"/>
  <c r="CD130" i="16"/>
  <c r="G131" i="3" s="1"/>
  <c r="CD131" i="16"/>
  <c r="G132" i="3" s="1"/>
  <c r="CD132" i="16"/>
  <c r="G133" i="3" s="1"/>
  <c r="CD133" i="16"/>
  <c r="G134" i="3" s="1"/>
  <c r="CD134" i="16"/>
  <c r="G135" i="3" s="1"/>
  <c r="CD135" i="16"/>
  <c r="G136" i="3" s="1"/>
  <c r="CD136" i="16"/>
  <c r="G137" i="3" s="1"/>
  <c r="CD137" i="16"/>
  <c r="G138" i="3" s="1"/>
  <c r="CD138" i="16"/>
  <c r="G139" i="3" s="1"/>
  <c r="CD139" i="16"/>
  <c r="G140" i="3" s="1"/>
  <c r="CD140" i="16"/>
  <c r="G141" i="3" s="1"/>
  <c r="CD141" i="16"/>
  <c r="G142" i="3" s="1"/>
  <c r="CD142" i="16"/>
  <c r="G143" i="3" s="1"/>
  <c r="CD143" i="16"/>
  <c r="G144" i="3" s="1"/>
  <c r="CD144" i="16"/>
  <c r="G145" i="3" s="1"/>
  <c r="CD145" i="16"/>
  <c r="G146" i="3" s="1"/>
  <c r="CD146" i="16"/>
  <c r="G147" i="3" s="1"/>
  <c r="CD147" i="16"/>
  <c r="G148" i="3" s="1"/>
  <c r="CD148" i="16"/>
  <c r="G149" i="3" s="1"/>
  <c r="CD149" i="16"/>
  <c r="G150" i="3" s="1"/>
  <c r="CD150" i="16"/>
  <c r="G151" i="3" s="1"/>
  <c r="CD151" i="16"/>
  <c r="G152" i="3" s="1"/>
  <c r="CD152" i="16"/>
  <c r="G153" i="3" s="1"/>
  <c r="CD153" i="16"/>
  <c r="G154" i="3" s="1"/>
  <c r="CD154" i="16"/>
  <c r="G155" i="3" s="1"/>
  <c r="CD155" i="16"/>
  <c r="G156" i="3" s="1"/>
  <c r="CD156" i="16"/>
  <c r="G157" i="3" s="1"/>
  <c r="CD157" i="16"/>
  <c r="G158" i="3" s="1"/>
  <c r="CD158" i="16"/>
  <c r="G159" i="3" s="1"/>
  <c r="CD159" i="16"/>
  <c r="G160" i="3" s="1"/>
  <c r="CD160" i="16"/>
  <c r="G161" i="3" s="1"/>
  <c r="CD161" i="16"/>
  <c r="G162" i="3" s="1"/>
  <c r="CD162" i="16"/>
  <c r="G163" i="3" s="1"/>
  <c r="CD163" i="16"/>
  <c r="G164" i="3" s="1"/>
  <c r="CD164" i="16"/>
  <c r="G165" i="3" s="1"/>
  <c r="CD165" i="16"/>
  <c r="G166" i="3" s="1"/>
  <c r="CD166" i="16"/>
  <c r="G167" i="3" s="1"/>
  <c r="CD167" i="16"/>
  <c r="G168" i="3" s="1"/>
  <c r="CD168" i="16"/>
  <c r="G169" i="3" s="1"/>
  <c r="CD169" i="16"/>
  <c r="G170" i="3" s="1"/>
  <c r="CD170" i="16"/>
  <c r="G171" i="3" s="1"/>
  <c r="CD171" i="16"/>
  <c r="G172" i="3" s="1"/>
  <c r="CD172" i="16"/>
  <c r="G173" i="3" s="1"/>
  <c r="CD173" i="16"/>
  <c r="G174" i="3" s="1"/>
  <c r="CD174" i="16"/>
  <c r="G175" i="3" s="1"/>
  <c r="CD175" i="16"/>
  <c r="G176" i="3" s="1"/>
  <c r="CD176" i="16"/>
  <c r="G177" i="3" s="1"/>
  <c r="CF4" i="16"/>
  <c r="CF8" i="16"/>
  <c r="CF11" i="16"/>
  <c r="CF16" i="16"/>
  <c r="CF18" i="16"/>
  <c r="CF33" i="16"/>
  <c r="CF36" i="16"/>
  <c r="CF49" i="16"/>
  <c r="CF53" i="16"/>
  <c r="CF56" i="16"/>
  <c r="CF58" i="16"/>
  <c r="CF60" i="16"/>
  <c r="CF62" i="16"/>
  <c r="CF64" i="16"/>
  <c r="CF66" i="16"/>
  <c r="CF68" i="16"/>
  <c r="CF70" i="16"/>
  <c r="CF71" i="16"/>
  <c r="CF73" i="16"/>
  <c r="CF75" i="16"/>
  <c r="CF77" i="16"/>
  <c r="CF79" i="16"/>
  <c r="CF81" i="16"/>
  <c r="CF84" i="16"/>
  <c r="CF86" i="16"/>
  <c r="CF87" i="16"/>
  <c r="CF90" i="16"/>
  <c r="CF92" i="16"/>
  <c r="CF94" i="16"/>
  <c r="CF97" i="16"/>
  <c r="CF100" i="16"/>
  <c r="CF102" i="16"/>
  <c r="CF105" i="16"/>
  <c r="CF108" i="16"/>
  <c r="CF111" i="16"/>
  <c r="CF114" i="16"/>
  <c r="CF117" i="16"/>
  <c r="CF120" i="16"/>
  <c r="CF124" i="16"/>
  <c r="CF127" i="16"/>
  <c r="CF131" i="16"/>
  <c r="CF134" i="16"/>
  <c r="CF137" i="16"/>
  <c r="CF141" i="16"/>
  <c r="CF145" i="16"/>
  <c r="CF148" i="16"/>
  <c r="CF152" i="16"/>
  <c r="CF156" i="16"/>
  <c r="CF160" i="16"/>
  <c r="CF164" i="16"/>
  <c r="CF167" i="16"/>
  <c r="CF171" i="16"/>
  <c r="CF176" i="16"/>
  <c r="CC3" i="16"/>
  <c r="CC4" i="16"/>
  <c r="CC5" i="16"/>
  <c r="CC6" i="16"/>
  <c r="CC7" i="16"/>
  <c r="CC8" i="16"/>
  <c r="CC9" i="16"/>
  <c r="CC10" i="16"/>
  <c r="CC11" i="16"/>
  <c r="CC12" i="16"/>
  <c r="CC13" i="16"/>
  <c r="CC14" i="16"/>
  <c r="CC15" i="16"/>
  <c r="CC16" i="16"/>
  <c r="CC17" i="16"/>
  <c r="CC18" i="16"/>
  <c r="CC19" i="16"/>
  <c r="CC20" i="16"/>
  <c r="CC21" i="16"/>
  <c r="CC22" i="16"/>
  <c r="CC23" i="16"/>
  <c r="CC24" i="16"/>
  <c r="CC25" i="16"/>
  <c r="CC26" i="16"/>
  <c r="CC27" i="16"/>
  <c r="CC28" i="16"/>
  <c r="CC29" i="16"/>
  <c r="CC30" i="16"/>
  <c r="CC31" i="16"/>
  <c r="CC32" i="16"/>
  <c r="CC33" i="16"/>
  <c r="CC34" i="16"/>
  <c r="CC35" i="16"/>
  <c r="CC36" i="16"/>
  <c r="CC37" i="16"/>
  <c r="CC38" i="16"/>
  <c r="CC39" i="16"/>
  <c r="CC40" i="16"/>
  <c r="CC41" i="16"/>
  <c r="CC42" i="16"/>
  <c r="CC43" i="16"/>
  <c r="CC44" i="16"/>
  <c r="CC45" i="16"/>
  <c r="CC46" i="16"/>
  <c r="CC47" i="16"/>
  <c r="CC48" i="16"/>
  <c r="CC49" i="16"/>
  <c r="CC50" i="16"/>
  <c r="CC51" i="16"/>
  <c r="CC52" i="16"/>
  <c r="CC53" i="16"/>
  <c r="CC54" i="16"/>
  <c r="CC55" i="16"/>
  <c r="CC56" i="16"/>
  <c r="CC57" i="16"/>
  <c r="CC58" i="16"/>
  <c r="CC59" i="16"/>
  <c r="CC60" i="16"/>
  <c r="CC61" i="16"/>
  <c r="CC62" i="16"/>
  <c r="CC63" i="16"/>
  <c r="CC64" i="16"/>
  <c r="CC65" i="16"/>
  <c r="CC66" i="16"/>
  <c r="CC67" i="16"/>
  <c r="CC68" i="16"/>
  <c r="CC69" i="16"/>
  <c r="CC70" i="16"/>
  <c r="CC71" i="16"/>
  <c r="CC72" i="16"/>
  <c r="CC73" i="16"/>
  <c r="CC74" i="16"/>
  <c r="CC75" i="16"/>
  <c r="CC76" i="16"/>
  <c r="CC77" i="16"/>
  <c r="CC78" i="16"/>
  <c r="CC79" i="16"/>
  <c r="CC80" i="16"/>
  <c r="CC81" i="16"/>
  <c r="CC82" i="16"/>
  <c r="CC83" i="16"/>
  <c r="CC84" i="16"/>
  <c r="CC85" i="16"/>
  <c r="CC86" i="16"/>
  <c r="CC87" i="16"/>
  <c r="CC88" i="16"/>
  <c r="CC89" i="16"/>
  <c r="CC90" i="16"/>
  <c r="CC91" i="16"/>
  <c r="CC92" i="16"/>
  <c r="CC93" i="16"/>
  <c r="CC94" i="16"/>
  <c r="CC95" i="16"/>
  <c r="CC96" i="16"/>
  <c r="CC97" i="16"/>
  <c r="CC98" i="16"/>
  <c r="CC99" i="16"/>
  <c r="CC100" i="16"/>
  <c r="CC101" i="16"/>
  <c r="CB129" i="16"/>
  <c r="E130" i="3" s="1"/>
  <c r="B183" i="3" s="1"/>
  <c r="C183" i="3" s="1"/>
  <c r="CF3" i="16"/>
  <c r="CF6" i="16"/>
  <c r="CF7" i="16"/>
  <c r="CF10" i="16"/>
  <c r="CF13" i="16"/>
  <c r="CF14" i="16"/>
  <c r="CF17" i="16"/>
  <c r="CF19" i="16"/>
  <c r="CF22" i="16"/>
  <c r="CF24" i="16"/>
  <c r="CF25" i="16"/>
  <c r="CF27" i="16"/>
  <c r="CF29" i="16"/>
  <c r="CF30" i="16"/>
  <c r="CF31" i="16"/>
  <c r="CF32" i="16"/>
  <c r="CF34" i="16"/>
  <c r="CF35" i="16"/>
  <c r="CF37" i="16"/>
  <c r="CF38" i="16"/>
  <c r="CF39" i="16"/>
  <c r="CF40" i="16"/>
  <c r="CF41" i="16"/>
  <c r="CF42" i="16"/>
  <c r="CF43" i="16"/>
  <c r="CF44" i="16"/>
  <c r="CF45" i="16"/>
  <c r="CF46" i="16"/>
  <c r="CF47" i="16"/>
  <c r="CF48" i="16"/>
  <c r="CF50" i="16"/>
  <c r="CF51" i="16"/>
  <c r="CF52" i="16"/>
  <c r="CF54" i="16"/>
  <c r="CF55" i="16"/>
  <c r="CF57" i="16"/>
  <c r="CF59" i="16"/>
  <c r="CF61" i="16"/>
  <c r="CF63" i="16"/>
  <c r="CF65" i="16"/>
  <c r="CF67" i="16"/>
  <c r="CF69" i="16"/>
  <c r="CF96" i="16"/>
  <c r="CF99" i="16"/>
  <c r="CF101" i="16"/>
  <c r="CF104" i="16"/>
  <c r="CF107" i="16"/>
  <c r="CF110" i="16"/>
  <c r="CF113" i="16"/>
  <c r="CF116" i="16"/>
  <c r="CF119" i="16"/>
  <c r="CF122" i="16"/>
  <c r="CF125" i="16"/>
  <c r="CF128" i="16"/>
  <c r="CF132" i="16"/>
  <c r="CF135" i="16"/>
  <c r="CF139" i="16"/>
  <c r="CF143" i="16"/>
  <c r="CF147" i="16"/>
  <c r="CF151" i="16"/>
  <c r="CF154" i="16"/>
  <c r="CF158" i="16"/>
  <c r="CF161" i="16"/>
  <c r="CF165" i="16"/>
  <c r="CF169" i="16"/>
  <c r="CF173" i="16"/>
  <c r="CC102" i="16"/>
  <c r="CC103" i="16"/>
  <c r="CC104" i="16"/>
  <c r="CC105" i="16"/>
  <c r="CC106" i="16"/>
  <c r="CC107" i="16"/>
  <c r="CC108" i="16"/>
  <c r="CC109" i="16"/>
  <c r="CC110" i="16"/>
  <c r="CC111" i="16"/>
  <c r="CC112" i="16"/>
  <c r="CC113" i="16"/>
  <c r="CC114" i="16"/>
  <c r="CC115" i="16"/>
  <c r="CC116" i="16"/>
  <c r="CC117" i="16"/>
  <c r="CC118" i="16"/>
  <c r="CC119" i="16"/>
  <c r="CC120" i="16"/>
  <c r="CC121" i="16"/>
  <c r="CC122" i="16"/>
  <c r="CC123" i="16"/>
  <c r="CC124" i="16"/>
  <c r="CC125" i="16"/>
  <c r="CC126" i="16"/>
  <c r="CC127" i="16"/>
  <c r="CC128" i="16"/>
  <c r="CC129" i="16"/>
  <c r="CC130" i="16"/>
  <c r="CC131" i="16"/>
  <c r="CC132" i="16"/>
  <c r="CC133" i="16"/>
  <c r="CC134" i="16"/>
  <c r="CC135" i="16"/>
  <c r="CC136" i="16"/>
  <c r="CC137" i="16"/>
  <c r="CC138" i="16"/>
  <c r="CC139" i="16"/>
  <c r="CC140" i="16"/>
  <c r="CC141" i="16"/>
  <c r="CC142" i="16"/>
  <c r="CC143" i="16"/>
  <c r="CC144" i="16"/>
  <c r="CC145" i="16"/>
  <c r="CC146" i="16"/>
  <c r="CC147" i="16"/>
  <c r="CC148" i="16"/>
  <c r="CC152" i="16"/>
  <c r="CC153" i="16"/>
  <c r="CC154" i="16"/>
  <c r="CC155" i="16"/>
  <c r="CC156" i="16"/>
  <c r="CC157" i="16"/>
  <c r="CC158" i="16"/>
  <c r="CC159" i="16"/>
  <c r="CC160" i="16"/>
  <c r="CC161" i="16"/>
  <c r="CC162" i="16"/>
  <c r="CC163" i="16"/>
  <c r="CC164" i="16"/>
  <c r="CC165" i="16"/>
  <c r="CC166" i="16"/>
  <c r="CC167" i="16"/>
  <c r="CC168" i="16"/>
  <c r="CC169" i="16"/>
  <c r="CC170" i="16"/>
  <c r="CC171" i="16"/>
  <c r="CC172" i="16"/>
  <c r="CC173" i="16"/>
  <c r="CC174" i="16"/>
  <c r="CC175" i="16"/>
  <c r="CC176" i="16"/>
  <c r="CF129" i="16"/>
  <c r="CF136" i="16"/>
  <c r="CF140" i="16"/>
  <c r="CF144" i="16"/>
  <c r="CF149" i="16"/>
  <c r="CF153" i="16"/>
  <c r="CF157" i="16"/>
  <c r="CF162" i="16"/>
  <c r="CF166" i="16"/>
  <c r="CF170" i="16"/>
  <c r="CF174" i="16"/>
  <c r="CJ29" i="16"/>
  <c r="M30" i="3" s="1"/>
  <c r="CJ30" i="16"/>
  <c r="M31" i="3" s="1"/>
  <c r="CJ31" i="16"/>
  <c r="M32" i="3" s="1"/>
  <c r="CJ32" i="16"/>
  <c r="M33" i="3" s="1"/>
  <c r="CJ33" i="16"/>
  <c r="M34" i="3" s="1"/>
  <c r="CJ34" i="16"/>
  <c r="M35" i="3" s="1"/>
  <c r="CJ35" i="16"/>
  <c r="M36" i="3" s="1"/>
  <c r="CJ36" i="16"/>
  <c r="M37" i="3" s="1"/>
  <c r="T37" i="3" s="1"/>
  <c r="CJ37" i="16"/>
  <c r="M38" i="3" s="1"/>
  <c r="CF5" i="16"/>
  <c r="CF9" i="16"/>
  <c r="CF12" i="16"/>
  <c r="CF15" i="16"/>
  <c r="CF20" i="16"/>
  <c r="CF21" i="16"/>
  <c r="CF23" i="16"/>
  <c r="CF26" i="16"/>
  <c r="CF28" i="16"/>
  <c r="CF72" i="16"/>
  <c r="CF74" i="16"/>
  <c r="CF76" i="16"/>
  <c r="CF78" i="16"/>
  <c r="CF80" i="16"/>
  <c r="CF82" i="16"/>
  <c r="CF83" i="16"/>
  <c r="CF85" i="16"/>
  <c r="CF88" i="16"/>
  <c r="CF89" i="16"/>
  <c r="CF91" i="16"/>
  <c r="CF93" i="16"/>
  <c r="CF95" i="16"/>
  <c r="CF98" i="16"/>
  <c r="CF103" i="16"/>
  <c r="CF106" i="16"/>
  <c r="CF109" i="16"/>
  <c r="CF112" i="16"/>
  <c r="CF115" i="16"/>
  <c r="CF118" i="16"/>
  <c r="CF121" i="16"/>
  <c r="CF123" i="16"/>
  <c r="CF126" i="16"/>
  <c r="CF130" i="16"/>
  <c r="CF133" i="16"/>
  <c r="CF138" i="16"/>
  <c r="CF142" i="16"/>
  <c r="CF146" i="16"/>
  <c r="CF150" i="16"/>
  <c r="CF155" i="16"/>
  <c r="CF159" i="16"/>
  <c r="CF163" i="16"/>
  <c r="CF168" i="16"/>
  <c r="CF172" i="16"/>
  <c r="CF175" i="16"/>
  <c r="CH46" i="16"/>
  <c r="K47" i="3" s="1"/>
  <c r="CH47" i="16"/>
  <c r="K48" i="3" s="1"/>
  <c r="CH48" i="16"/>
  <c r="K49" i="3" s="1"/>
  <c r="CH49" i="16"/>
  <c r="K50" i="3" s="1"/>
  <c r="CH50" i="16"/>
  <c r="K51" i="3" s="1"/>
  <c r="CH51" i="16"/>
  <c r="K52" i="3" s="1"/>
  <c r="CH52" i="16"/>
  <c r="K53" i="3" s="1"/>
  <c r="CH53" i="16"/>
  <c r="K54" i="3" s="1"/>
  <c r="CH54" i="16"/>
  <c r="K55" i="3" s="1"/>
  <c r="CH55" i="16"/>
  <c r="K56" i="3" s="1"/>
  <c r="CH56" i="16"/>
  <c r="K57" i="3" s="1"/>
  <c r="CH57" i="16"/>
  <c r="K58" i="3" s="1"/>
  <c r="CH58" i="16"/>
  <c r="K59" i="3" s="1"/>
  <c r="CH59" i="16"/>
  <c r="K60" i="3" s="1"/>
  <c r="CH60" i="16"/>
  <c r="K61" i="3" s="1"/>
  <c r="CH61" i="16"/>
  <c r="K62" i="3" s="1"/>
  <c r="CH62" i="16"/>
  <c r="K63" i="3" s="1"/>
  <c r="CH63" i="16"/>
  <c r="K64" i="3" s="1"/>
  <c r="CH64" i="16"/>
  <c r="K65" i="3" s="1"/>
  <c r="CH65" i="16"/>
  <c r="K66" i="3" s="1"/>
  <c r="CH66" i="16"/>
  <c r="K67" i="3" s="1"/>
  <c r="CH67" i="16"/>
  <c r="K68" i="3" s="1"/>
  <c r="CH68" i="16"/>
  <c r="K69" i="3" s="1"/>
  <c r="CH69" i="16"/>
  <c r="K70" i="3" s="1"/>
  <c r="CH70" i="16"/>
  <c r="K71" i="3" s="1"/>
  <c r="T71" i="3" s="1"/>
  <c r="CH71" i="16"/>
  <c r="K72" i="3" s="1"/>
  <c r="CH72" i="16"/>
  <c r="K73" i="3" s="1"/>
  <c r="CH73" i="16"/>
  <c r="K74" i="3" s="1"/>
  <c r="T74" i="3" s="1"/>
  <c r="CH74" i="16"/>
  <c r="K75" i="3" s="1"/>
  <c r="CH75" i="16"/>
  <c r="K76" i="3" s="1"/>
  <c r="CH76" i="16"/>
  <c r="K77" i="3" s="1"/>
  <c r="CH77" i="16"/>
  <c r="K78" i="3" s="1"/>
  <c r="CH78" i="16"/>
  <c r="K79" i="3" s="1"/>
  <c r="CH79" i="16"/>
  <c r="K80" i="3" s="1"/>
  <c r="CH80" i="16"/>
  <c r="K81" i="3" s="1"/>
  <c r="T81" i="3" s="1"/>
  <c r="CH81" i="16"/>
  <c r="K82" i="3" s="1"/>
  <c r="CH82" i="16"/>
  <c r="K83" i="3" s="1"/>
  <c r="CH83" i="16"/>
  <c r="K84" i="3" s="1"/>
  <c r="CH84" i="16"/>
  <c r="K85" i="3" s="1"/>
  <c r="CH85" i="16"/>
  <c r="K86" i="3" s="1"/>
  <c r="CH86" i="16"/>
  <c r="K87" i="3" s="1"/>
  <c r="CH87" i="16"/>
  <c r="K88" i="3" s="1"/>
  <c r="CH88" i="16"/>
  <c r="K89" i="3" s="1"/>
  <c r="CH89" i="16"/>
  <c r="K90" i="3" s="1"/>
  <c r="CH90" i="16"/>
  <c r="K91" i="3" s="1"/>
  <c r="CH91" i="16"/>
  <c r="K92" i="3" s="1"/>
  <c r="CH92" i="16"/>
  <c r="K93" i="3" s="1"/>
  <c r="CH93" i="16"/>
  <c r="K94" i="3" s="1"/>
  <c r="CH94" i="16"/>
  <c r="K95" i="3" s="1"/>
  <c r="CH95" i="16"/>
  <c r="K96" i="3" s="1"/>
  <c r="CH96" i="16"/>
  <c r="K97" i="3" s="1"/>
  <c r="CH97" i="16"/>
  <c r="K98" i="3" s="1"/>
  <c r="CH98" i="16"/>
  <c r="K99" i="3" s="1"/>
  <c r="CH99" i="16"/>
  <c r="K100" i="3" s="1"/>
  <c r="CH100" i="16"/>
  <c r="K101" i="3" s="1"/>
  <c r="CH101" i="16"/>
  <c r="K102" i="3" s="1"/>
  <c r="CH102" i="16"/>
  <c r="K103" i="3" s="1"/>
  <c r="CH103" i="16"/>
  <c r="K104" i="3" s="1"/>
  <c r="CH104" i="16"/>
  <c r="K105" i="3" s="1"/>
  <c r="CH105" i="16"/>
  <c r="K106" i="3" s="1"/>
  <c r="CH106" i="16"/>
  <c r="K107" i="3" s="1"/>
  <c r="T107" i="3" s="1"/>
  <c r="G160" i="6"/>
  <c r="G159" i="6"/>
  <c r="G158" i="6"/>
  <c r="G157" i="6"/>
  <c r="G156" i="6"/>
  <c r="G154" i="6"/>
  <c r="G153" i="6"/>
  <c r="G152" i="6"/>
  <c r="G151" i="6"/>
  <c r="G150" i="6"/>
  <c r="G149" i="6"/>
  <c r="G137" i="6"/>
  <c r="G136" i="6"/>
  <c r="G135" i="6"/>
  <c r="G134" i="6"/>
  <c r="G133" i="6"/>
  <c r="G132" i="6"/>
  <c r="G131" i="6"/>
  <c r="G130" i="6"/>
  <c r="G128" i="6"/>
  <c r="G127" i="6"/>
  <c r="G125" i="6"/>
  <c r="G124" i="6"/>
  <c r="G123" i="6"/>
  <c r="G122" i="6"/>
  <c r="G121" i="6"/>
  <c r="G120" i="6"/>
  <c r="G119" i="6"/>
  <c r="G109" i="6"/>
  <c r="G108" i="6"/>
  <c r="G107" i="6"/>
  <c r="G106" i="6"/>
  <c r="G78" i="6"/>
  <c r="G77" i="6"/>
  <c r="G76" i="6"/>
  <c r="G75" i="6"/>
  <c r="G74" i="6"/>
  <c r="G73" i="6"/>
  <c r="G72" i="6"/>
  <c r="G71" i="6"/>
  <c r="G70" i="6"/>
  <c r="G69" i="6"/>
  <c r="G68" i="6"/>
  <c r="G67" i="6"/>
  <c r="G66" i="6"/>
  <c r="G65" i="6"/>
  <c r="G64" i="6"/>
  <c r="G63" i="6"/>
  <c r="G62" i="6"/>
  <c r="G61" i="6"/>
  <c r="G60" i="6"/>
  <c r="G59" i="6"/>
  <c r="CG63" i="16"/>
  <c r="CG70" i="16"/>
  <c r="CD67" i="16"/>
  <c r="G68" i="3" s="1"/>
  <c r="CD70" i="16"/>
  <c r="G71" i="3" s="1"/>
  <c r="CD66" i="16"/>
  <c r="G67" i="3" s="1"/>
  <c r="CC149" i="16"/>
  <c r="CC151" i="16"/>
  <c r="CC150" i="16"/>
  <c r="CH107" i="16"/>
  <c r="K108" i="3" s="1"/>
  <c r="CH108" i="16"/>
  <c r="K109" i="3" s="1"/>
  <c r="CH109" i="16"/>
  <c r="K110" i="3" s="1"/>
  <c r="CH110" i="16"/>
  <c r="K111" i="3" s="1"/>
  <c r="CH111" i="16"/>
  <c r="K112" i="3" s="1"/>
  <c r="CH112" i="16"/>
  <c r="K113" i="3" s="1"/>
  <c r="CH113" i="16"/>
  <c r="K114" i="3" s="1"/>
  <c r="CH114" i="16"/>
  <c r="K115" i="3" s="1"/>
  <c r="CH115" i="16"/>
  <c r="K116" i="3" s="1"/>
  <c r="CH116" i="16"/>
  <c r="K117" i="3" s="1"/>
  <c r="CH117" i="16"/>
  <c r="K118" i="3" s="1"/>
  <c r="CH118" i="16"/>
  <c r="K119" i="3" s="1"/>
  <c r="CH119" i="16"/>
  <c r="K120" i="3" s="1"/>
  <c r="CH120" i="16"/>
  <c r="K121" i="3" s="1"/>
  <c r="CH121" i="16"/>
  <c r="K122" i="3" s="1"/>
  <c r="CH122" i="16"/>
  <c r="K123" i="3" s="1"/>
  <c r="CH123" i="16"/>
  <c r="K124" i="3" s="1"/>
  <c r="CH124" i="16"/>
  <c r="K125" i="3" s="1"/>
  <c r="T125" i="3" s="1"/>
  <c r="CH125" i="16"/>
  <c r="K126" i="3" s="1"/>
  <c r="CH126" i="16"/>
  <c r="K127" i="3" s="1"/>
  <c r="CH127" i="16"/>
  <c r="K128" i="3" s="1"/>
  <c r="CH128" i="16"/>
  <c r="K129" i="3" s="1"/>
  <c r="CH129" i="16"/>
  <c r="K130" i="3" s="1"/>
  <c r="CH130" i="16"/>
  <c r="K131" i="3" s="1"/>
  <c r="T131" i="3" s="1"/>
  <c r="CH131" i="16"/>
  <c r="K132" i="3" s="1"/>
  <c r="CH132" i="16"/>
  <c r="K133" i="3" s="1"/>
  <c r="CH133" i="16"/>
  <c r="K134" i="3" s="1"/>
  <c r="CH134" i="16"/>
  <c r="K135" i="3" s="1"/>
  <c r="T135" i="3" s="1"/>
  <c r="CH135" i="16"/>
  <c r="K136" i="3" s="1"/>
  <c r="T136" i="3" s="1"/>
  <c r="CH136" i="16"/>
  <c r="K137" i="3" s="1"/>
  <c r="CH137" i="16"/>
  <c r="K138" i="3" s="1"/>
  <c r="CH138" i="16"/>
  <c r="K139" i="3" s="1"/>
  <c r="CH139" i="16"/>
  <c r="K140" i="3" s="1"/>
  <c r="CH140" i="16"/>
  <c r="K141" i="3" s="1"/>
  <c r="CH141" i="16"/>
  <c r="K142" i="3" s="1"/>
  <c r="CH142" i="16"/>
  <c r="K143" i="3" s="1"/>
  <c r="CH143" i="16"/>
  <c r="K144" i="3" s="1"/>
  <c r="T144" i="3" s="1"/>
  <c r="CH144" i="16"/>
  <c r="K145" i="3" s="1"/>
  <c r="CH145" i="16"/>
  <c r="K146" i="3" s="1"/>
  <c r="CH146" i="16"/>
  <c r="K147" i="3" s="1"/>
  <c r="T147" i="3" s="1"/>
  <c r="CH147" i="16"/>
  <c r="K148" i="3" s="1"/>
  <c r="CH148" i="16"/>
  <c r="K149" i="3" s="1"/>
  <c r="CH149" i="16"/>
  <c r="K150" i="3" s="1"/>
  <c r="T150" i="3" s="1"/>
  <c r="CH150" i="16"/>
  <c r="K151" i="3" s="1"/>
  <c r="CH151" i="16"/>
  <c r="K152" i="3" s="1"/>
  <c r="CH152" i="16"/>
  <c r="K153" i="3" s="1"/>
  <c r="CH153" i="16"/>
  <c r="K154" i="3" s="1"/>
  <c r="CH154" i="16"/>
  <c r="K155" i="3" s="1"/>
  <c r="T155" i="3" s="1"/>
  <c r="CH155" i="16"/>
  <c r="K156" i="3" s="1"/>
  <c r="CH156" i="16"/>
  <c r="K157" i="3" s="1"/>
  <c r="CH157" i="16"/>
  <c r="K158" i="3" s="1"/>
  <c r="T158" i="3" s="1"/>
  <c r="CH158" i="16"/>
  <c r="K159" i="3" s="1"/>
  <c r="CH159" i="16"/>
  <c r="K160" i="3" s="1"/>
  <c r="CH160" i="16"/>
  <c r="K161" i="3" s="1"/>
  <c r="CH161" i="16"/>
  <c r="K162" i="3" s="1"/>
  <c r="CH162" i="16"/>
  <c r="K163" i="3" s="1"/>
  <c r="CH163" i="16"/>
  <c r="K164" i="3" s="1"/>
  <c r="CH164" i="16"/>
  <c r="K165" i="3" s="1"/>
  <c r="CH165" i="16"/>
  <c r="K166" i="3" s="1"/>
  <c r="CH166" i="16"/>
  <c r="K167" i="3" s="1"/>
  <c r="CH167" i="16"/>
  <c r="K168" i="3" s="1"/>
  <c r="CH168" i="16"/>
  <c r="K169" i="3" s="1"/>
  <c r="CH169" i="16"/>
  <c r="K170" i="3" s="1"/>
  <c r="CH170" i="16"/>
  <c r="K171" i="3" s="1"/>
  <c r="CH171" i="16"/>
  <c r="K172" i="3" s="1"/>
  <c r="T172" i="3" s="1"/>
  <c r="CH172" i="16"/>
  <c r="K173" i="3" s="1"/>
  <c r="CH173" i="16"/>
  <c r="K174" i="3" s="1"/>
  <c r="CH174" i="16"/>
  <c r="K175" i="3" s="1"/>
  <c r="CH175" i="16"/>
  <c r="K176" i="3" s="1"/>
  <c r="CH176" i="16"/>
  <c r="K177" i="3" s="1"/>
  <c r="L160" i="6"/>
  <c r="L159" i="6"/>
  <c r="L158" i="6"/>
  <c r="L157" i="6"/>
  <c r="L156" i="6"/>
  <c r="L153" i="6"/>
  <c r="L152" i="6"/>
  <c r="L151" i="6"/>
  <c r="L150" i="6"/>
  <c r="L149" i="6"/>
  <c r="CL3" i="16"/>
  <c r="O4" i="3" s="1"/>
  <c r="CL4" i="16"/>
  <c r="O5" i="3" s="1"/>
  <c r="CL5" i="16"/>
  <c r="O6" i="3" s="1"/>
  <c r="CL6" i="16"/>
  <c r="O7" i="3" s="1"/>
  <c r="CL7" i="16"/>
  <c r="O8" i="3" s="1"/>
  <c r="CL8" i="16"/>
  <c r="O9" i="3" s="1"/>
  <c r="CL9" i="16"/>
  <c r="O10" i="3" s="1"/>
  <c r="CL10" i="16"/>
  <c r="O11" i="3" s="1"/>
  <c r="CL11" i="16"/>
  <c r="O12" i="3" s="1"/>
  <c r="CL12" i="16"/>
  <c r="O13" i="3" s="1"/>
  <c r="CL13" i="16"/>
  <c r="O14" i="3" s="1"/>
  <c r="CL14" i="16"/>
  <c r="O15" i="3" s="1"/>
  <c r="CL15" i="16"/>
  <c r="O16" i="3" s="1"/>
  <c r="CL16" i="16"/>
  <c r="O17" i="3" s="1"/>
  <c r="CL17" i="16"/>
  <c r="O18" i="3" s="1"/>
  <c r="CL18" i="16"/>
  <c r="O19" i="3" s="1"/>
  <c r="CL19" i="16"/>
  <c r="O20" i="3" s="1"/>
  <c r="CL20" i="16"/>
  <c r="O21" i="3" s="1"/>
  <c r="CL21" i="16"/>
  <c r="O22" i="3" s="1"/>
  <c r="CL22" i="16"/>
  <c r="O23" i="3" s="1"/>
  <c r="CL23" i="16"/>
  <c r="O24" i="3" s="1"/>
  <c r="CL24" i="16"/>
  <c r="O25" i="3" s="1"/>
  <c r="CL25" i="16"/>
  <c r="O26" i="3" s="1"/>
  <c r="CL26" i="16"/>
  <c r="O27" i="3" s="1"/>
  <c r="CL27" i="16"/>
  <c r="O28" i="3" s="1"/>
  <c r="CL28" i="16"/>
  <c r="O29" i="3" s="1"/>
  <c r="CL29" i="16"/>
  <c r="O30" i="3" s="1"/>
  <c r="CL30" i="16"/>
  <c r="O31" i="3" s="1"/>
  <c r="CL31" i="16"/>
  <c r="O32" i="3" s="1"/>
  <c r="CL32" i="16"/>
  <c r="O33" i="3" s="1"/>
  <c r="CL33" i="16"/>
  <c r="O34" i="3" s="1"/>
  <c r="CL34" i="16"/>
  <c r="O35" i="3" s="1"/>
  <c r="CL35" i="16"/>
  <c r="O36" i="3" s="1"/>
  <c r="CL36" i="16"/>
  <c r="O37" i="3" s="1"/>
  <c r="CL37" i="16"/>
  <c r="O38" i="3" s="1"/>
  <c r="CL38" i="16"/>
  <c r="O39" i="3" s="1"/>
  <c r="CL39" i="16"/>
  <c r="O40" i="3" s="1"/>
  <c r="CL40" i="16"/>
  <c r="O41" i="3" s="1"/>
  <c r="CL41" i="16"/>
  <c r="O42" i="3" s="1"/>
  <c r="CL42" i="16"/>
  <c r="O43" i="3" s="1"/>
  <c r="CL43" i="16"/>
  <c r="O44" i="3" s="1"/>
  <c r="CL44" i="16"/>
  <c r="O45" i="3" s="1"/>
  <c r="CL45" i="16"/>
  <c r="O46" i="3" s="1"/>
  <c r="CL46" i="16"/>
  <c r="O47" i="3" s="1"/>
  <c r="CL47" i="16"/>
  <c r="O48" i="3" s="1"/>
  <c r="CL48" i="16"/>
  <c r="O49" i="3" s="1"/>
  <c r="CL49" i="16"/>
  <c r="O50" i="3" s="1"/>
  <c r="CL50" i="16"/>
  <c r="O51" i="3" s="1"/>
  <c r="CL51" i="16"/>
  <c r="O52" i="3" s="1"/>
  <c r="CL52" i="16"/>
  <c r="O53" i="3" s="1"/>
  <c r="CL53" i="16"/>
  <c r="O54" i="3" s="1"/>
  <c r="CL54" i="16"/>
  <c r="O55" i="3" s="1"/>
  <c r="CL55" i="16"/>
  <c r="O56" i="3" s="1"/>
  <c r="CL56" i="16"/>
  <c r="O57" i="3" s="1"/>
  <c r="CL57" i="16"/>
  <c r="O58" i="3" s="1"/>
  <c r="CL58" i="16"/>
  <c r="O59" i="3" s="1"/>
  <c r="CL59" i="16"/>
  <c r="O60" i="3" s="1"/>
  <c r="CL60" i="16"/>
  <c r="O61" i="3" s="1"/>
  <c r="L13" i="7" s="1"/>
  <c r="CL61" i="16"/>
  <c r="O62" i="3" s="1"/>
  <c r="CL62" i="16"/>
  <c r="O63" i="3" s="1"/>
  <c r="CL63" i="16"/>
  <c r="O64" i="3" s="1"/>
  <c r="CL64" i="16"/>
  <c r="O65" i="3" s="1"/>
  <c r="CL65" i="16"/>
  <c r="O66" i="3" s="1"/>
  <c r="CL66" i="16"/>
  <c r="O67" i="3" s="1"/>
  <c r="CL67" i="16"/>
  <c r="O68" i="3" s="1"/>
  <c r="CL68" i="16"/>
  <c r="O69" i="3" s="1"/>
  <c r="CL69" i="16"/>
  <c r="O70" i="3" s="1"/>
  <c r="CL70" i="16"/>
  <c r="O71" i="3" s="1"/>
  <c r="CL71" i="16"/>
  <c r="O72" i="3" s="1"/>
  <c r="CL72" i="16"/>
  <c r="O73" i="3" s="1"/>
  <c r="CL73" i="16"/>
  <c r="O74" i="3" s="1"/>
  <c r="CL74" i="16"/>
  <c r="O75" i="3" s="1"/>
  <c r="CL75" i="16"/>
  <c r="O76" i="3" s="1"/>
  <c r="CL76" i="16"/>
  <c r="O77" i="3" s="1"/>
  <c r="CL77" i="16"/>
  <c r="O78" i="3" s="1"/>
  <c r="CL78" i="16"/>
  <c r="O79" i="3" s="1"/>
  <c r="CL79" i="16"/>
  <c r="O80" i="3" s="1"/>
  <c r="CL80" i="16"/>
  <c r="O81" i="3" s="1"/>
  <c r="CL81" i="16"/>
  <c r="O82" i="3" s="1"/>
  <c r="CL82" i="16"/>
  <c r="O83" i="3" s="1"/>
  <c r="CL83" i="16"/>
  <c r="O84" i="3" s="1"/>
  <c r="CL84" i="16"/>
  <c r="O85" i="3" s="1"/>
  <c r="CL85" i="16"/>
  <c r="O86" i="3" s="1"/>
  <c r="CL86" i="16"/>
  <c r="O87" i="3" s="1"/>
  <c r="CL87" i="16"/>
  <c r="O88" i="3" s="1"/>
  <c r="CL88" i="16"/>
  <c r="O89" i="3" s="1"/>
  <c r="CL89" i="16"/>
  <c r="O90" i="3" s="1"/>
  <c r="CL90" i="16"/>
  <c r="O91" i="3" s="1"/>
  <c r="CL91" i="16"/>
  <c r="O92" i="3" s="1"/>
  <c r="CL92" i="16"/>
  <c r="O93" i="3" s="1"/>
  <c r="CL93" i="16"/>
  <c r="O94" i="3" s="1"/>
  <c r="CL94" i="16"/>
  <c r="O95" i="3" s="1"/>
  <c r="CL95" i="16"/>
  <c r="O96" i="3" s="1"/>
  <c r="CL96" i="16"/>
  <c r="O97" i="3" s="1"/>
  <c r="CL97" i="16"/>
  <c r="O98" i="3" s="1"/>
  <c r="CL98" i="16"/>
  <c r="O99" i="3" s="1"/>
  <c r="CL99" i="16"/>
  <c r="O100" i="3" s="1"/>
  <c r="CL100" i="16"/>
  <c r="O101" i="3" s="1"/>
  <c r="CL101" i="16"/>
  <c r="O102" i="3" s="1"/>
  <c r="CL102" i="16"/>
  <c r="O103" i="3" s="1"/>
  <c r="CL103" i="16"/>
  <c r="O104" i="3" s="1"/>
  <c r="CL104" i="16"/>
  <c r="O105" i="3" s="1"/>
  <c r="CL105" i="16"/>
  <c r="O106" i="3" s="1"/>
  <c r="CL106" i="16"/>
  <c r="O107" i="3" s="1"/>
  <c r="CL107" i="16"/>
  <c r="O108" i="3" s="1"/>
  <c r="CL108" i="16"/>
  <c r="O109" i="3" s="1"/>
  <c r="CL109" i="16"/>
  <c r="O110" i="3" s="1"/>
  <c r="CL110" i="16"/>
  <c r="O111" i="3" s="1"/>
  <c r="CL111" i="16"/>
  <c r="O112" i="3" s="1"/>
  <c r="CL112" i="16"/>
  <c r="O113" i="3" s="1"/>
  <c r="CL113" i="16"/>
  <c r="O114" i="3" s="1"/>
  <c r="CL114" i="16"/>
  <c r="O115" i="3" s="1"/>
  <c r="CL115" i="16"/>
  <c r="O116" i="3" s="1"/>
  <c r="CL116" i="16"/>
  <c r="O117" i="3" s="1"/>
  <c r="CL117" i="16"/>
  <c r="O118" i="3" s="1"/>
  <c r="CL118" i="16"/>
  <c r="O119" i="3" s="1"/>
  <c r="CL119" i="16"/>
  <c r="O120" i="3" s="1"/>
  <c r="CL120" i="16"/>
  <c r="O121" i="3" s="1"/>
  <c r="CL121" i="16"/>
  <c r="O122" i="3" s="1"/>
  <c r="CL122" i="16"/>
  <c r="O123" i="3" s="1"/>
  <c r="CL123" i="16"/>
  <c r="O124" i="3" s="1"/>
  <c r="CL124" i="16"/>
  <c r="O125" i="3" s="1"/>
  <c r="CL125" i="16"/>
  <c r="O126" i="3" s="1"/>
  <c r="CL126" i="16"/>
  <c r="O127" i="3" s="1"/>
  <c r="CL127" i="16"/>
  <c r="O128" i="3" s="1"/>
  <c r="CL128" i="16"/>
  <c r="O129" i="3" s="1"/>
  <c r="CL129" i="16"/>
  <c r="O130" i="3" s="1"/>
  <c r="CL130" i="16"/>
  <c r="O131" i="3" s="1"/>
  <c r="CL131" i="16"/>
  <c r="O132" i="3" s="1"/>
  <c r="CL132" i="16"/>
  <c r="O133" i="3" s="1"/>
  <c r="CL133" i="16"/>
  <c r="O134" i="3" s="1"/>
  <c r="CG103" i="16"/>
  <c r="CG131" i="16"/>
  <c r="CD50" i="16"/>
  <c r="G51" i="3" s="1"/>
  <c r="L137" i="6"/>
  <c r="L136" i="6"/>
  <c r="L135" i="6"/>
  <c r="L134" i="6"/>
  <c r="L133" i="6"/>
  <c r="L132" i="6"/>
  <c r="L131" i="6"/>
  <c r="L128" i="6"/>
  <c r="L127" i="6"/>
  <c r="L126" i="6"/>
  <c r="L125" i="6"/>
  <c r="L124" i="6"/>
  <c r="L123" i="6"/>
  <c r="L122" i="6"/>
  <c r="L121" i="6"/>
  <c r="L120" i="6"/>
  <c r="L119" i="6"/>
  <c r="L109" i="6"/>
  <c r="L108" i="6"/>
  <c r="L107" i="6"/>
  <c r="L106" i="6"/>
  <c r="L78" i="6"/>
  <c r="L77" i="6"/>
  <c r="L76" i="6"/>
  <c r="L75" i="6"/>
  <c r="L74" i="6"/>
  <c r="L73" i="6"/>
  <c r="L72" i="6"/>
  <c r="L71" i="6"/>
  <c r="L70" i="6"/>
  <c r="L69" i="6"/>
  <c r="L68" i="6"/>
  <c r="L67" i="6"/>
  <c r="L66" i="6"/>
  <c r="L65" i="6"/>
  <c r="L64" i="6"/>
  <c r="L63" i="6"/>
  <c r="L62" i="6"/>
  <c r="L61" i="6"/>
  <c r="L60" i="6"/>
  <c r="L59" i="6"/>
  <c r="B197" i="3"/>
  <c r="C197" i="3" s="1"/>
  <c r="Z3" i="5"/>
  <c r="AH4" i="3" s="1"/>
  <c r="B196" i="3"/>
  <c r="C196" i="3" s="1"/>
  <c r="Y3" i="5"/>
  <c r="AG4" i="3" s="1"/>
  <c r="B195" i="3"/>
  <c r="C195" i="3" s="1"/>
  <c r="X3" i="5"/>
  <c r="AF4" i="3" s="1"/>
  <c r="B194" i="3"/>
  <c r="C194" i="3" s="1"/>
  <c r="W3" i="5"/>
  <c r="AE4" i="3" s="1"/>
  <c r="K13" i="7"/>
  <c r="L130" i="6"/>
  <c r="L129" i="6"/>
  <c r="G129" i="6"/>
  <c r="L118" i="6"/>
  <c r="L110" i="6"/>
  <c r="G110" i="6"/>
  <c r="G176" i="6"/>
  <c r="G175" i="6"/>
  <c r="G174" i="6"/>
  <c r="G173" i="6"/>
  <c r="G172" i="6"/>
  <c r="G171" i="6"/>
  <c r="G170" i="6"/>
  <c r="G169" i="6"/>
  <c r="G168" i="6"/>
  <c r="G167" i="6"/>
  <c r="G166" i="6"/>
  <c r="G155" i="6"/>
  <c r="G126" i="6"/>
  <c r="G118" i="6"/>
  <c r="G117" i="6"/>
  <c r="G116" i="6"/>
  <c r="G115" i="6"/>
  <c r="G114" i="6"/>
  <c r="G113" i="6"/>
  <c r="G112" i="6"/>
  <c r="G111" i="6"/>
  <c r="G105" i="6"/>
  <c r="G104" i="6"/>
  <c r="G103" i="6"/>
  <c r="G102" i="6"/>
  <c r="G101" i="6"/>
  <c r="G100" i="6"/>
  <c r="G99" i="6"/>
  <c r="G98" i="6"/>
  <c r="G97" i="6"/>
  <c r="G96" i="6"/>
  <c r="G95" i="6"/>
  <c r="G94" i="6"/>
  <c r="G93" i="6"/>
  <c r="G92" i="6"/>
  <c r="G91" i="6"/>
  <c r="G90" i="6"/>
  <c r="G89" i="6"/>
  <c r="G88" i="6"/>
  <c r="G87" i="6"/>
  <c r="G86" i="6"/>
  <c r="G85" i="6"/>
  <c r="L84" i="6"/>
  <c r="G84" i="6"/>
  <c r="L83" i="6"/>
  <c r="G83" i="6"/>
  <c r="L82" i="6"/>
  <c r="G82" i="6"/>
  <c r="L81" i="6"/>
  <c r="G81" i="6"/>
  <c r="L80" i="6"/>
  <c r="G80" i="6"/>
  <c r="L79" i="6"/>
  <c r="G79" i="6"/>
  <c r="G58" i="6"/>
  <c r="G57" i="6"/>
  <c r="G56" i="6"/>
  <c r="G55" i="6"/>
  <c r="G54" i="6"/>
  <c r="G53" i="6"/>
  <c r="G52" i="6"/>
  <c r="G51" i="6"/>
  <c r="G50" i="6"/>
  <c r="G49" i="6"/>
  <c r="G48" i="6"/>
  <c r="G47" i="6"/>
  <c r="G46" i="6"/>
  <c r="G45" i="6"/>
  <c r="L176" i="6"/>
  <c r="L175" i="6"/>
  <c r="L174" i="6"/>
  <c r="L173" i="6"/>
  <c r="L172" i="6"/>
  <c r="L171" i="6"/>
  <c r="L170" i="6"/>
  <c r="L169" i="6"/>
  <c r="L168" i="6"/>
  <c r="L167" i="6"/>
  <c r="L166" i="6"/>
  <c r="L155" i="6"/>
  <c r="L154" i="6"/>
  <c r="L117" i="6"/>
  <c r="L116" i="6"/>
  <c r="L115" i="6"/>
  <c r="L114" i="6"/>
  <c r="L113" i="6"/>
  <c r="L112" i="6"/>
  <c r="L111" i="6"/>
  <c r="L105" i="6"/>
  <c r="L104" i="6"/>
  <c r="L103" i="6"/>
  <c r="L102" i="6"/>
  <c r="L101" i="6"/>
  <c r="L100" i="6"/>
  <c r="L99" i="6"/>
  <c r="L98" i="6"/>
  <c r="L97" i="6"/>
  <c r="L96" i="6"/>
  <c r="L95" i="6"/>
  <c r="L94" i="6"/>
  <c r="L93" i="6"/>
  <c r="L92" i="6"/>
  <c r="L91" i="6"/>
  <c r="L90" i="6"/>
  <c r="L89" i="6"/>
  <c r="L88" i="6"/>
  <c r="L87" i="6"/>
  <c r="L86" i="6"/>
  <c r="L85" i="6"/>
  <c r="L58" i="6"/>
  <c r="L57" i="6"/>
  <c r="L56" i="6"/>
  <c r="L55" i="6"/>
  <c r="L54" i="6"/>
  <c r="L53" i="6"/>
  <c r="L52" i="6"/>
  <c r="L51" i="6"/>
  <c r="L50" i="6"/>
  <c r="L49" i="6"/>
  <c r="L48" i="6"/>
  <c r="L47" i="6"/>
  <c r="L46" i="6"/>
  <c r="L45" i="6"/>
  <c r="L44" i="6"/>
  <c r="B181" i="6"/>
  <c r="B187" i="6"/>
  <c r="L148" i="6"/>
  <c r="G148" i="6"/>
  <c r="L147" i="6"/>
  <c r="G147" i="6"/>
  <c r="L146" i="6"/>
  <c r="G146" i="6"/>
  <c r="L145" i="6"/>
  <c r="G145" i="6"/>
  <c r="L144" i="6"/>
  <c r="G144" i="6"/>
  <c r="L143" i="6"/>
  <c r="G143" i="6"/>
  <c r="L142" i="6"/>
  <c r="G142" i="6"/>
  <c r="L141" i="6"/>
  <c r="G141" i="6"/>
  <c r="L140" i="6"/>
  <c r="G140" i="6"/>
  <c r="L139" i="6"/>
  <c r="G139" i="6"/>
  <c r="L138" i="6"/>
  <c r="G138" i="6"/>
  <c r="G44" i="6"/>
  <c r="L43" i="6"/>
  <c r="G43" i="6"/>
  <c r="L42" i="6"/>
  <c r="G42" i="6"/>
  <c r="L41" i="6"/>
  <c r="G41" i="6"/>
  <c r="L40" i="6"/>
  <c r="G40" i="6"/>
  <c r="L39" i="6"/>
  <c r="G39" i="6"/>
  <c r="L38" i="6"/>
  <c r="G38" i="6"/>
  <c r="L37" i="6"/>
  <c r="G37" i="6"/>
  <c r="L36" i="6"/>
  <c r="G36" i="6"/>
  <c r="L35" i="6"/>
  <c r="G35" i="6"/>
  <c r="L34" i="6"/>
  <c r="G34" i="6"/>
  <c r="L33" i="6"/>
  <c r="G33" i="6"/>
  <c r="L32" i="6"/>
  <c r="G32" i="6"/>
  <c r="L31" i="6"/>
  <c r="G31" i="6"/>
  <c r="L30" i="6"/>
  <c r="G30" i="6"/>
  <c r="L29" i="6"/>
  <c r="G29" i="6"/>
  <c r="L28" i="6"/>
  <c r="G28" i="6"/>
  <c r="L27" i="6"/>
  <c r="G27" i="6"/>
  <c r="L26" i="6"/>
  <c r="G26" i="6"/>
  <c r="L25" i="6"/>
  <c r="G25" i="6"/>
  <c r="L24" i="6"/>
  <c r="G24" i="6"/>
  <c r="L23" i="6"/>
  <c r="G23" i="6"/>
  <c r="L22" i="6"/>
  <c r="G22" i="6"/>
  <c r="L21" i="6"/>
  <c r="G21" i="6"/>
  <c r="L20" i="6"/>
  <c r="G20" i="6"/>
  <c r="L19" i="6"/>
  <c r="G19" i="6"/>
  <c r="L18" i="6"/>
  <c r="G18" i="6"/>
  <c r="L17" i="6"/>
  <c r="G17" i="6"/>
  <c r="L16" i="6"/>
  <c r="G16" i="6"/>
  <c r="L15" i="6"/>
  <c r="G15" i="6"/>
  <c r="L14" i="6"/>
  <c r="G14" i="6"/>
  <c r="L13" i="6"/>
  <c r="G13" i="6"/>
  <c r="L12" i="6"/>
  <c r="G12" i="6"/>
  <c r="L11" i="6"/>
  <c r="G11" i="6"/>
  <c r="L10" i="6"/>
  <c r="G10" i="6"/>
  <c r="L9" i="6"/>
  <c r="G9" i="6"/>
  <c r="L8" i="6"/>
  <c r="G8" i="6"/>
  <c r="L7" i="6"/>
  <c r="G7" i="6"/>
  <c r="L6" i="6"/>
  <c r="G6" i="6"/>
  <c r="L5" i="6"/>
  <c r="G5" i="6"/>
  <c r="L4" i="6"/>
  <c r="G4" i="6"/>
  <c r="L3" i="6"/>
  <c r="G3" i="6"/>
  <c r="J3" i="6" l="1"/>
  <c r="J4" i="3"/>
  <c r="J5" i="3"/>
  <c r="J4" i="6"/>
  <c r="J5" i="6"/>
  <c r="J6" i="3"/>
  <c r="J7" i="3"/>
  <c r="J6" i="6"/>
  <c r="J8" i="3"/>
  <c r="J7" i="6"/>
  <c r="J8" i="6"/>
  <c r="J9" i="3"/>
  <c r="J9" i="6"/>
  <c r="J10" i="3"/>
  <c r="J11" i="3"/>
  <c r="J10" i="6"/>
  <c r="J11" i="6"/>
  <c r="J12" i="3"/>
  <c r="J13" i="3"/>
  <c r="J12" i="6"/>
  <c r="J14" i="3"/>
  <c r="J13" i="6"/>
  <c r="J14" i="6"/>
  <c r="J15" i="3"/>
  <c r="J15" i="6"/>
  <c r="J16" i="3"/>
  <c r="J17" i="3"/>
  <c r="J16" i="6"/>
  <c r="J18" i="3"/>
  <c r="J17" i="6"/>
  <c r="J19" i="3"/>
  <c r="J18" i="6"/>
  <c r="J20" i="3"/>
  <c r="J19" i="6"/>
  <c r="J21" i="3"/>
  <c r="J20" i="6"/>
  <c r="J21" i="6"/>
  <c r="J22" i="3"/>
  <c r="J22" i="6"/>
  <c r="J23" i="3"/>
  <c r="J23" i="6"/>
  <c r="J24" i="3"/>
  <c r="J24" i="6"/>
  <c r="J25" i="3"/>
  <c r="J25" i="6"/>
  <c r="J26" i="3"/>
  <c r="J26" i="6"/>
  <c r="J27" i="3"/>
  <c r="J28" i="3"/>
  <c r="J27" i="6"/>
  <c r="J28" i="6"/>
  <c r="J29" i="3"/>
  <c r="J30" i="3"/>
  <c r="J29" i="6"/>
  <c r="J30" i="6"/>
  <c r="J31" i="3"/>
  <c r="J32" i="3"/>
  <c r="J31" i="6"/>
  <c r="J33" i="3"/>
  <c r="J32" i="6"/>
  <c r="J34" i="3"/>
  <c r="J33" i="6"/>
  <c r="J35" i="3"/>
  <c r="J34" i="6"/>
  <c r="J36" i="3"/>
  <c r="J35" i="6"/>
  <c r="J37" i="3"/>
  <c r="J36" i="6"/>
  <c r="J38" i="3"/>
  <c r="J37" i="6"/>
  <c r="J38" i="6"/>
  <c r="J39" i="3"/>
  <c r="J39" i="6"/>
  <c r="J40" i="3"/>
  <c r="J40" i="6"/>
  <c r="J41" i="3"/>
  <c r="J42" i="3"/>
  <c r="J41" i="6"/>
  <c r="J42" i="6"/>
  <c r="J43" i="3"/>
  <c r="J44" i="3"/>
  <c r="J43" i="6"/>
  <c r="J45" i="3"/>
  <c r="J44" i="6"/>
  <c r="J45" i="6"/>
  <c r="J46" i="3"/>
  <c r="J47" i="3"/>
  <c r="J46" i="6"/>
  <c r="J48" i="3"/>
  <c r="J47" i="6"/>
  <c r="J49" i="3"/>
  <c r="J48" i="6"/>
  <c r="J50" i="3"/>
  <c r="J49" i="6"/>
  <c r="J51" i="3"/>
  <c r="J50" i="6"/>
  <c r="J52" i="3"/>
  <c r="J51" i="6"/>
  <c r="J53" i="3"/>
  <c r="J52" i="6"/>
  <c r="J54" i="3"/>
  <c r="J53" i="6"/>
  <c r="J54" i="6"/>
  <c r="J55" i="3"/>
  <c r="J56" i="3"/>
  <c r="J55" i="6"/>
  <c r="J57" i="3"/>
  <c r="J56" i="6"/>
  <c r="J57" i="6"/>
  <c r="J58" i="3"/>
  <c r="J59" i="3"/>
  <c r="J58" i="6"/>
  <c r="I4" i="6"/>
  <c r="I5" i="3"/>
  <c r="I8" i="6"/>
  <c r="I9" i="3"/>
  <c r="I12" i="3"/>
  <c r="I11" i="6"/>
  <c r="I16" i="6"/>
  <c r="I17" i="3"/>
  <c r="I19" i="3"/>
  <c r="I18" i="6"/>
  <c r="B192" i="3"/>
  <c r="C192" i="3" s="1"/>
  <c r="B190" i="3"/>
  <c r="C190" i="3" s="1"/>
  <c r="B191" i="3"/>
  <c r="C191" i="3" s="1"/>
  <c r="B185" i="3"/>
  <c r="C185" i="3" s="1"/>
  <c r="J60" i="3"/>
  <c r="J59" i="6"/>
  <c r="J61" i="3"/>
  <c r="J60" i="6"/>
  <c r="J61" i="6"/>
  <c r="J62" i="3"/>
  <c r="J63" i="3"/>
  <c r="J62" i="6"/>
  <c r="J65" i="3"/>
  <c r="J64" i="6"/>
  <c r="J65" i="6"/>
  <c r="J66" i="3"/>
  <c r="J67" i="3"/>
  <c r="J66" i="6"/>
  <c r="J68" i="3"/>
  <c r="J67" i="6"/>
  <c r="J69" i="3"/>
  <c r="J68" i="6"/>
  <c r="J69" i="6"/>
  <c r="J70" i="3"/>
  <c r="J72" i="3"/>
  <c r="J71" i="6"/>
  <c r="J73" i="3"/>
  <c r="J72" i="6"/>
  <c r="J73" i="6"/>
  <c r="J74" i="3"/>
  <c r="J75" i="3"/>
  <c r="J74" i="6"/>
  <c r="J76" i="3"/>
  <c r="J75" i="6"/>
  <c r="J77" i="3"/>
  <c r="J76" i="6"/>
  <c r="J77" i="6"/>
  <c r="J78" i="3"/>
  <c r="J79" i="3"/>
  <c r="J78" i="6"/>
  <c r="J80" i="3"/>
  <c r="J79" i="6"/>
  <c r="J81" i="3"/>
  <c r="J80" i="6"/>
  <c r="J81" i="6"/>
  <c r="J82" i="3"/>
  <c r="J83" i="3"/>
  <c r="J82" i="6"/>
  <c r="J84" i="3"/>
  <c r="J83" i="6"/>
  <c r="J84" i="6"/>
  <c r="J85" i="3"/>
  <c r="J86" i="3"/>
  <c r="J85" i="6"/>
  <c r="J86" i="6"/>
  <c r="J87" i="3"/>
  <c r="J88" i="3"/>
  <c r="J87" i="6"/>
  <c r="J89" i="3"/>
  <c r="J88" i="6"/>
  <c r="J89" i="6"/>
  <c r="J90" i="3"/>
  <c r="J91" i="3"/>
  <c r="J90" i="6"/>
  <c r="J92" i="3"/>
  <c r="J91" i="6"/>
  <c r="J93" i="3"/>
  <c r="J92" i="6"/>
  <c r="J93" i="6"/>
  <c r="J94" i="3"/>
  <c r="J95" i="3"/>
  <c r="J94" i="6"/>
  <c r="J95" i="6"/>
  <c r="J96" i="3"/>
  <c r="J96" i="6"/>
  <c r="J97" i="3"/>
  <c r="J98" i="3"/>
  <c r="J97" i="6"/>
  <c r="J99" i="3"/>
  <c r="J98" i="6"/>
  <c r="J100" i="3"/>
  <c r="J99" i="6"/>
  <c r="J101" i="3"/>
  <c r="J100" i="6"/>
  <c r="J101" i="6"/>
  <c r="J102" i="3"/>
  <c r="J103" i="3"/>
  <c r="J102" i="6"/>
  <c r="J105" i="3"/>
  <c r="J104" i="6"/>
  <c r="J105" i="6"/>
  <c r="J106" i="3"/>
  <c r="J107" i="3"/>
  <c r="J106" i="6"/>
  <c r="J108" i="3"/>
  <c r="J107" i="6"/>
  <c r="J109" i="3"/>
  <c r="J108" i="6"/>
  <c r="J109" i="6"/>
  <c r="J110" i="3"/>
  <c r="J111" i="3"/>
  <c r="J110" i="6"/>
  <c r="J112" i="3"/>
  <c r="J111" i="6"/>
  <c r="J113" i="3"/>
  <c r="J112" i="6"/>
  <c r="J113" i="6"/>
  <c r="J114" i="3"/>
  <c r="J115" i="3"/>
  <c r="J114" i="6"/>
  <c r="J116" i="3"/>
  <c r="J115" i="6"/>
  <c r="J117" i="3"/>
  <c r="J116" i="6"/>
  <c r="J118" i="3"/>
  <c r="J117" i="6"/>
  <c r="J118" i="6"/>
  <c r="J119" i="3"/>
  <c r="J119" i="6"/>
  <c r="J120" i="3"/>
  <c r="J121" i="3"/>
  <c r="J120" i="6"/>
  <c r="J121" i="6"/>
  <c r="J122" i="3"/>
  <c r="J123" i="3"/>
  <c r="J122" i="6"/>
  <c r="J124" i="3"/>
  <c r="J123" i="6"/>
  <c r="J125" i="3"/>
  <c r="J124" i="6"/>
  <c r="J125" i="6"/>
  <c r="J126" i="3"/>
  <c r="J127" i="3"/>
  <c r="J126" i="6"/>
  <c r="J128" i="3"/>
  <c r="J127" i="6"/>
  <c r="J129" i="3"/>
  <c r="J128" i="6"/>
  <c r="J129" i="6"/>
  <c r="J130" i="3"/>
  <c r="J131" i="3"/>
  <c r="J130" i="6"/>
  <c r="J133" i="3"/>
  <c r="J132" i="6"/>
  <c r="J133" i="6"/>
  <c r="J134" i="3"/>
  <c r="J135" i="3"/>
  <c r="J134" i="6"/>
  <c r="J136" i="3"/>
  <c r="J135" i="6"/>
  <c r="J137" i="3"/>
  <c r="J136" i="6"/>
  <c r="J137" i="6"/>
  <c r="J138" i="3"/>
  <c r="J139" i="3"/>
  <c r="J138" i="6"/>
  <c r="J140" i="3"/>
  <c r="J139" i="6"/>
  <c r="J140" i="6"/>
  <c r="J141" i="3"/>
  <c r="J142" i="3"/>
  <c r="J141" i="6"/>
  <c r="J143" i="3"/>
  <c r="J142" i="6"/>
  <c r="J143" i="6"/>
  <c r="J144" i="3"/>
  <c r="J145" i="3"/>
  <c r="J144" i="6"/>
  <c r="J145" i="6"/>
  <c r="J146" i="3"/>
  <c r="J147" i="3"/>
  <c r="J146" i="6"/>
  <c r="J147" i="6"/>
  <c r="J148" i="3"/>
  <c r="J149" i="3"/>
  <c r="J148" i="6"/>
  <c r="J150" i="3"/>
  <c r="J149" i="6"/>
  <c r="J151" i="3"/>
  <c r="J150" i="6"/>
  <c r="J151" i="6"/>
  <c r="J152" i="3"/>
  <c r="J153" i="3"/>
  <c r="J152" i="6"/>
  <c r="J154" i="3"/>
  <c r="J153" i="6"/>
  <c r="J155" i="3"/>
  <c r="J154" i="6"/>
  <c r="J155" i="6"/>
  <c r="J156" i="3"/>
  <c r="J157" i="3"/>
  <c r="J156" i="6"/>
  <c r="J158" i="3"/>
  <c r="J157" i="6"/>
  <c r="J159" i="3"/>
  <c r="J158" i="6"/>
  <c r="J159" i="6"/>
  <c r="J160" i="3"/>
  <c r="J161" i="3"/>
  <c r="J160" i="6"/>
  <c r="J161" i="6"/>
  <c r="J162" i="3"/>
  <c r="J163" i="3"/>
  <c r="J162" i="6"/>
  <c r="J163" i="6"/>
  <c r="J164" i="3"/>
  <c r="J165" i="3"/>
  <c r="J164" i="6"/>
  <c r="J166" i="3"/>
  <c r="J165" i="6"/>
  <c r="J167" i="3"/>
  <c r="J166" i="6"/>
  <c r="J167" i="6"/>
  <c r="J168" i="3"/>
  <c r="J169" i="3"/>
  <c r="J168" i="6"/>
  <c r="J170" i="3"/>
  <c r="J169" i="6"/>
  <c r="J171" i="3"/>
  <c r="J170" i="6"/>
  <c r="J171" i="6"/>
  <c r="J172" i="3"/>
  <c r="J173" i="3"/>
  <c r="J172" i="6"/>
  <c r="J174" i="3"/>
  <c r="J173" i="6"/>
  <c r="J174" i="6"/>
  <c r="J175" i="3"/>
  <c r="J176" i="3"/>
  <c r="J175" i="6"/>
  <c r="J177" i="3"/>
  <c r="J176" i="6"/>
  <c r="H65" i="6"/>
  <c r="F66" i="3"/>
  <c r="V66" i="3" s="1"/>
  <c r="F67" i="3"/>
  <c r="V67" i="3" s="1"/>
  <c r="H66" i="6"/>
  <c r="F68" i="3"/>
  <c r="V68" i="3" s="1"/>
  <c r="H67" i="6"/>
  <c r="H68" i="6"/>
  <c r="F69" i="3"/>
  <c r="V69" i="3" s="1"/>
  <c r="H69" i="6"/>
  <c r="F70" i="3"/>
  <c r="V70" i="3" s="1"/>
  <c r="F71" i="3"/>
  <c r="V71" i="3" s="1"/>
  <c r="H70" i="6"/>
  <c r="F72" i="3"/>
  <c r="V72" i="3" s="1"/>
  <c r="H71" i="6"/>
  <c r="F73" i="3"/>
  <c r="V73" i="3" s="1"/>
  <c r="H72" i="6"/>
  <c r="H73" i="6"/>
  <c r="F74" i="3"/>
  <c r="V74" i="3" s="1"/>
  <c r="F75" i="3"/>
  <c r="V75" i="3" s="1"/>
  <c r="H74" i="6"/>
  <c r="F76" i="3"/>
  <c r="V76" i="3" s="1"/>
  <c r="H75" i="6"/>
  <c r="F77" i="3"/>
  <c r="V77" i="3" s="1"/>
  <c r="H76" i="6"/>
  <c r="H77" i="6"/>
  <c r="F78" i="3"/>
  <c r="V78" i="3" s="1"/>
  <c r="F79" i="3"/>
  <c r="V79" i="3" s="1"/>
  <c r="H78" i="6"/>
  <c r="F80" i="3"/>
  <c r="V80" i="3" s="1"/>
  <c r="H79" i="6"/>
  <c r="F81" i="3"/>
  <c r="V81" i="3" s="1"/>
  <c r="H80" i="6"/>
  <c r="H81" i="6"/>
  <c r="F82" i="3"/>
  <c r="V82" i="3" s="1"/>
  <c r="F83" i="3"/>
  <c r="V83" i="3" s="1"/>
  <c r="H82" i="6"/>
  <c r="F84" i="3"/>
  <c r="V84" i="3" s="1"/>
  <c r="H83" i="6"/>
  <c r="F85" i="3"/>
  <c r="V85" i="3" s="1"/>
  <c r="H84" i="6"/>
  <c r="H85" i="6"/>
  <c r="F86" i="3"/>
  <c r="V86" i="3" s="1"/>
  <c r="F87" i="3"/>
  <c r="V87" i="3" s="1"/>
  <c r="H86" i="6"/>
  <c r="F88" i="3"/>
  <c r="V88" i="3" s="1"/>
  <c r="H87" i="6"/>
  <c r="H88" i="6"/>
  <c r="F89" i="3"/>
  <c r="V89" i="3" s="1"/>
  <c r="F90" i="3"/>
  <c r="V90" i="3" s="1"/>
  <c r="H89" i="6"/>
  <c r="F91" i="3"/>
  <c r="V91" i="3" s="1"/>
  <c r="H90" i="6"/>
  <c r="H91" i="6"/>
  <c r="F92" i="3"/>
  <c r="V92" i="3" s="1"/>
  <c r="H92" i="6"/>
  <c r="F93" i="3"/>
  <c r="V93" i="3" s="1"/>
  <c r="F94" i="3"/>
  <c r="V94" i="3" s="1"/>
  <c r="H93" i="6"/>
  <c r="F95" i="3"/>
  <c r="V95" i="3" s="1"/>
  <c r="H94" i="6"/>
  <c r="F96" i="3"/>
  <c r="V96" i="3" s="1"/>
  <c r="H95" i="6"/>
  <c r="H96" i="6"/>
  <c r="F97" i="3"/>
  <c r="V97" i="3" s="1"/>
  <c r="F98" i="3"/>
  <c r="V98" i="3" s="1"/>
  <c r="H97" i="6"/>
  <c r="F99" i="3"/>
  <c r="V99" i="3" s="1"/>
  <c r="H98" i="6"/>
  <c r="F100" i="3"/>
  <c r="V100" i="3" s="1"/>
  <c r="H99" i="6"/>
  <c r="H100" i="6"/>
  <c r="F101" i="3"/>
  <c r="V101" i="3" s="1"/>
  <c r="F102" i="3"/>
  <c r="V102" i="3" s="1"/>
  <c r="H101" i="6"/>
  <c r="I14" i="3"/>
  <c r="I13" i="6"/>
  <c r="I15" i="3"/>
  <c r="I14" i="6"/>
  <c r="I18" i="3"/>
  <c r="I17" i="6"/>
  <c r="I20" i="3"/>
  <c r="I19" i="6"/>
  <c r="I23" i="3"/>
  <c r="I22" i="6"/>
  <c r="I24" i="6"/>
  <c r="I25" i="3"/>
  <c r="I26" i="3"/>
  <c r="I25" i="6"/>
  <c r="I168" i="6"/>
  <c r="I169" i="3"/>
  <c r="I172" i="6"/>
  <c r="I173" i="3"/>
  <c r="I176" i="3"/>
  <c r="I175" i="6"/>
  <c r="J64" i="3"/>
  <c r="J63" i="6"/>
  <c r="J70" i="6"/>
  <c r="J71" i="3"/>
  <c r="B189" i="3"/>
  <c r="C189" i="3" s="1"/>
  <c r="I33" i="6"/>
  <c r="I34" i="3"/>
  <c r="I36" i="6"/>
  <c r="I37" i="3"/>
  <c r="I50" i="3"/>
  <c r="I49" i="6"/>
  <c r="I54" i="3"/>
  <c r="I53" i="6"/>
  <c r="I56" i="6"/>
  <c r="I57" i="3"/>
  <c r="I59" i="3"/>
  <c r="I58" i="6"/>
  <c r="I60" i="6"/>
  <c r="F13" i="7" s="1"/>
  <c r="I61" i="3"/>
  <c r="I63" i="3"/>
  <c r="I62" i="6"/>
  <c r="I65" i="3"/>
  <c r="I64" i="6"/>
  <c r="I66" i="6"/>
  <c r="I67" i="3"/>
  <c r="I69" i="3"/>
  <c r="I68" i="6"/>
  <c r="I70" i="6"/>
  <c r="I71" i="3"/>
  <c r="I71" i="6"/>
  <c r="I72" i="3"/>
  <c r="I73" i="6"/>
  <c r="I74" i="3"/>
  <c r="I75" i="6"/>
  <c r="I76" i="3"/>
  <c r="I77" i="6"/>
  <c r="I78" i="3"/>
  <c r="I80" i="3"/>
  <c r="I79" i="6"/>
  <c r="I81" i="6"/>
  <c r="I82" i="3"/>
  <c r="I85" i="3"/>
  <c r="I84" i="6"/>
  <c r="I87" i="3"/>
  <c r="I86" i="6"/>
  <c r="I88" i="3"/>
  <c r="I87" i="6"/>
  <c r="I90" i="6"/>
  <c r="I91" i="3"/>
  <c r="I93" i="3"/>
  <c r="I92" i="6"/>
  <c r="I94" i="6"/>
  <c r="I95" i="3"/>
  <c r="I97" i="6"/>
  <c r="I98" i="3"/>
  <c r="I101" i="3"/>
  <c r="I100" i="6"/>
  <c r="I102" i="6"/>
  <c r="I103" i="3"/>
  <c r="I105" i="6"/>
  <c r="I106" i="3"/>
  <c r="I108" i="6"/>
  <c r="I109" i="3"/>
  <c r="I112" i="3"/>
  <c r="I111" i="6"/>
  <c r="I114" i="6"/>
  <c r="I115" i="3"/>
  <c r="I117" i="6"/>
  <c r="I118" i="3"/>
  <c r="I120" i="6"/>
  <c r="I121" i="3"/>
  <c r="I125" i="3"/>
  <c r="I124" i="6"/>
  <c r="I127" i="6"/>
  <c r="I128" i="3"/>
  <c r="I132" i="3"/>
  <c r="I131" i="6"/>
  <c r="I135" i="3"/>
  <c r="I134" i="6"/>
  <c r="I137" i="6"/>
  <c r="I138" i="3"/>
  <c r="I141" i="6"/>
  <c r="I142" i="3"/>
  <c r="I146" i="3"/>
  <c r="I145" i="6"/>
  <c r="I148" i="6"/>
  <c r="I149" i="3"/>
  <c r="I153" i="3"/>
  <c r="I152" i="6"/>
  <c r="I157" i="3"/>
  <c r="I156" i="6"/>
  <c r="I160" i="6"/>
  <c r="I161" i="3"/>
  <c r="I164" i="6"/>
  <c r="I165" i="3"/>
  <c r="I168" i="3"/>
  <c r="I167" i="6"/>
  <c r="I172" i="3"/>
  <c r="I171" i="6"/>
  <c r="I177" i="3"/>
  <c r="I176" i="6"/>
  <c r="H3" i="6"/>
  <c r="F4" i="3"/>
  <c r="H4" i="6"/>
  <c r="F5" i="3"/>
  <c r="V5" i="3" s="1"/>
  <c r="F6" i="3"/>
  <c r="V6" i="3" s="1"/>
  <c r="H5" i="6"/>
  <c r="H6" i="6"/>
  <c r="F7" i="3"/>
  <c r="V7" i="3" s="1"/>
  <c r="H7" i="6"/>
  <c r="F8" i="3"/>
  <c r="V8" i="3" s="1"/>
  <c r="H8" i="6"/>
  <c r="F9" i="3"/>
  <c r="V9" i="3" s="1"/>
  <c r="F10" i="3"/>
  <c r="V10" i="3" s="1"/>
  <c r="H9" i="6"/>
  <c r="F11" i="3"/>
  <c r="V11" i="3" s="1"/>
  <c r="H10" i="6"/>
  <c r="H11" i="6"/>
  <c r="F12" i="3"/>
  <c r="V12" i="3" s="1"/>
  <c r="H12" i="6"/>
  <c r="F13" i="3"/>
  <c r="V13" i="3" s="1"/>
  <c r="F14" i="3"/>
  <c r="V14" i="3" s="1"/>
  <c r="H13" i="6"/>
  <c r="H14" i="6"/>
  <c r="F15" i="3"/>
  <c r="V15" i="3" s="1"/>
  <c r="F16" i="3"/>
  <c r="V16" i="3" s="1"/>
  <c r="H15" i="6"/>
  <c r="H16" i="6"/>
  <c r="F17" i="3"/>
  <c r="V17" i="3" s="1"/>
  <c r="F18" i="3"/>
  <c r="V18" i="3" s="1"/>
  <c r="H17" i="6"/>
  <c r="H18" i="6"/>
  <c r="F19" i="3"/>
  <c r="V19" i="3" s="1"/>
  <c r="F20" i="3"/>
  <c r="V20" i="3" s="1"/>
  <c r="H19" i="6"/>
  <c r="H20" i="6"/>
  <c r="F21" i="3"/>
  <c r="V21" i="3" s="1"/>
  <c r="F22" i="3"/>
  <c r="V22" i="3" s="1"/>
  <c r="H21" i="6"/>
  <c r="F23" i="3"/>
  <c r="V23" i="3" s="1"/>
  <c r="H22" i="6"/>
  <c r="H23" i="6"/>
  <c r="F24" i="3"/>
  <c r="V24" i="3" s="1"/>
  <c r="F25" i="3"/>
  <c r="V25" i="3" s="1"/>
  <c r="H24" i="6"/>
  <c r="F26" i="3"/>
  <c r="V26" i="3" s="1"/>
  <c r="H25" i="6"/>
  <c r="F27" i="3"/>
  <c r="V27" i="3" s="1"/>
  <c r="H26" i="6"/>
  <c r="F28" i="3"/>
  <c r="V28" i="3" s="1"/>
  <c r="H27" i="6"/>
  <c r="H28" i="6"/>
  <c r="F29" i="3"/>
  <c r="V29" i="3" s="1"/>
  <c r="F30" i="3"/>
  <c r="V30" i="3" s="1"/>
  <c r="H29" i="6"/>
  <c r="F31" i="3"/>
  <c r="V31" i="3" s="1"/>
  <c r="H30" i="6"/>
  <c r="H31" i="6"/>
  <c r="F32" i="3"/>
  <c r="V32" i="3" s="1"/>
  <c r="F33" i="3"/>
  <c r="V33" i="3" s="1"/>
  <c r="H32" i="6"/>
  <c r="F34" i="3"/>
  <c r="V34" i="3" s="1"/>
  <c r="H33" i="6"/>
  <c r="H34" i="6"/>
  <c r="F35" i="3"/>
  <c r="V35" i="3" s="1"/>
  <c r="H35" i="6"/>
  <c r="F36" i="3"/>
  <c r="V36" i="3" s="1"/>
  <c r="F37" i="3"/>
  <c r="V37" i="3" s="1"/>
  <c r="H36" i="6"/>
  <c r="F38" i="3"/>
  <c r="H37" i="6"/>
  <c r="F39" i="3"/>
  <c r="V39" i="3" s="1"/>
  <c r="H38" i="6"/>
  <c r="H39" i="6"/>
  <c r="F40" i="3"/>
  <c r="V40" i="3" s="1"/>
  <c r="F41" i="3"/>
  <c r="V41" i="3" s="1"/>
  <c r="H40" i="6"/>
  <c r="H41" i="6"/>
  <c r="F42" i="3"/>
  <c r="V42" i="3" s="1"/>
  <c r="H42" i="6"/>
  <c r="F43" i="3"/>
  <c r="V43" i="3" s="1"/>
  <c r="H43" i="6"/>
  <c r="F44" i="3"/>
  <c r="V44" i="3" s="1"/>
  <c r="H44" i="6"/>
  <c r="F45" i="3"/>
  <c r="V45" i="3" s="1"/>
  <c r="F46" i="3"/>
  <c r="V46" i="3" s="1"/>
  <c r="H45" i="6"/>
  <c r="H46" i="6"/>
  <c r="F47" i="3"/>
  <c r="V47" i="3" s="1"/>
  <c r="H47" i="6"/>
  <c r="F48" i="3"/>
  <c r="V48" i="3" s="1"/>
  <c r="F49" i="3"/>
  <c r="V49" i="3" s="1"/>
  <c r="H48" i="6"/>
  <c r="F50" i="3"/>
  <c r="V50" i="3" s="1"/>
  <c r="H49" i="6"/>
  <c r="F51" i="3"/>
  <c r="V51" i="3" s="1"/>
  <c r="H50" i="6"/>
  <c r="F52" i="3"/>
  <c r="V52" i="3" s="1"/>
  <c r="H51" i="6"/>
  <c r="F53" i="3"/>
  <c r="V53" i="3" s="1"/>
  <c r="H52" i="6"/>
  <c r="H53" i="6"/>
  <c r="F54" i="3"/>
  <c r="V54" i="3" s="1"/>
  <c r="F55" i="3"/>
  <c r="V55" i="3" s="1"/>
  <c r="H54" i="6"/>
  <c r="F56" i="3"/>
  <c r="V56" i="3" s="1"/>
  <c r="H55" i="6"/>
  <c r="F57" i="3"/>
  <c r="V57" i="3" s="1"/>
  <c r="H56" i="6"/>
  <c r="H57" i="6"/>
  <c r="F58" i="3"/>
  <c r="V58" i="3" s="1"/>
  <c r="F59" i="3"/>
  <c r="V59" i="3" s="1"/>
  <c r="H58" i="6"/>
  <c r="F60" i="3"/>
  <c r="V60" i="3" s="1"/>
  <c r="H59" i="6"/>
  <c r="F61" i="3"/>
  <c r="V61" i="3" s="1"/>
  <c r="H60" i="6"/>
  <c r="H61" i="6"/>
  <c r="F62" i="3"/>
  <c r="V62" i="3" s="1"/>
  <c r="F63" i="3"/>
  <c r="V63" i="3" s="1"/>
  <c r="H62" i="6"/>
  <c r="F64" i="3"/>
  <c r="V64" i="3" s="1"/>
  <c r="H63" i="6"/>
  <c r="F65" i="3"/>
  <c r="V65" i="3" s="1"/>
  <c r="H64" i="6"/>
  <c r="I4" i="3"/>
  <c r="I3" i="6"/>
  <c r="I6" i="6"/>
  <c r="I7" i="3"/>
  <c r="I7" i="6"/>
  <c r="I8" i="3"/>
  <c r="I10" i="6"/>
  <c r="I11" i="3"/>
  <c r="I28" i="3"/>
  <c r="I27" i="6"/>
  <c r="I29" i="6"/>
  <c r="I30" i="3"/>
  <c r="I31" i="3"/>
  <c r="I30" i="6"/>
  <c r="I32" i="3"/>
  <c r="I31" i="6"/>
  <c r="I32" i="6"/>
  <c r="I33" i="3"/>
  <c r="I35" i="3"/>
  <c r="I34" i="6"/>
  <c r="I36" i="3"/>
  <c r="I35" i="6"/>
  <c r="I38" i="3"/>
  <c r="I37" i="6"/>
  <c r="I38" i="6"/>
  <c r="I39" i="3"/>
  <c r="I39" i="6"/>
  <c r="I40" i="3"/>
  <c r="I41" i="3"/>
  <c r="I40" i="6"/>
  <c r="I42" i="3"/>
  <c r="I41" i="6"/>
  <c r="I42" i="6"/>
  <c r="I43" i="3"/>
  <c r="I43" i="6"/>
  <c r="I44" i="3"/>
  <c r="I45" i="3"/>
  <c r="I44" i="6"/>
  <c r="I45" i="6"/>
  <c r="I46" i="3"/>
  <c r="I47" i="3"/>
  <c r="I46" i="6"/>
  <c r="I48" i="3"/>
  <c r="I47" i="6"/>
  <c r="I48" i="6"/>
  <c r="I49" i="3"/>
  <c r="I50" i="6"/>
  <c r="I51" i="3"/>
  <c r="I51" i="6"/>
  <c r="I52" i="3"/>
  <c r="I52" i="6"/>
  <c r="I53" i="3"/>
  <c r="I55" i="3"/>
  <c r="I54" i="6"/>
  <c r="I56" i="3"/>
  <c r="I55" i="6"/>
  <c r="I57" i="6"/>
  <c r="I58" i="3"/>
  <c r="I60" i="3"/>
  <c r="I59" i="6"/>
  <c r="I61" i="6"/>
  <c r="I62" i="3"/>
  <c r="I64" i="3"/>
  <c r="I63" i="6"/>
  <c r="I66" i="3"/>
  <c r="I65" i="6"/>
  <c r="I67" i="6"/>
  <c r="I68" i="3"/>
  <c r="I69" i="6"/>
  <c r="I70" i="3"/>
  <c r="I96" i="6"/>
  <c r="I97" i="3"/>
  <c r="I99" i="6"/>
  <c r="I100" i="3"/>
  <c r="I101" i="6"/>
  <c r="I102" i="3"/>
  <c r="I104" i="6"/>
  <c r="I105" i="3"/>
  <c r="I108" i="3"/>
  <c r="I107" i="6"/>
  <c r="I111" i="3"/>
  <c r="I110" i="6"/>
  <c r="I114" i="3"/>
  <c r="I113" i="6"/>
  <c r="I117" i="3"/>
  <c r="I116" i="6"/>
  <c r="I119" i="6"/>
  <c r="I120" i="3"/>
  <c r="I123" i="3"/>
  <c r="I122" i="6"/>
  <c r="I126" i="3"/>
  <c r="I125" i="6"/>
  <c r="I128" i="6"/>
  <c r="I129" i="3"/>
  <c r="I132" i="6"/>
  <c r="I133" i="3"/>
  <c r="I136" i="3"/>
  <c r="I135" i="6"/>
  <c r="I139" i="6"/>
  <c r="I140" i="3"/>
  <c r="I143" i="6"/>
  <c r="I144" i="3"/>
  <c r="I147" i="6"/>
  <c r="I148" i="3"/>
  <c r="I151" i="6"/>
  <c r="I152" i="3"/>
  <c r="I155" i="3"/>
  <c r="I154" i="6"/>
  <c r="I159" i="3"/>
  <c r="I158" i="6"/>
  <c r="I161" i="6"/>
  <c r="I162" i="3"/>
  <c r="I165" i="6"/>
  <c r="I166" i="3"/>
  <c r="I170" i="3"/>
  <c r="I169" i="6"/>
  <c r="I173" i="6"/>
  <c r="I174" i="3"/>
  <c r="H102" i="6"/>
  <c r="F103" i="3"/>
  <c r="V103" i="3" s="1"/>
  <c r="F104" i="3"/>
  <c r="V104" i="3" s="1"/>
  <c r="H103" i="6"/>
  <c r="H104" i="6"/>
  <c r="F105" i="3"/>
  <c r="V105" i="3" s="1"/>
  <c r="F106" i="3"/>
  <c r="V106" i="3" s="1"/>
  <c r="H105" i="6"/>
  <c r="H106" i="6"/>
  <c r="F107" i="3"/>
  <c r="V107" i="3" s="1"/>
  <c r="F108" i="3"/>
  <c r="V108" i="3" s="1"/>
  <c r="H107" i="6"/>
  <c r="H108" i="6"/>
  <c r="F109" i="3"/>
  <c r="V109" i="3" s="1"/>
  <c r="F110" i="3"/>
  <c r="V110" i="3" s="1"/>
  <c r="H109" i="6"/>
  <c r="F111" i="3"/>
  <c r="V111" i="3" s="1"/>
  <c r="H110" i="6"/>
  <c r="F112" i="3"/>
  <c r="V112" i="3" s="1"/>
  <c r="H111" i="6"/>
  <c r="F113" i="3"/>
  <c r="V113" i="3" s="1"/>
  <c r="H112" i="6"/>
  <c r="H113" i="6"/>
  <c r="F114" i="3"/>
  <c r="V114" i="3" s="1"/>
  <c r="F115" i="3"/>
  <c r="V115" i="3" s="1"/>
  <c r="H114" i="6"/>
  <c r="F116" i="3"/>
  <c r="V116" i="3" s="1"/>
  <c r="H115" i="6"/>
  <c r="F117" i="3"/>
  <c r="V117" i="3" s="1"/>
  <c r="H116" i="6"/>
  <c r="H117" i="6"/>
  <c r="F118" i="3"/>
  <c r="V118" i="3" s="1"/>
  <c r="F119" i="3"/>
  <c r="V119" i="3" s="1"/>
  <c r="H118" i="6"/>
  <c r="H119" i="6"/>
  <c r="F120" i="3"/>
  <c r="V120" i="3" s="1"/>
  <c r="F121" i="3"/>
  <c r="V121" i="3" s="1"/>
  <c r="H120" i="6"/>
  <c r="F122" i="3"/>
  <c r="V122" i="3" s="1"/>
  <c r="H121" i="6"/>
  <c r="H122" i="6"/>
  <c r="F123" i="3"/>
  <c r="V123" i="3" s="1"/>
  <c r="F124" i="3"/>
  <c r="V124" i="3" s="1"/>
  <c r="H123" i="6"/>
  <c r="F125" i="3"/>
  <c r="V125" i="3" s="1"/>
  <c r="H124" i="6"/>
  <c r="F126" i="3"/>
  <c r="V126" i="3" s="1"/>
  <c r="H125" i="6"/>
  <c r="H126" i="6"/>
  <c r="F127" i="3"/>
  <c r="V127" i="3" s="1"/>
  <c r="F128" i="3"/>
  <c r="V128" i="3" s="1"/>
  <c r="H127" i="6"/>
  <c r="H128" i="6"/>
  <c r="F129" i="3"/>
  <c r="V129" i="3" s="1"/>
  <c r="F130" i="3"/>
  <c r="V130" i="3" s="1"/>
  <c r="H129" i="6"/>
  <c r="F131" i="3"/>
  <c r="V131" i="3" s="1"/>
  <c r="H130" i="6"/>
  <c r="H131" i="6"/>
  <c r="F132" i="3"/>
  <c r="V132" i="3" s="1"/>
  <c r="H132" i="6"/>
  <c r="F133" i="3"/>
  <c r="V133" i="3" s="1"/>
  <c r="F134" i="3"/>
  <c r="V134" i="3" s="1"/>
  <c r="H133" i="6"/>
  <c r="F135" i="3"/>
  <c r="V135" i="3" s="1"/>
  <c r="H134" i="6"/>
  <c r="F136" i="3"/>
  <c r="V136" i="3" s="1"/>
  <c r="H135" i="6"/>
  <c r="H136" i="6"/>
  <c r="F137" i="3"/>
  <c r="V137" i="3" s="1"/>
  <c r="F138" i="3"/>
  <c r="V138" i="3" s="1"/>
  <c r="H137" i="6"/>
  <c r="F139" i="3"/>
  <c r="V139" i="3" s="1"/>
  <c r="H138" i="6"/>
  <c r="F140" i="3"/>
  <c r="V140" i="3" s="1"/>
  <c r="H139" i="6"/>
  <c r="F141" i="3"/>
  <c r="V141" i="3" s="1"/>
  <c r="H140" i="6"/>
  <c r="H141" i="6"/>
  <c r="F142" i="3"/>
  <c r="V142" i="3" s="1"/>
  <c r="H142" i="6"/>
  <c r="F143" i="3"/>
  <c r="V143" i="3" s="1"/>
  <c r="H143" i="6"/>
  <c r="F144" i="3"/>
  <c r="V144" i="3" s="1"/>
  <c r="F145" i="3"/>
  <c r="V145" i="3" s="1"/>
  <c r="H144" i="6"/>
  <c r="F146" i="3"/>
  <c r="V146" i="3" s="1"/>
  <c r="H145" i="6"/>
  <c r="H146" i="6"/>
  <c r="F147" i="3"/>
  <c r="V147" i="3" s="1"/>
  <c r="F148" i="3"/>
  <c r="V148" i="3" s="1"/>
  <c r="H147" i="6"/>
  <c r="H148" i="6"/>
  <c r="F149" i="3"/>
  <c r="V149" i="3" s="1"/>
  <c r="H152" i="6"/>
  <c r="F153" i="3"/>
  <c r="V153" i="3" s="1"/>
  <c r="F154" i="3"/>
  <c r="V154" i="3" s="1"/>
  <c r="H153" i="6"/>
  <c r="H154" i="6"/>
  <c r="F155" i="3"/>
  <c r="V155" i="3" s="1"/>
  <c r="F156" i="3"/>
  <c r="V156" i="3" s="1"/>
  <c r="H155" i="6"/>
  <c r="F157" i="3"/>
  <c r="V157" i="3" s="1"/>
  <c r="H156" i="6"/>
  <c r="H157" i="6"/>
  <c r="F158" i="3"/>
  <c r="V158" i="3" s="1"/>
  <c r="H158" i="6"/>
  <c r="F159" i="3"/>
  <c r="V159" i="3" s="1"/>
  <c r="F160" i="3"/>
  <c r="V160" i="3" s="1"/>
  <c r="H159" i="6"/>
  <c r="F161" i="3"/>
  <c r="V161" i="3" s="1"/>
  <c r="H160" i="6"/>
  <c r="H161" i="6"/>
  <c r="F162" i="3"/>
  <c r="V162" i="3" s="1"/>
  <c r="H162" i="6"/>
  <c r="F163" i="3"/>
  <c r="V163" i="3" s="1"/>
  <c r="H163" i="6"/>
  <c r="F164" i="3"/>
  <c r="V164" i="3" s="1"/>
  <c r="H164" i="6"/>
  <c r="F165" i="3"/>
  <c r="V165" i="3" s="1"/>
  <c r="H165" i="6"/>
  <c r="F166" i="3"/>
  <c r="V166" i="3" s="1"/>
  <c r="H166" i="6"/>
  <c r="F167" i="3"/>
  <c r="V167" i="3" s="1"/>
  <c r="F168" i="3"/>
  <c r="V168" i="3" s="1"/>
  <c r="H167" i="6"/>
  <c r="H168" i="6"/>
  <c r="F169" i="3"/>
  <c r="V169" i="3" s="1"/>
  <c r="F170" i="3"/>
  <c r="V170" i="3" s="1"/>
  <c r="H169" i="6"/>
  <c r="F171" i="3"/>
  <c r="V171" i="3" s="1"/>
  <c r="H170" i="6"/>
  <c r="H171" i="6"/>
  <c r="F172" i="3"/>
  <c r="V172" i="3" s="1"/>
  <c r="H172" i="6"/>
  <c r="F173" i="3"/>
  <c r="V173" i="3" s="1"/>
  <c r="H173" i="6"/>
  <c r="F174" i="3"/>
  <c r="V174" i="3" s="1"/>
  <c r="F175" i="3"/>
  <c r="V175" i="3" s="1"/>
  <c r="H174" i="6"/>
  <c r="H175" i="6"/>
  <c r="F176" i="3"/>
  <c r="V176" i="3" s="1"/>
  <c r="F177" i="3"/>
  <c r="V177" i="3" s="1"/>
  <c r="H176" i="6"/>
  <c r="I129" i="6"/>
  <c r="I130" i="3"/>
  <c r="I136" i="6"/>
  <c r="I137" i="3"/>
  <c r="I141" i="3"/>
  <c r="I140" i="6"/>
  <c r="I145" i="3"/>
  <c r="I144" i="6"/>
  <c r="I150" i="3"/>
  <c r="I149" i="6"/>
  <c r="I154" i="3"/>
  <c r="I153" i="6"/>
  <c r="I157" i="6"/>
  <c r="I158" i="3"/>
  <c r="I162" i="6"/>
  <c r="I163" i="3"/>
  <c r="I166" i="6"/>
  <c r="I167" i="3"/>
  <c r="I171" i="3"/>
  <c r="I170" i="6"/>
  <c r="I175" i="3"/>
  <c r="I174" i="6"/>
  <c r="F17" i="7" s="1"/>
  <c r="I5" i="6"/>
  <c r="I6" i="3"/>
  <c r="I10" i="3"/>
  <c r="I9" i="6"/>
  <c r="I13" i="3"/>
  <c r="I12" i="6"/>
  <c r="I15" i="6"/>
  <c r="I16" i="3"/>
  <c r="I21" i="3"/>
  <c r="I20" i="6"/>
  <c r="I21" i="6"/>
  <c r="I22" i="3"/>
  <c r="I23" i="6"/>
  <c r="I24" i="3"/>
  <c r="I26" i="6"/>
  <c r="I27" i="3"/>
  <c r="I28" i="6"/>
  <c r="I29" i="3"/>
  <c r="I73" i="3"/>
  <c r="I72" i="6"/>
  <c r="I75" i="3"/>
  <c r="I74" i="6"/>
  <c r="I77" i="3"/>
  <c r="I76" i="6"/>
  <c r="I78" i="6"/>
  <c r="I79" i="3"/>
  <c r="I80" i="6"/>
  <c r="I81" i="3"/>
  <c r="I82" i="6"/>
  <c r="I83" i="3"/>
  <c r="I83" i="6"/>
  <c r="I84" i="3"/>
  <c r="I86" i="3"/>
  <c r="I85" i="6"/>
  <c r="I89" i="3"/>
  <c r="I88" i="6"/>
  <c r="I90" i="3"/>
  <c r="I89" i="6"/>
  <c r="I92" i="3"/>
  <c r="I91" i="6"/>
  <c r="I93" i="6"/>
  <c r="I94" i="3"/>
  <c r="I96" i="3"/>
  <c r="I95" i="6"/>
  <c r="I98" i="6"/>
  <c r="I99" i="3"/>
  <c r="I103" i="6"/>
  <c r="I104" i="3"/>
  <c r="I107" i="3"/>
  <c r="I106" i="6"/>
  <c r="I109" i="6"/>
  <c r="I110" i="3"/>
  <c r="I112" i="6"/>
  <c r="I113" i="3"/>
  <c r="I116" i="3"/>
  <c r="I115" i="6"/>
  <c r="I118" i="6"/>
  <c r="I119" i="3"/>
  <c r="I122" i="3"/>
  <c r="I121" i="6"/>
  <c r="I124" i="3"/>
  <c r="I123" i="6"/>
  <c r="I127" i="3"/>
  <c r="I126" i="6"/>
  <c r="I130" i="6"/>
  <c r="I131" i="3"/>
  <c r="I134" i="3"/>
  <c r="I133" i="6"/>
  <c r="I139" i="3"/>
  <c r="I138" i="6"/>
  <c r="I143" i="3"/>
  <c r="I142" i="6"/>
  <c r="I146" i="6"/>
  <c r="I147" i="3"/>
  <c r="I151" i="3"/>
  <c r="I150" i="6"/>
  <c r="I155" i="6"/>
  <c r="I156" i="3"/>
  <c r="I160" i="3"/>
  <c r="I159" i="6"/>
  <c r="I163" i="6"/>
  <c r="I164" i="3"/>
  <c r="J103" i="6"/>
  <c r="J104" i="3"/>
  <c r="J131" i="6"/>
  <c r="J132" i="3"/>
  <c r="B193" i="3"/>
  <c r="C193" i="3" s="1"/>
  <c r="F150" i="3"/>
  <c r="V150" i="3" s="1"/>
  <c r="H149" i="6"/>
  <c r="H151" i="6"/>
  <c r="F152" i="3"/>
  <c r="V152" i="3" s="1"/>
  <c r="F151" i="3"/>
  <c r="V151" i="3" s="1"/>
  <c r="H150" i="6"/>
  <c r="V4" i="3"/>
  <c r="B188" i="3"/>
  <c r="C188" i="3" s="1"/>
  <c r="K9" i="7"/>
  <c r="K14" i="7"/>
  <c r="L12" i="7"/>
  <c r="K12" i="7"/>
  <c r="I12" i="7"/>
  <c r="E12" i="7"/>
  <c r="B12" i="7"/>
  <c r="B11" i="7"/>
  <c r="B4" i="7"/>
  <c r="B7" i="7"/>
  <c r="B10" i="7"/>
  <c r="B8" i="7"/>
  <c r="B5" i="7"/>
  <c r="B6" i="7"/>
  <c r="B16" i="7"/>
  <c r="B15" i="7"/>
  <c r="B13" i="7"/>
  <c r="B14" i="7"/>
  <c r="B9" i="7"/>
  <c r="F12" i="7"/>
  <c r="J12" i="7"/>
  <c r="L11" i="7"/>
  <c r="L4" i="7"/>
  <c r="L7" i="7"/>
  <c r="L10" i="7"/>
  <c r="L8" i="7"/>
  <c r="L5" i="7"/>
  <c r="L3" i="7"/>
  <c r="L6" i="7"/>
  <c r="L16" i="7"/>
  <c r="L9" i="7"/>
  <c r="K4" i="7"/>
  <c r="K8" i="7"/>
  <c r="K6" i="7"/>
  <c r="I11" i="7"/>
  <c r="I4" i="7"/>
  <c r="I7" i="7"/>
  <c r="I10" i="7"/>
  <c r="I8" i="7"/>
  <c r="I5" i="7"/>
  <c r="I3" i="7"/>
  <c r="I6" i="7"/>
  <c r="I16" i="7"/>
  <c r="I15" i="7"/>
  <c r="I14" i="7"/>
  <c r="I9" i="7"/>
  <c r="E11" i="7"/>
  <c r="E4" i="7"/>
  <c r="E7" i="7"/>
  <c r="E10" i="7"/>
  <c r="E8" i="7"/>
  <c r="E5" i="7"/>
  <c r="E3" i="7"/>
  <c r="E6" i="7"/>
  <c r="E16" i="7"/>
  <c r="E15" i="7"/>
  <c r="E14" i="7"/>
  <c r="E9" i="7"/>
  <c r="L14" i="7"/>
  <c r="K11" i="7"/>
  <c r="K10" i="7"/>
  <c r="K3" i="7"/>
  <c r="K15" i="7"/>
  <c r="L15" i="7"/>
  <c r="K7" i="7"/>
  <c r="K5" i="7"/>
  <c r="K16" i="7"/>
  <c r="J11" i="7"/>
  <c r="J4" i="7"/>
  <c r="J7" i="7"/>
  <c r="J10" i="7"/>
  <c r="J8" i="7"/>
  <c r="J5" i="7"/>
  <c r="J3" i="7"/>
  <c r="J6" i="7"/>
  <c r="J16" i="7"/>
  <c r="J15" i="7"/>
  <c r="J14" i="7"/>
  <c r="J9" i="7"/>
  <c r="F3" i="7" l="1"/>
  <c r="B187" i="3"/>
  <c r="C187" i="3" s="1"/>
  <c r="F6" i="7"/>
  <c r="F15" i="7"/>
  <c r="F10" i="7"/>
  <c r="F4" i="7"/>
  <c r="F7" i="7"/>
  <c r="F8" i="7"/>
  <c r="F11" i="7"/>
  <c r="V38" i="3"/>
  <c r="B184" i="3"/>
  <c r="C184" i="3" s="1"/>
  <c r="AQ65" i="5"/>
  <c r="AP65" i="5"/>
  <c r="AQ67" i="5"/>
  <c r="AP67" i="5"/>
  <c r="AQ69" i="5"/>
  <c r="AP69" i="5"/>
  <c r="F16" i="7"/>
  <c r="AP96" i="5"/>
  <c r="AQ96" i="5"/>
  <c r="AP99" i="5"/>
  <c r="AQ99" i="5"/>
  <c r="AQ101" i="5"/>
  <c r="AP101" i="5"/>
  <c r="AP3" i="5"/>
  <c r="AQ3" i="5"/>
  <c r="AP4" i="5"/>
  <c r="AQ4" i="5"/>
  <c r="AQ5" i="5"/>
  <c r="AP5" i="5"/>
  <c r="AQ6" i="5"/>
  <c r="AP6" i="5"/>
  <c r="AQ7" i="5"/>
  <c r="AP7" i="5"/>
  <c r="AQ8" i="5"/>
  <c r="AP8" i="5"/>
  <c r="AQ9" i="5"/>
  <c r="AP9" i="5"/>
  <c r="AQ10" i="5"/>
  <c r="AP10" i="5"/>
  <c r="AQ11" i="5"/>
  <c r="AP11" i="5"/>
  <c r="AQ12" i="5"/>
  <c r="AP12" i="5"/>
  <c r="AQ13" i="5"/>
  <c r="AP13" i="5"/>
  <c r="AQ14" i="5"/>
  <c r="AP14" i="5"/>
  <c r="AQ15" i="5"/>
  <c r="AP15" i="5"/>
  <c r="AQ16" i="5"/>
  <c r="AP16" i="5"/>
  <c r="AQ17" i="5"/>
  <c r="AP17" i="5"/>
  <c r="AQ18" i="5"/>
  <c r="AP18" i="5"/>
  <c r="AQ19" i="5"/>
  <c r="AP19" i="5"/>
  <c r="AQ20" i="5"/>
  <c r="AP20" i="5"/>
  <c r="AQ21" i="5"/>
  <c r="AP21" i="5"/>
  <c r="AQ22" i="5"/>
  <c r="AP22" i="5"/>
  <c r="AQ23" i="5"/>
  <c r="AP23" i="5"/>
  <c r="AQ24" i="5"/>
  <c r="AP24" i="5"/>
  <c r="AQ25" i="5"/>
  <c r="AP25" i="5"/>
  <c r="AQ26" i="5"/>
  <c r="AP26" i="5"/>
  <c r="AQ27" i="5"/>
  <c r="AP27" i="5"/>
  <c r="AQ28" i="5"/>
  <c r="AP28" i="5"/>
  <c r="AQ29" i="5"/>
  <c r="AP29" i="5"/>
  <c r="AQ30" i="5"/>
  <c r="AP30" i="5"/>
  <c r="AQ31" i="5"/>
  <c r="AP31" i="5"/>
  <c r="AQ32" i="5"/>
  <c r="AP32" i="5"/>
  <c r="AP33" i="5"/>
  <c r="AQ33" i="5"/>
  <c r="AP34" i="5"/>
  <c r="AQ34" i="5"/>
  <c r="AP35" i="5"/>
  <c r="AQ35" i="5"/>
  <c r="AP36" i="5"/>
  <c r="AQ36" i="5"/>
  <c r="AP37" i="5"/>
  <c r="AQ37" i="5"/>
  <c r="AP38" i="5"/>
  <c r="AQ38" i="5"/>
  <c r="AP39" i="5"/>
  <c r="AQ39" i="5"/>
  <c r="AQ40" i="5"/>
  <c r="AP40" i="5"/>
  <c r="AQ41" i="5"/>
  <c r="AP41" i="5"/>
  <c r="AP42" i="5"/>
  <c r="AQ42" i="5"/>
  <c r="AQ43" i="5"/>
  <c r="AP43" i="5"/>
  <c r="AP44" i="5"/>
  <c r="AQ44" i="5"/>
  <c r="AP45" i="5"/>
  <c r="AQ45" i="5"/>
  <c r="AQ46" i="5"/>
  <c r="AP46" i="5"/>
  <c r="AQ47" i="5"/>
  <c r="AP47" i="5"/>
  <c r="AQ48" i="5"/>
  <c r="AP48" i="5"/>
  <c r="AQ49" i="5"/>
  <c r="AP49" i="5"/>
  <c r="AQ50" i="5"/>
  <c r="AP50" i="5"/>
  <c r="AQ51" i="5"/>
  <c r="AP51" i="5"/>
  <c r="AQ52" i="5"/>
  <c r="AP52" i="5"/>
  <c r="AP53" i="5"/>
  <c r="AQ53" i="5"/>
  <c r="AP54" i="5"/>
  <c r="AQ54" i="5"/>
  <c r="AP55" i="5"/>
  <c r="AQ55" i="5"/>
  <c r="AP56" i="5"/>
  <c r="AQ56" i="5"/>
  <c r="AP57" i="5"/>
  <c r="AQ57" i="5"/>
  <c r="AP58" i="5"/>
  <c r="AQ58" i="5"/>
  <c r="AP59" i="5"/>
  <c r="AQ59" i="5"/>
  <c r="AQ60" i="5"/>
  <c r="AP60" i="5"/>
  <c r="AQ61" i="5"/>
  <c r="AP61" i="5"/>
  <c r="AQ62" i="5"/>
  <c r="AP62" i="5"/>
  <c r="AQ63" i="5"/>
  <c r="AP63" i="5"/>
  <c r="AP64" i="5"/>
  <c r="AQ64" i="5"/>
  <c r="AP102" i="5"/>
  <c r="AQ102" i="5"/>
  <c r="AP103" i="5"/>
  <c r="AQ103" i="5"/>
  <c r="AP104" i="5"/>
  <c r="AQ104" i="5"/>
  <c r="AP105" i="5"/>
  <c r="AQ105" i="5"/>
  <c r="AP106" i="5"/>
  <c r="AQ106" i="5"/>
  <c r="AP107" i="5"/>
  <c r="AQ107" i="5"/>
  <c r="AP108" i="5"/>
  <c r="AQ108" i="5"/>
  <c r="AP109" i="5"/>
  <c r="AQ109" i="5"/>
  <c r="AP110" i="5"/>
  <c r="AQ110" i="5"/>
  <c r="AQ111" i="5"/>
  <c r="AP111" i="5"/>
  <c r="AP112" i="5"/>
  <c r="AQ112" i="5"/>
  <c r="AP113" i="5"/>
  <c r="AQ113" i="5"/>
  <c r="AP114" i="5"/>
  <c r="AQ114" i="5"/>
  <c r="AP115" i="5"/>
  <c r="AQ115" i="5"/>
  <c r="AQ116" i="5"/>
  <c r="AP116" i="5"/>
  <c r="AP117" i="5"/>
  <c r="AQ117" i="5"/>
  <c r="AP118" i="5"/>
  <c r="AQ118" i="5"/>
  <c r="AQ119" i="5"/>
  <c r="AP119" i="5"/>
  <c r="AQ120" i="5"/>
  <c r="AP120" i="5"/>
  <c r="AQ121" i="5"/>
  <c r="AP121" i="5"/>
  <c r="AQ122" i="5"/>
  <c r="AP122" i="5"/>
  <c r="AQ123" i="5"/>
  <c r="AP123" i="5"/>
  <c r="AQ124" i="5"/>
  <c r="AP124" i="5"/>
  <c r="AQ125" i="5"/>
  <c r="AP125" i="5"/>
  <c r="AQ126" i="5"/>
  <c r="AP126" i="5"/>
  <c r="AP127" i="5"/>
  <c r="AQ127" i="5"/>
  <c r="AP128" i="5"/>
  <c r="AQ128" i="5"/>
  <c r="AQ129" i="5"/>
  <c r="AP129" i="5"/>
  <c r="AQ130" i="5"/>
  <c r="AP130" i="5"/>
  <c r="AQ131" i="5"/>
  <c r="AP131" i="5"/>
  <c r="AQ132" i="5"/>
  <c r="AP132" i="5"/>
  <c r="AP133" i="5"/>
  <c r="AQ133" i="5"/>
  <c r="AQ134" i="5"/>
  <c r="AP134" i="5"/>
  <c r="AQ135" i="5"/>
  <c r="AP135" i="5"/>
  <c r="AQ136" i="5"/>
  <c r="AP136" i="5"/>
  <c r="AQ137" i="5"/>
  <c r="AP137" i="5"/>
  <c r="AQ138" i="5"/>
  <c r="AP138" i="5"/>
  <c r="AQ139" i="5"/>
  <c r="AP139" i="5"/>
  <c r="AQ140" i="5"/>
  <c r="AP140" i="5"/>
  <c r="AQ141" i="5"/>
  <c r="AP141" i="5"/>
  <c r="AQ142" i="5"/>
  <c r="AP142" i="5"/>
  <c r="AQ143" i="5"/>
  <c r="AP143" i="5"/>
  <c r="AQ144" i="5"/>
  <c r="AP144" i="5"/>
  <c r="AQ145" i="5"/>
  <c r="AP145" i="5"/>
  <c r="AQ146" i="5"/>
  <c r="AP146" i="5"/>
  <c r="AQ147" i="5"/>
  <c r="AP147" i="5"/>
  <c r="AQ148" i="5"/>
  <c r="AP148" i="5"/>
  <c r="AQ152" i="5"/>
  <c r="AP152" i="5"/>
  <c r="AQ153" i="5"/>
  <c r="AP153" i="5"/>
  <c r="AQ154" i="5"/>
  <c r="AP154" i="5"/>
  <c r="AQ155" i="5"/>
  <c r="AP155" i="5"/>
  <c r="AQ156" i="5"/>
  <c r="AP156" i="5"/>
  <c r="AQ157" i="5"/>
  <c r="AP157" i="5"/>
  <c r="AP158" i="5"/>
  <c r="AQ158" i="5"/>
  <c r="AP159" i="5"/>
  <c r="AQ159" i="5"/>
  <c r="AQ160" i="5"/>
  <c r="AP160" i="5"/>
  <c r="AQ161" i="5"/>
  <c r="AP161" i="5"/>
  <c r="AQ162" i="5"/>
  <c r="AP162" i="5"/>
  <c r="AQ163" i="5"/>
  <c r="AP163" i="5"/>
  <c r="AQ164" i="5"/>
  <c r="AP164" i="5"/>
  <c r="AP165" i="5"/>
  <c r="AQ165" i="5"/>
  <c r="AQ166" i="5"/>
  <c r="AP166" i="5"/>
  <c r="AQ167" i="5"/>
  <c r="AP167" i="5"/>
  <c r="AQ168" i="5"/>
  <c r="AP168" i="5"/>
  <c r="AQ169" i="5"/>
  <c r="AP169" i="5"/>
  <c r="AQ170" i="5"/>
  <c r="AP170" i="5"/>
  <c r="AQ171" i="5"/>
  <c r="AP171" i="5"/>
  <c r="AQ172" i="5"/>
  <c r="AP172" i="5"/>
  <c r="AQ173" i="5"/>
  <c r="AP173" i="5"/>
  <c r="AQ174" i="5"/>
  <c r="AP174" i="5"/>
  <c r="AQ175" i="5"/>
  <c r="AP175" i="5"/>
  <c r="AP176" i="5"/>
  <c r="AQ176" i="5"/>
  <c r="AP66" i="5"/>
  <c r="AQ66" i="5"/>
  <c r="AP68" i="5"/>
  <c r="AQ68" i="5"/>
  <c r="F5" i="7"/>
  <c r="AP70" i="5"/>
  <c r="AQ70" i="5"/>
  <c r="AQ71" i="5"/>
  <c r="AP71" i="5"/>
  <c r="AQ73" i="5"/>
  <c r="AP73" i="5"/>
  <c r="AP75" i="5"/>
  <c r="AQ75" i="5"/>
  <c r="AP77" i="5"/>
  <c r="AQ77" i="5"/>
  <c r="F14" i="7"/>
  <c r="AP79" i="5"/>
  <c r="AQ79" i="5"/>
  <c r="AQ81" i="5"/>
  <c r="AP81" i="5"/>
  <c r="AP84" i="5"/>
  <c r="AQ84" i="5"/>
  <c r="F9" i="7"/>
  <c r="AP86" i="5"/>
  <c r="AQ86" i="5"/>
  <c r="AQ87" i="5"/>
  <c r="AP87" i="5"/>
  <c r="AQ90" i="5"/>
  <c r="AP90" i="5"/>
  <c r="AP92" i="5"/>
  <c r="AQ92" i="5"/>
  <c r="AQ94" i="5"/>
  <c r="AP94" i="5"/>
  <c r="AQ97" i="5"/>
  <c r="AP97" i="5"/>
  <c r="AP100" i="5"/>
  <c r="AQ100" i="5"/>
  <c r="AQ72" i="5"/>
  <c r="AP72" i="5"/>
  <c r="AQ74" i="5"/>
  <c r="AP74" i="5"/>
  <c r="AP76" i="5"/>
  <c r="AQ76" i="5"/>
  <c r="AP78" i="5"/>
  <c r="AQ78" i="5"/>
  <c r="AQ80" i="5"/>
  <c r="AP80" i="5"/>
  <c r="AP82" i="5"/>
  <c r="AQ82" i="5"/>
  <c r="AP83" i="5"/>
  <c r="AQ83" i="5"/>
  <c r="AP85" i="5"/>
  <c r="AQ85" i="5"/>
  <c r="AQ88" i="5"/>
  <c r="AP88" i="5"/>
  <c r="AQ89" i="5"/>
  <c r="AP89" i="5"/>
  <c r="AQ91" i="5"/>
  <c r="AP91" i="5"/>
  <c r="AQ93" i="5"/>
  <c r="AP93" i="5"/>
  <c r="AQ95" i="5"/>
  <c r="AP95" i="5"/>
  <c r="AP98" i="5"/>
  <c r="AQ98" i="5"/>
  <c r="AP149" i="5"/>
  <c r="AQ149" i="5"/>
  <c r="AP151" i="5"/>
  <c r="AQ151" i="5"/>
  <c r="AP150" i="5"/>
  <c r="AQ150" i="5"/>
  <c r="B3" i="7"/>
  <c r="D13" i="7" l="1"/>
  <c r="Q166" i="3"/>
  <c r="Z133" i="3"/>
  <c r="AB133" i="3" s="1"/>
  <c r="H3" i="7"/>
  <c r="Z130" i="3"/>
  <c r="AB130" i="3" s="1"/>
  <c r="Z61" i="3"/>
  <c r="AB61" i="3" s="1"/>
  <c r="S172" i="3"/>
  <c r="S40" i="3"/>
  <c r="S23" i="3"/>
  <c r="S7" i="3"/>
  <c r="Q130" i="3"/>
  <c r="Q99" i="3"/>
  <c r="Q26" i="3"/>
  <c r="Q8" i="3"/>
  <c r="AA163" i="3"/>
  <c r="AA160" i="3"/>
  <c r="AA158" i="3"/>
  <c r="AA146" i="3"/>
  <c r="AA135" i="3"/>
  <c r="AI125" i="3"/>
  <c r="AA40" i="3"/>
  <c r="AA32" i="3"/>
  <c r="AA24" i="3"/>
  <c r="AA17" i="3"/>
  <c r="Q61" i="3"/>
  <c r="Q37" i="3"/>
  <c r="Q25" i="3"/>
  <c r="Q5" i="3"/>
  <c r="AA147" i="3"/>
  <c r="AA138" i="3"/>
  <c r="S130" i="5"/>
  <c r="AA120" i="3"/>
  <c r="AA108" i="3"/>
  <c r="R48" i="3"/>
  <c r="R56" i="3"/>
  <c r="R75" i="3"/>
  <c r="Z30" i="3"/>
  <c r="AB30" i="3" s="1"/>
  <c r="R139" i="3"/>
  <c r="R143" i="3"/>
  <c r="R152" i="3"/>
  <c r="R155" i="3"/>
  <c r="R159" i="3"/>
  <c r="R164" i="3"/>
  <c r="R171" i="3"/>
  <c r="R174" i="3"/>
  <c r="R170" i="3"/>
  <c r="R138" i="3"/>
  <c r="R106" i="3"/>
  <c r="R84" i="3"/>
  <c r="R69" i="3"/>
  <c r="R54" i="3"/>
  <c r="R28" i="3"/>
  <c r="R9" i="3"/>
  <c r="R146" i="3"/>
  <c r="R107" i="3"/>
  <c r="R91" i="3"/>
  <c r="R59" i="3"/>
  <c r="R42" i="3"/>
  <c r="R4" i="3"/>
  <c r="S157" i="3"/>
  <c r="S177" i="3"/>
  <c r="R173" i="3"/>
  <c r="S159" i="3"/>
  <c r="S156" i="3"/>
  <c r="S145" i="3"/>
  <c r="S142" i="3"/>
  <c r="S135" i="3"/>
  <c r="S131" i="3"/>
  <c r="S129" i="3"/>
  <c r="S113" i="3"/>
  <c r="S110" i="3"/>
  <c r="S107" i="3"/>
  <c r="S100" i="3"/>
  <c r="S97" i="3"/>
  <c r="S95" i="3"/>
  <c r="S86" i="3"/>
  <c r="S101" i="3"/>
  <c r="S85" i="3"/>
  <c r="S80" i="3"/>
  <c r="S78" i="3"/>
  <c r="S76" i="3"/>
  <c r="S74" i="3"/>
  <c r="S71" i="3"/>
  <c r="S69" i="3"/>
  <c r="S67" i="3"/>
  <c r="S63" i="3"/>
  <c r="S61" i="3"/>
  <c r="S59" i="3"/>
  <c r="S55" i="3"/>
  <c r="S53" i="3"/>
  <c r="S51" i="3"/>
  <c r="S50" i="3"/>
  <c r="S48" i="3"/>
  <c r="S43" i="3"/>
  <c r="S41" i="3"/>
  <c r="S39" i="3"/>
  <c r="S37" i="3"/>
  <c r="S31" i="3"/>
  <c r="S29" i="3"/>
  <c r="S27" i="3"/>
  <c r="S25" i="3"/>
  <c r="S22" i="3"/>
  <c r="S20" i="3"/>
  <c r="S18" i="3"/>
  <c r="S15" i="3"/>
  <c r="S13" i="3"/>
  <c r="S11" i="3"/>
  <c r="S9" i="3"/>
  <c r="S6" i="3"/>
  <c r="S5" i="3"/>
  <c r="Q174" i="3"/>
  <c r="Q172" i="3"/>
  <c r="Q167" i="3"/>
  <c r="P166" i="3"/>
  <c r="P165" i="3"/>
  <c r="P163" i="3"/>
  <c r="P159" i="3"/>
  <c r="P158" i="3"/>
  <c r="Q149" i="3"/>
  <c r="Q147" i="3"/>
  <c r="P145" i="3"/>
  <c r="Q144" i="3"/>
  <c r="Q142" i="3"/>
  <c r="Q140" i="3"/>
  <c r="Q138" i="3"/>
  <c r="Q137" i="3"/>
  <c r="Q135" i="3"/>
  <c r="P132" i="3"/>
  <c r="P131" i="3"/>
  <c r="Q129" i="3"/>
  <c r="Q127" i="3"/>
  <c r="P126" i="3"/>
  <c r="P124" i="3"/>
  <c r="P123" i="3"/>
  <c r="P121" i="3"/>
  <c r="Q117" i="3"/>
  <c r="Q115" i="3"/>
  <c r="Q87" i="3"/>
  <c r="Z4" i="3"/>
  <c r="R67" i="3"/>
  <c r="Z32" i="3"/>
  <c r="Z46" i="3"/>
  <c r="Z99" i="3"/>
  <c r="Z123" i="3"/>
  <c r="Z166" i="3"/>
  <c r="P88" i="3"/>
  <c r="Q77" i="3"/>
  <c r="P69" i="3"/>
  <c r="G11" i="7"/>
  <c r="R110" i="3"/>
  <c r="R156" i="3"/>
  <c r="AK147" i="3"/>
  <c r="Z9" i="3"/>
  <c r="AB9" i="3" s="1"/>
  <c r="AK142" i="3"/>
  <c r="AK131" i="3"/>
  <c r="Q9" i="3"/>
  <c r="AA150" i="3"/>
  <c r="AA144" i="3"/>
  <c r="AA142" i="3"/>
  <c r="AA139" i="3"/>
  <c r="AA131" i="3"/>
  <c r="AA78" i="3"/>
  <c r="AA63" i="3"/>
  <c r="Q66" i="3"/>
  <c r="P43" i="3"/>
  <c r="AI129" i="3"/>
  <c r="S128" i="5"/>
  <c r="S124" i="5"/>
  <c r="AK124" i="3"/>
  <c r="S107" i="5"/>
  <c r="T107" i="5" s="1"/>
  <c r="AI108" i="3"/>
  <c r="AI89" i="3"/>
  <c r="S88" i="5"/>
  <c r="Z116" i="3"/>
  <c r="Z26" i="3"/>
  <c r="Z102" i="3"/>
  <c r="Z106" i="3"/>
  <c r="Z120" i="3"/>
  <c r="AB120" i="3" s="1"/>
  <c r="Z126" i="3"/>
  <c r="Z140" i="3"/>
  <c r="AB140" i="3" s="1"/>
  <c r="S167" i="5"/>
  <c r="AK116" i="3"/>
  <c r="AK93" i="3"/>
  <c r="Z143" i="3"/>
  <c r="Z128" i="3"/>
  <c r="AB128" i="3" s="1"/>
  <c r="Z10" i="3"/>
  <c r="AB10" i="3" s="1"/>
  <c r="AK6" i="3"/>
  <c r="AK130" i="3"/>
  <c r="AK134" i="3"/>
  <c r="AK157" i="3"/>
  <c r="AK14" i="3"/>
  <c r="AK15" i="3"/>
  <c r="Z83" i="3"/>
  <c r="Z147" i="3"/>
  <c r="AA47" i="3"/>
  <c r="AK29" i="3"/>
  <c r="P134" i="3"/>
  <c r="Q80" i="3"/>
  <c r="P37" i="3"/>
  <c r="AB166" i="3"/>
  <c r="AI61" i="3"/>
  <c r="AI17" i="3"/>
  <c r="S16" i="5"/>
  <c r="R64" i="3"/>
  <c r="R104" i="3"/>
  <c r="Z40" i="3"/>
  <c r="AA37" i="3"/>
  <c r="AA18" i="3"/>
  <c r="S60" i="5"/>
  <c r="T60" i="5" s="1"/>
  <c r="AI11" i="3"/>
  <c r="AK10" i="3"/>
  <c r="AA83" i="3"/>
  <c r="Z27" i="3"/>
  <c r="AB27" i="3" s="1"/>
  <c r="Z148" i="3"/>
  <c r="AB148" i="3" s="1"/>
  <c r="Z161" i="3"/>
  <c r="AB161" i="3" s="1"/>
  <c r="AA93" i="3"/>
  <c r="AK165" i="3"/>
  <c r="AA33" i="3"/>
  <c r="AA55" i="3"/>
  <c r="H13" i="7"/>
  <c r="AA89" i="3"/>
  <c r="Z8" i="3"/>
  <c r="AK43" i="3"/>
  <c r="AK33" i="3"/>
  <c r="Z127" i="3"/>
  <c r="S111" i="3"/>
  <c r="Q49" i="3"/>
  <c r="P17" i="3"/>
  <c r="AK26" i="3"/>
  <c r="C3" i="7"/>
  <c r="Z121" i="3"/>
  <c r="Z145" i="3"/>
  <c r="R78" i="3"/>
  <c r="R86" i="3"/>
  <c r="R113" i="3"/>
  <c r="AK162" i="3"/>
  <c r="AK160" i="3"/>
  <c r="AK159" i="3"/>
  <c r="S158" i="5"/>
  <c r="AK158" i="3"/>
  <c r="AK153" i="3"/>
  <c r="AA52" i="3"/>
  <c r="AK95" i="3"/>
  <c r="AI60" i="3"/>
  <c r="S59" i="5"/>
  <c r="AK30" i="3"/>
  <c r="AK19" i="3"/>
  <c r="H4" i="7"/>
  <c r="H6" i="7"/>
  <c r="R45" i="3"/>
  <c r="Z51" i="3"/>
  <c r="Z71" i="3"/>
  <c r="Z108" i="3"/>
  <c r="AB108" i="3" s="1"/>
  <c r="Z131" i="3"/>
  <c r="Z157" i="3"/>
  <c r="R105" i="3"/>
  <c r="AK25" i="3"/>
  <c r="G6" i="7"/>
  <c r="G12" i="7"/>
  <c r="R76" i="3"/>
  <c r="Z15" i="3"/>
  <c r="Z52" i="3"/>
  <c r="Z70" i="3"/>
  <c r="Z88" i="3"/>
  <c r="Z118" i="3"/>
  <c r="R148" i="3"/>
  <c r="S161" i="3"/>
  <c r="AK150" i="3"/>
  <c r="AK149" i="3"/>
  <c r="AI147" i="3"/>
  <c r="Z18" i="3"/>
  <c r="AB71" i="3"/>
  <c r="Z87" i="3"/>
  <c r="AB87" i="3" s="1"/>
  <c r="AA50" i="3"/>
  <c r="AK139" i="3"/>
  <c r="Q14" i="3"/>
  <c r="Q10" i="3"/>
  <c r="AA165" i="3"/>
  <c r="AA129" i="3"/>
  <c r="AI107" i="3"/>
  <c r="AA69" i="3"/>
  <c r="P54" i="3"/>
  <c r="Q32" i="3"/>
  <c r="D11" i="7"/>
  <c r="G8" i="7"/>
  <c r="R44" i="3"/>
  <c r="R63" i="3"/>
  <c r="Z12" i="3"/>
  <c r="Z42" i="3"/>
  <c r="Z67" i="3"/>
  <c r="Z100" i="3"/>
  <c r="Z115" i="3"/>
  <c r="Z158" i="3"/>
  <c r="AB158" i="3" s="1"/>
  <c r="S106" i="5"/>
  <c r="AK96" i="3"/>
  <c r="AK88" i="3"/>
  <c r="AK82" i="3"/>
  <c r="AK80" i="3"/>
  <c r="AK7" i="3"/>
  <c r="Z17" i="3"/>
  <c r="AB17" i="3" s="1"/>
  <c r="Z29" i="3"/>
  <c r="AB42" i="3"/>
  <c r="AB51" i="3"/>
  <c r="Z66" i="3"/>
  <c r="Z77" i="3"/>
  <c r="AB77" i="3" s="1"/>
  <c r="Z86" i="3"/>
  <c r="AB86" i="3" s="1"/>
  <c r="Z95" i="3"/>
  <c r="Z124" i="3"/>
  <c r="Z139" i="3"/>
  <c r="AA88" i="3"/>
  <c r="AA132" i="3"/>
  <c r="AK136" i="3"/>
  <c r="AK90" i="3"/>
  <c r="AK65" i="3"/>
  <c r="AK37" i="3"/>
  <c r="AK174" i="3"/>
  <c r="Z122" i="3"/>
  <c r="AB122" i="3" s="1"/>
  <c r="Z105" i="3"/>
  <c r="Z74" i="3"/>
  <c r="Z49" i="3"/>
  <c r="Z28" i="3"/>
  <c r="Z39" i="3"/>
  <c r="AB39" i="3" s="1"/>
  <c r="AA6" i="3"/>
  <c r="AK146" i="3"/>
  <c r="AK50" i="3"/>
  <c r="AK126" i="3"/>
  <c r="AK122" i="3"/>
  <c r="AK133" i="3"/>
  <c r="AK68" i="3"/>
  <c r="H7" i="7"/>
  <c r="AI159" i="3"/>
  <c r="Z50" i="3"/>
  <c r="AA110" i="3"/>
  <c r="Z101" i="3"/>
  <c r="AB101" i="3" s="1"/>
  <c r="S61" i="5"/>
  <c r="AI62" i="3"/>
  <c r="AK79" i="3"/>
  <c r="AK54" i="3"/>
  <c r="AK52" i="3"/>
  <c r="AA9" i="3"/>
  <c r="R23" i="3"/>
  <c r="R25" i="3"/>
  <c r="C11" i="7"/>
  <c r="G7" i="7"/>
  <c r="C7" i="7"/>
  <c r="C13" i="7"/>
  <c r="S66" i="5"/>
  <c r="AI67" i="3"/>
  <c r="S36" i="5"/>
  <c r="AI37" i="3"/>
  <c r="AK73" i="3"/>
  <c r="S10" i="5"/>
  <c r="AK11" i="3"/>
  <c r="AI6" i="3"/>
  <c r="S5" i="5"/>
  <c r="T5" i="5" s="1"/>
  <c r="AI5" i="3"/>
  <c r="S4" i="5"/>
  <c r="T4" i="5" s="1"/>
  <c r="Z54" i="3"/>
  <c r="C17" i="7"/>
  <c r="Z82" i="3"/>
  <c r="AB82" i="3" s="1"/>
  <c r="Z16" i="3"/>
  <c r="AB16" i="3"/>
  <c r="Z36" i="3"/>
  <c r="Z63" i="3"/>
  <c r="AB63" i="3" s="1"/>
  <c r="Z68" i="3"/>
  <c r="Z75" i="3"/>
  <c r="AB75" i="3" s="1"/>
  <c r="Z110" i="3"/>
  <c r="Z137" i="3"/>
  <c r="Z142" i="3"/>
  <c r="AB142" i="3" s="1"/>
  <c r="Z164" i="3"/>
  <c r="AB164" i="3" s="1"/>
  <c r="Z176" i="3"/>
  <c r="AA102" i="3"/>
  <c r="AA53" i="3"/>
  <c r="AI165" i="3"/>
  <c r="S164" i="5"/>
  <c r="Z22" i="3"/>
  <c r="AK48" i="3"/>
  <c r="AK118" i="3"/>
  <c r="AK108" i="3"/>
  <c r="AK100" i="3"/>
  <c r="AK99" i="3"/>
  <c r="AK89" i="3"/>
  <c r="AK85" i="3"/>
  <c r="AI79" i="3"/>
  <c r="AL79" i="3" s="1"/>
  <c r="C78" i="6" s="1"/>
  <c r="S78" i="5"/>
  <c r="T78" i="5" s="1"/>
  <c r="AK61" i="3"/>
  <c r="AK59" i="3"/>
  <c r="S50" i="5"/>
  <c r="S43" i="5"/>
  <c r="AI41" i="3"/>
  <c r="AL41" i="3" s="1"/>
  <c r="C40" i="6" s="1"/>
  <c r="S40" i="5"/>
  <c r="AK38" i="3"/>
  <c r="AK35" i="3"/>
  <c r="AK32" i="3"/>
  <c r="S30" i="5"/>
  <c r="T30" i="5" s="1"/>
  <c r="S25" i="5"/>
  <c r="AK23" i="3"/>
  <c r="AI22" i="3"/>
  <c r="S21" i="5"/>
  <c r="AK18" i="3"/>
  <c r="AK17" i="3"/>
  <c r="AK40" i="3"/>
  <c r="AK62" i="3"/>
  <c r="AK71" i="3"/>
  <c r="AK104" i="3"/>
  <c r="AK132" i="3"/>
  <c r="AK173" i="3"/>
  <c r="C8" i="7"/>
  <c r="C15" i="7"/>
  <c r="Z159" i="3"/>
  <c r="AB159" i="3" s="1"/>
  <c r="Z172" i="3"/>
  <c r="R99" i="3"/>
  <c r="R131" i="3"/>
  <c r="R163" i="3"/>
  <c r="S176" i="3"/>
  <c r="S106" i="3"/>
  <c r="S99" i="3"/>
  <c r="S103" i="3"/>
  <c r="AK8" i="3"/>
  <c r="AK12" i="3"/>
  <c r="AK34" i="3"/>
  <c r="AK42" i="3"/>
  <c r="AK56" i="3"/>
  <c r="AK66" i="3"/>
  <c r="AK69" i="3"/>
  <c r="AK92" i="3"/>
  <c r="AK117" i="3"/>
  <c r="AK121" i="3"/>
  <c r="AK127" i="3"/>
  <c r="AK145" i="3"/>
  <c r="AK163" i="3"/>
  <c r="AK166" i="3"/>
  <c r="AK175" i="3"/>
  <c r="R117" i="3"/>
  <c r="R172" i="3"/>
  <c r="R41" i="3"/>
  <c r="R103" i="3"/>
  <c r="S173" i="3"/>
  <c r="S170" i="3"/>
  <c r="S155" i="3"/>
  <c r="S146" i="3"/>
  <c r="S130" i="3"/>
  <c r="S121" i="3"/>
  <c r="S114" i="3"/>
  <c r="S96" i="3"/>
  <c r="S60" i="3"/>
  <c r="S54" i="3"/>
  <c r="S44" i="3"/>
  <c r="S30" i="3"/>
  <c r="S24" i="3"/>
  <c r="S10" i="3"/>
  <c r="S8" i="3"/>
  <c r="S4" i="3"/>
  <c r="Q165" i="3"/>
  <c r="Q161" i="3"/>
  <c r="P160" i="3"/>
  <c r="Q155" i="3"/>
  <c r="Q154" i="3"/>
  <c r="Q153" i="3"/>
  <c r="Q151" i="3"/>
  <c r="Q145" i="3"/>
  <c r="Q133" i="3"/>
  <c r="P130" i="3"/>
  <c r="P128" i="3"/>
  <c r="Q125" i="3"/>
  <c r="Q123" i="3"/>
  <c r="Q120" i="3"/>
  <c r="P119" i="3"/>
  <c r="P117" i="3"/>
  <c r="P115" i="3"/>
  <c r="Q113" i="3"/>
  <c r="P112" i="3"/>
  <c r="Q109" i="3"/>
  <c r="Q105" i="3"/>
  <c r="Q103" i="3"/>
  <c r="P102" i="3"/>
  <c r="P100" i="3"/>
  <c r="Q96" i="3"/>
  <c r="Q94" i="3"/>
  <c r="P92" i="3"/>
  <c r="P87" i="3"/>
  <c r="P83" i="3"/>
  <c r="Q73" i="3"/>
  <c r="P71" i="3"/>
  <c r="P64" i="3"/>
  <c r="P56" i="3"/>
  <c r="Q39" i="3"/>
  <c r="Q36" i="3"/>
  <c r="Q21" i="3"/>
  <c r="P19" i="3"/>
  <c r="P16" i="3"/>
  <c r="P12" i="3"/>
  <c r="S73" i="5"/>
  <c r="AA66" i="3"/>
  <c r="P65" i="3"/>
  <c r="Q56" i="3"/>
  <c r="D5" i="7"/>
  <c r="R38" i="3"/>
  <c r="Z173" i="3"/>
  <c r="AB173" i="3" s="1"/>
  <c r="R83" i="3"/>
  <c r="R70" i="3"/>
  <c r="R40" i="3"/>
  <c r="S90" i="3"/>
  <c r="S134" i="5"/>
  <c r="S132" i="5"/>
  <c r="S125" i="5"/>
  <c r="AI126" i="3"/>
  <c r="S119" i="5"/>
  <c r="T119" i="5" s="1"/>
  <c r="AI111" i="3"/>
  <c r="S101" i="5"/>
  <c r="AI102" i="3"/>
  <c r="AK86" i="3"/>
  <c r="S63" i="5"/>
  <c r="AK60" i="3"/>
  <c r="AI56" i="3"/>
  <c r="AL56" i="3" s="1"/>
  <c r="C55" i="6" s="1"/>
  <c r="AI7" i="3"/>
  <c r="S6" i="5"/>
  <c r="Z20" i="3"/>
  <c r="AB20" i="3" s="1"/>
  <c r="Z62" i="3"/>
  <c r="AB62" i="3" s="1"/>
  <c r="Z69" i="3"/>
  <c r="AB69" i="3" s="1"/>
  <c r="Z80" i="3"/>
  <c r="AB80" i="3"/>
  <c r="Z92" i="3"/>
  <c r="Z114" i="3"/>
  <c r="AB114" i="3"/>
  <c r="Z125" i="3"/>
  <c r="AB125" i="3"/>
  <c r="Z153" i="3"/>
  <c r="AB153" i="3" s="1"/>
  <c r="Z174" i="3"/>
  <c r="AA168" i="3"/>
  <c r="Z90" i="3"/>
  <c r="AB90" i="3" s="1"/>
  <c r="S168" i="5"/>
  <c r="AI169" i="3"/>
  <c r="AK76" i="3"/>
  <c r="AK58" i="3"/>
  <c r="AK177" i="3"/>
  <c r="Z14" i="3"/>
  <c r="AB14" i="3" s="1"/>
  <c r="Z25" i="3"/>
  <c r="AB25" i="3" s="1"/>
  <c r="AA4" i="3"/>
  <c r="AK151" i="3"/>
  <c r="Z73" i="3"/>
  <c r="AB73" i="3" s="1"/>
  <c r="Z89" i="3"/>
  <c r="Z129" i="3"/>
  <c r="AB129" i="3"/>
  <c r="Z59" i="3"/>
  <c r="S64" i="5"/>
  <c r="AI65" i="3"/>
  <c r="AK53" i="3"/>
  <c r="S42" i="5"/>
  <c r="S26" i="5"/>
  <c r="P72" i="3"/>
  <c r="S158" i="3"/>
  <c r="AI146" i="3"/>
  <c r="AB59" i="3"/>
  <c r="Z117" i="3"/>
  <c r="AB117" i="3" s="1"/>
  <c r="AA115" i="3"/>
  <c r="S54" i="5"/>
  <c r="T54" i="5" s="1"/>
  <c r="AI36" i="3"/>
  <c r="S14" i="5"/>
  <c r="T14" i="5" s="1"/>
  <c r="S154" i="5"/>
  <c r="AI155" i="3"/>
  <c r="AI137" i="3"/>
  <c r="AI81" i="3"/>
  <c r="S68" i="5"/>
  <c r="AI69" i="3"/>
  <c r="AK75" i="3"/>
  <c r="AK47" i="3"/>
  <c r="AA15" i="3"/>
  <c r="AA7" i="3"/>
  <c r="D6" i="7"/>
  <c r="R6" i="3"/>
  <c r="R7" i="3"/>
  <c r="R8" i="3"/>
  <c r="R11" i="3"/>
  <c r="R12" i="3"/>
  <c r="R13" i="3"/>
  <c r="R14" i="3"/>
  <c r="R19" i="3"/>
  <c r="R20" i="3"/>
  <c r="R22" i="3"/>
  <c r="R24" i="3"/>
  <c r="R27" i="3"/>
  <c r="S142" i="5"/>
  <c r="T142" i="5" s="1"/>
  <c r="AK70" i="3"/>
  <c r="AK83" i="3"/>
  <c r="AI12" i="3"/>
  <c r="Z119" i="3"/>
  <c r="AB119" i="3" s="1"/>
  <c r="Z170" i="3"/>
  <c r="AB170" i="3" s="1"/>
  <c r="AA174" i="3"/>
  <c r="AK176" i="3"/>
  <c r="S173" i="5"/>
  <c r="AI174" i="3"/>
  <c r="S171" i="5"/>
  <c r="T171" i="5" s="1"/>
  <c r="Z72" i="3"/>
  <c r="AB72" i="3" s="1"/>
  <c r="Z155" i="3"/>
  <c r="AB155" i="3" s="1"/>
  <c r="S144" i="5"/>
  <c r="Z175" i="3"/>
  <c r="AB175" i="3" s="1"/>
  <c r="Z64" i="3"/>
  <c r="S148" i="3"/>
  <c r="AK167" i="3"/>
  <c r="P18" i="3"/>
  <c r="P10" i="3"/>
  <c r="Q7" i="3"/>
  <c r="AI177" i="3"/>
  <c r="AL177" i="3" s="1"/>
  <c r="C176" i="6" s="1"/>
  <c r="AA161" i="3"/>
  <c r="AI151" i="3"/>
  <c r="AA145" i="3"/>
  <c r="AA143" i="3"/>
  <c r="AI136" i="3"/>
  <c r="AA127" i="3"/>
  <c r="AI114" i="3"/>
  <c r="AI54" i="3"/>
  <c r="AA44" i="3"/>
  <c r="AA38" i="3"/>
  <c r="AI35" i="3"/>
  <c r="AA28" i="3"/>
  <c r="AA27" i="3"/>
  <c r="AA21" i="3"/>
  <c r="AI19" i="3"/>
  <c r="AA14" i="3"/>
  <c r="AA13" i="3"/>
  <c r="AA8" i="3"/>
  <c r="D4" i="7"/>
  <c r="AK164" i="3"/>
  <c r="AK144" i="3"/>
  <c r="AK20" i="3"/>
  <c r="C9" i="7"/>
  <c r="R17" i="3"/>
  <c r="S174" i="3"/>
  <c r="S119" i="3"/>
  <c r="AK135" i="3"/>
  <c r="S133" i="5"/>
  <c r="AK129" i="3"/>
  <c r="AK128" i="3"/>
  <c r="S127" i="5"/>
  <c r="T127" i="5" s="1"/>
  <c r="AI127" i="3"/>
  <c r="AK125" i="3"/>
  <c r="S120" i="5"/>
  <c r="T120" i="5" s="1"/>
  <c r="AK120" i="3"/>
  <c r="AK119" i="3"/>
  <c r="S118" i="5"/>
  <c r="S116" i="5"/>
  <c r="AI117" i="3"/>
  <c r="AI115" i="3"/>
  <c r="S114" i="5"/>
  <c r="T114" i="5" s="1"/>
  <c r="AK115" i="3"/>
  <c r="AK113" i="3"/>
  <c r="AI110" i="3"/>
  <c r="S109" i="5"/>
  <c r="T109" i="5" s="1"/>
  <c r="AK106" i="3"/>
  <c r="AK103" i="3"/>
  <c r="S100" i="5"/>
  <c r="T100" i="5" s="1"/>
  <c r="AI100" i="3"/>
  <c r="AK97" i="3"/>
  <c r="S95" i="5"/>
  <c r="T95" i="5" s="1"/>
  <c r="AK94" i="3"/>
  <c r="AI92" i="3"/>
  <c r="AK91" i="3"/>
  <c r="AI88" i="3"/>
  <c r="S87" i="5"/>
  <c r="AK87" i="3"/>
  <c r="AI86" i="3"/>
  <c r="S85" i="5"/>
  <c r="T85" i="5" s="1"/>
  <c r="AK84" i="3"/>
  <c r="AK78" i="3"/>
  <c r="AK74" i="3"/>
  <c r="AK57" i="3"/>
  <c r="AK55" i="3"/>
  <c r="S13" i="5"/>
  <c r="AI13" i="3"/>
  <c r="Z81" i="3"/>
  <c r="AB81" i="3" s="1"/>
  <c r="Z7" i="3"/>
  <c r="AC7" i="3" s="1"/>
  <c r="N6" i="6" s="1"/>
  <c r="AB7" i="3"/>
  <c r="Z13" i="3"/>
  <c r="AB13" i="3" s="1"/>
  <c r="Z34" i="3"/>
  <c r="AB34" i="3" s="1"/>
  <c r="Z37" i="3"/>
  <c r="AB37" i="3" s="1"/>
  <c r="Z48" i="3"/>
  <c r="Z53" i="3"/>
  <c r="AB53" i="3" s="1"/>
  <c r="Z60" i="3"/>
  <c r="AB60" i="3" s="1"/>
  <c r="Z76" i="3"/>
  <c r="AB76" i="3" s="1"/>
  <c r="Z79" i="3"/>
  <c r="AB79" i="3" s="1"/>
  <c r="Z84" i="3"/>
  <c r="AB84" i="3" s="1"/>
  <c r="Z104" i="3"/>
  <c r="AB104" i="3" s="1"/>
  <c r="Z112" i="3"/>
  <c r="AB112" i="3" s="1"/>
  <c r="Z138" i="3"/>
  <c r="AB138" i="3" s="1"/>
  <c r="Z141" i="3"/>
  <c r="AB141" i="3" s="1"/>
  <c r="Z150" i="3"/>
  <c r="AB150" i="3" s="1"/>
  <c r="Z152" i="3"/>
  <c r="AB152" i="3" s="1"/>
  <c r="Z160" i="3"/>
  <c r="AB160" i="3" s="1"/>
  <c r="Z163" i="3"/>
  <c r="AB163" i="3" s="1"/>
  <c r="Z165" i="3"/>
  <c r="AB165" i="3" s="1"/>
  <c r="Z167" i="3"/>
  <c r="AB167" i="3" s="1"/>
  <c r="AA176" i="3"/>
  <c r="AA105" i="3"/>
  <c r="AA96" i="3"/>
  <c r="AA114" i="3"/>
  <c r="AA100" i="3"/>
  <c r="Z97" i="3"/>
  <c r="AB97" i="3" s="1"/>
  <c r="Z93" i="3"/>
  <c r="AB93" i="3" s="1"/>
  <c r="AA90" i="3"/>
  <c r="AA48" i="3"/>
  <c r="AA45" i="3"/>
  <c r="AI171" i="3"/>
  <c r="S170" i="5"/>
  <c r="S166" i="5"/>
  <c r="T166" i="5" s="1"/>
  <c r="AK137" i="3"/>
  <c r="AK123" i="3"/>
  <c r="AK110" i="3"/>
  <c r="AK39" i="3"/>
  <c r="AK28" i="3"/>
  <c r="Z151" i="3"/>
  <c r="AB151" i="3" s="1"/>
  <c r="AK171" i="3"/>
  <c r="AK169" i="3"/>
  <c r="AK154" i="3"/>
  <c r="AK140" i="3"/>
  <c r="AK22" i="3"/>
  <c r="AK16" i="3"/>
  <c r="Z135" i="3"/>
  <c r="AB135" i="3" s="1"/>
  <c r="Z134" i="3"/>
  <c r="AB134" i="3" s="1"/>
  <c r="Z113" i="3"/>
  <c r="AB113" i="3" s="1"/>
  <c r="Z107" i="3"/>
  <c r="AB107" i="3" s="1"/>
  <c r="Z103" i="3"/>
  <c r="AB103" i="3" s="1"/>
  <c r="Z94" i="3"/>
  <c r="Z35" i="3"/>
  <c r="AB35" i="3" s="1"/>
  <c r="Z169" i="3"/>
  <c r="AB169" i="3" s="1"/>
  <c r="Z85" i="3"/>
  <c r="AB85" i="3" s="1"/>
  <c r="Z58" i="3"/>
  <c r="AB58" i="3" s="1"/>
  <c r="Z44" i="3"/>
  <c r="AB44" i="3" s="1"/>
  <c r="Z41" i="3"/>
  <c r="AB41" i="3" s="1"/>
  <c r="Z23" i="3"/>
  <c r="AB23" i="3" s="1"/>
  <c r="AK4" i="3"/>
  <c r="Z149" i="3"/>
  <c r="AB149" i="3" s="1"/>
  <c r="AK155" i="3"/>
  <c r="AK148" i="3"/>
  <c r="AK45" i="3"/>
  <c r="AK109" i="3"/>
  <c r="AK168" i="3"/>
  <c r="C12" i="7"/>
  <c r="C16" i="7"/>
  <c r="Z55" i="3"/>
  <c r="AB55" i="3"/>
  <c r="Z78" i="3"/>
  <c r="AB78" i="3" s="1"/>
  <c r="AB94" i="3"/>
  <c r="Z132" i="3"/>
  <c r="AB132" i="3"/>
  <c r="S77" i="5"/>
  <c r="T77" i="5" s="1"/>
  <c r="AI76" i="3"/>
  <c r="S75" i="5"/>
  <c r="T75" i="5" s="1"/>
  <c r="S72" i="5"/>
  <c r="T72" i="5" s="1"/>
  <c r="S62" i="5"/>
  <c r="T62" i="5" s="1"/>
  <c r="AI59" i="3"/>
  <c r="S52" i="5"/>
  <c r="T52" i="5" s="1"/>
  <c r="AK51" i="3"/>
  <c r="S49" i="5"/>
  <c r="T49" i="5" s="1"/>
  <c r="AK49" i="3"/>
  <c r="AI45" i="3"/>
  <c r="AK44" i="3"/>
  <c r="S38" i="5"/>
  <c r="T38" i="5" s="1"/>
  <c r="AI30" i="3"/>
  <c r="S125" i="3"/>
  <c r="S82" i="3"/>
  <c r="S46" i="3"/>
  <c r="S33" i="3"/>
  <c r="P176" i="3"/>
  <c r="P173" i="3"/>
  <c r="Q139" i="3"/>
  <c r="P133" i="3"/>
  <c r="Q118" i="3"/>
  <c r="P90" i="3"/>
  <c r="P70" i="3"/>
  <c r="P52" i="3"/>
  <c r="P34" i="3"/>
  <c r="P25" i="3"/>
  <c r="R62" i="3"/>
  <c r="S163" i="3"/>
  <c r="S117" i="3"/>
  <c r="AI162" i="3"/>
  <c r="S161" i="5"/>
  <c r="T161" i="5" s="1"/>
  <c r="S159" i="5"/>
  <c r="T159" i="5" s="1"/>
  <c r="S155" i="5"/>
  <c r="T155" i="5" s="1"/>
  <c r="S153" i="5"/>
  <c r="T153" i="5" s="1"/>
  <c r="S148" i="5"/>
  <c r="T148" i="5" s="1"/>
  <c r="S147" i="5"/>
  <c r="AI148" i="3"/>
  <c r="S145" i="5"/>
  <c r="T145" i="5" s="1"/>
  <c r="AI144" i="3"/>
  <c r="S143" i="5"/>
  <c r="T143" i="5" s="1"/>
  <c r="AI135" i="3"/>
  <c r="S129" i="5"/>
  <c r="AI130" i="3"/>
  <c r="AI120" i="3"/>
  <c r="S110" i="5"/>
  <c r="T110" i="5" s="1"/>
  <c r="S104" i="5"/>
  <c r="T104" i="5" s="1"/>
  <c r="AI101" i="3"/>
  <c r="AI96" i="3"/>
  <c r="AI75" i="3"/>
  <c r="S74" i="5"/>
  <c r="T74" i="5" s="1"/>
  <c r="AI70" i="3"/>
  <c r="AI63" i="3"/>
  <c r="AI57" i="3"/>
  <c r="AI55" i="3"/>
  <c r="AI47" i="3"/>
  <c r="AI46" i="3"/>
  <c r="AI32" i="3"/>
  <c r="AI18" i="3"/>
  <c r="AI16" i="3"/>
  <c r="S15" i="5"/>
  <c r="T15" i="5" s="1"/>
  <c r="R122" i="3"/>
  <c r="AI156" i="3"/>
  <c r="AI149" i="3"/>
  <c r="AI128" i="3"/>
  <c r="AI105" i="3"/>
  <c r="S80" i="5"/>
  <c r="S44" i="5"/>
  <c r="S12" i="5"/>
  <c r="T12" i="5" s="1"/>
  <c r="AA111" i="3"/>
  <c r="AA81" i="3"/>
  <c r="Z21" i="3"/>
  <c r="AB21" i="3" s="1"/>
  <c r="Z38" i="3"/>
  <c r="AB38" i="3" s="1"/>
  <c r="Z56" i="3"/>
  <c r="AB56" i="3" s="1"/>
  <c r="Z65" i="3"/>
  <c r="AB65" i="3" s="1"/>
  <c r="AK114" i="3"/>
  <c r="AK105" i="3"/>
  <c r="AL105" i="3" s="1"/>
  <c r="C104" i="6" s="1"/>
  <c r="AA94" i="3"/>
  <c r="R36" i="3"/>
  <c r="Q63" i="3"/>
  <c r="R127" i="3"/>
  <c r="S122" i="3"/>
  <c r="AA98" i="3"/>
  <c r="AK102" i="3"/>
  <c r="AK101" i="3"/>
  <c r="AL101" i="3" s="1"/>
  <c r="C100" i="6" s="1"/>
  <c r="AK98" i="3"/>
  <c r="AK81" i="3"/>
  <c r="AK72" i="3"/>
  <c r="AK67" i="3"/>
  <c r="AK46" i="3"/>
  <c r="AK27" i="3"/>
  <c r="AK24" i="3"/>
  <c r="Z45" i="3"/>
  <c r="AB45" i="3" s="1"/>
  <c r="AK21" i="3"/>
  <c r="AK9" i="3"/>
  <c r="Z162" i="3"/>
  <c r="Z144" i="3"/>
  <c r="AB144" i="3" s="1"/>
  <c r="Z109" i="3"/>
  <c r="AB109" i="3" s="1"/>
  <c r="Z98" i="3"/>
  <c r="Z96" i="3"/>
  <c r="Z6" i="3"/>
  <c r="Z31" i="3"/>
  <c r="Z47" i="3"/>
  <c r="AB47" i="3" s="1"/>
  <c r="Z24" i="3"/>
  <c r="AB24" i="3" s="1"/>
  <c r="Z11" i="3"/>
  <c r="AB6" i="3"/>
  <c r="AA5" i="3"/>
  <c r="AK5" i="3"/>
  <c r="AI4" i="3"/>
  <c r="Z146" i="3"/>
  <c r="AB146" i="3" s="1"/>
  <c r="AK172" i="3"/>
  <c r="AK143" i="3"/>
  <c r="AK141" i="3"/>
  <c r="AK138" i="3"/>
  <c r="AK107" i="3"/>
  <c r="AK111" i="3"/>
  <c r="AK112" i="3"/>
  <c r="AK13" i="3"/>
  <c r="C5" i="7"/>
  <c r="AA84" i="3"/>
  <c r="AA118" i="3"/>
  <c r="Z91" i="3"/>
  <c r="AB91" i="3" s="1"/>
  <c r="AA61" i="3"/>
  <c r="AK77" i="3"/>
  <c r="AI74" i="3"/>
  <c r="S69" i="5"/>
  <c r="T69" i="5" s="1"/>
  <c r="AI68" i="3"/>
  <c r="S67" i="5"/>
  <c r="T67" i="5" s="1"/>
  <c r="AK64" i="3"/>
  <c r="S56" i="5"/>
  <c r="AI51" i="3"/>
  <c r="AI50" i="3"/>
  <c r="S45" i="5"/>
  <c r="T45" i="5" s="1"/>
  <c r="AI44" i="3"/>
  <c r="AI43" i="3"/>
  <c r="AI39" i="3"/>
  <c r="S35" i="5"/>
  <c r="T35" i="5" s="1"/>
  <c r="S34" i="5"/>
  <c r="S31" i="5"/>
  <c r="T31" i="5" s="1"/>
  <c r="AK31" i="3"/>
  <c r="S29" i="5"/>
  <c r="AI26" i="3"/>
  <c r="S23" i="5"/>
  <c r="T23" i="5" s="1"/>
  <c r="AI21" i="3"/>
  <c r="S18" i="5"/>
  <c r="T18" i="5" s="1"/>
  <c r="AI14" i="3"/>
  <c r="R130" i="3"/>
  <c r="S57" i="3"/>
  <c r="S35" i="3"/>
  <c r="Q157" i="3"/>
  <c r="P175" i="3"/>
  <c r="Q170" i="3"/>
  <c r="P169" i="3"/>
  <c r="Q159" i="3"/>
  <c r="P155" i="3"/>
  <c r="P153" i="3"/>
  <c r="Q148" i="3"/>
  <c r="Q136" i="3"/>
  <c r="Q128" i="3"/>
  <c r="Q86" i="3"/>
  <c r="Q76" i="3"/>
  <c r="Q64" i="3"/>
  <c r="Q59" i="3"/>
  <c r="Q54" i="3"/>
  <c r="Q29" i="3"/>
  <c r="P20" i="3"/>
  <c r="R123" i="3"/>
  <c r="R160" i="3"/>
  <c r="R161" i="3"/>
  <c r="S165" i="3"/>
  <c r="S141" i="3"/>
  <c r="AI163" i="3"/>
  <c r="AI160" i="3"/>
  <c r="AI154" i="3"/>
  <c r="S150" i="5"/>
  <c r="T150" i="5" s="1"/>
  <c r="AA99" i="3"/>
  <c r="AI172" i="3"/>
  <c r="AI143" i="3"/>
  <c r="AI138" i="3"/>
  <c r="S137" i="5"/>
  <c r="T137" i="5" s="1"/>
  <c r="S135" i="5"/>
  <c r="T135" i="5" s="1"/>
  <c r="AI134" i="3"/>
  <c r="AI133" i="3"/>
  <c r="S126" i="5"/>
  <c r="AI121" i="3"/>
  <c r="AI119" i="3"/>
  <c r="AI106" i="3"/>
  <c r="S105" i="5"/>
  <c r="T105" i="5" s="1"/>
  <c r="S99" i="5"/>
  <c r="T99" i="5" s="1"/>
  <c r="AI95" i="3"/>
  <c r="S94" i="5"/>
  <c r="AI78" i="3"/>
  <c r="AI73" i="3"/>
  <c r="AI66" i="3"/>
  <c r="S65" i="5"/>
  <c r="T65" i="5" s="1"/>
  <c r="AI64" i="3"/>
  <c r="S58" i="5"/>
  <c r="S55" i="5"/>
  <c r="AI53" i="3"/>
  <c r="S46" i="5"/>
  <c r="T46" i="5" s="1"/>
  <c r="S20" i="5"/>
  <c r="T20" i="5" s="1"/>
  <c r="R34" i="3"/>
  <c r="R95" i="3"/>
  <c r="R151" i="3"/>
  <c r="R15" i="3"/>
  <c r="S98" i="3"/>
  <c r="AA87" i="3"/>
  <c r="AI167" i="3"/>
  <c r="AI139" i="3"/>
  <c r="S138" i="5"/>
  <c r="T138" i="5" s="1"/>
  <c r="P57" i="3"/>
  <c r="P15" i="3"/>
  <c r="AA175" i="3"/>
  <c r="G13" i="7"/>
  <c r="Z33" i="3"/>
  <c r="Z5" i="3"/>
  <c r="AB33" i="3"/>
  <c r="AI77" i="3"/>
  <c r="S76" i="5"/>
  <c r="T76" i="5" s="1"/>
  <c r="Q146" i="3"/>
  <c r="Q78" i="3"/>
  <c r="R141" i="3"/>
  <c r="Z19" i="3"/>
  <c r="AB19" i="3" s="1"/>
  <c r="Z168" i="3"/>
  <c r="AA86" i="3"/>
  <c r="S176" i="5"/>
  <c r="T176" i="5" s="1"/>
  <c r="Z171" i="3"/>
  <c r="AB171" i="3" s="1"/>
  <c r="S3" i="5"/>
  <c r="AA170" i="3"/>
  <c r="S53" i="5"/>
  <c r="T53" i="5" s="1"/>
  <c r="Q143" i="3"/>
  <c r="Q67" i="3"/>
  <c r="Q31" i="3"/>
  <c r="Z57" i="3"/>
  <c r="AB57" i="3" s="1"/>
  <c r="H11" i="7"/>
  <c r="AI150" i="3"/>
  <c r="R57" i="3"/>
  <c r="P53" i="3"/>
  <c r="G9" i="7"/>
  <c r="AA57" i="3"/>
  <c r="AC57" i="3" s="1"/>
  <c r="N56" i="6" s="1"/>
  <c r="AK41" i="3"/>
  <c r="Z43" i="3"/>
  <c r="AB43" i="3" s="1"/>
  <c r="R134" i="3"/>
  <c r="R149" i="3"/>
  <c r="P139" i="3"/>
  <c r="P111" i="3"/>
  <c r="P31" i="3"/>
  <c r="P6" i="3"/>
  <c r="AA151" i="3"/>
  <c r="AI93" i="3"/>
  <c r="AA68" i="3"/>
  <c r="G17" i="7"/>
  <c r="AI141" i="3"/>
  <c r="AL141" i="3" s="1"/>
  <c r="C140" i="6" s="1"/>
  <c r="S140" i="5"/>
  <c r="S136" i="5"/>
  <c r="H8" i="7"/>
  <c r="AK161" i="3"/>
  <c r="AA103" i="3"/>
  <c r="Q74" i="3"/>
  <c r="Q55" i="3"/>
  <c r="P24" i="3"/>
  <c r="AB96" i="3"/>
  <c r="AA101" i="3"/>
  <c r="AK36" i="3"/>
  <c r="S17" i="5"/>
  <c r="S149" i="3"/>
  <c r="AK63" i="3"/>
  <c r="AL63" i="3" s="1"/>
  <c r="C62" i="6" s="1"/>
  <c r="R121" i="3"/>
  <c r="R147" i="3"/>
  <c r="S167" i="3"/>
  <c r="S92" i="3"/>
  <c r="AI175" i="3"/>
  <c r="AI131" i="3"/>
  <c r="S113" i="5"/>
  <c r="T113" i="5" s="1"/>
  <c r="AI52" i="3"/>
  <c r="AI31" i="3"/>
  <c r="AI27" i="3"/>
  <c r="AI15" i="3"/>
  <c r="H12" i="7"/>
  <c r="Q126" i="3"/>
  <c r="P120" i="3"/>
  <c r="Q85" i="3"/>
  <c r="Q83" i="3"/>
  <c r="Q41" i="3"/>
  <c r="H16" i="7"/>
  <c r="D14" i="7"/>
  <c r="R33" i="3"/>
  <c r="R37" i="3"/>
  <c r="R74" i="3"/>
  <c r="R46" i="3"/>
  <c r="R87" i="3"/>
  <c r="Q81" i="3"/>
  <c r="P61" i="3"/>
  <c r="P58" i="3"/>
  <c r="P46" i="3"/>
  <c r="Q43" i="3"/>
  <c r="P33" i="3"/>
  <c r="P26" i="3"/>
  <c r="P21" i="3"/>
  <c r="Q18" i="3"/>
  <c r="R135" i="3"/>
  <c r="R5" i="3"/>
  <c r="S162" i="5"/>
  <c r="S146" i="5"/>
  <c r="S91" i="5"/>
  <c r="T91" i="5" s="1"/>
  <c r="S51" i="5"/>
  <c r="T51" i="5" s="1"/>
  <c r="AI48" i="3"/>
  <c r="S47" i="5"/>
  <c r="T47" i="5" s="1"/>
  <c r="R90" i="3"/>
  <c r="R111" i="3"/>
  <c r="R150" i="3"/>
  <c r="R158" i="3"/>
  <c r="R167" i="3"/>
  <c r="R81" i="3"/>
  <c r="R31" i="3"/>
  <c r="R137" i="3"/>
  <c r="R92" i="3"/>
  <c r="R29" i="3"/>
  <c r="R10" i="3"/>
  <c r="S147" i="3"/>
  <c r="S143" i="3"/>
  <c r="S102" i="3"/>
  <c r="R85" i="3"/>
  <c r="S88" i="3"/>
  <c r="S65" i="3"/>
  <c r="R100" i="3"/>
  <c r="R157" i="3"/>
  <c r="R165" i="3"/>
  <c r="R176" i="3"/>
  <c r="R102" i="3"/>
  <c r="R18" i="3"/>
  <c r="R133" i="3"/>
  <c r="R39" i="3"/>
  <c r="S175" i="3"/>
  <c r="S164" i="3"/>
  <c r="S153" i="3"/>
  <c r="S151" i="3"/>
  <c r="S144" i="3"/>
  <c r="S116" i="3"/>
  <c r="S91" i="3"/>
  <c r="S83" i="3"/>
  <c r="S104" i="3"/>
  <c r="S87" i="3"/>
  <c r="S64" i="3"/>
  <c r="S62" i="3"/>
  <c r="S58" i="3"/>
  <c r="S52" i="3"/>
  <c r="S34" i="3"/>
  <c r="S19" i="3"/>
  <c r="S14" i="3"/>
  <c r="S12" i="3"/>
  <c r="P174" i="3"/>
  <c r="Q173" i="3"/>
  <c r="P172" i="3"/>
  <c r="Q164" i="3"/>
  <c r="Q162" i="3"/>
  <c r="Q156" i="3"/>
  <c r="P147" i="3"/>
  <c r="P144" i="3"/>
  <c r="Q131" i="3"/>
  <c r="P129" i="3"/>
  <c r="Q124" i="3"/>
  <c r="Q121" i="3"/>
  <c r="P116" i="3"/>
  <c r="Q110" i="3"/>
  <c r="P109" i="3"/>
  <c r="P108" i="3"/>
  <c r="Q107" i="3"/>
  <c r="Q106" i="3"/>
  <c r="Q104" i="3"/>
  <c r="P101" i="3"/>
  <c r="P99" i="3"/>
  <c r="Q97" i="3"/>
  <c r="P95" i="3"/>
  <c r="Q93" i="3"/>
  <c r="Q92" i="3"/>
  <c r="Q91" i="3"/>
  <c r="Q89" i="3"/>
  <c r="Q88" i="3"/>
  <c r="P86" i="3"/>
  <c r="P81" i="3"/>
  <c r="Q72" i="3"/>
  <c r="Q70" i="3"/>
  <c r="Q69" i="3"/>
  <c r="Q68" i="3"/>
  <c r="P62" i="3"/>
  <c r="Q45" i="3"/>
  <c r="Q42" i="3"/>
  <c r="P41" i="3"/>
  <c r="Q33" i="3"/>
  <c r="Q28" i="3"/>
  <c r="Q23" i="3"/>
  <c r="P8" i="3"/>
  <c r="AA159" i="3"/>
  <c r="AA134" i="3"/>
  <c r="AA130" i="3"/>
  <c r="AA43" i="3"/>
  <c r="AA19" i="3"/>
  <c r="P66" i="3"/>
  <c r="Q51" i="3"/>
  <c r="Q50" i="3"/>
  <c r="Q24" i="3"/>
  <c r="P22" i="3"/>
  <c r="Q16" i="3"/>
  <c r="Q15" i="3"/>
  <c r="Q13" i="3"/>
  <c r="Q11" i="3"/>
  <c r="Q6" i="3"/>
  <c r="P4" i="3"/>
  <c r="AA157" i="3"/>
  <c r="AA152" i="3"/>
  <c r="AA141" i="3"/>
  <c r="AA128" i="3"/>
  <c r="AA124" i="3"/>
  <c r="AA121" i="3"/>
  <c r="AA107" i="3"/>
  <c r="AA74" i="3"/>
  <c r="AA73" i="3"/>
  <c r="AA65" i="3"/>
  <c r="AA62" i="3"/>
  <c r="AA36" i="3"/>
  <c r="AA29" i="3"/>
  <c r="AA12" i="3"/>
  <c r="R32" i="3"/>
  <c r="D12" i="7"/>
  <c r="D8" i="7"/>
  <c r="D7" i="7"/>
  <c r="D3" i="7"/>
  <c r="R51" i="3"/>
  <c r="R52" i="3"/>
  <c r="R129" i="3"/>
  <c r="S138" i="3"/>
  <c r="AI168" i="3"/>
  <c r="AI145" i="3"/>
  <c r="AL145" i="3" s="1"/>
  <c r="C144" i="6" s="1"/>
  <c r="Q75" i="3"/>
  <c r="Q62" i="3"/>
  <c r="P27" i="3"/>
  <c r="AA85" i="3"/>
  <c r="AA155" i="3"/>
  <c r="R98" i="3"/>
  <c r="AI103" i="3"/>
  <c r="S102" i="5"/>
  <c r="T102" i="5" s="1"/>
  <c r="S92" i="5"/>
  <c r="T92" i="5" s="1"/>
  <c r="S7" i="5"/>
  <c r="T7" i="5" s="1"/>
  <c r="AI8" i="3"/>
  <c r="AA39" i="3"/>
  <c r="AA156" i="3"/>
  <c r="AA92" i="3"/>
  <c r="AA97" i="3"/>
  <c r="AA58" i="3"/>
  <c r="AA51" i="3"/>
  <c r="S174" i="5"/>
  <c r="T174" i="5" s="1"/>
  <c r="Z136" i="3"/>
  <c r="Z154" i="3"/>
  <c r="AK170" i="3"/>
  <c r="AA177" i="3"/>
  <c r="Q22" i="3"/>
  <c r="S11" i="5"/>
  <c r="AA171" i="3"/>
  <c r="AA56" i="3"/>
  <c r="Z156" i="3"/>
  <c r="Z177" i="3"/>
  <c r="H5" i="7"/>
  <c r="G14" i="7"/>
  <c r="AI158" i="3"/>
  <c r="S157" i="5"/>
  <c r="T157" i="5" s="1"/>
  <c r="AK156" i="3"/>
  <c r="AK152" i="3"/>
  <c r="S149" i="5"/>
  <c r="T149" i="5" s="1"/>
  <c r="AA59" i="3"/>
  <c r="P74" i="3"/>
  <c r="Q65" i="3"/>
  <c r="P28" i="3"/>
  <c r="C10" i="7"/>
  <c r="AA117" i="3"/>
  <c r="S72" i="3"/>
  <c r="S126" i="3"/>
  <c r="S105" i="3"/>
  <c r="S68" i="3"/>
  <c r="S36" i="3"/>
  <c r="P170" i="3"/>
  <c r="Q168" i="3"/>
  <c r="Q152" i="3"/>
  <c r="P136" i="3"/>
  <c r="P110" i="3"/>
  <c r="P35" i="3"/>
  <c r="Q17" i="3"/>
  <c r="AA149" i="3"/>
  <c r="AA122" i="3"/>
  <c r="AA76" i="3"/>
  <c r="AA23" i="3"/>
  <c r="AA16" i="3"/>
  <c r="P36" i="3"/>
  <c r="AA164" i="3"/>
  <c r="G5" i="7"/>
  <c r="AA173" i="3"/>
  <c r="P47" i="3"/>
  <c r="G15" i="7"/>
  <c r="H14" i="7"/>
  <c r="Z111" i="3"/>
  <c r="R119" i="3"/>
  <c r="G10" i="7"/>
  <c r="S134" i="3"/>
  <c r="S128" i="3"/>
  <c r="R55" i="3"/>
  <c r="R125" i="3"/>
  <c r="Q82" i="3"/>
  <c r="Q79" i="3"/>
  <c r="Q71" i="3"/>
  <c r="P51" i="3"/>
  <c r="P40" i="3"/>
  <c r="Q30" i="3"/>
  <c r="P14" i="3"/>
  <c r="R71" i="3"/>
  <c r="R53" i="3"/>
  <c r="R97" i="3"/>
  <c r="AA91" i="3"/>
  <c r="R79" i="3"/>
  <c r="R96" i="3"/>
  <c r="R114" i="3"/>
  <c r="R142" i="3"/>
  <c r="R65" i="3"/>
  <c r="R58" i="3"/>
  <c r="R50" i="3"/>
  <c r="S171" i="3"/>
  <c r="S152" i="3"/>
  <c r="S139" i="3"/>
  <c r="S81" i="3"/>
  <c r="S84" i="3"/>
  <c r="S75" i="3"/>
  <c r="S70" i="3"/>
  <c r="R80" i="3"/>
  <c r="R144" i="3"/>
  <c r="R153" i="3"/>
  <c r="R168" i="3"/>
  <c r="R145" i="3"/>
  <c r="R61" i="3"/>
  <c r="R177" i="3"/>
  <c r="R43" i="3"/>
  <c r="S168" i="3"/>
  <c r="S160" i="3"/>
  <c r="S137" i="3"/>
  <c r="R101" i="3"/>
  <c r="S79" i="3"/>
  <c r="S73" i="3"/>
  <c r="S56" i="3"/>
  <c r="S49" i="3"/>
  <c r="S42" i="3"/>
  <c r="S38" i="3"/>
  <c r="S32" i="3"/>
  <c r="S28" i="3"/>
  <c r="S17" i="3"/>
  <c r="P157" i="3"/>
  <c r="Q169" i="3"/>
  <c r="Q163" i="3"/>
  <c r="Q160" i="3"/>
  <c r="Q158" i="3"/>
  <c r="P149" i="3"/>
  <c r="P146" i="3"/>
  <c r="P143" i="3"/>
  <c r="P140" i="3"/>
  <c r="P137" i="3"/>
  <c r="Q122" i="3"/>
  <c r="Q119" i="3"/>
  <c r="P118" i="3"/>
  <c r="P113" i="3"/>
  <c r="Q111" i="3"/>
  <c r="P106" i="3"/>
  <c r="P104" i="3"/>
  <c r="Q102" i="3"/>
  <c r="Q100" i="3"/>
  <c r="Q98" i="3"/>
  <c r="P97" i="3"/>
  <c r="Q95" i="3"/>
  <c r="Q90" i="3"/>
  <c r="P80" i="3"/>
  <c r="P78" i="3"/>
  <c r="P77" i="3"/>
  <c r="P67" i="3"/>
  <c r="Q60" i="3"/>
  <c r="Q53" i="3"/>
  <c r="Q52" i="3"/>
  <c r="P50" i="3"/>
  <c r="Q47" i="3"/>
  <c r="P32" i="3"/>
  <c r="P30" i="3"/>
  <c r="Q20" i="3"/>
  <c r="P7" i="3"/>
  <c r="Q4" i="3"/>
  <c r="AA148" i="3"/>
  <c r="AA137" i="3"/>
  <c r="AA133" i="3"/>
  <c r="AA126" i="3"/>
  <c r="AA109" i="3"/>
  <c r="AA72" i="3"/>
  <c r="AA70" i="3"/>
  <c r="AA67" i="3"/>
  <c r="AA42" i="3"/>
  <c r="AA26" i="3"/>
  <c r="AA20" i="3"/>
  <c r="Q58" i="3"/>
  <c r="Q46" i="3"/>
  <c r="Q44" i="3"/>
  <c r="P42" i="3"/>
  <c r="Q34" i="3"/>
  <c r="P29" i="3"/>
  <c r="Q19" i="3"/>
  <c r="Q12" i="3"/>
  <c r="P5" i="3"/>
  <c r="AA153" i="3"/>
  <c r="AA11" i="3"/>
  <c r="AA10" i="3"/>
  <c r="G16" i="7"/>
  <c r="H10" i="7"/>
  <c r="Q176" i="3"/>
  <c r="P114" i="3"/>
  <c r="P91" i="3"/>
  <c r="P82" i="3"/>
  <c r="AA162" i="3"/>
  <c r="P9" i="3"/>
  <c r="AA125" i="3"/>
  <c r="H15" i="7"/>
  <c r="R93" i="3"/>
  <c r="G3" i="7"/>
  <c r="H9" i="7"/>
  <c r="R109" i="3"/>
  <c r="S124" i="3"/>
  <c r="S112" i="3"/>
  <c r="S45" i="3"/>
  <c r="Q175" i="3"/>
  <c r="P171" i="3"/>
  <c r="Q150" i="3"/>
  <c r="Q134" i="3"/>
  <c r="P127" i="3"/>
  <c r="Q114" i="3"/>
  <c r="Q112" i="3"/>
  <c r="Q108" i="3"/>
  <c r="P105" i="3"/>
  <c r="P103" i="3"/>
  <c r="Q101" i="3"/>
  <c r="P94" i="3"/>
  <c r="P85" i="3"/>
  <c r="P75" i="3"/>
  <c r="P63" i="3"/>
  <c r="Q57" i="3"/>
  <c r="P38" i="3"/>
  <c r="P13" i="3"/>
  <c r="P11" i="3"/>
  <c r="AA123" i="3"/>
  <c r="AA75" i="3"/>
  <c r="AA35" i="3"/>
  <c r="P68" i="3"/>
  <c r="P48" i="3"/>
  <c r="P167" i="3"/>
  <c r="P164" i="3"/>
  <c r="P162" i="3"/>
  <c r="P161" i="3"/>
  <c r="P125" i="3"/>
  <c r="P122" i="3"/>
  <c r="R35" i="3"/>
  <c r="R66" i="3"/>
  <c r="R82" i="3"/>
  <c r="R89" i="3"/>
  <c r="AA167" i="3"/>
  <c r="AA77" i="3"/>
  <c r="AA41" i="3"/>
  <c r="AA34" i="3"/>
  <c r="AA31" i="3"/>
  <c r="AA25" i="3"/>
  <c r="P73" i="3"/>
  <c r="P60" i="3"/>
  <c r="Q40" i="3"/>
  <c r="D10" i="7"/>
  <c r="AA54" i="3"/>
  <c r="AA119" i="3"/>
  <c r="AA172" i="3"/>
  <c r="AA104" i="3"/>
  <c r="AA113" i="3"/>
  <c r="P156" i="3"/>
  <c r="P89" i="3"/>
  <c r="P45" i="3"/>
  <c r="R49" i="3"/>
  <c r="S127" i="3"/>
  <c r="R88" i="3"/>
  <c r="AA30" i="3"/>
  <c r="S123" i="3"/>
  <c r="AA116" i="3"/>
  <c r="C6" i="7"/>
  <c r="C4" i="7"/>
  <c r="AA82" i="3"/>
  <c r="AA80" i="3"/>
  <c r="AA106" i="3"/>
  <c r="AA112" i="3"/>
  <c r="AA46" i="3"/>
  <c r="P39" i="3"/>
  <c r="AA79" i="3"/>
  <c r="AA64" i="3"/>
  <c r="AA60" i="3"/>
  <c r="R128" i="3"/>
  <c r="R77" i="3"/>
  <c r="Q84" i="3"/>
  <c r="AA136" i="3"/>
  <c r="AA22" i="3"/>
  <c r="R60" i="3"/>
  <c r="R73" i="3"/>
  <c r="S150" i="3"/>
  <c r="S133" i="3"/>
  <c r="AI24" i="3"/>
  <c r="R30" i="3"/>
  <c r="D9" i="7"/>
  <c r="R26" i="3"/>
  <c r="R116" i="3"/>
  <c r="C14" i="7"/>
  <c r="AA154" i="3"/>
  <c r="R47" i="3"/>
  <c r="R166" i="3"/>
  <c r="D15" i="7"/>
  <c r="S132" i="3"/>
  <c r="S109" i="3"/>
  <c r="R118" i="3"/>
  <c r="R154" i="3"/>
  <c r="R169" i="3"/>
  <c r="R175" i="3"/>
  <c r="R136" i="3"/>
  <c r="S166" i="3"/>
  <c r="S154" i="3"/>
  <c r="S94" i="3"/>
  <c r="S77" i="3"/>
  <c r="R94" i="3"/>
  <c r="R112" i="3"/>
  <c r="R126" i="3"/>
  <c r="R162" i="3"/>
  <c r="R132" i="3"/>
  <c r="R68" i="3"/>
  <c r="S108" i="3"/>
  <c r="S93" i="3"/>
  <c r="S66" i="3"/>
  <c r="S47" i="3"/>
  <c r="S26" i="3"/>
  <c r="S21" i="3"/>
  <c r="S16" i="3"/>
  <c r="P168" i="3"/>
  <c r="P150" i="3"/>
  <c r="P148" i="3"/>
  <c r="P142" i="3"/>
  <c r="P138" i="3"/>
  <c r="P135" i="3"/>
  <c r="Q132" i="3"/>
  <c r="P107" i="3"/>
  <c r="P93" i="3"/>
  <c r="P79" i="3"/>
  <c r="P59" i="3"/>
  <c r="P49" i="3"/>
  <c r="P44" i="3"/>
  <c r="R16" i="3"/>
  <c r="Q141" i="3"/>
  <c r="S136" i="3"/>
  <c r="R21" i="3"/>
  <c r="AA95" i="3"/>
  <c r="R124" i="3"/>
  <c r="Q27" i="3"/>
  <c r="P23" i="3"/>
  <c r="S120" i="3"/>
  <c r="Q177" i="3"/>
  <c r="Q171" i="3"/>
  <c r="P154" i="3"/>
  <c r="P152" i="3"/>
  <c r="S169" i="3"/>
  <c r="R72" i="3"/>
  <c r="S89" i="3"/>
  <c r="P177" i="3"/>
  <c r="P151" i="3"/>
  <c r="Q116" i="3"/>
  <c r="Q38" i="3"/>
  <c r="AA49" i="3"/>
  <c r="D16" i="7"/>
  <c r="Q48" i="3"/>
  <c r="Q35" i="3"/>
  <c r="S118" i="3"/>
  <c r="P98" i="3"/>
  <c r="AA140" i="3"/>
  <c r="AA166" i="3"/>
  <c r="AA71" i="3"/>
  <c r="R140" i="3"/>
  <c r="S140" i="3"/>
  <c r="G4" i="7"/>
  <c r="R120" i="3"/>
  <c r="AA169" i="3"/>
  <c r="R108" i="3"/>
  <c r="S162" i="3"/>
  <c r="S115" i="3"/>
  <c r="P141" i="3"/>
  <c r="P96" i="3"/>
  <c r="P84" i="3"/>
  <c r="P76" i="3"/>
  <c r="P55" i="3"/>
  <c r="R115" i="3"/>
  <c r="AL67" i="3" l="1"/>
  <c r="C66" i="6" s="1"/>
  <c r="AL51" i="3"/>
  <c r="C50" i="6" s="1"/>
  <c r="AL27" i="3"/>
  <c r="C26" i="6" s="1"/>
  <c r="M17" i="7"/>
  <c r="AC171" i="3"/>
  <c r="N170" i="6" s="1"/>
  <c r="AC56" i="3"/>
  <c r="N55" i="6" s="1"/>
  <c r="AL156" i="3"/>
  <c r="C155" i="6" s="1"/>
  <c r="AC109" i="3"/>
  <c r="N108" i="6" s="1"/>
  <c r="AC125" i="3"/>
  <c r="N124" i="6" s="1"/>
  <c r="AC110" i="3"/>
  <c r="N109" i="6" s="1"/>
  <c r="AB110" i="3"/>
  <c r="AB5" i="3"/>
  <c r="AC5" i="3"/>
  <c r="N4" i="6" s="1"/>
  <c r="AL151" i="3"/>
  <c r="C150" i="6" s="1"/>
  <c r="AL172" i="3"/>
  <c r="C171" i="6" s="1"/>
  <c r="AL143" i="3"/>
  <c r="C142" i="6" s="1"/>
  <c r="AL138" i="3"/>
  <c r="C137" i="6" s="1"/>
  <c r="AL77" i="3"/>
  <c r="C76" i="6" s="1"/>
  <c r="AC119" i="3"/>
  <c r="N118" i="6" s="1"/>
  <c r="AC120" i="3"/>
  <c r="N119" i="6" s="1"/>
  <c r="AL86" i="3"/>
  <c r="C85" i="6" s="1"/>
  <c r="AC82" i="3"/>
  <c r="N81" i="6" s="1"/>
  <c r="AC114" i="3"/>
  <c r="N113" i="6" s="1"/>
  <c r="AC45" i="3"/>
  <c r="N44" i="6" s="1"/>
  <c r="AL44" i="3"/>
  <c r="C43" i="6" s="1"/>
  <c r="AL21" i="3"/>
  <c r="C20" i="6" s="1"/>
  <c r="AL73" i="3"/>
  <c r="C72" i="6" s="1"/>
  <c r="AC39" i="3"/>
  <c r="N38" i="6" s="1"/>
  <c r="AC75" i="3"/>
  <c r="N74" i="6" s="1"/>
  <c r="AC68" i="3"/>
  <c r="N67" i="6" s="1"/>
  <c r="AB68" i="3"/>
  <c r="AL65" i="3"/>
  <c r="C64" i="6" s="1"/>
  <c r="AL174" i="3"/>
  <c r="C173" i="6" s="1"/>
  <c r="AL126" i="3"/>
  <c r="C125" i="6" s="1"/>
  <c r="AL159" i="3"/>
  <c r="C158" i="6" s="1"/>
  <c r="AC53" i="3"/>
  <c r="N52" i="6" s="1"/>
  <c r="AL100" i="3"/>
  <c r="C99" i="6" s="1"/>
  <c r="T21" i="5"/>
  <c r="AL76" i="3"/>
  <c r="C75" i="6" s="1"/>
  <c r="AL45" i="3"/>
  <c r="C44" i="6" s="1"/>
  <c r="AL148" i="3"/>
  <c r="C147" i="6" s="1"/>
  <c r="AL144" i="3"/>
  <c r="C143" i="6" s="1"/>
  <c r="AL135" i="3"/>
  <c r="C134" i="6" s="1"/>
  <c r="AL120" i="3"/>
  <c r="C119" i="6" s="1"/>
  <c r="AL75" i="3"/>
  <c r="C74" i="6" s="1"/>
  <c r="AL70" i="3"/>
  <c r="C69" i="6" s="1"/>
  <c r="AL57" i="3"/>
  <c r="C56" i="6" s="1"/>
  <c r="AL55" i="3"/>
  <c r="C54" i="6" s="1"/>
  <c r="AL47" i="3"/>
  <c r="C46" i="6" s="1"/>
  <c r="AL16" i="3"/>
  <c r="C15" i="6" s="1"/>
  <c r="AC81" i="3"/>
  <c r="N80" i="6" s="1"/>
  <c r="T6" i="5"/>
  <c r="AC94" i="3"/>
  <c r="N93" i="6" s="1"/>
  <c r="AL102" i="3"/>
  <c r="C101" i="6" s="1"/>
  <c r="AL81" i="3"/>
  <c r="C80" i="6" s="1"/>
  <c r="AL154" i="3"/>
  <c r="C153" i="6" s="1"/>
  <c r="AL121" i="3"/>
  <c r="C120" i="6" s="1"/>
  <c r="AL106" i="3"/>
  <c r="C105" i="6" s="1"/>
  <c r="AL78" i="3"/>
  <c r="C77" i="6" s="1"/>
  <c r="AL53" i="3"/>
  <c r="C52" i="6" s="1"/>
  <c r="T132" i="5"/>
  <c r="T118" i="5"/>
  <c r="AC151" i="3"/>
  <c r="N150" i="6" s="1"/>
  <c r="AC103" i="3"/>
  <c r="N102" i="6" s="1"/>
  <c r="AL175" i="3"/>
  <c r="C174" i="6" s="1"/>
  <c r="AL168" i="3"/>
  <c r="C167" i="6" s="1"/>
  <c r="AC85" i="3"/>
  <c r="N84" i="6" s="1"/>
  <c r="AC58" i="3"/>
  <c r="N57" i="6" s="1"/>
  <c r="AC117" i="3"/>
  <c r="N116" i="6" s="1"/>
  <c r="T158" i="5"/>
  <c r="AC77" i="3"/>
  <c r="N76" i="6" s="1"/>
  <c r="AL46" i="3"/>
  <c r="C45" i="6" s="1"/>
  <c r="AC96" i="3"/>
  <c r="N95" i="6" s="1"/>
  <c r="AL4" i="3"/>
  <c r="C3" i="6" s="1"/>
  <c r="AL111" i="3"/>
  <c r="C110" i="6" s="1"/>
  <c r="AL13" i="3"/>
  <c r="C12" i="6" s="1"/>
  <c r="AC84" i="3"/>
  <c r="N83" i="6" s="1"/>
  <c r="AL74" i="3"/>
  <c r="C73" i="6" s="1"/>
  <c r="AL39" i="3"/>
  <c r="C38" i="6" s="1"/>
  <c r="AL163" i="3"/>
  <c r="C162" i="6" s="1"/>
  <c r="AL119" i="3"/>
  <c r="C118" i="6" s="1"/>
  <c r="AL66" i="3"/>
  <c r="C65" i="6" s="1"/>
  <c r="AL167" i="3"/>
  <c r="C166" i="6" s="1"/>
  <c r="AC175" i="3"/>
  <c r="N174" i="6" s="1"/>
  <c r="AC155" i="3"/>
  <c r="N154" i="6" s="1"/>
  <c r="AL103" i="3"/>
  <c r="C102" i="6" s="1"/>
  <c r="AC97" i="3"/>
  <c r="N96" i="6" s="1"/>
  <c r="AL158" i="3"/>
  <c r="C157" i="6" s="1"/>
  <c r="AC59" i="3"/>
  <c r="N58" i="6" s="1"/>
  <c r="AC15" i="3"/>
  <c r="N14" i="6" s="1"/>
  <c r="AB15" i="3"/>
  <c r="AB115" i="3"/>
  <c r="AC115" i="3"/>
  <c r="N114" i="6" s="1"/>
  <c r="AB92" i="3"/>
  <c r="AC92" i="3"/>
  <c r="N91" i="6" s="1"/>
  <c r="AB174" i="3"/>
  <c r="AC174" i="3"/>
  <c r="N173" i="6" s="1"/>
  <c r="AB48" i="3"/>
  <c r="AC48" i="3"/>
  <c r="N47" i="6" s="1"/>
  <c r="T59" i="5"/>
  <c r="T167" i="5"/>
  <c r="T106" i="5"/>
  <c r="T61" i="5"/>
  <c r="M13" i="7"/>
  <c r="T66" i="5"/>
  <c r="T36" i="5"/>
  <c r="T10" i="5"/>
  <c r="AC63" i="3"/>
  <c r="N62" i="6" s="1"/>
  <c r="AC142" i="3"/>
  <c r="N141" i="6" s="1"/>
  <c r="AL165" i="3"/>
  <c r="C164" i="6" s="1"/>
  <c r="T164" i="5"/>
  <c r="T50" i="5"/>
  <c r="T43" i="5"/>
  <c r="T40" i="5"/>
  <c r="T25" i="5"/>
  <c r="T11" i="5"/>
  <c r="AC148" i="3"/>
  <c r="N147" i="6" s="1"/>
  <c r="T134" i="5"/>
  <c r="T101" i="5"/>
  <c r="T63" i="5"/>
  <c r="T168" i="5"/>
  <c r="AC4" i="3"/>
  <c r="N3" i="6" s="1"/>
  <c r="T64" i="5"/>
  <c r="T42" i="5"/>
  <c r="T26" i="5"/>
  <c r="T154" i="5"/>
  <c r="T144" i="5"/>
  <c r="AC161" i="3"/>
  <c r="N160" i="6" s="1"/>
  <c r="AL136" i="3"/>
  <c r="C135" i="6" s="1"/>
  <c r="AC27" i="3"/>
  <c r="N26" i="6" s="1"/>
  <c r="AL19" i="3"/>
  <c r="C18" i="6" s="1"/>
  <c r="T133" i="5"/>
  <c r="T87" i="5"/>
  <c r="T13" i="5"/>
  <c r="T170" i="5"/>
  <c r="B198" i="3"/>
  <c r="C198" i="3" s="1"/>
  <c r="AL30" i="3"/>
  <c r="C29" i="6" s="1"/>
  <c r="AL162" i="3"/>
  <c r="C161" i="6" s="1"/>
  <c r="T147" i="5"/>
  <c r="T129" i="5"/>
  <c r="AL130" i="3"/>
  <c r="C129" i="6" s="1"/>
  <c r="T80" i="5"/>
  <c r="T44" i="5"/>
  <c r="AL50" i="3"/>
  <c r="C49" i="6" s="1"/>
  <c r="AL43" i="3"/>
  <c r="C42" i="6" s="1"/>
  <c r="T29" i="5"/>
  <c r="AL14" i="3"/>
  <c r="C13" i="6" s="1"/>
  <c r="AL160" i="3"/>
  <c r="C159" i="6" s="1"/>
  <c r="AL134" i="3"/>
  <c r="C133" i="6" s="1"/>
  <c r="T126" i="5"/>
  <c r="AL95" i="3"/>
  <c r="C94" i="6" s="1"/>
  <c r="T94" i="5"/>
  <c r="T58" i="5"/>
  <c r="T55" i="5"/>
  <c r="AC87" i="3"/>
  <c r="N86" i="6" s="1"/>
  <c r="AC86" i="3"/>
  <c r="N85" i="6" s="1"/>
  <c r="T140" i="5"/>
  <c r="T17" i="5"/>
  <c r="AL52" i="3"/>
  <c r="C51" i="6" s="1"/>
  <c r="T162" i="5"/>
  <c r="T146" i="5"/>
  <c r="T128" i="5"/>
  <c r="M10" i="7"/>
  <c r="T88" i="5"/>
  <c r="AC133" i="3"/>
  <c r="N132" i="6" s="1"/>
  <c r="T16" i="5"/>
  <c r="B199" i="3"/>
  <c r="C199" i="3" s="1"/>
  <c r="AB83" i="3"/>
  <c r="AC83" i="3"/>
  <c r="N82" i="6" s="1"/>
  <c r="AB40" i="3"/>
  <c r="AC40" i="3"/>
  <c r="N39" i="6" s="1"/>
  <c r="AC158" i="3"/>
  <c r="N157" i="6" s="1"/>
  <c r="AL125" i="3"/>
  <c r="C124" i="6" s="1"/>
  <c r="AC17" i="3"/>
  <c r="N16" i="6" s="1"/>
  <c r="AC138" i="3"/>
  <c r="N137" i="6" s="1"/>
  <c r="T130" i="5"/>
  <c r="AC30" i="3"/>
  <c r="N29" i="6" s="1"/>
  <c r="AL131" i="3"/>
  <c r="C130" i="6" s="1"/>
  <c r="AC150" i="3"/>
  <c r="N149" i="6" s="1"/>
  <c r="AC144" i="3"/>
  <c r="N143" i="6" s="1"/>
  <c r="AC78" i="3"/>
  <c r="N77" i="6" s="1"/>
  <c r="AL129" i="3"/>
  <c r="C128" i="6" s="1"/>
  <c r="T124" i="5"/>
  <c r="AL89" i="3"/>
  <c r="C88" i="6" s="1"/>
  <c r="AC10" i="3"/>
  <c r="N9" i="6" s="1"/>
  <c r="C32" i="7"/>
  <c r="AC47" i="3"/>
  <c r="N46" i="6" s="1"/>
  <c r="AL61" i="3"/>
  <c r="C60" i="6" s="1"/>
  <c r="AL17" i="3"/>
  <c r="C16" i="6" s="1"/>
  <c r="AC37" i="3"/>
  <c r="N36" i="6" s="1"/>
  <c r="AC93" i="3"/>
  <c r="N92" i="6" s="1"/>
  <c r="AL22" i="3"/>
  <c r="C21" i="6" s="1"/>
  <c r="AL12" i="3"/>
  <c r="C11" i="6" s="1"/>
  <c r="AL69" i="3"/>
  <c r="C68" i="6" s="1"/>
  <c r="AL92" i="3"/>
  <c r="C91" i="6" s="1"/>
  <c r="AL117" i="3"/>
  <c r="C116" i="6" s="1"/>
  <c r="AL127" i="3"/>
  <c r="C126" i="6" s="1"/>
  <c r="T73" i="5"/>
  <c r="T125" i="5"/>
  <c r="AL7" i="3"/>
  <c r="C6" i="6" s="1"/>
  <c r="AC90" i="3"/>
  <c r="N89" i="6" s="1"/>
  <c r="AL146" i="3"/>
  <c r="C145" i="6" s="1"/>
  <c r="T68" i="5"/>
  <c r="T173" i="5"/>
  <c r="AL54" i="3"/>
  <c r="C53" i="6" s="1"/>
  <c r="AL171" i="3"/>
  <c r="C170" i="6" s="1"/>
  <c r="T136" i="5"/>
  <c r="T116" i="5"/>
  <c r="AL115" i="3"/>
  <c r="C114" i="6" s="1"/>
  <c r="AL110" i="3"/>
  <c r="C109" i="6" s="1"/>
  <c r="T3" i="5"/>
  <c r="T56" i="5"/>
  <c r="T34" i="5"/>
  <c r="AC159" i="3"/>
  <c r="N158" i="6" s="1"/>
  <c r="AC134" i="3"/>
  <c r="N133" i="6" s="1"/>
  <c r="AC152" i="3"/>
  <c r="N151" i="6" s="1"/>
  <c r="AC141" i="3"/>
  <c r="N140" i="6" s="1"/>
  <c r="AC128" i="3"/>
  <c r="N127" i="6" s="1"/>
  <c r="AC107" i="3"/>
  <c r="N106" i="6" s="1"/>
  <c r="AC73" i="3"/>
  <c r="N72" i="6" s="1"/>
  <c r="AC65" i="3"/>
  <c r="N64" i="6" s="1"/>
  <c r="M12" i="7"/>
  <c r="M8" i="7"/>
  <c r="AC149" i="3"/>
  <c r="N148" i="6" s="1"/>
  <c r="AC122" i="3"/>
  <c r="N121" i="6" s="1"/>
  <c r="AC76" i="3"/>
  <c r="N75" i="6" s="1"/>
  <c r="AC23" i="3"/>
  <c r="N22" i="6" s="1"/>
  <c r="AC173" i="3"/>
  <c r="N172" i="6" s="1"/>
  <c r="AC91" i="3"/>
  <c r="N90" i="6" s="1"/>
  <c r="AC35" i="3"/>
  <c r="N34" i="6" s="1"/>
  <c r="AC42" i="3"/>
  <c r="N41" i="6" s="1"/>
  <c r="M4" i="7"/>
  <c r="AC36" i="3"/>
  <c r="N35" i="6" s="1"/>
  <c r="AB36" i="3"/>
  <c r="AC137" i="3"/>
  <c r="N136" i="6" s="1"/>
  <c r="AB137" i="3"/>
  <c r="AB176" i="3"/>
  <c r="AC176" i="3"/>
  <c r="N175" i="6" s="1"/>
  <c r="E104" i="6"/>
  <c r="D104" i="6"/>
  <c r="E100" i="6"/>
  <c r="D100" i="6"/>
  <c r="AB162" i="3"/>
  <c r="AC162" i="3"/>
  <c r="N161" i="6" s="1"/>
  <c r="AB98" i="3"/>
  <c r="AC98" i="3"/>
  <c r="N97" i="6" s="1"/>
  <c r="AB31" i="3"/>
  <c r="AC31" i="3"/>
  <c r="N30" i="6" s="1"/>
  <c r="AB11" i="3"/>
  <c r="AC11" i="3"/>
  <c r="N10" i="6" s="1"/>
  <c r="AB168" i="3"/>
  <c r="AC168" i="3"/>
  <c r="N167" i="6" s="1"/>
  <c r="E62" i="6"/>
  <c r="D62" i="6"/>
  <c r="AC33" i="3"/>
  <c r="N32" i="6" s="1"/>
  <c r="AC55" i="3"/>
  <c r="N54" i="6" s="1"/>
  <c r="AL26" i="3"/>
  <c r="C25" i="6" s="1"/>
  <c r="M3" i="7"/>
  <c r="AL60" i="3"/>
  <c r="C59" i="6" s="1"/>
  <c r="C31" i="7"/>
  <c r="AC51" i="3"/>
  <c r="N50" i="6" s="1"/>
  <c r="AC71" i="3"/>
  <c r="N70" i="6" s="1"/>
  <c r="AC108" i="3"/>
  <c r="N107" i="6" s="1"/>
  <c r="M6" i="7"/>
  <c r="AL150" i="3"/>
  <c r="C149" i="6" s="1"/>
  <c r="AL149" i="3"/>
  <c r="C148" i="6" s="1"/>
  <c r="AL147" i="3"/>
  <c r="C146" i="6" s="1"/>
  <c r="AL139" i="3"/>
  <c r="C138" i="6" s="1"/>
  <c r="AC165" i="3"/>
  <c r="N164" i="6" s="1"/>
  <c r="AL107" i="3"/>
  <c r="C106" i="6" s="1"/>
  <c r="AL96" i="3"/>
  <c r="C95" i="6" s="1"/>
  <c r="AL88" i="3"/>
  <c r="C87" i="6" s="1"/>
  <c r="AC132" i="3"/>
  <c r="N131" i="6" s="1"/>
  <c r="AL37" i="3"/>
  <c r="C36" i="6" s="1"/>
  <c r="AL133" i="3"/>
  <c r="C132" i="6" s="1"/>
  <c r="AL68" i="3"/>
  <c r="C67" i="6" s="1"/>
  <c r="AC101" i="3"/>
  <c r="N100" i="6" s="1"/>
  <c r="AL62" i="3"/>
  <c r="C61" i="6" s="1"/>
  <c r="AC9" i="3"/>
  <c r="N8" i="6" s="1"/>
  <c r="M11" i="7"/>
  <c r="AL48" i="3"/>
  <c r="C47" i="6" s="1"/>
  <c r="AL108" i="3"/>
  <c r="C107" i="6" s="1"/>
  <c r="AL64" i="3"/>
  <c r="C63" i="6" s="1"/>
  <c r="AC20" i="3"/>
  <c r="N19" i="6" s="1"/>
  <c r="AC62" i="3"/>
  <c r="N61" i="6" s="1"/>
  <c r="AC69" i="3"/>
  <c r="N68" i="6" s="1"/>
  <c r="AC80" i="3"/>
  <c r="N79" i="6" s="1"/>
  <c r="AC153" i="3"/>
  <c r="N152" i="6" s="1"/>
  <c r="AL169" i="3"/>
  <c r="C168" i="6" s="1"/>
  <c r="AC14" i="3"/>
  <c r="N13" i="6" s="1"/>
  <c r="AC129" i="3"/>
  <c r="N128" i="6" s="1"/>
  <c r="AL155" i="3"/>
  <c r="C154" i="6" s="1"/>
  <c r="AL137" i="3"/>
  <c r="C136" i="6" s="1"/>
  <c r="AC170" i="3"/>
  <c r="N169" i="6" s="1"/>
  <c r="AC72" i="3"/>
  <c r="N71" i="6" s="1"/>
  <c r="AL114" i="3"/>
  <c r="C113" i="6" s="1"/>
  <c r="AC44" i="3"/>
  <c r="N43" i="6" s="1"/>
  <c r="AC38" i="3"/>
  <c r="N37" i="6" s="1"/>
  <c r="AL35" i="3"/>
  <c r="C34" i="6" s="1"/>
  <c r="AC21" i="3"/>
  <c r="N20" i="6" s="1"/>
  <c r="AC13" i="3"/>
  <c r="N12" i="6" s="1"/>
  <c r="G30" i="7"/>
  <c r="AL128" i="3"/>
  <c r="C127" i="6" s="1"/>
  <c r="AL59" i="3"/>
  <c r="C58" i="6" s="1"/>
  <c r="AL32" i="3"/>
  <c r="C31" i="6" s="1"/>
  <c r="AL18" i="3"/>
  <c r="C17" i="6" s="1"/>
  <c r="M5" i="7"/>
  <c r="AL93" i="3"/>
  <c r="C92" i="6" s="1"/>
  <c r="AL36" i="3"/>
  <c r="C35" i="6" s="1"/>
  <c r="AL31" i="3"/>
  <c r="C30" i="6" s="1"/>
  <c r="AL15" i="3"/>
  <c r="C14" i="6" s="1"/>
  <c r="M14" i="7"/>
  <c r="AC43" i="3"/>
  <c r="N42" i="6" s="1"/>
  <c r="AL11" i="3"/>
  <c r="C10" i="6" s="1"/>
  <c r="C30" i="7"/>
  <c r="M7" i="7"/>
  <c r="AC16" i="3"/>
  <c r="N15" i="6" s="1"/>
  <c r="AC164" i="3"/>
  <c r="N163" i="6" s="1"/>
  <c r="AC167" i="3"/>
  <c r="N166" i="6" s="1"/>
  <c r="AC41" i="3"/>
  <c r="N40" i="6" s="1"/>
  <c r="AC34" i="3"/>
  <c r="N33" i="6" s="1"/>
  <c r="AC25" i="3"/>
  <c r="N24" i="6" s="1"/>
  <c r="AC104" i="3"/>
  <c r="N103" i="6" s="1"/>
  <c r="AC113" i="3"/>
  <c r="N112" i="6" s="1"/>
  <c r="AC112" i="3"/>
  <c r="N111" i="6" s="1"/>
  <c r="AC79" i="3"/>
  <c r="N78" i="6" s="1"/>
  <c r="AC60" i="3"/>
  <c r="N59" i="6" s="1"/>
  <c r="AL24" i="3"/>
  <c r="C23" i="6" s="1"/>
  <c r="M9" i="7"/>
  <c r="M15" i="7"/>
  <c r="M16" i="7"/>
  <c r="AC140" i="3"/>
  <c r="N139" i="6" s="1"/>
  <c r="AC166" i="3"/>
  <c r="N165" i="6" s="1"/>
  <c r="AC169" i="3"/>
  <c r="N168" i="6" s="1"/>
  <c r="AC130" i="3"/>
  <c r="N129" i="6" s="1"/>
  <c r="AC61" i="3"/>
  <c r="N60" i="6" s="1"/>
  <c r="AC163" i="3"/>
  <c r="N162" i="6" s="1"/>
  <c r="AC160" i="3"/>
  <c r="N159" i="6" s="1"/>
  <c r="AC146" i="3"/>
  <c r="N145" i="6" s="1"/>
  <c r="AC135" i="3"/>
  <c r="N134" i="6" s="1"/>
  <c r="AC24" i="3"/>
  <c r="N23" i="6" s="1"/>
  <c r="S27" i="5"/>
  <c r="T27" i="5" s="1"/>
  <c r="AI28" i="3"/>
  <c r="AL28" i="3" s="1"/>
  <c r="C27" i="6" s="1"/>
  <c r="S98" i="5"/>
  <c r="T98" i="5" s="1"/>
  <c r="AI99" i="3"/>
  <c r="AL99" i="3" s="1"/>
  <c r="C98" i="6" s="1"/>
  <c r="AC26" i="3"/>
  <c r="N25" i="6" s="1"/>
  <c r="AB26" i="3"/>
  <c r="AC102" i="3"/>
  <c r="N101" i="6" s="1"/>
  <c r="AB102" i="3"/>
  <c r="AB143" i="3"/>
  <c r="AC143" i="3"/>
  <c r="N142" i="6" s="1"/>
  <c r="S86" i="5"/>
  <c r="T86" i="5" s="1"/>
  <c r="AI87" i="3"/>
  <c r="AL87" i="3" s="1"/>
  <c r="C86" i="6" s="1"/>
  <c r="D78" i="6"/>
  <c r="E78" i="6"/>
  <c r="AC172" i="3"/>
  <c r="N171" i="6" s="1"/>
  <c r="AB172" i="3"/>
  <c r="AI166" i="3"/>
  <c r="AL166" i="3" s="1"/>
  <c r="C165" i="6" s="1"/>
  <c r="S165" i="5"/>
  <c r="T165" i="5" s="1"/>
  <c r="S103" i="5"/>
  <c r="T103" i="5" s="1"/>
  <c r="AI104" i="3"/>
  <c r="AL104" i="3" s="1"/>
  <c r="C103" i="6" s="1"/>
  <c r="S115" i="5"/>
  <c r="T115" i="5" s="1"/>
  <c r="AI116" i="3"/>
  <c r="AL116" i="3" s="1"/>
  <c r="C115" i="6" s="1"/>
  <c r="S97" i="5"/>
  <c r="T97" i="5" s="1"/>
  <c r="AI98" i="3"/>
  <c r="AL98" i="3" s="1"/>
  <c r="C97" i="6" s="1"/>
  <c r="S175" i="5"/>
  <c r="T175" i="5" s="1"/>
  <c r="AI176" i="3"/>
  <c r="AL176" i="3" s="1"/>
  <c r="C175" i="6" s="1"/>
  <c r="AC89" i="3"/>
  <c r="N88" i="6" s="1"/>
  <c r="AB89" i="3"/>
  <c r="AC64" i="3"/>
  <c r="N63" i="6" s="1"/>
  <c r="AB64" i="3"/>
  <c r="S24" i="5"/>
  <c r="T24" i="5" s="1"/>
  <c r="AI25" i="3"/>
  <c r="AL25" i="3" s="1"/>
  <c r="C24" i="6" s="1"/>
  <c r="S39" i="5"/>
  <c r="T39" i="5" s="1"/>
  <c r="AI40" i="3"/>
  <c r="AL40" i="3" s="1"/>
  <c r="C39" i="6" s="1"/>
  <c r="S48" i="5"/>
  <c r="T48" i="5" s="1"/>
  <c r="AI49" i="3"/>
  <c r="AL49" i="3" s="1"/>
  <c r="C48" i="6" s="1"/>
  <c r="S41" i="5"/>
  <c r="T41" i="5" s="1"/>
  <c r="AI42" i="3"/>
  <c r="AL42" i="3" s="1"/>
  <c r="C41" i="6" s="1"/>
  <c r="S160" i="5"/>
  <c r="T160" i="5" s="1"/>
  <c r="AI161" i="3"/>
  <c r="AL161" i="3" s="1"/>
  <c r="C160" i="6" s="1"/>
  <c r="S152" i="5"/>
  <c r="T152" i="5" s="1"/>
  <c r="AI153" i="3"/>
  <c r="AL153" i="3" s="1"/>
  <c r="C152" i="6" s="1"/>
  <c r="S156" i="5"/>
  <c r="T156" i="5" s="1"/>
  <c r="AI157" i="3"/>
  <c r="AL157" i="3" s="1"/>
  <c r="C156" i="6" s="1"/>
  <c r="AC136" i="3"/>
  <c r="N135" i="6" s="1"/>
  <c r="AB136" i="3"/>
  <c r="AC154" i="3"/>
  <c r="N153" i="6" s="1"/>
  <c r="AB154" i="3"/>
  <c r="AB156" i="3"/>
  <c r="AC156" i="3"/>
  <c r="N155" i="6" s="1"/>
  <c r="AB177" i="3"/>
  <c r="AC177" i="3"/>
  <c r="N176" i="6" s="1"/>
  <c r="S123" i="5"/>
  <c r="T123" i="5" s="1"/>
  <c r="AI124" i="3"/>
  <c r="AL124" i="3" s="1"/>
  <c r="C123" i="6" s="1"/>
  <c r="S163" i="5"/>
  <c r="T163" i="5" s="1"/>
  <c r="AI164" i="3"/>
  <c r="AL164" i="3" s="1"/>
  <c r="C163" i="6" s="1"/>
  <c r="S139" i="5"/>
  <c r="T139" i="5" s="1"/>
  <c r="AI140" i="3"/>
  <c r="AL140" i="3" s="1"/>
  <c r="C139" i="6" s="1"/>
  <c r="AC111" i="3"/>
  <c r="N110" i="6" s="1"/>
  <c r="AB111" i="3"/>
  <c r="S131" i="5"/>
  <c r="T131" i="5" s="1"/>
  <c r="AI132" i="3"/>
  <c r="AL132" i="3" s="1"/>
  <c r="C131" i="6" s="1"/>
  <c r="S112" i="5"/>
  <c r="T112" i="5" s="1"/>
  <c r="AI113" i="3"/>
  <c r="AL113" i="3" s="1"/>
  <c r="C112" i="6" s="1"/>
  <c r="AI84" i="3"/>
  <c r="AL84" i="3" s="1"/>
  <c r="C83" i="6" s="1"/>
  <c r="S83" i="5"/>
  <c r="T83" i="5" s="1"/>
  <c r="Z178" i="3"/>
  <c r="AB4" i="3"/>
  <c r="F30" i="7"/>
  <c r="AB32" i="3"/>
  <c r="AC32" i="3"/>
  <c r="N31" i="6" s="1"/>
  <c r="AB46" i="3"/>
  <c r="AC46" i="3"/>
  <c r="N45" i="6" s="1"/>
  <c r="AC99" i="3"/>
  <c r="N98" i="6" s="1"/>
  <c r="AB99" i="3"/>
  <c r="AB123" i="3"/>
  <c r="AC123" i="3"/>
  <c r="N122" i="6" s="1"/>
  <c r="S70" i="5"/>
  <c r="T70" i="5" s="1"/>
  <c r="AI71" i="3"/>
  <c r="AL71" i="3" s="1"/>
  <c r="C70" i="6" s="1"/>
  <c r="S111" i="5"/>
  <c r="T111" i="5" s="1"/>
  <c r="AI112" i="3"/>
  <c r="AL112" i="3" s="1"/>
  <c r="C111" i="6" s="1"/>
  <c r="AI82" i="3"/>
  <c r="AL82" i="3" s="1"/>
  <c r="C81" i="6" s="1"/>
  <c r="S81" i="5"/>
  <c r="T81" i="5" s="1"/>
  <c r="AC116" i="3"/>
  <c r="N115" i="6" s="1"/>
  <c r="AB116" i="3"/>
  <c r="AC106" i="3"/>
  <c r="N105" i="6" s="1"/>
  <c r="AB106" i="3"/>
  <c r="AB126" i="3"/>
  <c r="AC126" i="3"/>
  <c r="N125" i="6" s="1"/>
  <c r="AC147" i="3"/>
  <c r="N146" i="6" s="1"/>
  <c r="AB147" i="3"/>
  <c r="AI34" i="3"/>
  <c r="AL34" i="3" s="1"/>
  <c r="C33" i="6" s="1"/>
  <c r="S33" i="5"/>
  <c r="T33" i="5" s="1"/>
  <c r="AI29" i="3"/>
  <c r="S28" i="5"/>
  <c r="T28" i="5" s="1"/>
  <c r="AC8" i="3"/>
  <c r="N7" i="6" s="1"/>
  <c r="AB8" i="3"/>
  <c r="AB127" i="3"/>
  <c r="AC127" i="3"/>
  <c r="N126" i="6" s="1"/>
  <c r="AC121" i="3"/>
  <c r="N120" i="6" s="1"/>
  <c r="AB121" i="3"/>
  <c r="AC145" i="3"/>
  <c r="N144" i="6" s="1"/>
  <c r="AB145" i="3"/>
  <c r="AC131" i="3"/>
  <c r="N130" i="6" s="1"/>
  <c r="AB131" i="3"/>
  <c r="AC157" i="3"/>
  <c r="N156" i="6" s="1"/>
  <c r="AB157" i="3"/>
  <c r="AB52" i="3"/>
  <c r="AC52" i="3"/>
  <c r="N51" i="6" s="1"/>
  <c r="AC70" i="3"/>
  <c r="N69" i="6" s="1"/>
  <c r="AB70" i="3"/>
  <c r="AB88" i="3"/>
  <c r="AC88" i="3"/>
  <c r="N87" i="6" s="1"/>
  <c r="AB118" i="3"/>
  <c r="AC118" i="3"/>
  <c r="N117" i="6" s="1"/>
  <c r="AB18" i="3"/>
  <c r="F32" i="7"/>
  <c r="AC18" i="3"/>
  <c r="N17" i="6" s="1"/>
  <c r="S121" i="5"/>
  <c r="T121" i="5" s="1"/>
  <c r="AI122" i="3"/>
  <c r="AL122" i="3" s="1"/>
  <c r="C121" i="6" s="1"/>
  <c r="S151" i="5"/>
  <c r="T151" i="5" s="1"/>
  <c r="AI152" i="3"/>
  <c r="AL152" i="3" s="1"/>
  <c r="C151" i="6" s="1"/>
  <c r="AI38" i="3"/>
  <c r="AL38" i="3" s="1"/>
  <c r="C37" i="6" s="1"/>
  <c r="S37" i="5"/>
  <c r="T37" i="5" s="1"/>
  <c r="AB12" i="3"/>
  <c r="AC12" i="3"/>
  <c r="N11" i="6" s="1"/>
  <c r="AC67" i="3"/>
  <c r="N66" i="6" s="1"/>
  <c r="AB67" i="3"/>
  <c r="AC100" i="3"/>
  <c r="N99" i="6" s="1"/>
  <c r="AB100" i="3"/>
  <c r="S93" i="5"/>
  <c r="T93" i="5" s="1"/>
  <c r="AI94" i="3"/>
  <c r="S90" i="5"/>
  <c r="T90" i="5" s="1"/>
  <c r="AI91" i="3"/>
  <c r="AL91" i="3" s="1"/>
  <c r="C90" i="6" s="1"/>
  <c r="AI85" i="3"/>
  <c r="AL85" i="3" s="1"/>
  <c r="C84" i="6" s="1"/>
  <c r="S84" i="5"/>
  <c r="T84" i="5" s="1"/>
  <c r="AI72" i="3"/>
  <c r="AL72" i="3" s="1"/>
  <c r="C71" i="6" s="1"/>
  <c r="S71" i="5"/>
  <c r="T71" i="5" s="1"/>
  <c r="S9" i="5"/>
  <c r="T9" i="5" s="1"/>
  <c r="AI10" i="3"/>
  <c r="AL10" i="3" s="1"/>
  <c r="C9" i="6" s="1"/>
  <c r="S8" i="5"/>
  <c r="AI9" i="3"/>
  <c r="AC29" i="3"/>
  <c r="N28" i="6" s="1"/>
  <c r="AB29" i="3"/>
  <c r="AC66" i="3"/>
  <c r="N65" i="6" s="1"/>
  <c r="AB66" i="3"/>
  <c r="AC95" i="3"/>
  <c r="N94" i="6" s="1"/>
  <c r="AB95" i="3"/>
  <c r="AC124" i="3"/>
  <c r="N123" i="6" s="1"/>
  <c r="AB124" i="3"/>
  <c r="AC139" i="3"/>
  <c r="N138" i="6" s="1"/>
  <c r="AB139" i="3"/>
  <c r="AI170" i="3"/>
  <c r="AL170" i="3" s="1"/>
  <c r="C169" i="6" s="1"/>
  <c r="S169" i="5"/>
  <c r="T169" i="5" s="1"/>
  <c r="AC105" i="3"/>
  <c r="N104" i="6" s="1"/>
  <c r="AB105" i="3"/>
  <c r="AB74" i="3"/>
  <c r="AC74" i="3"/>
  <c r="N73" i="6" s="1"/>
  <c r="AC49" i="3"/>
  <c r="N48" i="6" s="1"/>
  <c r="AB49" i="3"/>
  <c r="AB28" i="3"/>
  <c r="AC28" i="3"/>
  <c r="N27" i="6" s="1"/>
  <c r="G32" i="7"/>
  <c r="AA178" i="3"/>
  <c r="AC6" i="3"/>
  <c r="N5" i="6" s="1"/>
  <c r="AI20" i="3"/>
  <c r="AL20" i="3" s="1"/>
  <c r="C19" i="6" s="1"/>
  <c r="S19" i="5"/>
  <c r="T19" i="5" s="1"/>
  <c r="AB50" i="3"/>
  <c r="AC50" i="3"/>
  <c r="N49" i="6" s="1"/>
  <c r="AI23" i="3"/>
  <c r="AL23" i="3" s="1"/>
  <c r="C22" i="6" s="1"/>
  <c r="S22" i="5"/>
  <c r="T22" i="5" s="1"/>
  <c r="S57" i="5"/>
  <c r="T57" i="5" s="1"/>
  <c r="AI58" i="3"/>
  <c r="AL58" i="3" s="1"/>
  <c r="C57" i="6" s="1"/>
  <c r="AL6" i="3"/>
  <c r="AL5" i="3"/>
  <c r="AC54" i="3"/>
  <c r="N53" i="6" s="1"/>
  <c r="AB54" i="3"/>
  <c r="S172" i="5"/>
  <c r="T172" i="5" s="1"/>
  <c r="AI173" i="3"/>
  <c r="AL173" i="3" s="1"/>
  <c r="C172" i="6" s="1"/>
  <c r="S96" i="5"/>
  <c r="T96" i="5" s="1"/>
  <c r="AI97" i="3"/>
  <c r="AL97" i="3" s="1"/>
  <c r="C96" i="6" s="1"/>
  <c r="F31" i="7"/>
  <c r="AC22" i="3"/>
  <c r="N21" i="6" s="1"/>
  <c r="AB22" i="3"/>
  <c r="AI142" i="3"/>
  <c r="AL142" i="3" s="1"/>
  <c r="C141" i="6" s="1"/>
  <c r="S141" i="5"/>
  <c r="T141" i="5" s="1"/>
  <c r="S79" i="5"/>
  <c r="T79" i="5" s="1"/>
  <c r="AI80" i="3"/>
  <c r="AL80" i="3" s="1"/>
  <c r="C79" i="6" s="1"/>
  <c r="S117" i="5"/>
  <c r="T117" i="5" s="1"/>
  <c r="AI118" i="3"/>
  <c r="AL118" i="3" s="1"/>
  <c r="C117" i="6" s="1"/>
  <c r="S108" i="5"/>
  <c r="T108" i="5" s="1"/>
  <c r="AI109" i="3"/>
  <c r="AL109" i="3" s="1"/>
  <c r="C108" i="6" s="1"/>
  <c r="S89" i="5"/>
  <c r="T89" i="5" s="1"/>
  <c r="AI90" i="3"/>
  <c r="AL90" i="3" s="1"/>
  <c r="C89" i="6" s="1"/>
  <c r="S82" i="5"/>
  <c r="T82" i="5" s="1"/>
  <c r="AI83" i="3"/>
  <c r="AL83" i="3" s="1"/>
  <c r="C82" i="6" s="1"/>
  <c r="AI123" i="3"/>
  <c r="AL123" i="3" s="1"/>
  <c r="C122" i="6" s="1"/>
  <c r="S122" i="5"/>
  <c r="T122" i="5" s="1"/>
  <c r="E40" i="6"/>
  <c r="D40" i="6"/>
  <c r="S32" i="5"/>
  <c r="T32" i="5" s="1"/>
  <c r="AI33" i="3"/>
  <c r="AL33" i="3" s="1"/>
  <c r="C32" i="6" s="1"/>
  <c r="G31" i="7"/>
  <c r="AC19" i="3"/>
  <c r="N18" i="6" s="1"/>
  <c r="D144" i="6"/>
  <c r="E144" i="6"/>
  <c r="AL8" i="3"/>
  <c r="D55" i="6"/>
  <c r="E55" i="6"/>
  <c r="E176" i="6"/>
  <c r="D176" i="6"/>
  <c r="E140" i="6"/>
  <c r="D140" i="6"/>
  <c r="D66" i="6" l="1"/>
  <c r="E66" i="6"/>
  <c r="E50" i="6"/>
  <c r="D50" i="6"/>
  <c r="E26" i="6"/>
  <c r="D26" i="6"/>
  <c r="D155" i="6"/>
  <c r="E155" i="6"/>
  <c r="D150" i="6"/>
  <c r="E150" i="6"/>
  <c r="E76" i="6"/>
  <c r="D76" i="6"/>
  <c r="D101" i="6"/>
  <c r="E101" i="6"/>
  <c r="D80" i="6"/>
  <c r="E80" i="6"/>
  <c r="D171" i="6"/>
  <c r="E171" i="6"/>
  <c r="D142" i="6"/>
  <c r="E142" i="6"/>
  <c r="E137" i="6"/>
  <c r="D137" i="6"/>
  <c r="D85" i="6"/>
  <c r="E85" i="6"/>
  <c r="D43" i="6"/>
  <c r="E43" i="6"/>
  <c r="E20" i="6"/>
  <c r="D20" i="6"/>
  <c r="E72" i="6"/>
  <c r="D72" i="6"/>
  <c r="E64" i="6"/>
  <c r="D64" i="6"/>
  <c r="E173" i="6"/>
  <c r="D173" i="6"/>
  <c r="D45" i="6"/>
  <c r="E45" i="6"/>
  <c r="E110" i="6"/>
  <c r="D110" i="6"/>
  <c r="D12" i="6"/>
  <c r="E12" i="6"/>
  <c r="E91" i="6"/>
  <c r="D91" i="6"/>
  <c r="E126" i="6"/>
  <c r="D126" i="6"/>
  <c r="D69" i="6"/>
  <c r="E69" i="6"/>
  <c r="D129" i="6"/>
  <c r="E129" i="6"/>
  <c r="E133" i="6"/>
  <c r="D133" i="6"/>
  <c r="D51" i="6"/>
  <c r="E51" i="6"/>
  <c r="E124" i="6"/>
  <c r="D124" i="6"/>
  <c r="E125" i="6"/>
  <c r="D125" i="6"/>
  <c r="D158" i="6"/>
  <c r="E158" i="6"/>
  <c r="D99" i="6"/>
  <c r="E99" i="6"/>
  <c r="D75" i="6"/>
  <c r="E75" i="6"/>
  <c r="E44" i="6"/>
  <c r="D44" i="6"/>
  <c r="D147" i="6"/>
  <c r="E147" i="6"/>
  <c r="E143" i="6"/>
  <c r="D143" i="6"/>
  <c r="D134" i="6"/>
  <c r="E134" i="6"/>
  <c r="E119" i="6"/>
  <c r="D119" i="6"/>
  <c r="D74" i="6"/>
  <c r="E74" i="6"/>
  <c r="D56" i="6"/>
  <c r="E56" i="6"/>
  <c r="D54" i="6"/>
  <c r="E54" i="6"/>
  <c r="D46" i="6"/>
  <c r="E46" i="6"/>
  <c r="E15" i="6"/>
  <c r="D15" i="6"/>
  <c r="E153" i="6"/>
  <c r="D153" i="6"/>
  <c r="D120" i="6"/>
  <c r="E120" i="6"/>
  <c r="E105" i="6"/>
  <c r="D105" i="6"/>
  <c r="E77" i="6"/>
  <c r="D77" i="6"/>
  <c r="E52" i="6"/>
  <c r="D52" i="6"/>
  <c r="D174" i="6"/>
  <c r="E174" i="6"/>
  <c r="D167" i="6"/>
  <c r="E167" i="6"/>
  <c r="E73" i="6"/>
  <c r="D73" i="6"/>
  <c r="E38" i="6"/>
  <c r="D38" i="6"/>
  <c r="E162" i="6"/>
  <c r="D162" i="6"/>
  <c r="D118" i="6"/>
  <c r="E118" i="6"/>
  <c r="E65" i="6"/>
  <c r="D65" i="6"/>
  <c r="E166" i="6"/>
  <c r="D166" i="6"/>
  <c r="D102" i="6"/>
  <c r="E102" i="6"/>
  <c r="E157" i="6"/>
  <c r="D157" i="6"/>
  <c r="E164" i="6"/>
  <c r="D164" i="6"/>
  <c r="E18" i="6"/>
  <c r="D18" i="6"/>
  <c r="E29" i="6"/>
  <c r="D29" i="6"/>
  <c r="E161" i="6"/>
  <c r="D161" i="6"/>
  <c r="E49" i="6"/>
  <c r="D49" i="6"/>
  <c r="D42" i="6"/>
  <c r="E42" i="6"/>
  <c r="D13" i="6"/>
  <c r="E13" i="6"/>
  <c r="E159" i="6"/>
  <c r="D159" i="6"/>
  <c r="D130" i="6"/>
  <c r="E130" i="6"/>
  <c r="E88" i="6"/>
  <c r="D88" i="6"/>
  <c r="E11" i="6"/>
  <c r="D11" i="6"/>
  <c r="E68" i="6"/>
  <c r="D68" i="6"/>
  <c r="E116" i="6"/>
  <c r="D116" i="6"/>
  <c r="E6" i="6"/>
  <c r="D6" i="6"/>
  <c r="D145" i="6"/>
  <c r="E145" i="6"/>
  <c r="D53" i="6"/>
  <c r="E53" i="6"/>
  <c r="E106" i="6"/>
  <c r="D106" i="6"/>
  <c r="D61" i="6"/>
  <c r="E61" i="6"/>
  <c r="D168" i="6"/>
  <c r="E168" i="6"/>
  <c r="E154" i="6"/>
  <c r="D154" i="6"/>
  <c r="D136" i="6"/>
  <c r="E136" i="6"/>
  <c r="E165" i="6"/>
  <c r="D165" i="6"/>
  <c r="E115" i="6"/>
  <c r="D115" i="6"/>
  <c r="D123" i="6"/>
  <c r="E123" i="6"/>
  <c r="E135" i="6"/>
  <c r="D135" i="6"/>
  <c r="D94" i="6"/>
  <c r="E94" i="6"/>
  <c r="E128" i="6"/>
  <c r="D128" i="6"/>
  <c r="D21" i="6"/>
  <c r="E21" i="6"/>
  <c r="E170" i="6"/>
  <c r="D170" i="6"/>
  <c r="D114" i="6"/>
  <c r="E114" i="6"/>
  <c r="E109" i="6"/>
  <c r="D109" i="6"/>
  <c r="E63" i="6"/>
  <c r="D63" i="6"/>
  <c r="E113" i="6"/>
  <c r="D113" i="6"/>
  <c r="E34" i="6"/>
  <c r="D34" i="6"/>
  <c r="E92" i="6"/>
  <c r="D92" i="6"/>
  <c r="E35" i="6"/>
  <c r="D35" i="6"/>
  <c r="D30" i="6"/>
  <c r="E30" i="6"/>
  <c r="D14" i="6"/>
  <c r="E14" i="6"/>
  <c r="D23" i="6"/>
  <c r="E23" i="6"/>
  <c r="D57" i="6"/>
  <c r="E57" i="6"/>
  <c r="E60" i="6"/>
  <c r="D60" i="6"/>
  <c r="D16" i="6"/>
  <c r="E16" i="6"/>
  <c r="E25" i="6"/>
  <c r="D25" i="6"/>
  <c r="E59" i="6"/>
  <c r="D59" i="6"/>
  <c r="E149" i="6"/>
  <c r="D149" i="6"/>
  <c r="E148" i="6"/>
  <c r="D148" i="6"/>
  <c r="D146" i="6"/>
  <c r="E146" i="6"/>
  <c r="E138" i="6"/>
  <c r="D138" i="6"/>
  <c r="E10" i="6"/>
  <c r="D10" i="6"/>
  <c r="E27" i="6"/>
  <c r="D27" i="6"/>
  <c r="D95" i="6"/>
  <c r="E95" i="6"/>
  <c r="E87" i="6"/>
  <c r="D87" i="6"/>
  <c r="E36" i="6"/>
  <c r="D36" i="6"/>
  <c r="D132" i="6"/>
  <c r="E132" i="6"/>
  <c r="D67" i="6"/>
  <c r="E67" i="6"/>
  <c r="E47" i="6"/>
  <c r="D47" i="6"/>
  <c r="E107" i="6"/>
  <c r="D107" i="6"/>
  <c r="E127" i="6"/>
  <c r="D127" i="6"/>
  <c r="E58" i="6"/>
  <c r="D58" i="6"/>
  <c r="D31" i="6"/>
  <c r="E31" i="6"/>
  <c r="D17" i="6"/>
  <c r="E17" i="6"/>
  <c r="D98" i="6"/>
  <c r="E98" i="6"/>
  <c r="E86" i="6"/>
  <c r="D86" i="6"/>
  <c r="D103" i="6"/>
  <c r="E103" i="6"/>
  <c r="E97" i="6"/>
  <c r="D97" i="6"/>
  <c r="E175" i="6"/>
  <c r="D175" i="6"/>
  <c r="E24" i="6"/>
  <c r="D24" i="6"/>
  <c r="E39" i="6"/>
  <c r="D39" i="6"/>
  <c r="D48" i="6"/>
  <c r="E48" i="6"/>
  <c r="E41" i="6"/>
  <c r="D41" i="6"/>
  <c r="D160" i="6"/>
  <c r="E160" i="6"/>
  <c r="D152" i="6"/>
  <c r="E152" i="6"/>
  <c r="E156" i="6"/>
  <c r="D156" i="6"/>
  <c r="E163" i="6"/>
  <c r="D163" i="6"/>
  <c r="D139" i="6"/>
  <c r="E139" i="6"/>
  <c r="D131" i="6"/>
  <c r="E131" i="6"/>
  <c r="D112" i="6"/>
  <c r="E112" i="6"/>
  <c r="D83" i="6"/>
  <c r="E83" i="6"/>
  <c r="AB178" i="3"/>
  <c r="H30" i="7"/>
  <c r="D70" i="6"/>
  <c r="E70" i="6"/>
  <c r="D111" i="6"/>
  <c r="E111" i="6"/>
  <c r="E81" i="6"/>
  <c r="D81" i="6"/>
  <c r="E33" i="6"/>
  <c r="D33" i="6"/>
  <c r="D121" i="6"/>
  <c r="E121" i="6"/>
  <c r="E151" i="6"/>
  <c r="D151" i="6"/>
  <c r="D37" i="6"/>
  <c r="E37" i="6"/>
  <c r="E90" i="6"/>
  <c r="D90" i="6"/>
  <c r="D71" i="6"/>
  <c r="E71" i="6"/>
  <c r="D9" i="6"/>
  <c r="E9" i="6"/>
  <c r="B186" i="6"/>
  <c r="T8" i="5"/>
  <c r="E169" i="6"/>
  <c r="D169" i="6"/>
  <c r="E22" i="6"/>
  <c r="D22" i="6"/>
  <c r="C5" i="6"/>
  <c r="C4" i="6"/>
  <c r="E172" i="6"/>
  <c r="D172" i="6"/>
  <c r="D96" i="6"/>
  <c r="E96" i="6"/>
  <c r="D141" i="6"/>
  <c r="E141" i="6"/>
  <c r="E79" i="6"/>
  <c r="D79" i="6"/>
  <c r="E117" i="6"/>
  <c r="D117" i="6"/>
  <c r="D108" i="6"/>
  <c r="E108" i="6"/>
  <c r="E89" i="6"/>
  <c r="D89" i="6"/>
  <c r="D82" i="6"/>
  <c r="E82" i="6"/>
  <c r="D122" i="6"/>
  <c r="E122" i="6"/>
  <c r="E3" i="6"/>
  <c r="D3" i="6"/>
  <c r="E32" i="6"/>
  <c r="D32" i="6"/>
  <c r="H31" i="7"/>
  <c r="H32" i="7"/>
  <c r="AL29" i="3"/>
  <c r="D31" i="7"/>
  <c r="AL94" i="3"/>
  <c r="D32" i="7"/>
  <c r="E84" i="6"/>
  <c r="D84" i="6"/>
  <c r="AL9" i="3"/>
  <c r="D30" i="7"/>
  <c r="D19" i="6"/>
  <c r="E19" i="6"/>
  <c r="C7" i="6"/>
  <c r="E30" i="7"/>
  <c r="C28" i="6" l="1"/>
  <c r="E31" i="7"/>
  <c r="B34" i="7" s="1"/>
  <c r="C93" i="6"/>
  <c r="E32" i="7"/>
  <c r="C8" i="6"/>
  <c r="AL178" i="3"/>
  <c r="E5" i="6"/>
  <c r="D5" i="6"/>
  <c r="E4" i="6"/>
  <c r="D4" i="6"/>
  <c r="E7" i="6"/>
  <c r="D7" i="6"/>
  <c r="B182" i="6" l="1"/>
  <c r="D28" i="6"/>
  <c r="E28" i="6"/>
  <c r="D93" i="6"/>
  <c r="E93" i="6"/>
  <c r="B185" i="6"/>
  <c r="B184" i="6"/>
  <c r="B183" i="6"/>
  <c r="D8" i="6"/>
  <c r="E8"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ISCAM</author>
  </authors>
  <commentList>
    <comment ref="E3" authorId="0" shapeId="0" xr:uid="{00000000-0006-0000-0200-000001000000}">
      <text>
        <r>
          <rPr>
            <sz val="11"/>
            <color theme="1"/>
            <rFont val="Calibri"/>
            <family val="2"/>
            <scheme val="minor"/>
          </rPr>
          <t>D1 — Clasificación regulatoria: si la organización tiene un rol claro frente al EUDR (operador, comerciante, operador posterior, etc.). Escala 0-100.</t>
        </r>
      </text>
    </comment>
    <comment ref="F3" authorId="0" shapeId="0" xr:uid="{00000000-0006-0000-0200-000002000000}">
      <text>
        <r>
          <rPr>
            <sz val="11"/>
            <color theme="1"/>
            <rFont val="Calibri"/>
            <family val="2"/>
            <scheme val="minor"/>
          </rPr>
          <t>D2 — Trazabilidad: si existe un vínculo documentado lote → parcela con coordenadas. Se carga manualmente en SCORECARDS a partir de las respuestas del Instrumento 2.</t>
        </r>
      </text>
    </comment>
    <comment ref="G3" authorId="0" shapeId="0" xr:uid="{00000000-0006-0000-0200-000003000000}">
      <text>
        <r>
          <rPr>
            <sz val="11"/>
            <color theme="1"/>
            <rFont val="Calibri"/>
            <family val="2"/>
            <scheme val="minor"/>
          </rPr>
          <t>D3 — Legalidad: estado de la organización ante OSCE (inhabilitaciones/sanciones vigentes). 0 = inhabilitación vigente.</t>
        </r>
      </text>
    </comment>
    <comment ref="H3" authorId="0" shapeId="0" xr:uid="{00000000-0006-0000-0200-000004000000}">
      <text>
        <r>
          <rPr>
            <sz val="11"/>
            <color theme="1"/>
            <rFont val="Calibri"/>
            <family val="2"/>
            <scheme val="minor"/>
          </rPr>
          <t>D4 — Deforestación Cero: si la parcela de origen está libre de deforestación posterior a diciembre de 2020 (el corte que exige el EUDR).</t>
        </r>
      </text>
    </comment>
    <comment ref="I3" authorId="0" shapeId="0" xr:uid="{00000000-0006-0000-0200-000005000000}">
      <text>
        <r>
          <rPr>
            <sz val="11"/>
            <color theme="1"/>
            <rFont val="Calibri"/>
            <family val="2"/>
            <scheme val="minor"/>
          </rPr>
          <t>D5 — Diligencia Debida: si la organización tiene un proceso propio de evaluación de riesgo de sus proveedores. Carga manual en SCORECARDS.</t>
        </r>
      </text>
    </comment>
    <comment ref="J3" authorId="0" shapeId="0" xr:uid="{00000000-0006-0000-0200-000006000000}">
      <text>
        <r>
          <rPr>
            <sz val="11"/>
            <color theme="1"/>
            <rFont val="Calibri"/>
            <family val="2"/>
            <scheme val="minor"/>
          </rPr>
          <t>D6 — Capacidad Digital: si la organización tiene personal o sistemas dedicados a manejar los datos de trazabilidad. Carga manual en SCORECARDS.</t>
        </r>
      </text>
    </comment>
    <comment ref="K3" authorId="0" shapeId="0" xr:uid="{00000000-0006-0000-0200-000007000000}">
      <text>
        <r>
          <rPr>
            <sz val="11"/>
            <color theme="1"/>
            <rFont val="Calibri"/>
            <family val="2"/>
            <scheme val="minor"/>
          </rPr>
          <t>D7 — Presión del Comprador: si el comprador europeo de la organización ya le exige cumplimiento EUDR.</t>
        </r>
      </text>
    </comment>
    <comment ref="L3" authorId="0" shapeId="0" xr:uid="{00000000-0006-0000-0200-000008000000}">
      <text>
        <r>
          <rPr>
            <sz val="11"/>
            <color theme="1"/>
            <rFont val="Calibri"/>
            <family val="2"/>
            <scheme val="minor"/>
          </rPr>
          <t>D8 — Gobernanza: participación y renovación de la junta directiva.</t>
        </r>
      </text>
    </comment>
    <comment ref="M3" authorId="0" shapeId="0" xr:uid="{00000000-0006-0000-0200-000009000000}">
      <text>
        <r>
          <rPr>
            <sz val="11"/>
            <color theme="1"/>
            <rFont val="Calibri"/>
            <family val="2"/>
            <scheme val="minor"/>
          </rPr>
          <t>D9 — Riesgo Financiero: situación financiera de la organización que podría limitar su capacidad de invertir en cumplimiento.</t>
        </r>
      </text>
    </comment>
    <comment ref="N3" authorId="0" shapeId="0" xr:uid="{00000000-0006-0000-0200-00000A000000}">
      <text>
        <r>
          <rPr>
            <sz val="11"/>
            <color theme="1"/>
            <rFont val="Calibri"/>
            <family val="2"/>
            <scheme val="minor"/>
          </rPr>
          <t>D10 — Certificación: certificaciones voluntarias vigentes (orgánico, Fairtrade). El EUDR las trata como información complementaria, nunca como sustituto de geolocalización y legalidad — por eso no entra en el promedio del índice.</t>
        </r>
      </text>
    </comment>
    <comment ref="O3" authorId="0" shapeId="0" xr:uid="{00000000-0006-0000-0200-00000B000000}">
      <text>
        <r>
          <rPr>
            <sz val="11"/>
            <color theme="1"/>
            <rFont val="Calibri"/>
            <family val="2"/>
            <scheme val="minor"/>
          </rPr>
          <t>D11 — Ecosistema de apoyo externo: asesoría técnica y plataformas de trazabilidad disponibles para la organización. Se reporta como inventario, no se promedia.</t>
        </r>
      </text>
    </comment>
    <comment ref="P3" authorId="0" shapeId="0" xr:uid="{00000000-0006-0000-0200-00000C000000}">
      <text>
        <r>
          <rPr>
            <sz val="11"/>
            <color theme="1"/>
            <rFont val="Calibri"/>
            <family val="2"/>
            <scheme val="minor"/>
          </rPr>
          <t>IP1: usa directamente D2 (Trazabilidad) como primera sub-dimensión de preparación.</t>
        </r>
      </text>
    </comment>
    <comment ref="Q3" authorId="0" shapeId="0" xr:uid="{00000000-0006-0000-0200-00000D000000}">
      <text>
        <r>
          <rPr>
            <sz val="11"/>
            <color theme="1"/>
            <rFont val="Calibri"/>
            <family val="2"/>
            <scheme val="minor"/>
          </rPr>
          <t>IP2: combina Legalidad (D3) y Deforestación Cero (D4) con una media geométrica — si cualquiera de las dos es cero, IP2 es cero (un defecto grave en una no se compensa con la otra).</t>
        </r>
      </text>
    </comment>
    <comment ref="R3" authorId="0" shapeId="0" xr:uid="{00000000-0006-0000-0200-00000E000000}">
      <text>
        <r>
          <rPr>
            <sz val="11"/>
            <color theme="1"/>
            <rFont val="Calibri"/>
            <family val="2"/>
            <scheme val="minor"/>
          </rPr>
          <t>IP3: promedio de Diligencia Debida (D5), Capacidad Digital (D6) y Gobernanza (D8) — las capacidades internas de la organización.</t>
        </r>
      </text>
    </comment>
    <comment ref="S3" authorId="0" shapeId="0" xr:uid="{00000000-0006-0000-0200-00000F000000}">
      <text>
        <r>
          <rPr>
            <sz val="11"/>
            <color theme="1"/>
            <rFont val="Calibri"/>
            <family val="2"/>
            <scheme val="minor"/>
          </rPr>
          <t>IP4: promedio de Capacidad Digital (D6) y Trazabilidad (D2) — qué tan bien documentada y sistematizada está la información.</t>
        </r>
      </text>
    </comment>
    <comment ref="T3" authorId="0" shapeId="0" xr:uid="{00000000-0006-0000-0200-000010000000}">
      <text>
        <r>
          <rPr>
            <sz val="11"/>
            <color theme="1"/>
            <rFont val="Calibri"/>
            <family val="2"/>
            <scheme val="minor"/>
          </rPr>
          <t>IP5: promedio de Presión del Comprador (D7), Riesgo Financiero (D9) y certificaciones — qué tanto el mercado empuja y qué tanta capacidad financiera hay para responder.</t>
        </r>
      </text>
    </comment>
    <comment ref="U3" authorId="0" shapeId="0" xr:uid="{00000000-0006-0000-0200-000011000000}">
      <text>
        <r>
          <rPr>
            <sz val="11"/>
            <color theme="1"/>
            <rFont val="Calibri"/>
            <family val="2"/>
            <scheme val="minor"/>
          </rPr>
          <t>IV1: porcentaje del valor exportado (FOB) que va a la Unión Europea. Mientras más alto, más depende la organización específicamente de ese mercado.</t>
        </r>
      </text>
    </comment>
    <comment ref="V3" authorId="0" shapeId="0" xr:uid="{00000000-0006-0000-0200-000012000000}">
      <text>
        <r>
          <rPr>
            <sz val="11"/>
            <color theme="1"/>
            <rFont val="Calibri"/>
            <family val="2"/>
            <scheme val="minor"/>
          </rPr>
          <t>IV2: usa D1 (Clasificación regulatoria); si no hay dato, se asume un riesgo intermedio (50) en vez de cero, para no subestimar la vulnerabilidad por falta de información.</t>
        </r>
      </text>
    </comment>
    <comment ref="W3" authorId="0" shapeId="0" xr:uid="{00000000-0006-0000-0200-000013000000}">
      <text>
        <r>
          <rPr>
            <sz val="11"/>
            <color theme="1"/>
            <rFont val="Calibri"/>
            <family val="2"/>
            <scheme val="minor"/>
          </rPr>
          <t>IV3: hectáreas por socio. Menos tierra por socio implica parcelas más fragmentadas y más difíciles/costosas de geolocalizar con precisión — mayor vulnerabilidad.</t>
        </r>
      </text>
    </comment>
    <comment ref="X3" authorId="0" shapeId="0" xr:uid="{00000000-0006-0000-0200-000014000000}">
      <text>
        <r>
          <rPr>
            <sz val="11"/>
            <color theme="1"/>
            <rFont val="Calibri"/>
            <family val="2"/>
            <scheme val="minor"/>
          </rPr>
          <t>IV4: si la organización no tiene ninguna certificación vigente, se le asigna mayor vulnerabilidad (70) que si tiene al menos una (30).</t>
        </r>
      </text>
    </comment>
    <comment ref="Y3" authorId="0" shapeId="0" xr:uid="{00000000-0006-0000-0200-000015000000}">
      <text>
        <r>
          <rPr>
            <sz val="11"/>
            <color theme="1"/>
            <rFont val="Calibri"/>
            <family val="2"/>
            <scheme val="minor"/>
          </rPr>
          <t>IV5: las asociaciones (vs. cooperativas formalmente constituidas) se consideran más vulnerables en términos de representación legal y continuidad institucional.</t>
        </r>
      </text>
    </comment>
    <comment ref="Z3" authorId="0" shapeId="0" xr:uid="{00000000-0006-0000-0200-000016000000}">
      <text>
        <r>
          <rPr>
            <sz val="11"/>
            <color theme="1"/>
            <rFont val="Calibri"/>
            <family val="2"/>
            <scheme val="minor"/>
          </rPr>
          <t>IP — Índice de Preparación: promedio simple de IP1 a IP5. Resume en un solo número qué tan lista está la organización hoy.</t>
        </r>
      </text>
    </comment>
    <comment ref="AA3" authorId="0" shapeId="0" xr:uid="{00000000-0006-0000-0200-000017000000}">
      <text>
        <r>
          <rPr>
            <sz val="11"/>
            <color theme="1"/>
            <rFont val="Calibri"/>
            <family val="2"/>
            <scheme val="minor"/>
          </rPr>
          <t>IV — Índice de Vulnerabilidad: promedio simple de IV1 a IV5. Resume en un solo número qué tan expuesta está la organización si no se prepara a tiempo.</t>
        </r>
      </text>
    </comment>
    <comment ref="AB3" authorId="0" shapeId="0" xr:uid="{00000000-0006-0000-0200-000018000000}">
      <text>
        <r>
          <rPr>
            <sz val="11"/>
            <color theme="1"/>
            <rFont val="Calibri"/>
            <family val="2"/>
            <scheme val="minor"/>
          </rPr>
          <t>RE — Riesgo de Exclusión = IV × (1 − IP/100). Si IP = 100 (preparación total), RE = 0 sin importar la vulnerabilidad. Si IP = 0, toda la vulnerabilidad se traduce en riesgo.</t>
        </r>
      </text>
    </comment>
    <comment ref="AC3" authorId="0" shapeId="0" xr:uid="{00000000-0006-0000-0200-000019000000}">
      <text>
        <r>
          <rPr>
            <sz val="11"/>
            <color theme="1"/>
            <rFont val="Calibri"/>
            <family val="2"/>
            <scheme val="minor"/>
          </rPr>
          <t>Tipología 2×2: cruza IP y IV (corte en 50) en cuatro perfiles de priorización — más simple de comunicar que mirar 9 dimensiones por separado.</t>
        </r>
      </text>
    </comment>
    <comment ref="AI3" authorId="0" shapeId="0" xr:uid="{00000000-0006-0000-0200-00001A000000}">
      <text>
        <r>
          <rPr>
            <sz val="11"/>
            <color theme="1"/>
            <rFont val="Calibri"/>
            <family val="2"/>
            <scheme val="minor"/>
          </rPr>
          <t>ISA-Pacto Verde: promedio de las 4 dimensiones de Pacto Verde Europeo (D12-D15), escala 0-1. Mide una preparación más amplia que la que exige estrictamente el EUDR.</t>
        </r>
      </text>
    </comment>
    <comment ref="AK3" authorId="0" shapeId="0" xr:uid="{00000000-0006-0000-0200-00001B000000}">
      <text>
        <r>
          <rPr>
            <sz val="11"/>
            <color theme="1"/>
            <rFont val="Calibri"/>
            <family val="2"/>
            <scheme val="minor"/>
          </rPr>
          <t>ISA-EUDR: combina D1-D7 con media geométrica (87.5% del peso: un cero en cualquiera de ellas no se compensa con las demás) y D8-D9 con media aritmética (12.5%, son moduladoras, no deben anular el índice solas).</t>
        </r>
      </text>
    </comment>
    <comment ref="AL3" authorId="0" shapeId="0" xr:uid="{00000000-0006-0000-0200-00001C000000}">
      <text>
        <r>
          <rPr>
            <sz val="11"/>
            <color theme="1"/>
            <rFont val="Calibri"/>
            <family val="2"/>
            <scheme val="minor"/>
          </rPr>
          <t>ISA-Completo: el puntaje final, 0 a 100. Combina ISA-EUDR (70%, decide el acceso al mercado europeo) e ISA-Pacto Verde (30%, decide la competitividad de largo plazo).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ISCAM</author>
  </authors>
  <commentList>
    <comment ref="M2" authorId="0" shapeId="0" xr:uid="{00000000-0006-0000-0400-000001000000}">
      <text>
        <r>
          <rPr>
            <sz val="11"/>
            <color theme="1"/>
            <rFont val="Calibri"/>
            <family val="2"/>
            <scheme val="minor"/>
          </rPr>
          <t>Porcentaje del valor FOB exportado que va específicamente a la Unión Europea — mide la dependencia comercial del mercado que exige el EUDR.</t>
        </r>
      </text>
    </comment>
    <comment ref="O2" authorId="0" shapeId="0" xr:uid="{00000000-0006-0000-0400-000002000000}">
      <text>
        <r>
          <rPr>
            <sz val="11"/>
            <color theme="1"/>
            <rFont val="Calibri"/>
            <family val="2"/>
            <scheme val="minor"/>
          </rPr>
          <t>Puntaje de certificaciones vigentes (orgánico 60%, comercio justo 40%), usado como insumo de IV4 en ISCAM_Score.</t>
        </r>
      </text>
    </comment>
    <comment ref="P2" authorId="0" shapeId="0" xr:uid="{00000000-0006-0000-0400-000003000000}">
      <text>
        <r>
          <rPr>
            <sz val="11"/>
            <color theme="1"/>
            <rFont val="Calibri"/>
            <family val="2"/>
            <scheme val="minor"/>
          </rPr>
          <t>Tipo de organización (asociación, cooperativa, pendiente de formalizar) — usado en IV5 como proxy de riesgo de representación legal.</t>
        </r>
      </text>
    </comment>
  </commentList>
</comments>
</file>

<file path=xl/sharedStrings.xml><?xml version="1.0" encoding="utf-8"?>
<sst xmlns="http://schemas.openxmlformats.org/spreadsheetml/2006/main" count="5850" uniqueCount="1577">
  <si>
    <t>MATRIZ 174 — Datos existentes de organizaciones</t>
  </si>
  <si>
    <t>D12</t>
  </si>
  <si>
    <t>D13</t>
  </si>
  <si>
    <t>D14</t>
  </si>
  <si>
    <t>D15</t>
  </si>
  <si>
    <t>P1</t>
  </si>
  <si>
    <t>P2</t>
  </si>
  <si>
    <t>P3</t>
  </si>
  <si>
    <t>P4</t>
  </si>
  <si>
    <t>P5</t>
  </si>
  <si>
    <t>P6</t>
  </si>
  <si>
    <t>P7</t>
  </si>
  <si>
    <t>P8</t>
  </si>
  <si>
    <t>P9</t>
  </si>
  <si>
    <t>P10</t>
  </si>
  <si>
    <t>P11</t>
  </si>
  <si>
    <t>P12</t>
  </si>
  <si>
    <t>P13</t>
  </si>
  <si>
    <t>P14</t>
  </si>
  <si>
    <t>Bloque P
Score (0-1)</t>
  </si>
  <si>
    <t>ISA-PactoVerde
(0-1)</t>
  </si>
  <si>
    <t>RUC</t>
  </si>
  <si>
    <t>Razón Social (SUNAT)</t>
  </si>
  <si>
    <t>Depto</t>
  </si>
  <si>
    <t>Producto</t>
  </si>
  <si>
    <t>FOB Total USD</t>
  </si>
  <si>
    <t>N° DUAs</t>
  </si>
  <si>
    <t>Exporta</t>
  </si>
  <si>
    <t>Cert. Orgánica</t>
  </si>
  <si>
    <t>Cert. Fairtrade</t>
  </si>
  <si>
    <t>Estado SUNAT</t>
  </si>
  <si>
    <t>Avance EUDR</t>
  </si>
  <si>
    <t>FOB UE USD</t>
  </si>
  <si>
    <t>% UE/FOB</t>
  </si>
  <si>
    <t>HS Code principal</t>
  </si>
  <si>
    <t>Score Cert (0-1)</t>
  </si>
  <si>
    <t>Tipo org.</t>
  </si>
  <si>
    <t>N° aprox. socios</t>
  </si>
  <si>
    <t>Hectáreas aprox.</t>
  </si>
  <si>
    <t>PVE Score (0-100)</t>
  </si>
  <si>
    <t>Clasificación</t>
  </si>
  <si>
    <t>D3 Score (OSCE)</t>
  </si>
  <si>
    <t>D3 Observación</t>
  </si>
  <si>
    <t>D12 — Huella Carbono
0=Sin medición
1=En curso (ha conocidas)
2=Certificado
─────────────────────
NOTA: Valor actual = proxy FAO/IPCC
(ha × factor IPCC/FAO por cultivo).
Reemplazar tras Instrumento 2 Q40-Q44.</t>
  </si>
  <si>
    <t>Reporte Sostenibilidad (D13)
0=No, 1=En curso, 2=Publicado</t>
  </si>
  <si>
    <t>Economía Circular (D14)
0=No, 1=En transición, 2=Avanzado</t>
  </si>
  <si>
    <t>Fitosanitario/LMR (D15)
0=No verificado, 1=En monitoreo, 2=Cumple UE</t>
  </si>
  <si>
    <t>P1 — Productividad (USD/ha/año)</t>
  </si>
  <si>
    <t>P2 — Ingreso neto (USD/ha)</t>
  </si>
  <si>
    <t>P3 — % socios con acceso crédito</t>
  </si>
  <si>
    <t>P4 — Gender score (% muj. en org.)</t>
  </si>
  <si>
    <t>P5 — Formalización laboral (%)</t>
  </si>
  <si>
    <t>P6 — Capacitación/año/persona</t>
  </si>
  <si>
    <t>P7 — Tasa retención socios (%)</t>
  </si>
  <si>
    <t>P8 — Diversificación ingresos (%)</t>
  </si>
  <si>
    <t>P9 — Acceso mercados premium (%)</t>
  </si>
  <si>
    <t>P10 — Inversión EUDR (USD/año)</t>
  </si>
  <si>
    <t>P11 — Score trazabilidad (%)</t>
  </si>
  <si>
    <t>P12 — Quejas resueltas (%)</t>
  </si>
  <si>
    <t>P13 — Energía renovable (%)</t>
  </si>
  <si>
    <t>P14 — Residuos gestionados (%)</t>
  </si>
  <si>
    <t>ISA-PactoVerde (ponderado) = EXP_UE 20% + TRAZA 16% + DILIG 12% + CAPAC 8% + PRESION 12% + CERTIF 8% + PPWR 4% + AMBIENTAL(D12-D15) 20% (pesos en PONDERADORES)
0=Nada, 1=Preparación total</t>
  </si>
  <si>
    <t>20118578415</t>
  </si>
  <si>
    <t>CENT.DE COOP.AGR. CAF.VALLES SANDIA LTDA</t>
  </si>
  <si>
    <t>PUNO</t>
  </si>
  <si>
    <t>CAFÉ</t>
  </si>
  <si>
    <t>SI</t>
  </si>
  <si>
    <t>ACTIVO</t>
  </si>
  <si>
    <t>PENDIENTE</t>
  </si>
  <si>
    <t>Sin hallazgos OSCE / OEFA</t>
  </si>
  <si>
    <t>20129156083</t>
  </si>
  <si>
    <t>COOP AGRARIA CAFET VALLE RIO APURIMAC</t>
  </si>
  <si>
    <t>AYACUCHO</t>
  </si>
  <si>
    <t>CACAO</t>
  </si>
  <si>
    <t>NO</t>
  </si>
  <si>
    <t>20129529530</t>
  </si>
  <si>
    <t>COOP AGRARIA CAFETALERA SATIPO LTDA</t>
  </si>
  <si>
    <t>JUNIN</t>
  </si>
  <si>
    <t>20132489824</t>
  </si>
  <si>
    <t>COOPERATIVA AGRARIA CAFETALERA CHANCAMAYO LTDA. N° 008-B-VII</t>
  </si>
  <si>
    <t>CUSCO</t>
  </si>
  <si>
    <t>20132505455</t>
  </si>
  <si>
    <t>COOPERATIVA AGRARIA CAFETALERA AGUILAYOC LTDA. 084</t>
  </si>
  <si>
    <t>0.75</t>
  </si>
  <si>
    <t>20132509795</t>
  </si>
  <si>
    <t>COOPERATIVA AGRARIA CAFETALERA JOSE OLAYA LTDA N° 252</t>
  </si>
  <si>
    <t>20132509876</t>
  </si>
  <si>
    <t>COOPERATIVA AGRARIA CAFETALERA MARANURA LTDA. 129</t>
  </si>
  <si>
    <t>20132517119</t>
  </si>
  <si>
    <t>COOPERATIVA AGRARIA CAFETALERA MATEO PUMACAHUA LTDA N° 185</t>
  </si>
  <si>
    <t>20136201132</t>
  </si>
  <si>
    <t>COOPERATIVA AGRARIA CAFETALERA ALTO URUBAMBA LTDA N° 239</t>
  </si>
  <si>
    <t>20136201213</t>
  </si>
  <si>
    <t xml:space="preserve">CENTRAL DE COOPERATIVAS AGRARIAS CAFETALERAS COCLA LTDA. N° </t>
  </si>
  <si>
    <t>⚠ 1 infracc. ambiental (OEFA)</t>
  </si>
  <si>
    <t>20140292657</t>
  </si>
  <si>
    <t>COOPERATIVA AGRARIA CAFETALERA CCOCHAPAMPA LTDA.</t>
  </si>
  <si>
    <t>20143692010</t>
  </si>
  <si>
    <t>COOPERATIVA AGRARIA EL QUINACHO LTDA. N° 078</t>
  </si>
  <si>
    <t>20145484597</t>
  </si>
  <si>
    <t>COOPERATIVA AGRARIA CAFETALERA SAN IGNACIO LTDA.</t>
  </si>
  <si>
    <t>20146696041</t>
  </si>
  <si>
    <t>COOP AGRARIA CAFET JOSE GABRIEL CONDORCA</t>
  </si>
  <si>
    <t>PIURA</t>
  </si>
  <si>
    <t>20147443120</t>
  </si>
  <si>
    <t>COOPERATIVA AGRARIA CAFETALERA TIRIJUAY PAVAYOC LTDA 013-B-V</t>
  </si>
  <si>
    <t>SUSPENSION TEMPORAL</t>
  </si>
  <si>
    <t>20166786861</t>
  </si>
  <si>
    <t>COMITE CENTRAL DE PRODUCTORES AGROPECUARIOS DE SAN ALEJANDRO</t>
  </si>
  <si>
    <t>UCAYALI</t>
  </si>
  <si>
    <t>20170142773</t>
  </si>
  <si>
    <t>COOPERATIVA AGRARIA CAFETALERA BAGUA GRANDE LIMITADA</t>
  </si>
  <si>
    <t>AMAZONAS</t>
  </si>
  <si>
    <t>20200880448</t>
  </si>
  <si>
    <t>COOPERATIVA AGRARIA CAFETALERA JORGE CHAVEZ LTDA</t>
  </si>
  <si>
    <t>20352417018</t>
  </si>
  <si>
    <t>COOPERATIVA AGRARIA DE CACAOTEROS TECNIFICADOS DE PADRE ABAD</t>
  </si>
  <si>
    <t>20352423921</t>
  </si>
  <si>
    <t>COOPERATIVA AGRARIA CAFETALERA DIVISORIA LTDA</t>
  </si>
  <si>
    <t>HUANUCO</t>
  </si>
  <si>
    <t>20393152207</t>
  </si>
  <si>
    <t>COOPERATIVA AGRO INDUSTRIAL APCTVASH</t>
  </si>
  <si>
    <t>20393593670</t>
  </si>
  <si>
    <t>COMITE CENTRAL CON DESARROLLO AL FUTURO DE CURIMANA</t>
  </si>
  <si>
    <t>BAJA DE OFICIO</t>
  </si>
  <si>
    <t>20393692228</t>
  </si>
  <si>
    <t>COOPERATIVA AGRARIA CACAOTERA SAN ALEJANDRO LTDA</t>
  </si>
  <si>
    <t>20393786044</t>
  </si>
  <si>
    <t>COOPERATIVA AGRARIA CAFETALERA COORDILLERA AZUL DE UCAYALI L</t>
  </si>
  <si>
    <t>20393816211</t>
  </si>
  <si>
    <t>COOPERATIVA AGRARIA SAN JUAN BAUTISTA</t>
  </si>
  <si>
    <t>20393882868</t>
  </si>
  <si>
    <t>COOPERATIVA AGRARIA ASCAH</t>
  </si>
  <si>
    <t>20393972000</t>
  </si>
  <si>
    <t>ASOCIACION DE MUJERES EMPRENDEDORAS FLOR DE BOQUERON</t>
  </si>
  <si>
    <t>20447888701</t>
  </si>
  <si>
    <t>COOPERATIVA AGRARIA INDUSTRIAL SAN GABAN LTDA.</t>
  </si>
  <si>
    <t>20450189201</t>
  </si>
  <si>
    <t>COOPERATIVA DE SERVICIOS MULTIPLES FRUTOS DE SELVA</t>
  </si>
  <si>
    <t>SAN MARTIN</t>
  </si>
  <si>
    <t>20450207544</t>
  </si>
  <si>
    <t>COOPERATIVA AGRARIA UCHIZA LTDA</t>
  </si>
  <si>
    <t>20450242021</t>
  </si>
  <si>
    <t>COOPERATIVA DE SERVICIOS MULTIPLES CAPEMA</t>
  </si>
  <si>
    <t>20450319423</t>
  </si>
  <si>
    <t>COOPERATIVA AGRARIA DE SERVICIOS MULTIPLES CAFE DONCEL</t>
  </si>
  <si>
    <t>20452774705</t>
  </si>
  <si>
    <t>COOPERATIVA AGRARIA CACAO VRAE</t>
  </si>
  <si>
    <t>20479595276</t>
  </si>
  <si>
    <t>COOPERATIVA AGRARIA CAFETALERA CASIL LTDA.</t>
  </si>
  <si>
    <t>CAJAMARCA</t>
  </si>
  <si>
    <t>20479622699</t>
  </si>
  <si>
    <t>COOPERATIVA AGRARIA JUAN MARCO EL PALTO</t>
  </si>
  <si>
    <t>20479856258</t>
  </si>
  <si>
    <t>ASOCIACION DE PRODUCTORES AGROPECUARIOS LUIS SOLIBARRIA</t>
  </si>
  <si>
    <t>20479917141</t>
  </si>
  <si>
    <t>COOPERATIVA AGRARIA CENTRAL DE PRODUCTORES DE AMAZONAS</t>
  </si>
  <si>
    <t>20480458550</t>
  </si>
  <si>
    <t>COOPERATIVA AGRARIA APROCAM</t>
  </si>
  <si>
    <t>20480762895</t>
  </si>
  <si>
    <t>ASOCIACION DE PRODUCTORES AGROPECUARIOS LA FLOR DE CAFE</t>
  </si>
  <si>
    <t>20484163902</t>
  </si>
  <si>
    <t>COOPERATIVA AGRARIA APPROCAP LTDA</t>
  </si>
  <si>
    <t>20485945815</t>
  </si>
  <si>
    <t>COOPERATIVA AGRARIA CAFETALERA ECOLOGICO ALTO PALOMAR</t>
  </si>
  <si>
    <t>20486094657</t>
  </si>
  <si>
    <t>ASOCIACION DE PRODUCTORES DE CAFES ESPECIALES MOUNTAIN COFFE</t>
  </si>
  <si>
    <t>20486255090</t>
  </si>
  <si>
    <t>COOPERATIVA AGRARIA SANGARENI</t>
  </si>
  <si>
    <t>20486668335</t>
  </si>
  <si>
    <t>COOPERATIVA AGROINDUSTRIAL SONOMORO LTDA</t>
  </si>
  <si>
    <t>20486876019</t>
  </si>
  <si>
    <t>COOPERATIVA AGROECOLOGICO INDUSTRIAL MAZAMARI LTDA</t>
  </si>
  <si>
    <t>20486973219</t>
  </si>
  <si>
    <t>COOPERATIVA AGRARIA SONOMORO DEL VRAEM LTDA</t>
  </si>
  <si>
    <t>20487242994</t>
  </si>
  <si>
    <t>COOPERATIVA AGRARIA ECOLOGICA CACAOTERA VALLE RIO ENE - COOP</t>
  </si>
  <si>
    <t>20487351343</t>
  </si>
  <si>
    <t>ASOCIACION DE PRODUCTORES AGROPECUARIOS TUPAC AMARU DE CHIÑA</t>
  </si>
  <si>
    <t>LAMBAYEQUE</t>
  </si>
  <si>
    <t>20487661539</t>
  </si>
  <si>
    <t>ASOCIACION DE PRODUCTORES CACAOTEROS DEL DISTRITO DE HUARANG</t>
  </si>
  <si>
    <t>20490726196</t>
  </si>
  <si>
    <t>ASOCIACIÓN DE PRODUCTORES AGROPECUARIOS VALLESITO - CHAHUARE</t>
  </si>
  <si>
    <t>20493934822</t>
  </si>
  <si>
    <t>COOPERATIVA AGRARIA NUEVO AMANECER LTDA.</t>
  </si>
  <si>
    <t>20493959574</t>
  </si>
  <si>
    <t>COOPERATIVA AGRARIA DE SERVICIOS MUJERES TECNOLOGAS CACAOTER</t>
  </si>
  <si>
    <t>20494126819</t>
  </si>
  <si>
    <t>ASOCIACION DE PRODUCTORES AGROPECUARIOS RIO MAYO SHANAO</t>
  </si>
  <si>
    <t>20494145791</t>
  </si>
  <si>
    <t>ASOCIACION ECOLOGICA Y DE PRODUCTORES AGROPECUARIOS SAN JOSE</t>
  </si>
  <si>
    <t>LORETO</t>
  </si>
  <si>
    <t>20494699690</t>
  </si>
  <si>
    <t>ASOCIACION DE PRODUCTORES DE CACAO ECOLOGICO DE KIMBIRI - AP</t>
  </si>
  <si>
    <t>20525969551</t>
  </si>
  <si>
    <t>COOPERATIVA AGRARIA DE PRODUCTORES DE BANANO, CACAO ORGANICO</t>
  </si>
  <si>
    <t>20526514689</t>
  </si>
  <si>
    <t>ASOCIACION DE PRODUCTORES AGROPECUARIOS ARTESANALES E INDUST</t>
  </si>
  <si>
    <t>20527565376</t>
  </si>
  <si>
    <t>COOPERATIVA AGRARIA CAFETALERA VALLE DE INCAHUASI</t>
  </si>
  <si>
    <t>APURIMAC</t>
  </si>
  <si>
    <t>20528996214</t>
  </si>
  <si>
    <t>COOPERATIVA AGRARIA CAFETALERA MILAGROS - MONZON</t>
  </si>
  <si>
    <t>20529801433</t>
  </si>
  <si>
    <t>OPA MARAY-ULLMA SAN LORENZO</t>
  </si>
  <si>
    <t>20529822350</t>
  </si>
  <si>
    <t>OPA PAPAYO - LA LAGUNA</t>
  </si>
  <si>
    <t>20531405723</t>
  </si>
  <si>
    <t>COOPERATIVA DE SERVICIOS MULTIPLES ADISA NARANJOS</t>
  </si>
  <si>
    <t>20531441797</t>
  </si>
  <si>
    <t>COOPERATIVA AGRARIA ALLIMA CACAO LTDA.</t>
  </si>
  <si>
    <t>20534524774</t>
  </si>
  <si>
    <t>COOPERATIVA AGRARIA TROPICAL ECOLOGICA DE KIMBIRI</t>
  </si>
  <si>
    <t>20539205600</t>
  </si>
  <si>
    <t>ASOCIACION DE PRODUCTORES Y EXPORTADORES DE CAFE RODRIGUEZ D</t>
  </si>
  <si>
    <t>20539241665</t>
  </si>
  <si>
    <t>ASOCIACION DE PRODUCTORES DE CAFES ORGANICOS Y CAFES ESPECIA</t>
  </si>
  <si>
    <t>20539280644</t>
  </si>
  <si>
    <t>ASOCIACION DE PEQUEÑOS AGRICULTORES PARA LA PRODUCCION ECOLO</t>
  </si>
  <si>
    <t>20542209951</t>
  </si>
  <si>
    <t>COOPERATIVA AGRARIA VALLE GRANDE</t>
  </si>
  <si>
    <t>1</t>
  </si>
  <si>
    <t>20542251990</t>
  </si>
  <si>
    <t>ASOCIACION DE MUJERES EMPRENDEDORAS DE NUEVO PROGRESO</t>
  </si>
  <si>
    <t>20542257416</t>
  </si>
  <si>
    <t>EMPRESA INDUSTRIAL ORO VERDE SOCIEDAD ANONIMA CERRADA</t>
  </si>
  <si>
    <t>20542264544</t>
  </si>
  <si>
    <t>COOPERATIVA AGRARIA VALLE DEL BIAVO LTDA</t>
  </si>
  <si>
    <t>20542289024</t>
  </si>
  <si>
    <t>CUENCAS DEL HUALLAGA ASOCIACION DE PRODUCTORES AGROPECUARIOS</t>
  </si>
  <si>
    <t>20542299330</t>
  </si>
  <si>
    <t xml:space="preserve">ASOCIACION DE PRODUCTORES AGROPECUARIOS DE SHUCUSHYACU FLOR </t>
  </si>
  <si>
    <t>20542311569</t>
  </si>
  <si>
    <t>COOPERATIVA AGRARIA ACHUAR SHAKAIM LTDA</t>
  </si>
  <si>
    <t>20542380455</t>
  </si>
  <si>
    <t>COOPERATIVA AGRARIA ECOFOREST</t>
  </si>
  <si>
    <t>20542482886</t>
  </si>
  <si>
    <t>COOPERATIVA AGROINDUSTRIAL APCCA</t>
  </si>
  <si>
    <t>20542825163</t>
  </si>
  <si>
    <t>COOPERATIVA AGRARIA CACAO FINO AGROBOSQUE</t>
  </si>
  <si>
    <t>MADRE DE DIOS</t>
  </si>
  <si>
    <t>20561140091</t>
  </si>
  <si>
    <t>COOPERATIVA AGRARIA ECOLOGICA CAFETALERA DE LONYA GRANDE</t>
  </si>
  <si>
    <t>0.5</t>
  </si>
  <si>
    <t>20564032485</t>
  </si>
  <si>
    <t>ASOCIACION DE PRODUCTORES ECOLOGICOS DE CACAO MEDIO URUBAMBA</t>
  </si>
  <si>
    <t>20568071281</t>
  </si>
  <si>
    <t>COOPERATIVA AGRARIA CAFETALERA CEPRO YANESHA</t>
  </si>
  <si>
    <t>PASCO</t>
  </si>
  <si>
    <t>20568080948</t>
  </si>
  <si>
    <t>CONSEJO REGULADOR DE LA DENOMINACION DE ORIGEN CAFE VILLA RI</t>
  </si>
  <si>
    <t>20568190450</t>
  </si>
  <si>
    <t>COOPERATIVA AGRARIA KEMITO ENE LTDA. - KEMITO ENE</t>
  </si>
  <si>
    <t>20568194951</t>
  </si>
  <si>
    <t>ASOCIACION DE PRODUCTORES AGROSOSTENIBLES VILLA ECOLOGICA PE</t>
  </si>
  <si>
    <t>20568428375</t>
  </si>
  <si>
    <t>COOPERATIVA AGRARIA ASHANINKA DEL VALLE PICHIS</t>
  </si>
  <si>
    <t>20568549083</t>
  </si>
  <si>
    <t>COOPERATIVA AGRARIA INDUSTRIAL APASC SANCORE-PALCAZU LTDA</t>
  </si>
  <si>
    <t>20568560133</t>
  </si>
  <si>
    <t>COOPERATIVA AGRARIA ECOLOGICO ALTO PALCAZU LAGUNA RAYA</t>
  </si>
  <si>
    <t>20568567731</t>
  </si>
  <si>
    <t>COOPERATIVA AGRARIA VILLA RICA GOLDEN COFFEE LTDA.</t>
  </si>
  <si>
    <t>20568609833</t>
  </si>
  <si>
    <t xml:space="preserve">ASOCIACION DE MUJERES PRODUCTORAS ARTESANAS CACAO JENTARI - </t>
  </si>
  <si>
    <t>20568962282</t>
  </si>
  <si>
    <t>ASOCIACIÓN DE PRODUCTORES CENTRO COFFEE</t>
  </si>
  <si>
    <t>20570706927</t>
  </si>
  <si>
    <t>COOPERATIVA AGRARIA RUTAS DEL INCA</t>
  </si>
  <si>
    <t>20572111131</t>
  </si>
  <si>
    <t>ASOCIACION DE MUJERES ORGANIZADAS CHOCO WARMIS</t>
  </si>
  <si>
    <t>20572190251</t>
  </si>
  <si>
    <t>CENTRAL DE COOPERATIVAS AGRARIAS CACAO AROMA DE TOCACHE LTDA</t>
  </si>
  <si>
    <t>20573049102</t>
  </si>
  <si>
    <t>COOPERATIVA AGRARIA CACAOTERA PUERTO INCA</t>
  </si>
  <si>
    <t>20573057385</t>
  </si>
  <si>
    <t>COOPERATIVA AGRARIA PARAISO</t>
  </si>
  <si>
    <t>20573138202</t>
  </si>
  <si>
    <t>ASOCIACION DE PRODUCTORES AGROPECUARIOS Y FORESTALES EL ALVA</t>
  </si>
  <si>
    <t>20573260008</t>
  </si>
  <si>
    <t>COOPERATIVA AGRARIA AUCAYACU</t>
  </si>
  <si>
    <t>20573344791</t>
  </si>
  <si>
    <t>ASOCIACION AGROECOLOGICO HUANGANAPAMPA</t>
  </si>
  <si>
    <t>PLÁTANO</t>
  </si>
  <si>
    <t>20574797013</t>
  </si>
  <si>
    <t>ASOCIACION DE PRODUCTORES AGROPECUARIOS DE PARAISO CENTRAL</t>
  </si>
  <si>
    <t>20600001109</t>
  </si>
  <si>
    <t>COOPERATIVA AGRARIA CAFETALERA PRODUCTORA COMERCIAL EXPORTAD</t>
  </si>
  <si>
    <t>20600010086</t>
  </si>
  <si>
    <t>COOPERATIVA AGRARIA VALLE DEL CUCHARA LTDA</t>
  </si>
  <si>
    <t>20600029887</t>
  </si>
  <si>
    <t>COOPERATIVA AGRARIA INTEGRAL LUZ DE LA ESPERANZA</t>
  </si>
  <si>
    <t>20600146689</t>
  </si>
  <si>
    <t>COOPERATIVA AGRARIA DE SERVICIOS AGRICOLAS TAMBOPATA CANDAMO</t>
  </si>
  <si>
    <t>20600200756</t>
  </si>
  <si>
    <t>COOPERATIVA AGRARIA CAFETALERA MONTAÑA AZUL LTDA. - COOPACMA</t>
  </si>
  <si>
    <t>20600263286</t>
  </si>
  <si>
    <t>ASOCIACIÓN DE PRODUCTORES SELVA NORORIENTAL</t>
  </si>
  <si>
    <t>20600382064</t>
  </si>
  <si>
    <t>COOPERATIVA AGRARIA ECOLOGICA AGROINDUSTRIAL DE CURIMANA LTD</t>
  </si>
  <si>
    <t>20600390911</t>
  </si>
  <si>
    <t>COOPERATIVA AGRARIA DE CACAO AROMATICO COLPA DE LOROS</t>
  </si>
  <si>
    <t>20600529693</t>
  </si>
  <si>
    <t>AGRO ASOCIACION Y SERVICIOS TINKUY</t>
  </si>
  <si>
    <t>20600668430</t>
  </si>
  <si>
    <t>COOPERATIVA AGRARIA DEL CENTRO POBLADO DE BELLA BAJO MONZON</t>
  </si>
  <si>
    <t>20600682386</t>
  </si>
  <si>
    <t>ASOCIACION DE PRODUCTORES AGROPECUARIOS VALLE VERDE DE RODRI</t>
  </si>
  <si>
    <t>20600720733</t>
  </si>
  <si>
    <t>COOPERATIVA AGRARIA VALLE DEL MONZON CAV MONZON</t>
  </si>
  <si>
    <t>20600785541</t>
  </si>
  <si>
    <t>ASOCIACION DE PRODUCTORES CAFETALEROS ANDINOS SIERRA VERDE</t>
  </si>
  <si>
    <t>20600796683</t>
  </si>
  <si>
    <t>ASOCIACION DE PRODUCTORES DE CACAO SAN FRANCISCO MADRE DE DI</t>
  </si>
  <si>
    <t>20600796721</t>
  </si>
  <si>
    <t>ASOCIACIÓN DE PRODUCTORES AMAZONAS - ALTO MAYO</t>
  </si>
  <si>
    <t>20600874919</t>
  </si>
  <si>
    <t>COOPERATIVA AGRARIA DE LA INTER OCEANICA LIMITADA</t>
  </si>
  <si>
    <t>20600964080</t>
  </si>
  <si>
    <t>ASOCIACION DE AGRICULTORES KERGUERANOS</t>
  </si>
  <si>
    <t>20601067146</t>
  </si>
  <si>
    <t>COOPERATIVA AGRARIA INDUSTRIAL MONTE ALEGRE - REGION UCAYALI</t>
  </si>
  <si>
    <t>20601119316</t>
  </si>
  <si>
    <t>COOPERATIVA DE PRODUCTORES DE CACAO FINO Y DE AROMA</t>
  </si>
  <si>
    <t>20601186986</t>
  </si>
  <si>
    <t>COOPERATIVA AGRARIA LOS AMBIENTALISTAS LTDA</t>
  </si>
  <si>
    <t>20601329159</t>
  </si>
  <si>
    <t>COOPERATIVA AGRARIA CAFETALERA DE LA NACION YANESHA</t>
  </si>
  <si>
    <t>20601339090</t>
  </si>
  <si>
    <t>COOPERATIVA AGROINDUSTRIAL CAFETALERA CACOTERA MONZON LTDA</t>
  </si>
  <si>
    <t>20601537771</t>
  </si>
  <si>
    <t>ASOCIACION DE PRODUCTORES SOSTENIBLES EL AYNI</t>
  </si>
  <si>
    <t>20601558204</t>
  </si>
  <si>
    <t>COOPERATIVA AGRARIA CAFETALERA OCUMAL</t>
  </si>
  <si>
    <t>50 %</t>
  </si>
  <si>
    <t>20601667526</t>
  </si>
  <si>
    <t>COOP BESACARI - PERU</t>
  </si>
  <si>
    <t>20601919657</t>
  </si>
  <si>
    <t>COOPERATIVA AGRARIA INNOVACION CACAO Y CAFE DEL VRAEM</t>
  </si>
  <si>
    <t>20601939402</t>
  </si>
  <si>
    <t>COOPERATIVA AGRARIA ASHANINKA KEMITO SANKORI LTDA</t>
  </si>
  <si>
    <t>20601958911</t>
  </si>
  <si>
    <t>COOPERATIVA AGRARIA CAFETALERA LAGUNA DE LOS CÓNDORES</t>
  </si>
  <si>
    <t>20602047025</t>
  </si>
  <si>
    <t>ASOCIACION DE MUJERES CHOCOLATERAS CHOCOLATE CORAZON DE NOLB</t>
  </si>
  <si>
    <t>20602054480</t>
  </si>
  <si>
    <t>COOPERATIVA AGRARIA ECOLOGICA DE MUJERES CAFETALERAS VILLA R</t>
  </si>
  <si>
    <t>Empadronados PPA 64.8%</t>
  </si>
  <si>
    <t>20602161081</t>
  </si>
  <si>
    <t>APROVAPERU</t>
  </si>
  <si>
    <t>20602194265</t>
  </si>
  <si>
    <t>ASOCIACION DE AGRICULTORES DE CACAO Y REFORESTADORES DE CURI</t>
  </si>
  <si>
    <t>20602242464</t>
  </si>
  <si>
    <t>COOPERATIVA AGROPECUARIA MARCELINO VASQUEZ HUAMAN - COOPAMAV</t>
  </si>
  <si>
    <t>20602488927</t>
  </si>
  <si>
    <t>COOPERATIVA AGRARIA ECOLOGICO ROSAS PAMPA LTDA - CAECO ROSAS</t>
  </si>
  <si>
    <t>0.93</t>
  </si>
  <si>
    <t>20602650643</t>
  </si>
  <si>
    <t>ASOCIACIÓN AGROEXPORTADORA DE LA REGIÓN SAN MARTÍN</t>
  </si>
  <si>
    <t>0.8</t>
  </si>
  <si>
    <t>20602712657</t>
  </si>
  <si>
    <t>COOPERATIVA AGRARIA CAFETALERA RIO TAMBO LIMITADA</t>
  </si>
  <si>
    <t>20602881971</t>
  </si>
  <si>
    <t>ASOCIACION DE PRODUCTORES AGRARIOS DE CACAO (APAC) ECHALACPE</t>
  </si>
  <si>
    <t>20603320621</t>
  </si>
  <si>
    <t>COOPERATIVA AGRARIA CAFETALERA ALTA MONTAÑA</t>
  </si>
  <si>
    <t>20603526423</t>
  </si>
  <si>
    <t>COOPERATIVA AGROINDUSTRIAL PERLA DEL HUALLAGA LTDA - CAPH LT</t>
  </si>
  <si>
    <t>20603557825</t>
  </si>
  <si>
    <t>COOPERATIVA AGRARIA KAFFEE SATIPO</t>
  </si>
  <si>
    <t>20603675551</t>
  </si>
  <si>
    <t xml:space="preserve">ASOCIACION DE PRODUCTORES AGROPECUARIOS MADRE SELVA - LACCO </t>
  </si>
  <si>
    <t>20603676476</t>
  </si>
  <si>
    <t>ASOCIACION DE PRODUCTORES AGROPECUARIOS PONGO MAYNIQUE DE LA</t>
  </si>
  <si>
    <t>20603820691</t>
  </si>
  <si>
    <t>COOPERATIVA AGRARIA DE SERVICIOS MULTIPLES CORDILLERA AZUL -</t>
  </si>
  <si>
    <t>20603829515</t>
  </si>
  <si>
    <t>ASOCIACION DE PRODUCTORES AGROPECUARIOS LOS NOGALES ALTO ITA</t>
  </si>
  <si>
    <t>20603842511</t>
  </si>
  <si>
    <t>ASOCIACION DE PRODUCTORES AGROPECUARIOS RIQ´CHARI DE TINTINI</t>
  </si>
  <si>
    <t>20603862369</t>
  </si>
  <si>
    <t>COOPERATIVA AGRARIA TROPICALS PRODUCTS</t>
  </si>
  <si>
    <t>20604151954</t>
  </si>
  <si>
    <t>COOPERATIVA AGRARIA DE SERVICIOS MULTIPLES SUR ORIENTE - COO</t>
  </si>
  <si>
    <t>20604215600</t>
  </si>
  <si>
    <t xml:space="preserve">ASOCIACION DE PRODUCTORES DE CACAO ECOLOGICO DE DISTRITO DE </t>
  </si>
  <si>
    <t>20604309728</t>
  </si>
  <si>
    <t>ASOCIACION DE PRODUCTORES CAFETALEROS AGROECOLOGICOS SAN JUA</t>
  </si>
  <si>
    <t>20604401187</t>
  </si>
  <si>
    <t>ORGANIZACION ZONAL SAN MIGUEL DEL FAIQUE</t>
  </si>
  <si>
    <t>20604705411</t>
  </si>
  <si>
    <t>COOPERATIVA AGRARIA CRUZ DE YANAHUANCA</t>
  </si>
  <si>
    <t>20604988200</t>
  </si>
  <si>
    <t>ASOCIACION DE PRODUCTORES DE CACAO CCAPAQKILLA</t>
  </si>
  <si>
    <t>20605228489</t>
  </si>
  <si>
    <t xml:space="preserve">ASOCIACION AGROINDUSTRIAL DE MUJERES PRODUCTORAS DE CACAO Y </t>
  </si>
  <si>
    <t>20605500430</t>
  </si>
  <si>
    <t>COOPERATIVA AGRARIA DE PRODUCTORES ECOLOGICOS LOS CHANKAS VA</t>
  </si>
  <si>
    <t>20605688170</t>
  </si>
  <si>
    <t>COOPERATIVA AGRARIA ALEXANDER VON HUMBOLDT LTDA</t>
  </si>
  <si>
    <t>20606041382</t>
  </si>
  <si>
    <t>ASOCIACION AROMA DE MUJER LLAQUE</t>
  </si>
  <si>
    <t>20606451122</t>
  </si>
  <si>
    <t>ASOCIACIÓN DE PRODUCTORES CERRO BLANCO</t>
  </si>
  <si>
    <t>0.7</t>
  </si>
  <si>
    <t>20606485281</t>
  </si>
  <si>
    <t>COOPERATIVA AGROINDUSTRIAL DE LA GRAN NACION ASHANINKA</t>
  </si>
  <si>
    <t>20606556331</t>
  </si>
  <si>
    <t>ASOCIACIÓN ABISEO SAN MARTIN - ASABISAM</t>
  </si>
  <si>
    <t>20606717475</t>
  </si>
  <si>
    <t>ASOCIACION DE PEQUEÑOS PRODUCTORES AGROPECUARIOS ULLMA</t>
  </si>
  <si>
    <t>BAJA PROV. POR OFICIO</t>
  </si>
  <si>
    <t>20607265624</t>
  </si>
  <si>
    <t>ASOCIACION DE PEQUEÑOS PRODUCTORES AGROPECUARIOS PENACHI-KER</t>
  </si>
  <si>
    <t>20607382604</t>
  </si>
  <si>
    <t>ASOCIACION DE PEQUEÑOS PRODUCTORES AGROPECUARIOS SAN LORENZO</t>
  </si>
  <si>
    <t>20607536016</t>
  </si>
  <si>
    <t>COOPERATIVA AGRARIA COOPAGRO LTDA - COOPERATIVA COOPAGRO</t>
  </si>
  <si>
    <t>20607558559</t>
  </si>
  <si>
    <t>COOPERATIVA AGRARIA INDÍGENA AWAJUN WAMPIS TUNTANAIN LTDA</t>
  </si>
  <si>
    <t>20607775185</t>
  </si>
  <si>
    <t>ASOCIACION DE PRODUCTORES ANDINOS SOLIDARIOS-KAÑARIS</t>
  </si>
  <si>
    <t>20608235648</t>
  </si>
  <si>
    <t>ASOCIACIÓN DE PRODUCTORES DE CACAO ORGÁNICO PUSHARO MANU</t>
  </si>
  <si>
    <t>20608294512</t>
  </si>
  <si>
    <t>COOPERATIVA AGRARIA KURI VALLE DEL SISA LTDA</t>
  </si>
  <si>
    <t>20608478311</t>
  </si>
  <si>
    <t>COOPERATIVA AGRARIA YAKATHEO DEL AMAZONAS COOPAYAKAT</t>
  </si>
  <si>
    <t>20609025353</t>
  </si>
  <si>
    <t>ASOCIACION DE PRODUCTORES AGROPERU MANDOVA</t>
  </si>
  <si>
    <t>20609555395</t>
  </si>
  <si>
    <t>COOPERATIVA AGRARIA BANAQUI CURIMANA</t>
  </si>
  <si>
    <t>20609846314</t>
  </si>
  <si>
    <t>COOPERATIVA AGRARIA DE FAMILIAS CAMPESINAS EMPRENDEDORAS Y R</t>
  </si>
  <si>
    <t>20610739491</t>
  </si>
  <si>
    <t>ASOCIACION DE PRODUCTORES AGROPECUARIOS DON ANDRES-AMAZONAS</t>
  </si>
  <si>
    <t>20610772553</t>
  </si>
  <si>
    <t>ASOCIACION DE MUJERES CAFICULTORAS DE CHINYAMA</t>
  </si>
  <si>
    <t>20611316616</t>
  </si>
  <si>
    <t>OTROS</t>
  </si>
  <si>
    <t>20611935243</t>
  </si>
  <si>
    <t>COOPERATIVA AGRARIA ECOLOGICA CANIARI AMAZONICA CAECAM</t>
  </si>
  <si>
    <t>20612331821</t>
  </si>
  <si>
    <t>ASOCIACIÓN DE MUJERES LAS FLORES DE LUYA</t>
  </si>
  <si>
    <t>PLANTILLA ÍNDICE PVE — PACTO VERDE EUROPEO</t>
  </si>
  <si>
    <t>Clasificación de preparación y vulnerabilidad de cooperativas café y cacao ante el EUDR / Pacto Verde Europeo</t>
  </si>
  <si>
    <t>PROPÓSITO</t>
  </si>
  <si>
    <t>Esta plantilla calcula, para cada cooperativa cafetalera o cacaotera, un puntaje de 0 a 100 (ISA-Completo) que resume qué tan preparada está frente al Reglamento Europeo de Deforestación (EUDR) — la norma que desde diciembre de 2026 exige que todo café y cacao exportado a la Unión Europea tenga trazabilidad hasta la parcela de origen — y qué tan vulnerable es a quedar excluida del mercado europeo si no llega preparada a tiempo. Sirve para decidir, con datos y no solo con percepción, a qué organizaciones dar asistencia técnica primero y de qué tipo.</t>
  </si>
  <si>
    <t>CÓMO FUNCIONA</t>
  </si>
  <si>
    <t>El puntaje se arma en dos pasos. Primero, el Índice de Preparación (IP) mide qué tan lista está la organización hoy: documentación, trazabilidad, legalidad, capacidad digital, acceso a mercado. Segundo, el Índice de Vulnerabilidad (IV) mide qué tan expuesta está si no se prepara a tiempo: dependencia del mercado europeo, fragmentación de tierra, informalidad, tipo de organización. Combinando ambos se calcula el Riesgo de Exclusión (RE): una organización muy preparada tiene RE bajo aunque sea estructuralmente vulnerable, porque su preparación ya compensa ese riesgo; una organización sin ninguna preparación traslada toda su vulnerabilidad directamente a riesgo de exclusión. El semáforo (🔴🟡🟢, abajo) traduce el puntaje final a una categoría fácil de comunicar.</t>
  </si>
  <si>
    <t>FLUJO DE USO</t>
  </si>
  <si>
    <t>Paso 1</t>
  </si>
  <si>
    <t>Revisar PONDERADORES — los pesos son editables en celdas amarillas</t>
  </si>
  <si>
    <t>Paso 2</t>
  </si>
  <si>
    <t>Ir a MATRIZ_174 — verificar/actualizar FOB, país destino, certificaciones</t>
  </si>
  <si>
    <t>Paso 3</t>
  </si>
  <si>
    <t>Paso 4</t>
  </si>
  <si>
    <t>Revisar SCORECARDS — el semáforo se actualiza automáticamente</t>
  </si>
  <si>
    <t>Paso 5</t>
  </si>
  <si>
    <t>Usar RADAR_BRECHAS para comparación por departamento</t>
  </si>
  <si>
    <t>SEMÁFORO</t>
  </si>
  <si>
    <t>🔴 Crítico (0–33)</t>
  </si>
  <si>
    <t>La cooperativa no puede generar la declaración EUDR. Riesgo de rechazo en frontera UE desde dic 2026.</t>
  </si>
  <si>
    <t>🟡 Vulnerable (34–66)</t>
  </si>
  <si>
    <t>Tiene infraestructura parcial pero incompleta. Necesita inversión en geolocalización y proceso.</t>
  </si>
  <si>
    <t>🟢 Preparado (67–100)</t>
  </si>
  <si>
    <t>Cumple los requisitos mínimos. Requiere monitoreo de actualización.</t>
  </si>
  <si>
    <t>NOTAS IMPORTANTES</t>
  </si>
  <si>
    <t>Dato faltante no es lo mismo que incumplimiento: si a una organización le falta información en alguna pregunta, el sistema la muestra como "sin dato" (gris), nunca como si cumpliera. Un puntaje bajo por falta de carga no significa que la organización no esté preparada — significa que todavía no se le aplicó el instrumento.</t>
  </si>
  <si>
    <t>Esta plantilla es un instrumento vivo: los pesos en PONDERADORES son editables (celda amarilla) y se ajustarán con un panel de expertos (método AHP) y con los resultados del primer piloto.</t>
  </si>
  <si>
    <t>El RUC es la llave que conecta todas las hojas entre sí: nunca debe quedar vacío, y no se debe reordenar esa columna una vez que se empiece a cargar información real.</t>
  </si>
  <si>
    <t>Cada cambio relevante a esta plantilla debe guardarse como una copia fechada (carpeta respaldos), para poder reconstruir cualquier estado anterior si algo sale mal.</t>
  </si>
  <si>
    <t>GLOSARIO</t>
  </si>
  <si>
    <t>EUDR</t>
  </si>
  <si>
    <t>Reglamento (UE) 2023/1115: la norma europea que exige trazabilidad y legalidad para café y cacao exportado a la UE a partir de diciembre de 2026.</t>
  </si>
  <si>
    <t>Pacto Verde Europeo (PVE)</t>
  </si>
  <si>
    <t>La estrategia más amplia de la Unión Europea para una economía climáticamente neutra. El EUDR es una de sus piezas; el PVE además evalúa huella de carbono, economía circular y envases.</t>
  </si>
  <si>
    <t>ISA (Índice Sintético de Alineamiento)</t>
  </si>
  <si>
    <t>El puntaje final (ISA-Completo, 0-100) que resume la preparación y vulnerabilidad de cada organización frente al EUDR y al Pacto Verde.</t>
  </si>
  <si>
    <t>IP (Índice de Preparación)</t>
  </si>
  <si>
    <t>Qué tan lista está la organización hoy (documentación, trazabilidad, legalidad, capacidad digital, acceso a mercado).</t>
  </si>
  <si>
    <t>IV (Índice de Vulnerabilidad)</t>
  </si>
  <si>
    <t>Qué tan expuesta está la organización si no logra prepararse a tiempo (dependencia del mercado europeo, fragmentación de tierra, informalidad).</t>
  </si>
  <si>
    <t>RE (Riesgo de Exclusión)</t>
  </si>
  <si>
    <t>El riesgo real de quedar fuera del mercado europeo: combina IP e IV — la preparación (IP) modera cuánto de la vulnerabilidad (IV) se vuelve riesgo real.</t>
  </si>
  <si>
    <t>AHP (Proceso de Análisis Jerárquico)</t>
  </si>
  <si>
    <t>Método estándar para que un panel de expertos derive los pesos de un índice a partir de comparaciones por pares, en vez de asumir pesos iguales por defecto.</t>
  </si>
  <si>
    <t>INSTRUMENTO 2 (v0.4, 119 preguntas) — Correspondencia pregunta → destino en esta plantilla</t>
  </si>
  <si>
    <t>Sección</t>
  </si>
  <si>
    <t>ID</t>
  </si>
  <si>
    <t>Bloque / Dimensión</t>
  </si>
  <si>
    <t>Pregunta</t>
  </si>
  <si>
    <t>Tipo de campo</t>
  </si>
  <si>
    <t>Opciones</t>
  </si>
  <si>
    <t>Destino en esta plantilla</t>
  </si>
  <si>
    <t>Sección 0 — Metadata de campo</t>
  </si>
  <si>
    <t>M1</t>
  </si>
  <si>
    <t>Bloque 0 — Ficha de identificación</t>
  </si>
  <si>
    <t>Fecha</t>
  </si>
  <si>
    <t>—</t>
  </si>
  <si>
    <t>Google Sheet de respuestas, col. D (`fecha_aplicacion`)</t>
  </si>
  <si>
    <t>M2</t>
  </si>
  <si>
    <t>Respuesta corta</t>
  </si>
  <si>
    <t>Google Sheet de respuestas, col. E (`encuestador`)</t>
  </si>
  <si>
    <t>M3</t>
  </si>
  <si>
    <t>Lista desplegable</t>
  </si>
  <si>
    <t>Google Form directo / Piggyback GIZ / Piggyback SAFE / Piggyback MIDAGRI / Evento gremial / Otro</t>
  </si>
  <si>
    <t>Google Sheet de respuestas, col. F (`canal_aplicacion`)</t>
  </si>
  <si>
    <t>Sección 1 — Bloque 0: Ficha de identificación</t>
  </si>
  <si>
    <t>B0.1</t>
  </si>
  <si>
    <t>Nombre de la cooperativa / razón social</t>
  </si>
  <si>
    <t>`MATRIZ_174!B` (Razón Social)</t>
  </si>
  <si>
    <t>B0.2</t>
  </si>
  <si>
    <t>Respuesta corta (validación: regex 11 dígitos si el Form lo permite)</t>
  </si>
  <si>
    <t>`MATRIZ_174!A` · `ISCAM_Score!A` · `SCORECARDS!A` — clave de join</t>
  </si>
  <si>
    <t>B0.3</t>
  </si>
  <si>
    <t>Producto(s) exportado(s) (café, cacao, madera, otro — indique código SA si lo conoce)</t>
  </si>
  <si>
    <t>Párrafo</t>
  </si>
  <si>
    <t>`MATRIZ_174!D` (Producto)</t>
  </si>
  <si>
    <t>B0.4</t>
  </si>
  <si>
    <t>N.º de socios productores y hectáreas totales asociadas (indique ambos: "N.º socios: ___ / Hectáreas: ___")</t>
  </si>
  <si>
    <t>`MATRIZ_174!Q` (N.° socios) + `R` (Ha)</t>
  </si>
  <si>
    <t>B0.5</t>
  </si>
  <si>
    <t>¿Exporta directamente a la Unión Europea o a través de un tercero?</t>
  </si>
  <si>
    <t>Opción múltiple</t>
  </si>
  <si>
    <t>Directamente / A través de un tercero</t>
  </si>
  <si>
    <t>`MATRIZ_174!G` (Exporta SI/NO)</t>
  </si>
  <si>
    <t>B0.6</t>
  </si>
  <si>
    <t>Si respondió "a través de un tercero": ¿quién es el comprador que sí exporta a la UE? (deje en blanco si no aplica)</t>
  </si>
  <si>
    <t>Respuesta corta (opcional)</t>
  </si>
  <si>
    <t>Sin destino en la plantilla — registro de auditoría</t>
  </si>
  <si>
    <t>B0.7</t>
  </si>
  <si>
    <t>Volumen anual aproximado destinado a la UE, como % del total exportado</t>
  </si>
  <si>
    <t>Respuesta corta (validación numérica 0-100)</t>
  </si>
  <si>
    <t>`MATRIZ_174!M` (% UE/FOB) — validación cruzada</t>
  </si>
  <si>
    <t>B0.8</t>
  </si>
  <si>
    <t>Destino(s) de sus exportaciones, marcando primero el principal — incluya destinos fuera de la UE</t>
  </si>
  <si>
    <t>Casillas de verificación</t>
  </si>
  <si>
    <t>Alemania / Bélgica / Países Bajos / Francia / Italia / España / Suecia / Dinamarca / Estados Unidos / Japón / China / Otro (especificar)</t>
  </si>
  <si>
    <t>Proxy `destino_principal` (D7); validación vs. DUAs</t>
  </si>
  <si>
    <t>B0.9</t>
  </si>
  <si>
    <t>Certificaciones voluntarias vigentes</t>
  </si>
  <si>
    <t>Rainforest Alliance / Fairtrade / Orgánico / UTZ / Otra / Ninguna</t>
  </si>
  <si>
    <t>`MATRIZ_174!H`/`I` → `O` (Score Cert)</t>
  </si>
  <si>
    <t>B0.10</t>
  </si>
  <si>
    <t>¿Las parcelas de los socios están concentradas en un solo distrito, repartidas en varios distritos de una misma provincia, o dispersas en varias provincias/regiones?</t>
  </si>
  <si>
    <t>Un solo distrito / Varios distritos, misma provincia / Varias provincias o regiones</t>
  </si>
  <si>
    <t>Insumo IV3 — `ISCAM_Score!W`</t>
  </si>
  <si>
    <t>B0.11</t>
  </si>
  <si>
    <t>Distancia aproximada entre las parcelas más alejadas de los socios y el centro de acopio o planta de procesamiento más cercano</t>
  </si>
  <si>
    <t>Menos de 5 km / Entre 5 y 20 km / Entre 20 y 50 km / Más de 50 km / No se ha medido</t>
  </si>
  <si>
    <t>B0.12</t>
  </si>
  <si>
    <t>% de mujeres en la directiva/consejo directivo</t>
  </si>
  <si>
    <t>Insumo IV5 — `ISCAM_Score!Y`</t>
  </si>
  <si>
    <t>B0.13</t>
  </si>
  <si>
    <t>¿Qué porcentaje aproximado de los socios productores opera en zonas clasificadas como de riesgo alto o muy alto de deforestación según el Mapa de Deforestación del MINAM o Global Forest Watch?</t>
  </si>
  <si>
    <t>Menos del 10% / Entre 10% y 30% / Entre 30% y 60% / Más del 60% / No se ha evaluado</t>
  </si>
  <si>
    <t>Insumo IV3/IP3 — `ISCAM_Score!W`/`R`</t>
  </si>
  <si>
    <t>B0.14</t>
  </si>
  <si>
    <t>¿La cooperativa tiene capacidad técnica de verificación directa en campo —personal o prestataire con formación agronómica— para supervisar las prácticas de los socios en sus parcelas de forma periódica?</t>
  </si>
  <si>
    <t>No tiene capacidad de verificación / Parcial, cubre menos de la mitad de los socios / Parcial, cubre más de la mitad / Sí, capacidad suficiente para visitas periódicas a todos los socios</t>
  </si>
  <si>
    <t>B0.15</t>
  </si>
  <si>
    <t>Tipo de organización</t>
  </si>
  <si>
    <t>Asociación / Cooperativa agraria / Cooperativa de servicios / Central o federación de cooperativas / Empresa / Otro (especificar)</t>
  </si>
  <si>
    <t>`MATRIZ_174!P` (Tipo org.)</t>
  </si>
  <si>
    <t>B0.16</t>
  </si>
  <si>
    <t>Departamento (y provincia) donde está registrada la sede de la organización</t>
  </si>
  <si>
    <t>`MATRIZ_174!C` (Depto) — validación SUNAT</t>
  </si>
  <si>
    <t>B0.17</t>
  </si>
  <si>
    <t>¿La organización está inscrita en el RNCA (Registro Nacional de Cooperativas Agrarias)?</t>
  </si>
  <si>
    <t>Sí / En trámite / No / No aplica (no es cooperativa agraria)</t>
  </si>
  <si>
    <t>Insumo IV2 — `ISCAM_Score!V`; proxy `rnca`</t>
  </si>
  <si>
    <t>Sección 2 — Bloque P: Variables de Performance</t>
  </si>
  <si>
    <t>Bloque P — Performance comercial</t>
  </si>
  <si>
    <t>Volumen exportado a la Unión Europea en el último año (especifique unidad —kg o toneladas— y producto si exporta ambos)</t>
  </si>
  <si>
    <t>Insumo IV1 — `ISCAM_Score!U`</t>
  </si>
  <si>
    <t>P1b</t>
  </si>
  <si>
    <t>Volumen TOTAL exportado a todos los destinos (UE y no UE) en el último año, mismo producto y misma unidad que la pregunta anterior</t>
  </si>
  <si>
    <t>Volumen exportado a la Unión Europea hace 3 años, mismo producto (kg o toneladas)</t>
  </si>
  <si>
    <t>No puntúa (retrospectivo)</t>
  </si>
  <si>
    <t>Ingreso total generado por ventas de exportación a la UE en el último año (especifique moneda: S/ o USD)</t>
  </si>
  <si>
    <t>Insumo IV1 — `ISCAM_Score!U`; deriva indicador de desempeño P2</t>
  </si>
  <si>
    <t>N.º de compradores/clientes europeos activos actualmente</t>
  </si>
  <si>
    <t>Respuesta corta (numérica)</t>
  </si>
  <si>
    <t>N.º de compradores/clientes europeos activos hace 3 años</t>
  </si>
  <si>
    <t>Precio promedio pagado al socio productor por kg/quintal en el último año (especifique S/ o USD)</t>
  </si>
  <si>
    <t>Derivada `var_precio_socio`</t>
  </si>
  <si>
    <t>Precio promedio pagado al socio productor por kg/quintal hace 3 años</t>
  </si>
  <si>
    <t>¿Ha tenido algún lote rechazado u observado por un comprador europeo por motivos de trazabilidad/deforestación en los últimos 2 años?</t>
  </si>
  <si>
    <t>Sí / No / No sabe</t>
  </si>
  <si>
    <t>Proxy `reg_rechazos` (D5)</t>
  </si>
  <si>
    <t>Si la respuesta anterior fue "Sí": N.º aproximado de lotes rechazados u observados (deje en blanco si no aplica)</t>
  </si>
  <si>
    <t>Detalle de P8 — no puntúa</t>
  </si>
  <si>
    <t>¿Ha perdido algún contrato o comprador europeo en los últimos 2 años por motivos de cumplimiento (EUDR u otro requisito de sostenibilidad del comprador)?</t>
  </si>
  <si>
    <t>Proxy presión PV del comprador (D7)</t>
  </si>
  <si>
    <t>% del volumen total exportado en el último año que cuenta con trazabilidad completa verificada hasta la parcela de origen (0-100%)</t>
  </si>
  <si>
    <t>`MATRIZ_174!AK` (P11 — Score trazabilidad)</t>
  </si>
  <si>
    <t>N.º de años consecutivos exportando a la Unión Europea, contando el año actual</t>
  </si>
  <si>
    <t>Validación externa — no puntúa</t>
  </si>
  <si>
    <t>¿Algún comprador europeo ha exigido formalmente, en los últimos 2 años, información sobre huella de carbono, LMR de pesticidas u otro requisito de sostenibilidad más allá del EUDR?</t>
  </si>
  <si>
    <t>No / Sí, de forma verbal o informal / Sí, como cuestionario de proveedor o documentación formal / Sí, como cláusula contractual o condición de pago</t>
  </si>
  <si>
    <t>¿La cooperativa ha accedido o intentado acceder a financiamiento verde, crédito de impacto o fondos condicionados a criterios de sostenibilidad del Pacto Verde en los últimos 2 años?</t>
  </si>
  <si>
    <t>No ha intentado / Lo intentó pero no cumplió los criterios / Sí, recibió financiamiento verde / No sabe si aplica a su caso</t>
  </si>
  <si>
    <t>Proxy financiamiento verde (D9)</t>
  </si>
  <si>
    <t>Sección 3 — D1: Clasificación regulatoria</t>
  </si>
  <si>
    <t>D1.1</t>
  </si>
  <si>
    <t>D1 — Clasificación regulatoria</t>
  </si>
  <si>
    <t>¿La cooperativa introduce el producto directamente en el mercado de la UE bajo su propio nombre?</t>
  </si>
  <si>
    <t>Sí / No</t>
  </si>
  <si>
    <t>`ISCAM_Score!E` (D1) — codificación 0/33/66/100</t>
  </si>
  <si>
    <t>D1.2</t>
  </si>
  <si>
    <t>¿Transforma el producto (trilla, tostado, fermentado, aserrío) antes de venderlo?</t>
  </si>
  <si>
    <t>Transforma / No transforma</t>
  </si>
  <si>
    <t>`ISCAM_Score!E` (D1) — contexto de rol</t>
  </si>
  <si>
    <t>D1.3</t>
  </si>
  <si>
    <t>¿Sabe con certeza qué rol le corresponde (operador, operador posterior, comerciante, micro/pequeño operador primario)?</t>
  </si>
  <si>
    <t>Sí con certeza / Idea aproximada / No sabe</t>
  </si>
  <si>
    <t>`ISCAM_Score!E` (D1)</t>
  </si>
  <si>
    <t>D1.4</t>
  </si>
  <si>
    <t>¿Cumple los umbrales de microempresa/pequeña empresa (Directiva 2013/34/UE)?</t>
  </si>
  <si>
    <t>D1.3a</t>
  </si>
  <si>
    <t>*(Rama: solo si D1.3 = "Sí con certeza" o "Idea aproximada")* ¿Cuál es el rol que le corresponde a la organización?</t>
  </si>
  <si>
    <t>Operador / Operador posterior / Comerciante / Micro o pequeño operador primario / No sabe</t>
  </si>
  <si>
    <t>Sección 4 — D2: Trazabilidad y geolocalización</t>
  </si>
  <si>
    <t>D2.5</t>
  </si>
  <si>
    <t>D2 — Trazabilidad y geolocalización</t>
  </si>
  <si>
    <t>¿Existe registro de geolocalización (GPS/polígono) por parcela de socio?</t>
  </si>
  <si>
    <t>Escala lineal 0-4</t>
  </si>
  <si>
    <t>0 = No existe/No sabe … 4 = Implementado y verificado/auditado</t>
  </si>
  <si>
    <t>`ISCAM_Score!F` vía `SCORECARDS!H` (D2)</t>
  </si>
  <si>
    <t>D2.6</t>
  </si>
  <si>
    <t>% de socios con parcela geolocalizada</t>
  </si>
  <si>
    <t>D2.7</t>
  </si>
  <si>
    <t>¿El sistema vincula un lote exportado con la(s) parcela(s) específica(s)?</t>
  </si>
  <si>
    <t>Misma leyenda que D2.5</t>
  </si>
  <si>
    <t>D2.8</t>
  </si>
  <si>
    <t>¿Quién levantó la información de geolocalización?</t>
  </si>
  <si>
    <t>Técnico propio / Consultor / Proyecto de cooperación / Socio por su cuenta / No se ha levantado</t>
  </si>
  <si>
    <t>D2.9</t>
  </si>
  <si>
    <t>Frecuencia de actualización de la geolocalización</t>
  </si>
  <si>
    <t>Nunca / Al ingreso del socio / Anual / Por cosecha</t>
  </si>
  <si>
    <t>D2.10</t>
  </si>
  <si>
    <t>¿Existe algún punto en el proceso de acopio o beneficio donde se mezclan físicamente lotes de distinto origen sin registro de qué parcelas los componen?</t>
  </si>
  <si>
    <t>Sí, se mezclan sin control / Se mezclan pero con registro de origen / No, se mantiene segregación física completa</t>
  </si>
  <si>
    <t>`ISCAM_Score!F` (D2) + bandera `SCORECARDS!AD`</t>
  </si>
  <si>
    <t>D2.5a</t>
  </si>
  <si>
    <t>¿Qué porcentaje aproximado del volumen exportado proviene de proveedores externos (productores que no son socios de la cooperativa)?</t>
  </si>
  <si>
    <t>0%, todo proviene de socios / Menos del 10% / Entre 10% y 30% / Más del 30% / No se ha cuantificado</t>
  </si>
  <si>
    <t>D2.5b</t>
  </si>
  <si>
    <t>*(Rama: solo si D2.5a ≠ "0%, todo proviene de socios" y ≠ "No se ha cuantificado")* Si compra a proveedores externos: ¿se registra el nombre, la cantidad y el origen (parcela o zona) de cada proveedor externo?</t>
  </si>
  <si>
    <t>Sí, verificado con georreferencia / Sí, pero sin georreferencia / Solo nombre y cantidad / No se registra / No aplica</t>
  </si>
  <si>
    <t>`ISCAM_Score!F` (D2) + bandera</t>
  </si>
  <si>
    <t>Sección 5 — D3: Legalidad de la producción</t>
  </si>
  <si>
    <t>D3.11</t>
  </si>
  <si>
    <t>D3 — Legalidad de la producción</t>
  </si>
  <si>
    <t>% de socios con título de propiedad o posesión reconocida legalmente</t>
  </si>
  <si>
    <t>`ISCAM_Score!G` (D3)</t>
  </si>
  <si>
    <t>D3.12</t>
  </si>
  <si>
    <t>¿Hay parcelas superpuestas a áreas naturales protegidas o su zona de amortiguamiento, reservas comunales o territorios indígenas sin sanear?</t>
  </si>
  <si>
    <t>Sí, extensa / Sí, puntual / Sí, en área natural protegida o zona de amortiguamiento / No verificado / No, ninguna</t>
  </si>
  <si>
    <t>D3.13</t>
  </si>
  <si>
    <t>¿Se verifica cumplimiento laboral (no trabajo infantil, seguridad social) a nivel de finca?</t>
  </si>
  <si>
    <t>D3.14</t>
  </si>
  <si>
    <t>¿Alguna parcela de socios se ubica en una zona de desarrollo alternativo (ex-cultivo de coca) o con antecedentes de conflicto social/territorial?</t>
  </si>
  <si>
    <t>Sí / No / No verificado</t>
  </si>
  <si>
    <t>D3.14a</t>
  </si>
  <si>
    <t>¿Los socios cuentan con autorización de uso de agua para su actividad productiva, cuando corresponde?</t>
  </si>
  <si>
    <t>Sí, todas las fuentes verificadas / Parcialmente / No / No aplica</t>
  </si>
  <si>
    <t>D3.14b</t>
  </si>
  <si>
    <t>¿El tratamiento de aguas residuales del beneficio/procesamiento cumple con lo exigido por la autoridad ambiental?</t>
  </si>
  <si>
    <t>Siempre / A veces / No / No aplica</t>
  </si>
  <si>
    <t>D3.14c</t>
  </si>
  <si>
    <t>¿Alguna parcela de socios se encuentra dentro de la faja marginal de un río, quebrada, lago o laguna?</t>
  </si>
  <si>
    <t>D3.14d</t>
  </si>
  <si>
    <t>En las parcelas de los socios y en el inmueble donde opera la cooperativa, ¿existe algún derecho de terceros (carga, embargo, servidumbre, usufructo, arrendamiento o derecho de uso consuetudinario) que condicione o restrinja el uso de la tierra para cultivar café o cacao, o el derecho de la cooperativa a operar en esa finca?</t>
  </si>
  <si>
    <t>No existe ningún derecho de terceros / Existe, pero está registrado y no restringe el uso / Existe un acuerdo documentado con el titular o con la autoridad que legitima el uso, aunque la cooperativa o el socio no tenga título formal / Existe usufructo, arrendamiento o carga sin acuerdo que lo resuelva / Se han invocado derechos de uso tradicional o consuetudinarios por una comunidad o pueblo indígena sin proceso de acuerdo / No verificado</t>
  </si>
  <si>
    <t>D3.14e</t>
  </si>
  <si>
    <t>¿La cooperativa y sus socios están al día en sus obligaciones tributarias, aduaneras y comerciales vinculadas a la actividad exportadora?</t>
  </si>
  <si>
    <t>Sí, verificado / Parcialmente / No verificado / No sabe</t>
  </si>
  <si>
    <t>D3.14f</t>
  </si>
  <si>
    <t>¿Existen políticas o mecanismos internos contra la corrupción (código de conducta, canal de denuncias) aplicables a la cadena de abastecimiento?</t>
  </si>
  <si>
    <t>Sí, formalizado / Informal / No existe</t>
  </si>
  <si>
    <t>D3.14g</t>
  </si>
  <si>
    <t>Cuando corresponde (parcelas de socios en territorio de comunidades indígenas, nativas o campesinas), ¿se ha realizado un proceso de Consentimiento Libre, Previo e Informado (CLPI)?</t>
  </si>
  <si>
    <t>Sí, proceso documentado / Aplica pero no se ha realizado / No aplica, no hay territorios de este tipo / No sabe</t>
  </si>
  <si>
    <t>D3.14h</t>
  </si>
  <si>
    <t>¿La organización cuenta con autorizaciones ambientales vigentes para su planta y actividad (EIA, DIA, certificación forestal o certificado de habilitación, según corresponda)?</t>
  </si>
  <si>
    <t>Sí, vigentes y verificadas / Parcial, alguna falta o está vencida / No / No aplica (sin actividad que la requiera)</t>
  </si>
  <si>
    <t>D3.14i</t>
  </si>
  <si>
    <t>¿Existe algún proceso sancionador vigente de OEFA, SINEFA u otra autoridad ambiental contra la organización o sus socios?</t>
  </si>
  <si>
    <t>Sí, vigente y sin resolver / Sí, en proceso de resolución / No / No sabe</t>
  </si>
  <si>
    <t>`MATRIZ_174!U` (D3) + bandera `ISCAM_Score!AD` + IV4 (`X`)</t>
  </si>
  <si>
    <t>Sección 6 — D4: Riesgo de deforestación</t>
  </si>
  <si>
    <t>D4.15</t>
  </si>
  <si>
    <t>D4 — Riesgo de deforestación</t>
  </si>
  <si>
    <t>¿Se verificó cambio de uso de suelo posterior al 31 de diciembre de 2020 mediante cruce de las parcelas con mapas de deforestación (GEOSERFOR/PNCB o Global Forest Watch)?</t>
  </si>
  <si>
    <t>No verificado / Verificación parcial / Verificado sin hallazgos / Casos detectados sin resolver / Verificado sistemáticamente y documentado</t>
  </si>
  <si>
    <t>`ISCAM_Score!H` (D4)</t>
  </si>
  <si>
    <t>D4.16</t>
  </si>
  <si>
    <t>¿Usa herramientas de monitoreo satelital (Global Forest Watch, plataformas nacionales)?</t>
  </si>
  <si>
    <t>D4.17</t>
  </si>
  <si>
    <t>¿Conoce la clasificación de riesgo (bajo/estándar/alto) de su zona?</t>
  </si>
  <si>
    <t>Sí documentado / Idea aproximada / No sabe</t>
  </si>
  <si>
    <t>D4.15a</t>
  </si>
  <si>
    <t>¿Se han detectado alertas activas de deforestación en parcelas de socios de la organización (GEOSERFOR, PNCB o Global Forest Watch)?</t>
  </si>
  <si>
    <t>Sí, detectadas y sin resolver / Sí, detectadas y mitigadas o aclaradas / No se han detectado / No se monitorea</t>
  </si>
  <si>
    <t>`ISCAM_Score!H` (D4) + IP2 (`Q`) + bandera</t>
  </si>
  <si>
    <t>Sección 7 — D5: Sistema interno de diligencia debida</t>
  </si>
  <si>
    <t>D5.18</t>
  </si>
  <si>
    <t>D5 — Diligencia debida</t>
  </si>
  <si>
    <t>¿Existe procedimiento escrito de diligencia debida?</t>
  </si>
  <si>
    <t>`ISCAM_Score!I` vía `SCORECARDS!I` (D5)</t>
  </si>
  <si>
    <t>D5.18a</t>
  </si>
  <si>
    <t>¿Existe una política de deforestación formal y escrita (distinta del procedimiento operativo), con objetivos, metas medibles y plazos (ej. compromiso de "cero deforestación" a una fecha determinada)?</t>
  </si>
  <si>
    <t>D5.18b</t>
  </si>
  <si>
    <t>¿La cooperativa prioriza sus riesgos de deforestación con algún criterio de probabilidad e impacto (aunque sea informal), o los atiende sin un orden definido?</t>
  </si>
  <si>
    <t>No se prioriza, se atiende lo que surge / Priorización informal, sin criterio escrito / Priorización estructurada con matriz probabilidad×impacto o similar</t>
  </si>
  <si>
    <t>D5.19</t>
  </si>
  <si>
    <t>¿Ha elaborado o participado en una declaración de diligencia debida / simplificada?</t>
  </si>
  <si>
    <t>No sabe qué es / No pero lo entiende / En proceso / Presentada y aceptada</t>
  </si>
  <si>
    <t>D5.19a</t>
  </si>
  <si>
    <t>Del plan de gestión de riesgos de la cooperativa (si existe), marque los componentes que incluye explícitamente</t>
  </si>
  <si>
    <t>Plazos definidos / Recursos (humanos o financieros) asignados / Responsables designados / Procedimientos de consulta con socios y comunidades / Sistema de seguimiento y monitoreo / Protocolo ante incumplimiento de un socio / Atención diferenciada a productoras mujeres</t>
  </si>
  <si>
    <t>D5.20</t>
  </si>
  <si>
    <t>¿Existe responsable designado para el cumplimiento EUDR?</t>
  </si>
  <si>
    <t>No / Función adicional / Dedicado</t>
  </si>
  <si>
    <t>D5.21</t>
  </si>
  <si>
    <t>¿Capacitación formal en los últimos 12 meses?</t>
  </si>
  <si>
    <t>No / Hace más de 12 meses / Sí, reciente</t>
  </si>
  <si>
    <t>D5.21a</t>
  </si>
  <si>
    <t>¿El plan de gestión de riesgos se revisa con una frecuencia definida (ej. anual, por campaña)?</t>
  </si>
  <si>
    <t>No hay revisión definida / Revisión reactiva, sin frecuencia fija / Revisión periódica definida</t>
  </si>
  <si>
    <t>D5.21b</t>
  </si>
  <si>
    <t>¿La cooperativa elabora y comunica un reporte de debida diligencia con indicadores (ej. % de producto trazado hasta finca, N.º de alertas tempranas detectadas, N.º de productores capacitados)?</t>
  </si>
  <si>
    <t>No / Sí, uso interno solamente / Sí, interno y compartido con compradores u otras partes interesadas</t>
  </si>
  <si>
    <t>Sección 8 — D6: Capacidad organizacional y digital</t>
  </si>
  <si>
    <t>D6.22</t>
  </si>
  <si>
    <t>D6 — Capacidad organizacional y digital</t>
  </si>
  <si>
    <t>Presupuesto asignado al cumplimiento EUDR</t>
  </si>
  <si>
    <t>No / Parcial, solo actividades de cumplimiento / Parcial, incluye tecnología y datos / Sí, con partida explícita para tecnología y datos</t>
  </si>
  <si>
    <t>`ISCAM_Score!J` vía `SCORECARDS!J` (D6)</t>
  </si>
  <si>
    <t>D6.22a</t>
  </si>
  <si>
    <t>¿La cooperativa cuenta con una base de datos o sistema centralizado (digital o no) que permite vincular a cada socio proveedor con sus parcelas geolocalizadas, los lotes que ha entregado y su volumen?</t>
  </si>
  <si>
    <t>No existe / Existe en papel desorganizado / Existe digital pero sin vínculos entre tablas / Existe digital con vínculos actualizados entre socio-parcela-lote</t>
  </si>
  <si>
    <t>D6.22b</t>
  </si>
  <si>
    <t>*(Rama: solo si D6.22a ≠ "No existe" y ≠ "Existe en papel desorganizado")* ¿Qué tipo de sistema digital utiliza?</t>
  </si>
  <si>
    <t>Excel o Access básico / Software especializado de trazabilidad (ChainPoint, Teia, BQuant, otro) / Sistema web propio o de tercero / Base de datos personalizada con soporte técnico regular</t>
  </si>
  <si>
    <t>D6.23</t>
  </si>
  <si>
    <t>Digitalización de registros</t>
  </si>
  <si>
    <t>Papel / Mixto / Digital</t>
  </si>
  <si>
    <t>D6.24</t>
  </si>
  <si>
    <t>Conectividad a internet</t>
  </si>
  <si>
    <t>No hay / Limitada / Confiable</t>
  </si>
  <si>
    <t>D6.25</t>
  </si>
  <si>
    <t>¿Ha gestionado apoyo externo para adecuarse?</t>
  </si>
  <si>
    <t>No y lo necesita / No lo cree necesario / Sí en el pasado / Sí activo</t>
  </si>
  <si>
    <t>D6.25a</t>
  </si>
  <si>
    <t>¿Los registros documentales de la cooperativa (actas, contratos con socios, guías de transporte, certificados, reportes de trazabilidad) se almacenan de forma segura —digital con respaldo o física en archivo— con capacidad de ser recuperados en menos de 48 horas si se pierden los originales?</t>
  </si>
  <si>
    <t>No existe política de respaldo / Parcial, solo los más críticos / Sí, con respaldo definido pero no probado / Sí, con protocolo probado periódicamente</t>
  </si>
  <si>
    <t>D6.25b</t>
  </si>
  <si>
    <t>*(Rama: solo si D6.25a = "Sí, con respaldo definido pero no probado" o "Sí, con protocolo probado")* ¿El protocolo fue diseñado internamente o con apoyo externo? ¿Cuándo se probó por última vez?</t>
  </si>
  <si>
    <t>Diseñado internamente / Con apoyo de ONG o programa / Con apoyo de consultoría o proveedor IT / Nunca se ha probado / Probado hace más de 12 meses / Probado en los últimos 12 meses</t>
  </si>
  <si>
    <t>D6.22c</t>
  </si>
  <si>
    <t>¿Hay personal asignado a la gestión de datos y trazabilidad (aunque sea a medio tiempo)?</t>
  </si>
  <si>
    <t>Sí, personal dedicado / Parcial, como función adicional / No / No sabe</t>
  </si>
  <si>
    <t>Sección 9 — D7: Cadena de valor</t>
  </si>
  <si>
    <t>D7.26</t>
  </si>
  <si>
    <t>D7 — Cadena de valor / presión comprador</t>
  </si>
  <si>
    <t>¿El comprador ha exigido formalmente geolocalización/diligencia debida?</t>
  </si>
  <si>
    <t>Aún no / Informalmente / Formalmente por escrito</t>
  </si>
  <si>
    <t>`ISCAM_Score!K` (D7)</t>
  </si>
  <si>
    <t>D7.27</t>
  </si>
  <si>
    <t>¿El comprador ofrece financiamiento/asistencia técnica condicionada al cumplimiento?</t>
  </si>
  <si>
    <t>D7.28</t>
  </si>
  <si>
    <t>Riesgo percibido de perder el contrato si no cumple a tiempo</t>
  </si>
  <si>
    <t>No sabe / Bajo / Medio / Alto</t>
  </si>
  <si>
    <t>D7.28b</t>
  </si>
  <si>
    <t>¿El comprador europeo ha comunicado que sus propias obligaciones (EUDR, CSRD, CSDDD u otra) implican requisitos adicionales sobre la cadena de suministro más allá de la geolocalización?</t>
  </si>
  <si>
    <t>No ha mencionado nada / Lo ha mencionado verbalmente sin requisito formal / Sí, ha enviado documentación o cuestionario de proveedores / Sí, lo ha formalizado como cláusula contractual</t>
  </si>
  <si>
    <t>D7.28c</t>
  </si>
  <si>
    <t>*(Rama: solo si D7.28b = "Sí, ha enviado documentación" o "Sí, lo ha formalizado como cláusula")* ¿Qué tipo de documentación ha enviado o solicitado el comprador? ¿Cubre solo a la cooperativa o también a sus proveedores?</t>
  </si>
  <si>
    <t>Cuestionario de autoevaluación / Guía de diligencia debida propia del comprador / Plantilla de trazabilidad (lotes, volúmenes, GPS) / Evaluación de riesgo de deforestación / Requisito de certificación de terceros (Fairtrade, Rainforest, orgánica) / Solo cubre a la cooperativa / Cubre también a los proveedores directos / Cubre hasta proveedores de segundo nivel</t>
  </si>
  <si>
    <t>D7.26a</t>
  </si>
  <si>
    <t>¿El comprador principal (primera mano) es una empresa de la Unión Europea o está sujeto a la Directiva de diligencia debida empresarial (CSDDD)?</t>
  </si>
  <si>
    <t>Sí, empresa de la UE / No es de la UE pero está sujeto a CSDDD / No / No sabe</t>
  </si>
  <si>
    <t>`ISCAM_Score!K` (D7) + IV1 (`U`)</t>
  </si>
  <si>
    <t>D7.26b</t>
  </si>
  <si>
    <t>¿Existe contrato o acuerdo escrito con el comprador principal que incluya cláusula de debida diligencia, geolocalización o trazabilidad?</t>
  </si>
  <si>
    <t>Sí, con cláusula explícita EUDR o equivalente / Sí, pero sin cláusula específica / No hay contrato escrito / No sabe</t>
  </si>
  <si>
    <t>`ISCAM_Score!K` (D7) + PRESION (`PONDERADORES!A16`)</t>
  </si>
  <si>
    <t>Sección 10 — D8: Gobernanza y participación de socios</t>
  </si>
  <si>
    <t>D8.29</t>
  </si>
  <si>
    <t>D8 — Gobernanza y participación</t>
  </si>
  <si>
    <t>¿Se han realizado asambleas o reuniones informativas sobre el EUDR dirigidas a los socios (no solo a la directiva)?</t>
  </si>
  <si>
    <t>`ISCAM_Score!L` (D8)</t>
  </si>
  <si>
    <t>D8.30</t>
  </si>
  <si>
    <t>% estimado de socios que entienden, al menos en términos generales, por qué se les pide geolocalización/documentación</t>
  </si>
  <si>
    <t>D8.31</t>
  </si>
  <si>
    <t>¿Existe algún mecanismo interno (incentivo o condición) para que los socios entreguen su información de parcela?</t>
  </si>
  <si>
    <t>No existe / Se pide informalmente / Es requisito formal para vender a la cooperativa</t>
  </si>
  <si>
    <t>D8.32</t>
  </si>
  <si>
    <t>Rotación de la directiva en los últimos 2 años</t>
  </si>
  <si>
    <t>Alta / Moderada / Baja/estable</t>
  </si>
  <si>
    <t>Sección 11 — D9: Sostenibilidad económica del cumplimiento</t>
  </si>
  <si>
    <t>D9.33</t>
  </si>
  <si>
    <t>D9 — Sostenibilidad económica</t>
  </si>
  <si>
    <t>Estimación del costo total de adecuación (geolocalización, saneamiento, sistemas, capacitación) frente al presupuesto anual de la cooperativa</t>
  </si>
  <si>
    <t>Costo mayor al 10% del presupuesto anual / Entre 3-10% / Menor al 3% / No se ha estimado</t>
  </si>
  <si>
    <t>`ISCAM_Score!M` (D9)</t>
  </si>
  <si>
    <t>D9.34</t>
  </si>
  <si>
    <t>¿Cómo ha financiado (o financiaría) la organización la adecuación al EUDR?</t>
  </si>
  <si>
    <t>Con crédito o endeudamiento / Con recursos propios / Existe fuente de financiamiento identificada (verde, cooperación o programa público), aún no ejecutada / No ha sido necesario / No sabe</t>
  </si>
  <si>
    <t>D9.35</t>
  </si>
  <si>
    <t>¿Existe riesgo de que el costo de adecuación se traslade a un menor precio pagado al socio productor?</t>
  </si>
  <si>
    <t>Sí, ya ha ocurrido / Es un riesgo latente / No aplica / No se ha evaluado</t>
  </si>
  <si>
    <t>Sección 12 — D10: Confusión entre certificación voluntaria y cumplimiento EUDR</t>
  </si>
  <si>
    <t>D10.36</t>
  </si>
  <si>
    <t>D10 — Confusión certificación/EUDR</t>
  </si>
  <si>
    <t>¿La cooperativa cree que su certificación vigente (Rainforest Alliance, Fairtrade, Orgánico, etc.) ya cubre las obligaciones del EUDR?</t>
  </si>
  <si>
    <t>Sí, totalmente / Sí, en parte / No, sabe que son cosas distintas / No tiene certificación</t>
  </si>
  <si>
    <t>`ISCAM_Score!N` (D10) — bandera, no promedia</t>
  </si>
  <si>
    <t>D10.37</t>
  </si>
  <si>
    <t>¿Algún proveedor o consultor le ha ofrecido una "certificación EUDR" como producto?</t>
  </si>
  <si>
    <t>D10.36a</t>
  </si>
  <si>
    <t>¿La organización ha recibido asesoría específica sobre el EUDR (a diferencia de asesoría genérica de sostenibilidad)?</t>
  </si>
  <si>
    <t>Sí, asesoría especializada en EUDR / Solo asesoría genérica de sostenibilidad / No ha recibido asesoría / No sabe</t>
  </si>
  <si>
    <t>Sección 13 — D11: Ecosistema de apoyo externo</t>
  </si>
  <si>
    <t>D11.38</t>
  </si>
  <si>
    <t>D11 — Ecosistema de apoyo externo</t>
  </si>
  <si>
    <t>Marque los actores con los que la cooperativa ya tiene contacto o apoyo activo</t>
  </si>
  <si>
    <t>SERFOR (legalidad forestal) / PNCB-MINAM (monitoreo satelital) / MIDAGRI o programa regional de café-cacao / Gobierno regional (catastro/saneamiento) / Cooperación internacional (GIZ, USAID, UE, ONG) / Junta Nacional del Café, APPCACAO u otro gremio / Ninguno</t>
  </si>
  <si>
    <t>`ISCAM_Score!O` (D11) — mapeo</t>
  </si>
  <si>
    <t>D11.39</t>
  </si>
  <si>
    <t>De los actores no marcados en la pregunta anterior, ¿cuáles conoce pero no ha contactado, y por qué?</t>
  </si>
  <si>
    <t>D11.39a</t>
  </si>
  <si>
    <t>¿La organización está inscrita en una plataforma de trazabilidad del sector (APPCACAO, Junta Nacional del Café u otra equivalente)?</t>
  </si>
  <si>
    <t>Sí / En proceso de inscripción / No / No conoce la plataforma</t>
  </si>
  <si>
    <t>Sección 14 — D12–D15: Pacto Verde europeo (alimentan ISA-PV, 30% de ISA-Completo)</t>
  </si>
  <si>
    <t>D12.42</t>
  </si>
  <si>
    <t>D12 — Huella de carbono (Pacto Verde)</t>
  </si>
  <si>
    <t>¿La organización mide o ha calculado la huella de carbono de su actividad productiva y de procesamiento (alcance 1 y 2)?</t>
  </si>
  <si>
    <t>No mide (0) / Registra insumos o mide parcialmente, en curso (1) / Calculada y verificada por tercero (2)</t>
  </si>
  <si>
    <t>`MATRIZ_174!W` -&gt; promedio con D13-D15 -&gt; componente AMBIENTAL (20%) de ISA-PV (ponderado) -&gt; 30% de `AL`</t>
  </si>
  <si>
    <t>D13.45</t>
  </si>
  <si>
    <t>D13 — Reporte de sostenibilidad (Pacto Verde)</t>
  </si>
  <si>
    <t>¿La organización elabora y publica un reporte de sostenibilidad con información de su desempeño ambiental y social?</t>
  </si>
  <si>
    <t>No (0) / En preparación (1) / Publicado (2)</t>
  </si>
  <si>
    <t>`MATRIZ_174!X` -&gt; promedio con D12/D14/D15 -&gt; componente AMBIENTAL (20%) de ISA-PV (ponderado)</t>
  </si>
  <si>
    <t>D14.51</t>
  </si>
  <si>
    <t>D14 — Economía circular (Pacto Verde)</t>
  </si>
  <si>
    <t>¿La organización gestiona los residuos y subproductos del beneficio (compostaje, reutilización de agua, aprovechamiento de pulpa o cáscara, u otras prácticas de economía circular)?</t>
  </si>
  <si>
    <t>No (0) / En transición, prácticas aisladas (1) / Avanzado, procesos establecidos (2)</t>
  </si>
  <si>
    <t>`MATRIZ_174!Y` -&gt; promedio con D12/D13/D15 -&gt; componente AMBIENTAL (20%) de ISA-PV (ponderado)</t>
  </si>
  <si>
    <t>D15.58</t>
  </si>
  <si>
    <t>D15 — Fitosanitario / LMR (Pacto Verde)</t>
  </si>
  <si>
    <t>¿La organización monitorea residuos de plaguicidas (LMR) en su producto para asegurar el cumplimiento de los límites de la Unión Europea?</t>
  </si>
  <si>
    <t>No verificado (0) / En monitoreo interno (1) / Cumple límites UE verificado (2)</t>
  </si>
  <si>
    <t>`MATRIZ_174!Z` -&gt; promedio con D12-D14 -&gt; componente AMBIENTAL (20%) de ISA-PV (ponderado)</t>
  </si>
  <si>
    <t>Sección 15 — PPWR: Envases y packaging (Reglamento europeo de envases)</t>
  </si>
  <si>
    <t>PP1</t>
  </si>
  <si>
    <t>PPWR — Envases y packaging</t>
  </si>
  <si>
    <t>¿Qué tipo de sacos de exportación utiliza principalmente?</t>
  </si>
  <si>
    <t>Yute reutilizable / Yute nuevo de un solo uso / Big-bag o saco plástico / Saco de papel / Otro (especificar)</t>
  </si>
  <si>
    <t>`SCORECARDS!M` (PPWR) + `PONDERADORES!A18`; proxy `tipo_saco`</t>
  </si>
  <si>
    <t>PP2</t>
  </si>
  <si>
    <t>¿Los sacos de exportación tienen certificación FSC o equivalente?</t>
  </si>
  <si>
    <t>`SCORECARDS!M` (PPWR) + `PONDERADORES!A18`; proxy `fsc`</t>
  </si>
  <si>
    <t>Sección 16 — Bloque R: Indicadores de Desempeño (columnas P1–P14 de `MATRIZ_174`)</t>
  </si>
  <si>
    <t>R1</t>
  </si>
  <si>
    <t>Bloque R — Indicadores de Desempeño</t>
  </si>
  <si>
    <t>¿Qué porcentaje aproximado de sus socios productores tiene acceso a crédito formal, fondo rotatorio o programa de financiamiento?</t>
  </si>
  <si>
    <t>`MATRIZ_174!AC` (P3) → `AO` (P_Global)</t>
  </si>
  <si>
    <t>R2</t>
  </si>
  <si>
    <t>¿Qué porcentaje de los socios productores trabajadores está formalizado (contrato, planilla o aportación a seguridad social)?</t>
  </si>
  <si>
    <t>`MATRIZ_174!AE` (P5) → `AO`</t>
  </si>
  <si>
    <t>R3</t>
  </si>
  <si>
    <t>¿Cuántas capacitaciones técnicas recibe en promedio cada socio productor al año?</t>
  </si>
  <si>
    <t>`MATRIZ_174!AF` (P6) → `AO`</t>
  </si>
  <si>
    <t>R4</t>
  </si>
  <si>
    <t>¿Qué porcentaje de los socios que tenía hace 3 años siguen activos entregando producto a la organización?</t>
  </si>
  <si>
    <t>`MATRIZ_174!AG` (P7) → `AO`</t>
  </si>
  <si>
    <t>R5</t>
  </si>
  <si>
    <t>¿Qué porcentaje del ingreso total de la organización proviene de productos distintos del café o cacao?</t>
  </si>
  <si>
    <t>`MATRIZ_174!AH` (P8) → `AO`</t>
  </si>
  <si>
    <t>R6</t>
  </si>
  <si>
    <t>¿Qué porcentaje de su volumen se comercializa en mercados premium o con prima (certificado, especial, single origin u otro)?</t>
  </si>
  <si>
    <t>`MATRIZ_174!AI` (P9) → `AO`</t>
  </si>
  <si>
    <t>R7</t>
  </si>
  <si>
    <t>¿Cuánto invirtió la organización en adecuación al EUDR en el último año? (especifique moneda: S/ o USD)</t>
  </si>
  <si>
    <t>`MATRIZ_174!AJ` (P10) → `AO`</t>
  </si>
  <si>
    <t>R8</t>
  </si>
  <si>
    <t>¿Qué porcentaje de los reclamos o quejas formales de socios presentados en los últimos 2 años fueron resueltos?</t>
  </si>
  <si>
    <t>`MATRIZ_174!AL` (P12) → `AO`</t>
  </si>
  <si>
    <t>R9</t>
  </si>
  <si>
    <t>¿Qué porcentaje de la energía que consume la organización (sede y planta de procesamiento) proviene de fuentes renovables?</t>
  </si>
  <si>
    <t>`MATRIZ_174!AM` (P13) → `AO`</t>
  </si>
  <si>
    <t>R10</t>
  </si>
  <si>
    <t>¿Qué porcentaje de los residuos y subproductos del beneficio se gestionan con tratamiento (compostaje, reciclaje, biogás u otro)?</t>
  </si>
  <si>
    <t>`MATRIZ_174!AN` (P14) → `AO`</t>
  </si>
  <si>
    <t>ISCAM — ISA-Completo = 0.70×ISA-EUDR + 0.30×ISA-PV  |  IP × IV → RE  |  Café y Cacao Perú — 174 organizaciones</t>
  </si>
  <si>
    <t>Razón Social</t>
  </si>
  <si>
    <t>D1 — Clasific.
Regulatoria</t>
  </si>
  <si>
    <t>D2 — Trazabilidad
(SCORECARDS H)</t>
  </si>
  <si>
    <t>D3 — Legalidad
(OSCE)</t>
  </si>
  <si>
    <t>D4 — Deforestación
Cero</t>
  </si>
  <si>
    <t>D5 — Diligencia
Debida</t>
  </si>
  <si>
    <t>D6 — Capacidad
Digital</t>
  </si>
  <si>
    <t>D7 — Presión
Comprador</t>
  </si>
  <si>
    <t>D8 — Gobernanza</t>
  </si>
  <si>
    <t>D9 — Riesgo
Financiero</t>
  </si>
  <si>
    <t>D10 — Certificac.</t>
  </si>
  <si>
    <t>D11 — Ecosistema
(inventario, no promedia)</t>
  </si>
  <si>
    <t>IP1
Trazabilidad
D2</t>
  </si>
  <si>
    <t>IP2
√(D3×D4)</t>
  </si>
  <si>
    <t>IP3
(D5+D6+D8)/3</t>
  </si>
  <si>
    <t>IP4
(D6+D2)/2</t>
  </si>
  <si>
    <t>IP5
(D7+D9+Cert)/3</t>
  </si>
  <si>
    <t>IV1
Exposición UE
(% FOB UE)</t>
  </si>
  <si>
    <t>IV2
D1 (base=50)</t>
  </si>
  <si>
    <t>IV3
Parcela ha/socio
(sin dato→65)</t>
  </si>
  <si>
    <t>IV4
Cert=0? → 70:30</t>
  </si>
  <si>
    <t>IV5
Tipo Asoc → 65:40</t>
  </si>
  <si>
    <t>IP
Preparación</t>
  </si>
  <si>
    <t>IV
Vulnerabilidad</t>
  </si>
  <si>
    <t>RE
Exclusión</t>
  </si>
  <si>
    <t>Tipología
2×2 ISCAM</t>
  </si>
  <si>
    <t>Banderas
Duras</t>
  </si>
  <si>
    <t>D12
Huella Carbono</t>
  </si>
  <si>
    <t>D13
Reporte Sostenib.</t>
  </si>
  <si>
    <t>D14
Economía Circular</t>
  </si>
  <si>
    <t>D15
Fitosanitario</t>
  </si>
  <si>
    <t>P_Global
Promedio P1:P14</t>
  </si>
  <si>
    <t>ISA-EUDR
Geom.D1–D7
+ Arit.D8–D9</t>
  </si>
  <si>
    <t>ISA-Completo
0.70×EUDR
+0.30×PV</t>
  </si>
  <si>
    <t>PROMEDIO MUESTRAL</t>
  </si>
  <si>
    <t>n = 174 organizaciones</t>
  </si>
  <si>
    <t>BLOQUE DE SUPUESTOS — PONDERACIONES DEL ÍNDICE PVE</t>
  </si>
  <si>
    <t>LEYENDA DE COLORES</t>
  </si>
  <si>
    <t>🔵 Azul</t>
  </si>
  <si>
    <t>Input hardcoded — valor primario, editable</t>
  </si>
  <si>
    <t>⚫ Negro</t>
  </si>
  <si>
    <t>Fórmula calculada — no editar manualmente</t>
  </si>
  <si>
    <t>🟡 Amarillo</t>
  </si>
  <si>
    <t>Input editable — cambiar ponderación aquí</t>
  </si>
  <si>
    <t>🟢 Verde</t>
  </si>
  <si>
    <t>Resultado positivo (cumple)</t>
  </si>
  <si>
    <t>🔴 Rojo</t>
  </si>
  <si>
    <t>Resultado negativo (no cumple)</t>
  </si>
  <si>
    <t>⬜ Gris</t>
  </si>
  <si>
    <t>Dato pendiente de capturar</t>
  </si>
  <si>
    <t>PONDERACIONES — MODIFICAR SOLO LAS CELDAS AMARILLAS</t>
  </si>
  <si>
    <t>Componente</t>
  </si>
  <si>
    <t>Dimensión EUDR</t>
  </si>
  <si>
    <t>Variable</t>
  </si>
  <si>
    <t>Ponderación (%)</t>
  </si>
  <si>
    <t>EXP_UE</t>
  </si>
  <si>
    <t>IV1 / Exposición UE</t>
  </si>
  <si>
    <t>% FOB exportado a UE sobre FOB total</t>
  </si>
  <si>
    <t>TRAZA</t>
  </si>
  <si>
    <t>D2 / Trazabilidad</t>
  </si>
  <si>
    <t>¿Existe vínculo lote → parcela con coords?</t>
  </si>
  <si>
    <t>DILIG</t>
  </si>
  <si>
    <t>D5 / Debida diligencia</t>
  </si>
  <si>
    <t>¿Existe proceso de evaluación de riesgo?</t>
  </si>
  <si>
    <t>CAPAC</t>
  </si>
  <si>
    <t>D6 / Capacidad digital</t>
  </si>
  <si>
    <t>¿Tiene personal dedicado a datos?</t>
  </si>
  <si>
    <t>PRESION</t>
  </si>
  <si>
    <t>D7 / Presión comprador</t>
  </si>
  <si>
    <t>¿Comprador UE exige EUDR?</t>
  </si>
  <si>
    <t>CERTIF</t>
  </si>
  <si>
    <t>Certificación (variable propia 'Cert', no es una dimensión D del instrumento)</t>
  </si>
  <si>
    <t>Score de certificaciones vigentes (Org + Ftrade)</t>
  </si>
  <si>
    <t>PPWR</t>
  </si>
  <si>
    <t>PPWR (variable propia, no es una dimensión D del instrumento — pendiente de cargar PP1/PP2)</t>
  </si>
  <si>
    <t>¿Usa sacos reutilizables o certificados?</t>
  </si>
  <si>
    <t>AMBIENTAL</t>
  </si>
  <si>
    <t>D12-D15 / Pacto Verde ambiental</t>
  </si>
  <si>
    <t>TOTAL</t>
  </si>
  <si>
    <t>⚠  El TOTAL debe sumar 100. Si lo ajustas, el Índice PVE en SCORECARDS se recalcula automáticamente.</t>
  </si>
  <si>
    <t>VERSION ISCAM (2026-10-12) — Pesos mostrados para transparencia (fijos, no editables)</t>
  </si>
  <si>
    <t>ISA-EUDR e ISA-PV usan pesos FIJOS (87.5%/12.5% y 70%/30%). IP/IV pesan 20% cada sub-dim.</t>
  </si>
  <si>
    <t>SUBDIM</t>
  </si>
  <si>
    <t>FÓRMULA</t>
  </si>
  <si>
    <t>PESO</t>
  </si>
  <si>
    <t>ISA-EUDR</t>
  </si>
  <si>
    <t>Geom(D1:D7)^(1/7)×0.875 + ((D8+D9)/2)×0.125 — ver ISCAM_Score!AK</t>
  </si>
  <si>
    <t>100%</t>
  </si>
  <si>
    <t>ISA-PactoVerde</t>
  </si>
  <si>
    <t>ISA-Completo</t>
  </si>
  <si>
    <t>0.70×ISA-EUDR + 0.30×ISA-PV — ver ISCAM_Score!AL</t>
  </si>
  <si>
    <t>IP1</t>
  </si>
  <si>
    <t>D2 — ver ISCAM_Score!P</t>
  </si>
  <si>
    <t>20%</t>
  </si>
  <si>
    <t>IP2</t>
  </si>
  <si>
    <t>SQRT(D3 × D4) — ver ISCAM_Score!Q</t>
  </si>
  <si>
    <t>IP3</t>
  </si>
  <si>
    <t>(D5 + D6 + D8) / 3 — ver ISCAM_Score!R</t>
  </si>
  <si>
    <t>IP4</t>
  </si>
  <si>
    <t>(D6 + D2) / 2 — ver ISCAM_Score!S</t>
  </si>
  <si>
    <t>IP5</t>
  </si>
  <si>
    <t>(D7 + D9 + Cert) / 3 — ver ISCAM_Score!T</t>
  </si>
  <si>
    <t>IP (total)</t>
  </si>
  <si>
    <t>AVG(IP1:IP5) — ver ISCAM_Score!Z</t>
  </si>
  <si>
    <t>IV1</t>
  </si>
  <si>
    <t>Exposición UE = % FOB UE (MATRIZ_174!M) — ver ISCAM_Score!U</t>
  </si>
  <si>
    <t>IV2</t>
  </si>
  <si>
    <t>D1 (base 50 si D1=0) — ver ISCAM_Score!V</t>
  </si>
  <si>
    <t>IV3</t>
  </si>
  <si>
    <t>Tamaño de parcela ha/socio (Q/R); sin dato → 65 — ver ISCAM_Score!W</t>
  </si>
  <si>
    <t>IV4</t>
  </si>
  <si>
    <t>IV5</t>
  </si>
  <si>
    <t>Tipo de organización (PENDIENTE/Asociación → 65) — ver ISCAM_Score!Y</t>
  </si>
  <si>
    <t>IV (total)</t>
  </si>
  <si>
    <t>AVG(IV1:IV5) — ver ISCAM_Score!AA</t>
  </si>
  <si>
    <t>RE</t>
  </si>
  <si>
    <t>Cuadrante 2×2</t>
  </si>
  <si>
    <t>IP≥50 vs &lt;50  ×  IV≥50 vs &lt;50</t>
  </si>
  <si>
    <t>Corte=50</t>
  </si>
  <si>
    <t>NOTAS 2026-10-14:</t>
  </si>
  <si>
    <t>P_Global</t>
  </si>
  <si>
    <t>DECIDIDO 2026-10-14: P_Global NO entra en ISA-Completo. El índice es el regresor/predictor del objetivo (f); la performance es la variable dependiente. ISCAM (Fase 4, paso 12) usa los indicadores de performance como validación externa del índice (certificaciones, % volumen trazable, continuidad exportadora, acceso a mercado UE): P_Global es esa variable de validación, no un insumo del índice. Fuente: Metodologia - Indice de Alineamiento (ISA) §5, Comparativa §3.3, Propuesta ISCAM IP-IV-RE.</t>
  </si>
  <si>
    <t>Escalas</t>
  </si>
  <si>
    <t>ISA-EUDR e ISA-Completo en 0–100; ISA-PV en 0–1 (MATRIZ_174!AP); el 0.30 de ISA-Completo multiplica ISA-PV ×100 (corregido 2026-10-14).</t>
  </si>
  <si>
    <t>SCORECARDS — ISA-Completo · IP · IV · RE · Café y Cacao Perú</t>
  </si>
  <si>
    <t>ISA-Completo
(0-100)</t>
  </si>
  <si>
    <t>Semáforo</t>
  </si>
  <si>
    <t>Ranking</t>
  </si>
  <si>
    <t>Trazab. (D2)</t>
  </si>
  <si>
    <t>Dilig. (D5)</t>
  </si>
  <si>
    <t>Capacidad (D6)</t>
  </si>
  <si>
    <t>Legalidad
D3 (OSCE)</t>
  </si>
  <si>
    <t>Cert (0-1)</t>
  </si>
  <si>
    <t>Tipología ISCAM</t>
  </si>
  <si>
    <t>Segmento</t>
  </si>
  <si>
    <t>Depto (join RUC)</t>
  </si>
  <si>
    <t>RESUMEN EJECUTIVO</t>
  </si>
  <si>
    <t>Total organizaciones</t>
  </si>
  <si>
    <t>Con exposición UE (FOB UE &gt; 0)</t>
  </si>
  <si>
    <t>🔴 Críticos (0-33)</t>
  </si>
  <si>
    <t>🟡 Vulnerables (34-66)</t>
  </si>
  <si>
    <t>🟢 Preparados (67-100)</t>
  </si>
  <si>
    <t>FOB total expuesto a UE (USD)</t>
  </si>
  <si>
    <t>RADAR DE BRECHAS — Score promedio por departamento y dimensión</t>
  </si>
  <si>
    <t>Departamento / Dimensión</t>
  </si>
  <si>
    <t>D1</t>
  </si>
  <si>
    <t>D2</t>
  </si>
  <si>
    <t>D3</t>
  </si>
  <si>
    <t>D4</t>
  </si>
  <si>
    <t>D5</t>
  </si>
  <si>
    <t>D6</t>
  </si>
  <si>
    <t>D7</t>
  </si>
  <si>
    <t>D8</t>
  </si>
  <si>
    <t>D9</t>
  </si>
  <si>
    <t>D10</t>
  </si>
  <si>
    <t>D11</t>
  </si>
  <si>
    <t>LEYENDA — NIVELES DE CUMPLIMIENTO</t>
  </si>
  <si>
    <t>🟢 Verde (0.67–1.00) — Cumplimiento adecuado</t>
  </si>
  <si>
    <t>🟡 Amarillo (0.34–0.66) — Brecha moderada</t>
  </si>
  <si>
    <t>🔴 Rojo (0.00–0.33) — Brecha crítica</t>
  </si>
  <si>
    <t>CORTE POR PRODUCTO — paridad café/cacao (sin sesgo)</t>
  </si>
  <si>
    <t>N.° orgs</t>
  </si>
  <si>
    <t>ISA-PV</t>
  </si>
  <si>
    <t>IP</t>
  </si>
  <si>
    <t>IV</t>
  </si>
  <si>
    <t>SIN PRODUCTO REGISTRADO</t>
  </si>
  <si>
    <t>Chequeo de paridad</t>
  </si>
  <si>
    <t>Regla: brecha máxima aceptable de 5 puntos de ISA-Completo entre café y cacao. Si se supera, revisar sesgo de redacción del instrumento o de muestreo antes de publicar resultados.</t>
  </si>
  <si>
    <t>ISA-Completo = 0.70×ISA-EUDR + 0.30×ISA-PV   |   ISA-EUDR = 0.875×Núcleo(D1–D7, geom.) + 0.125×Extendido(D8–D9, arit.)   |   ISA-PV = 8 componentes ponderados (ver PONDERADORES)   |   IP = Promedio(IP1..IP5)   |   IV = Promedio(IV1..IV5)   |   RE = IV×(1−IP/100)   |   Corte 2×2: 50</t>
  </si>
  <si>
    <t>ISA-PV
8 componentes ponderados</t>
  </si>
  <si>
    <t>P_Global — Promedio P1:P14
no entra en ISA-Completo (validación externa)</t>
  </si>
  <si>
    <t>Promedio D1–D11</t>
  </si>
  <si>
    <t>Notas: verde = pregunta nueva en v0.4 (30); amarillo = modificada en v0.4 (5). Columnas `MATRIZ_174`, `ISCAM_Score`, `SCORECARDS` y `PONDERADORES` son hojas de este mismo libro. Las 17 columnas D12–D15 no listadas como activas esperan la evaluación de comprensibilidad del técnico de campo (ver `DOC_TRABAJO_Instrumento2_ISCAM_v2.md` §10.2). Fuente: `Instrumentos\Texto para Google Form - Instrumento 2.md`. Las preguntas marcadas "Insumo IVx" alimentan IV1–IV5 al cargar la ronda del instrumento; hoy esas subdimensiones operan con proxies documentados (ver PONDERADORES y §1.8 del documento de metodología).</t>
  </si>
  <si>
    <t>IV1–IV5 son proxies documentados mientras se ingesta el Instrumento 2; sus definiciones de diseño usan B0.7/P1/P1b/P4/D7.26a (IV1), B0.4/B0.10/B0.11/B0.13/B0.14 (IV3) y B0.12 + D3.14i (IV4/IV5). Cobertura D3 (OSCE/OEFA) completa: 174 de 174 organizaciones (2026-10-15); 0 inhabilitaciones OSCE vigentes y 1 infracción ambiental OEFA.</t>
  </si>
  <si>
    <t>Certificación: Cert=0 → 70 / Cert&gt;0 → 30, + agravante de legalidad 30% × (100 − D3) cuando hay registro OSCE/OEFA (tope 100) — ver ISCAM_Score!X</t>
  </si>
  <si>
    <t>Sin dato (pendiente Inst. 2)</t>
  </si>
  <si>
    <t>METODOLOGÍA ISCAM  |  ISA-EUDR = 0.875×(D1×D2×...×D7)^(1/7) + 0.125×(D8+D9)/2  |  ISA-PV = 8 componentes ponderados (ver PONDERADORES)  |  ISA-Completo = 0.70×ISA-EUDR + 0.30×ISA-PV  |  IP = Promedio(IP1..IP5): IP1=D2, IP2=√(D3×D4), IP3=(D5+D6+D8)/3, IP4=(D6+D2)/2, IP5=(D7+D9+Cert)/3  |  IV = Promedio(IV1..IV5): IV1=% FOB UE (tope 100), IV2=D1(base=50), IV3=ha/socio (≥2→35; 0.5-2→50; &lt;0.5→65), IV4=certificación (70/30) + agravante 30%×(100−D3), IV5=tipo Asoc?→65:40  |  RE = IV×(1−IP/100)  |  Corte 2×2: 50  |  █ GRIS=pendiente Inst.2  █ AZUL=Datos llenos  █ NARANJA=IV  █ ROJO=RE  █ VERDE=Ambiental  █ OSCURO=ISA  |  Regla de dato faltante: mientras el Instrumento 2 no se levante, ISA-EUDR, IP, RE e ISA-Completo se muestran como «—» (sin dato), no como 0.</t>
  </si>
  <si>
    <t>D2 — Trazabilidad</t>
  </si>
  <si>
    <t>D4 — Deforestación cero</t>
  </si>
  <si>
    <t>D6 — Capacidad digital</t>
  </si>
  <si>
    <t>D7 — Presión comprador</t>
  </si>
  <si>
    <t>D9 — Riesgo financiero</t>
  </si>
  <si>
    <t>D10 — Certificación</t>
  </si>
  <si>
    <t>D11 — Ecosistema de apoyo</t>
  </si>
  <si>
    <t>D13 — Reporte sostenibilidad</t>
  </si>
  <si>
    <t>D14 — Economía circular</t>
  </si>
  <si>
    <t>D15 — Fitosanitario / LMR</t>
  </si>
  <si>
    <t>D12 — Huella de carbono (=1 «en curso»)</t>
  </si>
  <si>
    <t>PVE promedio (ISA-PV, 0-100)</t>
  </si>
  <si>
    <t>REGLA DE DATO FALTANTE (2026-10-15)</t>
  </si>
  <si>
    <t>Mientras el Instrumento 2 no se levante, ISA-EUDR, IP, RE e ISA-Completo se muestran como «—» (sin dato), nunca como 0. Barrer la cobertura en ISCAM_Score!A182:C199.</t>
  </si>
  <si>
    <t>NOTA: D2/D5/D6 provienen de SCORECARDS (carga del Instrumento 2); D1, D3, D4 y D7–D11 de ISCAM_Score. Sin dato se muestra como «—» (gris), nunca como 0: la ausencia de dato no implica incumplimiento. El promedio D1–D11 solo se calcula con 7 o más dimensiones capturadas. Actualizado 2026-10-15.</t>
  </si>
  <si>
    <t>⬜ Gris («—») — Sin dato capturado</t>
  </si>
  <si>
    <t>Umbrales: ISA-EUDR se computa con 7 o más de las 9 dimensiones D1–D9 (las ausentes se excluyen y las restantes se re-ponderan); IP exige las 8 dimensiones D2–D9. Por debajo, se reporta «—» / «N/A» (sin dato).</t>
  </si>
  <si>
    <t>CODIFICACIÓN — Instrumento 2 · opción de respuesta → puntaje 0-100.  100 = mejor alineamiento con el EUDR.  «sin dato» = no se promedia.  [R] = revisar con el autor.</t>
  </si>
  <si>
    <t>Sección / Bloque</t>
  </si>
  <si>
    <t>Opción de respuesta</t>
  </si>
  <si>
    <t>Puntaje (0-100)</t>
  </si>
  <si>
    <t>Clave (ID|Opción)</t>
  </si>
  <si>
    <t>Nota</t>
  </si>
  <si>
    <t>no puntúa el índice (identificación, validación o derivada)</t>
  </si>
  <si>
    <t>(casillas múltiples, separar con «;»)</t>
  </si>
  <si>
    <t>Puntaje = (% de destinos de la UE sobre el total marcado) × 100  [R] revisar</t>
  </si>
  <si>
    <t>Sí</t>
  </si>
  <si>
    <t>P8|Sí</t>
  </si>
  <si>
    <t>No</t>
  </si>
  <si>
    <t>P8|No</t>
  </si>
  <si>
    <t>No sabe</t>
  </si>
  <si>
    <t>sin dato</t>
  </si>
  <si>
    <t>P8|No sabe</t>
  </si>
  <si>
    <t>«sin dato» no promedia</t>
  </si>
  <si>
    <t>P10|Sí</t>
  </si>
  <si>
    <t xml:space="preserve">  [R] revisar</t>
  </si>
  <si>
    <t>P10|No</t>
  </si>
  <si>
    <t>P10|No sabe</t>
  </si>
  <si>
    <t>«sin dato» no promedia  [R] revisar</t>
  </si>
  <si>
    <t>P13|No</t>
  </si>
  <si>
    <t>Sí, de forma verbal o informal</t>
  </si>
  <si>
    <t>P13|Sí, de forma verbal o informal</t>
  </si>
  <si>
    <t>Sí, como cuestionario de proveedor o documentación formal</t>
  </si>
  <si>
    <t>P13|Sí, como cuestionario de proveedor o documentación formal</t>
  </si>
  <si>
    <t>Sí, como cláusula contractual o condición de pago</t>
  </si>
  <si>
    <t>P13|Sí, como cláusula contractual o condición de pago</t>
  </si>
  <si>
    <t>No ha intentado</t>
  </si>
  <si>
    <t>P14|No ha intentado</t>
  </si>
  <si>
    <t>Lo intentó pero no cumplió los criterios</t>
  </si>
  <si>
    <t>P14|Lo intentó pero no cumplió los criterios</t>
  </si>
  <si>
    <t>Sí, recibió financiamiento verde</t>
  </si>
  <si>
    <t>P14|Sí, recibió financiamiento verde</t>
  </si>
  <si>
    <t>No sabe si aplica a su caso</t>
  </si>
  <si>
    <t>P14|No sabe si aplica a su caso</t>
  </si>
  <si>
    <t>D1.1|Sí</t>
  </si>
  <si>
    <t>D1.1|No</t>
  </si>
  <si>
    <t>Sí con certeza</t>
  </si>
  <si>
    <t>D1.3|Sí con certeza</t>
  </si>
  <si>
    <t>Idea aproximada</t>
  </si>
  <si>
    <t>D1.3|Idea aproximada</t>
  </si>
  <si>
    <t>D1.3|No sabe</t>
  </si>
  <si>
    <t>D1.4|Sí</t>
  </si>
  <si>
    <t>D1.4|No</t>
  </si>
  <si>
    <t>D1.4|No sabe</t>
  </si>
  <si>
    <t>Operador</t>
  </si>
  <si>
    <t>D1.3a|Operador</t>
  </si>
  <si>
    <t>Operador posterior</t>
  </si>
  <si>
    <t>D1.3a|Operador posterior</t>
  </si>
  <si>
    <t>Comerciante</t>
  </si>
  <si>
    <t>D1.3a|Comerciante</t>
  </si>
  <si>
    <t>Micro o pequeño operador primario</t>
  </si>
  <si>
    <t>D1.3a|Micro o pequeño operador primario</t>
  </si>
  <si>
    <t>D1.3a|No sabe</t>
  </si>
  <si>
    <t>(todas las opciones 0–4)</t>
  </si>
  <si>
    <t>Escala 0-4 ×25 → 0-100</t>
  </si>
  <si>
    <t>(valor numérico)</t>
  </si>
  <si>
    <t>Valor nativo 0-100</t>
  </si>
  <si>
    <t>Técnico propio</t>
  </si>
  <si>
    <t>D2.8|Técnico propio</t>
  </si>
  <si>
    <t>Consultor</t>
  </si>
  <si>
    <t>D2.8|Consultor</t>
  </si>
  <si>
    <t>Proyecto de cooperación</t>
  </si>
  <si>
    <t>D2.8|Proyecto de cooperación</t>
  </si>
  <si>
    <t>Socio por su cuenta</t>
  </si>
  <si>
    <t>D2.8|Socio por su cuenta</t>
  </si>
  <si>
    <t>No se ha levantado</t>
  </si>
  <si>
    <t>D2.8|No se ha levantado</t>
  </si>
  <si>
    <t>Nunca</t>
  </si>
  <si>
    <t>D2.9|Nunca</t>
  </si>
  <si>
    <t>Al ingreso del socio</t>
  </si>
  <si>
    <t>D2.9|Al ingreso del socio</t>
  </si>
  <si>
    <t>Anual</t>
  </si>
  <si>
    <t>D2.9|Anual</t>
  </si>
  <si>
    <t>Por cosecha</t>
  </si>
  <si>
    <t>D2.9|Por cosecha</t>
  </si>
  <si>
    <t>Sí, se mezclan sin control</t>
  </si>
  <si>
    <t>D2.10|Sí, se mezclan sin control</t>
  </si>
  <si>
    <t>Se mezclan pero con registro de origen</t>
  </si>
  <si>
    <t>D2.10|Se mezclan pero con registro de origen</t>
  </si>
  <si>
    <t>No, se mantiene segregación física completa</t>
  </si>
  <si>
    <t>D2.10|No, se mantiene segregación física completa</t>
  </si>
  <si>
    <t>0%, todo proviene de socios</t>
  </si>
  <si>
    <t>D2.5a|0%, todo proviene de socios</t>
  </si>
  <si>
    <t>Menos del 10%</t>
  </si>
  <si>
    <t>D2.5a|Menos del 10%</t>
  </si>
  <si>
    <t>Entre 10% y 30%</t>
  </si>
  <si>
    <t>D2.5a|Entre 10% y 30%</t>
  </si>
  <si>
    <t>Más del 30%</t>
  </si>
  <si>
    <t>D2.5a|Más del 30%</t>
  </si>
  <si>
    <t>No se ha cuantificado</t>
  </si>
  <si>
    <t>D2.5a|No se ha cuantificado</t>
  </si>
  <si>
    <t>Sí, verificado con georreferencia</t>
  </si>
  <si>
    <t>D2.5b|Sí, verificado con georreferencia</t>
  </si>
  <si>
    <t>Sí, pero sin georreferencia</t>
  </si>
  <si>
    <t>D2.5b|Sí, pero sin georreferencia</t>
  </si>
  <si>
    <t>Solo nombre y cantidad</t>
  </si>
  <si>
    <t>D2.5b|Solo nombre y cantidad</t>
  </si>
  <si>
    <t>No se registra</t>
  </si>
  <si>
    <t>D2.5b|No se registra</t>
  </si>
  <si>
    <t>No aplica</t>
  </si>
  <si>
    <t>D2.5b|No aplica</t>
  </si>
  <si>
    <t>Sí, extensa</t>
  </si>
  <si>
    <t>D3.12|Sí, extensa</t>
  </si>
  <si>
    <t>Sí, puntual</t>
  </si>
  <si>
    <t>D3.12|Sí, puntual</t>
  </si>
  <si>
    <t>Sí, en área natural protegida o zona de amortiguamiento</t>
  </si>
  <si>
    <t>D3.12|Sí, en área natural protegida o zona de amortiguamiento</t>
  </si>
  <si>
    <t>No verificado</t>
  </si>
  <si>
    <t>D3.12|No verificado</t>
  </si>
  <si>
    <t>No, ninguna</t>
  </si>
  <si>
    <t>D3.12|No, ninguna</t>
  </si>
  <si>
    <t>D3.14|Sí</t>
  </si>
  <si>
    <t>D3.14|No</t>
  </si>
  <si>
    <t>D3.14|No verificado</t>
  </si>
  <si>
    <t>Sí, todas las fuentes verificadas</t>
  </si>
  <si>
    <t>D3.14a|Sí, todas las fuentes verificadas</t>
  </si>
  <si>
    <t>Parcialmente</t>
  </si>
  <si>
    <t>D3.14a|Parcialmente</t>
  </si>
  <si>
    <t>D3.14a|No</t>
  </si>
  <si>
    <t>D3.14a|No aplica</t>
  </si>
  <si>
    <t>Siempre</t>
  </si>
  <si>
    <t>D3.14b|Siempre</t>
  </si>
  <si>
    <t>A veces</t>
  </si>
  <si>
    <t>D3.14b|A veces</t>
  </si>
  <si>
    <t>D3.14b|No</t>
  </si>
  <si>
    <t>D3.14b|No aplica</t>
  </si>
  <si>
    <t>D3.14c|Sí</t>
  </si>
  <si>
    <t>D3.14c|No</t>
  </si>
  <si>
    <t>D3.14c|No sabe</t>
  </si>
  <si>
    <t>No existe ningún derecho de terceros</t>
  </si>
  <si>
    <t>D3.14d|No existe ningún derecho de terceros</t>
  </si>
  <si>
    <t>Existe, pero está registrado y no restringe el uso</t>
  </si>
  <si>
    <t>D3.14d|Existe, pero está registrado y no restringe el uso</t>
  </si>
  <si>
    <t>Existe un acuerdo documentado con el titular o con la autoridad que legitima el uso, aunque la cooperativa o el socio no tenga título formal</t>
  </si>
  <si>
    <t>D3.14d|Existe un acuerdo documentado con el titular o con la autoridad que legitima el uso, aunque la cooperativa o el socio no tenga título formal</t>
  </si>
  <si>
    <t>Existe usufructo, arrendamiento o carga sin acuerdo que lo resuelva</t>
  </si>
  <si>
    <t>D3.14d|Existe usufructo, arrendamiento o carga sin acuerdo que lo resuelva</t>
  </si>
  <si>
    <t>Se han invocado derechos de uso tradicional o consuetudinarios por una comunidad o pueblo indígena sin proceso de acuerdo</t>
  </si>
  <si>
    <t>D3.14d|Se han invocado derechos de uso tradicional o consuetudinarios por una comunidad o pueblo indígena sin proceso de acuerdo</t>
  </si>
  <si>
    <t>D3.14d|No verificado</t>
  </si>
  <si>
    <t>Sí, verificado</t>
  </si>
  <si>
    <t>D3.14e|Sí, verificado</t>
  </si>
  <si>
    <t>D3.14e|Parcialmente</t>
  </si>
  <si>
    <t>D3.14e|No verificado</t>
  </si>
  <si>
    <t>D3.14e|No sabe</t>
  </si>
  <si>
    <t>Sí, formalizado</t>
  </si>
  <si>
    <t>D3.14f|Sí, formalizado</t>
  </si>
  <si>
    <t>Informal</t>
  </si>
  <si>
    <t>D3.14f|Informal</t>
  </si>
  <si>
    <t>No existe</t>
  </si>
  <si>
    <t>D3.14f|No existe</t>
  </si>
  <si>
    <t>Sí, proceso documentado</t>
  </si>
  <si>
    <t>D3.14g|Sí, proceso documentado</t>
  </si>
  <si>
    <t>Aplica pero no se ha realizado</t>
  </si>
  <si>
    <t>D3.14g|Aplica pero no se ha realizado</t>
  </si>
  <si>
    <t>No aplica, no hay territorios de este tipo</t>
  </si>
  <si>
    <t>D3.14g|No aplica, no hay territorios de este tipo</t>
  </si>
  <si>
    <t>D3.14g|No sabe</t>
  </si>
  <si>
    <t>Sí, vigentes y verificadas</t>
  </si>
  <si>
    <t>D3.14h|Sí, vigentes y verificadas</t>
  </si>
  <si>
    <t>Parcial, alguna falta o está vencida</t>
  </si>
  <si>
    <t>D3.14h|Parcial, alguna falta o está vencida</t>
  </si>
  <si>
    <t>D3.14h|No</t>
  </si>
  <si>
    <t>No aplica (sin actividad que la requiera)</t>
  </si>
  <si>
    <t>D3.14h|No aplica (sin actividad que la requiera)</t>
  </si>
  <si>
    <t>Sí, vigente y sin resolver</t>
  </si>
  <si>
    <t>D3.14i|Sí, vigente y sin resolver</t>
  </si>
  <si>
    <t>Sí, en proceso de resolución</t>
  </si>
  <si>
    <t>D3.14i|Sí, en proceso de resolución</t>
  </si>
  <si>
    <t>D3.14i|No</t>
  </si>
  <si>
    <t>D3.14i|No sabe</t>
  </si>
  <si>
    <t>D4.15|No verificado</t>
  </si>
  <si>
    <t>Verificación parcial</t>
  </si>
  <si>
    <t>D4.15|Verificación parcial</t>
  </si>
  <si>
    <t>Verificado sin hallazgos</t>
  </si>
  <si>
    <t>D4.15|Verificado sin hallazgos</t>
  </si>
  <si>
    <t>Casos detectados sin resolver</t>
  </si>
  <si>
    <t>D4.15|Casos detectados sin resolver</t>
  </si>
  <si>
    <t>Verificado sistemáticamente y documentado</t>
  </si>
  <si>
    <t>D4.15|Verificado sistemáticamente y documentado</t>
  </si>
  <si>
    <t>Sí documentado</t>
  </si>
  <si>
    <t>D4.17|Sí documentado</t>
  </si>
  <si>
    <t>D4.17|Idea aproximada</t>
  </si>
  <si>
    <t>D4.17|No sabe</t>
  </si>
  <si>
    <t>Sí, detectadas y sin resolver</t>
  </si>
  <si>
    <t>D4.15a|Sí, detectadas y sin resolver</t>
  </si>
  <si>
    <t>Sí, detectadas y mitigadas o aclaradas</t>
  </si>
  <si>
    <t>D4.15a|Sí, detectadas y mitigadas o aclaradas</t>
  </si>
  <si>
    <t>No se han detectado</t>
  </si>
  <si>
    <t>D4.15a|No se han detectado</t>
  </si>
  <si>
    <t>No se monitorea</t>
  </si>
  <si>
    <t>D4.15a|No se monitorea</t>
  </si>
  <si>
    <t>No se prioriza, se atiende lo que surge</t>
  </si>
  <si>
    <t>D5.18b|No se prioriza, se atiende lo que surge</t>
  </si>
  <si>
    <t>Priorización informal, sin criterio escrito</t>
  </si>
  <si>
    <t>D5.18b|Priorización informal, sin criterio escrito</t>
  </si>
  <si>
    <t>Priorización estructurada con matriz probabilidad×impacto o similar</t>
  </si>
  <si>
    <t>D5.18b|Priorización estructurada con matriz probabilidad×impacto o similar</t>
  </si>
  <si>
    <t>No sabe qué es</t>
  </si>
  <si>
    <t>D5.19|No sabe qué es</t>
  </si>
  <si>
    <t>No pero lo entiende</t>
  </si>
  <si>
    <t>D5.19|No pero lo entiende</t>
  </si>
  <si>
    <t>En proceso</t>
  </si>
  <si>
    <t>D5.19|En proceso</t>
  </si>
  <si>
    <t>Presentada y aceptada</t>
  </si>
  <si>
    <t>D5.19|Presentada y aceptada</t>
  </si>
  <si>
    <t>Puntaje = (n.º marcados ÷ 7) × 100</t>
  </si>
  <si>
    <t>D5.20|No</t>
  </si>
  <si>
    <t>Función adicional</t>
  </si>
  <si>
    <t>D5.20|Función adicional</t>
  </si>
  <si>
    <t>Dedicado</t>
  </si>
  <si>
    <t>D5.20|Dedicado</t>
  </si>
  <si>
    <t>D5.21|No</t>
  </si>
  <si>
    <t>Hace más de 12 meses</t>
  </si>
  <si>
    <t>D5.21|Hace más de 12 meses</t>
  </si>
  <si>
    <t>Sí, reciente</t>
  </si>
  <si>
    <t>D5.21|Sí, reciente</t>
  </si>
  <si>
    <t>No hay revisión definida</t>
  </si>
  <si>
    <t>D5.21a|No hay revisión definida</t>
  </si>
  <si>
    <t>Revisión reactiva, sin frecuencia fija</t>
  </si>
  <si>
    <t>D5.21a|Revisión reactiva, sin frecuencia fija</t>
  </si>
  <si>
    <t>Revisión periódica definida</t>
  </si>
  <si>
    <t>D5.21a|Revisión periódica definida</t>
  </si>
  <si>
    <t>D5.21b|No</t>
  </si>
  <si>
    <t>Sí, uso interno solamente</t>
  </si>
  <si>
    <t>D5.21b|Sí, uso interno solamente</t>
  </si>
  <si>
    <t>Sí, interno y compartido con compradores u otras partes interesadas</t>
  </si>
  <si>
    <t>D5.21b|Sí, interno y compartido con compradores u otras partes interesadas</t>
  </si>
  <si>
    <t>D6.22|No</t>
  </si>
  <si>
    <t>Parcial, solo actividades de cumplimiento</t>
  </si>
  <si>
    <t>D6.22|Parcial, solo actividades de cumplimiento</t>
  </si>
  <si>
    <t>Parcial, incluye tecnología y datos</t>
  </si>
  <si>
    <t>D6.22|Parcial, incluye tecnología y datos</t>
  </si>
  <si>
    <t>Sí, con partida explícita para tecnología y datos</t>
  </si>
  <si>
    <t>D6.22|Sí, con partida explícita para tecnología y datos</t>
  </si>
  <si>
    <t>D6.22a|No existe</t>
  </si>
  <si>
    <t>Existe en papel desorganizado</t>
  </si>
  <si>
    <t>D6.22a|Existe en papel desorganizado</t>
  </si>
  <si>
    <t>Existe digital pero sin vínculos entre tablas</t>
  </si>
  <si>
    <t>D6.22a|Existe digital pero sin vínculos entre tablas</t>
  </si>
  <si>
    <t>Existe digital con vínculos actualizados entre socio-parcela-lote</t>
  </si>
  <si>
    <t>D6.22a|Existe digital con vínculos actualizados entre socio-parcela-lote</t>
  </si>
  <si>
    <t>Excel o Access básico</t>
  </si>
  <si>
    <t>D6.22b|Excel o Access básico</t>
  </si>
  <si>
    <t>Software especializado de trazabilidad (ChainPoint, Teia, BQuant, otro)</t>
  </si>
  <si>
    <t>D6.22b|Software especializado de trazabilidad (ChainPoint, Teia, BQuant, otro)</t>
  </si>
  <si>
    <t>Sistema web propio o de tercero</t>
  </si>
  <si>
    <t>D6.22b|Sistema web propio o de tercero</t>
  </si>
  <si>
    <t>Base de datos personalizada con soporte técnico regular</t>
  </si>
  <si>
    <t>D6.22b|Base de datos personalizada con soporte técnico regular</t>
  </si>
  <si>
    <t>Papel</t>
  </si>
  <si>
    <t>D6.23|Papel</t>
  </si>
  <si>
    <t>Mixto</t>
  </si>
  <si>
    <t>D6.23|Mixto</t>
  </si>
  <si>
    <t>Digital</t>
  </si>
  <si>
    <t>D6.23|Digital</t>
  </si>
  <si>
    <t>No hay</t>
  </si>
  <si>
    <t>D6.24|No hay</t>
  </si>
  <si>
    <t>Limitada</t>
  </si>
  <si>
    <t>D6.24|Limitada</t>
  </si>
  <si>
    <t>Confiable</t>
  </si>
  <si>
    <t>D6.24|Confiable</t>
  </si>
  <si>
    <t>No y lo necesita</t>
  </si>
  <si>
    <t>D6.25|No y lo necesita</t>
  </si>
  <si>
    <t>No lo cree necesario</t>
  </si>
  <si>
    <t>D6.25|No lo cree necesario</t>
  </si>
  <si>
    <t>Sí en el pasado</t>
  </si>
  <si>
    <t>D6.25|Sí en el pasado</t>
  </si>
  <si>
    <t>Sí activo</t>
  </si>
  <si>
    <t>D6.25|Sí activo</t>
  </si>
  <si>
    <t>No existe política de respaldo</t>
  </si>
  <si>
    <t>D6.25a|No existe política de respaldo</t>
  </si>
  <si>
    <t>Parcial, solo los más críticos</t>
  </si>
  <si>
    <t>D6.25a|Parcial, solo los más críticos</t>
  </si>
  <si>
    <t>Sí, con respaldo definido pero no probado</t>
  </si>
  <si>
    <t>D6.25a|Sí, con respaldo definido pero no probado</t>
  </si>
  <si>
    <t>Sí, con protocolo probado periódicamente</t>
  </si>
  <si>
    <t>D6.25a|Sí, con protocolo probado periódicamente</t>
  </si>
  <si>
    <t>Diseñado internamente</t>
  </si>
  <si>
    <t>D6.25b|Diseñado internamente</t>
  </si>
  <si>
    <t>Con apoyo de ONG o programa</t>
  </si>
  <si>
    <t>D6.25b|Con apoyo de ONG o programa</t>
  </si>
  <si>
    <t>Con apoyo de consultoría o proveedor IT</t>
  </si>
  <si>
    <t>D6.25b|Con apoyo de consultoría o proveedor IT</t>
  </si>
  <si>
    <t>Nunca se ha probado</t>
  </si>
  <si>
    <t>D6.25b|Nunca se ha probado</t>
  </si>
  <si>
    <t>Probado hace más de 12 meses</t>
  </si>
  <si>
    <t>D6.25b|Probado hace más de 12 meses</t>
  </si>
  <si>
    <t>Probado en los últimos 12 meses</t>
  </si>
  <si>
    <t>D6.25b|Probado en los últimos 12 meses</t>
  </si>
  <si>
    <t>Sí, personal dedicado</t>
  </si>
  <si>
    <t>D6.22c|Sí, personal dedicado</t>
  </si>
  <si>
    <t>Parcial, como función adicional</t>
  </si>
  <si>
    <t>D6.22c|Parcial, como función adicional</t>
  </si>
  <si>
    <t>D6.22c|No</t>
  </si>
  <si>
    <t>D6.22c|No sabe</t>
  </si>
  <si>
    <t>Aún no</t>
  </si>
  <si>
    <t>D7.26|Aún no</t>
  </si>
  <si>
    <t>Informalmente</t>
  </si>
  <si>
    <t>D7.26|Informalmente</t>
  </si>
  <si>
    <t>Formalmente por escrito</t>
  </si>
  <si>
    <t>D7.26|Formalmente por escrito</t>
  </si>
  <si>
    <t>D7.27|Sí</t>
  </si>
  <si>
    <t>D7.27|No</t>
  </si>
  <si>
    <t>D7.28|No sabe</t>
  </si>
  <si>
    <t>Bajo</t>
  </si>
  <si>
    <t>D7.28|Bajo</t>
  </si>
  <si>
    <t>Medio</t>
  </si>
  <si>
    <t>D7.28|Medio</t>
  </si>
  <si>
    <t>Alto</t>
  </si>
  <si>
    <t>D7.28|Alto</t>
  </si>
  <si>
    <t>No ha mencionado nada</t>
  </si>
  <si>
    <t>D7.28b|No ha mencionado nada</t>
  </si>
  <si>
    <t>Lo ha mencionado verbalmente sin requisito formal</t>
  </si>
  <si>
    <t>D7.28b|Lo ha mencionado verbalmente sin requisito formal</t>
  </si>
  <si>
    <t>Sí, ha enviado documentación o cuestionario de proveedores</t>
  </si>
  <si>
    <t>D7.28b|Sí, ha enviado documentación o cuestionario de proveedores</t>
  </si>
  <si>
    <t>Sí, lo ha formalizado como cláusula contractual</t>
  </si>
  <si>
    <t>D7.28b|Sí, lo ha formalizado como cláusula contractual</t>
  </si>
  <si>
    <t>Puntaje = (n.º marcados ÷ 8) × 100  [R] revisar</t>
  </si>
  <si>
    <t>Sí, empresa de la UE</t>
  </si>
  <si>
    <t>D7.26a|Sí, empresa de la UE</t>
  </si>
  <si>
    <t>No es de la UE pero está sujeto a CSDDD</t>
  </si>
  <si>
    <t>D7.26a|No es de la UE pero está sujeto a CSDDD</t>
  </si>
  <si>
    <t>D7.26a|No</t>
  </si>
  <si>
    <t>D7.26a|No sabe</t>
  </si>
  <si>
    <t>Sí, con cláusula explícita EUDR o equivalente</t>
  </si>
  <si>
    <t>D7.26b|Sí, con cláusula explícita EUDR o equivalente</t>
  </si>
  <si>
    <t>Sí, pero sin cláusula específica</t>
  </si>
  <si>
    <t>D7.26b|Sí, pero sin cláusula específica</t>
  </si>
  <si>
    <t>No hay contrato escrito</t>
  </si>
  <si>
    <t>D7.26b|No hay contrato escrito</t>
  </si>
  <si>
    <t>D7.26b|No sabe</t>
  </si>
  <si>
    <t>D8.31|No existe</t>
  </si>
  <si>
    <t>Se pide informalmente</t>
  </si>
  <si>
    <t>D8.31|Se pide informalmente</t>
  </si>
  <si>
    <t>Es requisito formal para vender a la cooperativa</t>
  </si>
  <si>
    <t>D8.31|Es requisito formal para vender a la cooperativa</t>
  </si>
  <si>
    <t>Alta</t>
  </si>
  <si>
    <t>D8.32|Alta</t>
  </si>
  <si>
    <t>Moderada</t>
  </si>
  <si>
    <t>D8.32|Moderada</t>
  </si>
  <si>
    <t>Baja/estable</t>
  </si>
  <si>
    <t>D8.32|Baja/estable</t>
  </si>
  <si>
    <t>Costo mayor al 10% del presupuesto anual</t>
  </si>
  <si>
    <t>D9.33|Costo mayor al 10% del presupuesto anual</t>
  </si>
  <si>
    <t>Entre 3-10%</t>
  </si>
  <si>
    <t>D9.33|Entre 3-10%</t>
  </si>
  <si>
    <t>Menor al 3%</t>
  </si>
  <si>
    <t>D9.33|Menor al 3%</t>
  </si>
  <si>
    <t>No se ha estimado</t>
  </si>
  <si>
    <t>D9.33|No se ha estimado</t>
  </si>
  <si>
    <t>Con crédito o endeudamiento</t>
  </si>
  <si>
    <t>D9.34|Con crédito o endeudamiento</t>
  </si>
  <si>
    <t>Con recursos propios</t>
  </si>
  <si>
    <t>D9.34|Con recursos propios</t>
  </si>
  <si>
    <t>Existe fuente de financiamiento identificada (verde, cooperación o programa público), aún no ejecutada</t>
  </si>
  <si>
    <t>D9.34|Existe fuente de financiamiento identificada (verde, cooperación o programa público), aún no ejecutada</t>
  </si>
  <si>
    <t>No ha sido necesario</t>
  </si>
  <si>
    <t>D9.34|No ha sido necesario</t>
  </si>
  <si>
    <t>D9.34|No sabe</t>
  </si>
  <si>
    <t>Sí, ya ha ocurrido</t>
  </si>
  <si>
    <t>D9.35|Sí, ya ha ocurrido</t>
  </si>
  <si>
    <t>Es un riesgo latente</t>
  </si>
  <si>
    <t>D9.35|Es un riesgo latente</t>
  </si>
  <si>
    <t>D9.35|No aplica</t>
  </si>
  <si>
    <t>No se ha evaluado</t>
  </si>
  <si>
    <t>D9.35|No se ha evaluado</t>
  </si>
  <si>
    <t>Sí, totalmente</t>
  </si>
  <si>
    <t>D10.36|Sí, totalmente</t>
  </si>
  <si>
    <t>Sí, en parte</t>
  </si>
  <si>
    <t>D10.36|Sí, en parte</t>
  </si>
  <si>
    <t>No, sabe que son cosas distintas</t>
  </si>
  <si>
    <t>D10.36|No, sabe que son cosas distintas</t>
  </si>
  <si>
    <t>No tiene certificación</t>
  </si>
  <si>
    <t>D10.36|No tiene certificación</t>
  </si>
  <si>
    <t>D10.37|Sí</t>
  </si>
  <si>
    <t>D10.37|No</t>
  </si>
  <si>
    <t>Sí, asesoría especializada en EUDR</t>
  </si>
  <si>
    <t>D10.36a|Sí, asesoría especializada en EUDR</t>
  </si>
  <si>
    <t>Solo asesoría genérica de sostenibilidad</t>
  </si>
  <si>
    <t>D10.36a|Solo asesoría genérica de sostenibilidad</t>
  </si>
  <si>
    <t>No ha recibido asesoría</t>
  </si>
  <si>
    <t>D10.36a|No ha recibido asesoría</t>
  </si>
  <si>
    <t>D10.36a|No sabe</t>
  </si>
  <si>
    <t>Puntaje = (n.º marcados ÷ 7) × 100; «Ninguno» = 0  [R] revisar</t>
  </si>
  <si>
    <t>D11.39a|Sí</t>
  </si>
  <si>
    <t>En proceso de inscripción</t>
  </si>
  <si>
    <t>D11.39a|En proceso de inscripción</t>
  </si>
  <si>
    <t>D11.39a|No</t>
  </si>
  <si>
    <t>No conoce la plataforma</t>
  </si>
  <si>
    <t>D11.39a|No conoce la plataforma</t>
  </si>
  <si>
    <t>No mide (0)</t>
  </si>
  <si>
    <t>D12.42|No mide (0)</t>
  </si>
  <si>
    <t>Registra insumos o mide parcialmente, en curso (1)</t>
  </si>
  <si>
    <t>D12.42|Registra insumos o mide parcialmente, en curso (1)</t>
  </si>
  <si>
    <t>Calculada y verificada por tercero (2)</t>
  </si>
  <si>
    <t>D12.42|Calculada y verificada por tercero (2)</t>
  </si>
  <si>
    <t>No (0)</t>
  </si>
  <si>
    <t>D13.45|No (0)</t>
  </si>
  <si>
    <t>En preparación (1)</t>
  </si>
  <si>
    <t>D13.45|En preparación (1)</t>
  </si>
  <si>
    <t>Publicado (2)</t>
  </si>
  <si>
    <t>D13.45|Publicado (2)</t>
  </si>
  <si>
    <t>D14.51|No (0)</t>
  </si>
  <si>
    <t>En transición, prácticas aisladas (1)</t>
  </si>
  <si>
    <t>D14.51|En transición, prácticas aisladas (1)</t>
  </si>
  <si>
    <t>Avanzado, procesos establecidos (2)</t>
  </si>
  <si>
    <t>D14.51|Avanzado, procesos establecidos (2)</t>
  </si>
  <si>
    <t>No verificado (0)</t>
  </si>
  <si>
    <t>D15.58|No verificado (0)</t>
  </si>
  <si>
    <t>En monitoreo interno (1)</t>
  </si>
  <si>
    <t>D15.58|En monitoreo interno (1)</t>
  </si>
  <si>
    <t>Cumple límites UE verificado (2)</t>
  </si>
  <si>
    <t>D15.58|Cumple límites UE verificado (2)</t>
  </si>
  <si>
    <t>Yute reutilizable</t>
  </si>
  <si>
    <t>PP1|Yute reutilizable</t>
  </si>
  <si>
    <t>Yute nuevo de un solo uso</t>
  </si>
  <si>
    <t>PP1|Yute nuevo de un solo uso</t>
  </si>
  <si>
    <t>Big-bag o saco plástico</t>
  </si>
  <si>
    <t>PP1|Big-bag o saco plástico</t>
  </si>
  <si>
    <t>Saco de papel</t>
  </si>
  <si>
    <t>PP1|Saco de papel</t>
  </si>
  <si>
    <t>Otro (especificar)</t>
  </si>
  <si>
    <t>PP1|Otro (especificar)</t>
  </si>
  <si>
    <t>PP2|Sí</t>
  </si>
  <si>
    <t>PP2|No</t>
  </si>
  <si>
    <t>PP2|No sabe</t>
  </si>
  <si>
    <t>CAPTURA — Instrumento 2 (119 preguntas · 1 respuesta por cooperativa).  Pegue aquí las respuestas del formulario; el motor calcula solo.  Casillas múltiples: separe con «;».  El enunciado completo está en INSTRUMENTO_2_PREGUNTAS.</t>
  </si>
  <si>
    <t>RUC (clave de unión)</t>
  </si>
  <si>
    <t>NORMALIZADO — 0-100 automático (hoja de cálculo, no editar).  Lee CAPTURA y aplica CODIFICACION; los vacíos se propagan como «sin dato».</t>
  </si>
  <si>
    <t>COBERTURA DE CAPTURA POR DIMENSIÓN  (n de 174)  — calculada sobre NORMALIZADO</t>
  </si>
  <si>
    <t>D3 — Legalidad OSCE/OEFA + encuesta</t>
  </si>
  <si>
    <t>Organizaciones con ISA-EUDR computable (≥7 de D1–D9)</t>
  </si>
  <si>
    <t>Organizaciones con IP computable (8 de D2–D9)</t>
  </si>
  <si>
    <t>Cargar las respuestas del Instrumento 2 en la hoja CAPTURA: una fila por cooperativa (RUC y razón social ya precargados) y una columna por pregunta, con lista desplegable en las preguntas de opción. Es la única hoja donde se escribe: NORMALIZADO calcula los 0-100 por pregunta y las dimensiones D1-D11, y el motor (ISCAM_Score), los semáforos y el radar se recalculan solos.</t>
  </si>
  <si>
    <t>Cómo funciona la carga del instrumento: la hoja CODIFICACION es la tabla de codificación (cada opción de respuesta vale 0-100, o «sin dato» si la opción expresa desconocimiento o no aplicación); la hoja CAPTURA es la entrada de datos; y la hoja NORMALIZADO convierte y agrega. Si una respuesta no está en la tabla, se marca «⚠» para revisarla. Las preguntas de casillas múltiples se separan con «;». La tabla de codificación marca con «[R]» los ítems a ratificar antes del levantamiento de campo.</t>
  </si>
  <si>
    <t>CAPA DE INGESTA (2026-10-15)</t>
  </si>
  <si>
    <t>El Instrumento 2 se carga en CAPTURA; CODIFICACION traduce cada opción a 0-100 (o «sin dato») y NORMALIZADO entrega el 0-100 por pregunta y el agregado de D1-D11, que alimenta ISCAM_Score. D3 conserva el valor de la consulta OSCE/OEFA cuando no hay respuesta de encuesta.</t>
  </si>
  <si>
    <t>Cobertura ISA-PV (n de 7 componentes presentes; PPWR pendiente). ISA-PV se repondera sobre los componentes presentes.</t>
  </si>
  <si>
    <t>EXP_UE 20% + TRAZA 16% + DILIG 12% + CAPAC 8% + PRESION 12% + CERTIF 8% + PPWR 4% + AMBIENTAL(D12-D15) 20% — ver ISCAM_Score!AI y MATRIZ_174!AP  Desde 2026-10-15 se REPONDERA sobre los componentes presentes (un componente sin dato ya no cuenta como 0); PPWR queda excluido mientras no tenga fuente. Ver MATRIZ_174!AP y la cobertura en MATRIZ_174!AQ.</t>
  </si>
  <si>
    <t>ISA-PV REPONDERADA (2026-10-15)</t>
  </si>
  <si>
    <t>ISA-PV = Σ(wᵢ·vᵢ) ÷ Σwᵢ sobre los componentes con dato, como ISA-EUDR. Antes el denominador fijo (100) hacía que un componente sin dato contara como 0 y recortaba el índice.</t>
  </si>
  <si>
    <t>Cert. Orgánica — texto fuente (interno)</t>
  </si>
  <si>
    <t>Cert. Comercio Justo — texto fuente (interno)</t>
  </si>
  <si>
    <t>Certificacion Organica, vigencia hasta 14/08/2026</t>
  </si>
  <si>
    <t>Vigencia organica hasta 26/03/2027</t>
  </si>
  <si>
    <t>Certificacion Organica, 26 de noviembre del 2026</t>
  </si>
  <si>
    <t>Certificación Orgánica, Vigencia hasta agosto 2026</t>
  </si>
  <si>
    <t>Fairtrade hasta junio 2026</t>
  </si>
  <si>
    <t>Certificación Orgánica, vigencia hasta agosto 2026</t>
  </si>
  <si>
    <t>Fair trade hasta junio 2027</t>
  </si>
  <si>
    <t>Certificacion Organica, , vigencia hasta agosto 2026.</t>
  </si>
  <si>
    <t>FairTrade (en proceso)</t>
  </si>
  <si>
    <t>Si (CU827371 - Vence 24/08/2026)</t>
  </si>
  <si>
    <t>Si ( FAIR TRADE INTERNACIONAL - 28953 - 27/07/2027), (FAIR TRADING USA - 101034770 - 27/07/2027)</t>
  </si>
  <si>
    <t>PE-BIO-149.604-0001347.2025.002 VIGENCIA 07/09/2026</t>
  </si>
  <si>
    <t>FLO ID: 30733 vigencia (02/02/2028)</t>
  </si>
  <si>
    <t>SI(VIGENTE HASTA EL OCTUBRE 2026)</t>
  </si>
  <si>
    <t>Si (vigencia hasta el 01/04/2027) IMO CERT Latinoamerica LTDA , N° de certificado: 6400012046</t>
  </si>
  <si>
    <t>Si (vigente hasta julio del 2028)</t>
  </si>
  <si>
    <t>SI(VIGENTE HASTA EL 31 DE MARZO 2026)</t>
  </si>
  <si>
    <t>SI (VIGENTE HASTA EL 30 DE ABRIL 2026)</t>
  </si>
  <si>
    <t>SI ( VIGENTE HASTA AGOSTO 2026)</t>
  </si>
  <si>
    <t>SI (VIGENTE HASTA SEPTIEMBRE 2026)</t>
  </si>
  <si>
    <t>SI (Vigente hasta 31 de agosto del 2026)</t>
  </si>
  <si>
    <t>SI. Vigente</t>
  </si>
  <si>
    <t>Si (vigencia hasta el 23/10/2026) certificación de OCI Internacionla N° LPO -00750</t>
  </si>
  <si>
    <t>Si (vigencia hasta junio del 2028)</t>
  </si>
  <si>
    <t>UE (PE-BIO-178.604-0001170.2025.001 vigencia 18/11/2026) USA ( ID NOP 6250042027 vigencia 19/08/2026) JAS (CE-013613-2025 vigencia 14/06/2026)</t>
  </si>
  <si>
    <t>FLO ID 40548 vigencia 13/08/2026</t>
  </si>
  <si>
    <t>2511042 PE, VIGENCIA HASTA 16 NOV 2026</t>
  </si>
  <si>
    <t>FLO ID 41859, VIGENCIA HASTA 24 DIC 2029</t>
  </si>
  <si>
    <t>FLO ID 1931022; VIGENCIA HASTA SETIEMBRE 2028</t>
  </si>
  <si>
    <t>Si (OCIA_2114, VENCIDO en proceso de Renovación)</t>
  </si>
  <si>
    <t>Si (FAIR TRADE USA, VENCE 08/04/2028)</t>
  </si>
  <si>
    <t>Si (vigente a noviembre 2026)</t>
  </si>
  <si>
    <t>REGLA «SIN DATO» (2026-10-15)</t>
  </si>
  <si>
    <t>Un cero de relleno (falta de dato) se muestra como celda vacía, nunca como 0. Se vaciaron: L (FOB UE) y E (FOB total) de las organizaciones sin DUAs; P1..P14 (indicadores no levantados). M (% UE/FOB) y O (score de certificación) devuelven «» cuando falta el insumo. H/I venían truncadas a 3 caracteres y se recodificaron a SI/NO/«» desde la fuente (texto original en AR/AS). Un cero medido —por ejemplo, una organización que exporta pero no a la UE— se conserva.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</si>
</sst>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1"/>
      <color theme="1"/>
      <name val="Calibri"/>
      <family val="2"/>
      <scheme val="minor"/>
    </font>
    <font>
      <b/>
      <sz val="11"/>
      <name val="Calibri"/>
    </font>
    <font>
      <b/>
      <sz val="13"/>
      <color rgb="FFFFFFFF"/>
      <name val="Calibri"/>
    </font>
    <font>
      <i/>
      <sz val="9"/>
      <name val="Calibri"/>
    </font>
    <font>
      <b/>
      <sz val="10"/>
      <color rgb="FFFFFFFF"/>
      <name val="Calibri"/>
    </font>
    <font>
      <i/>
      <sz val="11"/>
      <color rgb="FF999999"/>
      <name val="Calibri"/>
    </font>
    <font>
      <b/>
      <sz val="11"/>
      <color rgb="FFFFFFFF"/>
      <name val="Calibri"/>
    </font>
    <font>
      <i/>
      <sz val="8"/>
      <name val="Calibri"/>
    </font>
    <font>
      <b/>
      <sz val="11"/>
      <color rgb="FF1F4E79"/>
      <name val="Calibri"/>
    </font>
    <font>
      <b/>
      <sz val="13"/>
      <color rgb="FFFFFFFF"/>
      <name val="Calibri"/>
    </font>
    <font>
      <b/>
      <sz val="10"/>
      <color rgb="FF1F3864"/>
      <name val="Calibri"/>
    </font>
    <font>
      <sz val="9"/>
      <name val="Calibri"/>
    </font>
    <font>
      <b/>
      <sz val="9"/>
      <name val="Calibri"/>
    </font>
    <font>
      <i/>
      <sz val="9"/>
      <color rgb="FF595959"/>
      <name val="Calibri"/>
    </font>
    <font>
      <b/>
      <sz val="11"/>
      <color rgb="FF1F3864"/>
      <name val="Calibri"/>
    </font>
    <font>
      <b/>
      <sz val="10"/>
      <name val="Calibri"/>
    </font>
    <font>
      <sz val="10"/>
      <name val="Calibri"/>
    </font>
    <font>
      <b/>
      <sz val="11"/>
      <color theme="1"/>
      <name val="Calibri"/>
      <family val="2"/>
      <scheme val="minor"/>
    </font>
    <font>
      <b/>
      <sz val="9"/>
      <color theme="1"/>
      <name val="Calibri"/>
      <family val="2"/>
      <scheme val="minor"/>
    </font>
  </fonts>
  <fills count="29">
    <fill>
      <patternFill patternType="none"/>
    </fill>
    <fill>
      <patternFill patternType="gray125"/>
    </fill>
    <fill>
      <patternFill patternType="solid">
        <fgColor rgb="FF1F4E79"/>
      </patternFill>
    </fill>
    <fill>
      <patternFill patternType="solid">
        <fgColor rgb="FFD6E4F0"/>
      </patternFill>
    </fill>
    <fill>
      <patternFill patternType="solid">
        <fgColor rgb="FFBDD7EE"/>
      </patternFill>
    </fill>
    <fill>
      <patternFill patternType="solid">
        <fgColor rgb="FFD9D9D9"/>
      </patternFill>
    </fill>
    <fill>
      <patternFill patternType="solid">
        <fgColor rgb="FF9DC3E6"/>
      </patternFill>
    </fill>
    <fill>
      <patternFill patternType="solid">
        <fgColor rgb="FF4472C4"/>
      </patternFill>
    </fill>
    <fill>
      <patternFill patternType="solid">
        <fgColor rgb="FFC55A11"/>
      </patternFill>
    </fill>
    <fill>
      <patternFill patternType="solid">
        <fgColor rgb="FF203864"/>
      </patternFill>
    </fill>
    <fill>
      <patternFill patternType="solid">
        <fgColor rgb="FF843C0C"/>
      </patternFill>
    </fill>
    <fill>
      <patternFill patternType="solid">
        <fgColor rgb="FF7B1818"/>
      </patternFill>
    </fill>
    <fill>
      <patternFill patternType="solid">
        <fgColor rgb="FF375623"/>
      </patternFill>
    </fill>
    <fill>
      <patternFill patternType="solid">
        <fgColor rgb="FF70AD47"/>
      </patternFill>
    </fill>
    <fill>
      <patternFill patternType="solid">
        <fgColor rgb="FFFF9900"/>
      </patternFill>
    </fill>
    <fill>
      <patternFill patternType="solid">
        <fgColor rgb="FF00B0F0"/>
      </patternFill>
    </fill>
    <fill>
      <patternFill patternType="solid">
        <fgColor rgb="FFFCE4D6"/>
      </patternFill>
    </fill>
    <fill>
      <patternFill patternType="solid">
        <fgColor rgb="FFFFCCCC"/>
      </patternFill>
    </fill>
    <fill>
      <patternFill patternType="solid">
        <fgColor rgb="FFF2F2F2"/>
      </patternFill>
    </fill>
    <fill>
      <patternFill patternType="solid">
        <fgColor rgb="FFDEEAF1"/>
      </patternFill>
    </fill>
    <fill>
      <patternFill patternType="solid">
        <fgColor rgb="FF1F4E79"/>
      </patternFill>
    </fill>
    <fill>
      <patternFill patternType="solid">
        <fgColor rgb="FFD9E2F3"/>
      </patternFill>
    </fill>
    <fill>
      <patternFill patternType="solid">
        <fgColor rgb="FFFFF2CC"/>
      </patternFill>
    </fill>
    <fill>
      <patternFill patternType="solid">
        <fgColor rgb="FFE2EFDA"/>
      </patternFill>
    </fill>
    <fill>
      <patternFill patternType="solid">
        <fgColor rgb="FF50B000"/>
        <bgColor indexed="64"/>
      </patternFill>
    </fill>
    <fill>
      <patternFill patternType="solid">
        <fgColor rgb="FF50D092"/>
        <bgColor indexed="64"/>
      </patternFill>
    </fill>
    <fill>
      <patternFill patternType="solid">
        <fgColor rgb="FFD9D9D9"/>
        <bgColor indexed="64"/>
      </patternFill>
    </fill>
    <fill>
      <patternFill patternType="solid">
        <fgColor rgb="FFCEEFC6"/>
        <bgColor indexed="64"/>
      </patternFill>
    </fill>
    <fill>
      <patternFill patternType="solid">
        <fgColor rgb="FFF7EBDD"/>
        <bgColor indexed="64"/>
      </patternFill>
    </fill>
  </fills>
  <borders count="5">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78">
    <xf numFmtId="0" fontId="0" fillId="0" borderId="0" xfId="0"/>
    <xf numFmtId="0" fontId="4"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10" borderId="1"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4" fillId="12" borderId="1" xfId="0" applyFont="1" applyFill="1" applyBorder="1" applyAlignment="1">
      <alignment horizontal="center" vertical="center" wrapText="1"/>
    </xf>
    <xf numFmtId="0" fontId="4" fillId="13" borderId="1" xfId="0" applyFont="1" applyFill="1" applyBorder="1" applyAlignment="1">
      <alignment horizontal="center" vertical="center" wrapText="1"/>
    </xf>
    <xf numFmtId="0" fontId="4" fillId="14" borderId="1" xfId="0" applyFont="1" applyFill="1" applyBorder="1" applyAlignment="1">
      <alignment horizontal="center" vertical="center" wrapText="1"/>
    </xf>
    <xf numFmtId="0" fontId="4" fillId="15"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3" fontId="0" fillId="0" borderId="1" xfId="0" applyNumberFormat="1" applyBorder="1" applyAlignment="1">
      <alignment horizontal="center" vertical="center" wrapText="1"/>
    </xf>
    <xf numFmtId="0" fontId="5" fillId="5" borderId="1" xfId="0" applyFont="1" applyFill="1" applyBorder="1" applyAlignment="1">
      <alignment horizontal="center" vertical="center" wrapText="1"/>
    </xf>
    <xf numFmtId="2" fontId="0" fillId="0" borderId="1" xfId="0" applyNumberFormat="1" applyBorder="1" applyAlignment="1">
      <alignment horizontal="center" vertical="center" wrapText="1"/>
    </xf>
    <xf numFmtId="164" fontId="0" fillId="0" borderId="1" xfId="0" applyNumberFormat="1" applyBorder="1" applyAlignment="1">
      <alignment horizontal="center" vertical="center" wrapText="1"/>
    </xf>
    <xf numFmtId="164" fontId="1" fillId="3" borderId="1" xfId="0" applyNumberFormat="1" applyFont="1" applyFill="1" applyBorder="1" applyAlignment="1">
      <alignment horizontal="center" vertical="center" wrapText="1"/>
    </xf>
    <xf numFmtId="164" fontId="1" fillId="16" borderId="1" xfId="0" applyNumberFormat="1" applyFont="1" applyFill="1" applyBorder="1" applyAlignment="1">
      <alignment horizontal="center" vertical="center" wrapText="1"/>
    </xf>
    <xf numFmtId="164" fontId="1" fillId="17" borderId="1" xfId="0" applyNumberFormat="1" applyFont="1" applyFill="1" applyBorder="1" applyAlignment="1">
      <alignment horizontal="center" vertical="center" wrapText="1"/>
    </xf>
    <xf numFmtId="1" fontId="0" fillId="0" borderId="1" xfId="0" applyNumberFormat="1" applyBorder="1" applyAlignment="1">
      <alignment horizontal="center" vertical="center" wrapText="1"/>
    </xf>
    <xf numFmtId="164" fontId="1" fillId="7" borderId="1" xfId="0" applyNumberFormat="1" applyFont="1" applyFill="1" applyBorder="1" applyAlignment="1">
      <alignment horizontal="center" vertical="center" wrapText="1"/>
    </xf>
    <xf numFmtId="164" fontId="6" fillId="9" borderId="1" xfId="0" applyNumberFormat="1" applyFont="1" applyFill="1" applyBorder="1" applyAlignment="1">
      <alignment horizontal="center" vertical="center" wrapText="1"/>
    </xf>
    <xf numFmtId="0" fontId="6" fillId="12" borderId="1" xfId="0" applyFont="1" applyFill="1" applyBorder="1" applyAlignment="1">
      <alignment horizontal="center" vertical="center" wrapText="1"/>
    </xf>
    <xf numFmtId="164" fontId="6" fillId="12" borderId="1" xfId="0" applyNumberFormat="1"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4" borderId="1" xfId="0" applyFont="1" applyFill="1" applyBorder="1" applyAlignment="1">
      <alignment horizontal="left" vertical="center" wrapText="1"/>
    </xf>
    <xf numFmtId="0" fontId="0" fillId="4" borderId="1" xfId="0" applyFill="1" applyBorder="1" applyAlignment="1">
      <alignment horizontal="left" vertical="center" wrapText="1"/>
    </xf>
    <xf numFmtId="0" fontId="1" fillId="19" borderId="1" xfId="0" applyFont="1" applyFill="1" applyBorder="1" applyAlignment="1">
      <alignment horizontal="left" vertical="center" wrapText="1"/>
    </xf>
    <xf numFmtId="0" fontId="0" fillId="19" borderId="1" xfId="0" applyFill="1" applyBorder="1" applyAlignment="1">
      <alignment horizontal="left" vertical="center" wrapText="1"/>
    </xf>
    <xf numFmtId="0" fontId="1" fillId="19" borderId="1" xfId="0" applyFont="1" applyFill="1" applyBorder="1" applyAlignment="1">
      <alignment horizontal="center" vertical="center" wrapText="1"/>
    </xf>
    <xf numFmtId="0" fontId="1" fillId="18" borderId="1" xfId="0" applyFont="1" applyFill="1" applyBorder="1" applyAlignment="1">
      <alignment horizontal="left" vertical="center" wrapText="1"/>
    </xf>
    <xf numFmtId="0" fontId="0" fillId="18" borderId="1" xfId="0" applyFill="1" applyBorder="1" applyAlignment="1">
      <alignment horizontal="left" vertical="center" wrapText="1"/>
    </xf>
    <xf numFmtId="0" fontId="1" fillId="18" borderId="1" xfId="0" applyFont="1" applyFill="1" applyBorder="1" applyAlignment="1">
      <alignment horizontal="center" vertical="center" wrapText="1"/>
    </xf>
    <xf numFmtId="164" fontId="1" fillId="0" borderId="0" xfId="0" applyNumberFormat="1" applyFont="1"/>
    <xf numFmtId="0" fontId="10" fillId="21" borderId="4" xfId="0" applyFont="1" applyFill="1" applyBorder="1" applyAlignment="1">
      <alignment vertical="center" wrapText="1"/>
    </xf>
    <xf numFmtId="0" fontId="11" fillId="0" borderId="4" xfId="0" applyFont="1" applyBorder="1" applyAlignment="1">
      <alignment vertical="top" wrapText="1"/>
    </xf>
    <xf numFmtId="0" fontId="12" fillId="0" borderId="4" xfId="0" applyFont="1" applyBorder="1" applyAlignment="1">
      <alignment vertical="top" wrapText="1"/>
    </xf>
    <xf numFmtId="0" fontId="11" fillId="22" borderId="4" xfId="0" applyFont="1" applyFill="1" applyBorder="1" applyAlignment="1">
      <alignment vertical="top" wrapText="1"/>
    </xf>
    <xf numFmtId="0" fontId="12" fillId="22" borderId="4" xfId="0" applyFont="1" applyFill="1" applyBorder="1" applyAlignment="1">
      <alignment vertical="top" wrapText="1"/>
    </xf>
    <xf numFmtId="0" fontId="11" fillId="23" borderId="4" xfId="0" applyFont="1" applyFill="1" applyBorder="1" applyAlignment="1">
      <alignment vertical="top" wrapText="1"/>
    </xf>
    <xf numFmtId="0" fontId="12" fillId="23" borderId="4" xfId="0" applyFont="1" applyFill="1" applyBorder="1" applyAlignment="1">
      <alignment vertical="top" wrapText="1"/>
    </xf>
    <xf numFmtId="0" fontId="14" fillId="0" borderId="0" xfId="0" applyFont="1"/>
    <xf numFmtId="0" fontId="10" fillId="21" borderId="4" xfId="0" applyFont="1" applyFill="1" applyBorder="1"/>
    <xf numFmtId="0" fontId="15" fillId="0" borderId="4" xfId="0" applyFont="1" applyBorder="1"/>
    <xf numFmtId="0" fontId="16" fillId="0" borderId="4" xfId="0" applyFont="1" applyBorder="1"/>
    <xf numFmtId="164" fontId="16" fillId="0" borderId="4" xfId="0" applyNumberFormat="1" applyFont="1" applyBorder="1"/>
    <xf numFmtId="0" fontId="13" fillId="0" borderId="0" xfId="0" applyFont="1"/>
    <xf numFmtId="0" fontId="0" fillId="0" borderId="0" xfId="0" applyAlignment="1">
      <alignment vertical="center" wrapText="1"/>
    </xf>
    <xf numFmtId="0" fontId="1" fillId="0" borderId="0" xfId="0" applyFont="1"/>
    <xf numFmtId="0" fontId="3" fillId="0" borderId="0" xfId="0" applyFont="1"/>
    <xf numFmtId="0" fontId="0" fillId="24" borderId="0" xfId="0" applyFill="1"/>
    <xf numFmtId="0" fontId="0" fillId="25" borderId="0" xfId="0" applyFill="1"/>
    <xf numFmtId="0" fontId="17" fillId="0" borderId="0" xfId="0" applyFont="1"/>
    <xf numFmtId="0" fontId="0" fillId="0" borderId="0" xfId="0" applyAlignment="1">
      <alignment wrapText="1"/>
    </xf>
    <xf numFmtId="0" fontId="17" fillId="26" borderId="0" xfId="0" applyFont="1" applyFill="1"/>
    <xf numFmtId="0" fontId="17" fillId="26" borderId="0" xfId="0" applyFont="1" applyFill="1" applyAlignment="1">
      <alignment wrapText="1"/>
    </xf>
    <xf numFmtId="0" fontId="0" fillId="0" borderId="0" xfId="0" applyAlignment="1">
      <alignment horizontal="center"/>
    </xf>
    <xf numFmtId="0" fontId="17" fillId="27" borderId="0" xfId="0" applyFont="1" applyFill="1" applyAlignment="1">
      <alignment horizontal="center" vertical="center" textRotation="90"/>
    </xf>
    <xf numFmtId="0" fontId="0" fillId="0" borderId="0" xfId="0" applyAlignment="1">
      <alignment horizontal="center" vertical="center"/>
    </xf>
    <xf numFmtId="0" fontId="17" fillId="28" borderId="0" xfId="0" applyFont="1" applyFill="1"/>
    <xf numFmtId="0" fontId="18" fillId="28" borderId="0" xfId="0" applyFont="1" applyFill="1" applyAlignment="1">
      <alignment textRotation="90"/>
    </xf>
    <xf numFmtId="0" fontId="17" fillId="0" borderId="0" xfId="0" applyFont="1"/>
    <xf numFmtId="0" fontId="0" fillId="0" borderId="0" xfId="0"/>
    <xf numFmtId="0" fontId="0" fillId="0" borderId="0" xfId="0" applyAlignment="1">
      <alignment vertical="top" wrapText="1"/>
    </xf>
    <xf numFmtId="0" fontId="0" fillId="0" borderId="0" xfId="0" applyAlignment="1">
      <alignment wrapText="1"/>
    </xf>
    <xf numFmtId="0" fontId="13" fillId="0" borderId="0" xfId="0" applyFont="1" applyAlignment="1">
      <alignment vertical="top" wrapText="1"/>
    </xf>
    <xf numFmtId="0" fontId="9" fillId="20" borderId="0" xfId="0" applyFont="1" applyFill="1" applyAlignment="1">
      <alignment vertical="center"/>
    </xf>
    <xf numFmtId="0" fontId="17" fillId="0" borderId="0" xfId="0" applyFont="1" applyAlignment="1">
      <alignment wrapText="1"/>
    </xf>
    <xf numFmtId="0" fontId="2" fillId="2" borderId="0" xfId="0" applyFont="1" applyFill="1" applyAlignment="1">
      <alignment horizontal="center" vertical="center" wrapText="1"/>
    </xf>
    <xf numFmtId="0" fontId="6" fillId="12" borderId="1" xfId="0" applyFont="1" applyFill="1" applyBorder="1" applyAlignment="1">
      <alignment horizontal="center" vertical="center" wrapText="1"/>
    </xf>
    <xf numFmtId="0" fontId="0" fillId="0" borderId="2" xfId="0" applyBorder="1"/>
    <xf numFmtId="0" fontId="0" fillId="0" borderId="3" xfId="0" applyBorder="1"/>
    <xf numFmtId="0" fontId="7" fillId="18" borderId="0" xfId="0" applyFont="1" applyFill="1" applyAlignment="1">
      <alignment horizontal="left" vertical="center" wrapText="1"/>
    </xf>
    <xf numFmtId="0" fontId="3" fillId="3" borderId="0" xfId="0" applyFont="1" applyFill="1" applyAlignment="1">
      <alignment horizontal="left" vertical="center" wrapText="1"/>
    </xf>
    <xf numFmtId="0" fontId="8"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6"/>
  <sheetViews>
    <sheetView topLeftCell="A5" workbookViewId="0">
      <selection sqref="A1:H1"/>
    </sheetView>
  </sheetViews>
  <sheetFormatPr baseColWidth="10" defaultColWidth="8.88671875" defaultRowHeight="14.4" x14ac:dyDescent="0.3"/>
  <cols>
    <col min="1" max="1" width="20" customWidth="1"/>
    <col min="2" max="8" width="22" customWidth="1"/>
  </cols>
  <sheetData>
    <row r="1" spans="1:8" ht="31.95" customHeight="1" x14ac:dyDescent="0.3">
      <c r="A1" s="65" t="s">
        <v>445</v>
      </c>
      <c r="B1" s="65"/>
      <c r="C1" s="65"/>
      <c r="D1" s="65"/>
      <c r="E1" s="65"/>
      <c r="F1" s="65"/>
      <c r="G1" s="65"/>
      <c r="H1" s="65"/>
    </row>
    <row r="2" spans="1:8" ht="22.05" customHeight="1" x14ac:dyDescent="0.3">
      <c r="A2" s="65" t="s">
        <v>446</v>
      </c>
      <c r="B2" s="65"/>
      <c r="C2" s="65"/>
      <c r="D2" s="65"/>
      <c r="E2" s="65"/>
      <c r="F2" s="65"/>
      <c r="G2" s="65"/>
      <c r="H2" s="65"/>
    </row>
    <row r="4" spans="1:8" ht="18" customHeight="1" x14ac:dyDescent="0.3">
      <c r="A4" s="65" t="s">
        <v>447</v>
      </c>
      <c r="B4" s="65"/>
      <c r="C4" s="65"/>
      <c r="D4" s="65"/>
      <c r="E4" s="65"/>
      <c r="F4" s="65"/>
      <c r="G4" s="65"/>
      <c r="H4" s="65"/>
    </row>
    <row r="5" spans="1:8" x14ac:dyDescent="0.3">
      <c r="A5" s="66" t="s">
        <v>448</v>
      </c>
      <c r="B5" s="65"/>
      <c r="C5" s="65"/>
      <c r="D5" s="65"/>
      <c r="E5" s="65"/>
      <c r="F5" s="65"/>
      <c r="G5" s="65"/>
      <c r="H5" s="65"/>
    </row>
    <row r="7" spans="1:8" ht="18" customHeight="1" x14ac:dyDescent="0.3">
      <c r="A7" s="65" t="s">
        <v>449</v>
      </c>
      <c r="B7" s="65"/>
      <c r="C7" s="65"/>
      <c r="D7" s="65"/>
      <c r="E7" s="65"/>
      <c r="F7" s="65"/>
      <c r="G7" s="65"/>
      <c r="H7" s="65"/>
    </row>
    <row r="8" spans="1:8" x14ac:dyDescent="0.3">
      <c r="A8" s="66" t="s">
        <v>450</v>
      </c>
      <c r="B8" s="65"/>
      <c r="C8" s="65"/>
      <c r="D8" s="65"/>
      <c r="E8" s="65"/>
      <c r="F8" s="65"/>
      <c r="G8" s="65"/>
      <c r="H8" s="65"/>
    </row>
    <row r="10" spans="1:8" ht="18" customHeight="1" x14ac:dyDescent="0.3">
      <c r="A10" s="65" t="s">
        <v>451</v>
      </c>
      <c r="B10" s="65"/>
      <c r="C10" s="65"/>
      <c r="D10" s="65"/>
      <c r="E10" s="65"/>
      <c r="F10" s="65"/>
      <c r="G10" s="65"/>
      <c r="H10" s="65"/>
    </row>
    <row r="11" spans="1:8" x14ac:dyDescent="0.3">
      <c r="A11" t="s">
        <v>452</v>
      </c>
      <c r="B11" s="65" t="s">
        <v>453</v>
      </c>
      <c r="C11" s="65"/>
      <c r="D11" s="65"/>
      <c r="E11" s="65"/>
      <c r="F11" s="65"/>
      <c r="G11" s="65"/>
      <c r="H11" s="65"/>
    </row>
    <row r="12" spans="1:8" x14ac:dyDescent="0.3">
      <c r="A12" t="s">
        <v>454</v>
      </c>
      <c r="B12" s="65" t="s">
        <v>455</v>
      </c>
      <c r="C12" s="65"/>
      <c r="D12" s="65"/>
      <c r="E12" s="65"/>
      <c r="F12" s="65"/>
      <c r="G12" s="65"/>
      <c r="H12" s="65"/>
    </row>
    <row r="13" spans="1:8" x14ac:dyDescent="0.3">
      <c r="A13" t="s">
        <v>456</v>
      </c>
      <c r="B13" s="65" t="s">
        <v>1533</v>
      </c>
      <c r="C13" s="65"/>
      <c r="D13" s="65"/>
      <c r="E13" s="65"/>
      <c r="F13" s="65"/>
      <c r="G13" s="65"/>
      <c r="H13" s="65"/>
    </row>
    <row r="14" spans="1:8" x14ac:dyDescent="0.3">
      <c r="A14" t="s">
        <v>457</v>
      </c>
      <c r="B14" s="65" t="s">
        <v>458</v>
      </c>
      <c r="C14" s="65"/>
      <c r="D14" s="65"/>
      <c r="E14" s="65"/>
      <c r="F14" s="65"/>
      <c r="G14" s="65"/>
      <c r="H14" s="65"/>
    </row>
    <row r="15" spans="1:8" x14ac:dyDescent="0.3">
      <c r="A15" t="s">
        <v>459</v>
      </c>
      <c r="B15" s="65" t="s">
        <v>460</v>
      </c>
      <c r="C15" s="65"/>
      <c r="D15" s="65"/>
      <c r="E15" s="65"/>
      <c r="F15" s="65"/>
      <c r="G15" s="65"/>
      <c r="H15" s="65"/>
    </row>
    <row r="17" spans="1:8" ht="18" customHeight="1" x14ac:dyDescent="0.3">
      <c r="A17" s="65" t="s">
        <v>461</v>
      </c>
      <c r="B17" s="65"/>
      <c r="C17" s="65"/>
      <c r="D17" s="65"/>
      <c r="E17" s="65"/>
      <c r="F17" s="65"/>
      <c r="G17" s="65"/>
      <c r="H17" s="65"/>
    </row>
    <row r="18" spans="1:8" x14ac:dyDescent="0.3">
      <c r="A18" t="s">
        <v>462</v>
      </c>
      <c r="B18" s="65" t="s">
        <v>463</v>
      </c>
      <c r="C18" s="65"/>
      <c r="D18" s="65"/>
      <c r="E18" s="65"/>
      <c r="F18" s="65"/>
      <c r="G18" s="65"/>
      <c r="H18" s="65"/>
    </row>
    <row r="19" spans="1:8" x14ac:dyDescent="0.3">
      <c r="A19" t="s">
        <v>464</v>
      </c>
      <c r="B19" s="65" t="s">
        <v>465</v>
      </c>
      <c r="C19" s="65"/>
      <c r="D19" s="65"/>
      <c r="E19" s="65"/>
      <c r="F19" s="65"/>
      <c r="G19" s="65"/>
      <c r="H19" s="65"/>
    </row>
    <row r="20" spans="1:8" x14ac:dyDescent="0.3">
      <c r="A20" t="s">
        <v>466</v>
      </c>
      <c r="B20" s="65" t="s">
        <v>467</v>
      </c>
      <c r="C20" s="65"/>
      <c r="D20" s="65"/>
      <c r="E20" s="65"/>
      <c r="F20" s="65"/>
      <c r="G20" s="65"/>
      <c r="H20" s="65"/>
    </row>
    <row r="22" spans="1:8" ht="18" customHeight="1" x14ac:dyDescent="0.3">
      <c r="A22" s="65" t="s">
        <v>468</v>
      </c>
      <c r="B22" s="65"/>
      <c r="C22" s="65"/>
      <c r="D22" s="65"/>
      <c r="E22" s="65"/>
      <c r="F22" s="65"/>
      <c r="G22" s="65"/>
      <c r="H22" s="65"/>
    </row>
    <row r="23" spans="1:8" x14ac:dyDescent="0.3">
      <c r="A23" s="66" t="s">
        <v>469</v>
      </c>
      <c r="B23" s="65"/>
      <c r="C23" s="65"/>
      <c r="D23" s="65"/>
      <c r="E23" s="65"/>
      <c r="F23" s="65"/>
      <c r="G23" s="65"/>
      <c r="H23" s="65"/>
    </row>
    <row r="24" spans="1:8" x14ac:dyDescent="0.3">
      <c r="A24" s="66" t="s">
        <v>470</v>
      </c>
      <c r="B24" s="65"/>
      <c r="C24" s="65"/>
      <c r="D24" s="65"/>
      <c r="E24" s="65"/>
      <c r="F24" s="65"/>
      <c r="G24" s="65"/>
      <c r="H24" s="65"/>
    </row>
    <row r="25" spans="1:8" x14ac:dyDescent="0.3">
      <c r="A25" s="66" t="s">
        <v>471</v>
      </c>
      <c r="B25" s="65"/>
      <c r="C25" s="65"/>
      <c r="D25" s="65"/>
      <c r="E25" s="65"/>
      <c r="F25" s="65"/>
      <c r="G25" s="65"/>
      <c r="H25" s="65"/>
    </row>
    <row r="26" spans="1:8" x14ac:dyDescent="0.3">
      <c r="A26" s="66" t="s">
        <v>472</v>
      </c>
      <c r="B26" s="65"/>
      <c r="C26" s="65"/>
      <c r="D26" s="65"/>
      <c r="E26" s="65"/>
      <c r="F26" s="65"/>
      <c r="G26" s="65"/>
      <c r="H26" s="65"/>
    </row>
    <row r="27" spans="1:8" ht="78" customHeight="1" x14ac:dyDescent="0.3">
      <c r="A27" s="67" t="s">
        <v>1534</v>
      </c>
      <c r="B27" s="67"/>
      <c r="C27" s="67"/>
      <c r="D27" s="67"/>
      <c r="E27" s="67"/>
      <c r="F27" s="67"/>
      <c r="G27" s="67"/>
      <c r="H27" s="67"/>
    </row>
    <row r="29" spans="1:8" x14ac:dyDescent="0.3">
      <c r="A29" t="s">
        <v>473</v>
      </c>
    </row>
    <row r="30" spans="1:8" x14ac:dyDescent="0.3">
      <c r="A30" s="51" t="s">
        <v>474</v>
      </c>
      <c r="B30" s="66" t="s">
        <v>475</v>
      </c>
      <c r="C30" s="65"/>
      <c r="D30" s="65"/>
      <c r="E30" s="65"/>
      <c r="F30" s="65"/>
      <c r="G30" s="65"/>
      <c r="H30" s="65"/>
    </row>
    <row r="31" spans="1:8" x14ac:dyDescent="0.3">
      <c r="A31" s="51" t="s">
        <v>476</v>
      </c>
      <c r="B31" s="66" t="s">
        <v>477</v>
      </c>
      <c r="C31" s="65"/>
      <c r="D31" s="65"/>
      <c r="E31" s="65"/>
      <c r="F31" s="65"/>
      <c r="G31" s="65"/>
      <c r="H31" s="65"/>
    </row>
    <row r="32" spans="1:8" x14ac:dyDescent="0.3">
      <c r="A32" s="51" t="s">
        <v>478</v>
      </c>
      <c r="B32" s="66" t="s">
        <v>479</v>
      </c>
      <c r="C32" s="65"/>
      <c r="D32" s="65"/>
      <c r="E32" s="65"/>
      <c r="F32" s="65"/>
      <c r="G32" s="65"/>
      <c r="H32" s="65"/>
    </row>
    <row r="33" spans="1:8" x14ac:dyDescent="0.3">
      <c r="A33" s="51" t="s">
        <v>480</v>
      </c>
      <c r="B33" s="66" t="s">
        <v>481</v>
      </c>
      <c r="C33" s="65"/>
      <c r="D33" s="65"/>
      <c r="E33" s="65"/>
      <c r="F33" s="65"/>
      <c r="G33" s="65"/>
      <c r="H33" s="65"/>
    </row>
    <row r="34" spans="1:8" x14ac:dyDescent="0.3">
      <c r="A34" s="51" t="s">
        <v>482</v>
      </c>
      <c r="B34" s="66" t="s">
        <v>483</v>
      </c>
      <c r="C34" s="65"/>
      <c r="D34" s="65"/>
      <c r="E34" s="65"/>
      <c r="F34" s="65"/>
      <c r="G34" s="65"/>
      <c r="H34" s="65"/>
    </row>
    <row r="35" spans="1:8" x14ac:dyDescent="0.3">
      <c r="A35" s="51" t="s">
        <v>484</v>
      </c>
      <c r="B35" s="66" t="s">
        <v>485</v>
      </c>
      <c r="C35" s="65"/>
      <c r="D35" s="65"/>
      <c r="E35" s="65"/>
      <c r="F35" s="65"/>
      <c r="G35" s="65"/>
      <c r="H35" s="65"/>
    </row>
    <row r="36" spans="1:8" x14ac:dyDescent="0.3">
      <c r="A36" s="51" t="s">
        <v>486</v>
      </c>
      <c r="B36" s="66" t="s">
        <v>487</v>
      </c>
      <c r="C36" s="65"/>
      <c r="D36" s="65"/>
      <c r="E36" s="65"/>
      <c r="F36" s="65"/>
      <c r="G36" s="65"/>
      <c r="H36" s="65"/>
    </row>
  </sheetData>
  <mergeCells count="29">
    <mergeCell ref="B36:H36"/>
    <mergeCell ref="B32:H32"/>
    <mergeCell ref="A7:H7"/>
    <mergeCell ref="A25:H25"/>
    <mergeCell ref="B35:H35"/>
    <mergeCell ref="A27:H27"/>
    <mergeCell ref="B31:H31"/>
    <mergeCell ref="A26:H26"/>
    <mergeCell ref="B18:H18"/>
    <mergeCell ref="B12:H12"/>
    <mergeCell ref="B11:H11"/>
    <mergeCell ref="A23:H23"/>
    <mergeCell ref="A8:H8"/>
    <mergeCell ref="A22:H22"/>
    <mergeCell ref="A17:H17"/>
    <mergeCell ref="A24:H24"/>
    <mergeCell ref="B30:H30"/>
    <mergeCell ref="B15:H15"/>
    <mergeCell ref="B33:H33"/>
    <mergeCell ref="B34:H34"/>
    <mergeCell ref="A1:H1"/>
    <mergeCell ref="B20:H20"/>
    <mergeCell ref="A2:H2"/>
    <mergeCell ref="A5:H5"/>
    <mergeCell ref="A4:H4"/>
    <mergeCell ref="B13:H13"/>
    <mergeCell ref="A10:H10"/>
    <mergeCell ref="B19:H19"/>
    <mergeCell ref="B14:H1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4E79"/>
  </sheetPr>
  <dimension ref="A1:G123"/>
  <sheetViews>
    <sheetView topLeftCell="E1" workbookViewId="0">
      <pane ySplit="2" topLeftCell="A102" activePane="bottomLeft" state="frozen"/>
      <selection pane="bottomLeft" activeCell="G50" sqref="G50"/>
    </sheetView>
  </sheetViews>
  <sheetFormatPr baseColWidth="10" defaultColWidth="8.88671875" defaultRowHeight="14.4" x14ac:dyDescent="0.3"/>
  <cols>
    <col min="1" max="1" width="26" customWidth="1"/>
    <col min="2" max="2" width="10" customWidth="1"/>
    <col min="3" max="3" width="30" customWidth="1"/>
    <col min="4" max="4" width="60" customWidth="1"/>
    <col min="5" max="5" width="22" customWidth="1"/>
    <col min="6" max="6" width="55" customWidth="1"/>
    <col min="7" max="7" width="45" customWidth="1"/>
  </cols>
  <sheetData>
    <row r="1" spans="1:7" ht="24" customHeight="1" x14ac:dyDescent="0.3">
      <c r="A1" s="69" t="s">
        <v>488</v>
      </c>
      <c r="B1" s="65"/>
      <c r="C1" s="65"/>
      <c r="D1" s="65"/>
      <c r="E1" s="65"/>
      <c r="F1" s="65"/>
      <c r="G1" s="65"/>
    </row>
    <row r="2" spans="1:7" ht="28.05" customHeight="1" x14ac:dyDescent="0.3">
      <c r="A2" s="37" t="s">
        <v>489</v>
      </c>
      <c r="B2" s="37" t="s">
        <v>490</v>
      </c>
      <c r="C2" s="37" t="s">
        <v>491</v>
      </c>
      <c r="D2" s="37" t="s">
        <v>492</v>
      </c>
      <c r="E2" s="37" t="s">
        <v>493</v>
      </c>
      <c r="F2" s="37" t="s">
        <v>494</v>
      </c>
      <c r="G2" s="37" t="s">
        <v>495</v>
      </c>
    </row>
    <row r="3" spans="1:7" x14ac:dyDescent="0.3">
      <c r="A3" s="38" t="s">
        <v>496</v>
      </c>
      <c r="B3" s="39" t="s">
        <v>497</v>
      </c>
      <c r="C3" s="38" t="s">
        <v>498</v>
      </c>
      <c r="D3" s="38" t="s">
        <v>499</v>
      </c>
      <c r="E3" s="38" t="s">
        <v>500</v>
      </c>
      <c r="F3" s="38" t="s">
        <v>500</v>
      </c>
      <c r="G3" s="38" t="s">
        <v>501</v>
      </c>
    </row>
    <row r="4" spans="1:7" x14ac:dyDescent="0.3">
      <c r="A4" s="38" t="s">
        <v>496</v>
      </c>
      <c r="B4" s="39" t="s">
        <v>502</v>
      </c>
      <c r="C4" s="38" t="s">
        <v>498</v>
      </c>
      <c r="D4" s="38" t="s">
        <v>503</v>
      </c>
      <c r="E4" s="38" t="s">
        <v>500</v>
      </c>
      <c r="F4" s="38" t="s">
        <v>500</v>
      </c>
      <c r="G4" s="38" t="s">
        <v>504</v>
      </c>
    </row>
    <row r="5" spans="1:7" ht="48" customHeight="1" x14ac:dyDescent="0.3">
      <c r="A5" s="38" t="s">
        <v>496</v>
      </c>
      <c r="B5" s="39" t="s">
        <v>505</v>
      </c>
      <c r="C5" s="38" t="s">
        <v>498</v>
      </c>
      <c r="D5" s="38" t="s">
        <v>506</v>
      </c>
      <c r="E5" s="38" t="s">
        <v>507</v>
      </c>
      <c r="F5" s="38" t="s">
        <v>500</v>
      </c>
      <c r="G5" s="38" t="s">
        <v>508</v>
      </c>
    </row>
    <row r="6" spans="1:7" ht="24" customHeight="1" x14ac:dyDescent="0.3">
      <c r="A6" s="38" t="s">
        <v>509</v>
      </c>
      <c r="B6" s="39" t="s">
        <v>510</v>
      </c>
      <c r="C6" s="38" t="s">
        <v>498</v>
      </c>
      <c r="D6" s="38" t="s">
        <v>511</v>
      </c>
      <c r="E6" s="38" t="s">
        <v>503</v>
      </c>
      <c r="F6" s="38" t="s">
        <v>500</v>
      </c>
      <c r="G6" s="38" t="s">
        <v>512</v>
      </c>
    </row>
    <row r="7" spans="1:7" ht="36" customHeight="1" x14ac:dyDescent="0.3">
      <c r="A7" s="38" t="s">
        <v>509</v>
      </c>
      <c r="B7" s="39" t="s">
        <v>513</v>
      </c>
      <c r="C7" s="38" t="s">
        <v>498</v>
      </c>
      <c r="D7" s="38" t="s">
        <v>21</v>
      </c>
      <c r="E7" s="38" t="s">
        <v>514</v>
      </c>
      <c r="F7" s="38" t="s">
        <v>500</v>
      </c>
      <c r="G7" s="38" t="s">
        <v>515</v>
      </c>
    </row>
    <row r="8" spans="1:7" ht="24" customHeight="1" x14ac:dyDescent="0.3">
      <c r="A8" s="38" t="s">
        <v>509</v>
      </c>
      <c r="B8" s="39" t="s">
        <v>516</v>
      </c>
      <c r="C8" s="38" t="s">
        <v>498</v>
      </c>
      <c r="D8" s="38" t="s">
        <v>517</v>
      </c>
      <c r="E8" s="38" t="s">
        <v>518</v>
      </c>
      <c r="F8" s="38" t="s">
        <v>500</v>
      </c>
      <c r="G8" s="38" t="s">
        <v>519</v>
      </c>
    </row>
    <row r="9" spans="1:7" ht="24" customHeight="1" x14ac:dyDescent="0.3">
      <c r="A9" s="38" t="s">
        <v>509</v>
      </c>
      <c r="B9" s="39" t="s">
        <v>520</v>
      </c>
      <c r="C9" s="38" t="s">
        <v>498</v>
      </c>
      <c r="D9" s="38" t="s">
        <v>521</v>
      </c>
      <c r="E9" s="38" t="s">
        <v>518</v>
      </c>
      <c r="F9" s="38" t="s">
        <v>500</v>
      </c>
      <c r="G9" s="38" t="s">
        <v>522</v>
      </c>
    </row>
    <row r="10" spans="1:7" ht="24" customHeight="1" x14ac:dyDescent="0.3">
      <c r="A10" s="38" t="s">
        <v>509</v>
      </c>
      <c r="B10" s="39" t="s">
        <v>523</v>
      </c>
      <c r="C10" s="38" t="s">
        <v>498</v>
      </c>
      <c r="D10" s="38" t="s">
        <v>524</v>
      </c>
      <c r="E10" s="38" t="s">
        <v>525</v>
      </c>
      <c r="F10" s="38" t="s">
        <v>526</v>
      </c>
      <c r="G10" s="38" t="s">
        <v>527</v>
      </c>
    </row>
    <row r="11" spans="1:7" ht="24" customHeight="1" x14ac:dyDescent="0.3">
      <c r="A11" s="38" t="s">
        <v>509</v>
      </c>
      <c r="B11" s="39" t="s">
        <v>528</v>
      </c>
      <c r="C11" s="38" t="s">
        <v>498</v>
      </c>
      <c r="D11" s="38" t="s">
        <v>529</v>
      </c>
      <c r="E11" s="38" t="s">
        <v>530</v>
      </c>
      <c r="F11" s="38" t="s">
        <v>500</v>
      </c>
      <c r="G11" s="38" t="s">
        <v>531</v>
      </c>
    </row>
    <row r="12" spans="1:7" ht="24" customHeight="1" x14ac:dyDescent="0.3">
      <c r="A12" s="38" t="s">
        <v>509</v>
      </c>
      <c r="B12" s="39" t="s">
        <v>532</v>
      </c>
      <c r="C12" s="38" t="s">
        <v>498</v>
      </c>
      <c r="D12" s="38" t="s">
        <v>533</v>
      </c>
      <c r="E12" s="38" t="s">
        <v>534</v>
      </c>
      <c r="F12" s="38" t="s">
        <v>500</v>
      </c>
      <c r="G12" s="38" t="s">
        <v>535</v>
      </c>
    </row>
    <row r="13" spans="1:7" ht="24" customHeight="1" x14ac:dyDescent="0.3">
      <c r="A13" s="40" t="s">
        <v>509</v>
      </c>
      <c r="B13" s="41" t="s">
        <v>536</v>
      </c>
      <c r="C13" s="40" t="s">
        <v>498</v>
      </c>
      <c r="D13" s="40" t="s">
        <v>537</v>
      </c>
      <c r="E13" s="40" t="s">
        <v>538</v>
      </c>
      <c r="F13" s="40" t="s">
        <v>539</v>
      </c>
      <c r="G13" s="40" t="s">
        <v>540</v>
      </c>
    </row>
    <row r="14" spans="1:7" ht="24" customHeight="1" x14ac:dyDescent="0.3">
      <c r="A14" s="38" t="s">
        <v>509</v>
      </c>
      <c r="B14" s="39" t="s">
        <v>541</v>
      </c>
      <c r="C14" s="38" t="s">
        <v>498</v>
      </c>
      <c r="D14" s="38" t="s">
        <v>542</v>
      </c>
      <c r="E14" s="38" t="s">
        <v>538</v>
      </c>
      <c r="F14" s="38" t="s">
        <v>543</v>
      </c>
      <c r="G14" s="38" t="s">
        <v>544</v>
      </c>
    </row>
    <row r="15" spans="1:7" ht="24" customHeight="1" x14ac:dyDescent="0.3">
      <c r="A15" s="38" t="s">
        <v>509</v>
      </c>
      <c r="B15" s="39" t="s">
        <v>545</v>
      </c>
      <c r="C15" s="38" t="s">
        <v>498</v>
      </c>
      <c r="D15" s="38" t="s">
        <v>546</v>
      </c>
      <c r="E15" s="38" t="s">
        <v>525</v>
      </c>
      <c r="F15" s="38" t="s">
        <v>547</v>
      </c>
      <c r="G15" s="38" t="s">
        <v>548</v>
      </c>
    </row>
    <row r="16" spans="1:7" ht="24" customHeight="1" x14ac:dyDescent="0.3">
      <c r="A16" s="38" t="s">
        <v>509</v>
      </c>
      <c r="B16" s="39" t="s">
        <v>549</v>
      </c>
      <c r="C16" s="38" t="s">
        <v>498</v>
      </c>
      <c r="D16" s="38" t="s">
        <v>550</v>
      </c>
      <c r="E16" s="38" t="s">
        <v>525</v>
      </c>
      <c r="F16" s="38" t="s">
        <v>551</v>
      </c>
      <c r="G16" s="38" t="s">
        <v>548</v>
      </c>
    </row>
    <row r="17" spans="1:7" ht="24" customHeight="1" x14ac:dyDescent="0.3">
      <c r="A17" s="38" t="s">
        <v>509</v>
      </c>
      <c r="B17" s="39" t="s">
        <v>552</v>
      </c>
      <c r="C17" s="38" t="s">
        <v>498</v>
      </c>
      <c r="D17" s="38" t="s">
        <v>553</v>
      </c>
      <c r="E17" s="38" t="s">
        <v>534</v>
      </c>
      <c r="F17" s="38" t="s">
        <v>500</v>
      </c>
      <c r="G17" s="38" t="s">
        <v>554</v>
      </c>
    </row>
    <row r="18" spans="1:7" ht="36" customHeight="1" x14ac:dyDescent="0.3">
      <c r="A18" s="38" t="s">
        <v>509</v>
      </c>
      <c r="B18" s="39" t="s">
        <v>555</v>
      </c>
      <c r="C18" s="38" t="s">
        <v>498</v>
      </c>
      <c r="D18" s="38" t="s">
        <v>556</v>
      </c>
      <c r="E18" s="38" t="s">
        <v>525</v>
      </c>
      <c r="F18" s="38" t="s">
        <v>557</v>
      </c>
      <c r="G18" s="38" t="s">
        <v>558</v>
      </c>
    </row>
    <row r="19" spans="1:7" ht="36" customHeight="1" x14ac:dyDescent="0.3">
      <c r="A19" s="38" t="s">
        <v>509</v>
      </c>
      <c r="B19" s="39" t="s">
        <v>559</v>
      </c>
      <c r="C19" s="38" t="s">
        <v>498</v>
      </c>
      <c r="D19" s="38" t="s">
        <v>560</v>
      </c>
      <c r="E19" s="38" t="s">
        <v>525</v>
      </c>
      <c r="F19" s="38" t="s">
        <v>561</v>
      </c>
      <c r="G19" s="38" t="s">
        <v>558</v>
      </c>
    </row>
    <row r="20" spans="1:7" ht="24" customHeight="1" x14ac:dyDescent="0.3">
      <c r="A20" s="42" t="s">
        <v>509</v>
      </c>
      <c r="B20" s="43" t="s">
        <v>562</v>
      </c>
      <c r="C20" s="42" t="s">
        <v>498</v>
      </c>
      <c r="D20" s="42" t="s">
        <v>563</v>
      </c>
      <c r="E20" s="42" t="s">
        <v>525</v>
      </c>
      <c r="F20" s="42" t="s">
        <v>564</v>
      </c>
      <c r="G20" s="42" t="s">
        <v>565</v>
      </c>
    </row>
    <row r="21" spans="1:7" ht="24" customHeight="1" x14ac:dyDescent="0.3">
      <c r="A21" s="42" t="s">
        <v>509</v>
      </c>
      <c r="B21" s="43" t="s">
        <v>566</v>
      </c>
      <c r="C21" s="42" t="s">
        <v>498</v>
      </c>
      <c r="D21" s="42" t="s">
        <v>567</v>
      </c>
      <c r="E21" s="42" t="s">
        <v>503</v>
      </c>
      <c r="F21" s="42" t="s">
        <v>500</v>
      </c>
      <c r="G21" s="42" t="s">
        <v>568</v>
      </c>
    </row>
    <row r="22" spans="1:7" ht="24" customHeight="1" x14ac:dyDescent="0.3">
      <c r="A22" s="42" t="s">
        <v>509</v>
      </c>
      <c r="B22" s="43" t="s">
        <v>569</v>
      </c>
      <c r="C22" s="42" t="s">
        <v>498</v>
      </c>
      <c r="D22" s="42" t="s">
        <v>570</v>
      </c>
      <c r="E22" s="42" t="s">
        <v>525</v>
      </c>
      <c r="F22" s="42" t="s">
        <v>571</v>
      </c>
      <c r="G22" s="42" t="s">
        <v>572</v>
      </c>
    </row>
    <row r="23" spans="1:7" ht="24" customHeight="1" x14ac:dyDescent="0.3">
      <c r="A23" s="38" t="s">
        <v>573</v>
      </c>
      <c r="B23" s="39" t="s">
        <v>5</v>
      </c>
      <c r="C23" s="38" t="s">
        <v>574</v>
      </c>
      <c r="D23" s="38" t="s">
        <v>575</v>
      </c>
      <c r="E23" s="38" t="s">
        <v>518</v>
      </c>
      <c r="F23" s="38" t="s">
        <v>500</v>
      </c>
      <c r="G23" s="38" t="s">
        <v>576</v>
      </c>
    </row>
    <row r="24" spans="1:7" ht="24" customHeight="1" x14ac:dyDescent="0.3">
      <c r="A24" s="38" t="s">
        <v>573</v>
      </c>
      <c r="B24" s="39" t="s">
        <v>577</v>
      </c>
      <c r="C24" s="38" t="s">
        <v>574</v>
      </c>
      <c r="D24" s="38" t="s">
        <v>578</v>
      </c>
      <c r="E24" s="38" t="s">
        <v>518</v>
      </c>
      <c r="F24" s="38" t="s">
        <v>500</v>
      </c>
      <c r="G24" s="38" t="s">
        <v>576</v>
      </c>
    </row>
    <row r="25" spans="1:7" ht="24" customHeight="1" x14ac:dyDescent="0.3">
      <c r="A25" s="38" t="s">
        <v>573</v>
      </c>
      <c r="B25" s="39" t="s">
        <v>6</v>
      </c>
      <c r="C25" s="38" t="s">
        <v>574</v>
      </c>
      <c r="D25" s="38" t="s">
        <v>579</v>
      </c>
      <c r="E25" s="38" t="s">
        <v>518</v>
      </c>
      <c r="F25" s="38" t="s">
        <v>500</v>
      </c>
      <c r="G25" s="38" t="s">
        <v>580</v>
      </c>
    </row>
    <row r="26" spans="1:7" ht="24" customHeight="1" x14ac:dyDescent="0.3">
      <c r="A26" s="38" t="s">
        <v>573</v>
      </c>
      <c r="B26" s="39" t="s">
        <v>7</v>
      </c>
      <c r="C26" s="38" t="s">
        <v>574</v>
      </c>
      <c r="D26" s="38" t="s">
        <v>581</v>
      </c>
      <c r="E26" s="38" t="s">
        <v>518</v>
      </c>
      <c r="F26" s="38" t="s">
        <v>500</v>
      </c>
      <c r="G26" s="38" t="s">
        <v>582</v>
      </c>
    </row>
    <row r="27" spans="1:7" ht="24" customHeight="1" x14ac:dyDescent="0.3">
      <c r="A27" s="38" t="s">
        <v>573</v>
      </c>
      <c r="B27" s="39" t="s">
        <v>8</v>
      </c>
      <c r="C27" s="38" t="s">
        <v>574</v>
      </c>
      <c r="D27" s="38" t="s">
        <v>583</v>
      </c>
      <c r="E27" s="38" t="s">
        <v>584</v>
      </c>
      <c r="F27" s="38" t="s">
        <v>500</v>
      </c>
      <c r="G27" s="38" t="s">
        <v>576</v>
      </c>
    </row>
    <row r="28" spans="1:7" ht="24" customHeight="1" x14ac:dyDescent="0.3">
      <c r="A28" s="38" t="s">
        <v>573</v>
      </c>
      <c r="B28" s="39" t="s">
        <v>9</v>
      </c>
      <c r="C28" s="38" t="s">
        <v>574</v>
      </c>
      <c r="D28" s="38" t="s">
        <v>585</v>
      </c>
      <c r="E28" s="38" t="s">
        <v>584</v>
      </c>
      <c r="F28" s="38" t="s">
        <v>500</v>
      </c>
      <c r="G28" s="38" t="s">
        <v>580</v>
      </c>
    </row>
    <row r="29" spans="1:7" ht="24" customHeight="1" x14ac:dyDescent="0.3">
      <c r="A29" s="38" t="s">
        <v>573</v>
      </c>
      <c r="B29" s="39" t="s">
        <v>10</v>
      </c>
      <c r="C29" s="38" t="s">
        <v>574</v>
      </c>
      <c r="D29" s="38" t="s">
        <v>586</v>
      </c>
      <c r="E29" s="38" t="s">
        <v>503</v>
      </c>
      <c r="F29" s="38" t="s">
        <v>500</v>
      </c>
      <c r="G29" s="38" t="s">
        <v>587</v>
      </c>
    </row>
    <row r="30" spans="1:7" ht="24" customHeight="1" x14ac:dyDescent="0.3">
      <c r="A30" s="38" t="s">
        <v>573</v>
      </c>
      <c r="B30" s="39" t="s">
        <v>11</v>
      </c>
      <c r="C30" s="38" t="s">
        <v>574</v>
      </c>
      <c r="D30" s="38" t="s">
        <v>588</v>
      </c>
      <c r="E30" s="38" t="s">
        <v>503</v>
      </c>
      <c r="F30" s="38" t="s">
        <v>500</v>
      </c>
      <c r="G30" s="38" t="s">
        <v>587</v>
      </c>
    </row>
    <row r="31" spans="1:7" ht="24" customHeight="1" x14ac:dyDescent="0.3">
      <c r="A31" s="38" t="s">
        <v>573</v>
      </c>
      <c r="B31" s="39" t="s">
        <v>12</v>
      </c>
      <c r="C31" s="38" t="s">
        <v>574</v>
      </c>
      <c r="D31" s="38" t="s">
        <v>589</v>
      </c>
      <c r="E31" s="38" t="s">
        <v>525</v>
      </c>
      <c r="F31" s="38" t="s">
        <v>590</v>
      </c>
      <c r="G31" s="38" t="s">
        <v>591</v>
      </c>
    </row>
    <row r="32" spans="1:7" ht="24" customHeight="1" x14ac:dyDescent="0.3">
      <c r="A32" s="38" t="s">
        <v>573</v>
      </c>
      <c r="B32" s="39" t="s">
        <v>13</v>
      </c>
      <c r="C32" s="38" t="s">
        <v>574</v>
      </c>
      <c r="D32" s="38" t="s">
        <v>592</v>
      </c>
      <c r="E32" s="38" t="s">
        <v>530</v>
      </c>
      <c r="F32" s="38" t="s">
        <v>500</v>
      </c>
      <c r="G32" s="38" t="s">
        <v>593</v>
      </c>
    </row>
    <row r="33" spans="1:7" ht="24" customHeight="1" x14ac:dyDescent="0.3">
      <c r="A33" s="38" t="s">
        <v>573</v>
      </c>
      <c r="B33" s="39" t="s">
        <v>14</v>
      </c>
      <c r="C33" s="38" t="s">
        <v>574</v>
      </c>
      <c r="D33" s="38" t="s">
        <v>594</v>
      </c>
      <c r="E33" s="38" t="s">
        <v>525</v>
      </c>
      <c r="F33" s="38" t="s">
        <v>590</v>
      </c>
      <c r="G33" s="38" t="s">
        <v>595</v>
      </c>
    </row>
    <row r="34" spans="1:7" ht="24" customHeight="1" x14ac:dyDescent="0.3">
      <c r="A34" s="38" t="s">
        <v>573</v>
      </c>
      <c r="B34" s="39" t="s">
        <v>15</v>
      </c>
      <c r="C34" s="38" t="s">
        <v>574</v>
      </c>
      <c r="D34" s="38" t="s">
        <v>596</v>
      </c>
      <c r="E34" s="38" t="s">
        <v>534</v>
      </c>
      <c r="F34" s="38" t="s">
        <v>500</v>
      </c>
      <c r="G34" s="38" t="s">
        <v>597</v>
      </c>
    </row>
    <row r="35" spans="1:7" ht="24" customHeight="1" x14ac:dyDescent="0.3">
      <c r="A35" s="38" t="s">
        <v>573</v>
      </c>
      <c r="B35" s="39" t="s">
        <v>16</v>
      </c>
      <c r="C35" s="38" t="s">
        <v>574</v>
      </c>
      <c r="D35" s="38" t="s">
        <v>598</v>
      </c>
      <c r="E35" s="38" t="s">
        <v>584</v>
      </c>
      <c r="F35" s="38" t="s">
        <v>500</v>
      </c>
      <c r="G35" s="38" t="s">
        <v>599</v>
      </c>
    </row>
    <row r="36" spans="1:7" ht="36" customHeight="1" x14ac:dyDescent="0.3">
      <c r="A36" s="38" t="s">
        <v>573</v>
      </c>
      <c r="B36" s="39" t="s">
        <v>17</v>
      </c>
      <c r="C36" s="38" t="s">
        <v>574</v>
      </c>
      <c r="D36" s="38" t="s">
        <v>600</v>
      </c>
      <c r="E36" s="38" t="s">
        <v>525</v>
      </c>
      <c r="F36" s="38" t="s">
        <v>601</v>
      </c>
      <c r="G36" s="38" t="s">
        <v>595</v>
      </c>
    </row>
    <row r="37" spans="1:7" ht="36" customHeight="1" x14ac:dyDescent="0.3">
      <c r="A37" s="38" t="s">
        <v>573</v>
      </c>
      <c r="B37" s="39" t="s">
        <v>18</v>
      </c>
      <c r="C37" s="38" t="s">
        <v>574</v>
      </c>
      <c r="D37" s="38" t="s">
        <v>602</v>
      </c>
      <c r="E37" s="38" t="s">
        <v>525</v>
      </c>
      <c r="F37" s="38" t="s">
        <v>603</v>
      </c>
      <c r="G37" s="38" t="s">
        <v>604</v>
      </c>
    </row>
    <row r="38" spans="1:7" ht="24" customHeight="1" x14ac:dyDescent="0.3">
      <c r="A38" s="38" t="s">
        <v>605</v>
      </c>
      <c r="B38" s="39" t="s">
        <v>606</v>
      </c>
      <c r="C38" s="38" t="s">
        <v>607</v>
      </c>
      <c r="D38" s="38" t="s">
        <v>608</v>
      </c>
      <c r="E38" s="38" t="s">
        <v>525</v>
      </c>
      <c r="F38" s="38" t="s">
        <v>609</v>
      </c>
      <c r="G38" s="38" t="s">
        <v>610</v>
      </c>
    </row>
    <row r="39" spans="1:7" ht="24" customHeight="1" x14ac:dyDescent="0.3">
      <c r="A39" s="38" t="s">
        <v>605</v>
      </c>
      <c r="B39" s="39" t="s">
        <v>611</v>
      </c>
      <c r="C39" s="38" t="s">
        <v>607</v>
      </c>
      <c r="D39" s="38" t="s">
        <v>612</v>
      </c>
      <c r="E39" s="38" t="s">
        <v>525</v>
      </c>
      <c r="F39" s="38" t="s">
        <v>613</v>
      </c>
      <c r="G39" s="38" t="s">
        <v>614</v>
      </c>
    </row>
    <row r="40" spans="1:7" ht="24" customHeight="1" x14ac:dyDescent="0.3">
      <c r="A40" s="38" t="s">
        <v>605</v>
      </c>
      <c r="B40" s="39" t="s">
        <v>615</v>
      </c>
      <c r="C40" s="38" t="s">
        <v>607</v>
      </c>
      <c r="D40" s="38" t="s">
        <v>616</v>
      </c>
      <c r="E40" s="38" t="s">
        <v>525</v>
      </c>
      <c r="F40" s="38" t="s">
        <v>617</v>
      </c>
      <c r="G40" s="38" t="s">
        <v>618</v>
      </c>
    </row>
    <row r="41" spans="1:7" ht="24" customHeight="1" x14ac:dyDescent="0.3">
      <c r="A41" s="38" t="s">
        <v>605</v>
      </c>
      <c r="B41" s="39" t="s">
        <v>619</v>
      </c>
      <c r="C41" s="38" t="s">
        <v>607</v>
      </c>
      <c r="D41" s="38" t="s">
        <v>620</v>
      </c>
      <c r="E41" s="38" t="s">
        <v>525</v>
      </c>
      <c r="F41" s="38" t="s">
        <v>590</v>
      </c>
      <c r="G41" s="38" t="s">
        <v>618</v>
      </c>
    </row>
    <row r="42" spans="1:7" ht="24" customHeight="1" x14ac:dyDescent="0.3">
      <c r="A42" s="42" t="s">
        <v>605</v>
      </c>
      <c r="B42" s="43" t="s">
        <v>621</v>
      </c>
      <c r="C42" s="42" t="s">
        <v>607</v>
      </c>
      <c r="D42" s="42" t="s">
        <v>622</v>
      </c>
      <c r="E42" s="42" t="s">
        <v>525</v>
      </c>
      <c r="F42" s="42" t="s">
        <v>623</v>
      </c>
      <c r="G42" s="42" t="s">
        <v>618</v>
      </c>
    </row>
    <row r="43" spans="1:7" ht="24" customHeight="1" x14ac:dyDescent="0.3">
      <c r="A43" s="38" t="s">
        <v>624</v>
      </c>
      <c r="B43" s="39" t="s">
        <v>625</v>
      </c>
      <c r="C43" s="38" t="s">
        <v>626</v>
      </c>
      <c r="D43" s="38" t="s">
        <v>627</v>
      </c>
      <c r="E43" s="38" t="s">
        <v>628</v>
      </c>
      <c r="F43" s="38" t="s">
        <v>629</v>
      </c>
      <c r="G43" s="38" t="s">
        <v>630</v>
      </c>
    </row>
    <row r="44" spans="1:7" ht="24" customHeight="1" x14ac:dyDescent="0.3">
      <c r="A44" s="38" t="s">
        <v>624</v>
      </c>
      <c r="B44" s="39" t="s">
        <v>631</v>
      </c>
      <c r="C44" s="38" t="s">
        <v>626</v>
      </c>
      <c r="D44" s="38" t="s">
        <v>632</v>
      </c>
      <c r="E44" s="38" t="s">
        <v>534</v>
      </c>
      <c r="F44" s="38" t="s">
        <v>500</v>
      </c>
      <c r="G44" s="38" t="s">
        <v>630</v>
      </c>
    </row>
    <row r="45" spans="1:7" ht="24" customHeight="1" x14ac:dyDescent="0.3">
      <c r="A45" s="38" t="s">
        <v>624</v>
      </c>
      <c r="B45" s="39" t="s">
        <v>633</v>
      </c>
      <c r="C45" s="38" t="s">
        <v>626</v>
      </c>
      <c r="D45" s="38" t="s">
        <v>634</v>
      </c>
      <c r="E45" s="38" t="s">
        <v>628</v>
      </c>
      <c r="F45" s="38" t="s">
        <v>635</v>
      </c>
      <c r="G45" s="38" t="s">
        <v>630</v>
      </c>
    </row>
    <row r="46" spans="1:7" ht="24" customHeight="1" x14ac:dyDescent="0.3">
      <c r="A46" s="38" t="s">
        <v>624</v>
      </c>
      <c r="B46" s="39" t="s">
        <v>636</v>
      </c>
      <c r="C46" s="38" t="s">
        <v>626</v>
      </c>
      <c r="D46" s="38" t="s">
        <v>637</v>
      </c>
      <c r="E46" s="38" t="s">
        <v>525</v>
      </c>
      <c r="F46" s="38" t="s">
        <v>638</v>
      </c>
      <c r="G46" s="38" t="s">
        <v>630</v>
      </c>
    </row>
    <row r="47" spans="1:7" ht="24" customHeight="1" x14ac:dyDescent="0.3">
      <c r="A47" s="38" t="s">
        <v>624</v>
      </c>
      <c r="B47" s="39" t="s">
        <v>639</v>
      </c>
      <c r="C47" s="38" t="s">
        <v>626</v>
      </c>
      <c r="D47" s="38" t="s">
        <v>640</v>
      </c>
      <c r="E47" s="38" t="s">
        <v>525</v>
      </c>
      <c r="F47" s="38" t="s">
        <v>641</v>
      </c>
      <c r="G47" s="38" t="s">
        <v>630</v>
      </c>
    </row>
    <row r="48" spans="1:7" ht="24" customHeight="1" x14ac:dyDescent="0.3">
      <c r="A48" s="38" t="s">
        <v>624</v>
      </c>
      <c r="B48" s="39" t="s">
        <v>642</v>
      </c>
      <c r="C48" s="38" t="s">
        <v>626</v>
      </c>
      <c r="D48" s="38" t="s">
        <v>643</v>
      </c>
      <c r="E48" s="38" t="s">
        <v>525</v>
      </c>
      <c r="F48" s="38" t="s">
        <v>644</v>
      </c>
      <c r="G48" s="38" t="s">
        <v>645</v>
      </c>
    </row>
    <row r="49" spans="1:7" ht="24" customHeight="1" x14ac:dyDescent="0.3">
      <c r="A49" s="42" t="s">
        <v>624</v>
      </c>
      <c r="B49" s="43" t="s">
        <v>646</v>
      </c>
      <c r="C49" s="42" t="s">
        <v>626</v>
      </c>
      <c r="D49" s="42" t="s">
        <v>647</v>
      </c>
      <c r="E49" s="42" t="s">
        <v>525</v>
      </c>
      <c r="F49" s="42" t="s">
        <v>648</v>
      </c>
      <c r="G49" s="42" t="s">
        <v>630</v>
      </c>
    </row>
    <row r="50" spans="1:7" ht="36" customHeight="1" x14ac:dyDescent="0.3">
      <c r="A50" s="42" t="s">
        <v>624</v>
      </c>
      <c r="B50" s="43" t="s">
        <v>649</v>
      </c>
      <c r="C50" s="42" t="s">
        <v>626</v>
      </c>
      <c r="D50" s="42" t="s">
        <v>650</v>
      </c>
      <c r="E50" s="42" t="s">
        <v>525</v>
      </c>
      <c r="F50" s="42" t="s">
        <v>651</v>
      </c>
      <c r="G50" s="42" t="s">
        <v>652</v>
      </c>
    </row>
    <row r="51" spans="1:7" ht="24" customHeight="1" x14ac:dyDescent="0.3">
      <c r="A51" s="38" t="s">
        <v>653</v>
      </c>
      <c r="B51" s="39" t="s">
        <v>654</v>
      </c>
      <c r="C51" s="38" t="s">
        <v>655</v>
      </c>
      <c r="D51" s="38" t="s">
        <v>656</v>
      </c>
      <c r="E51" s="38" t="s">
        <v>534</v>
      </c>
      <c r="F51" s="38" t="s">
        <v>500</v>
      </c>
      <c r="G51" s="38" t="s">
        <v>657</v>
      </c>
    </row>
    <row r="52" spans="1:7" ht="24" customHeight="1" x14ac:dyDescent="0.3">
      <c r="A52" s="40" t="s">
        <v>653</v>
      </c>
      <c r="B52" s="41" t="s">
        <v>658</v>
      </c>
      <c r="C52" s="40" t="s">
        <v>655</v>
      </c>
      <c r="D52" s="40" t="s">
        <v>659</v>
      </c>
      <c r="E52" s="40" t="s">
        <v>525</v>
      </c>
      <c r="F52" s="40" t="s">
        <v>660</v>
      </c>
      <c r="G52" s="40" t="s">
        <v>657</v>
      </c>
    </row>
    <row r="53" spans="1:7" ht="24" customHeight="1" x14ac:dyDescent="0.3">
      <c r="A53" s="38" t="s">
        <v>653</v>
      </c>
      <c r="B53" s="39" t="s">
        <v>661</v>
      </c>
      <c r="C53" s="38" t="s">
        <v>655</v>
      </c>
      <c r="D53" s="38" t="s">
        <v>662</v>
      </c>
      <c r="E53" s="38" t="s">
        <v>628</v>
      </c>
      <c r="F53" s="38" t="s">
        <v>635</v>
      </c>
      <c r="G53" s="38" t="s">
        <v>657</v>
      </c>
    </row>
    <row r="54" spans="1:7" ht="24" customHeight="1" x14ac:dyDescent="0.3">
      <c r="A54" s="38" t="s">
        <v>653</v>
      </c>
      <c r="B54" s="39" t="s">
        <v>663</v>
      </c>
      <c r="C54" s="38" t="s">
        <v>655</v>
      </c>
      <c r="D54" s="38" t="s">
        <v>664</v>
      </c>
      <c r="E54" s="38" t="s">
        <v>525</v>
      </c>
      <c r="F54" s="38" t="s">
        <v>665</v>
      </c>
      <c r="G54" s="38" t="s">
        <v>657</v>
      </c>
    </row>
    <row r="55" spans="1:7" ht="24" customHeight="1" x14ac:dyDescent="0.3">
      <c r="A55" s="38" t="s">
        <v>653</v>
      </c>
      <c r="B55" s="39" t="s">
        <v>666</v>
      </c>
      <c r="C55" s="38" t="s">
        <v>655</v>
      </c>
      <c r="D55" s="38" t="s">
        <v>667</v>
      </c>
      <c r="E55" s="38" t="s">
        <v>525</v>
      </c>
      <c r="F55" s="38" t="s">
        <v>668</v>
      </c>
      <c r="G55" s="38" t="s">
        <v>657</v>
      </c>
    </row>
    <row r="56" spans="1:7" ht="24" customHeight="1" x14ac:dyDescent="0.3">
      <c r="A56" s="38" t="s">
        <v>653</v>
      </c>
      <c r="B56" s="39" t="s">
        <v>669</v>
      </c>
      <c r="C56" s="38" t="s">
        <v>655</v>
      </c>
      <c r="D56" s="38" t="s">
        <v>670</v>
      </c>
      <c r="E56" s="38" t="s">
        <v>525</v>
      </c>
      <c r="F56" s="38" t="s">
        <v>671</v>
      </c>
      <c r="G56" s="38" t="s">
        <v>657</v>
      </c>
    </row>
    <row r="57" spans="1:7" ht="24" customHeight="1" x14ac:dyDescent="0.3">
      <c r="A57" s="38" t="s">
        <v>653</v>
      </c>
      <c r="B57" s="39" t="s">
        <v>672</v>
      </c>
      <c r="C57" s="38" t="s">
        <v>655</v>
      </c>
      <c r="D57" s="38" t="s">
        <v>673</v>
      </c>
      <c r="E57" s="38" t="s">
        <v>525</v>
      </c>
      <c r="F57" s="38" t="s">
        <v>590</v>
      </c>
      <c r="G57" s="38" t="s">
        <v>657</v>
      </c>
    </row>
    <row r="58" spans="1:7" ht="72" customHeight="1" x14ac:dyDescent="0.3">
      <c r="A58" s="38" t="s">
        <v>653</v>
      </c>
      <c r="B58" s="39" t="s">
        <v>674</v>
      </c>
      <c r="C58" s="38" t="s">
        <v>655</v>
      </c>
      <c r="D58" s="38" t="s">
        <v>675</v>
      </c>
      <c r="E58" s="38" t="s">
        <v>525</v>
      </c>
      <c r="F58" s="38" t="s">
        <v>676</v>
      </c>
      <c r="G58" s="38" t="s">
        <v>657</v>
      </c>
    </row>
    <row r="59" spans="1:7" ht="24" customHeight="1" x14ac:dyDescent="0.3">
      <c r="A59" s="38" t="s">
        <v>653</v>
      </c>
      <c r="B59" s="39" t="s">
        <v>677</v>
      </c>
      <c r="C59" s="38" t="s">
        <v>655</v>
      </c>
      <c r="D59" s="38" t="s">
        <v>678</v>
      </c>
      <c r="E59" s="38" t="s">
        <v>525</v>
      </c>
      <c r="F59" s="38" t="s">
        <v>679</v>
      </c>
      <c r="G59" s="38" t="s">
        <v>657</v>
      </c>
    </row>
    <row r="60" spans="1:7" ht="24" customHeight="1" x14ac:dyDescent="0.3">
      <c r="A60" s="38" t="s">
        <v>653</v>
      </c>
      <c r="B60" s="39" t="s">
        <v>680</v>
      </c>
      <c r="C60" s="38" t="s">
        <v>655</v>
      </c>
      <c r="D60" s="38" t="s">
        <v>681</v>
      </c>
      <c r="E60" s="38" t="s">
        <v>525</v>
      </c>
      <c r="F60" s="38" t="s">
        <v>682</v>
      </c>
      <c r="G60" s="38" t="s">
        <v>657</v>
      </c>
    </row>
    <row r="61" spans="1:7" ht="36" customHeight="1" x14ac:dyDescent="0.3">
      <c r="A61" s="38" t="s">
        <v>653</v>
      </c>
      <c r="B61" s="39" t="s">
        <v>683</v>
      </c>
      <c r="C61" s="38" t="s">
        <v>655</v>
      </c>
      <c r="D61" s="38" t="s">
        <v>684</v>
      </c>
      <c r="E61" s="38" t="s">
        <v>525</v>
      </c>
      <c r="F61" s="38" t="s">
        <v>685</v>
      </c>
      <c r="G61" s="38" t="s">
        <v>657</v>
      </c>
    </row>
    <row r="62" spans="1:7" ht="36" customHeight="1" x14ac:dyDescent="0.3">
      <c r="A62" s="42" t="s">
        <v>653</v>
      </c>
      <c r="B62" s="43" t="s">
        <v>686</v>
      </c>
      <c r="C62" s="42" t="s">
        <v>655</v>
      </c>
      <c r="D62" s="42" t="s">
        <v>687</v>
      </c>
      <c r="E62" s="42" t="s">
        <v>525</v>
      </c>
      <c r="F62" s="42" t="s">
        <v>688</v>
      </c>
      <c r="G62" s="42" t="s">
        <v>657</v>
      </c>
    </row>
    <row r="63" spans="1:7" ht="24" customHeight="1" x14ac:dyDescent="0.3">
      <c r="A63" s="42" t="s">
        <v>653</v>
      </c>
      <c r="B63" s="43" t="s">
        <v>689</v>
      </c>
      <c r="C63" s="42" t="s">
        <v>655</v>
      </c>
      <c r="D63" s="42" t="s">
        <v>690</v>
      </c>
      <c r="E63" s="42" t="s">
        <v>525</v>
      </c>
      <c r="F63" s="42" t="s">
        <v>691</v>
      </c>
      <c r="G63" s="42" t="s">
        <v>692</v>
      </c>
    </row>
    <row r="64" spans="1:7" ht="36" customHeight="1" x14ac:dyDescent="0.3">
      <c r="A64" s="40" t="s">
        <v>693</v>
      </c>
      <c r="B64" s="41" t="s">
        <v>694</v>
      </c>
      <c r="C64" s="40" t="s">
        <v>695</v>
      </c>
      <c r="D64" s="40" t="s">
        <v>696</v>
      </c>
      <c r="E64" s="40" t="s">
        <v>525</v>
      </c>
      <c r="F64" s="40" t="s">
        <v>697</v>
      </c>
      <c r="G64" s="40" t="s">
        <v>698</v>
      </c>
    </row>
    <row r="65" spans="1:7" ht="24" customHeight="1" x14ac:dyDescent="0.3">
      <c r="A65" s="38" t="s">
        <v>693</v>
      </c>
      <c r="B65" s="39" t="s">
        <v>699</v>
      </c>
      <c r="C65" s="38" t="s">
        <v>695</v>
      </c>
      <c r="D65" s="38" t="s">
        <v>700</v>
      </c>
      <c r="E65" s="38" t="s">
        <v>628</v>
      </c>
      <c r="F65" s="38" t="s">
        <v>635</v>
      </c>
      <c r="G65" s="38" t="s">
        <v>698</v>
      </c>
    </row>
    <row r="66" spans="1:7" ht="24" customHeight="1" x14ac:dyDescent="0.3">
      <c r="A66" s="38" t="s">
        <v>693</v>
      </c>
      <c r="B66" s="39" t="s">
        <v>701</v>
      </c>
      <c r="C66" s="38" t="s">
        <v>695</v>
      </c>
      <c r="D66" s="38" t="s">
        <v>702</v>
      </c>
      <c r="E66" s="38" t="s">
        <v>525</v>
      </c>
      <c r="F66" s="38" t="s">
        <v>703</v>
      </c>
      <c r="G66" s="38" t="s">
        <v>698</v>
      </c>
    </row>
    <row r="67" spans="1:7" ht="24" customHeight="1" x14ac:dyDescent="0.3">
      <c r="A67" s="42" t="s">
        <v>693</v>
      </c>
      <c r="B67" s="43" t="s">
        <v>704</v>
      </c>
      <c r="C67" s="42" t="s">
        <v>695</v>
      </c>
      <c r="D67" s="42" t="s">
        <v>705</v>
      </c>
      <c r="E67" s="42" t="s">
        <v>525</v>
      </c>
      <c r="F67" s="42" t="s">
        <v>706</v>
      </c>
      <c r="G67" s="42" t="s">
        <v>707</v>
      </c>
    </row>
    <row r="68" spans="1:7" ht="24" customHeight="1" x14ac:dyDescent="0.3">
      <c r="A68" s="38" t="s">
        <v>708</v>
      </c>
      <c r="B68" s="39" t="s">
        <v>709</v>
      </c>
      <c r="C68" s="38" t="s">
        <v>710</v>
      </c>
      <c r="D68" s="38" t="s">
        <v>711</v>
      </c>
      <c r="E68" s="38" t="s">
        <v>628</v>
      </c>
      <c r="F68" s="38" t="s">
        <v>635</v>
      </c>
      <c r="G68" s="38" t="s">
        <v>712</v>
      </c>
    </row>
    <row r="69" spans="1:7" ht="36" customHeight="1" x14ac:dyDescent="0.3">
      <c r="A69" s="38" t="s">
        <v>708</v>
      </c>
      <c r="B69" s="39" t="s">
        <v>713</v>
      </c>
      <c r="C69" s="38" t="s">
        <v>710</v>
      </c>
      <c r="D69" s="38" t="s">
        <v>714</v>
      </c>
      <c r="E69" s="38" t="s">
        <v>628</v>
      </c>
      <c r="F69" s="38" t="s">
        <v>635</v>
      </c>
      <c r="G69" s="38" t="s">
        <v>712</v>
      </c>
    </row>
    <row r="70" spans="1:7" ht="24" customHeight="1" x14ac:dyDescent="0.3">
      <c r="A70" s="38" t="s">
        <v>708</v>
      </c>
      <c r="B70" s="39" t="s">
        <v>715</v>
      </c>
      <c r="C70" s="38" t="s">
        <v>710</v>
      </c>
      <c r="D70" s="38" t="s">
        <v>716</v>
      </c>
      <c r="E70" s="38" t="s">
        <v>525</v>
      </c>
      <c r="F70" s="38" t="s">
        <v>717</v>
      </c>
      <c r="G70" s="38" t="s">
        <v>712</v>
      </c>
    </row>
    <row r="71" spans="1:7" ht="24" customHeight="1" x14ac:dyDescent="0.3">
      <c r="A71" s="38" t="s">
        <v>708</v>
      </c>
      <c r="B71" s="39" t="s">
        <v>718</v>
      </c>
      <c r="C71" s="38" t="s">
        <v>710</v>
      </c>
      <c r="D71" s="38" t="s">
        <v>719</v>
      </c>
      <c r="E71" s="38" t="s">
        <v>525</v>
      </c>
      <c r="F71" s="38" t="s">
        <v>720</v>
      </c>
      <c r="G71" s="38" t="s">
        <v>712</v>
      </c>
    </row>
    <row r="72" spans="1:7" ht="48" customHeight="1" x14ac:dyDescent="0.3">
      <c r="A72" s="38" t="s">
        <v>708</v>
      </c>
      <c r="B72" s="39" t="s">
        <v>721</v>
      </c>
      <c r="C72" s="38" t="s">
        <v>710</v>
      </c>
      <c r="D72" s="38" t="s">
        <v>722</v>
      </c>
      <c r="E72" s="38" t="s">
        <v>538</v>
      </c>
      <c r="F72" s="38" t="s">
        <v>723</v>
      </c>
      <c r="G72" s="38" t="s">
        <v>712</v>
      </c>
    </row>
    <row r="73" spans="1:7" ht="24" customHeight="1" x14ac:dyDescent="0.3">
      <c r="A73" s="38" t="s">
        <v>708</v>
      </c>
      <c r="B73" s="39" t="s">
        <v>724</v>
      </c>
      <c r="C73" s="38" t="s">
        <v>710</v>
      </c>
      <c r="D73" s="38" t="s">
        <v>725</v>
      </c>
      <c r="E73" s="38" t="s">
        <v>525</v>
      </c>
      <c r="F73" s="38" t="s">
        <v>726</v>
      </c>
      <c r="G73" s="38" t="s">
        <v>712</v>
      </c>
    </row>
    <row r="74" spans="1:7" ht="24" customHeight="1" x14ac:dyDescent="0.3">
      <c r="A74" s="38" t="s">
        <v>708</v>
      </c>
      <c r="B74" s="39" t="s">
        <v>727</v>
      </c>
      <c r="C74" s="38" t="s">
        <v>710</v>
      </c>
      <c r="D74" s="38" t="s">
        <v>728</v>
      </c>
      <c r="E74" s="38" t="s">
        <v>525</v>
      </c>
      <c r="F74" s="38" t="s">
        <v>729</v>
      </c>
      <c r="G74" s="38" t="s">
        <v>712</v>
      </c>
    </row>
    <row r="75" spans="1:7" ht="24" customHeight="1" x14ac:dyDescent="0.3">
      <c r="A75" s="38" t="s">
        <v>708</v>
      </c>
      <c r="B75" s="39" t="s">
        <v>730</v>
      </c>
      <c r="C75" s="38" t="s">
        <v>710</v>
      </c>
      <c r="D75" s="38" t="s">
        <v>731</v>
      </c>
      <c r="E75" s="38" t="s">
        <v>525</v>
      </c>
      <c r="F75" s="38" t="s">
        <v>732</v>
      </c>
      <c r="G75" s="38" t="s">
        <v>712</v>
      </c>
    </row>
    <row r="76" spans="1:7" ht="36" customHeight="1" x14ac:dyDescent="0.3">
      <c r="A76" s="38" t="s">
        <v>708</v>
      </c>
      <c r="B76" s="39" t="s">
        <v>733</v>
      </c>
      <c r="C76" s="38" t="s">
        <v>710</v>
      </c>
      <c r="D76" s="38" t="s">
        <v>734</v>
      </c>
      <c r="E76" s="38" t="s">
        <v>525</v>
      </c>
      <c r="F76" s="38" t="s">
        <v>735</v>
      </c>
      <c r="G76" s="38" t="s">
        <v>712</v>
      </c>
    </row>
    <row r="77" spans="1:7" ht="24" customHeight="1" x14ac:dyDescent="0.3">
      <c r="A77" s="40" t="s">
        <v>736</v>
      </c>
      <c r="B77" s="41" t="s">
        <v>737</v>
      </c>
      <c r="C77" s="40" t="s">
        <v>738</v>
      </c>
      <c r="D77" s="40" t="s">
        <v>739</v>
      </c>
      <c r="E77" s="40" t="s">
        <v>525</v>
      </c>
      <c r="F77" s="40" t="s">
        <v>740</v>
      </c>
      <c r="G77" s="40" t="s">
        <v>741</v>
      </c>
    </row>
    <row r="78" spans="1:7" ht="36" customHeight="1" x14ac:dyDescent="0.3">
      <c r="A78" s="38" t="s">
        <v>736</v>
      </c>
      <c r="B78" s="39" t="s">
        <v>742</v>
      </c>
      <c r="C78" s="38" t="s">
        <v>738</v>
      </c>
      <c r="D78" s="38" t="s">
        <v>743</v>
      </c>
      <c r="E78" s="38" t="s">
        <v>525</v>
      </c>
      <c r="F78" s="38" t="s">
        <v>744</v>
      </c>
      <c r="G78" s="38" t="s">
        <v>741</v>
      </c>
    </row>
    <row r="79" spans="1:7" ht="36" customHeight="1" x14ac:dyDescent="0.3">
      <c r="A79" s="38" t="s">
        <v>736</v>
      </c>
      <c r="B79" s="39" t="s">
        <v>745</v>
      </c>
      <c r="C79" s="38" t="s">
        <v>738</v>
      </c>
      <c r="D79" s="38" t="s">
        <v>746</v>
      </c>
      <c r="E79" s="38" t="s">
        <v>525</v>
      </c>
      <c r="F79" s="38" t="s">
        <v>747</v>
      </c>
      <c r="G79" s="38" t="s">
        <v>741</v>
      </c>
    </row>
    <row r="80" spans="1:7" ht="24" customHeight="1" x14ac:dyDescent="0.3">
      <c r="A80" s="38" t="s">
        <v>736</v>
      </c>
      <c r="B80" s="39" t="s">
        <v>748</v>
      </c>
      <c r="C80" s="38" t="s">
        <v>738</v>
      </c>
      <c r="D80" s="38" t="s">
        <v>749</v>
      </c>
      <c r="E80" s="38" t="s">
        <v>525</v>
      </c>
      <c r="F80" s="38" t="s">
        <v>750</v>
      </c>
      <c r="G80" s="38" t="s">
        <v>741</v>
      </c>
    </row>
    <row r="81" spans="1:7" ht="24" customHeight="1" x14ac:dyDescent="0.3">
      <c r="A81" s="38" t="s">
        <v>736</v>
      </c>
      <c r="B81" s="39" t="s">
        <v>751</v>
      </c>
      <c r="C81" s="38" t="s">
        <v>738</v>
      </c>
      <c r="D81" s="38" t="s">
        <v>752</v>
      </c>
      <c r="E81" s="38" t="s">
        <v>525</v>
      </c>
      <c r="F81" s="38" t="s">
        <v>753</v>
      </c>
      <c r="G81" s="38" t="s">
        <v>741</v>
      </c>
    </row>
    <row r="82" spans="1:7" ht="24" customHeight="1" x14ac:dyDescent="0.3">
      <c r="A82" s="38" t="s">
        <v>736</v>
      </c>
      <c r="B82" s="39" t="s">
        <v>754</v>
      </c>
      <c r="C82" s="38" t="s">
        <v>738</v>
      </c>
      <c r="D82" s="38" t="s">
        <v>755</v>
      </c>
      <c r="E82" s="38" t="s">
        <v>525</v>
      </c>
      <c r="F82" s="38" t="s">
        <v>756</v>
      </c>
      <c r="G82" s="38" t="s">
        <v>741</v>
      </c>
    </row>
    <row r="83" spans="1:7" ht="48" customHeight="1" x14ac:dyDescent="0.3">
      <c r="A83" s="38" t="s">
        <v>736</v>
      </c>
      <c r="B83" s="39" t="s">
        <v>757</v>
      </c>
      <c r="C83" s="38" t="s">
        <v>738</v>
      </c>
      <c r="D83" s="38" t="s">
        <v>758</v>
      </c>
      <c r="E83" s="38" t="s">
        <v>525</v>
      </c>
      <c r="F83" s="38" t="s">
        <v>759</v>
      </c>
      <c r="G83" s="38" t="s">
        <v>741</v>
      </c>
    </row>
    <row r="84" spans="1:7" ht="36" customHeight="1" x14ac:dyDescent="0.3">
      <c r="A84" s="38" t="s">
        <v>736</v>
      </c>
      <c r="B84" s="39" t="s">
        <v>760</v>
      </c>
      <c r="C84" s="38" t="s">
        <v>738</v>
      </c>
      <c r="D84" s="38" t="s">
        <v>761</v>
      </c>
      <c r="E84" s="38" t="s">
        <v>525</v>
      </c>
      <c r="F84" s="38" t="s">
        <v>762</v>
      </c>
      <c r="G84" s="38" t="s">
        <v>741</v>
      </c>
    </row>
    <row r="85" spans="1:7" ht="24" customHeight="1" x14ac:dyDescent="0.3">
      <c r="A85" s="42" t="s">
        <v>736</v>
      </c>
      <c r="B85" s="43" t="s">
        <v>763</v>
      </c>
      <c r="C85" s="42" t="s">
        <v>738</v>
      </c>
      <c r="D85" s="42" t="s">
        <v>764</v>
      </c>
      <c r="E85" s="42" t="s">
        <v>525</v>
      </c>
      <c r="F85" s="42" t="s">
        <v>765</v>
      </c>
      <c r="G85" s="42" t="s">
        <v>741</v>
      </c>
    </row>
    <row r="86" spans="1:7" ht="24" customHeight="1" x14ac:dyDescent="0.3">
      <c r="A86" s="38" t="s">
        <v>766</v>
      </c>
      <c r="B86" s="39" t="s">
        <v>767</v>
      </c>
      <c r="C86" s="38" t="s">
        <v>768</v>
      </c>
      <c r="D86" s="38" t="s">
        <v>769</v>
      </c>
      <c r="E86" s="38" t="s">
        <v>525</v>
      </c>
      <c r="F86" s="38" t="s">
        <v>770</v>
      </c>
      <c r="G86" s="38" t="s">
        <v>771</v>
      </c>
    </row>
    <row r="87" spans="1:7" ht="24" customHeight="1" x14ac:dyDescent="0.3">
      <c r="A87" s="38" t="s">
        <v>766</v>
      </c>
      <c r="B87" s="39" t="s">
        <v>772</v>
      </c>
      <c r="C87" s="38" t="s">
        <v>768</v>
      </c>
      <c r="D87" s="38" t="s">
        <v>773</v>
      </c>
      <c r="E87" s="38" t="s">
        <v>525</v>
      </c>
      <c r="F87" s="38" t="s">
        <v>609</v>
      </c>
      <c r="G87" s="38" t="s">
        <v>771</v>
      </c>
    </row>
    <row r="88" spans="1:7" ht="24" customHeight="1" x14ac:dyDescent="0.3">
      <c r="A88" s="38" t="s">
        <v>766</v>
      </c>
      <c r="B88" s="39" t="s">
        <v>774</v>
      </c>
      <c r="C88" s="38" t="s">
        <v>768</v>
      </c>
      <c r="D88" s="38" t="s">
        <v>775</v>
      </c>
      <c r="E88" s="38" t="s">
        <v>525</v>
      </c>
      <c r="F88" s="38" t="s">
        <v>776</v>
      </c>
      <c r="G88" s="38" t="s">
        <v>771</v>
      </c>
    </row>
    <row r="89" spans="1:7" ht="36" customHeight="1" x14ac:dyDescent="0.3">
      <c r="A89" s="38" t="s">
        <v>766</v>
      </c>
      <c r="B89" s="39" t="s">
        <v>777</v>
      </c>
      <c r="C89" s="38" t="s">
        <v>768</v>
      </c>
      <c r="D89" s="38" t="s">
        <v>778</v>
      </c>
      <c r="E89" s="38" t="s">
        <v>525</v>
      </c>
      <c r="F89" s="38" t="s">
        <v>779</v>
      </c>
      <c r="G89" s="38" t="s">
        <v>771</v>
      </c>
    </row>
    <row r="90" spans="1:7" ht="60" customHeight="1" x14ac:dyDescent="0.3">
      <c r="A90" s="38" t="s">
        <v>766</v>
      </c>
      <c r="B90" s="39" t="s">
        <v>780</v>
      </c>
      <c r="C90" s="38" t="s">
        <v>768</v>
      </c>
      <c r="D90" s="38" t="s">
        <v>781</v>
      </c>
      <c r="E90" s="38" t="s">
        <v>525</v>
      </c>
      <c r="F90" s="38" t="s">
        <v>782</v>
      </c>
      <c r="G90" s="38" t="s">
        <v>771</v>
      </c>
    </row>
    <row r="91" spans="1:7" ht="24" customHeight="1" x14ac:dyDescent="0.3">
      <c r="A91" s="42" t="s">
        <v>766</v>
      </c>
      <c r="B91" s="43" t="s">
        <v>783</v>
      </c>
      <c r="C91" s="42" t="s">
        <v>768</v>
      </c>
      <c r="D91" s="42" t="s">
        <v>784</v>
      </c>
      <c r="E91" s="42" t="s">
        <v>525</v>
      </c>
      <c r="F91" s="42" t="s">
        <v>785</v>
      </c>
      <c r="G91" s="42" t="s">
        <v>786</v>
      </c>
    </row>
    <row r="92" spans="1:7" ht="24" customHeight="1" x14ac:dyDescent="0.3">
      <c r="A92" s="42" t="s">
        <v>766</v>
      </c>
      <c r="B92" s="43" t="s">
        <v>787</v>
      </c>
      <c r="C92" s="42" t="s">
        <v>768</v>
      </c>
      <c r="D92" s="42" t="s">
        <v>788</v>
      </c>
      <c r="E92" s="42" t="s">
        <v>525</v>
      </c>
      <c r="F92" s="42" t="s">
        <v>789</v>
      </c>
      <c r="G92" s="42" t="s">
        <v>790</v>
      </c>
    </row>
    <row r="93" spans="1:7" ht="24" customHeight="1" x14ac:dyDescent="0.3">
      <c r="A93" s="38" t="s">
        <v>791</v>
      </c>
      <c r="B93" s="39" t="s">
        <v>792</v>
      </c>
      <c r="C93" s="38" t="s">
        <v>793</v>
      </c>
      <c r="D93" s="38" t="s">
        <v>794</v>
      </c>
      <c r="E93" s="38" t="s">
        <v>628</v>
      </c>
      <c r="F93" s="38" t="s">
        <v>635</v>
      </c>
      <c r="G93" s="38" t="s">
        <v>795</v>
      </c>
    </row>
    <row r="94" spans="1:7" ht="24" customHeight="1" x14ac:dyDescent="0.3">
      <c r="A94" s="38" t="s">
        <v>791</v>
      </c>
      <c r="B94" s="39" t="s">
        <v>796</v>
      </c>
      <c r="C94" s="38" t="s">
        <v>793</v>
      </c>
      <c r="D94" s="38" t="s">
        <v>797</v>
      </c>
      <c r="E94" s="38" t="s">
        <v>534</v>
      </c>
      <c r="F94" s="38" t="s">
        <v>500</v>
      </c>
      <c r="G94" s="38" t="s">
        <v>795</v>
      </c>
    </row>
    <row r="95" spans="1:7" ht="24" customHeight="1" x14ac:dyDescent="0.3">
      <c r="A95" s="38" t="s">
        <v>791</v>
      </c>
      <c r="B95" s="39" t="s">
        <v>798</v>
      </c>
      <c r="C95" s="38" t="s">
        <v>793</v>
      </c>
      <c r="D95" s="38" t="s">
        <v>799</v>
      </c>
      <c r="E95" s="38" t="s">
        <v>525</v>
      </c>
      <c r="F95" s="38" t="s">
        <v>800</v>
      </c>
      <c r="G95" s="38" t="s">
        <v>795</v>
      </c>
    </row>
    <row r="96" spans="1:7" ht="24" customHeight="1" x14ac:dyDescent="0.3">
      <c r="A96" s="38" t="s">
        <v>791</v>
      </c>
      <c r="B96" s="39" t="s">
        <v>801</v>
      </c>
      <c r="C96" s="38" t="s">
        <v>793</v>
      </c>
      <c r="D96" s="38" t="s">
        <v>802</v>
      </c>
      <c r="E96" s="38" t="s">
        <v>525</v>
      </c>
      <c r="F96" s="38" t="s">
        <v>803</v>
      </c>
      <c r="G96" s="38" t="s">
        <v>795</v>
      </c>
    </row>
    <row r="97" spans="1:7" ht="24" customHeight="1" x14ac:dyDescent="0.3">
      <c r="A97" s="38" t="s">
        <v>804</v>
      </c>
      <c r="B97" s="39" t="s">
        <v>805</v>
      </c>
      <c r="C97" s="38" t="s">
        <v>806</v>
      </c>
      <c r="D97" s="38" t="s">
        <v>807</v>
      </c>
      <c r="E97" s="38" t="s">
        <v>525</v>
      </c>
      <c r="F97" s="38" t="s">
        <v>808</v>
      </c>
      <c r="G97" s="38" t="s">
        <v>809</v>
      </c>
    </row>
    <row r="98" spans="1:7" ht="36" customHeight="1" x14ac:dyDescent="0.3">
      <c r="A98" s="40" t="s">
        <v>804</v>
      </c>
      <c r="B98" s="41" t="s">
        <v>810</v>
      </c>
      <c r="C98" s="40" t="s">
        <v>806</v>
      </c>
      <c r="D98" s="40" t="s">
        <v>811</v>
      </c>
      <c r="E98" s="40" t="s">
        <v>525</v>
      </c>
      <c r="F98" s="40" t="s">
        <v>812</v>
      </c>
      <c r="G98" s="40" t="s">
        <v>809</v>
      </c>
    </row>
    <row r="99" spans="1:7" ht="24" customHeight="1" x14ac:dyDescent="0.3">
      <c r="A99" s="38" t="s">
        <v>804</v>
      </c>
      <c r="B99" s="39" t="s">
        <v>813</v>
      </c>
      <c r="C99" s="38" t="s">
        <v>806</v>
      </c>
      <c r="D99" s="38" t="s">
        <v>814</v>
      </c>
      <c r="E99" s="38" t="s">
        <v>525</v>
      </c>
      <c r="F99" s="38" t="s">
        <v>815</v>
      </c>
      <c r="G99" s="38" t="s">
        <v>809</v>
      </c>
    </row>
    <row r="100" spans="1:7" ht="36" customHeight="1" x14ac:dyDescent="0.3">
      <c r="A100" s="38" t="s">
        <v>816</v>
      </c>
      <c r="B100" s="39" t="s">
        <v>817</v>
      </c>
      <c r="C100" s="38" t="s">
        <v>818</v>
      </c>
      <c r="D100" s="38" t="s">
        <v>819</v>
      </c>
      <c r="E100" s="38" t="s">
        <v>525</v>
      </c>
      <c r="F100" s="38" t="s">
        <v>820</v>
      </c>
      <c r="G100" s="38" t="s">
        <v>821</v>
      </c>
    </row>
    <row r="101" spans="1:7" ht="36" customHeight="1" x14ac:dyDescent="0.3">
      <c r="A101" s="38" t="s">
        <v>816</v>
      </c>
      <c r="B101" s="39" t="s">
        <v>822</v>
      </c>
      <c r="C101" s="38" t="s">
        <v>818</v>
      </c>
      <c r="D101" s="38" t="s">
        <v>823</v>
      </c>
      <c r="E101" s="38" t="s">
        <v>525</v>
      </c>
      <c r="F101" s="38" t="s">
        <v>609</v>
      </c>
      <c r="G101" s="38" t="s">
        <v>821</v>
      </c>
    </row>
    <row r="102" spans="1:7" ht="36" customHeight="1" x14ac:dyDescent="0.3">
      <c r="A102" s="42" t="s">
        <v>816</v>
      </c>
      <c r="B102" s="43" t="s">
        <v>824</v>
      </c>
      <c r="C102" s="42" t="s">
        <v>818</v>
      </c>
      <c r="D102" s="42" t="s">
        <v>825</v>
      </c>
      <c r="E102" s="42" t="s">
        <v>525</v>
      </c>
      <c r="F102" s="42" t="s">
        <v>826</v>
      </c>
      <c r="G102" s="42" t="s">
        <v>821</v>
      </c>
    </row>
    <row r="103" spans="1:7" ht="48" customHeight="1" x14ac:dyDescent="0.3">
      <c r="A103" s="38" t="s">
        <v>827</v>
      </c>
      <c r="B103" s="39" t="s">
        <v>828</v>
      </c>
      <c r="C103" s="38" t="s">
        <v>829</v>
      </c>
      <c r="D103" s="38" t="s">
        <v>830</v>
      </c>
      <c r="E103" s="38" t="s">
        <v>538</v>
      </c>
      <c r="F103" s="38" t="s">
        <v>831</v>
      </c>
      <c r="G103" s="38" t="s">
        <v>832</v>
      </c>
    </row>
    <row r="104" spans="1:7" ht="24" customHeight="1" x14ac:dyDescent="0.3">
      <c r="A104" s="38" t="s">
        <v>827</v>
      </c>
      <c r="B104" s="39" t="s">
        <v>833</v>
      </c>
      <c r="C104" s="38" t="s">
        <v>829</v>
      </c>
      <c r="D104" s="38" t="s">
        <v>834</v>
      </c>
      <c r="E104" s="38" t="s">
        <v>518</v>
      </c>
      <c r="F104" s="38" t="s">
        <v>500</v>
      </c>
      <c r="G104" s="38" t="s">
        <v>832</v>
      </c>
    </row>
    <row r="105" spans="1:7" ht="24" customHeight="1" x14ac:dyDescent="0.3">
      <c r="A105" s="42" t="s">
        <v>827</v>
      </c>
      <c r="B105" s="43" t="s">
        <v>835</v>
      </c>
      <c r="C105" s="42" t="s">
        <v>829</v>
      </c>
      <c r="D105" s="42" t="s">
        <v>836</v>
      </c>
      <c r="E105" s="42" t="s">
        <v>525</v>
      </c>
      <c r="F105" s="42" t="s">
        <v>837</v>
      </c>
      <c r="G105" s="42" t="s">
        <v>832</v>
      </c>
    </row>
    <row r="106" spans="1:7" ht="36" customHeight="1" x14ac:dyDescent="0.3">
      <c r="A106" s="42" t="s">
        <v>838</v>
      </c>
      <c r="B106" s="43" t="s">
        <v>839</v>
      </c>
      <c r="C106" s="42" t="s">
        <v>840</v>
      </c>
      <c r="D106" s="42" t="s">
        <v>841</v>
      </c>
      <c r="E106" s="42" t="s">
        <v>525</v>
      </c>
      <c r="F106" s="42" t="s">
        <v>842</v>
      </c>
      <c r="G106" s="42" t="s">
        <v>843</v>
      </c>
    </row>
    <row r="107" spans="1:7" ht="36" customHeight="1" x14ac:dyDescent="0.3">
      <c r="A107" s="42" t="s">
        <v>838</v>
      </c>
      <c r="B107" s="43" t="s">
        <v>844</v>
      </c>
      <c r="C107" s="42" t="s">
        <v>845</v>
      </c>
      <c r="D107" s="42" t="s">
        <v>846</v>
      </c>
      <c r="E107" s="42" t="s">
        <v>525</v>
      </c>
      <c r="F107" s="42" t="s">
        <v>847</v>
      </c>
      <c r="G107" s="42" t="s">
        <v>848</v>
      </c>
    </row>
    <row r="108" spans="1:7" ht="36" customHeight="1" x14ac:dyDescent="0.3">
      <c r="A108" s="42" t="s">
        <v>838</v>
      </c>
      <c r="B108" s="43" t="s">
        <v>849</v>
      </c>
      <c r="C108" s="42" t="s">
        <v>850</v>
      </c>
      <c r="D108" s="42" t="s">
        <v>851</v>
      </c>
      <c r="E108" s="42" t="s">
        <v>525</v>
      </c>
      <c r="F108" s="42" t="s">
        <v>852</v>
      </c>
      <c r="G108" s="42" t="s">
        <v>853</v>
      </c>
    </row>
    <row r="109" spans="1:7" ht="36" customHeight="1" x14ac:dyDescent="0.3">
      <c r="A109" s="42" t="s">
        <v>838</v>
      </c>
      <c r="B109" s="43" t="s">
        <v>854</v>
      </c>
      <c r="C109" s="42" t="s">
        <v>855</v>
      </c>
      <c r="D109" s="42" t="s">
        <v>856</v>
      </c>
      <c r="E109" s="42" t="s">
        <v>525</v>
      </c>
      <c r="F109" s="42" t="s">
        <v>857</v>
      </c>
      <c r="G109" s="42" t="s">
        <v>858</v>
      </c>
    </row>
    <row r="110" spans="1:7" ht="36" customHeight="1" x14ac:dyDescent="0.3">
      <c r="A110" s="42" t="s">
        <v>859</v>
      </c>
      <c r="B110" s="43" t="s">
        <v>860</v>
      </c>
      <c r="C110" s="42" t="s">
        <v>861</v>
      </c>
      <c r="D110" s="42" t="s">
        <v>862</v>
      </c>
      <c r="E110" s="42" t="s">
        <v>525</v>
      </c>
      <c r="F110" s="42" t="s">
        <v>863</v>
      </c>
      <c r="G110" s="42" t="s">
        <v>864</v>
      </c>
    </row>
    <row r="111" spans="1:7" ht="36" customHeight="1" x14ac:dyDescent="0.3">
      <c r="A111" s="42" t="s">
        <v>859</v>
      </c>
      <c r="B111" s="43" t="s">
        <v>865</v>
      </c>
      <c r="C111" s="42" t="s">
        <v>861</v>
      </c>
      <c r="D111" s="42" t="s">
        <v>866</v>
      </c>
      <c r="E111" s="42" t="s">
        <v>525</v>
      </c>
      <c r="F111" s="42" t="s">
        <v>590</v>
      </c>
      <c r="G111" s="42" t="s">
        <v>867</v>
      </c>
    </row>
    <row r="112" spans="1:7" ht="36" customHeight="1" x14ac:dyDescent="0.3">
      <c r="A112" s="42" t="s">
        <v>868</v>
      </c>
      <c r="B112" s="43" t="s">
        <v>869</v>
      </c>
      <c r="C112" s="42" t="s">
        <v>870</v>
      </c>
      <c r="D112" s="42" t="s">
        <v>871</v>
      </c>
      <c r="E112" s="42" t="s">
        <v>534</v>
      </c>
      <c r="F112" s="42" t="s">
        <v>500</v>
      </c>
      <c r="G112" s="42" t="s">
        <v>872</v>
      </c>
    </row>
    <row r="113" spans="1:7" ht="36" customHeight="1" x14ac:dyDescent="0.3">
      <c r="A113" s="42" t="s">
        <v>868</v>
      </c>
      <c r="B113" s="43" t="s">
        <v>873</v>
      </c>
      <c r="C113" s="42" t="s">
        <v>870</v>
      </c>
      <c r="D113" s="42" t="s">
        <v>874</v>
      </c>
      <c r="E113" s="42" t="s">
        <v>534</v>
      </c>
      <c r="F113" s="42" t="s">
        <v>500</v>
      </c>
      <c r="G113" s="42" t="s">
        <v>875</v>
      </c>
    </row>
    <row r="114" spans="1:7" ht="36" customHeight="1" x14ac:dyDescent="0.3">
      <c r="A114" s="42" t="s">
        <v>868</v>
      </c>
      <c r="B114" s="43" t="s">
        <v>876</v>
      </c>
      <c r="C114" s="42" t="s">
        <v>870</v>
      </c>
      <c r="D114" s="42" t="s">
        <v>877</v>
      </c>
      <c r="E114" s="42" t="s">
        <v>584</v>
      </c>
      <c r="F114" s="42" t="s">
        <v>500</v>
      </c>
      <c r="G114" s="42" t="s">
        <v>878</v>
      </c>
    </row>
    <row r="115" spans="1:7" ht="36" customHeight="1" x14ac:dyDescent="0.3">
      <c r="A115" s="42" t="s">
        <v>868</v>
      </c>
      <c r="B115" s="43" t="s">
        <v>879</v>
      </c>
      <c r="C115" s="42" t="s">
        <v>870</v>
      </c>
      <c r="D115" s="42" t="s">
        <v>880</v>
      </c>
      <c r="E115" s="42" t="s">
        <v>534</v>
      </c>
      <c r="F115" s="42" t="s">
        <v>500</v>
      </c>
      <c r="G115" s="42" t="s">
        <v>881</v>
      </c>
    </row>
    <row r="116" spans="1:7" ht="36" customHeight="1" x14ac:dyDescent="0.3">
      <c r="A116" s="42" t="s">
        <v>868</v>
      </c>
      <c r="B116" s="43" t="s">
        <v>882</v>
      </c>
      <c r="C116" s="42" t="s">
        <v>870</v>
      </c>
      <c r="D116" s="42" t="s">
        <v>883</v>
      </c>
      <c r="E116" s="42" t="s">
        <v>534</v>
      </c>
      <c r="F116" s="42" t="s">
        <v>500</v>
      </c>
      <c r="G116" s="42" t="s">
        <v>884</v>
      </c>
    </row>
    <row r="117" spans="1:7" ht="36" customHeight="1" x14ac:dyDescent="0.3">
      <c r="A117" s="42" t="s">
        <v>868</v>
      </c>
      <c r="B117" s="43" t="s">
        <v>885</v>
      </c>
      <c r="C117" s="42" t="s">
        <v>870</v>
      </c>
      <c r="D117" s="42" t="s">
        <v>886</v>
      </c>
      <c r="E117" s="42" t="s">
        <v>534</v>
      </c>
      <c r="F117" s="42" t="s">
        <v>500</v>
      </c>
      <c r="G117" s="42" t="s">
        <v>887</v>
      </c>
    </row>
    <row r="118" spans="1:7" ht="36" customHeight="1" x14ac:dyDescent="0.3">
      <c r="A118" s="42" t="s">
        <v>868</v>
      </c>
      <c r="B118" s="43" t="s">
        <v>888</v>
      </c>
      <c r="C118" s="42" t="s">
        <v>870</v>
      </c>
      <c r="D118" s="42" t="s">
        <v>889</v>
      </c>
      <c r="E118" s="42" t="s">
        <v>503</v>
      </c>
      <c r="F118" s="42" t="s">
        <v>500</v>
      </c>
      <c r="G118" s="42" t="s">
        <v>890</v>
      </c>
    </row>
    <row r="119" spans="1:7" ht="36" customHeight="1" x14ac:dyDescent="0.3">
      <c r="A119" s="42" t="s">
        <v>868</v>
      </c>
      <c r="B119" s="43" t="s">
        <v>891</v>
      </c>
      <c r="C119" s="42" t="s">
        <v>870</v>
      </c>
      <c r="D119" s="42" t="s">
        <v>892</v>
      </c>
      <c r="E119" s="42" t="s">
        <v>534</v>
      </c>
      <c r="F119" s="42" t="s">
        <v>500</v>
      </c>
      <c r="G119" s="42" t="s">
        <v>893</v>
      </c>
    </row>
    <row r="120" spans="1:7" ht="36" customHeight="1" x14ac:dyDescent="0.3">
      <c r="A120" s="42" t="s">
        <v>868</v>
      </c>
      <c r="B120" s="43" t="s">
        <v>894</v>
      </c>
      <c r="C120" s="42" t="s">
        <v>870</v>
      </c>
      <c r="D120" s="42" t="s">
        <v>895</v>
      </c>
      <c r="E120" s="42" t="s">
        <v>534</v>
      </c>
      <c r="F120" s="42" t="s">
        <v>500</v>
      </c>
      <c r="G120" s="42" t="s">
        <v>896</v>
      </c>
    </row>
    <row r="121" spans="1:7" ht="36" customHeight="1" x14ac:dyDescent="0.3">
      <c r="A121" s="42" t="s">
        <v>868</v>
      </c>
      <c r="B121" s="43" t="s">
        <v>897</v>
      </c>
      <c r="C121" s="42" t="s">
        <v>870</v>
      </c>
      <c r="D121" s="42" t="s">
        <v>898</v>
      </c>
      <c r="E121" s="42" t="s">
        <v>534</v>
      </c>
      <c r="F121" s="42" t="s">
        <v>500</v>
      </c>
      <c r="G121" s="42" t="s">
        <v>899</v>
      </c>
    </row>
    <row r="123" spans="1:7" ht="42" customHeight="1" x14ac:dyDescent="0.3">
      <c r="A123" s="68" t="s">
        <v>1073</v>
      </c>
      <c r="B123" s="65"/>
      <c r="C123" s="65"/>
      <c r="D123" s="65"/>
      <c r="E123" s="65"/>
      <c r="F123" s="65"/>
      <c r="G123" s="65"/>
    </row>
  </sheetData>
  <autoFilter ref="A2:G121" xr:uid="{00000000-0009-0000-0000-000001000000}"/>
  <mergeCells count="2">
    <mergeCell ref="A123:G123"/>
    <mergeCell ref="A1:G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0EB3B-553A-43EE-87D3-0961F3685F27}">
  <dimension ref="A1:G292"/>
  <sheetViews>
    <sheetView workbookViewId="0"/>
  </sheetViews>
  <sheetFormatPr baseColWidth="10" defaultRowHeight="14.4" x14ac:dyDescent="0.3"/>
  <cols>
    <col min="1" max="1" width="11.77734375" customWidth="1"/>
    <col min="2" max="2" width="30.77734375" customWidth="1"/>
    <col min="3" max="3" width="22.77734375" customWidth="1"/>
    <col min="4" max="4" width="62.77734375" style="56" customWidth="1"/>
    <col min="5" max="5" width="13.77734375" customWidth="1"/>
    <col min="6" max="6" width="34.77734375" customWidth="1"/>
    <col min="7" max="7" width="46.77734375" style="56" customWidth="1"/>
  </cols>
  <sheetData>
    <row r="1" spans="1:7" ht="42" customHeight="1" x14ac:dyDescent="0.3">
      <c r="A1" s="70" t="s">
        <v>1095</v>
      </c>
      <c r="B1" s="70"/>
      <c r="C1" s="70"/>
      <c r="D1" s="70"/>
      <c r="E1" s="70"/>
      <c r="F1" s="70"/>
      <c r="G1" s="70"/>
    </row>
    <row r="2" spans="1:7" x14ac:dyDescent="0.3">
      <c r="A2" s="57" t="s">
        <v>490</v>
      </c>
      <c r="B2" s="57" t="s">
        <v>1096</v>
      </c>
      <c r="C2" s="57" t="s">
        <v>493</v>
      </c>
      <c r="D2" s="58" t="s">
        <v>1097</v>
      </c>
      <c r="E2" s="57" t="s">
        <v>1098</v>
      </c>
      <c r="F2" s="57" t="s">
        <v>1099</v>
      </c>
      <c r="G2" s="58" t="s">
        <v>1100</v>
      </c>
    </row>
    <row r="3" spans="1:7" ht="28.8" x14ac:dyDescent="0.3">
      <c r="A3" t="s">
        <v>497</v>
      </c>
      <c r="B3" t="s">
        <v>498</v>
      </c>
      <c r="C3" t="s">
        <v>500</v>
      </c>
      <c r="D3" s="56" t="s">
        <v>500</v>
      </c>
      <c r="E3" s="59"/>
      <c r="G3" s="56" t="s">
        <v>1101</v>
      </c>
    </row>
    <row r="4" spans="1:7" ht="28.8" x14ac:dyDescent="0.3">
      <c r="A4" t="s">
        <v>502</v>
      </c>
      <c r="B4" t="s">
        <v>498</v>
      </c>
      <c r="C4" t="s">
        <v>500</v>
      </c>
      <c r="D4" s="56" t="s">
        <v>500</v>
      </c>
      <c r="E4" s="59"/>
      <c r="G4" s="56" t="s">
        <v>1101</v>
      </c>
    </row>
    <row r="5" spans="1:7" ht="28.8" x14ac:dyDescent="0.3">
      <c r="A5" t="s">
        <v>505</v>
      </c>
      <c r="B5" t="s">
        <v>498</v>
      </c>
      <c r="C5" t="s">
        <v>507</v>
      </c>
      <c r="D5" s="56" t="s">
        <v>500</v>
      </c>
      <c r="E5" s="59"/>
      <c r="G5" s="56" t="s">
        <v>1101</v>
      </c>
    </row>
    <row r="6" spans="1:7" ht="28.8" x14ac:dyDescent="0.3">
      <c r="A6" t="s">
        <v>510</v>
      </c>
      <c r="B6" t="s">
        <v>498</v>
      </c>
      <c r="C6" t="s">
        <v>503</v>
      </c>
      <c r="D6" s="56" t="s">
        <v>500</v>
      </c>
      <c r="E6" s="59"/>
      <c r="G6" s="56" t="s">
        <v>1101</v>
      </c>
    </row>
    <row r="7" spans="1:7" ht="28.8" x14ac:dyDescent="0.3">
      <c r="A7" t="s">
        <v>513</v>
      </c>
      <c r="B7" t="s">
        <v>498</v>
      </c>
      <c r="C7" t="s">
        <v>514</v>
      </c>
      <c r="D7" s="56" t="s">
        <v>500</v>
      </c>
      <c r="E7" s="59"/>
      <c r="G7" s="56" t="s">
        <v>1101</v>
      </c>
    </row>
    <row r="8" spans="1:7" ht="28.8" x14ac:dyDescent="0.3">
      <c r="A8" t="s">
        <v>516</v>
      </c>
      <c r="B8" t="s">
        <v>498</v>
      </c>
      <c r="C8" t="s">
        <v>518</v>
      </c>
      <c r="D8" s="56" t="s">
        <v>500</v>
      </c>
      <c r="E8" s="59"/>
      <c r="G8" s="56" t="s">
        <v>1101</v>
      </c>
    </row>
    <row r="9" spans="1:7" ht="28.8" x14ac:dyDescent="0.3">
      <c r="A9" t="s">
        <v>520</v>
      </c>
      <c r="B9" t="s">
        <v>498</v>
      </c>
      <c r="C9" t="s">
        <v>518</v>
      </c>
      <c r="D9" s="56" t="s">
        <v>500</v>
      </c>
      <c r="E9" s="59"/>
      <c r="G9" s="56" t="s">
        <v>1101</v>
      </c>
    </row>
    <row r="10" spans="1:7" ht="28.8" x14ac:dyDescent="0.3">
      <c r="A10" t="s">
        <v>523</v>
      </c>
      <c r="B10" t="s">
        <v>498</v>
      </c>
      <c r="C10" t="s">
        <v>525</v>
      </c>
      <c r="D10" s="56" t="s">
        <v>526</v>
      </c>
      <c r="E10" s="59"/>
      <c r="G10" s="56" t="s">
        <v>1101</v>
      </c>
    </row>
    <row r="11" spans="1:7" ht="28.8" x14ac:dyDescent="0.3">
      <c r="A11" t="s">
        <v>528</v>
      </c>
      <c r="B11" t="s">
        <v>498</v>
      </c>
      <c r="C11" t="s">
        <v>530</v>
      </c>
      <c r="D11" s="56" t="s">
        <v>500</v>
      </c>
      <c r="E11" s="59"/>
      <c r="G11" s="56" t="s">
        <v>1101</v>
      </c>
    </row>
    <row r="12" spans="1:7" ht="28.8" x14ac:dyDescent="0.3">
      <c r="A12" t="s">
        <v>532</v>
      </c>
      <c r="B12" t="s">
        <v>498</v>
      </c>
      <c r="C12" t="s">
        <v>534</v>
      </c>
      <c r="D12" s="56" t="s">
        <v>500</v>
      </c>
      <c r="E12" s="59"/>
      <c r="G12" s="56" t="s">
        <v>1101</v>
      </c>
    </row>
    <row r="13" spans="1:7" ht="28.8" x14ac:dyDescent="0.3">
      <c r="A13" t="s">
        <v>536</v>
      </c>
      <c r="B13" t="s">
        <v>498</v>
      </c>
      <c r="C13" t="s">
        <v>538</v>
      </c>
      <c r="D13" s="56" t="s">
        <v>1102</v>
      </c>
      <c r="E13" s="59"/>
      <c r="G13" s="56" t="s">
        <v>1103</v>
      </c>
    </row>
    <row r="14" spans="1:7" ht="28.8" x14ac:dyDescent="0.3">
      <c r="A14" t="s">
        <v>541</v>
      </c>
      <c r="B14" t="s">
        <v>498</v>
      </c>
      <c r="C14" t="s">
        <v>538</v>
      </c>
      <c r="D14" s="56" t="s">
        <v>543</v>
      </c>
      <c r="E14" s="59"/>
      <c r="G14" s="56" t="s">
        <v>1101</v>
      </c>
    </row>
    <row r="15" spans="1:7" ht="28.8" x14ac:dyDescent="0.3">
      <c r="A15" t="s">
        <v>545</v>
      </c>
      <c r="B15" t="s">
        <v>498</v>
      </c>
      <c r="C15" t="s">
        <v>525</v>
      </c>
      <c r="D15" s="56" t="s">
        <v>547</v>
      </c>
      <c r="E15" s="59"/>
      <c r="G15" s="56" t="s">
        <v>1101</v>
      </c>
    </row>
    <row r="16" spans="1:7" ht="28.8" x14ac:dyDescent="0.3">
      <c r="A16" t="s">
        <v>549</v>
      </c>
      <c r="B16" t="s">
        <v>498</v>
      </c>
      <c r="C16" t="s">
        <v>525</v>
      </c>
      <c r="D16" s="56" t="s">
        <v>551</v>
      </c>
      <c r="E16" s="59"/>
      <c r="G16" s="56" t="s">
        <v>1101</v>
      </c>
    </row>
    <row r="17" spans="1:7" ht="28.8" x14ac:dyDescent="0.3">
      <c r="A17" t="s">
        <v>552</v>
      </c>
      <c r="B17" t="s">
        <v>498</v>
      </c>
      <c r="C17" t="s">
        <v>534</v>
      </c>
      <c r="D17" s="56" t="s">
        <v>500</v>
      </c>
      <c r="E17" s="59"/>
      <c r="G17" s="56" t="s">
        <v>1101</v>
      </c>
    </row>
    <row r="18" spans="1:7" ht="28.8" x14ac:dyDescent="0.3">
      <c r="A18" t="s">
        <v>555</v>
      </c>
      <c r="B18" t="s">
        <v>498</v>
      </c>
      <c r="C18" t="s">
        <v>525</v>
      </c>
      <c r="D18" s="56" t="s">
        <v>557</v>
      </c>
      <c r="E18" s="59"/>
      <c r="G18" s="56" t="s">
        <v>1101</v>
      </c>
    </row>
    <row r="19" spans="1:7" ht="43.2" x14ac:dyDescent="0.3">
      <c r="A19" t="s">
        <v>559</v>
      </c>
      <c r="B19" t="s">
        <v>498</v>
      </c>
      <c r="C19" t="s">
        <v>525</v>
      </c>
      <c r="D19" s="56" t="s">
        <v>561</v>
      </c>
      <c r="E19" s="59"/>
      <c r="G19" s="56" t="s">
        <v>1101</v>
      </c>
    </row>
    <row r="20" spans="1:7" ht="28.8" x14ac:dyDescent="0.3">
      <c r="A20" t="s">
        <v>562</v>
      </c>
      <c r="B20" t="s">
        <v>498</v>
      </c>
      <c r="C20" t="s">
        <v>525</v>
      </c>
      <c r="D20" s="56" t="s">
        <v>564</v>
      </c>
      <c r="E20" s="59"/>
      <c r="G20" s="56" t="s">
        <v>1101</v>
      </c>
    </row>
    <row r="21" spans="1:7" ht="28.8" x14ac:dyDescent="0.3">
      <c r="A21" t="s">
        <v>566</v>
      </c>
      <c r="B21" t="s">
        <v>498</v>
      </c>
      <c r="C21" t="s">
        <v>503</v>
      </c>
      <c r="D21" s="56" t="s">
        <v>500</v>
      </c>
      <c r="E21" s="59"/>
      <c r="G21" s="56" t="s">
        <v>1101</v>
      </c>
    </row>
    <row r="22" spans="1:7" ht="28.8" x14ac:dyDescent="0.3">
      <c r="A22" t="s">
        <v>569</v>
      </c>
      <c r="B22" t="s">
        <v>498</v>
      </c>
      <c r="C22" t="s">
        <v>525</v>
      </c>
      <c r="D22" s="56" t="s">
        <v>571</v>
      </c>
      <c r="E22" s="59"/>
      <c r="G22" s="56" t="s">
        <v>1101</v>
      </c>
    </row>
    <row r="23" spans="1:7" ht="28.8" x14ac:dyDescent="0.3">
      <c r="A23" t="s">
        <v>5</v>
      </c>
      <c r="B23" t="s">
        <v>574</v>
      </c>
      <c r="C23" t="s">
        <v>518</v>
      </c>
      <c r="D23" s="56" t="s">
        <v>500</v>
      </c>
      <c r="E23" s="59"/>
      <c r="G23" s="56" t="s">
        <v>1101</v>
      </c>
    </row>
    <row r="24" spans="1:7" ht="28.8" x14ac:dyDescent="0.3">
      <c r="A24" t="s">
        <v>577</v>
      </c>
      <c r="B24" t="s">
        <v>574</v>
      </c>
      <c r="C24" t="s">
        <v>518</v>
      </c>
      <c r="D24" s="56" t="s">
        <v>500</v>
      </c>
      <c r="E24" s="59"/>
      <c r="G24" s="56" t="s">
        <v>1101</v>
      </c>
    </row>
    <row r="25" spans="1:7" ht="28.8" x14ac:dyDescent="0.3">
      <c r="A25" t="s">
        <v>6</v>
      </c>
      <c r="B25" t="s">
        <v>574</v>
      </c>
      <c r="C25" t="s">
        <v>518</v>
      </c>
      <c r="D25" s="56" t="s">
        <v>500</v>
      </c>
      <c r="E25" s="59"/>
      <c r="G25" s="56" t="s">
        <v>1101</v>
      </c>
    </row>
    <row r="26" spans="1:7" ht="28.8" x14ac:dyDescent="0.3">
      <c r="A26" t="s">
        <v>7</v>
      </c>
      <c r="B26" t="s">
        <v>574</v>
      </c>
      <c r="C26" t="s">
        <v>518</v>
      </c>
      <c r="D26" s="56" t="s">
        <v>500</v>
      </c>
      <c r="E26" s="59"/>
      <c r="G26" s="56" t="s">
        <v>1101</v>
      </c>
    </row>
    <row r="27" spans="1:7" ht="28.8" x14ac:dyDescent="0.3">
      <c r="A27" t="s">
        <v>8</v>
      </c>
      <c r="B27" t="s">
        <v>574</v>
      </c>
      <c r="C27" t="s">
        <v>584</v>
      </c>
      <c r="D27" s="56" t="s">
        <v>500</v>
      </c>
      <c r="E27" s="59"/>
      <c r="G27" s="56" t="s">
        <v>1101</v>
      </c>
    </row>
    <row r="28" spans="1:7" ht="28.8" x14ac:dyDescent="0.3">
      <c r="A28" t="s">
        <v>9</v>
      </c>
      <c r="B28" t="s">
        <v>574</v>
      </c>
      <c r="C28" t="s">
        <v>584</v>
      </c>
      <c r="D28" s="56" t="s">
        <v>500</v>
      </c>
      <c r="E28" s="59"/>
      <c r="G28" s="56" t="s">
        <v>1101</v>
      </c>
    </row>
    <row r="29" spans="1:7" ht="28.8" x14ac:dyDescent="0.3">
      <c r="A29" t="s">
        <v>10</v>
      </c>
      <c r="B29" t="s">
        <v>574</v>
      </c>
      <c r="C29" t="s">
        <v>503</v>
      </c>
      <c r="D29" s="56" t="s">
        <v>500</v>
      </c>
      <c r="E29" s="59"/>
      <c r="G29" s="56" t="s">
        <v>1101</v>
      </c>
    </row>
    <row r="30" spans="1:7" ht="28.8" x14ac:dyDescent="0.3">
      <c r="A30" t="s">
        <v>11</v>
      </c>
      <c r="B30" t="s">
        <v>574</v>
      </c>
      <c r="C30" t="s">
        <v>503</v>
      </c>
      <c r="D30" s="56" t="s">
        <v>500</v>
      </c>
      <c r="E30" s="59"/>
      <c r="G30" s="56" t="s">
        <v>1101</v>
      </c>
    </row>
    <row r="31" spans="1:7" x14ac:dyDescent="0.3">
      <c r="A31" t="s">
        <v>12</v>
      </c>
      <c r="B31" t="s">
        <v>574</v>
      </c>
      <c r="C31" t="s">
        <v>525</v>
      </c>
      <c r="D31" s="56" t="s">
        <v>1104</v>
      </c>
      <c r="E31" s="59">
        <v>0</v>
      </c>
      <c r="F31" t="s">
        <v>1105</v>
      </c>
    </row>
    <row r="32" spans="1:7" x14ac:dyDescent="0.3">
      <c r="A32" t="s">
        <v>12</v>
      </c>
      <c r="B32" t="s">
        <v>574</v>
      </c>
      <c r="C32" t="s">
        <v>525</v>
      </c>
      <c r="D32" s="56" t="s">
        <v>1106</v>
      </c>
      <c r="E32" s="59">
        <v>100</v>
      </c>
      <c r="F32" t="s">
        <v>1107</v>
      </c>
    </row>
    <row r="33" spans="1:7" x14ac:dyDescent="0.3">
      <c r="A33" t="s">
        <v>12</v>
      </c>
      <c r="B33" t="s">
        <v>574</v>
      </c>
      <c r="C33" t="s">
        <v>525</v>
      </c>
      <c r="D33" s="56" t="s">
        <v>1108</v>
      </c>
      <c r="E33" s="59" t="s">
        <v>1109</v>
      </c>
      <c r="F33" t="s">
        <v>1110</v>
      </c>
      <c r="G33" s="56" t="s">
        <v>1111</v>
      </c>
    </row>
    <row r="34" spans="1:7" ht="28.8" x14ac:dyDescent="0.3">
      <c r="A34" t="s">
        <v>13</v>
      </c>
      <c r="B34" t="s">
        <v>574</v>
      </c>
      <c r="C34" t="s">
        <v>530</v>
      </c>
      <c r="D34" s="56" t="s">
        <v>500</v>
      </c>
      <c r="E34" s="59"/>
      <c r="G34" s="56" t="s">
        <v>1101</v>
      </c>
    </row>
    <row r="35" spans="1:7" x14ac:dyDescent="0.3">
      <c r="A35" t="s">
        <v>14</v>
      </c>
      <c r="B35" t="s">
        <v>574</v>
      </c>
      <c r="C35" t="s">
        <v>525</v>
      </c>
      <c r="D35" s="56" t="s">
        <v>1104</v>
      </c>
      <c r="E35" s="59">
        <v>0</v>
      </c>
      <c r="F35" t="s">
        <v>1112</v>
      </c>
      <c r="G35" s="56" t="s">
        <v>1113</v>
      </c>
    </row>
    <row r="36" spans="1:7" x14ac:dyDescent="0.3">
      <c r="A36" t="s">
        <v>14</v>
      </c>
      <c r="B36" t="s">
        <v>574</v>
      </c>
      <c r="C36" t="s">
        <v>525</v>
      </c>
      <c r="D36" s="56" t="s">
        <v>1106</v>
      </c>
      <c r="E36" s="59">
        <v>100</v>
      </c>
      <c r="F36" t="s">
        <v>1114</v>
      </c>
      <c r="G36" s="56" t="s">
        <v>1113</v>
      </c>
    </row>
    <row r="37" spans="1:7" x14ac:dyDescent="0.3">
      <c r="A37" t="s">
        <v>14</v>
      </c>
      <c r="B37" t="s">
        <v>574</v>
      </c>
      <c r="C37" t="s">
        <v>525</v>
      </c>
      <c r="D37" s="56" t="s">
        <v>1108</v>
      </c>
      <c r="E37" s="59" t="s">
        <v>1109</v>
      </c>
      <c r="F37" t="s">
        <v>1115</v>
      </c>
      <c r="G37" s="56" t="s">
        <v>1116</v>
      </c>
    </row>
    <row r="38" spans="1:7" ht="28.8" x14ac:dyDescent="0.3">
      <c r="A38" t="s">
        <v>15</v>
      </c>
      <c r="B38" t="s">
        <v>574</v>
      </c>
      <c r="C38" t="s">
        <v>534</v>
      </c>
      <c r="D38" s="56" t="s">
        <v>500</v>
      </c>
      <c r="E38" s="59"/>
      <c r="G38" s="56" t="s">
        <v>1101</v>
      </c>
    </row>
    <row r="39" spans="1:7" ht="28.8" x14ac:dyDescent="0.3">
      <c r="A39" t="s">
        <v>16</v>
      </c>
      <c r="B39" t="s">
        <v>574</v>
      </c>
      <c r="C39" t="s">
        <v>584</v>
      </c>
      <c r="D39" s="56" t="s">
        <v>500</v>
      </c>
      <c r="E39" s="59"/>
      <c r="G39" s="56" t="s">
        <v>1101</v>
      </c>
    </row>
    <row r="40" spans="1:7" x14ac:dyDescent="0.3">
      <c r="A40" t="s">
        <v>17</v>
      </c>
      <c r="B40" t="s">
        <v>574</v>
      </c>
      <c r="C40" t="s">
        <v>525</v>
      </c>
      <c r="D40" s="56" t="s">
        <v>1106</v>
      </c>
      <c r="E40" s="59">
        <v>0</v>
      </c>
      <c r="F40" t="s">
        <v>1117</v>
      </c>
    </row>
    <row r="41" spans="1:7" x14ac:dyDescent="0.3">
      <c r="A41" t="s">
        <v>17</v>
      </c>
      <c r="B41" t="s">
        <v>574</v>
      </c>
      <c r="C41" t="s">
        <v>525</v>
      </c>
      <c r="D41" s="56" t="s">
        <v>1118</v>
      </c>
      <c r="E41" s="59">
        <v>33</v>
      </c>
      <c r="F41" t="s">
        <v>1119</v>
      </c>
    </row>
    <row r="42" spans="1:7" x14ac:dyDescent="0.3">
      <c r="A42" t="s">
        <v>17</v>
      </c>
      <c r="B42" t="s">
        <v>574</v>
      </c>
      <c r="C42" t="s">
        <v>525</v>
      </c>
      <c r="D42" s="56" t="s">
        <v>1120</v>
      </c>
      <c r="E42" s="59">
        <v>67</v>
      </c>
      <c r="F42" t="s">
        <v>1121</v>
      </c>
    </row>
    <row r="43" spans="1:7" x14ac:dyDescent="0.3">
      <c r="A43" t="s">
        <v>17</v>
      </c>
      <c r="B43" t="s">
        <v>574</v>
      </c>
      <c r="C43" t="s">
        <v>525</v>
      </c>
      <c r="D43" s="56" t="s">
        <v>1122</v>
      </c>
      <c r="E43" s="59">
        <v>100</v>
      </c>
      <c r="F43" t="s">
        <v>1123</v>
      </c>
    </row>
    <row r="44" spans="1:7" x14ac:dyDescent="0.3">
      <c r="A44" t="s">
        <v>18</v>
      </c>
      <c r="B44" t="s">
        <v>574</v>
      </c>
      <c r="C44" t="s">
        <v>525</v>
      </c>
      <c r="D44" s="56" t="s">
        <v>1124</v>
      </c>
      <c r="E44" s="59">
        <v>0</v>
      </c>
      <c r="F44" t="s">
        <v>1125</v>
      </c>
    </row>
    <row r="45" spans="1:7" x14ac:dyDescent="0.3">
      <c r="A45" t="s">
        <v>18</v>
      </c>
      <c r="B45" t="s">
        <v>574</v>
      </c>
      <c r="C45" t="s">
        <v>525</v>
      </c>
      <c r="D45" s="56" t="s">
        <v>1126</v>
      </c>
      <c r="E45" s="59">
        <v>25</v>
      </c>
      <c r="F45" t="s">
        <v>1127</v>
      </c>
    </row>
    <row r="46" spans="1:7" x14ac:dyDescent="0.3">
      <c r="A46" t="s">
        <v>18</v>
      </c>
      <c r="B46" t="s">
        <v>574</v>
      </c>
      <c r="C46" t="s">
        <v>525</v>
      </c>
      <c r="D46" s="56" t="s">
        <v>1128</v>
      </c>
      <c r="E46" s="59">
        <v>100</v>
      </c>
      <c r="F46" t="s">
        <v>1129</v>
      </c>
    </row>
    <row r="47" spans="1:7" x14ac:dyDescent="0.3">
      <c r="A47" t="s">
        <v>18</v>
      </c>
      <c r="B47" t="s">
        <v>574</v>
      </c>
      <c r="C47" t="s">
        <v>525</v>
      </c>
      <c r="D47" s="56" t="s">
        <v>1130</v>
      </c>
      <c r="E47" s="59" t="s">
        <v>1109</v>
      </c>
      <c r="F47" t="s">
        <v>1131</v>
      </c>
      <c r="G47" s="56" t="s">
        <v>1111</v>
      </c>
    </row>
    <row r="48" spans="1:7" x14ac:dyDescent="0.3">
      <c r="A48" t="s">
        <v>606</v>
      </c>
      <c r="B48" t="s">
        <v>607</v>
      </c>
      <c r="C48" t="s">
        <v>525</v>
      </c>
      <c r="D48" s="56" t="s">
        <v>1104</v>
      </c>
      <c r="E48" s="59">
        <v>100</v>
      </c>
      <c r="F48" t="s">
        <v>1132</v>
      </c>
      <c r="G48" s="56" t="s">
        <v>1113</v>
      </c>
    </row>
    <row r="49" spans="1:7" x14ac:dyDescent="0.3">
      <c r="A49" t="s">
        <v>606</v>
      </c>
      <c r="B49" t="s">
        <v>607</v>
      </c>
      <c r="C49" t="s">
        <v>525</v>
      </c>
      <c r="D49" s="56" t="s">
        <v>1106</v>
      </c>
      <c r="E49" s="59">
        <v>50</v>
      </c>
      <c r="F49" t="s">
        <v>1133</v>
      </c>
      <c r="G49" s="56" t="s">
        <v>1113</v>
      </c>
    </row>
    <row r="50" spans="1:7" ht="28.8" x14ac:dyDescent="0.3">
      <c r="A50" t="s">
        <v>611</v>
      </c>
      <c r="B50" t="s">
        <v>607</v>
      </c>
      <c r="C50" t="s">
        <v>525</v>
      </c>
      <c r="D50" s="56" t="s">
        <v>613</v>
      </c>
      <c r="E50" s="59"/>
      <c r="G50" s="56" t="s">
        <v>1101</v>
      </c>
    </row>
    <row r="51" spans="1:7" x14ac:dyDescent="0.3">
      <c r="A51" t="s">
        <v>615</v>
      </c>
      <c r="B51" t="s">
        <v>607</v>
      </c>
      <c r="C51" t="s">
        <v>525</v>
      </c>
      <c r="D51" s="56" t="s">
        <v>1134</v>
      </c>
      <c r="E51" s="59">
        <v>100</v>
      </c>
      <c r="F51" t="s">
        <v>1135</v>
      </c>
    </row>
    <row r="52" spans="1:7" x14ac:dyDescent="0.3">
      <c r="A52" t="s">
        <v>615</v>
      </c>
      <c r="B52" t="s">
        <v>607</v>
      </c>
      <c r="C52" t="s">
        <v>525</v>
      </c>
      <c r="D52" s="56" t="s">
        <v>1136</v>
      </c>
      <c r="E52" s="59">
        <v>50</v>
      </c>
      <c r="F52" t="s">
        <v>1137</v>
      </c>
    </row>
    <row r="53" spans="1:7" x14ac:dyDescent="0.3">
      <c r="A53" t="s">
        <v>615</v>
      </c>
      <c r="B53" t="s">
        <v>607</v>
      </c>
      <c r="C53" t="s">
        <v>525</v>
      </c>
      <c r="D53" s="56" t="s">
        <v>1108</v>
      </c>
      <c r="E53" s="59" t="s">
        <v>1109</v>
      </c>
      <c r="F53" t="s">
        <v>1138</v>
      </c>
      <c r="G53" s="56" t="s">
        <v>1111</v>
      </c>
    </row>
    <row r="54" spans="1:7" x14ac:dyDescent="0.3">
      <c r="A54" t="s">
        <v>619</v>
      </c>
      <c r="B54" t="s">
        <v>607</v>
      </c>
      <c r="C54" t="s">
        <v>525</v>
      </c>
      <c r="D54" s="56" t="s">
        <v>1104</v>
      </c>
      <c r="E54" s="59">
        <v>100</v>
      </c>
      <c r="F54" t="s">
        <v>1139</v>
      </c>
      <c r="G54" s="56" t="s">
        <v>1113</v>
      </c>
    </row>
    <row r="55" spans="1:7" x14ac:dyDescent="0.3">
      <c r="A55" t="s">
        <v>619</v>
      </c>
      <c r="B55" t="s">
        <v>607</v>
      </c>
      <c r="C55" t="s">
        <v>525</v>
      </c>
      <c r="D55" s="56" t="s">
        <v>1106</v>
      </c>
      <c r="E55" s="59">
        <v>50</v>
      </c>
      <c r="F55" t="s">
        <v>1140</v>
      </c>
      <c r="G55" s="56" t="s">
        <v>1113</v>
      </c>
    </row>
    <row r="56" spans="1:7" x14ac:dyDescent="0.3">
      <c r="A56" t="s">
        <v>619</v>
      </c>
      <c r="B56" t="s">
        <v>607</v>
      </c>
      <c r="C56" t="s">
        <v>525</v>
      </c>
      <c r="D56" s="56" t="s">
        <v>1108</v>
      </c>
      <c r="E56" s="59" t="s">
        <v>1109</v>
      </c>
      <c r="F56" t="s">
        <v>1141</v>
      </c>
      <c r="G56" s="56" t="s">
        <v>1116</v>
      </c>
    </row>
    <row r="57" spans="1:7" x14ac:dyDescent="0.3">
      <c r="A57" t="s">
        <v>621</v>
      </c>
      <c r="B57" t="s">
        <v>607</v>
      </c>
      <c r="C57" t="s">
        <v>525</v>
      </c>
      <c r="D57" s="56" t="s">
        <v>1142</v>
      </c>
      <c r="E57" s="59">
        <v>100</v>
      </c>
      <c r="F57" t="s">
        <v>1143</v>
      </c>
    </row>
    <row r="58" spans="1:7" x14ac:dyDescent="0.3">
      <c r="A58" t="s">
        <v>621</v>
      </c>
      <c r="B58" t="s">
        <v>607</v>
      </c>
      <c r="C58" t="s">
        <v>525</v>
      </c>
      <c r="D58" s="56" t="s">
        <v>1144</v>
      </c>
      <c r="E58" s="59">
        <v>100</v>
      </c>
      <c r="F58" t="s">
        <v>1145</v>
      </c>
    </row>
    <row r="59" spans="1:7" x14ac:dyDescent="0.3">
      <c r="A59" t="s">
        <v>621</v>
      </c>
      <c r="B59" t="s">
        <v>607</v>
      </c>
      <c r="C59" t="s">
        <v>525</v>
      </c>
      <c r="D59" s="56" t="s">
        <v>1146</v>
      </c>
      <c r="E59" s="59">
        <v>100</v>
      </c>
      <c r="F59" t="s">
        <v>1147</v>
      </c>
    </row>
    <row r="60" spans="1:7" x14ac:dyDescent="0.3">
      <c r="A60" t="s">
        <v>621</v>
      </c>
      <c r="B60" t="s">
        <v>607</v>
      </c>
      <c r="C60" t="s">
        <v>525</v>
      </c>
      <c r="D60" s="56" t="s">
        <v>1148</v>
      </c>
      <c r="E60" s="59">
        <v>100</v>
      </c>
      <c r="F60" t="s">
        <v>1149</v>
      </c>
    </row>
    <row r="61" spans="1:7" x14ac:dyDescent="0.3">
      <c r="A61" t="s">
        <v>621</v>
      </c>
      <c r="B61" t="s">
        <v>607</v>
      </c>
      <c r="C61" t="s">
        <v>525</v>
      </c>
      <c r="D61" s="56" t="s">
        <v>1108</v>
      </c>
      <c r="E61" s="59" t="s">
        <v>1109</v>
      </c>
      <c r="F61" t="s">
        <v>1150</v>
      </c>
      <c r="G61" s="56" t="s">
        <v>1111</v>
      </c>
    </row>
    <row r="62" spans="1:7" x14ac:dyDescent="0.3">
      <c r="A62" t="s">
        <v>625</v>
      </c>
      <c r="B62" t="s">
        <v>626</v>
      </c>
      <c r="C62" t="s">
        <v>628</v>
      </c>
      <c r="D62" s="56" t="s">
        <v>1151</v>
      </c>
      <c r="E62" s="59"/>
      <c r="G62" s="56" t="s">
        <v>1152</v>
      </c>
    </row>
    <row r="63" spans="1:7" x14ac:dyDescent="0.3">
      <c r="A63" t="s">
        <v>631</v>
      </c>
      <c r="B63" t="s">
        <v>626</v>
      </c>
      <c r="C63" t="s">
        <v>534</v>
      </c>
      <c r="D63" s="56" t="s">
        <v>1153</v>
      </c>
      <c r="E63" s="59"/>
      <c r="G63" s="56" t="s">
        <v>1154</v>
      </c>
    </row>
    <row r="64" spans="1:7" x14ac:dyDescent="0.3">
      <c r="A64" t="s">
        <v>633</v>
      </c>
      <c r="B64" t="s">
        <v>626</v>
      </c>
      <c r="C64" t="s">
        <v>628</v>
      </c>
      <c r="D64" s="56" t="s">
        <v>1151</v>
      </c>
      <c r="E64" s="59"/>
      <c r="G64" s="56" t="s">
        <v>1152</v>
      </c>
    </row>
    <row r="65" spans="1:7" x14ac:dyDescent="0.3">
      <c r="A65" t="s">
        <v>636</v>
      </c>
      <c r="B65" t="s">
        <v>626</v>
      </c>
      <c r="C65" t="s">
        <v>525</v>
      </c>
      <c r="D65" s="56" t="s">
        <v>1155</v>
      </c>
      <c r="E65" s="59">
        <v>100</v>
      </c>
      <c r="F65" t="s">
        <v>1156</v>
      </c>
    </row>
    <row r="66" spans="1:7" x14ac:dyDescent="0.3">
      <c r="A66" t="s">
        <v>636</v>
      </c>
      <c r="B66" t="s">
        <v>626</v>
      </c>
      <c r="C66" t="s">
        <v>525</v>
      </c>
      <c r="D66" s="56" t="s">
        <v>1157</v>
      </c>
      <c r="E66" s="59">
        <v>75</v>
      </c>
      <c r="F66" t="s">
        <v>1158</v>
      </c>
    </row>
    <row r="67" spans="1:7" x14ac:dyDescent="0.3">
      <c r="A67" t="s">
        <v>636</v>
      </c>
      <c r="B67" t="s">
        <v>626</v>
      </c>
      <c r="C67" t="s">
        <v>525</v>
      </c>
      <c r="D67" s="56" t="s">
        <v>1159</v>
      </c>
      <c r="E67" s="59">
        <v>50</v>
      </c>
      <c r="F67" t="s">
        <v>1160</v>
      </c>
    </row>
    <row r="68" spans="1:7" x14ac:dyDescent="0.3">
      <c r="A68" t="s">
        <v>636</v>
      </c>
      <c r="B68" t="s">
        <v>626</v>
      </c>
      <c r="C68" t="s">
        <v>525</v>
      </c>
      <c r="D68" s="56" t="s">
        <v>1161</v>
      </c>
      <c r="E68" s="59">
        <v>25</v>
      </c>
      <c r="F68" t="s">
        <v>1162</v>
      </c>
    </row>
    <row r="69" spans="1:7" x14ac:dyDescent="0.3">
      <c r="A69" t="s">
        <v>636</v>
      </c>
      <c r="B69" t="s">
        <v>626</v>
      </c>
      <c r="C69" t="s">
        <v>525</v>
      </c>
      <c r="D69" s="56" t="s">
        <v>1163</v>
      </c>
      <c r="E69" s="59" t="s">
        <v>1109</v>
      </c>
      <c r="F69" t="s">
        <v>1164</v>
      </c>
      <c r="G69" s="56" t="s">
        <v>1111</v>
      </c>
    </row>
    <row r="70" spans="1:7" x14ac:dyDescent="0.3">
      <c r="A70" t="s">
        <v>639</v>
      </c>
      <c r="B70" t="s">
        <v>626</v>
      </c>
      <c r="C70" t="s">
        <v>525</v>
      </c>
      <c r="D70" s="56" t="s">
        <v>1165</v>
      </c>
      <c r="E70" s="59">
        <v>0</v>
      </c>
      <c r="F70" t="s">
        <v>1166</v>
      </c>
    </row>
    <row r="71" spans="1:7" x14ac:dyDescent="0.3">
      <c r="A71" t="s">
        <v>639</v>
      </c>
      <c r="B71" t="s">
        <v>626</v>
      </c>
      <c r="C71" t="s">
        <v>525</v>
      </c>
      <c r="D71" s="56" t="s">
        <v>1167</v>
      </c>
      <c r="E71" s="59">
        <v>33</v>
      </c>
      <c r="F71" t="s">
        <v>1168</v>
      </c>
    </row>
    <row r="72" spans="1:7" x14ac:dyDescent="0.3">
      <c r="A72" t="s">
        <v>639</v>
      </c>
      <c r="B72" t="s">
        <v>626</v>
      </c>
      <c r="C72" t="s">
        <v>525</v>
      </c>
      <c r="D72" s="56" t="s">
        <v>1169</v>
      </c>
      <c r="E72" s="59">
        <v>67</v>
      </c>
      <c r="F72" t="s">
        <v>1170</v>
      </c>
    </row>
    <row r="73" spans="1:7" x14ac:dyDescent="0.3">
      <c r="A73" t="s">
        <v>639</v>
      </c>
      <c r="B73" t="s">
        <v>626</v>
      </c>
      <c r="C73" t="s">
        <v>525</v>
      </c>
      <c r="D73" s="56" t="s">
        <v>1171</v>
      </c>
      <c r="E73" s="59">
        <v>100</v>
      </c>
      <c r="F73" t="s">
        <v>1172</v>
      </c>
    </row>
    <row r="74" spans="1:7" x14ac:dyDescent="0.3">
      <c r="A74" t="s">
        <v>642</v>
      </c>
      <c r="B74" t="s">
        <v>626</v>
      </c>
      <c r="C74" t="s">
        <v>525</v>
      </c>
      <c r="D74" s="56" t="s">
        <v>1173</v>
      </c>
      <c r="E74" s="59">
        <v>0</v>
      </c>
      <c r="F74" t="s">
        <v>1174</v>
      </c>
    </row>
    <row r="75" spans="1:7" x14ac:dyDescent="0.3">
      <c r="A75" t="s">
        <v>642</v>
      </c>
      <c r="B75" t="s">
        <v>626</v>
      </c>
      <c r="C75" t="s">
        <v>525</v>
      </c>
      <c r="D75" s="56" t="s">
        <v>1175</v>
      </c>
      <c r="E75" s="59">
        <v>50</v>
      </c>
      <c r="F75" t="s">
        <v>1176</v>
      </c>
    </row>
    <row r="76" spans="1:7" x14ac:dyDescent="0.3">
      <c r="A76" t="s">
        <v>642</v>
      </c>
      <c r="B76" t="s">
        <v>626</v>
      </c>
      <c r="C76" t="s">
        <v>525</v>
      </c>
      <c r="D76" s="56" t="s">
        <v>1177</v>
      </c>
      <c r="E76" s="59">
        <v>100</v>
      </c>
      <c r="F76" t="s">
        <v>1178</v>
      </c>
    </row>
    <row r="77" spans="1:7" x14ac:dyDescent="0.3">
      <c r="A77" t="s">
        <v>646</v>
      </c>
      <c r="B77" t="s">
        <v>626</v>
      </c>
      <c r="C77" t="s">
        <v>525</v>
      </c>
      <c r="D77" s="56" t="s">
        <v>1179</v>
      </c>
      <c r="E77" s="59">
        <v>100</v>
      </c>
      <c r="F77" t="s">
        <v>1180</v>
      </c>
    </row>
    <row r="78" spans="1:7" x14ac:dyDescent="0.3">
      <c r="A78" t="s">
        <v>646</v>
      </c>
      <c r="B78" t="s">
        <v>626</v>
      </c>
      <c r="C78" t="s">
        <v>525</v>
      </c>
      <c r="D78" s="56" t="s">
        <v>1181</v>
      </c>
      <c r="E78" s="59">
        <v>75</v>
      </c>
      <c r="F78" t="s">
        <v>1182</v>
      </c>
    </row>
    <row r="79" spans="1:7" x14ac:dyDescent="0.3">
      <c r="A79" t="s">
        <v>646</v>
      </c>
      <c r="B79" t="s">
        <v>626</v>
      </c>
      <c r="C79" t="s">
        <v>525</v>
      </c>
      <c r="D79" s="56" t="s">
        <v>1183</v>
      </c>
      <c r="E79" s="59">
        <v>50</v>
      </c>
      <c r="F79" t="s">
        <v>1184</v>
      </c>
    </row>
    <row r="80" spans="1:7" x14ac:dyDescent="0.3">
      <c r="A80" t="s">
        <v>646</v>
      </c>
      <c r="B80" t="s">
        <v>626</v>
      </c>
      <c r="C80" t="s">
        <v>525</v>
      </c>
      <c r="D80" s="56" t="s">
        <v>1185</v>
      </c>
      <c r="E80" s="59">
        <v>25</v>
      </c>
      <c r="F80" t="s">
        <v>1186</v>
      </c>
    </row>
    <row r="81" spans="1:7" x14ac:dyDescent="0.3">
      <c r="A81" t="s">
        <v>646</v>
      </c>
      <c r="B81" t="s">
        <v>626</v>
      </c>
      <c r="C81" t="s">
        <v>525</v>
      </c>
      <c r="D81" s="56" t="s">
        <v>1187</v>
      </c>
      <c r="E81" s="59" t="s">
        <v>1109</v>
      </c>
      <c r="F81" t="s">
        <v>1188</v>
      </c>
      <c r="G81" s="56" t="s">
        <v>1111</v>
      </c>
    </row>
    <row r="82" spans="1:7" x14ac:dyDescent="0.3">
      <c r="A82" t="s">
        <v>649</v>
      </c>
      <c r="B82" t="s">
        <v>626</v>
      </c>
      <c r="C82" t="s">
        <v>525</v>
      </c>
      <c r="D82" s="56" t="s">
        <v>1189</v>
      </c>
      <c r="E82" s="59">
        <v>100</v>
      </c>
      <c r="F82" t="s">
        <v>1190</v>
      </c>
    </row>
    <row r="83" spans="1:7" x14ac:dyDescent="0.3">
      <c r="A83" t="s">
        <v>649</v>
      </c>
      <c r="B83" t="s">
        <v>626</v>
      </c>
      <c r="C83" t="s">
        <v>525</v>
      </c>
      <c r="D83" s="56" t="s">
        <v>1191</v>
      </c>
      <c r="E83" s="59">
        <v>67</v>
      </c>
      <c r="F83" t="s">
        <v>1192</v>
      </c>
    </row>
    <row r="84" spans="1:7" x14ac:dyDescent="0.3">
      <c r="A84" t="s">
        <v>649</v>
      </c>
      <c r="B84" t="s">
        <v>626</v>
      </c>
      <c r="C84" t="s">
        <v>525</v>
      </c>
      <c r="D84" s="56" t="s">
        <v>1193</v>
      </c>
      <c r="E84" s="59">
        <v>33</v>
      </c>
      <c r="F84" t="s">
        <v>1194</v>
      </c>
    </row>
    <row r="85" spans="1:7" x14ac:dyDescent="0.3">
      <c r="A85" t="s">
        <v>649</v>
      </c>
      <c r="B85" t="s">
        <v>626</v>
      </c>
      <c r="C85" t="s">
        <v>525</v>
      </c>
      <c r="D85" s="56" t="s">
        <v>1195</v>
      </c>
      <c r="E85" s="59">
        <v>0</v>
      </c>
      <c r="F85" t="s">
        <v>1196</v>
      </c>
    </row>
    <row r="86" spans="1:7" x14ac:dyDescent="0.3">
      <c r="A86" t="s">
        <v>649</v>
      </c>
      <c r="B86" t="s">
        <v>626</v>
      </c>
      <c r="C86" t="s">
        <v>525</v>
      </c>
      <c r="D86" s="56" t="s">
        <v>1197</v>
      </c>
      <c r="E86" s="59" t="s">
        <v>1109</v>
      </c>
      <c r="F86" t="s">
        <v>1198</v>
      </c>
      <c r="G86" s="56" t="s">
        <v>1111</v>
      </c>
    </row>
    <row r="87" spans="1:7" x14ac:dyDescent="0.3">
      <c r="A87" t="s">
        <v>654</v>
      </c>
      <c r="B87" t="s">
        <v>655</v>
      </c>
      <c r="C87" t="s">
        <v>534</v>
      </c>
      <c r="D87" s="56" t="s">
        <v>1153</v>
      </c>
      <c r="E87" s="59"/>
      <c r="G87" s="56" t="s">
        <v>1154</v>
      </c>
    </row>
    <row r="88" spans="1:7" x14ac:dyDescent="0.3">
      <c r="A88" t="s">
        <v>658</v>
      </c>
      <c r="B88" t="s">
        <v>655</v>
      </c>
      <c r="C88" t="s">
        <v>525</v>
      </c>
      <c r="D88" s="56" t="s">
        <v>1199</v>
      </c>
      <c r="E88" s="59">
        <v>0</v>
      </c>
      <c r="F88" t="s">
        <v>1200</v>
      </c>
      <c r="G88" s="56" t="s">
        <v>1113</v>
      </c>
    </row>
    <row r="89" spans="1:7" x14ac:dyDescent="0.3">
      <c r="A89" t="s">
        <v>658</v>
      </c>
      <c r="B89" t="s">
        <v>655</v>
      </c>
      <c r="C89" t="s">
        <v>525</v>
      </c>
      <c r="D89" s="56" t="s">
        <v>1201</v>
      </c>
      <c r="E89" s="59">
        <v>50</v>
      </c>
      <c r="F89" t="s">
        <v>1202</v>
      </c>
      <c r="G89" s="56" t="s">
        <v>1113</v>
      </c>
    </row>
    <row r="90" spans="1:7" x14ac:dyDescent="0.3">
      <c r="A90" t="s">
        <v>658</v>
      </c>
      <c r="B90" t="s">
        <v>655</v>
      </c>
      <c r="C90" t="s">
        <v>525</v>
      </c>
      <c r="D90" s="56" t="s">
        <v>1203</v>
      </c>
      <c r="E90" s="59">
        <v>0</v>
      </c>
      <c r="F90" t="s">
        <v>1204</v>
      </c>
      <c r="G90" s="56" t="s">
        <v>1113</v>
      </c>
    </row>
    <row r="91" spans="1:7" x14ac:dyDescent="0.3">
      <c r="A91" t="s">
        <v>658</v>
      </c>
      <c r="B91" t="s">
        <v>655</v>
      </c>
      <c r="C91" t="s">
        <v>525</v>
      </c>
      <c r="D91" s="56" t="s">
        <v>1205</v>
      </c>
      <c r="E91" s="59" t="s">
        <v>1109</v>
      </c>
      <c r="F91" t="s">
        <v>1206</v>
      </c>
      <c r="G91" s="56" t="s">
        <v>1116</v>
      </c>
    </row>
    <row r="92" spans="1:7" x14ac:dyDescent="0.3">
      <c r="A92" t="s">
        <v>658</v>
      </c>
      <c r="B92" t="s">
        <v>655</v>
      </c>
      <c r="C92" t="s">
        <v>525</v>
      </c>
      <c r="D92" s="56" t="s">
        <v>1207</v>
      </c>
      <c r="E92" s="59">
        <v>100</v>
      </c>
      <c r="F92" t="s">
        <v>1208</v>
      </c>
      <c r="G92" s="56" t="s">
        <v>1113</v>
      </c>
    </row>
    <row r="93" spans="1:7" x14ac:dyDescent="0.3">
      <c r="A93" t="s">
        <v>661</v>
      </c>
      <c r="B93" t="s">
        <v>655</v>
      </c>
      <c r="C93" t="s">
        <v>628</v>
      </c>
      <c r="D93" s="56" t="s">
        <v>1151</v>
      </c>
      <c r="E93" s="59"/>
      <c r="G93" s="56" t="s">
        <v>1152</v>
      </c>
    </row>
    <row r="94" spans="1:7" x14ac:dyDescent="0.3">
      <c r="A94" t="s">
        <v>663</v>
      </c>
      <c r="B94" t="s">
        <v>655</v>
      </c>
      <c r="C94" t="s">
        <v>525</v>
      </c>
      <c r="D94" s="56" t="s">
        <v>1104</v>
      </c>
      <c r="E94" s="59">
        <v>0</v>
      </c>
      <c r="F94" t="s">
        <v>1209</v>
      </c>
    </row>
    <row r="95" spans="1:7" x14ac:dyDescent="0.3">
      <c r="A95" t="s">
        <v>663</v>
      </c>
      <c r="B95" t="s">
        <v>655</v>
      </c>
      <c r="C95" t="s">
        <v>525</v>
      </c>
      <c r="D95" s="56" t="s">
        <v>1106</v>
      </c>
      <c r="E95" s="59">
        <v>100</v>
      </c>
      <c r="F95" t="s">
        <v>1210</v>
      </c>
    </row>
    <row r="96" spans="1:7" x14ac:dyDescent="0.3">
      <c r="A96" t="s">
        <v>663</v>
      </c>
      <c r="B96" t="s">
        <v>655</v>
      </c>
      <c r="C96" t="s">
        <v>525</v>
      </c>
      <c r="D96" s="56" t="s">
        <v>1205</v>
      </c>
      <c r="E96" s="59" t="s">
        <v>1109</v>
      </c>
      <c r="F96" t="s">
        <v>1211</v>
      </c>
      <c r="G96" s="56" t="s">
        <v>1111</v>
      </c>
    </row>
    <row r="97" spans="1:7" x14ac:dyDescent="0.3">
      <c r="A97" t="s">
        <v>666</v>
      </c>
      <c r="B97" t="s">
        <v>655</v>
      </c>
      <c r="C97" t="s">
        <v>525</v>
      </c>
      <c r="D97" s="56" t="s">
        <v>1212</v>
      </c>
      <c r="E97" s="59">
        <v>100</v>
      </c>
      <c r="F97" t="s">
        <v>1213</v>
      </c>
    </row>
    <row r="98" spans="1:7" x14ac:dyDescent="0.3">
      <c r="A98" t="s">
        <v>666</v>
      </c>
      <c r="B98" t="s">
        <v>655</v>
      </c>
      <c r="C98" t="s">
        <v>525</v>
      </c>
      <c r="D98" s="56" t="s">
        <v>1214</v>
      </c>
      <c r="E98" s="59">
        <v>50</v>
      </c>
      <c r="F98" t="s">
        <v>1215</v>
      </c>
    </row>
    <row r="99" spans="1:7" x14ac:dyDescent="0.3">
      <c r="A99" t="s">
        <v>666</v>
      </c>
      <c r="B99" t="s">
        <v>655</v>
      </c>
      <c r="C99" t="s">
        <v>525</v>
      </c>
      <c r="D99" s="56" t="s">
        <v>1106</v>
      </c>
      <c r="E99" s="59">
        <v>0</v>
      </c>
      <c r="F99" t="s">
        <v>1216</v>
      </c>
    </row>
    <row r="100" spans="1:7" x14ac:dyDescent="0.3">
      <c r="A100" t="s">
        <v>666</v>
      </c>
      <c r="B100" t="s">
        <v>655</v>
      </c>
      <c r="C100" t="s">
        <v>525</v>
      </c>
      <c r="D100" s="56" t="s">
        <v>1197</v>
      </c>
      <c r="E100" s="59" t="s">
        <v>1109</v>
      </c>
      <c r="F100" t="s">
        <v>1217</v>
      </c>
      <c r="G100" s="56" t="s">
        <v>1111</v>
      </c>
    </row>
    <row r="101" spans="1:7" x14ac:dyDescent="0.3">
      <c r="A101" t="s">
        <v>669</v>
      </c>
      <c r="B101" t="s">
        <v>655</v>
      </c>
      <c r="C101" t="s">
        <v>525</v>
      </c>
      <c r="D101" s="56" t="s">
        <v>1218</v>
      </c>
      <c r="E101" s="59">
        <v>100</v>
      </c>
      <c r="F101" t="s">
        <v>1219</v>
      </c>
    </row>
    <row r="102" spans="1:7" x14ac:dyDescent="0.3">
      <c r="A102" t="s">
        <v>669</v>
      </c>
      <c r="B102" t="s">
        <v>655</v>
      </c>
      <c r="C102" t="s">
        <v>525</v>
      </c>
      <c r="D102" s="56" t="s">
        <v>1220</v>
      </c>
      <c r="E102" s="59">
        <v>50</v>
      </c>
      <c r="F102" t="s">
        <v>1221</v>
      </c>
    </row>
    <row r="103" spans="1:7" x14ac:dyDescent="0.3">
      <c r="A103" t="s">
        <v>669</v>
      </c>
      <c r="B103" t="s">
        <v>655</v>
      </c>
      <c r="C103" t="s">
        <v>525</v>
      </c>
      <c r="D103" s="56" t="s">
        <v>1106</v>
      </c>
      <c r="E103" s="59">
        <v>0</v>
      </c>
      <c r="F103" t="s">
        <v>1222</v>
      </c>
    </row>
    <row r="104" spans="1:7" x14ac:dyDescent="0.3">
      <c r="A104" t="s">
        <v>669</v>
      </c>
      <c r="B104" t="s">
        <v>655</v>
      </c>
      <c r="C104" t="s">
        <v>525</v>
      </c>
      <c r="D104" s="56" t="s">
        <v>1197</v>
      </c>
      <c r="E104" s="59" t="s">
        <v>1109</v>
      </c>
      <c r="F104" t="s">
        <v>1223</v>
      </c>
      <c r="G104" s="56" t="s">
        <v>1111</v>
      </c>
    </row>
    <row r="105" spans="1:7" x14ac:dyDescent="0.3">
      <c r="A105" t="s">
        <v>672</v>
      </c>
      <c r="B105" t="s">
        <v>655</v>
      </c>
      <c r="C105" t="s">
        <v>525</v>
      </c>
      <c r="D105" s="56" t="s">
        <v>1104</v>
      </c>
      <c r="E105" s="59">
        <v>0</v>
      </c>
      <c r="F105" t="s">
        <v>1224</v>
      </c>
    </row>
    <row r="106" spans="1:7" x14ac:dyDescent="0.3">
      <c r="A106" t="s">
        <v>672</v>
      </c>
      <c r="B106" t="s">
        <v>655</v>
      </c>
      <c r="C106" t="s">
        <v>525</v>
      </c>
      <c r="D106" s="56" t="s">
        <v>1106</v>
      </c>
      <c r="E106" s="59">
        <v>100</v>
      </c>
      <c r="F106" t="s">
        <v>1225</v>
      </c>
    </row>
    <row r="107" spans="1:7" x14ac:dyDescent="0.3">
      <c r="A107" t="s">
        <v>672</v>
      </c>
      <c r="B107" t="s">
        <v>655</v>
      </c>
      <c r="C107" t="s">
        <v>525</v>
      </c>
      <c r="D107" s="56" t="s">
        <v>1108</v>
      </c>
      <c r="E107" s="59" t="s">
        <v>1109</v>
      </c>
      <c r="F107" t="s">
        <v>1226</v>
      </c>
      <c r="G107" s="56" t="s">
        <v>1111</v>
      </c>
    </row>
    <row r="108" spans="1:7" x14ac:dyDescent="0.3">
      <c r="A108" t="s">
        <v>674</v>
      </c>
      <c r="B108" t="s">
        <v>655</v>
      </c>
      <c r="C108" t="s">
        <v>525</v>
      </c>
      <c r="D108" s="56" t="s">
        <v>1227</v>
      </c>
      <c r="E108" s="59">
        <v>100</v>
      </c>
      <c r="F108" t="s">
        <v>1228</v>
      </c>
    </row>
    <row r="109" spans="1:7" x14ac:dyDescent="0.3">
      <c r="A109" t="s">
        <v>674</v>
      </c>
      <c r="B109" t="s">
        <v>655</v>
      </c>
      <c r="C109" t="s">
        <v>525</v>
      </c>
      <c r="D109" s="56" t="s">
        <v>1229</v>
      </c>
      <c r="E109" s="59">
        <v>80</v>
      </c>
      <c r="F109" t="s">
        <v>1230</v>
      </c>
    </row>
    <row r="110" spans="1:7" ht="28.8" x14ac:dyDescent="0.3">
      <c r="A110" t="s">
        <v>674</v>
      </c>
      <c r="B110" t="s">
        <v>655</v>
      </c>
      <c r="C110" t="s">
        <v>525</v>
      </c>
      <c r="D110" s="56" t="s">
        <v>1231</v>
      </c>
      <c r="E110" s="59">
        <v>60</v>
      </c>
      <c r="F110" t="s">
        <v>1232</v>
      </c>
    </row>
    <row r="111" spans="1:7" x14ac:dyDescent="0.3">
      <c r="A111" t="s">
        <v>674</v>
      </c>
      <c r="B111" t="s">
        <v>655</v>
      </c>
      <c r="C111" t="s">
        <v>525</v>
      </c>
      <c r="D111" s="56" t="s">
        <v>1233</v>
      </c>
      <c r="E111" s="59">
        <v>20</v>
      </c>
      <c r="F111" t="s">
        <v>1234</v>
      </c>
    </row>
    <row r="112" spans="1:7" ht="28.8" x14ac:dyDescent="0.3">
      <c r="A112" t="s">
        <v>674</v>
      </c>
      <c r="B112" t="s">
        <v>655</v>
      </c>
      <c r="C112" t="s">
        <v>525</v>
      </c>
      <c r="D112" s="56" t="s">
        <v>1235</v>
      </c>
      <c r="E112" s="59">
        <v>0</v>
      </c>
      <c r="F112" t="s">
        <v>1236</v>
      </c>
    </row>
    <row r="113" spans="1:7" x14ac:dyDescent="0.3">
      <c r="A113" t="s">
        <v>674</v>
      </c>
      <c r="B113" t="s">
        <v>655</v>
      </c>
      <c r="C113" t="s">
        <v>525</v>
      </c>
      <c r="D113" s="56" t="s">
        <v>1205</v>
      </c>
      <c r="E113" s="59" t="s">
        <v>1109</v>
      </c>
      <c r="F113" t="s">
        <v>1237</v>
      </c>
      <c r="G113" s="56" t="s">
        <v>1111</v>
      </c>
    </row>
    <row r="114" spans="1:7" x14ac:dyDescent="0.3">
      <c r="A114" t="s">
        <v>677</v>
      </c>
      <c r="B114" t="s">
        <v>655</v>
      </c>
      <c r="C114" t="s">
        <v>525</v>
      </c>
      <c r="D114" s="56" t="s">
        <v>1238</v>
      </c>
      <c r="E114" s="59">
        <v>100</v>
      </c>
      <c r="F114" t="s">
        <v>1239</v>
      </c>
    </row>
    <row r="115" spans="1:7" x14ac:dyDescent="0.3">
      <c r="A115" t="s">
        <v>677</v>
      </c>
      <c r="B115" t="s">
        <v>655</v>
      </c>
      <c r="C115" t="s">
        <v>525</v>
      </c>
      <c r="D115" s="56" t="s">
        <v>1214</v>
      </c>
      <c r="E115" s="59">
        <v>50</v>
      </c>
      <c r="F115" t="s">
        <v>1240</v>
      </c>
    </row>
    <row r="116" spans="1:7" x14ac:dyDescent="0.3">
      <c r="A116" t="s">
        <v>677</v>
      </c>
      <c r="B116" t="s">
        <v>655</v>
      </c>
      <c r="C116" t="s">
        <v>525</v>
      </c>
      <c r="D116" s="56" t="s">
        <v>1205</v>
      </c>
      <c r="E116" s="59" t="s">
        <v>1109</v>
      </c>
      <c r="F116" t="s">
        <v>1241</v>
      </c>
      <c r="G116" s="56" t="s">
        <v>1111</v>
      </c>
    </row>
    <row r="117" spans="1:7" x14ac:dyDescent="0.3">
      <c r="A117" t="s">
        <v>677</v>
      </c>
      <c r="B117" t="s">
        <v>655</v>
      </c>
      <c r="C117" t="s">
        <v>525</v>
      </c>
      <c r="D117" s="56" t="s">
        <v>1108</v>
      </c>
      <c r="E117" s="59" t="s">
        <v>1109</v>
      </c>
      <c r="F117" t="s">
        <v>1242</v>
      </c>
      <c r="G117" s="56" t="s">
        <v>1111</v>
      </c>
    </row>
    <row r="118" spans="1:7" x14ac:dyDescent="0.3">
      <c r="A118" t="s">
        <v>680</v>
      </c>
      <c r="B118" t="s">
        <v>655</v>
      </c>
      <c r="C118" t="s">
        <v>525</v>
      </c>
      <c r="D118" s="56" t="s">
        <v>1243</v>
      </c>
      <c r="E118" s="59">
        <v>100</v>
      </c>
      <c r="F118" t="s">
        <v>1244</v>
      </c>
    </row>
    <row r="119" spans="1:7" x14ac:dyDescent="0.3">
      <c r="A119" t="s">
        <v>680</v>
      </c>
      <c r="B119" t="s">
        <v>655</v>
      </c>
      <c r="C119" t="s">
        <v>525</v>
      </c>
      <c r="D119" s="56" t="s">
        <v>1245</v>
      </c>
      <c r="E119" s="59">
        <v>50</v>
      </c>
      <c r="F119" t="s">
        <v>1246</v>
      </c>
    </row>
    <row r="120" spans="1:7" x14ac:dyDescent="0.3">
      <c r="A120" t="s">
        <v>680</v>
      </c>
      <c r="B120" t="s">
        <v>655</v>
      </c>
      <c r="C120" t="s">
        <v>525</v>
      </c>
      <c r="D120" s="56" t="s">
        <v>1247</v>
      </c>
      <c r="E120" s="59">
        <v>0</v>
      </c>
      <c r="F120" t="s">
        <v>1248</v>
      </c>
    </row>
    <row r="121" spans="1:7" x14ac:dyDescent="0.3">
      <c r="A121" t="s">
        <v>683</v>
      </c>
      <c r="B121" t="s">
        <v>655</v>
      </c>
      <c r="C121" t="s">
        <v>525</v>
      </c>
      <c r="D121" s="56" t="s">
        <v>1249</v>
      </c>
      <c r="E121" s="59">
        <v>100</v>
      </c>
      <c r="F121" t="s">
        <v>1250</v>
      </c>
    </row>
    <row r="122" spans="1:7" x14ac:dyDescent="0.3">
      <c r="A122" t="s">
        <v>683</v>
      </c>
      <c r="B122" t="s">
        <v>655</v>
      </c>
      <c r="C122" t="s">
        <v>525</v>
      </c>
      <c r="D122" s="56" t="s">
        <v>1251</v>
      </c>
      <c r="E122" s="59">
        <v>0</v>
      </c>
      <c r="F122" t="s">
        <v>1252</v>
      </c>
    </row>
    <row r="123" spans="1:7" x14ac:dyDescent="0.3">
      <c r="A123" t="s">
        <v>683</v>
      </c>
      <c r="B123" t="s">
        <v>655</v>
      </c>
      <c r="C123" t="s">
        <v>525</v>
      </c>
      <c r="D123" s="56" t="s">
        <v>1253</v>
      </c>
      <c r="E123" s="59" t="s">
        <v>1109</v>
      </c>
      <c r="F123" t="s">
        <v>1254</v>
      </c>
      <c r="G123" s="56" t="s">
        <v>1111</v>
      </c>
    </row>
    <row r="124" spans="1:7" x14ac:dyDescent="0.3">
      <c r="A124" t="s">
        <v>683</v>
      </c>
      <c r="B124" t="s">
        <v>655</v>
      </c>
      <c r="C124" t="s">
        <v>525</v>
      </c>
      <c r="D124" s="56" t="s">
        <v>1108</v>
      </c>
      <c r="E124" s="59" t="s">
        <v>1109</v>
      </c>
      <c r="F124" t="s">
        <v>1255</v>
      </c>
      <c r="G124" s="56" t="s">
        <v>1111</v>
      </c>
    </row>
    <row r="125" spans="1:7" x14ac:dyDescent="0.3">
      <c r="A125" t="s">
        <v>686</v>
      </c>
      <c r="B125" t="s">
        <v>655</v>
      </c>
      <c r="C125" t="s">
        <v>525</v>
      </c>
      <c r="D125" s="56" t="s">
        <v>1256</v>
      </c>
      <c r="E125" s="59">
        <v>100</v>
      </c>
      <c r="F125" t="s">
        <v>1257</v>
      </c>
    </row>
    <row r="126" spans="1:7" x14ac:dyDescent="0.3">
      <c r="A126" t="s">
        <v>686</v>
      </c>
      <c r="B126" t="s">
        <v>655</v>
      </c>
      <c r="C126" t="s">
        <v>525</v>
      </c>
      <c r="D126" s="56" t="s">
        <v>1258</v>
      </c>
      <c r="E126" s="59">
        <v>50</v>
      </c>
      <c r="F126" t="s">
        <v>1259</v>
      </c>
    </row>
    <row r="127" spans="1:7" x14ac:dyDescent="0.3">
      <c r="A127" t="s">
        <v>686</v>
      </c>
      <c r="B127" t="s">
        <v>655</v>
      </c>
      <c r="C127" t="s">
        <v>525</v>
      </c>
      <c r="D127" s="56" t="s">
        <v>1106</v>
      </c>
      <c r="E127" s="59">
        <v>0</v>
      </c>
      <c r="F127" t="s">
        <v>1260</v>
      </c>
    </row>
    <row r="128" spans="1:7" x14ac:dyDescent="0.3">
      <c r="A128" t="s">
        <v>686</v>
      </c>
      <c r="B128" t="s">
        <v>655</v>
      </c>
      <c r="C128" t="s">
        <v>525</v>
      </c>
      <c r="D128" s="56" t="s">
        <v>1261</v>
      </c>
      <c r="E128" s="59" t="s">
        <v>1109</v>
      </c>
      <c r="F128" t="s">
        <v>1262</v>
      </c>
      <c r="G128" s="56" t="s">
        <v>1111</v>
      </c>
    </row>
    <row r="129" spans="1:7" x14ac:dyDescent="0.3">
      <c r="A129" t="s">
        <v>689</v>
      </c>
      <c r="B129" t="s">
        <v>655</v>
      </c>
      <c r="C129" t="s">
        <v>525</v>
      </c>
      <c r="D129" s="56" t="s">
        <v>1263</v>
      </c>
      <c r="E129" s="59">
        <v>0</v>
      </c>
      <c r="F129" t="s">
        <v>1264</v>
      </c>
    </row>
    <row r="130" spans="1:7" x14ac:dyDescent="0.3">
      <c r="A130" t="s">
        <v>689</v>
      </c>
      <c r="B130" t="s">
        <v>655</v>
      </c>
      <c r="C130" t="s">
        <v>525</v>
      </c>
      <c r="D130" s="56" t="s">
        <v>1265</v>
      </c>
      <c r="E130" s="59">
        <v>50</v>
      </c>
      <c r="F130" t="s">
        <v>1266</v>
      </c>
    </row>
    <row r="131" spans="1:7" x14ac:dyDescent="0.3">
      <c r="A131" t="s">
        <v>689</v>
      </c>
      <c r="B131" t="s">
        <v>655</v>
      </c>
      <c r="C131" t="s">
        <v>525</v>
      </c>
      <c r="D131" s="56" t="s">
        <v>1106</v>
      </c>
      <c r="E131" s="59">
        <v>100</v>
      </c>
      <c r="F131" t="s">
        <v>1267</v>
      </c>
    </row>
    <row r="132" spans="1:7" x14ac:dyDescent="0.3">
      <c r="A132" t="s">
        <v>689</v>
      </c>
      <c r="B132" t="s">
        <v>655</v>
      </c>
      <c r="C132" t="s">
        <v>525</v>
      </c>
      <c r="D132" s="56" t="s">
        <v>1108</v>
      </c>
      <c r="E132" s="59" t="s">
        <v>1109</v>
      </c>
      <c r="F132" t="s">
        <v>1268</v>
      </c>
      <c r="G132" s="56" t="s">
        <v>1111</v>
      </c>
    </row>
    <row r="133" spans="1:7" x14ac:dyDescent="0.3">
      <c r="A133" t="s">
        <v>694</v>
      </c>
      <c r="B133" t="s">
        <v>695</v>
      </c>
      <c r="C133" t="s">
        <v>525</v>
      </c>
      <c r="D133" s="56" t="s">
        <v>1205</v>
      </c>
      <c r="E133" s="59" t="s">
        <v>1109</v>
      </c>
      <c r="F133" t="s">
        <v>1269</v>
      </c>
      <c r="G133" s="56" t="s">
        <v>1116</v>
      </c>
    </row>
    <row r="134" spans="1:7" x14ac:dyDescent="0.3">
      <c r="A134" t="s">
        <v>694</v>
      </c>
      <c r="B134" t="s">
        <v>695</v>
      </c>
      <c r="C134" t="s">
        <v>525</v>
      </c>
      <c r="D134" s="56" t="s">
        <v>1270</v>
      </c>
      <c r="E134" s="59">
        <v>50</v>
      </c>
      <c r="F134" t="s">
        <v>1271</v>
      </c>
      <c r="G134" s="56" t="s">
        <v>1113</v>
      </c>
    </row>
    <row r="135" spans="1:7" x14ac:dyDescent="0.3">
      <c r="A135" t="s">
        <v>694</v>
      </c>
      <c r="B135" t="s">
        <v>695</v>
      </c>
      <c r="C135" t="s">
        <v>525</v>
      </c>
      <c r="D135" s="56" t="s">
        <v>1272</v>
      </c>
      <c r="E135" s="59">
        <v>75</v>
      </c>
      <c r="F135" t="s">
        <v>1273</v>
      </c>
      <c r="G135" s="56" t="s">
        <v>1113</v>
      </c>
    </row>
    <row r="136" spans="1:7" x14ac:dyDescent="0.3">
      <c r="A136" t="s">
        <v>694</v>
      </c>
      <c r="B136" t="s">
        <v>695</v>
      </c>
      <c r="C136" t="s">
        <v>525</v>
      </c>
      <c r="D136" s="56" t="s">
        <v>1274</v>
      </c>
      <c r="E136" s="59">
        <v>0</v>
      </c>
      <c r="F136" t="s">
        <v>1275</v>
      </c>
      <c r="G136" s="56" t="s">
        <v>1113</v>
      </c>
    </row>
    <row r="137" spans="1:7" x14ac:dyDescent="0.3">
      <c r="A137" t="s">
        <v>694</v>
      </c>
      <c r="B137" t="s">
        <v>695</v>
      </c>
      <c r="C137" t="s">
        <v>525</v>
      </c>
      <c r="D137" s="56" t="s">
        <v>1276</v>
      </c>
      <c r="E137" s="59">
        <v>100</v>
      </c>
      <c r="F137" t="s">
        <v>1277</v>
      </c>
      <c r="G137" s="56" t="s">
        <v>1113</v>
      </c>
    </row>
    <row r="138" spans="1:7" x14ac:dyDescent="0.3">
      <c r="A138" t="s">
        <v>699</v>
      </c>
      <c r="B138" t="s">
        <v>695</v>
      </c>
      <c r="C138" t="s">
        <v>628</v>
      </c>
      <c r="D138" s="56" t="s">
        <v>1151</v>
      </c>
      <c r="E138" s="59"/>
      <c r="G138" s="56" t="s">
        <v>1152</v>
      </c>
    </row>
    <row r="139" spans="1:7" x14ac:dyDescent="0.3">
      <c r="A139" t="s">
        <v>701</v>
      </c>
      <c r="B139" t="s">
        <v>695</v>
      </c>
      <c r="C139" t="s">
        <v>525</v>
      </c>
      <c r="D139" s="56" t="s">
        <v>1278</v>
      </c>
      <c r="E139" s="59">
        <v>100</v>
      </c>
      <c r="F139" t="s">
        <v>1279</v>
      </c>
    </row>
    <row r="140" spans="1:7" x14ac:dyDescent="0.3">
      <c r="A140" t="s">
        <v>701</v>
      </c>
      <c r="B140" t="s">
        <v>695</v>
      </c>
      <c r="C140" t="s">
        <v>525</v>
      </c>
      <c r="D140" s="56" t="s">
        <v>1136</v>
      </c>
      <c r="E140" s="59">
        <v>50</v>
      </c>
      <c r="F140" t="s">
        <v>1280</v>
      </c>
    </row>
    <row r="141" spans="1:7" x14ac:dyDescent="0.3">
      <c r="A141" t="s">
        <v>701</v>
      </c>
      <c r="B141" t="s">
        <v>695</v>
      </c>
      <c r="C141" t="s">
        <v>525</v>
      </c>
      <c r="D141" s="56" t="s">
        <v>1108</v>
      </c>
      <c r="E141" s="59" t="s">
        <v>1109</v>
      </c>
      <c r="F141" t="s">
        <v>1281</v>
      </c>
      <c r="G141" s="56" t="s">
        <v>1111</v>
      </c>
    </row>
    <row r="142" spans="1:7" x14ac:dyDescent="0.3">
      <c r="A142" t="s">
        <v>704</v>
      </c>
      <c r="B142" t="s">
        <v>695</v>
      </c>
      <c r="C142" t="s">
        <v>525</v>
      </c>
      <c r="D142" s="56" t="s">
        <v>1282</v>
      </c>
      <c r="E142" s="59">
        <v>0</v>
      </c>
      <c r="F142" t="s">
        <v>1283</v>
      </c>
    </row>
    <row r="143" spans="1:7" x14ac:dyDescent="0.3">
      <c r="A143" t="s">
        <v>704</v>
      </c>
      <c r="B143" t="s">
        <v>695</v>
      </c>
      <c r="C143" t="s">
        <v>525</v>
      </c>
      <c r="D143" s="56" t="s">
        <v>1284</v>
      </c>
      <c r="E143" s="59">
        <v>75</v>
      </c>
      <c r="F143" t="s">
        <v>1285</v>
      </c>
    </row>
    <row r="144" spans="1:7" x14ac:dyDescent="0.3">
      <c r="A144" t="s">
        <v>704</v>
      </c>
      <c r="B144" t="s">
        <v>695</v>
      </c>
      <c r="C144" t="s">
        <v>525</v>
      </c>
      <c r="D144" s="56" t="s">
        <v>1286</v>
      </c>
      <c r="E144" s="59">
        <v>100</v>
      </c>
      <c r="F144" t="s">
        <v>1287</v>
      </c>
    </row>
    <row r="145" spans="1:7" x14ac:dyDescent="0.3">
      <c r="A145" t="s">
        <v>704</v>
      </c>
      <c r="B145" t="s">
        <v>695</v>
      </c>
      <c r="C145" t="s">
        <v>525</v>
      </c>
      <c r="D145" s="56" t="s">
        <v>1288</v>
      </c>
      <c r="E145" s="59">
        <v>0</v>
      </c>
      <c r="F145" t="s">
        <v>1289</v>
      </c>
    </row>
    <row r="146" spans="1:7" x14ac:dyDescent="0.3">
      <c r="A146" t="s">
        <v>709</v>
      </c>
      <c r="B146" t="s">
        <v>710</v>
      </c>
      <c r="C146" t="s">
        <v>628</v>
      </c>
      <c r="D146" s="56" t="s">
        <v>1151</v>
      </c>
      <c r="E146" s="59"/>
      <c r="G146" s="56" t="s">
        <v>1152</v>
      </c>
    </row>
    <row r="147" spans="1:7" x14ac:dyDescent="0.3">
      <c r="A147" t="s">
        <v>713</v>
      </c>
      <c r="B147" t="s">
        <v>710</v>
      </c>
      <c r="C147" t="s">
        <v>628</v>
      </c>
      <c r="D147" s="56" t="s">
        <v>1151</v>
      </c>
      <c r="E147" s="59"/>
      <c r="G147" s="56" t="s">
        <v>1152</v>
      </c>
    </row>
    <row r="148" spans="1:7" x14ac:dyDescent="0.3">
      <c r="A148" t="s">
        <v>715</v>
      </c>
      <c r="B148" t="s">
        <v>710</v>
      </c>
      <c r="C148" t="s">
        <v>525</v>
      </c>
      <c r="D148" s="56" t="s">
        <v>1290</v>
      </c>
      <c r="E148" s="59">
        <v>0</v>
      </c>
      <c r="F148" t="s">
        <v>1291</v>
      </c>
    </row>
    <row r="149" spans="1:7" x14ac:dyDescent="0.3">
      <c r="A149" t="s">
        <v>715</v>
      </c>
      <c r="B149" t="s">
        <v>710</v>
      </c>
      <c r="C149" t="s">
        <v>525</v>
      </c>
      <c r="D149" s="56" t="s">
        <v>1292</v>
      </c>
      <c r="E149" s="59">
        <v>50</v>
      </c>
      <c r="F149" t="s">
        <v>1293</v>
      </c>
    </row>
    <row r="150" spans="1:7" x14ac:dyDescent="0.3">
      <c r="A150" t="s">
        <v>715</v>
      </c>
      <c r="B150" t="s">
        <v>710</v>
      </c>
      <c r="C150" t="s">
        <v>525</v>
      </c>
      <c r="D150" s="56" t="s">
        <v>1294</v>
      </c>
      <c r="E150" s="59">
        <v>100</v>
      </c>
      <c r="F150" t="s">
        <v>1295</v>
      </c>
    </row>
    <row r="151" spans="1:7" x14ac:dyDescent="0.3">
      <c r="A151" t="s">
        <v>718</v>
      </c>
      <c r="B151" t="s">
        <v>710</v>
      </c>
      <c r="C151" t="s">
        <v>525</v>
      </c>
      <c r="D151" s="56" t="s">
        <v>1296</v>
      </c>
      <c r="E151" s="59" t="s">
        <v>1109</v>
      </c>
      <c r="F151" t="s">
        <v>1297</v>
      </c>
      <c r="G151" s="56" t="s">
        <v>1111</v>
      </c>
    </row>
    <row r="152" spans="1:7" x14ac:dyDescent="0.3">
      <c r="A152" t="s">
        <v>718</v>
      </c>
      <c r="B152" t="s">
        <v>710</v>
      </c>
      <c r="C152" t="s">
        <v>525</v>
      </c>
      <c r="D152" s="56" t="s">
        <v>1298</v>
      </c>
      <c r="E152" s="59">
        <v>0</v>
      </c>
      <c r="F152" t="s">
        <v>1299</v>
      </c>
    </row>
    <row r="153" spans="1:7" x14ac:dyDescent="0.3">
      <c r="A153" t="s">
        <v>718</v>
      </c>
      <c r="B153" t="s">
        <v>710</v>
      </c>
      <c r="C153" t="s">
        <v>525</v>
      </c>
      <c r="D153" s="56" t="s">
        <v>1300</v>
      </c>
      <c r="E153" s="59">
        <v>50</v>
      </c>
      <c r="F153" t="s">
        <v>1301</v>
      </c>
    </row>
    <row r="154" spans="1:7" x14ac:dyDescent="0.3">
      <c r="A154" t="s">
        <v>718</v>
      </c>
      <c r="B154" t="s">
        <v>710</v>
      </c>
      <c r="C154" t="s">
        <v>525</v>
      </c>
      <c r="D154" s="56" t="s">
        <v>1302</v>
      </c>
      <c r="E154" s="59">
        <v>100</v>
      </c>
      <c r="F154" t="s">
        <v>1303</v>
      </c>
    </row>
    <row r="155" spans="1:7" x14ac:dyDescent="0.3">
      <c r="A155" t="s">
        <v>721</v>
      </c>
      <c r="B155" t="s">
        <v>710</v>
      </c>
      <c r="C155" t="s">
        <v>538</v>
      </c>
      <c r="D155" s="56" t="s">
        <v>1102</v>
      </c>
      <c r="E155" s="59"/>
      <c r="G155" s="56" t="s">
        <v>1304</v>
      </c>
    </row>
    <row r="156" spans="1:7" x14ac:dyDescent="0.3">
      <c r="A156" t="s">
        <v>724</v>
      </c>
      <c r="B156" t="s">
        <v>710</v>
      </c>
      <c r="C156" t="s">
        <v>525</v>
      </c>
      <c r="D156" s="56" t="s">
        <v>1106</v>
      </c>
      <c r="E156" s="59">
        <v>0</v>
      </c>
      <c r="F156" t="s">
        <v>1305</v>
      </c>
    </row>
    <row r="157" spans="1:7" x14ac:dyDescent="0.3">
      <c r="A157" t="s">
        <v>724</v>
      </c>
      <c r="B157" t="s">
        <v>710</v>
      </c>
      <c r="C157" t="s">
        <v>525</v>
      </c>
      <c r="D157" s="56" t="s">
        <v>1306</v>
      </c>
      <c r="E157" s="59">
        <v>50</v>
      </c>
      <c r="F157" t="s">
        <v>1307</v>
      </c>
    </row>
    <row r="158" spans="1:7" x14ac:dyDescent="0.3">
      <c r="A158" t="s">
        <v>724</v>
      </c>
      <c r="B158" t="s">
        <v>710</v>
      </c>
      <c r="C158" t="s">
        <v>525</v>
      </c>
      <c r="D158" s="56" t="s">
        <v>1308</v>
      </c>
      <c r="E158" s="59">
        <v>100</v>
      </c>
      <c r="F158" t="s">
        <v>1309</v>
      </c>
    </row>
    <row r="159" spans="1:7" x14ac:dyDescent="0.3">
      <c r="A159" t="s">
        <v>727</v>
      </c>
      <c r="B159" t="s">
        <v>710</v>
      </c>
      <c r="C159" t="s">
        <v>525</v>
      </c>
      <c r="D159" s="56" t="s">
        <v>1106</v>
      </c>
      <c r="E159" s="59">
        <v>0</v>
      </c>
      <c r="F159" t="s">
        <v>1310</v>
      </c>
    </row>
    <row r="160" spans="1:7" x14ac:dyDescent="0.3">
      <c r="A160" t="s">
        <v>727</v>
      </c>
      <c r="B160" t="s">
        <v>710</v>
      </c>
      <c r="C160" t="s">
        <v>525</v>
      </c>
      <c r="D160" s="56" t="s">
        <v>1311</v>
      </c>
      <c r="E160" s="59">
        <v>50</v>
      </c>
      <c r="F160" t="s">
        <v>1312</v>
      </c>
    </row>
    <row r="161" spans="1:6" x14ac:dyDescent="0.3">
      <c r="A161" t="s">
        <v>727</v>
      </c>
      <c r="B161" t="s">
        <v>710</v>
      </c>
      <c r="C161" t="s">
        <v>525</v>
      </c>
      <c r="D161" s="56" t="s">
        <v>1313</v>
      </c>
      <c r="E161" s="59">
        <v>100</v>
      </c>
      <c r="F161" t="s">
        <v>1314</v>
      </c>
    </row>
    <row r="162" spans="1:6" x14ac:dyDescent="0.3">
      <c r="A162" t="s">
        <v>730</v>
      </c>
      <c r="B162" t="s">
        <v>710</v>
      </c>
      <c r="C162" t="s">
        <v>525</v>
      </c>
      <c r="D162" s="56" t="s">
        <v>1315</v>
      </c>
      <c r="E162" s="59">
        <v>0</v>
      </c>
      <c r="F162" t="s">
        <v>1316</v>
      </c>
    </row>
    <row r="163" spans="1:6" x14ac:dyDescent="0.3">
      <c r="A163" t="s">
        <v>730</v>
      </c>
      <c r="B163" t="s">
        <v>710</v>
      </c>
      <c r="C163" t="s">
        <v>525</v>
      </c>
      <c r="D163" s="56" t="s">
        <v>1317</v>
      </c>
      <c r="E163" s="59">
        <v>50</v>
      </c>
      <c r="F163" t="s">
        <v>1318</v>
      </c>
    </row>
    <row r="164" spans="1:6" x14ac:dyDescent="0.3">
      <c r="A164" t="s">
        <v>730</v>
      </c>
      <c r="B164" t="s">
        <v>710</v>
      </c>
      <c r="C164" t="s">
        <v>525</v>
      </c>
      <c r="D164" s="56" t="s">
        <v>1319</v>
      </c>
      <c r="E164" s="59">
        <v>100</v>
      </c>
      <c r="F164" t="s">
        <v>1320</v>
      </c>
    </row>
    <row r="165" spans="1:6" x14ac:dyDescent="0.3">
      <c r="A165" t="s">
        <v>733</v>
      </c>
      <c r="B165" t="s">
        <v>710</v>
      </c>
      <c r="C165" t="s">
        <v>525</v>
      </c>
      <c r="D165" s="56" t="s">
        <v>1106</v>
      </c>
      <c r="E165" s="59">
        <v>0</v>
      </c>
      <c r="F165" t="s">
        <v>1321</v>
      </c>
    </row>
    <row r="166" spans="1:6" x14ac:dyDescent="0.3">
      <c r="A166" t="s">
        <v>733</v>
      </c>
      <c r="B166" t="s">
        <v>710</v>
      </c>
      <c r="C166" t="s">
        <v>525</v>
      </c>
      <c r="D166" s="56" t="s">
        <v>1322</v>
      </c>
      <c r="E166" s="59">
        <v>50</v>
      </c>
      <c r="F166" t="s">
        <v>1323</v>
      </c>
    </row>
    <row r="167" spans="1:6" x14ac:dyDescent="0.3">
      <c r="A167" t="s">
        <v>733</v>
      </c>
      <c r="B167" t="s">
        <v>710</v>
      </c>
      <c r="C167" t="s">
        <v>525</v>
      </c>
      <c r="D167" s="56" t="s">
        <v>1324</v>
      </c>
      <c r="E167" s="59">
        <v>100</v>
      </c>
      <c r="F167" t="s">
        <v>1325</v>
      </c>
    </row>
    <row r="168" spans="1:6" x14ac:dyDescent="0.3">
      <c r="A168" t="s">
        <v>737</v>
      </c>
      <c r="B168" t="s">
        <v>738</v>
      </c>
      <c r="C168" t="s">
        <v>525</v>
      </c>
      <c r="D168" s="56" t="s">
        <v>1106</v>
      </c>
      <c r="E168" s="59">
        <v>0</v>
      </c>
      <c r="F168" t="s">
        <v>1326</v>
      </c>
    </row>
    <row r="169" spans="1:6" x14ac:dyDescent="0.3">
      <c r="A169" t="s">
        <v>737</v>
      </c>
      <c r="B169" t="s">
        <v>738</v>
      </c>
      <c r="C169" t="s">
        <v>525</v>
      </c>
      <c r="D169" s="56" t="s">
        <v>1327</v>
      </c>
      <c r="E169" s="59">
        <v>33</v>
      </c>
      <c r="F169" t="s">
        <v>1328</v>
      </c>
    </row>
    <row r="170" spans="1:6" x14ac:dyDescent="0.3">
      <c r="A170" t="s">
        <v>737</v>
      </c>
      <c r="B170" t="s">
        <v>738</v>
      </c>
      <c r="C170" t="s">
        <v>525</v>
      </c>
      <c r="D170" s="56" t="s">
        <v>1329</v>
      </c>
      <c r="E170" s="59">
        <v>67</v>
      </c>
      <c r="F170" t="s">
        <v>1330</v>
      </c>
    </row>
    <row r="171" spans="1:6" x14ac:dyDescent="0.3">
      <c r="A171" t="s">
        <v>737</v>
      </c>
      <c r="B171" t="s">
        <v>738</v>
      </c>
      <c r="C171" t="s">
        <v>525</v>
      </c>
      <c r="D171" s="56" t="s">
        <v>1331</v>
      </c>
      <c r="E171" s="59">
        <v>100</v>
      </c>
      <c r="F171" t="s">
        <v>1332</v>
      </c>
    </row>
    <row r="172" spans="1:6" x14ac:dyDescent="0.3">
      <c r="A172" t="s">
        <v>742</v>
      </c>
      <c r="B172" t="s">
        <v>738</v>
      </c>
      <c r="C172" t="s">
        <v>525</v>
      </c>
      <c r="D172" s="56" t="s">
        <v>1247</v>
      </c>
      <c r="E172" s="59">
        <v>0</v>
      </c>
      <c r="F172" t="s">
        <v>1333</v>
      </c>
    </row>
    <row r="173" spans="1:6" x14ac:dyDescent="0.3">
      <c r="A173" t="s">
        <v>742</v>
      </c>
      <c r="B173" t="s">
        <v>738</v>
      </c>
      <c r="C173" t="s">
        <v>525</v>
      </c>
      <c r="D173" s="56" t="s">
        <v>1334</v>
      </c>
      <c r="E173" s="59">
        <v>33</v>
      </c>
      <c r="F173" t="s">
        <v>1335</v>
      </c>
    </row>
    <row r="174" spans="1:6" x14ac:dyDescent="0.3">
      <c r="A174" t="s">
        <v>742</v>
      </c>
      <c r="B174" t="s">
        <v>738</v>
      </c>
      <c r="C174" t="s">
        <v>525</v>
      </c>
      <c r="D174" s="56" t="s">
        <v>1336</v>
      </c>
      <c r="E174" s="59">
        <v>67</v>
      </c>
      <c r="F174" t="s">
        <v>1337</v>
      </c>
    </row>
    <row r="175" spans="1:6" x14ac:dyDescent="0.3">
      <c r="A175" t="s">
        <v>742</v>
      </c>
      <c r="B175" t="s">
        <v>738</v>
      </c>
      <c r="C175" t="s">
        <v>525</v>
      </c>
      <c r="D175" s="56" t="s">
        <v>1338</v>
      </c>
      <c r="E175" s="59">
        <v>100</v>
      </c>
      <c r="F175" t="s">
        <v>1339</v>
      </c>
    </row>
    <row r="176" spans="1:6" x14ac:dyDescent="0.3">
      <c r="A176" t="s">
        <v>745</v>
      </c>
      <c r="B176" t="s">
        <v>738</v>
      </c>
      <c r="C176" t="s">
        <v>525</v>
      </c>
      <c r="D176" s="56" t="s">
        <v>1340</v>
      </c>
      <c r="E176" s="59">
        <v>25</v>
      </c>
      <c r="F176" t="s">
        <v>1341</v>
      </c>
    </row>
    <row r="177" spans="1:6" x14ac:dyDescent="0.3">
      <c r="A177" t="s">
        <v>745</v>
      </c>
      <c r="B177" t="s">
        <v>738</v>
      </c>
      <c r="C177" t="s">
        <v>525</v>
      </c>
      <c r="D177" s="56" t="s">
        <v>1342</v>
      </c>
      <c r="E177" s="59">
        <v>50</v>
      </c>
      <c r="F177" t="s">
        <v>1343</v>
      </c>
    </row>
    <row r="178" spans="1:6" x14ac:dyDescent="0.3">
      <c r="A178" t="s">
        <v>745</v>
      </c>
      <c r="B178" t="s">
        <v>738</v>
      </c>
      <c r="C178" t="s">
        <v>525</v>
      </c>
      <c r="D178" s="56" t="s">
        <v>1344</v>
      </c>
      <c r="E178" s="59">
        <v>75</v>
      </c>
      <c r="F178" t="s">
        <v>1345</v>
      </c>
    </row>
    <row r="179" spans="1:6" x14ac:dyDescent="0.3">
      <c r="A179" t="s">
        <v>745</v>
      </c>
      <c r="B179" t="s">
        <v>738</v>
      </c>
      <c r="C179" t="s">
        <v>525</v>
      </c>
      <c r="D179" s="56" t="s">
        <v>1346</v>
      </c>
      <c r="E179" s="59">
        <v>100</v>
      </c>
      <c r="F179" t="s">
        <v>1347</v>
      </c>
    </row>
    <row r="180" spans="1:6" x14ac:dyDescent="0.3">
      <c r="A180" t="s">
        <v>748</v>
      </c>
      <c r="B180" t="s">
        <v>738</v>
      </c>
      <c r="C180" t="s">
        <v>525</v>
      </c>
      <c r="D180" s="56" t="s">
        <v>1348</v>
      </c>
      <c r="E180" s="59">
        <v>0</v>
      </c>
      <c r="F180" t="s">
        <v>1349</v>
      </c>
    </row>
    <row r="181" spans="1:6" x14ac:dyDescent="0.3">
      <c r="A181" t="s">
        <v>748</v>
      </c>
      <c r="B181" t="s">
        <v>738</v>
      </c>
      <c r="C181" t="s">
        <v>525</v>
      </c>
      <c r="D181" s="56" t="s">
        <v>1350</v>
      </c>
      <c r="E181" s="59">
        <v>50</v>
      </c>
      <c r="F181" t="s">
        <v>1351</v>
      </c>
    </row>
    <row r="182" spans="1:6" x14ac:dyDescent="0.3">
      <c r="A182" t="s">
        <v>748</v>
      </c>
      <c r="B182" t="s">
        <v>738</v>
      </c>
      <c r="C182" t="s">
        <v>525</v>
      </c>
      <c r="D182" s="56" t="s">
        <v>1352</v>
      </c>
      <c r="E182" s="59">
        <v>100</v>
      </c>
      <c r="F182" t="s">
        <v>1353</v>
      </c>
    </row>
    <row r="183" spans="1:6" x14ac:dyDescent="0.3">
      <c r="A183" t="s">
        <v>751</v>
      </c>
      <c r="B183" t="s">
        <v>738</v>
      </c>
      <c r="C183" t="s">
        <v>525</v>
      </c>
      <c r="D183" s="56" t="s">
        <v>1354</v>
      </c>
      <c r="E183" s="59">
        <v>0</v>
      </c>
      <c r="F183" t="s">
        <v>1355</v>
      </c>
    </row>
    <row r="184" spans="1:6" x14ac:dyDescent="0.3">
      <c r="A184" t="s">
        <v>751</v>
      </c>
      <c r="B184" t="s">
        <v>738</v>
      </c>
      <c r="C184" t="s">
        <v>525</v>
      </c>
      <c r="D184" s="56" t="s">
        <v>1356</v>
      </c>
      <c r="E184" s="59">
        <v>50</v>
      </c>
      <c r="F184" t="s">
        <v>1357</v>
      </c>
    </row>
    <row r="185" spans="1:6" x14ac:dyDescent="0.3">
      <c r="A185" t="s">
        <v>751</v>
      </c>
      <c r="B185" t="s">
        <v>738</v>
      </c>
      <c r="C185" t="s">
        <v>525</v>
      </c>
      <c r="D185" s="56" t="s">
        <v>1358</v>
      </c>
      <c r="E185" s="59">
        <v>100</v>
      </c>
      <c r="F185" t="s">
        <v>1359</v>
      </c>
    </row>
    <row r="186" spans="1:6" x14ac:dyDescent="0.3">
      <c r="A186" t="s">
        <v>754</v>
      </c>
      <c r="B186" t="s">
        <v>738</v>
      </c>
      <c r="C186" t="s">
        <v>525</v>
      </c>
      <c r="D186" s="56" t="s">
        <v>1360</v>
      </c>
      <c r="E186" s="59">
        <v>0</v>
      </c>
      <c r="F186" t="s">
        <v>1361</v>
      </c>
    </row>
    <row r="187" spans="1:6" x14ac:dyDescent="0.3">
      <c r="A187" t="s">
        <v>754</v>
      </c>
      <c r="B187" t="s">
        <v>738</v>
      </c>
      <c r="C187" t="s">
        <v>525</v>
      </c>
      <c r="D187" s="56" t="s">
        <v>1362</v>
      </c>
      <c r="E187" s="59">
        <v>25</v>
      </c>
      <c r="F187" t="s">
        <v>1363</v>
      </c>
    </row>
    <row r="188" spans="1:6" x14ac:dyDescent="0.3">
      <c r="A188" t="s">
        <v>754</v>
      </c>
      <c r="B188" t="s">
        <v>738</v>
      </c>
      <c r="C188" t="s">
        <v>525</v>
      </c>
      <c r="D188" s="56" t="s">
        <v>1364</v>
      </c>
      <c r="E188" s="59">
        <v>50</v>
      </c>
      <c r="F188" t="s">
        <v>1365</v>
      </c>
    </row>
    <row r="189" spans="1:6" x14ac:dyDescent="0.3">
      <c r="A189" t="s">
        <v>754</v>
      </c>
      <c r="B189" t="s">
        <v>738</v>
      </c>
      <c r="C189" t="s">
        <v>525</v>
      </c>
      <c r="D189" s="56" t="s">
        <v>1366</v>
      </c>
      <c r="E189" s="59">
        <v>100</v>
      </c>
      <c r="F189" t="s">
        <v>1367</v>
      </c>
    </row>
    <row r="190" spans="1:6" x14ac:dyDescent="0.3">
      <c r="A190" t="s">
        <v>757</v>
      </c>
      <c r="B190" t="s">
        <v>738</v>
      </c>
      <c r="C190" t="s">
        <v>525</v>
      </c>
      <c r="D190" s="56" t="s">
        <v>1368</v>
      </c>
      <c r="E190" s="59">
        <v>0</v>
      </c>
      <c r="F190" t="s">
        <v>1369</v>
      </c>
    </row>
    <row r="191" spans="1:6" x14ac:dyDescent="0.3">
      <c r="A191" t="s">
        <v>757</v>
      </c>
      <c r="B191" t="s">
        <v>738</v>
      </c>
      <c r="C191" t="s">
        <v>525</v>
      </c>
      <c r="D191" s="56" t="s">
        <v>1370</v>
      </c>
      <c r="E191" s="59">
        <v>33</v>
      </c>
      <c r="F191" t="s">
        <v>1371</v>
      </c>
    </row>
    <row r="192" spans="1:6" x14ac:dyDescent="0.3">
      <c r="A192" t="s">
        <v>757</v>
      </c>
      <c r="B192" t="s">
        <v>738</v>
      </c>
      <c r="C192" t="s">
        <v>525</v>
      </c>
      <c r="D192" s="56" t="s">
        <v>1372</v>
      </c>
      <c r="E192" s="59">
        <v>67</v>
      </c>
      <c r="F192" t="s">
        <v>1373</v>
      </c>
    </row>
    <row r="193" spans="1:7" x14ac:dyDescent="0.3">
      <c r="A193" t="s">
        <v>757</v>
      </c>
      <c r="B193" t="s">
        <v>738</v>
      </c>
      <c r="C193" t="s">
        <v>525</v>
      </c>
      <c r="D193" s="56" t="s">
        <v>1374</v>
      </c>
      <c r="E193" s="59">
        <v>100</v>
      </c>
      <c r="F193" t="s">
        <v>1375</v>
      </c>
    </row>
    <row r="194" spans="1:7" x14ac:dyDescent="0.3">
      <c r="A194" t="s">
        <v>760</v>
      </c>
      <c r="B194" t="s">
        <v>738</v>
      </c>
      <c r="C194" t="s">
        <v>525</v>
      </c>
      <c r="D194" s="56" t="s">
        <v>1376</v>
      </c>
      <c r="E194" s="59">
        <v>50</v>
      </c>
      <c r="F194" t="s">
        <v>1377</v>
      </c>
      <c r="G194" s="56" t="s">
        <v>1113</v>
      </c>
    </row>
    <row r="195" spans="1:7" x14ac:dyDescent="0.3">
      <c r="A195" t="s">
        <v>760</v>
      </c>
      <c r="B195" t="s">
        <v>738</v>
      </c>
      <c r="C195" t="s">
        <v>525</v>
      </c>
      <c r="D195" s="56" t="s">
        <v>1378</v>
      </c>
      <c r="E195" s="59">
        <v>50</v>
      </c>
      <c r="F195" t="s">
        <v>1379</v>
      </c>
      <c r="G195" s="56" t="s">
        <v>1113</v>
      </c>
    </row>
    <row r="196" spans="1:7" x14ac:dyDescent="0.3">
      <c r="A196" t="s">
        <v>760</v>
      </c>
      <c r="B196" t="s">
        <v>738</v>
      </c>
      <c r="C196" t="s">
        <v>525</v>
      </c>
      <c r="D196" s="56" t="s">
        <v>1380</v>
      </c>
      <c r="E196" s="59">
        <v>50</v>
      </c>
      <c r="F196" t="s">
        <v>1381</v>
      </c>
      <c r="G196" s="56" t="s">
        <v>1113</v>
      </c>
    </row>
    <row r="197" spans="1:7" x14ac:dyDescent="0.3">
      <c r="A197" t="s">
        <v>760</v>
      </c>
      <c r="B197" t="s">
        <v>738</v>
      </c>
      <c r="C197" t="s">
        <v>525</v>
      </c>
      <c r="D197" s="56" t="s">
        <v>1382</v>
      </c>
      <c r="E197" s="59">
        <v>0</v>
      </c>
      <c r="F197" t="s">
        <v>1383</v>
      </c>
      <c r="G197" s="56" t="s">
        <v>1113</v>
      </c>
    </row>
    <row r="198" spans="1:7" x14ac:dyDescent="0.3">
      <c r="A198" t="s">
        <v>760</v>
      </c>
      <c r="B198" t="s">
        <v>738</v>
      </c>
      <c r="C198" t="s">
        <v>525</v>
      </c>
      <c r="D198" s="56" t="s">
        <v>1384</v>
      </c>
      <c r="E198" s="59">
        <v>50</v>
      </c>
      <c r="F198" t="s">
        <v>1385</v>
      </c>
      <c r="G198" s="56" t="s">
        <v>1113</v>
      </c>
    </row>
    <row r="199" spans="1:7" x14ac:dyDescent="0.3">
      <c r="A199" t="s">
        <v>760</v>
      </c>
      <c r="B199" t="s">
        <v>738</v>
      </c>
      <c r="C199" t="s">
        <v>525</v>
      </c>
      <c r="D199" s="56" t="s">
        <v>1386</v>
      </c>
      <c r="E199" s="59">
        <v>100</v>
      </c>
      <c r="F199" t="s">
        <v>1387</v>
      </c>
      <c r="G199" s="56" t="s">
        <v>1113</v>
      </c>
    </row>
    <row r="200" spans="1:7" x14ac:dyDescent="0.3">
      <c r="A200" t="s">
        <v>763</v>
      </c>
      <c r="B200" t="s">
        <v>738</v>
      </c>
      <c r="C200" t="s">
        <v>525</v>
      </c>
      <c r="D200" s="56" t="s">
        <v>1388</v>
      </c>
      <c r="E200" s="59">
        <v>100</v>
      </c>
      <c r="F200" t="s">
        <v>1389</v>
      </c>
    </row>
    <row r="201" spans="1:7" x14ac:dyDescent="0.3">
      <c r="A201" t="s">
        <v>763</v>
      </c>
      <c r="B201" t="s">
        <v>738</v>
      </c>
      <c r="C201" t="s">
        <v>525</v>
      </c>
      <c r="D201" s="56" t="s">
        <v>1390</v>
      </c>
      <c r="E201" s="59">
        <v>50</v>
      </c>
      <c r="F201" t="s">
        <v>1391</v>
      </c>
    </row>
    <row r="202" spans="1:7" x14ac:dyDescent="0.3">
      <c r="A202" t="s">
        <v>763</v>
      </c>
      <c r="B202" t="s">
        <v>738</v>
      </c>
      <c r="C202" t="s">
        <v>525</v>
      </c>
      <c r="D202" s="56" t="s">
        <v>1106</v>
      </c>
      <c r="E202" s="59">
        <v>0</v>
      </c>
      <c r="F202" t="s">
        <v>1392</v>
      </c>
    </row>
    <row r="203" spans="1:7" x14ac:dyDescent="0.3">
      <c r="A203" t="s">
        <v>763</v>
      </c>
      <c r="B203" t="s">
        <v>738</v>
      </c>
      <c r="C203" t="s">
        <v>525</v>
      </c>
      <c r="D203" s="56" t="s">
        <v>1108</v>
      </c>
      <c r="E203" s="59" t="s">
        <v>1109</v>
      </c>
      <c r="F203" t="s">
        <v>1393</v>
      </c>
      <c r="G203" s="56" t="s">
        <v>1111</v>
      </c>
    </row>
    <row r="204" spans="1:7" x14ac:dyDescent="0.3">
      <c r="A204" t="s">
        <v>767</v>
      </c>
      <c r="B204" t="s">
        <v>768</v>
      </c>
      <c r="C204" t="s">
        <v>525</v>
      </c>
      <c r="D204" s="56" t="s">
        <v>1394</v>
      </c>
      <c r="E204" s="59">
        <v>0</v>
      </c>
      <c r="F204" t="s">
        <v>1395</v>
      </c>
    </row>
    <row r="205" spans="1:7" x14ac:dyDescent="0.3">
      <c r="A205" t="s">
        <v>767</v>
      </c>
      <c r="B205" t="s">
        <v>768</v>
      </c>
      <c r="C205" t="s">
        <v>525</v>
      </c>
      <c r="D205" s="56" t="s">
        <v>1396</v>
      </c>
      <c r="E205" s="59">
        <v>50</v>
      </c>
      <c r="F205" t="s">
        <v>1397</v>
      </c>
    </row>
    <row r="206" spans="1:7" x14ac:dyDescent="0.3">
      <c r="A206" t="s">
        <v>767</v>
      </c>
      <c r="B206" t="s">
        <v>768</v>
      </c>
      <c r="C206" t="s">
        <v>525</v>
      </c>
      <c r="D206" s="56" t="s">
        <v>1398</v>
      </c>
      <c r="E206" s="59">
        <v>100</v>
      </c>
      <c r="F206" t="s">
        <v>1399</v>
      </c>
    </row>
    <row r="207" spans="1:7" x14ac:dyDescent="0.3">
      <c r="A207" t="s">
        <v>772</v>
      </c>
      <c r="B207" t="s">
        <v>768</v>
      </c>
      <c r="C207" t="s">
        <v>525</v>
      </c>
      <c r="D207" s="56" t="s">
        <v>1104</v>
      </c>
      <c r="E207" s="59">
        <v>100</v>
      </c>
      <c r="F207" t="s">
        <v>1400</v>
      </c>
    </row>
    <row r="208" spans="1:7" x14ac:dyDescent="0.3">
      <c r="A208" t="s">
        <v>772</v>
      </c>
      <c r="B208" t="s">
        <v>768</v>
      </c>
      <c r="C208" t="s">
        <v>525</v>
      </c>
      <c r="D208" s="56" t="s">
        <v>1106</v>
      </c>
      <c r="E208" s="59">
        <v>0</v>
      </c>
      <c r="F208" t="s">
        <v>1401</v>
      </c>
    </row>
    <row r="209" spans="1:7" x14ac:dyDescent="0.3">
      <c r="A209" t="s">
        <v>774</v>
      </c>
      <c r="B209" t="s">
        <v>768</v>
      </c>
      <c r="C209" t="s">
        <v>525</v>
      </c>
      <c r="D209" s="56" t="s">
        <v>1108</v>
      </c>
      <c r="E209" s="59" t="s">
        <v>1109</v>
      </c>
      <c r="F209" t="s">
        <v>1402</v>
      </c>
      <c r="G209" s="56" t="s">
        <v>1116</v>
      </c>
    </row>
    <row r="210" spans="1:7" x14ac:dyDescent="0.3">
      <c r="A210" t="s">
        <v>774</v>
      </c>
      <c r="B210" t="s">
        <v>768</v>
      </c>
      <c r="C210" t="s">
        <v>525</v>
      </c>
      <c r="D210" s="56" t="s">
        <v>1403</v>
      </c>
      <c r="E210" s="59">
        <v>33</v>
      </c>
      <c r="F210" t="s">
        <v>1404</v>
      </c>
      <c r="G210" s="56" t="s">
        <v>1113</v>
      </c>
    </row>
    <row r="211" spans="1:7" x14ac:dyDescent="0.3">
      <c r="A211" t="s">
        <v>774</v>
      </c>
      <c r="B211" t="s">
        <v>768</v>
      </c>
      <c r="C211" t="s">
        <v>525</v>
      </c>
      <c r="D211" s="56" t="s">
        <v>1405</v>
      </c>
      <c r="E211" s="59">
        <v>67</v>
      </c>
      <c r="F211" t="s">
        <v>1406</v>
      </c>
      <c r="G211" s="56" t="s">
        <v>1113</v>
      </c>
    </row>
    <row r="212" spans="1:7" x14ac:dyDescent="0.3">
      <c r="A212" t="s">
        <v>774</v>
      </c>
      <c r="B212" t="s">
        <v>768</v>
      </c>
      <c r="C212" t="s">
        <v>525</v>
      </c>
      <c r="D212" s="56" t="s">
        <v>1407</v>
      </c>
      <c r="E212" s="59">
        <v>100</v>
      </c>
      <c r="F212" t="s">
        <v>1408</v>
      </c>
      <c r="G212" s="56" t="s">
        <v>1113</v>
      </c>
    </row>
    <row r="213" spans="1:7" x14ac:dyDescent="0.3">
      <c r="A213" t="s">
        <v>777</v>
      </c>
      <c r="B213" t="s">
        <v>768</v>
      </c>
      <c r="C213" t="s">
        <v>525</v>
      </c>
      <c r="D213" s="56" t="s">
        <v>1409</v>
      </c>
      <c r="E213" s="59">
        <v>0</v>
      </c>
      <c r="F213" t="s">
        <v>1410</v>
      </c>
    </row>
    <row r="214" spans="1:7" x14ac:dyDescent="0.3">
      <c r="A214" t="s">
        <v>777</v>
      </c>
      <c r="B214" t="s">
        <v>768</v>
      </c>
      <c r="C214" t="s">
        <v>525</v>
      </c>
      <c r="D214" s="56" t="s">
        <v>1411</v>
      </c>
      <c r="E214" s="59">
        <v>33</v>
      </c>
      <c r="F214" t="s">
        <v>1412</v>
      </c>
    </row>
    <row r="215" spans="1:7" x14ac:dyDescent="0.3">
      <c r="A215" t="s">
        <v>777</v>
      </c>
      <c r="B215" t="s">
        <v>768</v>
      </c>
      <c r="C215" t="s">
        <v>525</v>
      </c>
      <c r="D215" s="56" t="s">
        <v>1413</v>
      </c>
      <c r="E215" s="59">
        <v>67</v>
      </c>
      <c r="F215" t="s">
        <v>1414</v>
      </c>
    </row>
    <row r="216" spans="1:7" x14ac:dyDescent="0.3">
      <c r="A216" t="s">
        <v>777</v>
      </c>
      <c r="B216" t="s">
        <v>768</v>
      </c>
      <c r="C216" t="s">
        <v>525</v>
      </c>
      <c r="D216" s="56" t="s">
        <v>1415</v>
      </c>
      <c r="E216" s="59">
        <v>100</v>
      </c>
      <c r="F216" t="s">
        <v>1416</v>
      </c>
    </row>
    <row r="217" spans="1:7" x14ac:dyDescent="0.3">
      <c r="A217" t="s">
        <v>780</v>
      </c>
      <c r="B217" t="s">
        <v>768</v>
      </c>
      <c r="C217" t="s">
        <v>525</v>
      </c>
      <c r="D217" s="56" t="s">
        <v>1102</v>
      </c>
      <c r="E217" s="59"/>
      <c r="G217" s="56" t="s">
        <v>1417</v>
      </c>
    </row>
    <row r="218" spans="1:7" x14ac:dyDescent="0.3">
      <c r="A218" t="s">
        <v>783</v>
      </c>
      <c r="B218" t="s">
        <v>768</v>
      </c>
      <c r="C218" t="s">
        <v>525</v>
      </c>
      <c r="D218" s="56" t="s">
        <v>1418</v>
      </c>
      <c r="E218" s="59">
        <v>100</v>
      </c>
      <c r="F218" t="s">
        <v>1419</v>
      </c>
    </row>
    <row r="219" spans="1:7" x14ac:dyDescent="0.3">
      <c r="A219" t="s">
        <v>783</v>
      </c>
      <c r="B219" t="s">
        <v>768</v>
      </c>
      <c r="C219" t="s">
        <v>525</v>
      </c>
      <c r="D219" s="56" t="s">
        <v>1420</v>
      </c>
      <c r="E219" s="59">
        <v>50</v>
      </c>
      <c r="F219" t="s">
        <v>1421</v>
      </c>
    </row>
    <row r="220" spans="1:7" x14ac:dyDescent="0.3">
      <c r="A220" t="s">
        <v>783</v>
      </c>
      <c r="B220" t="s">
        <v>768</v>
      </c>
      <c r="C220" t="s">
        <v>525</v>
      </c>
      <c r="D220" s="56" t="s">
        <v>1106</v>
      </c>
      <c r="E220" s="59">
        <v>0</v>
      </c>
      <c r="F220" t="s">
        <v>1422</v>
      </c>
    </row>
    <row r="221" spans="1:7" x14ac:dyDescent="0.3">
      <c r="A221" t="s">
        <v>783</v>
      </c>
      <c r="B221" t="s">
        <v>768</v>
      </c>
      <c r="C221" t="s">
        <v>525</v>
      </c>
      <c r="D221" s="56" t="s">
        <v>1108</v>
      </c>
      <c r="E221" s="59" t="s">
        <v>1109</v>
      </c>
      <c r="F221" t="s">
        <v>1423</v>
      </c>
      <c r="G221" s="56" t="s">
        <v>1111</v>
      </c>
    </row>
    <row r="222" spans="1:7" x14ac:dyDescent="0.3">
      <c r="A222" t="s">
        <v>787</v>
      </c>
      <c r="B222" t="s">
        <v>768</v>
      </c>
      <c r="C222" t="s">
        <v>525</v>
      </c>
      <c r="D222" s="56" t="s">
        <v>1424</v>
      </c>
      <c r="E222" s="59">
        <v>100</v>
      </c>
      <c r="F222" t="s">
        <v>1425</v>
      </c>
    </row>
    <row r="223" spans="1:7" x14ac:dyDescent="0.3">
      <c r="A223" t="s">
        <v>787</v>
      </c>
      <c r="B223" t="s">
        <v>768</v>
      </c>
      <c r="C223" t="s">
        <v>525</v>
      </c>
      <c r="D223" s="56" t="s">
        <v>1426</v>
      </c>
      <c r="E223" s="59">
        <v>50</v>
      </c>
      <c r="F223" t="s">
        <v>1427</v>
      </c>
    </row>
    <row r="224" spans="1:7" x14ac:dyDescent="0.3">
      <c r="A224" t="s">
        <v>787</v>
      </c>
      <c r="B224" t="s">
        <v>768</v>
      </c>
      <c r="C224" t="s">
        <v>525</v>
      </c>
      <c r="D224" s="56" t="s">
        <v>1428</v>
      </c>
      <c r="E224" s="59">
        <v>0</v>
      </c>
      <c r="F224" t="s">
        <v>1429</v>
      </c>
    </row>
    <row r="225" spans="1:7" x14ac:dyDescent="0.3">
      <c r="A225" t="s">
        <v>787</v>
      </c>
      <c r="B225" t="s">
        <v>768</v>
      </c>
      <c r="C225" t="s">
        <v>525</v>
      </c>
      <c r="D225" s="56" t="s">
        <v>1108</v>
      </c>
      <c r="E225" s="59" t="s">
        <v>1109</v>
      </c>
      <c r="F225" t="s">
        <v>1430</v>
      </c>
      <c r="G225" s="56" t="s">
        <v>1111</v>
      </c>
    </row>
    <row r="226" spans="1:7" x14ac:dyDescent="0.3">
      <c r="A226" t="s">
        <v>792</v>
      </c>
      <c r="B226" t="s">
        <v>793</v>
      </c>
      <c r="C226" t="s">
        <v>628</v>
      </c>
      <c r="D226" s="56" t="s">
        <v>1151</v>
      </c>
      <c r="E226" s="59"/>
      <c r="G226" s="56" t="s">
        <v>1152</v>
      </c>
    </row>
    <row r="227" spans="1:7" x14ac:dyDescent="0.3">
      <c r="A227" t="s">
        <v>796</v>
      </c>
      <c r="B227" t="s">
        <v>793</v>
      </c>
      <c r="C227" t="s">
        <v>534</v>
      </c>
      <c r="D227" s="56" t="s">
        <v>1153</v>
      </c>
      <c r="E227" s="59"/>
      <c r="G227" s="56" t="s">
        <v>1154</v>
      </c>
    </row>
    <row r="228" spans="1:7" x14ac:dyDescent="0.3">
      <c r="A228" t="s">
        <v>798</v>
      </c>
      <c r="B228" t="s">
        <v>793</v>
      </c>
      <c r="C228" t="s">
        <v>525</v>
      </c>
      <c r="D228" s="56" t="s">
        <v>1247</v>
      </c>
      <c r="E228" s="59">
        <v>0</v>
      </c>
      <c r="F228" t="s">
        <v>1431</v>
      </c>
    </row>
    <row r="229" spans="1:7" x14ac:dyDescent="0.3">
      <c r="A229" t="s">
        <v>798</v>
      </c>
      <c r="B229" t="s">
        <v>793</v>
      </c>
      <c r="C229" t="s">
        <v>525</v>
      </c>
      <c r="D229" s="56" t="s">
        <v>1432</v>
      </c>
      <c r="E229" s="59">
        <v>50</v>
      </c>
      <c r="F229" t="s">
        <v>1433</v>
      </c>
    </row>
    <row r="230" spans="1:7" x14ac:dyDescent="0.3">
      <c r="A230" t="s">
        <v>798</v>
      </c>
      <c r="B230" t="s">
        <v>793</v>
      </c>
      <c r="C230" t="s">
        <v>525</v>
      </c>
      <c r="D230" s="56" t="s">
        <v>1434</v>
      </c>
      <c r="E230" s="59">
        <v>100</v>
      </c>
      <c r="F230" t="s">
        <v>1435</v>
      </c>
    </row>
    <row r="231" spans="1:7" x14ac:dyDescent="0.3">
      <c r="A231" t="s">
        <v>801</v>
      </c>
      <c r="B231" t="s">
        <v>793</v>
      </c>
      <c r="C231" t="s">
        <v>525</v>
      </c>
      <c r="D231" s="56" t="s">
        <v>1436</v>
      </c>
      <c r="E231" s="59">
        <v>0</v>
      </c>
      <c r="F231" t="s">
        <v>1437</v>
      </c>
    </row>
    <row r="232" spans="1:7" x14ac:dyDescent="0.3">
      <c r="A232" t="s">
        <v>801</v>
      </c>
      <c r="B232" t="s">
        <v>793</v>
      </c>
      <c r="C232" t="s">
        <v>525</v>
      </c>
      <c r="D232" s="56" t="s">
        <v>1438</v>
      </c>
      <c r="E232" s="59">
        <v>50</v>
      </c>
      <c r="F232" t="s">
        <v>1439</v>
      </c>
    </row>
    <row r="233" spans="1:7" x14ac:dyDescent="0.3">
      <c r="A233" t="s">
        <v>801</v>
      </c>
      <c r="B233" t="s">
        <v>793</v>
      </c>
      <c r="C233" t="s">
        <v>525</v>
      </c>
      <c r="D233" s="56" t="s">
        <v>1440</v>
      </c>
      <c r="E233" s="59">
        <v>100</v>
      </c>
      <c r="F233" t="s">
        <v>1441</v>
      </c>
    </row>
    <row r="234" spans="1:7" x14ac:dyDescent="0.3">
      <c r="A234" t="s">
        <v>805</v>
      </c>
      <c r="B234" t="s">
        <v>806</v>
      </c>
      <c r="C234" t="s">
        <v>525</v>
      </c>
      <c r="D234" s="56" t="s">
        <v>1442</v>
      </c>
      <c r="E234" s="59">
        <v>0</v>
      </c>
      <c r="F234" t="s">
        <v>1443</v>
      </c>
    </row>
    <row r="235" spans="1:7" x14ac:dyDescent="0.3">
      <c r="A235" t="s">
        <v>805</v>
      </c>
      <c r="B235" t="s">
        <v>806</v>
      </c>
      <c r="C235" t="s">
        <v>525</v>
      </c>
      <c r="D235" s="56" t="s">
        <v>1444</v>
      </c>
      <c r="E235" s="59">
        <v>50</v>
      </c>
      <c r="F235" t="s">
        <v>1445</v>
      </c>
    </row>
    <row r="236" spans="1:7" x14ac:dyDescent="0.3">
      <c r="A236" t="s">
        <v>805</v>
      </c>
      <c r="B236" t="s">
        <v>806</v>
      </c>
      <c r="C236" t="s">
        <v>525</v>
      </c>
      <c r="D236" s="56" t="s">
        <v>1446</v>
      </c>
      <c r="E236" s="59">
        <v>100</v>
      </c>
      <c r="F236" t="s">
        <v>1447</v>
      </c>
    </row>
    <row r="237" spans="1:7" x14ac:dyDescent="0.3">
      <c r="A237" t="s">
        <v>805</v>
      </c>
      <c r="B237" t="s">
        <v>806</v>
      </c>
      <c r="C237" t="s">
        <v>525</v>
      </c>
      <c r="D237" s="56" t="s">
        <v>1448</v>
      </c>
      <c r="E237" s="59" t="s">
        <v>1109</v>
      </c>
      <c r="F237" t="s">
        <v>1449</v>
      </c>
      <c r="G237" s="56" t="s">
        <v>1111</v>
      </c>
    </row>
    <row r="238" spans="1:7" x14ac:dyDescent="0.3">
      <c r="A238" t="s">
        <v>810</v>
      </c>
      <c r="B238" t="s">
        <v>806</v>
      </c>
      <c r="C238" t="s">
        <v>525</v>
      </c>
      <c r="D238" s="56" t="s">
        <v>1450</v>
      </c>
      <c r="E238" s="59">
        <v>33</v>
      </c>
      <c r="F238" t="s">
        <v>1451</v>
      </c>
      <c r="G238" s="56" t="s">
        <v>1113</v>
      </c>
    </row>
    <row r="239" spans="1:7" x14ac:dyDescent="0.3">
      <c r="A239" t="s">
        <v>810</v>
      </c>
      <c r="B239" t="s">
        <v>806</v>
      </c>
      <c r="C239" t="s">
        <v>525</v>
      </c>
      <c r="D239" s="56" t="s">
        <v>1452</v>
      </c>
      <c r="E239" s="59">
        <v>100</v>
      </c>
      <c r="F239" t="s">
        <v>1453</v>
      </c>
      <c r="G239" s="56" t="s">
        <v>1113</v>
      </c>
    </row>
    <row r="240" spans="1:7" ht="28.8" x14ac:dyDescent="0.3">
      <c r="A240" t="s">
        <v>810</v>
      </c>
      <c r="B240" t="s">
        <v>806</v>
      </c>
      <c r="C240" t="s">
        <v>525</v>
      </c>
      <c r="D240" s="56" t="s">
        <v>1454</v>
      </c>
      <c r="E240" s="59">
        <v>67</v>
      </c>
      <c r="F240" t="s">
        <v>1455</v>
      </c>
      <c r="G240" s="56" t="s">
        <v>1113</v>
      </c>
    </row>
    <row r="241" spans="1:7" x14ac:dyDescent="0.3">
      <c r="A241" t="s">
        <v>810</v>
      </c>
      <c r="B241" t="s">
        <v>806</v>
      </c>
      <c r="C241" t="s">
        <v>525</v>
      </c>
      <c r="D241" s="56" t="s">
        <v>1456</v>
      </c>
      <c r="E241" s="59">
        <v>100</v>
      </c>
      <c r="F241" t="s">
        <v>1457</v>
      </c>
      <c r="G241" s="56" t="s">
        <v>1113</v>
      </c>
    </row>
    <row r="242" spans="1:7" x14ac:dyDescent="0.3">
      <c r="A242" t="s">
        <v>810</v>
      </c>
      <c r="B242" t="s">
        <v>806</v>
      </c>
      <c r="C242" t="s">
        <v>525</v>
      </c>
      <c r="D242" s="56" t="s">
        <v>1108</v>
      </c>
      <c r="E242" s="59" t="s">
        <v>1109</v>
      </c>
      <c r="F242" t="s">
        <v>1458</v>
      </c>
      <c r="G242" s="56" t="s">
        <v>1116</v>
      </c>
    </row>
    <row r="243" spans="1:7" x14ac:dyDescent="0.3">
      <c r="A243" t="s">
        <v>813</v>
      </c>
      <c r="B243" t="s">
        <v>806</v>
      </c>
      <c r="C243" t="s">
        <v>525</v>
      </c>
      <c r="D243" s="56" t="s">
        <v>1459</v>
      </c>
      <c r="E243" s="59">
        <v>0</v>
      </c>
      <c r="F243" t="s">
        <v>1460</v>
      </c>
    </row>
    <row r="244" spans="1:7" x14ac:dyDescent="0.3">
      <c r="A244" t="s">
        <v>813</v>
      </c>
      <c r="B244" t="s">
        <v>806</v>
      </c>
      <c r="C244" t="s">
        <v>525</v>
      </c>
      <c r="D244" s="56" t="s">
        <v>1461</v>
      </c>
      <c r="E244" s="59">
        <v>50</v>
      </c>
      <c r="F244" t="s">
        <v>1462</v>
      </c>
    </row>
    <row r="245" spans="1:7" x14ac:dyDescent="0.3">
      <c r="A245" t="s">
        <v>813</v>
      </c>
      <c r="B245" t="s">
        <v>806</v>
      </c>
      <c r="C245" t="s">
        <v>525</v>
      </c>
      <c r="D245" s="56" t="s">
        <v>1197</v>
      </c>
      <c r="E245" s="59" t="s">
        <v>1109</v>
      </c>
      <c r="F245" t="s">
        <v>1463</v>
      </c>
      <c r="G245" s="56" t="s">
        <v>1111</v>
      </c>
    </row>
    <row r="246" spans="1:7" x14ac:dyDescent="0.3">
      <c r="A246" t="s">
        <v>813</v>
      </c>
      <c r="B246" t="s">
        <v>806</v>
      </c>
      <c r="C246" t="s">
        <v>525</v>
      </c>
      <c r="D246" s="56" t="s">
        <v>1464</v>
      </c>
      <c r="E246" s="59" t="s">
        <v>1109</v>
      </c>
      <c r="F246" t="s">
        <v>1465</v>
      </c>
      <c r="G246" s="56" t="s">
        <v>1111</v>
      </c>
    </row>
    <row r="247" spans="1:7" x14ac:dyDescent="0.3">
      <c r="A247" t="s">
        <v>817</v>
      </c>
      <c r="B247" t="s">
        <v>818</v>
      </c>
      <c r="C247" t="s">
        <v>525</v>
      </c>
      <c r="D247" s="56" t="s">
        <v>1466</v>
      </c>
      <c r="E247" s="59">
        <v>0</v>
      </c>
      <c r="F247" t="s">
        <v>1467</v>
      </c>
      <c r="G247" s="56" t="s">
        <v>1113</v>
      </c>
    </row>
    <row r="248" spans="1:7" x14ac:dyDescent="0.3">
      <c r="A248" t="s">
        <v>817</v>
      </c>
      <c r="B248" t="s">
        <v>818</v>
      </c>
      <c r="C248" t="s">
        <v>525</v>
      </c>
      <c r="D248" s="56" t="s">
        <v>1468</v>
      </c>
      <c r="E248" s="59">
        <v>33</v>
      </c>
      <c r="F248" t="s">
        <v>1469</v>
      </c>
      <c r="G248" s="56" t="s">
        <v>1113</v>
      </c>
    </row>
    <row r="249" spans="1:7" x14ac:dyDescent="0.3">
      <c r="A249" t="s">
        <v>817</v>
      </c>
      <c r="B249" t="s">
        <v>818</v>
      </c>
      <c r="C249" t="s">
        <v>525</v>
      </c>
      <c r="D249" s="56" t="s">
        <v>1470</v>
      </c>
      <c r="E249" s="59">
        <v>100</v>
      </c>
      <c r="F249" t="s">
        <v>1471</v>
      </c>
      <c r="G249" s="56" t="s">
        <v>1113</v>
      </c>
    </row>
    <row r="250" spans="1:7" x14ac:dyDescent="0.3">
      <c r="A250" t="s">
        <v>817</v>
      </c>
      <c r="B250" t="s">
        <v>818</v>
      </c>
      <c r="C250" t="s">
        <v>525</v>
      </c>
      <c r="D250" s="56" t="s">
        <v>1472</v>
      </c>
      <c r="E250" s="59" t="s">
        <v>1109</v>
      </c>
      <c r="F250" t="s">
        <v>1473</v>
      </c>
      <c r="G250" s="56" t="s">
        <v>1116</v>
      </c>
    </row>
    <row r="251" spans="1:7" x14ac:dyDescent="0.3">
      <c r="A251" t="s">
        <v>822</v>
      </c>
      <c r="B251" t="s">
        <v>818</v>
      </c>
      <c r="C251" t="s">
        <v>525</v>
      </c>
      <c r="D251" s="56" t="s">
        <v>1104</v>
      </c>
      <c r="E251" s="59">
        <v>0</v>
      </c>
      <c r="F251" t="s">
        <v>1474</v>
      </c>
      <c r="G251" s="56" t="s">
        <v>1113</v>
      </c>
    </row>
    <row r="252" spans="1:7" x14ac:dyDescent="0.3">
      <c r="A252" t="s">
        <v>822</v>
      </c>
      <c r="B252" t="s">
        <v>818</v>
      </c>
      <c r="C252" t="s">
        <v>525</v>
      </c>
      <c r="D252" s="56" t="s">
        <v>1106</v>
      </c>
      <c r="E252" s="59">
        <v>100</v>
      </c>
      <c r="F252" t="s">
        <v>1475</v>
      </c>
      <c r="G252" s="56" t="s">
        <v>1113</v>
      </c>
    </row>
    <row r="253" spans="1:7" x14ac:dyDescent="0.3">
      <c r="A253" t="s">
        <v>824</v>
      </c>
      <c r="B253" t="s">
        <v>818</v>
      </c>
      <c r="C253" t="s">
        <v>525</v>
      </c>
      <c r="D253" s="56" t="s">
        <v>1476</v>
      </c>
      <c r="E253" s="59">
        <v>100</v>
      </c>
      <c r="F253" t="s">
        <v>1477</v>
      </c>
    </row>
    <row r="254" spans="1:7" x14ac:dyDescent="0.3">
      <c r="A254" t="s">
        <v>824</v>
      </c>
      <c r="B254" t="s">
        <v>818</v>
      </c>
      <c r="C254" t="s">
        <v>525</v>
      </c>
      <c r="D254" s="56" t="s">
        <v>1478</v>
      </c>
      <c r="E254" s="59">
        <v>50</v>
      </c>
      <c r="F254" t="s">
        <v>1479</v>
      </c>
    </row>
    <row r="255" spans="1:7" x14ac:dyDescent="0.3">
      <c r="A255" t="s">
        <v>824</v>
      </c>
      <c r="B255" t="s">
        <v>818</v>
      </c>
      <c r="C255" t="s">
        <v>525</v>
      </c>
      <c r="D255" s="56" t="s">
        <v>1480</v>
      </c>
      <c r="E255" s="59">
        <v>0</v>
      </c>
      <c r="F255" t="s">
        <v>1481</v>
      </c>
    </row>
    <row r="256" spans="1:7" x14ac:dyDescent="0.3">
      <c r="A256" t="s">
        <v>824</v>
      </c>
      <c r="B256" t="s">
        <v>818</v>
      </c>
      <c r="C256" t="s">
        <v>525</v>
      </c>
      <c r="D256" s="56" t="s">
        <v>1108</v>
      </c>
      <c r="E256" s="59" t="s">
        <v>1109</v>
      </c>
      <c r="F256" t="s">
        <v>1482</v>
      </c>
      <c r="G256" s="56" t="s">
        <v>1111</v>
      </c>
    </row>
    <row r="257" spans="1:7" ht="28.8" x14ac:dyDescent="0.3">
      <c r="A257" t="s">
        <v>828</v>
      </c>
      <c r="B257" t="s">
        <v>829</v>
      </c>
      <c r="C257" t="s">
        <v>538</v>
      </c>
      <c r="D257" s="56" t="s">
        <v>1102</v>
      </c>
      <c r="E257" s="59"/>
      <c r="G257" s="56" t="s">
        <v>1483</v>
      </c>
    </row>
    <row r="258" spans="1:7" ht="28.8" x14ac:dyDescent="0.3">
      <c r="A258" t="s">
        <v>833</v>
      </c>
      <c r="B258" t="s">
        <v>829</v>
      </c>
      <c r="C258" t="s">
        <v>518</v>
      </c>
      <c r="D258" s="56" t="s">
        <v>500</v>
      </c>
      <c r="E258" s="59"/>
      <c r="G258" s="56" t="s">
        <v>1101</v>
      </c>
    </row>
    <row r="259" spans="1:7" x14ac:dyDescent="0.3">
      <c r="A259" t="s">
        <v>835</v>
      </c>
      <c r="B259" t="s">
        <v>829</v>
      </c>
      <c r="C259" t="s">
        <v>525</v>
      </c>
      <c r="D259" s="56" t="s">
        <v>1104</v>
      </c>
      <c r="E259" s="59">
        <v>100</v>
      </c>
      <c r="F259" t="s">
        <v>1484</v>
      </c>
      <c r="G259" s="56" t="s">
        <v>1113</v>
      </c>
    </row>
    <row r="260" spans="1:7" x14ac:dyDescent="0.3">
      <c r="A260" t="s">
        <v>835</v>
      </c>
      <c r="B260" t="s">
        <v>829</v>
      </c>
      <c r="C260" t="s">
        <v>525</v>
      </c>
      <c r="D260" s="56" t="s">
        <v>1485</v>
      </c>
      <c r="E260" s="59">
        <v>50</v>
      </c>
      <c r="F260" t="s">
        <v>1486</v>
      </c>
      <c r="G260" s="56" t="s">
        <v>1113</v>
      </c>
    </row>
    <row r="261" spans="1:7" x14ac:dyDescent="0.3">
      <c r="A261" t="s">
        <v>835</v>
      </c>
      <c r="B261" t="s">
        <v>829</v>
      </c>
      <c r="C261" t="s">
        <v>525</v>
      </c>
      <c r="D261" s="56" t="s">
        <v>1106</v>
      </c>
      <c r="E261" s="59">
        <v>0</v>
      </c>
      <c r="F261" t="s">
        <v>1487</v>
      </c>
      <c r="G261" s="56" t="s">
        <v>1113</v>
      </c>
    </row>
    <row r="262" spans="1:7" x14ac:dyDescent="0.3">
      <c r="A262" t="s">
        <v>835</v>
      </c>
      <c r="B262" t="s">
        <v>829</v>
      </c>
      <c r="C262" t="s">
        <v>525</v>
      </c>
      <c r="D262" s="56" t="s">
        <v>1488</v>
      </c>
      <c r="E262" s="59" t="s">
        <v>1109</v>
      </c>
      <c r="F262" t="s">
        <v>1489</v>
      </c>
      <c r="G262" s="56" t="s">
        <v>1116</v>
      </c>
    </row>
    <row r="263" spans="1:7" x14ac:dyDescent="0.3">
      <c r="A263" t="s">
        <v>839</v>
      </c>
      <c r="B263" t="s">
        <v>840</v>
      </c>
      <c r="C263" t="s">
        <v>525</v>
      </c>
      <c r="D263" s="56" t="s">
        <v>1490</v>
      </c>
      <c r="E263" s="59">
        <v>0</v>
      </c>
      <c r="F263" t="s">
        <v>1491</v>
      </c>
    </row>
    <row r="264" spans="1:7" x14ac:dyDescent="0.3">
      <c r="A264" t="s">
        <v>839</v>
      </c>
      <c r="B264" t="s">
        <v>840</v>
      </c>
      <c r="C264" t="s">
        <v>525</v>
      </c>
      <c r="D264" s="56" t="s">
        <v>1492</v>
      </c>
      <c r="E264" s="59">
        <v>1</v>
      </c>
      <c r="F264" t="s">
        <v>1493</v>
      </c>
    </row>
    <row r="265" spans="1:7" x14ac:dyDescent="0.3">
      <c r="A265" t="s">
        <v>839</v>
      </c>
      <c r="B265" t="s">
        <v>840</v>
      </c>
      <c r="C265" t="s">
        <v>525</v>
      </c>
      <c r="D265" s="56" t="s">
        <v>1494</v>
      </c>
      <c r="E265" s="59">
        <v>2</v>
      </c>
      <c r="F265" t="s">
        <v>1495</v>
      </c>
    </row>
    <row r="266" spans="1:7" x14ac:dyDescent="0.3">
      <c r="A266" t="s">
        <v>844</v>
      </c>
      <c r="B266" t="s">
        <v>845</v>
      </c>
      <c r="C266" t="s">
        <v>525</v>
      </c>
      <c r="D266" s="56" t="s">
        <v>1496</v>
      </c>
      <c r="E266" s="59">
        <v>0</v>
      </c>
      <c r="F266" t="s">
        <v>1497</v>
      </c>
    </row>
    <row r="267" spans="1:7" x14ac:dyDescent="0.3">
      <c r="A267" t="s">
        <v>844</v>
      </c>
      <c r="B267" t="s">
        <v>845</v>
      </c>
      <c r="C267" t="s">
        <v>525</v>
      </c>
      <c r="D267" s="56" t="s">
        <v>1498</v>
      </c>
      <c r="E267" s="59">
        <v>1</v>
      </c>
      <c r="F267" t="s">
        <v>1499</v>
      </c>
    </row>
    <row r="268" spans="1:7" x14ac:dyDescent="0.3">
      <c r="A268" t="s">
        <v>844</v>
      </c>
      <c r="B268" t="s">
        <v>845</v>
      </c>
      <c r="C268" t="s">
        <v>525</v>
      </c>
      <c r="D268" s="56" t="s">
        <v>1500</v>
      </c>
      <c r="E268" s="59">
        <v>2</v>
      </c>
      <c r="F268" t="s">
        <v>1501</v>
      </c>
    </row>
    <row r="269" spans="1:7" x14ac:dyDescent="0.3">
      <c r="A269" t="s">
        <v>849</v>
      </c>
      <c r="B269" t="s">
        <v>850</v>
      </c>
      <c r="C269" t="s">
        <v>525</v>
      </c>
      <c r="D269" s="56" t="s">
        <v>1496</v>
      </c>
      <c r="E269" s="59">
        <v>0</v>
      </c>
      <c r="F269" t="s">
        <v>1502</v>
      </c>
    </row>
    <row r="270" spans="1:7" x14ac:dyDescent="0.3">
      <c r="A270" t="s">
        <v>849</v>
      </c>
      <c r="B270" t="s">
        <v>850</v>
      </c>
      <c r="C270" t="s">
        <v>525</v>
      </c>
      <c r="D270" s="56" t="s">
        <v>1503</v>
      </c>
      <c r="E270" s="59">
        <v>1</v>
      </c>
      <c r="F270" t="s">
        <v>1504</v>
      </c>
    </row>
    <row r="271" spans="1:7" x14ac:dyDescent="0.3">
      <c r="A271" t="s">
        <v>849</v>
      </c>
      <c r="B271" t="s">
        <v>850</v>
      </c>
      <c r="C271" t="s">
        <v>525</v>
      </c>
      <c r="D271" s="56" t="s">
        <v>1505</v>
      </c>
      <c r="E271" s="59">
        <v>2</v>
      </c>
      <c r="F271" t="s">
        <v>1506</v>
      </c>
    </row>
    <row r="272" spans="1:7" x14ac:dyDescent="0.3">
      <c r="A272" t="s">
        <v>854</v>
      </c>
      <c r="B272" t="s">
        <v>855</v>
      </c>
      <c r="C272" t="s">
        <v>525</v>
      </c>
      <c r="D272" s="56" t="s">
        <v>1507</v>
      </c>
      <c r="E272" s="59">
        <v>0</v>
      </c>
      <c r="F272" t="s">
        <v>1508</v>
      </c>
    </row>
    <row r="273" spans="1:7" x14ac:dyDescent="0.3">
      <c r="A273" t="s">
        <v>854</v>
      </c>
      <c r="B273" t="s">
        <v>855</v>
      </c>
      <c r="C273" t="s">
        <v>525</v>
      </c>
      <c r="D273" s="56" t="s">
        <v>1509</v>
      </c>
      <c r="E273" s="59">
        <v>1</v>
      </c>
      <c r="F273" t="s">
        <v>1510</v>
      </c>
    </row>
    <row r="274" spans="1:7" x14ac:dyDescent="0.3">
      <c r="A274" t="s">
        <v>854</v>
      </c>
      <c r="B274" t="s">
        <v>855</v>
      </c>
      <c r="C274" t="s">
        <v>525</v>
      </c>
      <c r="D274" s="56" t="s">
        <v>1511</v>
      </c>
      <c r="E274" s="59">
        <v>2</v>
      </c>
      <c r="F274" t="s">
        <v>1512</v>
      </c>
    </row>
    <row r="275" spans="1:7" x14ac:dyDescent="0.3">
      <c r="A275" t="s">
        <v>860</v>
      </c>
      <c r="B275" t="s">
        <v>861</v>
      </c>
      <c r="C275" t="s">
        <v>525</v>
      </c>
      <c r="D275" s="56" t="s">
        <v>1513</v>
      </c>
      <c r="E275" s="59">
        <v>100</v>
      </c>
      <c r="F275" t="s">
        <v>1514</v>
      </c>
      <c r="G275" s="56" t="s">
        <v>1113</v>
      </c>
    </row>
    <row r="276" spans="1:7" x14ac:dyDescent="0.3">
      <c r="A276" t="s">
        <v>860</v>
      </c>
      <c r="B276" t="s">
        <v>861</v>
      </c>
      <c r="C276" t="s">
        <v>525</v>
      </c>
      <c r="D276" s="56" t="s">
        <v>1515</v>
      </c>
      <c r="E276" s="59">
        <v>75</v>
      </c>
      <c r="F276" t="s">
        <v>1516</v>
      </c>
      <c r="G276" s="56" t="s">
        <v>1113</v>
      </c>
    </row>
    <row r="277" spans="1:7" x14ac:dyDescent="0.3">
      <c r="A277" t="s">
        <v>860</v>
      </c>
      <c r="B277" t="s">
        <v>861</v>
      </c>
      <c r="C277" t="s">
        <v>525</v>
      </c>
      <c r="D277" s="56" t="s">
        <v>1517</v>
      </c>
      <c r="E277" s="59">
        <v>25</v>
      </c>
      <c r="F277" t="s">
        <v>1518</v>
      </c>
      <c r="G277" s="56" t="s">
        <v>1113</v>
      </c>
    </row>
    <row r="278" spans="1:7" x14ac:dyDescent="0.3">
      <c r="A278" t="s">
        <v>860</v>
      </c>
      <c r="B278" t="s">
        <v>861</v>
      </c>
      <c r="C278" t="s">
        <v>525</v>
      </c>
      <c r="D278" s="56" t="s">
        <v>1519</v>
      </c>
      <c r="E278" s="59">
        <v>50</v>
      </c>
      <c r="F278" t="s">
        <v>1520</v>
      </c>
      <c r="G278" s="56" t="s">
        <v>1113</v>
      </c>
    </row>
    <row r="279" spans="1:7" x14ac:dyDescent="0.3">
      <c r="A279" t="s">
        <v>860</v>
      </c>
      <c r="B279" t="s">
        <v>861</v>
      </c>
      <c r="C279" t="s">
        <v>525</v>
      </c>
      <c r="D279" s="56" t="s">
        <v>1521</v>
      </c>
      <c r="E279" s="59">
        <v>50</v>
      </c>
      <c r="F279" t="s">
        <v>1522</v>
      </c>
      <c r="G279" s="56" t="s">
        <v>1113</v>
      </c>
    </row>
    <row r="280" spans="1:7" x14ac:dyDescent="0.3">
      <c r="A280" t="s">
        <v>865</v>
      </c>
      <c r="B280" t="s">
        <v>861</v>
      </c>
      <c r="C280" t="s">
        <v>525</v>
      </c>
      <c r="D280" s="56" t="s">
        <v>1104</v>
      </c>
      <c r="E280" s="59">
        <v>100</v>
      </c>
      <c r="F280" t="s">
        <v>1523</v>
      </c>
    </row>
    <row r="281" spans="1:7" x14ac:dyDescent="0.3">
      <c r="A281" t="s">
        <v>865</v>
      </c>
      <c r="B281" t="s">
        <v>861</v>
      </c>
      <c r="C281" t="s">
        <v>525</v>
      </c>
      <c r="D281" s="56" t="s">
        <v>1106</v>
      </c>
      <c r="E281" s="59">
        <v>0</v>
      </c>
      <c r="F281" t="s">
        <v>1524</v>
      </c>
    </row>
    <row r="282" spans="1:7" x14ac:dyDescent="0.3">
      <c r="A282" t="s">
        <v>865</v>
      </c>
      <c r="B282" t="s">
        <v>861</v>
      </c>
      <c r="C282" t="s">
        <v>525</v>
      </c>
      <c r="D282" s="56" t="s">
        <v>1108</v>
      </c>
      <c r="E282" s="59" t="s">
        <v>1109</v>
      </c>
      <c r="F282" t="s">
        <v>1525</v>
      </c>
      <c r="G282" s="56" t="s">
        <v>1111</v>
      </c>
    </row>
    <row r="283" spans="1:7" ht="28.8" x14ac:dyDescent="0.3">
      <c r="A283" t="s">
        <v>869</v>
      </c>
      <c r="B283" t="s">
        <v>870</v>
      </c>
      <c r="C283" t="s">
        <v>534</v>
      </c>
      <c r="D283" s="56" t="s">
        <v>500</v>
      </c>
      <c r="E283" s="59"/>
      <c r="G283" s="56" t="s">
        <v>1101</v>
      </c>
    </row>
    <row r="284" spans="1:7" ht="28.8" x14ac:dyDescent="0.3">
      <c r="A284" t="s">
        <v>873</v>
      </c>
      <c r="B284" t="s">
        <v>870</v>
      </c>
      <c r="C284" t="s">
        <v>534</v>
      </c>
      <c r="D284" s="56" t="s">
        <v>500</v>
      </c>
      <c r="E284" s="59"/>
      <c r="G284" s="56" t="s">
        <v>1101</v>
      </c>
    </row>
    <row r="285" spans="1:7" ht="28.8" x14ac:dyDescent="0.3">
      <c r="A285" t="s">
        <v>876</v>
      </c>
      <c r="B285" t="s">
        <v>870</v>
      </c>
      <c r="C285" t="s">
        <v>584</v>
      </c>
      <c r="D285" s="56" t="s">
        <v>500</v>
      </c>
      <c r="E285" s="59"/>
      <c r="G285" s="56" t="s">
        <v>1101</v>
      </c>
    </row>
    <row r="286" spans="1:7" ht="28.8" x14ac:dyDescent="0.3">
      <c r="A286" t="s">
        <v>879</v>
      </c>
      <c r="B286" t="s">
        <v>870</v>
      </c>
      <c r="C286" t="s">
        <v>534</v>
      </c>
      <c r="D286" s="56" t="s">
        <v>500</v>
      </c>
      <c r="E286" s="59"/>
      <c r="G286" s="56" t="s">
        <v>1101</v>
      </c>
    </row>
    <row r="287" spans="1:7" ht="28.8" x14ac:dyDescent="0.3">
      <c r="A287" t="s">
        <v>882</v>
      </c>
      <c r="B287" t="s">
        <v>870</v>
      </c>
      <c r="C287" t="s">
        <v>534</v>
      </c>
      <c r="D287" s="56" t="s">
        <v>500</v>
      </c>
      <c r="E287" s="59"/>
      <c r="G287" s="56" t="s">
        <v>1101</v>
      </c>
    </row>
    <row r="288" spans="1:7" ht="28.8" x14ac:dyDescent="0.3">
      <c r="A288" t="s">
        <v>885</v>
      </c>
      <c r="B288" t="s">
        <v>870</v>
      </c>
      <c r="C288" t="s">
        <v>534</v>
      </c>
      <c r="D288" s="56" t="s">
        <v>500</v>
      </c>
      <c r="E288" s="59"/>
      <c r="G288" s="56" t="s">
        <v>1101</v>
      </c>
    </row>
    <row r="289" spans="1:7" ht="28.8" x14ac:dyDescent="0.3">
      <c r="A289" t="s">
        <v>888</v>
      </c>
      <c r="B289" t="s">
        <v>870</v>
      </c>
      <c r="C289" t="s">
        <v>503</v>
      </c>
      <c r="D289" s="56" t="s">
        <v>500</v>
      </c>
      <c r="E289" s="59"/>
      <c r="G289" s="56" t="s">
        <v>1101</v>
      </c>
    </row>
    <row r="290" spans="1:7" ht="28.8" x14ac:dyDescent="0.3">
      <c r="A290" t="s">
        <v>891</v>
      </c>
      <c r="B290" t="s">
        <v>870</v>
      </c>
      <c r="C290" t="s">
        <v>534</v>
      </c>
      <c r="D290" s="56" t="s">
        <v>500</v>
      </c>
      <c r="E290" s="59"/>
      <c r="G290" s="56" t="s">
        <v>1101</v>
      </c>
    </row>
    <row r="291" spans="1:7" ht="28.8" x14ac:dyDescent="0.3">
      <c r="A291" t="s">
        <v>894</v>
      </c>
      <c r="B291" t="s">
        <v>870</v>
      </c>
      <c r="C291" t="s">
        <v>534</v>
      </c>
      <c r="D291" s="56" t="s">
        <v>500</v>
      </c>
      <c r="E291" s="59"/>
      <c r="G291" s="56" t="s">
        <v>1101</v>
      </c>
    </row>
    <row r="292" spans="1:7" ht="28.8" x14ac:dyDescent="0.3">
      <c r="A292" t="s">
        <v>897</v>
      </c>
      <c r="B292" t="s">
        <v>870</v>
      </c>
      <c r="C292" t="s">
        <v>534</v>
      </c>
      <c r="D292" s="56" t="s">
        <v>500</v>
      </c>
      <c r="E292" s="59"/>
      <c r="G292" s="56" t="s">
        <v>1101</v>
      </c>
    </row>
  </sheetData>
  <mergeCells count="1">
    <mergeCell ref="A1:G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6CC7C-93AC-4E8B-9184-3D3DC68D4062}">
  <dimension ref="A1:DQ176"/>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10" defaultRowHeight="14.4" x14ac:dyDescent="0.3"/>
  <cols>
    <col min="1" max="1" width="15.77734375" customWidth="1"/>
    <col min="2" max="2" width="42.77734375" customWidth="1"/>
    <col min="3" max="121" width="9.33203125" customWidth="1"/>
  </cols>
  <sheetData>
    <row r="1" spans="1:121" ht="34.049999999999997" customHeight="1" x14ac:dyDescent="0.3">
      <c r="A1" s="70" t="s">
        <v>1526</v>
      </c>
      <c r="B1" s="67"/>
      <c r="C1" s="67"/>
      <c r="D1" s="67"/>
      <c r="E1" s="67"/>
      <c r="F1" s="67"/>
      <c r="G1" s="67"/>
      <c r="H1" s="67"/>
      <c r="I1" s="67"/>
      <c r="J1" s="67"/>
      <c r="K1" s="67"/>
      <c r="L1" s="67"/>
      <c r="M1" s="67"/>
      <c r="N1" s="67"/>
      <c r="O1" s="67"/>
      <c r="P1" s="67"/>
      <c r="Q1" s="67"/>
      <c r="R1" s="67"/>
      <c r="S1" s="67"/>
      <c r="T1" s="67"/>
      <c r="U1" s="67"/>
      <c r="V1" s="67"/>
      <c r="W1" s="67"/>
      <c r="X1" s="67"/>
      <c r="Y1" s="67"/>
      <c r="Z1" s="67"/>
      <c r="AA1" s="67"/>
      <c r="AB1" s="67"/>
      <c r="AC1" s="67"/>
      <c r="AD1" s="67"/>
      <c r="AE1" s="67"/>
      <c r="AF1" s="67"/>
      <c r="AG1" s="67"/>
      <c r="AH1" s="67"/>
      <c r="AI1" s="67"/>
      <c r="AJ1" s="67"/>
      <c r="AK1" s="67"/>
      <c r="AL1" s="67"/>
      <c r="AM1" s="67"/>
      <c r="AN1" s="67"/>
      <c r="AO1" s="67"/>
      <c r="AP1" s="67"/>
      <c r="AQ1" s="67"/>
      <c r="AR1" s="67"/>
      <c r="AS1" s="67"/>
      <c r="AT1" s="67"/>
      <c r="AU1" s="67"/>
      <c r="AV1" s="67"/>
      <c r="AW1" s="67"/>
      <c r="AX1" s="67"/>
      <c r="AY1" s="67"/>
      <c r="AZ1" s="67"/>
      <c r="BA1" s="67"/>
      <c r="BB1" s="67"/>
      <c r="BC1" s="67"/>
      <c r="BD1" s="67"/>
      <c r="BE1" s="67"/>
      <c r="BF1" s="67"/>
      <c r="BG1" s="67"/>
      <c r="BH1" s="67"/>
      <c r="BI1" s="67"/>
      <c r="BJ1" s="67"/>
      <c r="BK1" s="67"/>
      <c r="BL1" s="67"/>
      <c r="BM1" s="67"/>
      <c r="BN1" s="67"/>
      <c r="BO1" s="67"/>
      <c r="BP1" s="67"/>
      <c r="BQ1" s="67"/>
      <c r="BR1" s="67"/>
      <c r="BS1" s="67"/>
      <c r="BT1" s="67"/>
      <c r="BU1" s="67"/>
      <c r="BV1" s="67"/>
      <c r="BW1" s="67"/>
      <c r="BX1" s="67"/>
      <c r="BY1" s="67"/>
      <c r="BZ1" s="67"/>
      <c r="CA1" s="67"/>
      <c r="CB1" s="67"/>
      <c r="CC1" s="67"/>
      <c r="CD1" s="67"/>
      <c r="CE1" s="67"/>
      <c r="CF1" s="67"/>
      <c r="CG1" s="67"/>
      <c r="CH1" s="67"/>
      <c r="CI1" s="67"/>
      <c r="CJ1" s="67"/>
      <c r="CK1" s="67"/>
      <c r="CL1" s="67"/>
      <c r="CM1" s="67"/>
      <c r="CN1" s="67"/>
      <c r="CO1" s="67"/>
      <c r="CP1" s="67"/>
      <c r="CQ1" s="67"/>
      <c r="CR1" s="67"/>
      <c r="CS1" s="67"/>
      <c r="CT1" s="67"/>
      <c r="CU1" s="67"/>
      <c r="CV1" s="67"/>
      <c r="CW1" s="67"/>
      <c r="CX1" s="67"/>
      <c r="CY1" s="67"/>
      <c r="CZ1" s="67"/>
      <c r="DA1" s="67"/>
      <c r="DB1" s="67"/>
      <c r="DC1" s="67"/>
      <c r="DD1" s="67"/>
      <c r="DE1" s="67"/>
      <c r="DF1" s="67"/>
      <c r="DG1" s="67"/>
      <c r="DH1" s="67"/>
      <c r="DI1" s="67"/>
      <c r="DJ1" s="67"/>
      <c r="DK1" s="67"/>
      <c r="DL1" s="67"/>
      <c r="DM1" s="67"/>
      <c r="DN1" s="67"/>
      <c r="DO1" s="67"/>
      <c r="DP1" s="67"/>
      <c r="DQ1" s="67"/>
    </row>
    <row r="2" spans="1:121" s="61" customFormat="1" ht="150" customHeight="1" x14ac:dyDescent="0.3">
      <c r="A2" s="60" t="s">
        <v>1527</v>
      </c>
      <c r="B2" s="60" t="s">
        <v>901</v>
      </c>
      <c r="C2" s="60" t="s">
        <v>497</v>
      </c>
      <c r="D2" s="60" t="s">
        <v>502</v>
      </c>
      <c r="E2" s="60" t="s">
        <v>505</v>
      </c>
      <c r="F2" s="60" t="s">
        <v>510</v>
      </c>
      <c r="G2" s="60" t="s">
        <v>513</v>
      </c>
      <c r="H2" s="60" t="s">
        <v>516</v>
      </c>
      <c r="I2" s="60" t="s">
        <v>520</v>
      </c>
      <c r="J2" s="60" t="s">
        <v>523</v>
      </c>
      <c r="K2" s="60" t="s">
        <v>528</v>
      </c>
      <c r="L2" s="60" t="s">
        <v>532</v>
      </c>
      <c r="M2" s="60" t="s">
        <v>536</v>
      </c>
      <c r="N2" s="60" t="s">
        <v>541</v>
      </c>
      <c r="O2" s="60" t="s">
        <v>545</v>
      </c>
      <c r="P2" s="60" t="s">
        <v>549</v>
      </c>
      <c r="Q2" s="60" t="s">
        <v>552</v>
      </c>
      <c r="R2" s="60" t="s">
        <v>555</v>
      </c>
      <c r="S2" s="60" t="s">
        <v>559</v>
      </c>
      <c r="T2" s="60" t="s">
        <v>562</v>
      </c>
      <c r="U2" s="60" t="s">
        <v>566</v>
      </c>
      <c r="V2" s="60" t="s">
        <v>569</v>
      </c>
      <c r="W2" s="60" t="s">
        <v>5</v>
      </c>
      <c r="X2" s="60" t="s">
        <v>577</v>
      </c>
      <c r="Y2" s="60" t="s">
        <v>6</v>
      </c>
      <c r="Z2" s="60" t="s">
        <v>7</v>
      </c>
      <c r="AA2" s="60" t="s">
        <v>8</v>
      </c>
      <c r="AB2" s="60" t="s">
        <v>9</v>
      </c>
      <c r="AC2" s="60" t="s">
        <v>10</v>
      </c>
      <c r="AD2" s="60" t="s">
        <v>11</v>
      </c>
      <c r="AE2" s="60" t="s">
        <v>12</v>
      </c>
      <c r="AF2" s="60" t="s">
        <v>13</v>
      </c>
      <c r="AG2" s="60" t="s">
        <v>14</v>
      </c>
      <c r="AH2" s="60" t="s">
        <v>15</v>
      </c>
      <c r="AI2" s="60" t="s">
        <v>16</v>
      </c>
      <c r="AJ2" s="60" t="s">
        <v>17</v>
      </c>
      <c r="AK2" s="60" t="s">
        <v>18</v>
      </c>
      <c r="AL2" s="60" t="s">
        <v>606</v>
      </c>
      <c r="AM2" s="60" t="s">
        <v>611</v>
      </c>
      <c r="AN2" s="60" t="s">
        <v>615</v>
      </c>
      <c r="AO2" s="60" t="s">
        <v>619</v>
      </c>
      <c r="AP2" s="60" t="s">
        <v>621</v>
      </c>
      <c r="AQ2" s="60" t="s">
        <v>625</v>
      </c>
      <c r="AR2" s="60" t="s">
        <v>631</v>
      </c>
      <c r="AS2" s="60" t="s">
        <v>633</v>
      </c>
      <c r="AT2" s="60" t="s">
        <v>636</v>
      </c>
      <c r="AU2" s="60" t="s">
        <v>639</v>
      </c>
      <c r="AV2" s="60" t="s">
        <v>642</v>
      </c>
      <c r="AW2" s="60" t="s">
        <v>646</v>
      </c>
      <c r="AX2" s="60" t="s">
        <v>649</v>
      </c>
      <c r="AY2" s="60" t="s">
        <v>654</v>
      </c>
      <c r="AZ2" s="60" t="s">
        <v>658</v>
      </c>
      <c r="BA2" s="60" t="s">
        <v>661</v>
      </c>
      <c r="BB2" s="60" t="s">
        <v>663</v>
      </c>
      <c r="BC2" s="60" t="s">
        <v>666</v>
      </c>
      <c r="BD2" s="60" t="s">
        <v>669</v>
      </c>
      <c r="BE2" s="60" t="s">
        <v>672</v>
      </c>
      <c r="BF2" s="60" t="s">
        <v>674</v>
      </c>
      <c r="BG2" s="60" t="s">
        <v>677</v>
      </c>
      <c r="BH2" s="60" t="s">
        <v>680</v>
      </c>
      <c r="BI2" s="60" t="s">
        <v>683</v>
      </c>
      <c r="BJ2" s="60" t="s">
        <v>686</v>
      </c>
      <c r="BK2" s="60" t="s">
        <v>689</v>
      </c>
      <c r="BL2" s="60" t="s">
        <v>694</v>
      </c>
      <c r="BM2" s="60" t="s">
        <v>699</v>
      </c>
      <c r="BN2" s="60" t="s">
        <v>701</v>
      </c>
      <c r="BO2" s="60" t="s">
        <v>704</v>
      </c>
      <c r="BP2" s="60" t="s">
        <v>709</v>
      </c>
      <c r="BQ2" s="60" t="s">
        <v>713</v>
      </c>
      <c r="BR2" s="60" t="s">
        <v>715</v>
      </c>
      <c r="BS2" s="60" t="s">
        <v>718</v>
      </c>
      <c r="BT2" s="60" t="s">
        <v>721</v>
      </c>
      <c r="BU2" s="60" t="s">
        <v>724</v>
      </c>
      <c r="BV2" s="60" t="s">
        <v>727</v>
      </c>
      <c r="BW2" s="60" t="s">
        <v>730</v>
      </c>
      <c r="BX2" s="60" t="s">
        <v>733</v>
      </c>
      <c r="BY2" s="60" t="s">
        <v>737</v>
      </c>
      <c r="BZ2" s="60" t="s">
        <v>742</v>
      </c>
      <c r="CA2" s="60" t="s">
        <v>745</v>
      </c>
      <c r="CB2" s="60" t="s">
        <v>748</v>
      </c>
      <c r="CC2" s="60" t="s">
        <v>751</v>
      </c>
      <c r="CD2" s="60" t="s">
        <v>754</v>
      </c>
      <c r="CE2" s="60" t="s">
        <v>757</v>
      </c>
      <c r="CF2" s="60" t="s">
        <v>760</v>
      </c>
      <c r="CG2" s="60" t="s">
        <v>763</v>
      </c>
      <c r="CH2" s="60" t="s">
        <v>767</v>
      </c>
      <c r="CI2" s="60" t="s">
        <v>772</v>
      </c>
      <c r="CJ2" s="60" t="s">
        <v>774</v>
      </c>
      <c r="CK2" s="60" t="s">
        <v>777</v>
      </c>
      <c r="CL2" s="60" t="s">
        <v>780</v>
      </c>
      <c r="CM2" s="60" t="s">
        <v>783</v>
      </c>
      <c r="CN2" s="60" t="s">
        <v>787</v>
      </c>
      <c r="CO2" s="60" t="s">
        <v>792</v>
      </c>
      <c r="CP2" s="60" t="s">
        <v>796</v>
      </c>
      <c r="CQ2" s="60" t="s">
        <v>798</v>
      </c>
      <c r="CR2" s="60" t="s">
        <v>801</v>
      </c>
      <c r="CS2" s="60" t="s">
        <v>805</v>
      </c>
      <c r="CT2" s="60" t="s">
        <v>810</v>
      </c>
      <c r="CU2" s="60" t="s">
        <v>813</v>
      </c>
      <c r="CV2" s="60" t="s">
        <v>817</v>
      </c>
      <c r="CW2" s="60" t="s">
        <v>822</v>
      </c>
      <c r="CX2" s="60" t="s">
        <v>824</v>
      </c>
      <c r="CY2" s="60" t="s">
        <v>828</v>
      </c>
      <c r="CZ2" s="60" t="s">
        <v>833</v>
      </c>
      <c r="DA2" s="60" t="s">
        <v>835</v>
      </c>
      <c r="DB2" s="60" t="s">
        <v>839</v>
      </c>
      <c r="DC2" s="60" t="s">
        <v>844</v>
      </c>
      <c r="DD2" s="60" t="s">
        <v>849</v>
      </c>
      <c r="DE2" s="60" t="s">
        <v>854</v>
      </c>
      <c r="DF2" s="60" t="s">
        <v>860</v>
      </c>
      <c r="DG2" s="60" t="s">
        <v>865</v>
      </c>
      <c r="DH2" s="60" t="s">
        <v>869</v>
      </c>
      <c r="DI2" s="60" t="s">
        <v>873</v>
      </c>
      <c r="DJ2" s="60" t="s">
        <v>876</v>
      </c>
      <c r="DK2" s="60" t="s">
        <v>879</v>
      </c>
      <c r="DL2" s="60" t="s">
        <v>882</v>
      </c>
      <c r="DM2" s="60" t="s">
        <v>885</v>
      </c>
      <c r="DN2" s="60" t="s">
        <v>888</v>
      </c>
      <c r="DO2" s="60" t="s">
        <v>891</v>
      </c>
      <c r="DP2" s="60" t="s">
        <v>894</v>
      </c>
      <c r="DQ2" s="60" t="s">
        <v>897</v>
      </c>
    </row>
    <row r="3" spans="1:121" x14ac:dyDescent="0.3">
      <c r="A3">
        <v>20118578415</v>
      </c>
      <c r="B3" t="s">
        <v>63</v>
      </c>
    </row>
    <row r="4" spans="1:121" x14ac:dyDescent="0.3">
      <c r="A4">
        <v>20129156083</v>
      </c>
      <c r="B4" t="s">
        <v>71</v>
      </c>
    </row>
    <row r="5" spans="1:121" x14ac:dyDescent="0.3">
      <c r="A5">
        <v>20129529530</v>
      </c>
      <c r="B5" t="s">
        <v>76</v>
      </c>
    </row>
    <row r="6" spans="1:121" x14ac:dyDescent="0.3">
      <c r="A6">
        <v>20132489824</v>
      </c>
      <c r="B6" t="s">
        <v>79</v>
      </c>
    </row>
    <row r="7" spans="1:121" x14ac:dyDescent="0.3">
      <c r="A7">
        <v>20132505455</v>
      </c>
      <c r="B7" t="s">
        <v>82</v>
      </c>
    </row>
    <row r="8" spans="1:121" x14ac:dyDescent="0.3">
      <c r="A8">
        <v>20132509795</v>
      </c>
      <c r="B8" t="s">
        <v>85</v>
      </c>
    </row>
    <row r="9" spans="1:121" x14ac:dyDescent="0.3">
      <c r="A9">
        <v>20132509876</v>
      </c>
      <c r="B9" t="s">
        <v>87</v>
      </c>
    </row>
    <row r="10" spans="1:121" x14ac:dyDescent="0.3">
      <c r="A10">
        <v>20132517119</v>
      </c>
      <c r="B10" t="s">
        <v>89</v>
      </c>
    </row>
    <row r="11" spans="1:121" x14ac:dyDescent="0.3">
      <c r="A11">
        <v>20136201132</v>
      </c>
      <c r="B11" t="s">
        <v>91</v>
      </c>
    </row>
    <row r="12" spans="1:121" x14ac:dyDescent="0.3">
      <c r="A12">
        <v>20136201213</v>
      </c>
      <c r="B12" t="s">
        <v>93</v>
      </c>
    </row>
    <row r="13" spans="1:121" x14ac:dyDescent="0.3">
      <c r="A13">
        <v>20140292657</v>
      </c>
      <c r="B13" t="s">
        <v>96</v>
      </c>
    </row>
    <row r="14" spans="1:121" x14ac:dyDescent="0.3">
      <c r="A14">
        <v>20143692010</v>
      </c>
      <c r="B14" t="s">
        <v>98</v>
      </c>
    </row>
    <row r="15" spans="1:121" x14ac:dyDescent="0.3">
      <c r="A15">
        <v>20145484597</v>
      </c>
      <c r="B15" t="s">
        <v>100</v>
      </c>
    </row>
    <row r="16" spans="1:121" x14ac:dyDescent="0.3">
      <c r="A16">
        <v>20146696041</v>
      </c>
      <c r="B16" t="s">
        <v>102</v>
      </c>
    </row>
    <row r="17" spans="1:2" x14ac:dyDescent="0.3">
      <c r="A17">
        <v>20147443120</v>
      </c>
      <c r="B17" t="s">
        <v>105</v>
      </c>
    </row>
    <row r="18" spans="1:2" x14ac:dyDescent="0.3">
      <c r="A18">
        <v>20166786861</v>
      </c>
      <c r="B18" t="s">
        <v>108</v>
      </c>
    </row>
    <row r="19" spans="1:2" x14ac:dyDescent="0.3">
      <c r="A19">
        <v>20170142773</v>
      </c>
      <c r="B19" t="s">
        <v>111</v>
      </c>
    </row>
    <row r="20" spans="1:2" x14ac:dyDescent="0.3">
      <c r="A20">
        <v>20200880448</v>
      </c>
      <c r="B20" t="s">
        <v>114</v>
      </c>
    </row>
    <row r="21" spans="1:2" x14ac:dyDescent="0.3">
      <c r="A21">
        <v>20352417018</v>
      </c>
      <c r="B21" t="s">
        <v>116</v>
      </c>
    </row>
    <row r="22" spans="1:2" x14ac:dyDescent="0.3">
      <c r="A22">
        <v>20352423921</v>
      </c>
      <c r="B22" t="s">
        <v>118</v>
      </c>
    </row>
    <row r="23" spans="1:2" x14ac:dyDescent="0.3">
      <c r="A23">
        <v>20393152207</v>
      </c>
      <c r="B23" t="s">
        <v>121</v>
      </c>
    </row>
    <row r="24" spans="1:2" x14ac:dyDescent="0.3">
      <c r="A24">
        <v>20393593670</v>
      </c>
      <c r="B24" t="s">
        <v>123</v>
      </c>
    </row>
    <row r="25" spans="1:2" x14ac:dyDescent="0.3">
      <c r="A25">
        <v>20393692228</v>
      </c>
      <c r="B25" t="s">
        <v>126</v>
      </c>
    </row>
    <row r="26" spans="1:2" x14ac:dyDescent="0.3">
      <c r="A26">
        <v>20393786044</v>
      </c>
      <c r="B26" t="s">
        <v>128</v>
      </c>
    </row>
    <row r="27" spans="1:2" x14ac:dyDescent="0.3">
      <c r="A27">
        <v>20393816211</v>
      </c>
      <c r="B27" t="s">
        <v>130</v>
      </c>
    </row>
    <row r="28" spans="1:2" x14ac:dyDescent="0.3">
      <c r="A28">
        <v>20393882868</v>
      </c>
      <c r="B28" t="s">
        <v>132</v>
      </c>
    </row>
    <row r="29" spans="1:2" x14ac:dyDescent="0.3">
      <c r="A29">
        <v>20393972000</v>
      </c>
      <c r="B29" t="s">
        <v>134</v>
      </c>
    </row>
    <row r="30" spans="1:2" x14ac:dyDescent="0.3">
      <c r="A30">
        <v>20447888701</v>
      </c>
      <c r="B30" t="s">
        <v>136</v>
      </c>
    </row>
    <row r="31" spans="1:2" x14ac:dyDescent="0.3">
      <c r="A31">
        <v>20450189201</v>
      </c>
      <c r="B31" t="s">
        <v>138</v>
      </c>
    </row>
    <row r="32" spans="1:2" x14ac:dyDescent="0.3">
      <c r="A32">
        <v>20450207544</v>
      </c>
      <c r="B32" t="s">
        <v>141</v>
      </c>
    </row>
    <row r="33" spans="1:2" x14ac:dyDescent="0.3">
      <c r="A33">
        <v>20450242021</v>
      </c>
      <c r="B33" t="s">
        <v>143</v>
      </c>
    </row>
    <row r="34" spans="1:2" x14ac:dyDescent="0.3">
      <c r="A34">
        <v>20450319423</v>
      </c>
      <c r="B34" t="s">
        <v>145</v>
      </c>
    </row>
    <row r="35" spans="1:2" x14ac:dyDescent="0.3">
      <c r="A35">
        <v>20452774705</v>
      </c>
      <c r="B35" t="s">
        <v>147</v>
      </c>
    </row>
    <row r="36" spans="1:2" x14ac:dyDescent="0.3">
      <c r="A36">
        <v>20479595276</v>
      </c>
      <c r="B36" t="s">
        <v>149</v>
      </c>
    </row>
    <row r="37" spans="1:2" x14ac:dyDescent="0.3">
      <c r="A37">
        <v>20479622699</v>
      </c>
      <c r="B37" t="s">
        <v>152</v>
      </c>
    </row>
    <row r="38" spans="1:2" x14ac:dyDescent="0.3">
      <c r="A38">
        <v>20479856258</v>
      </c>
      <c r="B38" t="s">
        <v>154</v>
      </c>
    </row>
    <row r="39" spans="1:2" x14ac:dyDescent="0.3">
      <c r="A39">
        <v>20479917141</v>
      </c>
      <c r="B39" t="s">
        <v>156</v>
      </c>
    </row>
    <row r="40" spans="1:2" x14ac:dyDescent="0.3">
      <c r="A40">
        <v>20480458550</v>
      </c>
      <c r="B40" t="s">
        <v>158</v>
      </c>
    </row>
    <row r="41" spans="1:2" x14ac:dyDescent="0.3">
      <c r="A41">
        <v>20480762895</v>
      </c>
      <c r="B41" t="s">
        <v>160</v>
      </c>
    </row>
    <row r="42" spans="1:2" x14ac:dyDescent="0.3">
      <c r="A42">
        <v>20484163902</v>
      </c>
      <c r="B42" t="s">
        <v>162</v>
      </c>
    </row>
    <row r="43" spans="1:2" x14ac:dyDescent="0.3">
      <c r="A43">
        <v>20485945815</v>
      </c>
      <c r="B43" t="s">
        <v>164</v>
      </c>
    </row>
    <row r="44" spans="1:2" x14ac:dyDescent="0.3">
      <c r="A44">
        <v>20486094657</v>
      </c>
      <c r="B44" t="s">
        <v>166</v>
      </c>
    </row>
    <row r="45" spans="1:2" x14ac:dyDescent="0.3">
      <c r="A45">
        <v>20486255090</v>
      </c>
      <c r="B45" t="s">
        <v>168</v>
      </c>
    </row>
    <row r="46" spans="1:2" x14ac:dyDescent="0.3">
      <c r="A46">
        <v>20486668335</v>
      </c>
      <c r="B46" t="s">
        <v>170</v>
      </c>
    </row>
    <row r="47" spans="1:2" x14ac:dyDescent="0.3">
      <c r="A47">
        <v>20486876019</v>
      </c>
      <c r="B47" t="s">
        <v>172</v>
      </c>
    </row>
    <row r="48" spans="1:2" x14ac:dyDescent="0.3">
      <c r="A48">
        <v>20486973219</v>
      </c>
      <c r="B48" t="s">
        <v>174</v>
      </c>
    </row>
    <row r="49" spans="1:2" x14ac:dyDescent="0.3">
      <c r="A49">
        <v>20487242994</v>
      </c>
      <c r="B49" t="s">
        <v>176</v>
      </c>
    </row>
    <row r="50" spans="1:2" x14ac:dyDescent="0.3">
      <c r="A50">
        <v>20487351343</v>
      </c>
      <c r="B50" t="s">
        <v>178</v>
      </c>
    </row>
    <row r="51" spans="1:2" x14ac:dyDescent="0.3">
      <c r="A51">
        <v>20487661539</v>
      </c>
      <c r="B51" t="s">
        <v>181</v>
      </c>
    </row>
    <row r="52" spans="1:2" x14ac:dyDescent="0.3">
      <c r="A52">
        <v>20490726196</v>
      </c>
      <c r="B52" t="s">
        <v>183</v>
      </c>
    </row>
    <row r="53" spans="1:2" x14ac:dyDescent="0.3">
      <c r="A53">
        <v>20493934822</v>
      </c>
      <c r="B53" t="s">
        <v>185</v>
      </c>
    </row>
    <row r="54" spans="1:2" x14ac:dyDescent="0.3">
      <c r="A54">
        <v>20493959574</v>
      </c>
      <c r="B54" t="s">
        <v>187</v>
      </c>
    </row>
    <row r="55" spans="1:2" x14ac:dyDescent="0.3">
      <c r="A55">
        <v>20494126819</v>
      </c>
      <c r="B55" t="s">
        <v>189</v>
      </c>
    </row>
    <row r="56" spans="1:2" x14ac:dyDescent="0.3">
      <c r="A56">
        <v>20494145791</v>
      </c>
      <c r="B56" t="s">
        <v>191</v>
      </c>
    </row>
    <row r="57" spans="1:2" x14ac:dyDescent="0.3">
      <c r="A57">
        <v>20494699690</v>
      </c>
      <c r="B57" t="s">
        <v>194</v>
      </c>
    </row>
    <row r="58" spans="1:2" x14ac:dyDescent="0.3">
      <c r="A58">
        <v>20525969551</v>
      </c>
      <c r="B58" t="s">
        <v>196</v>
      </c>
    </row>
    <row r="59" spans="1:2" x14ac:dyDescent="0.3">
      <c r="A59">
        <v>20526514689</v>
      </c>
      <c r="B59" t="s">
        <v>198</v>
      </c>
    </row>
    <row r="60" spans="1:2" x14ac:dyDescent="0.3">
      <c r="A60">
        <v>20527565376</v>
      </c>
      <c r="B60" t="s">
        <v>200</v>
      </c>
    </row>
    <row r="61" spans="1:2" x14ac:dyDescent="0.3">
      <c r="A61">
        <v>20528996214</v>
      </c>
      <c r="B61" t="s">
        <v>203</v>
      </c>
    </row>
    <row r="62" spans="1:2" x14ac:dyDescent="0.3">
      <c r="A62">
        <v>20529801433</v>
      </c>
      <c r="B62" t="s">
        <v>205</v>
      </c>
    </row>
    <row r="63" spans="1:2" x14ac:dyDescent="0.3">
      <c r="A63">
        <v>20529822350</v>
      </c>
      <c r="B63" t="s">
        <v>207</v>
      </c>
    </row>
    <row r="64" spans="1:2" x14ac:dyDescent="0.3">
      <c r="A64">
        <v>20531405723</v>
      </c>
      <c r="B64" t="s">
        <v>209</v>
      </c>
    </row>
    <row r="65" spans="1:2" x14ac:dyDescent="0.3">
      <c r="A65">
        <v>20531441797</v>
      </c>
      <c r="B65" t="s">
        <v>211</v>
      </c>
    </row>
    <row r="66" spans="1:2" x14ac:dyDescent="0.3">
      <c r="A66">
        <v>20534524774</v>
      </c>
      <c r="B66" t="s">
        <v>213</v>
      </c>
    </row>
    <row r="67" spans="1:2" x14ac:dyDescent="0.3">
      <c r="A67">
        <v>20539205600</v>
      </c>
      <c r="B67" t="s">
        <v>215</v>
      </c>
    </row>
    <row r="68" spans="1:2" x14ac:dyDescent="0.3">
      <c r="A68">
        <v>20539241665</v>
      </c>
      <c r="B68" t="s">
        <v>217</v>
      </c>
    </row>
    <row r="69" spans="1:2" x14ac:dyDescent="0.3">
      <c r="A69">
        <v>20539280644</v>
      </c>
      <c r="B69" t="s">
        <v>219</v>
      </c>
    </row>
    <row r="70" spans="1:2" x14ac:dyDescent="0.3">
      <c r="A70">
        <v>20542209951</v>
      </c>
      <c r="B70" t="s">
        <v>221</v>
      </c>
    </row>
    <row r="71" spans="1:2" x14ac:dyDescent="0.3">
      <c r="A71">
        <v>20542251990</v>
      </c>
      <c r="B71" t="s">
        <v>224</v>
      </c>
    </row>
    <row r="72" spans="1:2" x14ac:dyDescent="0.3">
      <c r="A72">
        <v>20542257416</v>
      </c>
      <c r="B72" t="s">
        <v>226</v>
      </c>
    </row>
    <row r="73" spans="1:2" x14ac:dyDescent="0.3">
      <c r="A73">
        <v>20542264544</v>
      </c>
      <c r="B73" t="s">
        <v>228</v>
      </c>
    </row>
    <row r="74" spans="1:2" x14ac:dyDescent="0.3">
      <c r="A74">
        <v>20542289024</v>
      </c>
      <c r="B74" t="s">
        <v>230</v>
      </c>
    </row>
    <row r="75" spans="1:2" x14ac:dyDescent="0.3">
      <c r="A75">
        <v>20542299330</v>
      </c>
      <c r="B75" t="s">
        <v>232</v>
      </c>
    </row>
    <row r="76" spans="1:2" x14ac:dyDescent="0.3">
      <c r="A76">
        <v>20542311569</v>
      </c>
      <c r="B76" t="s">
        <v>234</v>
      </c>
    </row>
    <row r="77" spans="1:2" x14ac:dyDescent="0.3">
      <c r="A77">
        <v>20542380455</v>
      </c>
      <c r="B77" t="s">
        <v>236</v>
      </c>
    </row>
    <row r="78" spans="1:2" x14ac:dyDescent="0.3">
      <c r="A78">
        <v>20542482886</v>
      </c>
      <c r="B78" t="s">
        <v>238</v>
      </c>
    </row>
    <row r="79" spans="1:2" x14ac:dyDescent="0.3">
      <c r="A79">
        <v>20542825163</v>
      </c>
      <c r="B79" t="s">
        <v>240</v>
      </c>
    </row>
    <row r="80" spans="1:2" x14ac:dyDescent="0.3">
      <c r="A80">
        <v>20561140091</v>
      </c>
      <c r="B80" t="s">
        <v>243</v>
      </c>
    </row>
    <row r="81" spans="1:2" x14ac:dyDescent="0.3">
      <c r="A81">
        <v>20564032485</v>
      </c>
      <c r="B81" t="s">
        <v>246</v>
      </c>
    </row>
    <row r="82" spans="1:2" x14ac:dyDescent="0.3">
      <c r="A82">
        <v>20568071281</v>
      </c>
      <c r="B82" t="s">
        <v>248</v>
      </c>
    </row>
    <row r="83" spans="1:2" x14ac:dyDescent="0.3">
      <c r="A83">
        <v>20568080948</v>
      </c>
      <c r="B83" t="s">
        <v>251</v>
      </c>
    </row>
    <row r="84" spans="1:2" x14ac:dyDescent="0.3">
      <c r="A84">
        <v>20568190450</v>
      </c>
      <c r="B84" t="s">
        <v>253</v>
      </c>
    </row>
    <row r="85" spans="1:2" x14ac:dyDescent="0.3">
      <c r="A85">
        <v>20568194951</v>
      </c>
      <c r="B85" t="s">
        <v>255</v>
      </c>
    </row>
    <row r="86" spans="1:2" x14ac:dyDescent="0.3">
      <c r="A86">
        <v>20568428375</v>
      </c>
      <c r="B86" t="s">
        <v>257</v>
      </c>
    </row>
    <row r="87" spans="1:2" x14ac:dyDescent="0.3">
      <c r="A87">
        <v>20568549083</v>
      </c>
      <c r="B87" t="s">
        <v>259</v>
      </c>
    </row>
    <row r="88" spans="1:2" x14ac:dyDescent="0.3">
      <c r="A88">
        <v>20568560133</v>
      </c>
      <c r="B88" t="s">
        <v>261</v>
      </c>
    </row>
    <row r="89" spans="1:2" x14ac:dyDescent="0.3">
      <c r="A89">
        <v>20568567731</v>
      </c>
      <c r="B89" t="s">
        <v>263</v>
      </c>
    </row>
    <row r="90" spans="1:2" x14ac:dyDescent="0.3">
      <c r="A90">
        <v>20568609833</v>
      </c>
      <c r="B90" t="s">
        <v>265</v>
      </c>
    </row>
    <row r="91" spans="1:2" x14ac:dyDescent="0.3">
      <c r="A91">
        <v>20568962282</v>
      </c>
      <c r="B91" t="s">
        <v>267</v>
      </c>
    </row>
    <row r="92" spans="1:2" x14ac:dyDescent="0.3">
      <c r="A92">
        <v>20570706927</v>
      </c>
      <c r="B92" t="s">
        <v>269</v>
      </c>
    </row>
    <row r="93" spans="1:2" x14ac:dyDescent="0.3">
      <c r="A93">
        <v>20572111131</v>
      </c>
      <c r="B93" t="s">
        <v>271</v>
      </c>
    </row>
    <row r="94" spans="1:2" x14ac:dyDescent="0.3">
      <c r="A94">
        <v>20572190251</v>
      </c>
      <c r="B94" t="s">
        <v>273</v>
      </c>
    </row>
    <row r="95" spans="1:2" x14ac:dyDescent="0.3">
      <c r="A95">
        <v>20573049102</v>
      </c>
      <c r="B95" t="s">
        <v>275</v>
      </c>
    </row>
    <row r="96" spans="1:2" x14ac:dyDescent="0.3">
      <c r="A96">
        <v>20573057385</v>
      </c>
      <c r="B96" t="s">
        <v>277</v>
      </c>
    </row>
    <row r="97" spans="1:2" x14ac:dyDescent="0.3">
      <c r="A97">
        <v>20573138202</v>
      </c>
      <c r="B97" t="s">
        <v>279</v>
      </c>
    </row>
    <row r="98" spans="1:2" x14ac:dyDescent="0.3">
      <c r="A98">
        <v>20573260008</v>
      </c>
      <c r="B98" t="s">
        <v>281</v>
      </c>
    </row>
    <row r="99" spans="1:2" x14ac:dyDescent="0.3">
      <c r="A99">
        <v>20573344791</v>
      </c>
      <c r="B99" t="s">
        <v>283</v>
      </c>
    </row>
    <row r="100" spans="1:2" x14ac:dyDescent="0.3">
      <c r="A100">
        <v>20574797013</v>
      </c>
      <c r="B100" t="s">
        <v>286</v>
      </c>
    </row>
    <row r="101" spans="1:2" x14ac:dyDescent="0.3">
      <c r="A101">
        <v>20600001109</v>
      </c>
      <c r="B101" t="s">
        <v>288</v>
      </c>
    </row>
    <row r="102" spans="1:2" x14ac:dyDescent="0.3">
      <c r="A102">
        <v>20600010086</v>
      </c>
      <c r="B102" t="s">
        <v>290</v>
      </c>
    </row>
    <row r="103" spans="1:2" x14ac:dyDescent="0.3">
      <c r="A103">
        <v>20600029887</v>
      </c>
      <c r="B103" t="s">
        <v>292</v>
      </c>
    </row>
    <row r="104" spans="1:2" x14ac:dyDescent="0.3">
      <c r="A104">
        <v>20600146689</v>
      </c>
      <c r="B104" t="s">
        <v>294</v>
      </c>
    </row>
    <row r="105" spans="1:2" x14ac:dyDescent="0.3">
      <c r="A105">
        <v>20600200756</v>
      </c>
      <c r="B105" t="s">
        <v>296</v>
      </c>
    </row>
    <row r="106" spans="1:2" x14ac:dyDescent="0.3">
      <c r="A106">
        <v>20600263286</v>
      </c>
      <c r="B106" t="s">
        <v>298</v>
      </c>
    </row>
    <row r="107" spans="1:2" x14ac:dyDescent="0.3">
      <c r="A107">
        <v>20600382064</v>
      </c>
      <c r="B107" t="s">
        <v>300</v>
      </c>
    </row>
    <row r="108" spans="1:2" x14ac:dyDescent="0.3">
      <c r="A108">
        <v>20600390911</v>
      </c>
      <c r="B108" t="s">
        <v>302</v>
      </c>
    </row>
    <row r="109" spans="1:2" x14ac:dyDescent="0.3">
      <c r="A109">
        <v>20600529693</v>
      </c>
      <c r="B109" t="s">
        <v>304</v>
      </c>
    </row>
    <row r="110" spans="1:2" x14ac:dyDescent="0.3">
      <c r="A110">
        <v>20600668430</v>
      </c>
      <c r="B110" t="s">
        <v>306</v>
      </c>
    </row>
    <row r="111" spans="1:2" x14ac:dyDescent="0.3">
      <c r="A111">
        <v>20600682386</v>
      </c>
      <c r="B111" t="s">
        <v>308</v>
      </c>
    </row>
    <row r="112" spans="1:2" x14ac:dyDescent="0.3">
      <c r="A112">
        <v>20600720733</v>
      </c>
      <c r="B112" t="s">
        <v>310</v>
      </c>
    </row>
    <row r="113" spans="1:2" x14ac:dyDescent="0.3">
      <c r="A113">
        <v>20600785541</v>
      </c>
      <c r="B113" t="s">
        <v>312</v>
      </c>
    </row>
    <row r="114" spans="1:2" x14ac:dyDescent="0.3">
      <c r="A114">
        <v>20600796683</v>
      </c>
      <c r="B114" t="s">
        <v>314</v>
      </c>
    </row>
    <row r="115" spans="1:2" x14ac:dyDescent="0.3">
      <c r="A115">
        <v>20600796721</v>
      </c>
      <c r="B115" t="s">
        <v>316</v>
      </c>
    </row>
    <row r="116" spans="1:2" x14ac:dyDescent="0.3">
      <c r="A116">
        <v>20600874919</v>
      </c>
      <c r="B116" t="s">
        <v>318</v>
      </c>
    </row>
    <row r="117" spans="1:2" x14ac:dyDescent="0.3">
      <c r="A117">
        <v>20600964080</v>
      </c>
      <c r="B117" t="s">
        <v>320</v>
      </c>
    </row>
    <row r="118" spans="1:2" x14ac:dyDescent="0.3">
      <c r="A118">
        <v>20601067146</v>
      </c>
      <c r="B118" t="s">
        <v>322</v>
      </c>
    </row>
    <row r="119" spans="1:2" x14ac:dyDescent="0.3">
      <c r="A119">
        <v>20601119316</v>
      </c>
      <c r="B119" t="s">
        <v>324</v>
      </c>
    </row>
    <row r="120" spans="1:2" x14ac:dyDescent="0.3">
      <c r="A120">
        <v>20601186986</v>
      </c>
      <c r="B120" t="s">
        <v>326</v>
      </c>
    </row>
    <row r="121" spans="1:2" x14ac:dyDescent="0.3">
      <c r="A121">
        <v>20601329159</v>
      </c>
      <c r="B121" t="s">
        <v>328</v>
      </c>
    </row>
    <row r="122" spans="1:2" x14ac:dyDescent="0.3">
      <c r="A122">
        <v>20601339090</v>
      </c>
      <c r="B122" t="s">
        <v>330</v>
      </c>
    </row>
    <row r="123" spans="1:2" x14ac:dyDescent="0.3">
      <c r="A123">
        <v>20601537771</v>
      </c>
      <c r="B123" t="s">
        <v>332</v>
      </c>
    </row>
    <row r="124" spans="1:2" x14ac:dyDescent="0.3">
      <c r="A124">
        <v>20601558204</v>
      </c>
      <c r="B124" t="s">
        <v>334</v>
      </c>
    </row>
    <row r="125" spans="1:2" x14ac:dyDescent="0.3">
      <c r="A125">
        <v>20601667526</v>
      </c>
      <c r="B125" t="s">
        <v>337</v>
      </c>
    </row>
    <row r="126" spans="1:2" x14ac:dyDescent="0.3">
      <c r="A126">
        <v>20601919657</v>
      </c>
      <c r="B126" t="s">
        <v>339</v>
      </c>
    </row>
    <row r="127" spans="1:2" x14ac:dyDescent="0.3">
      <c r="A127">
        <v>20601939402</v>
      </c>
      <c r="B127" t="s">
        <v>341</v>
      </c>
    </row>
    <row r="128" spans="1:2" x14ac:dyDescent="0.3">
      <c r="A128">
        <v>20601958911</v>
      </c>
      <c r="B128" t="s">
        <v>343</v>
      </c>
    </row>
    <row r="129" spans="1:2" x14ac:dyDescent="0.3">
      <c r="A129">
        <v>20602047025</v>
      </c>
      <c r="B129" t="s">
        <v>345</v>
      </c>
    </row>
    <row r="130" spans="1:2" x14ac:dyDescent="0.3">
      <c r="A130">
        <v>20602054480</v>
      </c>
      <c r="B130" t="s">
        <v>347</v>
      </c>
    </row>
    <row r="131" spans="1:2" x14ac:dyDescent="0.3">
      <c r="A131">
        <v>20602161081</v>
      </c>
      <c r="B131" t="s">
        <v>350</v>
      </c>
    </row>
    <row r="132" spans="1:2" x14ac:dyDescent="0.3">
      <c r="A132">
        <v>20602194265</v>
      </c>
      <c r="B132" t="s">
        <v>352</v>
      </c>
    </row>
    <row r="133" spans="1:2" x14ac:dyDescent="0.3">
      <c r="A133">
        <v>20602242464</v>
      </c>
      <c r="B133" t="s">
        <v>354</v>
      </c>
    </row>
    <row r="134" spans="1:2" x14ac:dyDescent="0.3">
      <c r="A134">
        <v>20602488927</v>
      </c>
      <c r="B134" t="s">
        <v>356</v>
      </c>
    </row>
    <row r="135" spans="1:2" x14ac:dyDescent="0.3">
      <c r="A135">
        <v>20602650643</v>
      </c>
      <c r="B135" t="s">
        <v>359</v>
      </c>
    </row>
    <row r="136" spans="1:2" x14ac:dyDescent="0.3">
      <c r="A136">
        <v>20602712657</v>
      </c>
      <c r="B136" t="s">
        <v>362</v>
      </c>
    </row>
    <row r="137" spans="1:2" x14ac:dyDescent="0.3">
      <c r="A137">
        <v>20602881971</v>
      </c>
      <c r="B137" t="s">
        <v>364</v>
      </c>
    </row>
    <row r="138" spans="1:2" x14ac:dyDescent="0.3">
      <c r="A138">
        <v>20603320621</v>
      </c>
      <c r="B138" t="s">
        <v>366</v>
      </c>
    </row>
    <row r="139" spans="1:2" x14ac:dyDescent="0.3">
      <c r="A139">
        <v>20603526423</v>
      </c>
      <c r="B139" t="s">
        <v>368</v>
      </c>
    </row>
    <row r="140" spans="1:2" x14ac:dyDescent="0.3">
      <c r="A140">
        <v>20603557825</v>
      </c>
      <c r="B140" t="s">
        <v>370</v>
      </c>
    </row>
    <row r="141" spans="1:2" x14ac:dyDescent="0.3">
      <c r="A141">
        <v>20603675551</v>
      </c>
      <c r="B141" t="s">
        <v>372</v>
      </c>
    </row>
    <row r="142" spans="1:2" x14ac:dyDescent="0.3">
      <c r="A142">
        <v>20603676476</v>
      </c>
      <c r="B142" t="s">
        <v>374</v>
      </c>
    </row>
    <row r="143" spans="1:2" x14ac:dyDescent="0.3">
      <c r="A143">
        <v>20603820691</v>
      </c>
      <c r="B143" t="s">
        <v>376</v>
      </c>
    </row>
    <row r="144" spans="1:2" x14ac:dyDescent="0.3">
      <c r="A144">
        <v>20603829515</v>
      </c>
      <c r="B144" t="s">
        <v>378</v>
      </c>
    </row>
    <row r="145" spans="1:2" x14ac:dyDescent="0.3">
      <c r="A145">
        <v>20603842511</v>
      </c>
      <c r="B145" t="s">
        <v>380</v>
      </c>
    </row>
    <row r="146" spans="1:2" x14ac:dyDescent="0.3">
      <c r="A146">
        <v>20603862369</v>
      </c>
      <c r="B146" t="s">
        <v>382</v>
      </c>
    </row>
    <row r="147" spans="1:2" x14ac:dyDescent="0.3">
      <c r="A147">
        <v>20604151954</v>
      </c>
      <c r="B147" t="s">
        <v>384</v>
      </c>
    </row>
    <row r="148" spans="1:2" x14ac:dyDescent="0.3">
      <c r="A148">
        <v>20604215600</v>
      </c>
      <c r="B148" t="s">
        <v>386</v>
      </c>
    </row>
    <row r="149" spans="1:2" x14ac:dyDescent="0.3">
      <c r="A149">
        <v>20604309728</v>
      </c>
      <c r="B149" t="s">
        <v>388</v>
      </c>
    </row>
    <row r="150" spans="1:2" x14ac:dyDescent="0.3">
      <c r="A150">
        <v>20604401187</v>
      </c>
      <c r="B150" t="s">
        <v>390</v>
      </c>
    </row>
    <row r="151" spans="1:2" x14ac:dyDescent="0.3">
      <c r="A151">
        <v>20604705411</v>
      </c>
      <c r="B151" t="s">
        <v>392</v>
      </c>
    </row>
    <row r="152" spans="1:2" x14ac:dyDescent="0.3">
      <c r="A152">
        <v>20604988200</v>
      </c>
      <c r="B152" t="s">
        <v>394</v>
      </c>
    </row>
    <row r="153" spans="1:2" x14ac:dyDescent="0.3">
      <c r="A153">
        <v>20605228489</v>
      </c>
      <c r="B153" t="s">
        <v>396</v>
      </c>
    </row>
    <row r="154" spans="1:2" x14ac:dyDescent="0.3">
      <c r="A154">
        <v>20605500430</v>
      </c>
      <c r="B154" t="s">
        <v>398</v>
      </c>
    </row>
    <row r="155" spans="1:2" x14ac:dyDescent="0.3">
      <c r="A155">
        <v>20605688170</v>
      </c>
      <c r="B155" t="s">
        <v>400</v>
      </c>
    </row>
    <row r="156" spans="1:2" x14ac:dyDescent="0.3">
      <c r="A156">
        <v>20606041382</v>
      </c>
      <c r="B156" t="s">
        <v>402</v>
      </c>
    </row>
    <row r="157" spans="1:2" x14ac:dyDescent="0.3">
      <c r="A157">
        <v>20606451122</v>
      </c>
      <c r="B157" t="s">
        <v>404</v>
      </c>
    </row>
    <row r="158" spans="1:2" x14ac:dyDescent="0.3">
      <c r="A158">
        <v>20606485281</v>
      </c>
      <c r="B158" t="s">
        <v>407</v>
      </c>
    </row>
    <row r="159" spans="1:2" x14ac:dyDescent="0.3">
      <c r="A159">
        <v>20606556331</v>
      </c>
      <c r="B159" t="s">
        <v>409</v>
      </c>
    </row>
    <row r="160" spans="1:2" x14ac:dyDescent="0.3">
      <c r="A160">
        <v>20606717475</v>
      </c>
      <c r="B160" t="s">
        <v>411</v>
      </c>
    </row>
    <row r="161" spans="1:2" x14ac:dyDescent="0.3">
      <c r="A161">
        <v>20607265624</v>
      </c>
      <c r="B161" t="s">
        <v>414</v>
      </c>
    </row>
    <row r="162" spans="1:2" x14ac:dyDescent="0.3">
      <c r="A162">
        <v>20607382604</v>
      </c>
      <c r="B162" t="s">
        <v>416</v>
      </c>
    </row>
    <row r="163" spans="1:2" x14ac:dyDescent="0.3">
      <c r="A163">
        <v>20607536016</v>
      </c>
      <c r="B163" t="s">
        <v>418</v>
      </c>
    </row>
    <row r="164" spans="1:2" x14ac:dyDescent="0.3">
      <c r="A164">
        <v>20607558559</v>
      </c>
      <c r="B164" t="s">
        <v>420</v>
      </c>
    </row>
    <row r="165" spans="1:2" x14ac:dyDescent="0.3">
      <c r="A165">
        <v>20607775185</v>
      </c>
      <c r="B165" t="s">
        <v>422</v>
      </c>
    </row>
    <row r="166" spans="1:2" x14ac:dyDescent="0.3">
      <c r="A166">
        <v>20608235648</v>
      </c>
      <c r="B166" t="s">
        <v>424</v>
      </c>
    </row>
    <row r="167" spans="1:2" x14ac:dyDescent="0.3">
      <c r="A167">
        <v>20608294512</v>
      </c>
      <c r="B167" t="s">
        <v>426</v>
      </c>
    </row>
    <row r="168" spans="1:2" x14ac:dyDescent="0.3">
      <c r="A168">
        <v>20608478311</v>
      </c>
      <c r="B168" t="s">
        <v>428</v>
      </c>
    </row>
    <row r="169" spans="1:2" x14ac:dyDescent="0.3">
      <c r="A169">
        <v>20609025353</v>
      </c>
      <c r="B169" t="s">
        <v>430</v>
      </c>
    </row>
    <row r="170" spans="1:2" x14ac:dyDescent="0.3">
      <c r="A170">
        <v>20609555395</v>
      </c>
      <c r="B170" t="s">
        <v>432</v>
      </c>
    </row>
    <row r="171" spans="1:2" x14ac:dyDescent="0.3">
      <c r="A171">
        <v>20609846314</v>
      </c>
      <c r="B171" t="s">
        <v>434</v>
      </c>
    </row>
    <row r="172" spans="1:2" x14ac:dyDescent="0.3">
      <c r="A172">
        <v>20610739491</v>
      </c>
      <c r="B172" t="s">
        <v>436</v>
      </c>
    </row>
    <row r="173" spans="1:2" x14ac:dyDescent="0.3">
      <c r="A173">
        <v>20610772553</v>
      </c>
      <c r="B173" t="s">
        <v>438</v>
      </c>
    </row>
    <row r="174" spans="1:2" x14ac:dyDescent="0.3">
      <c r="A174">
        <v>20611316616</v>
      </c>
    </row>
    <row r="175" spans="1:2" x14ac:dyDescent="0.3">
      <c r="A175">
        <v>20611935243</v>
      </c>
      <c r="B175" t="s">
        <v>442</v>
      </c>
    </row>
    <row r="176" spans="1:2" x14ac:dyDescent="0.3">
      <c r="A176">
        <v>20612331821</v>
      </c>
      <c r="B176" t="s">
        <v>444</v>
      </c>
    </row>
  </sheetData>
  <mergeCells count="1">
    <mergeCell ref="A1:DQ1"/>
  </mergeCells>
  <dataValidations count="2">
    <dataValidation type="whole" allowBlank="1" showInputMessage="1" showErrorMessage="1" error="Escala 0 a 4" sqref="AQ3:AQ176 CO3:CO176 BP3:BQ176 BM3:BM176 BA3:BA176 AS3:AS176" xr:uid="{81A45A8E-E6D8-4369-884A-BA8D63488274}">
      <formula1>0</formula1>
      <formula2>4</formula2>
    </dataValidation>
    <dataValidation type="whole" allowBlank="1" showInputMessage="1" showErrorMessage="1" error="Valor 0 a 100" sqref="AR3:AR176 CP3:CP176 AY3:AY176" xr:uid="{0B4289AC-34BF-4183-B281-100248FF739E}">
      <formula1>0</formula1>
      <formula2>100</formula2>
    </dataValidation>
  </dataValidations>
  <pageMargins left="0.7" right="0.7" top="0.75" bottom="0.75" header="0.3" footer="0.3"/>
  <extLst>
    <ext xmlns:x14="http://schemas.microsoft.com/office/spreadsheetml/2009/9/main" uri="{CCE6A557-97BC-4b89-ADB6-D9C93CAAB3DF}">
      <x14:dataValidations xmlns:xm="http://schemas.microsoft.com/office/excel/2006/main" count="63">
        <x14:dataValidation type="list" allowBlank="1" showInputMessage="1" showErrorMessage="1" xr:uid="{4E76A931-C47E-4A2A-B3A1-23AC6CD51AE1}">
          <x14:formula1>
            <xm:f>CODIFICACION!$D$31:$D$33</xm:f>
          </x14:formula1>
          <xm:sqref>AE3:AE176</xm:sqref>
        </x14:dataValidation>
        <x14:dataValidation type="list" allowBlank="1" showInputMessage="1" showErrorMessage="1" xr:uid="{90A5DC6E-9DFA-498E-99C4-1A7F35E6068D}">
          <x14:formula1>
            <xm:f>CODIFICACION!$D$35:$D$37</xm:f>
          </x14:formula1>
          <xm:sqref>AG3:AG176</xm:sqref>
        </x14:dataValidation>
        <x14:dataValidation type="list" allowBlank="1" showInputMessage="1" showErrorMessage="1" xr:uid="{68BCB52B-5B6D-4C04-AF1D-1B6D227416C1}">
          <x14:formula1>
            <xm:f>CODIFICACION!$D$40:$D$43</xm:f>
          </x14:formula1>
          <xm:sqref>AJ3:AJ176</xm:sqref>
        </x14:dataValidation>
        <x14:dataValidation type="list" allowBlank="1" showInputMessage="1" showErrorMessage="1" xr:uid="{9C837C66-9DE6-4C53-AB3B-013705ACC068}">
          <x14:formula1>
            <xm:f>CODIFICACION!$D$44:$D$47</xm:f>
          </x14:formula1>
          <xm:sqref>AK3:AK176</xm:sqref>
        </x14:dataValidation>
        <x14:dataValidation type="list" allowBlank="1" showInputMessage="1" showErrorMessage="1" xr:uid="{268E72A5-916C-418E-9DF4-F84B180D761E}">
          <x14:formula1>
            <xm:f>CODIFICACION!$D$48:$D$49</xm:f>
          </x14:formula1>
          <xm:sqref>AL3:AL176</xm:sqref>
        </x14:dataValidation>
        <x14:dataValidation type="list" allowBlank="1" showInputMessage="1" showErrorMessage="1" xr:uid="{E8ACCBF5-B7D5-4F7B-8E04-44D16E297095}">
          <x14:formula1>
            <xm:f>CODIFICACION!$D$51:$D$53</xm:f>
          </x14:formula1>
          <xm:sqref>AN3:AN176</xm:sqref>
        </x14:dataValidation>
        <x14:dataValidation type="list" allowBlank="1" showInputMessage="1" showErrorMessage="1" xr:uid="{B5372DC4-0FAA-4E5E-90E8-1A4829380F24}">
          <x14:formula1>
            <xm:f>CODIFICACION!$D$54:$D$56</xm:f>
          </x14:formula1>
          <xm:sqref>AO3:AO176</xm:sqref>
        </x14:dataValidation>
        <x14:dataValidation type="list" allowBlank="1" showInputMessage="1" showErrorMessage="1" xr:uid="{863A9E6C-4B7C-4914-B58D-D334486C006C}">
          <x14:formula1>
            <xm:f>CODIFICACION!$D$57:$D$61</xm:f>
          </x14:formula1>
          <xm:sqref>AP3:AP176</xm:sqref>
        </x14:dataValidation>
        <x14:dataValidation type="list" allowBlank="1" showInputMessage="1" showErrorMessage="1" xr:uid="{AEF4485D-96B1-42C3-9C2A-E233E73A01B2}">
          <x14:formula1>
            <xm:f>CODIFICACION!$D$65:$D$69</xm:f>
          </x14:formula1>
          <xm:sqref>AT3:AT176</xm:sqref>
        </x14:dataValidation>
        <x14:dataValidation type="list" allowBlank="1" showInputMessage="1" showErrorMessage="1" xr:uid="{7DADD804-D2B1-4FC9-AE00-E8C285489B86}">
          <x14:formula1>
            <xm:f>CODIFICACION!$D$70:$D$73</xm:f>
          </x14:formula1>
          <xm:sqref>AU3:AU176</xm:sqref>
        </x14:dataValidation>
        <x14:dataValidation type="list" allowBlank="1" showInputMessage="1" showErrorMessage="1" xr:uid="{D05D07D2-7557-4529-827D-988CABF557C3}">
          <x14:formula1>
            <xm:f>CODIFICACION!$D$74:$D$76</xm:f>
          </x14:formula1>
          <xm:sqref>AV3:AV176</xm:sqref>
        </x14:dataValidation>
        <x14:dataValidation type="list" allowBlank="1" showInputMessage="1" showErrorMessage="1" xr:uid="{87E4C5F1-0C54-42C9-ACBD-430D02C21889}">
          <x14:formula1>
            <xm:f>CODIFICACION!$D$77:$D$81</xm:f>
          </x14:formula1>
          <xm:sqref>AW3:AW176</xm:sqref>
        </x14:dataValidation>
        <x14:dataValidation type="list" allowBlank="1" showInputMessage="1" showErrorMessage="1" xr:uid="{FEF44E31-1CC2-447D-A308-73431C5BD393}">
          <x14:formula1>
            <xm:f>CODIFICACION!$D$82:$D$86</xm:f>
          </x14:formula1>
          <xm:sqref>AX3:AX176</xm:sqref>
        </x14:dataValidation>
        <x14:dataValidation type="list" allowBlank="1" showInputMessage="1" showErrorMessage="1" xr:uid="{60C359E8-7B3A-4D64-8FEB-0EF40184EFD5}">
          <x14:formula1>
            <xm:f>CODIFICACION!$D$88:$D$92</xm:f>
          </x14:formula1>
          <xm:sqref>AZ3:AZ176</xm:sqref>
        </x14:dataValidation>
        <x14:dataValidation type="list" allowBlank="1" showInputMessage="1" showErrorMessage="1" xr:uid="{78D730F0-914F-4622-A5EA-EB3775EC31FB}">
          <x14:formula1>
            <xm:f>CODIFICACION!$D$94:$D$96</xm:f>
          </x14:formula1>
          <xm:sqref>BB3:BB176</xm:sqref>
        </x14:dataValidation>
        <x14:dataValidation type="list" allowBlank="1" showInputMessage="1" showErrorMessage="1" xr:uid="{8A63A5E8-4F0E-45E7-9D4F-B6000164C2B6}">
          <x14:formula1>
            <xm:f>CODIFICACION!$D$97:$D$100</xm:f>
          </x14:formula1>
          <xm:sqref>BC3:BC176</xm:sqref>
        </x14:dataValidation>
        <x14:dataValidation type="list" allowBlank="1" showInputMessage="1" showErrorMessage="1" xr:uid="{FDBD2C0A-B5C2-4FAE-98D8-D174C40B98E3}">
          <x14:formula1>
            <xm:f>CODIFICACION!$D$101:$D$104</xm:f>
          </x14:formula1>
          <xm:sqref>BD3:BD176</xm:sqref>
        </x14:dataValidation>
        <x14:dataValidation type="list" allowBlank="1" showInputMessage="1" showErrorMessage="1" xr:uid="{4F2A8D74-4C72-45A4-A9A7-94F4FC5E2880}">
          <x14:formula1>
            <xm:f>CODIFICACION!$D$105:$D$107</xm:f>
          </x14:formula1>
          <xm:sqref>BE3:BE176</xm:sqref>
        </x14:dataValidation>
        <x14:dataValidation type="list" allowBlank="1" showInputMessage="1" showErrorMessage="1" xr:uid="{59B1BCBD-3B7D-4F57-A946-23C25F178689}">
          <x14:formula1>
            <xm:f>CODIFICACION!$D$108:$D$113</xm:f>
          </x14:formula1>
          <xm:sqref>BF3:BF176</xm:sqref>
        </x14:dataValidation>
        <x14:dataValidation type="list" allowBlank="1" showInputMessage="1" showErrorMessage="1" xr:uid="{BBB3E112-6844-4040-833E-6DA2B06827E3}">
          <x14:formula1>
            <xm:f>CODIFICACION!$D$114:$D$117</xm:f>
          </x14:formula1>
          <xm:sqref>BG3:BG176</xm:sqref>
        </x14:dataValidation>
        <x14:dataValidation type="list" allowBlank="1" showInputMessage="1" showErrorMessage="1" xr:uid="{E3D457A3-8B82-41BE-B66F-625262218F28}">
          <x14:formula1>
            <xm:f>CODIFICACION!$D$118:$D$120</xm:f>
          </x14:formula1>
          <xm:sqref>BH3:BH176</xm:sqref>
        </x14:dataValidation>
        <x14:dataValidation type="list" allowBlank="1" showInputMessage="1" showErrorMessage="1" xr:uid="{4D4B6701-FD55-4EF8-AE2A-34A69CBCAE97}">
          <x14:formula1>
            <xm:f>CODIFICACION!$D$121:$D$124</xm:f>
          </x14:formula1>
          <xm:sqref>BI3:BI176</xm:sqref>
        </x14:dataValidation>
        <x14:dataValidation type="list" allowBlank="1" showInputMessage="1" showErrorMessage="1" xr:uid="{3D64096A-B070-400A-8A9B-DF6A140FF574}">
          <x14:formula1>
            <xm:f>CODIFICACION!$D$125:$D$128</xm:f>
          </x14:formula1>
          <xm:sqref>BJ3:BJ176</xm:sqref>
        </x14:dataValidation>
        <x14:dataValidation type="list" allowBlank="1" showInputMessage="1" showErrorMessage="1" xr:uid="{F47F55A5-1D9E-4329-9456-8B4AC48CC56E}">
          <x14:formula1>
            <xm:f>CODIFICACION!$D$129:$D$132</xm:f>
          </x14:formula1>
          <xm:sqref>BK3:BK176</xm:sqref>
        </x14:dataValidation>
        <x14:dataValidation type="list" allowBlank="1" showInputMessage="1" showErrorMessage="1" xr:uid="{B5CE75C0-A260-48B6-A0ED-BDC476B7683C}">
          <x14:formula1>
            <xm:f>CODIFICACION!$D$133:$D$137</xm:f>
          </x14:formula1>
          <xm:sqref>BL3:BL176</xm:sqref>
        </x14:dataValidation>
        <x14:dataValidation type="list" allowBlank="1" showInputMessage="1" showErrorMessage="1" xr:uid="{F66C6663-D254-43EF-AD52-2A3F12DDBD79}">
          <x14:formula1>
            <xm:f>CODIFICACION!$D$139:$D$141</xm:f>
          </x14:formula1>
          <xm:sqref>BN3:BN176</xm:sqref>
        </x14:dataValidation>
        <x14:dataValidation type="list" allowBlank="1" showInputMessage="1" showErrorMessage="1" xr:uid="{724AC670-D6E9-4532-A0CE-663A65C14A5C}">
          <x14:formula1>
            <xm:f>CODIFICACION!$D$142:$D$145</xm:f>
          </x14:formula1>
          <xm:sqref>BO3:BO176</xm:sqref>
        </x14:dataValidation>
        <x14:dataValidation type="list" allowBlank="1" showInputMessage="1" showErrorMessage="1" xr:uid="{C1DF1C38-01C3-444C-B6CD-DFB30EE36900}">
          <x14:formula1>
            <xm:f>CODIFICACION!$D$148:$D$150</xm:f>
          </x14:formula1>
          <xm:sqref>BR3:BR176</xm:sqref>
        </x14:dataValidation>
        <x14:dataValidation type="list" allowBlank="1" showInputMessage="1" showErrorMessage="1" xr:uid="{687662CD-D81C-49B1-A1EE-E4F0124528F9}">
          <x14:formula1>
            <xm:f>CODIFICACION!$D$151:$D$154</xm:f>
          </x14:formula1>
          <xm:sqref>BS3:BS176</xm:sqref>
        </x14:dataValidation>
        <x14:dataValidation type="list" allowBlank="1" showInputMessage="1" showErrorMessage="1" xr:uid="{364CFD37-7702-4F9D-AC0C-8E61255C250B}">
          <x14:formula1>
            <xm:f>CODIFICACION!$D$156:$D$158</xm:f>
          </x14:formula1>
          <xm:sqref>BU3:BU176</xm:sqref>
        </x14:dataValidation>
        <x14:dataValidation type="list" allowBlank="1" showInputMessage="1" showErrorMessage="1" xr:uid="{79377CC9-755B-4C18-AAAA-4BA23FD9458C}">
          <x14:formula1>
            <xm:f>CODIFICACION!$D$159:$D$161</xm:f>
          </x14:formula1>
          <xm:sqref>BV3:BV176</xm:sqref>
        </x14:dataValidation>
        <x14:dataValidation type="list" allowBlank="1" showInputMessage="1" showErrorMessage="1" xr:uid="{95D352FE-BF9B-413E-92E2-E6AC2B30EB4B}">
          <x14:formula1>
            <xm:f>CODIFICACION!$D$162:$D$164</xm:f>
          </x14:formula1>
          <xm:sqref>BW3:BW176</xm:sqref>
        </x14:dataValidation>
        <x14:dataValidation type="list" allowBlank="1" showInputMessage="1" showErrorMessage="1" xr:uid="{D6C5158E-13CC-48CF-907B-D4FD9AA1E452}">
          <x14:formula1>
            <xm:f>CODIFICACION!$D$165:$D$167</xm:f>
          </x14:formula1>
          <xm:sqref>BX3:BX176</xm:sqref>
        </x14:dataValidation>
        <x14:dataValidation type="list" allowBlank="1" showInputMessage="1" showErrorMessage="1" xr:uid="{EE3EA816-A41E-4DA3-8711-6E9DB3F5EF5C}">
          <x14:formula1>
            <xm:f>CODIFICACION!$D$168:$D$171</xm:f>
          </x14:formula1>
          <xm:sqref>BY3:BY176</xm:sqref>
        </x14:dataValidation>
        <x14:dataValidation type="list" allowBlank="1" showInputMessage="1" showErrorMessage="1" xr:uid="{6D3E769C-2A21-4580-B299-82E1B79CBF27}">
          <x14:formula1>
            <xm:f>CODIFICACION!$D$172:$D$175</xm:f>
          </x14:formula1>
          <xm:sqref>BZ3:BZ176</xm:sqref>
        </x14:dataValidation>
        <x14:dataValidation type="list" allowBlank="1" showInputMessage="1" showErrorMessage="1" xr:uid="{80302515-27CA-44D9-BDB3-4696A6C3B520}">
          <x14:formula1>
            <xm:f>CODIFICACION!$D$176:$D$179</xm:f>
          </x14:formula1>
          <xm:sqref>CA3:CA176</xm:sqref>
        </x14:dataValidation>
        <x14:dataValidation type="list" allowBlank="1" showInputMessage="1" showErrorMessage="1" xr:uid="{46448B06-C92F-477D-A16C-7A8D542980D5}">
          <x14:formula1>
            <xm:f>CODIFICACION!$D$180:$D$182</xm:f>
          </x14:formula1>
          <xm:sqref>CB3:CB176</xm:sqref>
        </x14:dataValidation>
        <x14:dataValidation type="list" allowBlank="1" showInputMessage="1" showErrorMessage="1" xr:uid="{08D65E14-0695-4EB6-ABA1-6EB7A46D6F8D}">
          <x14:formula1>
            <xm:f>CODIFICACION!$D$183:$D$185</xm:f>
          </x14:formula1>
          <xm:sqref>CC3:CC176</xm:sqref>
        </x14:dataValidation>
        <x14:dataValidation type="list" allowBlank="1" showInputMessage="1" showErrorMessage="1" xr:uid="{E6950F2B-089D-4874-8299-4EC848D7E05B}">
          <x14:formula1>
            <xm:f>CODIFICACION!$D$186:$D$189</xm:f>
          </x14:formula1>
          <xm:sqref>CD3:CD176</xm:sqref>
        </x14:dataValidation>
        <x14:dataValidation type="list" allowBlank="1" showInputMessage="1" showErrorMessage="1" xr:uid="{A10F6C92-1DFA-4F16-A0B1-0C13551AC68D}">
          <x14:formula1>
            <xm:f>CODIFICACION!$D$190:$D$193</xm:f>
          </x14:formula1>
          <xm:sqref>CE3:CE176</xm:sqref>
        </x14:dataValidation>
        <x14:dataValidation type="list" allowBlank="1" showInputMessage="1" showErrorMessage="1" xr:uid="{393AD59A-639A-41DD-B78A-00C922C77CF5}">
          <x14:formula1>
            <xm:f>CODIFICACION!$D$194:$D$199</xm:f>
          </x14:formula1>
          <xm:sqref>CF3:CF176</xm:sqref>
        </x14:dataValidation>
        <x14:dataValidation type="list" allowBlank="1" showInputMessage="1" showErrorMessage="1" xr:uid="{B86570F4-B681-4C9A-8360-2B3777C58F12}">
          <x14:formula1>
            <xm:f>CODIFICACION!$D$200:$D$203</xm:f>
          </x14:formula1>
          <xm:sqref>CG3:CG176</xm:sqref>
        </x14:dataValidation>
        <x14:dataValidation type="list" allowBlank="1" showInputMessage="1" showErrorMessage="1" xr:uid="{62860F55-1C32-4780-8441-5B6C578256AC}">
          <x14:formula1>
            <xm:f>CODIFICACION!$D$204:$D$206</xm:f>
          </x14:formula1>
          <xm:sqref>CH3:CH176</xm:sqref>
        </x14:dataValidation>
        <x14:dataValidation type="list" allowBlank="1" showInputMessage="1" showErrorMessage="1" xr:uid="{A17D02FC-F9E2-4B6B-97B9-84B98C64D8E5}">
          <x14:formula1>
            <xm:f>CODIFICACION!$D$207:$D$208</xm:f>
          </x14:formula1>
          <xm:sqref>CI3:CI176</xm:sqref>
        </x14:dataValidation>
        <x14:dataValidation type="list" allowBlank="1" showInputMessage="1" showErrorMessage="1" xr:uid="{01329AD8-4E85-47AA-8DB4-F2A312818BF9}">
          <x14:formula1>
            <xm:f>CODIFICACION!$D$209:$D$212</xm:f>
          </x14:formula1>
          <xm:sqref>CJ3:CJ176</xm:sqref>
        </x14:dataValidation>
        <x14:dataValidation type="list" allowBlank="1" showInputMessage="1" showErrorMessage="1" xr:uid="{2BF64AC1-6AE1-4E33-8FC2-90776F2520EF}">
          <x14:formula1>
            <xm:f>CODIFICACION!$D$213:$D$216</xm:f>
          </x14:formula1>
          <xm:sqref>CK3:CK176</xm:sqref>
        </x14:dataValidation>
        <x14:dataValidation type="list" allowBlank="1" showInputMessage="1" showErrorMessage="1" xr:uid="{19298F83-8DC0-47E1-B087-7DADEC71CCEC}">
          <x14:formula1>
            <xm:f>CODIFICACION!$D$218:$D$221</xm:f>
          </x14:formula1>
          <xm:sqref>CM3:CM176</xm:sqref>
        </x14:dataValidation>
        <x14:dataValidation type="list" allowBlank="1" showInputMessage="1" showErrorMessage="1" xr:uid="{23577122-29DE-42C9-A172-C68AA03CA335}">
          <x14:formula1>
            <xm:f>CODIFICACION!$D$222:$D$225</xm:f>
          </x14:formula1>
          <xm:sqref>CN3:CN176</xm:sqref>
        </x14:dataValidation>
        <x14:dataValidation type="list" allowBlank="1" showInputMessage="1" showErrorMessage="1" xr:uid="{C6D4C37E-A0EC-413E-B197-7B65297806E2}">
          <x14:formula1>
            <xm:f>CODIFICACION!$D$228:$D$230</xm:f>
          </x14:formula1>
          <xm:sqref>CQ3:CQ176</xm:sqref>
        </x14:dataValidation>
        <x14:dataValidation type="list" allowBlank="1" showInputMessage="1" showErrorMessage="1" xr:uid="{F19BB239-DC86-4412-A634-AD328FEBA70C}">
          <x14:formula1>
            <xm:f>CODIFICACION!$D$231:$D$233</xm:f>
          </x14:formula1>
          <xm:sqref>CR3:CR176</xm:sqref>
        </x14:dataValidation>
        <x14:dataValidation type="list" allowBlank="1" showInputMessage="1" showErrorMessage="1" xr:uid="{99FD12BD-FBF8-4DCA-87E8-54A1993E26D6}">
          <x14:formula1>
            <xm:f>CODIFICACION!$D$234:$D$237</xm:f>
          </x14:formula1>
          <xm:sqref>CS3:CS176</xm:sqref>
        </x14:dataValidation>
        <x14:dataValidation type="list" allowBlank="1" showInputMessage="1" showErrorMessage="1" xr:uid="{9864E759-701C-4EF8-95BE-6A31DE54B272}">
          <x14:formula1>
            <xm:f>CODIFICACION!$D$238:$D$242</xm:f>
          </x14:formula1>
          <xm:sqref>CT3:CT176</xm:sqref>
        </x14:dataValidation>
        <x14:dataValidation type="list" allowBlank="1" showInputMessage="1" showErrorMessage="1" xr:uid="{A899EB08-44B0-4EC9-A027-A5077AE49A49}">
          <x14:formula1>
            <xm:f>CODIFICACION!$D$243:$D$246</xm:f>
          </x14:formula1>
          <xm:sqref>CU3:CU176</xm:sqref>
        </x14:dataValidation>
        <x14:dataValidation type="list" allowBlank="1" showInputMessage="1" showErrorMessage="1" xr:uid="{D21B2FFE-F039-4612-BAB6-7717A2EB69C7}">
          <x14:formula1>
            <xm:f>CODIFICACION!$D$247:$D$250</xm:f>
          </x14:formula1>
          <xm:sqref>CV3:CV176</xm:sqref>
        </x14:dataValidation>
        <x14:dataValidation type="list" allowBlank="1" showInputMessage="1" showErrorMessage="1" xr:uid="{D3BF307B-F195-4361-B554-E5E1EA993948}">
          <x14:formula1>
            <xm:f>CODIFICACION!$D$251:$D$252</xm:f>
          </x14:formula1>
          <xm:sqref>CW3:CW176</xm:sqref>
        </x14:dataValidation>
        <x14:dataValidation type="list" allowBlank="1" showInputMessage="1" showErrorMessage="1" xr:uid="{B198DC69-B790-4AE4-BBF4-707A9E6DE493}">
          <x14:formula1>
            <xm:f>CODIFICACION!$D$253:$D$256</xm:f>
          </x14:formula1>
          <xm:sqref>CX3:CX176</xm:sqref>
        </x14:dataValidation>
        <x14:dataValidation type="list" allowBlank="1" showInputMessage="1" showErrorMessage="1" xr:uid="{138C895D-E125-4C16-8B2E-CDB836E8A66A}">
          <x14:formula1>
            <xm:f>CODIFICACION!$D$259:$D$262</xm:f>
          </x14:formula1>
          <xm:sqref>DA3:DA176</xm:sqref>
        </x14:dataValidation>
        <x14:dataValidation type="list" allowBlank="1" showInputMessage="1" showErrorMessage="1" xr:uid="{0170B383-78C0-4883-B64D-26EE7A069864}">
          <x14:formula1>
            <xm:f>CODIFICACION!$D$263:$D$265</xm:f>
          </x14:formula1>
          <xm:sqref>DB3:DB176</xm:sqref>
        </x14:dataValidation>
        <x14:dataValidation type="list" allowBlank="1" showInputMessage="1" showErrorMessage="1" xr:uid="{567EFCE5-3CD4-48BF-B88B-791039503054}">
          <x14:formula1>
            <xm:f>CODIFICACION!$D$266:$D$268</xm:f>
          </x14:formula1>
          <xm:sqref>DC3:DC176</xm:sqref>
        </x14:dataValidation>
        <x14:dataValidation type="list" allowBlank="1" showInputMessage="1" showErrorMessage="1" xr:uid="{E9F7CA4F-9C4E-4C5A-B896-D9077678089F}">
          <x14:formula1>
            <xm:f>CODIFICACION!$D$269:$D$271</xm:f>
          </x14:formula1>
          <xm:sqref>DD3:DD176</xm:sqref>
        </x14:dataValidation>
        <x14:dataValidation type="list" allowBlank="1" showInputMessage="1" showErrorMessage="1" xr:uid="{7D8E4213-00AC-4869-838D-298214D73841}">
          <x14:formula1>
            <xm:f>CODIFICACION!$D$272:$D$274</xm:f>
          </x14:formula1>
          <xm:sqref>DE3:DE176</xm:sqref>
        </x14:dataValidation>
        <x14:dataValidation type="list" allowBlank="1" showInputMessage="1" showErrorMessage="1" xr:uid="{9E5219ED-094F-4E9F-A6DD-1F71B29FD0F2}">
          <x14:formula1>
            <xm:f>CODIFICACION!$D$275:$D$279</xm:f>
          </x14:formula1>
          <xm:sqref>DF3:DF176</xm:sqref>
        </x14:dataValidation>
        <x14:dataValidation type="list" allowBlank="1" showInputMessage="1" showErrorMessage="1" xr:uid="{8D4FCA06-0729-4529-B227-B07BF85C76F4}">
          <x14:formula1>
            <xm:f>CODIFICACION!$D$280:$D$282</xm:f>
          </x14:formula1>
          <xm:sqref>DG3:DG176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ACBCF-D548-4442-B252-A2B6F351707E}">
  <dimension ref="A1:CL176"/>
  <sheetViews>
    <sheetView tabSelected="1" workbookViewId="0">
      <selection sqref="A1:CL1"/>
    </sheetView>
  </sheetViews>
  <sheetFormatPr baseColWidth="10" defaultRowHeight="14.4" x14ac:dyDescent="0.3"/>
  <cols>
    <col min="1" max="1" width="15.77734375" customWidth="1"/>
    <col min="2" max="2" width="30.77734375" customWidth="1"/>
    <col min="3" max="90" width="9.33203125" customWidth="1"/>
  </cols>
  <sheetData>
    <row r="1" spans="1:90" x14ac:dyDescent="0.3">
      <c r="A1" s="64" t="s">
        <v>1528</v>
      </c>
      <c r="B1" s="65"/>
      <c r="C1" s="65"/>
      <c r="D1" s="65"/>
      <c r="E1" s="65"/>
      <c r="F1" s="65"/>
      <c r="G1" s="65"/>
      <c r="H1" s="65"/>
      <c r="I1" s="65"/>
      <c r="J1" s="65"/>
      <c r="K1" s="65"/>
      <c r="L1" s="65"/>
      <c r="M1" s="65"/>
      <c r="N1" s="65"/>
      <c r="O1" s="65"/>
      <c r="P1" s="65"/>
      <c r="Q1" s="65"/>
      <c r="R1" s="65"/>
      <c r="S1" s="65"/>
      <c r="T1" s="65"/>
      <c r="U1" s="65"/>
      <c r="V1" s="65"/>
      <c r="W1" s="65"/>
      <c r="X1" s="65"/>
      <c r="Y1" s="65"/>
      <c r="Z1" s="65"/>
      <c r="AA1" s="65"/>
      <c r="AB1" s="65"/>
      <c r="AC1" s="65"/>
      <c r="AD1" s="65"/>
      <c r="AE1" s="65"/>
      <c r="AF1" s="65"/>
      <c r="AG1" s="65"/>
      <c r="AH1" s="65"/>
      <c r="AI1" s="65"/>
      <c r="AJ1" s="65"/>
      <c r="AK1" s="65"/>
      <c r="AL1" s="65"/>
      <c r="AM1" s="65"/>
      <c r="AN1" s="65"/>
      <c r="AO1" s="65"/>
      <c r="AP1" s="65"/>
      <c r="AQ1" s="65"/>
      <c r="AR1" s="65"/>
      <c r="AS1" s="65"/>
      <c r="AT1" s="65"/>
      <c r="AU1" s="65"/>
      <c r="AV1" s="65"/>
      <c r="AW1" s="65"/>
      <c r="AX1" s="65"/>
      <c r="AY1" s="65"/>
      <c r="AZ1" s="65"/>
      <c r="BA1" s="65"/>
      <c r="BB1" s="65"/>
      <c r="BC1" s="65"/>
      <c r="BD1" s="65"/>
      <c r="BE1" s="65"/>
      <c r="BF1" s="65"/>
      <c r="BG1" s="65"/>
      <c r="BH1" s="65"/>
      <c r="BI1" s="65"/>
      <c r="BJ1" s="65"/>
      <c r="BK1" s="65"/>
      <c r="BL1" s="65"/>
      <c r="BM1" s="65"/>
      <c r="BN1" s="65"/>
      <c r="BO1" s="65"/>
      <c r="BP1" s="65"/>
      <c r="BQ1" s="65"/>
      <c r="BR1" s="65"/>
      <c r="BS1" s="65"/>
      <c r="BT1" s="65"/>
      <c r="BU1" s="65"/>
      <c r="BV1" s="65"/>
      <c r="BW1" s="65"/>
      <c r="BX1" s="65"/>
      <c r="BY1" s="65"/>
      <c r="BZ1" s="65"/>
      <c r="CA1" s="65"/>
      <c r="CB1" s="65"/>
      <c r="CC1" s="65"/>
      <c r="CD1" s="65"/>
      <c r="CE1" s="65"/>
      <c r="CF1" s="65"/>
      <c r="CG1" s="65"/>
      <c r="CH1" s="65"/>
      <c r="CI1" s="65"/>
      <c r="CJ1" s="65"/>
      <c r="CK1" s="65"/>
      <c r="CL1" s="65"/>
    </row>
    <row r="2" spans="1:90" ht="60" customHeight="1" x14ac:dyDescent="0.3">
      <c r="A2" s="62" t="s">
        <v>21</v>
      </c>
      <c r="B2" s="62" t="s">
        <v>901</v>
      </c>
      <c r="C2" s="63" t="s">
        <v>536</v>
      </c>
      <c r="D2" s="63" t="s">
        <v>12</v>
      </c>
      <c r="E2" s="63" t="s">
        <v>14</v>
      </c>
      <c r="F2" s="63" t="s">
        <v>17</v>
      </c>
      <c r="G2" s="63" t="s">
        <v>18</v>
      </c>
      <c r="H2" s="63" t="s">
        <v>606</v>
      </c>
      <c r="I2" s="63" t="s">
        <v>615</v>
      </c>
      <c r="J2" s="63" t="s">
        <v>619</v>
      </c>
      <c r="K2" s="63" t="s">
        <v>621</v>
      </c>
      <c r="L2" s="63" t="s">
        <v>625</v>
      </c>
      <c r="M2" s="63" t="s">
        <v>631</v>
      </c>
      <c r="N2" s="63" t="s">
        <v>633</v>
      </c>
      <c r="O2" s="63" t="s">
        <v>636</v>
      </c>
      <c r="P2" s="63" t="s">
        <v>639</v>
      </c>
      <c r="Q2" s="63" t="s">
        <v>642</v>
      </c>
      <c r="R2" s="63" t="s">
        <v>646</v>
      </c>
      <c r="S2" s="63" t="s">
        <v>649</v>
      </c>
      <c r="T2" s="63" t="s">
        <v>654</v>
      </c>
      <c r="U2" s="63" t="s">
        <v>658</v>
      </c>
      <c r="V2" s="63" t="s">
        <v>661</v>
      </c>
      <c r="W2" s="63" t="s">
        <v>663</v>
      </c>
      <c r="X2" s="63" t="s">
        <v>666</v>
      </c>
      <c r="Y2" s="63" t="s">
        <v>669</v>
      </c>
      <c r="Z2" s="63" t="s">
        <v>672</v>
      </c>
      <c r="AA2" s="63" t="s">
        <v>674</v>
      </c>
      <c r="AB2" s="63" t="s">
        <v>677</v>
      </c>
      <c r="AC2" s="63" t="s">
        <v>680</v>
      </c>
      <c r="AD2" s="63" t="s">
        <v>683</v>
      </c>
      <c r="AE2" s="63" t="s">
        <v>686</v>
      </c>
      <c r="AF2" s="63" t="s">
        <v>689</v>
      </c>
      <c r="AG2" s="63" t="s">
        <v>694</v>
      </c>
      <c r="AH2" s="63" t="s">
        <v>699</v>
      </c>
      <c r="AI2" s="63" t="s">
        <v>701</v>
      </c>
      <c r="AJ2" s="63" t="s">
        <v>704</v>
      </c>
      <c r="AK2" s="63" t="s">
        <v>709</v>
      </c>
      <c r="AL2" s="63" t="s">
        <v>713</v>
      </c>
      <c r="AM2" s="63" t="s">
        <v>715</v>
      </c>
      <c r="AN2" s="63" t="s">
        <v>718</v>
      </c>
      <c r="AO2" s="63" t="s">
        <v>721</v>
      </c>
      <c r="AP2" s="63" t="s">
        <v>724</v>
      </c>
      <c r="AQ2" s="63" t="s">
        <v>727</v>
      </c>
      <c r="AR2" s="63" t="s">
        <v>730</v>
      </c>
      <c r="AS2" s="63" t="s">
        <v>733</v>
      </c>
      <c r="AT2" s="63" t="s">
        <v>737</v>
      </c>
      <c r="AU2" s="63" t="s">
        <v>742</v>
      </c>
      <c r="AV2" s="63" t="s">
        <v>745</v>
      </c>
      <c r="AW2" s="63" t="s">
        <v>748</v>
      </c>
      <c r="AX2" s="63" t="s">
        <v>751</v>
      </c>
      <c r="AY2" s="63" t="s">
        <v>754</v>
      </c>
      <c r="AZ2" s="63" t="s">
        <v>757</v>
      </c>
      <c r="BA2" s="63" t="s">
        <v>760</v>
      </c>
      <c r="BB2" s="63" t="s">
        <v>763</v>
      </c>
      <c r="BC2" s="63" t="s">
        <v>767</v>
      </c>
      <c r="BD2" s="63" t="s">
        <v>772</v>
      </c>
      <c r="BE2" s="63" t="s">
        <v>774</v>
      </c>
      <c r="BF2" s="63" t="s">
        <v>777</v>
      </c>
      <c r="BG2" s="63" t="s">
        <v>780</v>
      </c>
      <c r="BH2" s="63" t="s">
        <v>783</v>
      </c>
      <c r="BI2" s="63" t="s">
        <v>787</v>
      </c>
      <c r="BJ2" s="63" t="s">
        <v>792</v>
      </c>
      <c r="BK2" s="63" t="s">
        <v>796</v>
      </c>
      <c r="BL2" s="63" t="s">
        <v>798</v>
      </c>
      <c r="BM2" s="63" t="s">
        <v>801</v>
      </c>
      <c r="BN2" s="63" t="s">
        <v>805</v>
      </c>
      <c r="BO2" s="63" t="s">
        <v>810</v>
      </c>
      <c r="BP2" s="63" t="s">
        <v>813</v>
      </c>
      <c r="BQ2" s="63" t="s">
        <v>817</v>
      </c>
      <c r="BR2" s="63" t="s">
        <v>822</v>
      </c>
      <c r="BS2" s="63" t="s">
        <v>824</v>
      </c>
      <c r="BT2" s="63" t="s">
        <v>828</v>
      </c>
      <c r="BU2" s="63" t="s">
        <v>835</v>
      </c>
      <c r="BV2" s="63" t="s">
        <v>839</v>
      </c>
      <c r="BW2" s="63" t="s">
        <v>844</v>
      </c>
      <c r="BX2" s="63" t="s">
        <v>849</v>
      </c>
      <c r="BY2" s="63" t="s">
        <v>854</v>
      </c>
      <c r="BZ2" s="63" t="s">
        <v>860</v>
      </c>
      <c r="CA2" s="63" t="s">
        <v>865</v>
      </c>
      <c r="CB2" s="63" t="s">
        <v>1046</v>
      </c>
      <c r="CC2" s="63" t="s">
        <v>1047</v>
      </c>
      <c r="CD2" s="63" t="s">
        <v>1048</v>
      </c>
      <c r="CE2" s="63" t="s">
        <v>1049</v>
      </c>
      <c r="CF2" s="63" t="s">
        <v>1050</v>
      </c>
      <c r="CG2" s="63" t="s">
        <v>1051</v>
      </c>
      <c r="CH2" s="63" t="s">
        <v>1052</v>
      </c>
      <c r="CI2" s="63" t="s">
        <v>1053</v>
      </c>
      <c r="CJ2" s="63" t="s">
        <v>1054</v>
      </c>
      <c r="CK2" s="63" t="s">
        <v>1055</v>
      </c>
      <c r="CL2" s="63" t="s">
        <v>1056</v>
      </c>
    </row>
    <row r="3" spans="1:90" x14ac:dyDescent="0.3">
      <c r="A3">
        <f>CAPTURA!A3</f>
        <v>20118578415</v>
      </c>
      <c r="B3">
        <f>CAPTURA!C3</f>
        <v>0</v>
      </c>
      <c r="C3" t="str">
        <f>IF(CAPTURA!M3="","",ROUND((ISNUMBER(SEARCH("Alemania",CAPTURA!M3))+ISNUMBER(SEARCH("Bélgica",CAPTURA!M3))+ISNUMBER(SEARCH("Países Bajos",CAPTURA!M3))+ISNUMBER(SEARCH("Francia",CAPTURA!M3))+ISNUMBER(SEARCH("Italia",CAPTURA!M3))+ISNUMBER(SEARCH("España",CAPTURA!M3))+ISNUMBER(SEARCH("Suecia",CAPTURA!M3))+ISNUMBER(SEARCH("Dinamarca",CAPTURA!M3)))/((LEN(CAPTURA!M3)-LEN(SUBSTITUTE(CAPTURA!M3,";","")))+1)*100,1))</f>
        <v/>
      </c>
      <c r="D3" t="str">
        <f>IF(CAPTURA!AE3="","",IFERROR(IF(INDEX(CODIFICACION!$E$2:$E$500,MATCH("P8|"&amp;CAPTURA!AE3,CODIFICACION!$F$2:$F$500,0))="sin dato","",INDEX(CODIFICACION!$E$2:$E$500,MATCH("P8|"&amp;CAPTURA!AE3,CODIFICACION!$F$2:$F$500,0))),"⚠"))</f>
        <v/>
      </c>
      <c r="E3" t="str">
        <f>IF(CAPTURA!AG3="","",IFERROR(IF(INDEX(CODIFICACION!$E$2:$E$500,MATCH("P10|"&amp;CAPTURA!AG3,CODIFICACION!$F$2:$F$500,0))="sin dato","",INDEX(CODIFICACION!$E$2:$E$500,MATCH("P10|"&amp;CAPTURA!AG3,CODIFICACION!$F$2:$F$500,0))),"⚠"))</f>
        <v/>
      </c>
      <c r="F3" t="str">
        <f>IF(CAPTURA!AJ3="","",IFERROR(IF(INDEX(CODIFICACION!$E$2:$E$500,MATCH("P13|"&amp;CAPTURA!AJ3,CODIFICACION!$F$2:$F$500,0))="sin dato","",INDEX(CODIFICACION!$E$2:$E$500,MATCH("P13|"&amp;CAPTURA!AJ3,CODIFICACION!$F$2:$F$500,0))),"⚠"))</f>
        <v/>
      </c>
      <c r="G3" t="str">
        <f>IF(CAPTURA!AK3="","",IFERROR(IF(INDEX(CODIFICACION!$E$2:$E$500,MATCH("P14|"&amp;CAPTURA!AK3,CODIFICACION!$F$2:$F$500,0))="sin dato","",INDEX(CODIFICACION!$E$2:$E$500,MATCH("P14|"&amp;CAPTURA!AK3,CODIFICACION!$F$2:$F$500,0))),"⚠"))</f>
        <v/>
      </c>
      <c r="H3" t="str">
        <f>IF(CAPTURA!AL3="","",IFERROR(IF(INDEX(CODIFICACION!$E$2:$E$500,MATCH("D1.1|"&amp;CAPTURA!AL3,CODIFICACION!$F$2:$F$500,0))="sin dato","",INDEX(CODIFICACION!$E$2:$E$500,MATCH("D1.1|"&amp;CAPTURA!AL3,CODIFICACION!$F$2:$F$500,0))),"⚠"))</f>
        <v/>
      </c>
      <c r="I3" t="str">
        <f>IF(CAPTURA!AN3="","",IFERROR(IF(INDEX(CODIFICACION!$E$2:$E$500,MATCH("D1.3|"&amp;CAPTURA!AN3,CODIFICACION!$F$2:$F$500,0))="sin dato","",INDEX(CODIFICACION!$E$2:$E$500,MATCH("D1.3|"&amp;CAPTURA!AN3,CODIFICACION!$F$2:$F$500,0))),"⚠"))</f>
        <v/>
      </c>
      <c r="J3" t="str">
        <f>IF(CAPTURA!AO3="","",IFERROR(IF(INDEX(CODIFICACION!$E$2:$E$500,MATCH("D1.4|"&amp;CAPTURA!AO3,CODIFICACION!$F$2:$F$500,0))="sin dato","",INDEX(CODIFICACION!$E$2:$E$500,MATCH("D1.4|"&amp;CAPTURA!AO3,CODIFICACION!$F$2:$F$500,0))),"⚠"))</f>
        <v/>
      </c>
      <c r="K3" t="str">
        <f>IF(CAPTURA!AP3="","",IFERROR(IF(INDEX(CODIFICACION!$E$2:$E$500,MATCH("D1.3a|"&amp;CAPTURA!AP3,CODIFICACION!$F$2:$F$500,0))="sin dato","",INDEX(CODIFICACION!$E$2:$E$500,MATCH("D1.3a|"&amp;CAPTURA!AP3,CODIFICACION!$F$2:$F$500,0))),"⚠"))</f>
        <v/>
      </c>
      <c r="L3" t="str">
        <f>IF(CAPTURA!AQ3="","",IF(AND(ISNUMBER(CAPTURA!AQ3),CAPTURA!AQ3&gt;=0,CAPTURA!AQ3&lt;=4),CAPTURA!AQ3*25,"⚠"))</f>
        <v/>
      </c>
      <c r="M3" t="str">
        <f>IF(CAPTURA!AR3="","",IF(ISNUMBER(CAPTURA!AR3),MAX(0,MIN(100,CAPTURA!AR3)),"⚠"))</f>
        <v/>
      </c>
      <c r="N3" t="str">
        <f>IF(CAPTURA!AS3="","",IF(AND(ISNUMBER(CAPTURA!AS3),CAPTURA!AS3&gt;=0,CAPTURA!AS3&lt;=4),CAPTURA!AS3*25,"⚠"))</f>
        <v/>
      </c>
      <c r="O3" t="str">
        <f>IF(CAPTURA!AT3="","",IFERROR(IF(INDEX(CODIFICACION!$E$2:$E$500,MATCH("D2.8|"&amp;CAPTURA!AT3,CODIFICACION!$F$2:$F$500,0))="sin dato","",INDEX(CODIFICACION!$E$2:$E$500,MATCH("D2.8|"&amp;CAPTURA!AT3,CODIFICACION!$F$2:$F$500,0))),"⚠"))</f>
        <v/>
      </c>
      <c r="P3" t="str">
        <f>IF(CAPTURA!AU3="","",IFERROR(IF(INDEX(CODIFICACION!$E$2:$E$500,MATCH("D2.9|"&amp;CAPTURA!AU3,CODIFICACION!$F$2:$F$500,0))="sin dato","",INDEX(CODIFICACION!$E$2:$E$500,MATCH("D2.9|"&amp;CAPTURA!AU3,CODIFICACION!$F$2:$F$500,0))),"⚠"))</f>
        <v/>
      </c>
      <c r="Q3" t="str">
        <f>IF(CAPTURA!AV3="","",IFERROR(IF(INDEX(CODIFICACION!$E$2:$E$500,MATCH("D2.10|"&amp;CAPTURA!AV3,CODIFICACION!$F$2:$F$500,0))="sin dato","",INDEX(CODIFICACION!$E$2:$E$500,MATCH("D2.10|"&amp;CAPTURA!AV3,CODIFICACION!$F$2:$F$500,0))),"⚠"))</f>
        <v/>
      </c>
      <c r="R3" t="str">
        <f>IF(CAPTURA!AW3="","",IFERROR(IF(INDEX(CODIFICACION!$E$2:$E$500,MATCH("D2.5a|"&amp;CAPTURA!AW3,CODIFICACION!$F$2:$F$500,0))="sin dato","",INDEX(CODIFICACION!$E$2:$E$500,MATCH("D2.5a|"&amp;CAPTURA!AW3,CODIFICACION!$F$2:$F$500,0))),"⚠"))</f>
        <v/>
      </c>
      <c r="S3" t="str">
        <f>IF(CAPTURA!AX3="","",IFERROR(IF(INDEX(CODIFICACION!$E$2:$E$500,MATCH("D2.5b|"&amp;CAPTURA!AX3,CODIFICACION!$F$2:$F$500,0))="sin dato","",INDEX(CODIFICACION!$E$2:$E$500,MATCH("D2.5b|"&amp;CAPTURA!AX3,CODIFICACION!$F$2:$F$500,0))),"⚠"))</f>
        <v/>
      </c>
      <c r="T3" t="str">
        <f>IF(CAPTURA!AY3="","",IF(ISNUMBER(CAPTURA!AY3),MAX(0,MIN(100,CAPTURA!AY3)),"⚠"))</f>
        <v/>
      </c>
      <c r="U3" t="str">
        <f>IF(CAPTURA!AZ3="","",IFERROR(IF(INDEX(CODIFICACION!$E$2:$E$500,MATCH("D3.12|"&amp;CAPTURA!AZ3,CODIFICACION!$F$2:$F$500,0))="sin dato","",INDEX(CODIFICACION!$E$2:$E$500,MATCH("D3.12|"&amp;CAPTURA!AZ3,CODIFICACION!$F$2:$F$500,0))),"⚠"))</f>
        <v/>
      </c>
      <c r="V3" t="str">
        <f>IF(CAPTURA!BA3="","",IF(AND(ISNUMBER(CAPTURA!BA3),CAPTURA!BA3&gt;=0,CAPTURA!BA3&lt;=4),CAPTURA!BA3*25,"⚠"))</f>
        <v/>
      </c>
      <c r="W3" t="str">
        <f>IF(CAPTURA!BB3="","",IFERROR(IF(INDEX(CODIFICACION!$E$2:$E$500,MATCH("D3.14|"&amp;CAPTURA!BB3,CODIFICACION!$F$2:$F$500,0))="sin dato","",INDEX(CODIFICACION!$E$2:$E$500,MATCH("D3.14|"&amp;CAPTURA!BB3,CODIFICACION!$F$2:$F$500,0))),"⚠"))</f>
        <v/>
      </c>
      <c r="X3" t="str">
        <f>IF(CAPTURA!BC3="","",IFERROR(IF(INDEX(CODIFICACION!$E$2:$E$500,MATCH("D3.14a|"&amp;CAPTURA!BC3,CODIFICACION!$F$2:$F$500,0))="sin dato","",INDEX(CODIFICACION!$E$2:$E$500,MATCH("D3.14a|"&amp;CAPTURA!BC3,CODIFICACION!$F$2:$F$500,0))),"⚠"))</f>
        <v/>
      </c>
      <c r="Y3" t="str">
        <f>IF(CAPTURA!BD3="","",IFERROR(IF(INDEX(CODIFICACION!$E$2:$E$500,MATCH("D3.14b|"&amp;CAPTURA!BD3,CODIFICACION!$F$2:$F$500,0))="sin dato","",INDEX(CODIFICACION!$E$2:$E$500,MATCH("D3.14b|"&amp;CAPTURA!BD3,CODIFICACION!$F$2:$F$500,0))),"⚠"))</f>
        <v/>
      </c>
      <c r="Z3" t="str">
        <f>IF(CAPTURA!BE3="","",IFERROR(IF(INDEX(CODIFICACION!$E$2:$E$500,MATCH("D3.14c|"&amp;CAPTURA!BE3,CODIFICACION!$F$2:$F$500,0))="sin dato","",INDEX(CODIFICACION!$E$2:$E$500,MATCH("D3.14c|"&amp;CAPTURA!BE3,CODIFICACION!$F$2:$F$500,0))),"⚠"))</f>
        <v/>
      </c>
      <c r="AA3" t="str">
        <f>IF(CAPTURA!BF3="","",IFERROR(IF(INDEX(CODIFICACION!$E$2:$E$500,MATCH("D3.14d|"&amp;CAPTURA!BF3,CODIFICACION!$F$2:$F$500,0))="sin dato","",INDEX(CODIFICACION!$E$2:$E$500,MATCH("D3.14d|"&amp;CAPTURA!BF3,CODIFICACION!$F$2:$F$500,0))),"⚠"))</f>
        <v/>
      </c>
      <c r="AB3" t="str">
        <f>IF(CAPTURA!BG3="","",IFERROR(IF(INDEX(CODIFICACION!$E$2:$E$500,MATCH("D3.14e|"&amp;CAPTURA!BG3,CODIFICACION!$F$2:$F$500,0))="sin dato","",INDEX(CODIFICACION!$E$2:$E$500,MATCH("D3.14e|"&amp;CAPTURA!BG3,CODIFICACION!$F$2:$F$500,0))),"⚠"))</f>
        <v/>
      </c>
      <c r="AC3" t="str">
        <f>IF(CAPTURA!BH3="","",IFERROR(IF(INDEX(CODIFICACION!$E$2:$E$500,MATCH("D3.14f|"&amp;CAPTURA!BH3,CODIFICACION!$F$2:$F$500,0))="sin dato","",INDEX(CODIFICACION!$E$2:$E$500,MATCH("D3.14f|"&amp;CAPTURA!BH3,CODIFICACION!$F$2:$F$500,0))),"⚠"))</f>
        <v/>
      </c>
      <c r="AD3" t="str">
        <f>IF(CAPTURA!BI3="","",IFERROR(IF(INDEX(CODIFICACION!$E$2:$E$500,MATCH("D3.14g|"&amp;CAPTURA!BI3,CODIFICACION!$F$2:$F$500,0))="sin dato","",INDEX(CODIFICACION!$E$2:$E$500,MATCH("D3.14g|"&amp;CAPTURA!BI3,CODIFICACION!$F$2:$F$500,0))),"⚠"))</f>
        <v/>
      </c>
      <c r="AE3" t="str">
        <f>IF(CAPTURA!BJ3="","",IFERROR(IF(INDEX(CODIFICACION!$E$2:$E$500,MATCH("D3.14h|"&amp;CAPTURA!BJ3,CODIFICACION!$F$2:$F$500,0))="sin dato","",INDEX(CODIFICACION!$E$2:$E$500,MATCH("D3.14h|"&amp;CAPTURA!BJ3,CODIFICACION!$F$2:$F$500,0))),"⚠"))</f>
        <v/>
      </c>
      <c r="AF3" t="str">
        <f>IF(CAPTURA!BK3="","",IFERROR(IF(INDEX(CODIFICACION!$E$2:$E$500,MATCH("D3.14i|"&amp;CAPTURA!BK3,CODIFICACION!$F$2:$F$500,0))="sin dato","",INDEX(CODIFICACION!$E$2:$E$500,MATCH("D3.14i|"&amp;CAPTURA!BK3,CODIFICACION!$F$2:$F$500,0))),"⚠"))</f>
        <v/>
      </c>
      <c r="AG3" t="str">
        <f>IF(CAPTURA!BL3="","",IFERROR(IF(INDEX(CODIFICACION!$E$2:$E$500,MATCH("D4.15|"&amp;CAPTURA!BL3,CODIFICACION!$F$2:$F$500,0))="sin dato","",INDEX(CODIFICACION!$E$2:$E$500,MATCH("D4.15|"&amp;CAPTURA!BL3,CODIFICACION!$F$2:$F$500,0))),"⚠"))</f>
        <v/>
      </c>
      <c r="AH3" t="str">
        <f>IF(CAPTURA!BM3="","",IF(AND(ISNUMBER(CAPTURA!BM3),CAPTURA!BM3&gt;=0,CAPTURA!BM3&lt;=4),CAPTURA!BM3*25,"⚠"))</f>
        <v/>
      </c>
      <c r="AI3" t="str">
        <f>IF(CAPTURA!BN3="","",IFERROR(IF(INDEX(CODIFICACION!$E$2:$E$500,MATCH("D4.17|"&amp;CAPTURA!BN3,CODIFICACION!$F$2:$F$500,0))="sin dato","",INDEX(CODIFICACION!$E$2:$E$500,MATCH("D4.17|"&amp;CAPTURA!BN3,CODIFICACION!$F$2:$F$500,0))),"⚠"))</f>
        <v/>
      </c>
      <c r="AJ3" t="str">
        <f>IF(CAPTURA!BO3="","",IFERROR(IF(INDEX(CODIFICACION!$E$2:$E$500,MATCH("D4.15a|"&amp;CAPTURA!BO3,CODIFICACION!$F$2:$F$500,0))="sin dato","",INDEX(CODIFICACION!$E$2:$E$500,MATCH("D4.15a|"&amp;CAPTURA!BO3,CODIFICACION!$F$2:$F$500,0))),"⚠"))</f>
        <v/>
      </c>
      <c r="AK3" t="str">
        <f>IF(CAPTURA!BP3="","",IF(AND(ISNUMBER(CAPTURA!BP3),CAPTURA!BP3&gt;=0,CAPTURA!BP3&lt;=4),CAPTURA!BP3*25,"⚠"))</f>
        <v/>
      </c>
      <c r="AL3" t="str">
        <f>IF(CAPTURA!BQ3="","",IF(AND(ISNUMBER(CAPTURA!BQ3),CAPTURA!BQ3&gt;=0,CAPTURA!BQ3&lt;=4),CAPTURA!BQ3*25,"⚠"))</f>
        <v/>
      </c>
      <c r="AM3" t="str">
        <f>IF(CAPTURA!BR3="","",IFERROR(IF(INDEX(CODIFICACION!$E$2:$E$500,MATCH("D5.18b|"&amp;CAPTURA!BR3,CODIFICACION!$F$2:$F$500,0))="sin dato","",INDEX(CODIFICACION!$E$2:$E$500,MATCH("D5.18b|"&amp;CAPTURA!BR3,CODIFICACION!$F$2:$F$500,0))),"⚠"))</f>
        <v/>
      </c>
      <c r="AN3" t="str">
        <f>IF(CAPTURA!BS3="","",IFERROR(IF(INDEX(CODIFICACION!$E$2:$E$500,MATCH("D5.19|"&amp;CAPTURA!BS3,CODIFICACION!$F$2:$F$500,0))="sin dato","",INDEX(CODIFICACION!$E$2:$E$500,MATCH("D5.19|"&amp;CAPTURA!BS3,CODIFICACION!$F$2:$F$500,0))),"⚠"))</f>
        <v/>
      </c>
      <c r="AO3" t="str">
        <f>IF(CAPTURA!BT3="","",MIN(100,ROUND((LEN(CAPTURA!BT3)-LEN(SUBSTITUTE(CAPTURA!BT3,";",""))+1)/7*100,1)))</f>
        <v/>
      </c>
      <c r="AP3" t="str">
        <f>IF(CAPTURA!BU3="","",IFERROR(IF(INDEX(CODIFICACION!$E$2:$E$500,MATCH("D5.20|"&amp;CAPTURA!BU3,CODIFICACION!$F$2:$F$500,0))="sin dato","",INDEX(CODIFICACION!$E$2:$E$500,MATCH("D5.20|"&amp;CAPTURA!BU3,CODIFICACION!$F$2:$F$500,0))),"⚠"))</f>
        <v/>
      </c>
      <c r="AQ3" t="str">
        <f>IF(CAPTURA!BV3="","",IFERROR(IF(INDEX(CODIFICACION!$E$2:$E$500,MATCH("D5.21|"&amp;CAPTURA!BV3,CODIFICACION!$F$2:$F$500,0))="sin dato","",INDEX(CODIFICACION!$E$2:$E$500,MATCH("D5.21|"&amp;CAPTURA!BV3,CODIFICACION!$F$2:$F$500,0))),"⚠"))</f>
        <v/>
      </c>
      <c r="AR3" t="str">
        <f>IF(CAPTURA!BW3="","",IFERROR(IF(INDEX(CODIFICACION!$E$2:$E$500,MATCH("D5.21a|"&amp;CAPTURA!BW3,CODIFICACION!$F$2:$F$500,0))="sin dato","",INDEX(CODIFICACION!$E$2:$E$500,MATCH("D5.21a|"&amp;CAPTURA!BW3,CODIFICACION!$F$2:$F$500,0))),"⚠"))</f>
        <v/>
      </c>
      <c r="AS3" t="str">
        <f>IF(CAPTURA!BX3="","",IFERROR(IF(INDEX(CODIFICACION!$E$2:$E$500,MATCH("D5.21b|"&amp;CAPTURA!BX3,CODIFICACION!$F$2:$F$500,0))="sin dato","",INDEX(CODIFICACION!$E$2:$E$500,MATCH("D5.21b|"&amp;CAPTURA!BX3,CODIFICACION!$F$2:$F$500,0))),"⚠"))</f>
        <v/>
      </c>
      <c r="AT3" t="str">
        <f>IF(CAPTURA!BY3="","",IFERROR(IF(INDEX(CODIFICACION!$E$2:$E$500,MATCH("D6.22|"&amp;CAPTURA!BY3,CODIFICACION!$F$2:$F$500,0))="sin dato","",INDEX(CODIFICACION!$E$2:$E$500,MATCH("D6.22|"&amp;CAPTURA!BY3,CODIFICACION!$F$2:$F$500,0))),"⚠"))</f>
        <v/>
      </c>
      <c r="AU3" t="str">
        <f>IF(CAPTURA!BZ3="","",IFERROR(IF(INDEX(CODIFICACION!$E$2:$E$500,MATCH("D6.22a|"&amp;CAPTURA!BZ3,CODIFICACION!$F$2:$F$500,0))="sin dato","",INDEX(CODIFICACION!$E$2:$E$500,MATCH("D6.22a|"&amp;CAPTURA!BZ3,CODIFICACION!$F$2:$F$500,0))),"⚠"))</f>
        <v/>
      </c>
      <c r="AV3" t="str">
        <f>IF(CAPTURA!CA3="","",IFERROR(IF(INDEX(CODIFICACION!$E$2:$E$500,MATCH("D6.22b|"&amp;CAPTURA!CA3,CODIFICACION!$F$2:$F$500,0))="sin dato","",INDEX(CODIFICACION!$E$2:$E$500,MATCH("D6.22b|"&amp;CAPTURA!CA3,CODIFICACION!$F$2:$F$500,0))),"⚠"))</f>
        <v/>
      </c>
      <c r="AW3" t="str">
        <f>IF(CAPTURA!CB3="","",IFERROR(IF(INDEX(CODIFICACION!$E$2:$E$500,MATCH("D6.23|"&amp;CAPTURA!CB3,CODIFICACION!$F$2:$F$500,0))="sin dato","",INDEX(CODIFICACION!$E$2:$E$500,MATCH("D6.23|"&amp;CAPTURA!CB3,CODIFICACION!$F$2:$F$500,0))),"⚠"))</f>
        <v/>
      </c>
      <c r="AX3" t="str">
        <f>IF(CAPTURA!CC3="","",IFERROR(IF(INDEX(CODIFICACION!$E$2:$E$500,MATCH("D6.24|"&amp;CAPTURA!CC3,CODIFICACION!$F$2:$F$500,0))="sin dato","",INDEX(CODIFICACION!$E$2:$E$500,MATCH("D6.24|"&amp;CAPTURA!CC3,CODIFICACION!$F$2:$F$500,0))),"⚠"))</f>
        <v/>
      </c>
      <c r="AY3" t="str">
        <f>IF(CAPTURA!CD3="","",IFERROR(IF(INDEX(CODIFICACION!$E$2:$E$500,MATCH("D6.25|"&amp;CAPTURA!CD3,CODIFICACION!$F$2:$F$500,0))="sin dato","",INDEX(CODIFICACION!$E$2:$E$500,MATCH("D6.25|"&amp;CAPTURA!CD3,CODIFICACION!$F$2:$F$500,0))),"⚠"))</f>
        <v/>
      </c>
      <c r="AZ3" t="str">
        <f>IF(CAPTURA!CE3="","",IFERROR(IF(INDEX(CODIFICACION!$E$2:$E$500,MATCH("D6.25a|"&amp;CAPTURA!CE3,CODIFICACION!$F$2:$F$500,0))="sin dato","",INDEX(CODIFICACION!$E$2:$E$500,MATCH("D6.25a|"&amp;CAPTURA!CE3,CODIFICACION!$F$2:$F$500,0))),"⚠"))</f>
        <v/>
      </c>
      <c r="BA3" t="str">
        <f>IF(CAPTURA!CF3="","",IFERROR(IF(INDEX(CODIFICACION!$E$2:$E$500,MATCH("D6.25b|"&amp;CAPTURA!CF3,CODIFICACION!$F$2:$F$500,0))="sin dato","",INDEX(CODIFICACION!$E$2:$E$500,MATCH("D6.25b|"&amp;CAPTURA!CF3,CODIFICACION!$F$2:$F$500,0))),"⚠"))</f>
        <v/>
      </c>
      <c r="BB3" t="str">
        <f>IF(CAPTURA!CG3="","",IFERROR(IF(INDEX(CODIFICACION!$E$2:$E$500,MATCH("D6.22c|"&amp;CAPTURA!CG3,CODIFICACION!$F$2:$F$500,0))="sin dato","",INDEX(CODIFICACION!$E$2:$E$500,MATCH("D6.22c|"&amp;CAPTURA!CG3,CODIFICACION!$F$2:$F$500,0))),"⚠"))</f>
        <v/>
      </c>
      <c r="BC3" t="str">
        <f>IF(CAPTURA!CH3="","",IFERROR(IF(INDEX(CODIFICACION!$E$2:$E$500,MATCH("D7.26|"&amp;CAPTURA!CH3,CODIFICACION!$F$2:$F$500,0))="sin dato","",INDEX(CODIFICACION!$E$2:$E$500,MATCH("D7.26|"&amp;CAPTURA!CH3,CODIFICACION!$F$2:$F$500,0))),"⚠"))</f>
        <v/>
      </c>
      <c r="BD3" t="str">
        <f>IF(CAPTURA!CI3="","",IFERROR(IF(INDEX(CODIFICACION!$E$2:$E$500,MATCH("D7.27|"&amp;CAPTURA!CI3,CODIFICACION!$F$2:$F$500,0))="sin dato","",INDEX(CODIFICACION!$E$2:$E$500,MATCH("D7.27|"&amp;CAPTURA!CI3,CODIFICACION!$F$2:$F$500,0))),"⚠"))</f>
        <v/>
      </c>
      <c r="BE3" t="str">
        <f>IF(CAPTURA!CJ3="","",IFERROR(IF(INDEX(CODIFICACION!$E$2:$E$500,MATCH("D7.28|"&amp;CAPTURA!CJ3,CODIFICACION!$F$2:$F$500,0))="sin dato","",INDEX(CODIFICACION!$E$2:$E$500,MATCH("D7.28|"&amp;CAPTURA!CJ3,CODIFICACION!$F$2:$F$500,0))),"⚠"))</f>
        <v/>
      </c>
      <c r="BF3" t="str">
        <f>IF(CAPTURA!CK3="","",IFERROR(IF(INDEX(CODIFICACION!$E$2:$E$500,MATCH("D7.28b|"&amp;CAPTURA!CK3,CODIFICACION!$F$2:$F$500,0))="sin dato","",INDEX(CODIFICACION!$E$2:$E$500,MATCH("D7.28b|"&amp;CAPTURA!CK3,CODIFICACION!$F$2:$F$500,0))),"⚠"))</f>
        <v/>
      </c>
      <c r="BG3" t="str">
        <f>IF(CAPTURA!CL3="","",MIN(100,ROUND((LEN(CAPTURA!CL3)-LEN(SUBSTITUTE(CAPTURA!CL3,";",""))+1)/8*100,1)))</f>
        <v/>
      </c>
      <c r="BH3" t="str">
        <f>IF(CAPTURA!CM3="","",IFERROR(IF(INDEX(CODIFICACION!$E$2:$E$500,MATCH("D7.26a|"&amp;CAPTURA!CM3,CODIFICACION!$F$2:$F$500,0))="sin dato","",INDEX(CODIFICACION!$E$2:$E$500,MATCH("D7.26a|"&amp;CAPTURA!CM3,CODIFICACION!$F$2:$F$500,0))),"⚠"))</f>
        <v/>
      </c>
      <c r="BI3" t="str">
        <f>IF(CAPTURA!CN3="","",IFERROR(IF(INDEX(CODIFICACION!$E$2:$E$500,MATCH("D7.26b|"&amp;CAPTURA!CN3,CODIFICACION!$F$2:$F$500,0))="sin dato","",INDEX(CODIFICACION!$E$2:$E$500,MATCH("D7.26b|"&amp;CAPTURA!CN3,CODIFICACION!$F$2:$F$500,0))),"⚠"))</f>
        <v/>
      </c>
      <c r="BJ3" t="str">
        <f>IF(CAPTURA!CO3="","",IF(AND(ISNUMBER(CAPTURA!CO3),CAPTURA!CO3&gt;=0,CAPTURA!CO3&lt;=4),CAPTURA!CO3*25,"⚠"))</f>
        <v/>
      </c>
      <c r="BK3" t="str">
        <f>IF(CAPTURA!CP3="","",IF(ISNUMBER(CAPTURA!CP3),MAX(0,MIN(100,CAPTURA!CP3)),"⚠"))</f>
        <v/>
      </c>
      <c r="BL3" t="str">
        <f>IF(CAPTURA!CQ3="","",IFERROR(IF(INDEX(CODIFICACION!$E$2:$E$500,MATCH("D8.31|"&amp;CAPTURA!CQ3,CODIFICACION!$F$2:$F$500,0))="sin dato","",INDEX(CODIFICACION!$E$2:$E$500,MATCH("D8.31|"&amp;CAPTURA!CQ3,CODIFICACION!$F$2:$F$500,0))),"⚠"))</f>
        <v/>
      </c>
      <c r="BM3" t="str">
        <f>IF(CAPTURA!CR3="","",IFERROR(IF(INDEX(CODIFICACION!$E$2:$E$500,MATCH("D8.32|"&amp;CAPTURA!CR3,CODIFICACION!$F$2:$F$500,0))="sin dato","",INDEX(CODIFICACION!$E$2:$E$500,MATCH("D8.32|"&amp;CAPTURA!CR3,CODIFICACION!$F$2:$F$500,0))),"⚠"))</f>
        <v/>
      </c>
      <c r="BN3" t="str">
        <f>IF(CAPTURA!CS3="","",IFERROR(IF(INDEX(CODIFICACION!$E$2:$E$500,MATCH("D9.33|"&amp;CAPTURA!CS3,CODIFICACION!$F$2:$F$500,0))="sin dato","",INDEX(CODIFICACION!$E$2:$E$500,MATCH("D9.33|"&amp;CAPTURA!CS3,CODIFICACION!$F$2:$F$500,0))),"⚠"))</f>
        <v/>
      </c>
      <c r="BO3" t="str">
        <f>IF(CAPTURA!CT3="","",IFERROR(IF(INDEX(CODIFICACION!$E$2:$E$500,MATCH("D9.34|"&amp;CAPTURA!CT3,CODIFICACION!$F$2:$F$500,0))="sin dato","",INDEX(CODIFICACION!$E$2:$E$500,MATCH("D9.34|"&amp;CAPTURA!CT3,CODIFICACION!$F$2:$F$500,0))),"⚠"))</f>
        <v/>
      </c>
      <c r="BP3" t="str">
        <f>IF(CAPTURA!CU3="","",IFERROR(IF(INDEX(CODIFICACION!$E$2:$E$500,MATCH("D9.35|"&amp;CAPTURA!CU3,CODIFICACION!$F$2:$F$500,0))="sin dato","",INDEX(CODIFICACION!$E$2:$E$500,MATCH("D9.35|"&amp;CAPTURA!CU3,CODIFICACION!$F$2:$F$500,0))),"⚠"))</f>
        <v/>
      </c>
      <c r="BQ3" t="str">
        <f>IF(CAPTURA!CV3="","",IFERROR(IF(INDEX(CODIFICACION!$E$2:$E$500,MATCH("D10.36|"&amp;CAPTURA!CV3,CODIFICACION!$F$2:$F$500,0))="sin dato","",INDEX(CODIFICACION!$E$2:$E$500,MATCH("D10.36|"&amp;CAPTURA!CV3,CODIFICACION!$F$2:$F$500,0))),"⚠"))</f>
        <v/>
      </c>
      <c r="BR3" t="str">
        <f>IF(CAPTURA!CW3="","",IFERROR(IF(INDEX(CODIFICACION!$E$2:$E$500,MATCH("D10.37|"&amp;CAPTURA!CW3,CODIFICACION!$F$2:$F$500,0))="sin dato","",INDEX(CODIFICACION!$E$2:$E$500,MATCH("D10.37|"&amp;CAPTURA!CW3,CODIFICACION!$F$2:$F$500,0))),"⚠"))</f>
        <v/>
      </c>
      <c r="BS3" t="str">
        <f>IF(CAPTURA!CX3="","",IFERROR(IF(INDEX(CODIFICACION!$E$2:$E$500,MATCH("D10.36a|"&amp;CAPTURA!CX3,CODIFICACION!$F$2:$F$500,0))="sin dato","",INDEX(CODIFICACION!$E$2:$E$500,MATCH("D10.36a|"&amp;CAPTURA!CX3,CODIFICACION!$F$2:$F$500,0))),"⚠"))</f>
        <v/>
      </c>
      <c r="BT3" t="str">
        <f>IF(CAPTURA!CY3="","",IF(ISNUMBER(SEARCH("Ninguno",CAPTURA!CY3)),0,MIN(100,ROUND((LEN(CAPTURA!CY3)-LEN(SUBSTITUTE(CAPTURA!CY3,";",""))+1)/6*100,1))))</f>
        <v/>
      </c>
      <c r="BU3" t="str">
        <f>IF(CAPTURA!DA3="","",IFERROR(IF(INDEX(CODIFICACION!$E$2:$E$500,MATCH("D11.39a|"&amp;CAPTURA!DA3,CODIFICACION!$F$2:$F$500,0))="sin dato","",INDEX(CODIFICACION!$E$2:$E$500,MATCH("D11.39a|"&amp;CAPTURA!DA3,CODIFICACION!$F$2:$F$500,0))),"⚠"))</f>
        <v/>
      </c>
      <c r="BV3" t="str">
        <f>IF(CAPTURA!DB3="","",IFERROR(IF(INDEX(CODIFICACION!$E$2:$E$500,MATCH("D12.42|"&amp;CAPTURA!DB3,CODIFICACION!$F$2:$F$500,0))="sin dato","",INDEX(CODIFICACION!$E$2:$E$500,MATCH("D12.42|"&amp;CAPTURA!DB3,CODIFICACION!$F$2:$F$500,0))),"⚠"))</f>
        <v/>
      </c>
      <c r="BW3" t="str">
        <f>IF(CAPTURA!DC3="","",IFERROR(IF(INDEX(CODIFICACION!$E$2:$E$500,MATCH("D13.45|"&amp;CAPTURA!DC3,CODIFICACION!$F$2:$F$500,0))="sin dato","",INDEX(CODIFICACION!$E$2:$E$500,MATCH("D13.45|"&amp;CAPTURA!DC3,CODIFICACION!$F$2:$F$500,0))),"⚠"))</f>
        <v/>
      </c>
      <c r="BX3" t="str">
        <f>IF(CAPTURA!DD3="","",IFERROR(IF(INDEX(CODIFICACION!$E$2:$E$500,MATCH("D14.51|"&amp;CAPTURA!DD3,CODIFICACION!$F$2:$F$500,0))="sin dato","",INDEX(CODIFICACION!$E$2:$E$500,MATCH("D14.51|"&amp;CAPTURA!DD3,CODIFICACION!$F$2:$F$500,0))),"⚠"))</f>
        <v/>
      </c>
      <c r="BY3" t="str">
        <f>IF(CAPTURA!DE3="","",IFERROR(IF(INDEX(CODIFICACION!$E$2:$E$500,MATCH("D15.58|"&amp;CAPTURA!DE3,CODIFICACION!$F$2:$F$500,0))="sin dato","",INDEX(CODIFICACION!$E$2:$E$500,MATCH("D15.58|"&amp;CAPTURA!DE3,CODIFICACION!$F$2:$F$500,0))),"⚠"))</f>
        <v/>
      </c>
      <c r="BZ3" t="str">
        <f>IF(CAPTURA!DF3="","",IFERROR(IF(INDEX(CODIFICACION!$E$2:$E$500,MATCH("PP1|"&amp;CAPTURA!DF3,CODIFICACION!$F$2:$F$500,0))="sin dato","",INDEX(CODIFICACION!$E$2:$E$500,MATCH("PP1|"&amp;CAPTURA!DF3,CODIFICACION!$F$2:$F$500,0))),"⚠"))</f>
        <v/>
      </c>
      <c r="CA3" t="str">
        <f>IF(CAPTURA!DG3="","",IFERROR(IF(INDEX(CODIFICACION!$E$2:$E$500,MATCH("PP2|"&amp;CAPTURA!DG3,CODIFICACION!$F$2:$F$500,0))="sin dato","",INDEX(CODIFICACION!$E$2:$E$500,MATCH("PP2|"&amp;CAPTURA!DG3,CODIFICACION!$F$2:$F$500,0))),"⚠"))</f>
        <v/>
      </c>
      <c r="CB3" t="str">
        <f t="shared" ref="CB3:CB34" si="0">IFERROR(AVERAGE(H3,I3,J3,K3),"")</f>
        <v/>
      </c>
      <c r="CC3" t="str">
        <f t="shared" ref="CC3:CC34" si="1">IFERROR(AVERAGE(L3,M3,N3,O3,P3,Q3,R3,S3),"")</f>
        <v/>
      </c>
      <c r="CD3" t="str">
        <f t="shared" ref="CD3:CD34" si="2">IFERROR(AVERAGE(T3,U3,V3,W3,X3,Y3,Z3,AA3,AB3,AC3,AD3,AE3,AF3),"")</f>
        <v/>
      </c>
      <c r="CE3" t="str">
        <f t="shared" ref="CE3:CE34" si="3">IFERROR(AVERAGE(AG3,AH3,AI3,AJ3),"")</f>
        <v/>
      </c>
      <c r="CF3" t="str">
        <f t="shared" ref="CF3:CF34" si="4">IFERROR(AVERAGE(D3,AK3,AL3,AM3,AN3,AO3,AP3,AQ3,AR3,AS3),"")</f>
        <v/>
      </c>
      <c r="CG3" t="str">
        <f t="shared" ref="CG3:CG34" si="5">IFERROR(AVERAGE(AT3,AU3,AV3,BB3,AW3,AX3,AY3,AZ3,BA3),"")</f>
        <v/>
      </c>
      <c r="CH3" t="str">
        <f t="shared" ref="CH3:CH34" si="6">IFERROR(AVERAGE(C3,E3,F3,BC3,BH3,BI3,BD3,BE3,BF3,BG3),"")</f>
        <v/>
      </c>
      <c r="CI3" t="str">
        <f t="shared" ref="CI3:CI34" si="7">IFERROR(AVERAGE(BJ3,BK3,BL3,BM3),"")</f>
        <v/>
      </c>
      <c r="CJ3" t="str">
        <f t="shared" ref="CJ3:CJ34" si="8">IFERROR(AVERAGE(G3,BN3,BO3,BP3),"")</f>
        <v/>
      </c>
      <c r="CK3" t="str">
        <f t="shared" ref="CK3:CK34" si="9">IFERROR(AVERAGE(BQ3,BS3,BR3),"")</f>
        <v/>
      </c>
      <c r="CL3" t="str">
        <f t="shared" ref="CL3:CL34" si="10">IFERROR(AVERAGE(BT3,BU3),"")</f>
        <v/>
      </c>
    </row>
    <row r="4" spans="1:90" x14ac:dyDescent="0.3">
      <c r="A4">
        <f>CAPTURA!A4</f>
        <v>20129156083</v>
      </c>
      <c r="B4">
        <f>CAPTURA!C4</f>
        <v>0</v>
      </c>
      <c r="C4" t="str">
        <f>IF(CAPTURA!M4="","",ROUND((ISNUMBER(SEARCH("Alemania",CAPTURA!M4))+ISNUMBER(SEARCH("Bélgica",CAPTURA!M4))+ISNUMBER(SEARCH("Países Bajos",CAPTURA!M4))+ISNUMBER(SEARCH("Francia",CAPTURA!M4))+ISNUMBER(SEARCH("Italia",CAPTURA!M4))+ISNUMBER(SEARCH("España",CAPTURA!M4))+ISNUMBER(SEARCH("Suecia",CAPTURA!M4))+ISNUMBER(SEARCH("Dinamarca",CAPTURA!M4)))/((LEN(CAPTURA!M4)-LEN(SUBSTITUTE(CAPTURA!M4,";","")))+1)*100,1))</f>
        <v/>
      </c>
      <c r="D4" t="str">
        <f>IF(CAPTURA!AE4="","",IFERROR(IF(INDEX(CODIFICACION!$E$2:$E$500,MATCH("P8|"&amp;CAPTURA!AE4,CODIFICACION!$F$2:$F$500,0))="sin dato","",INDEX(CODIFICACION!$E$2:$E$500,MATCH("P8|"&amp;CAPTURA!AE4,CODIFICACION!$F$2:$F$500,0))),"⚠"))</f>
        <v/>
      </c>
      <c r="E4" t="str">
        <f>IF(CAPTURA!AG4="","",IFERROR(IF(INDEX(CODIFICACION!$E$2:$E$500,MATCH("P10|"&amp;CAPTURA!AG4,CODIFICACION!$F$2:$F$500,0))="sin dato","",INDEX(CODIFICACION!$E$2:$E$500,MATCH("P10|"&amp;CAPTURA!AG4,CODIFICACION!$F$2:$F$500,0))),"⚠"))</f>
        <v/>
      </c>
      <c r="F4" t="str">
        <f>IF(CAPTURA!AJ4="","",IFERROR(IF(INDEX(CODIFICACION!$E$2:$E$500,MATCH("P13|"&amp;CAPTURA!AJ4,CODIFICACION!$F$2:$F$500,0))="sin dato","",INDEX(CODIFICACION!$E$2:$E$500,MATCH("P13|"&amp;CAPTURA!AJ4,CODIFICACION!$F$2:$F$500,0))),"⚠"))</f>
        <v/>
      </c>
      <c r="G4" t="str">
        <f>IF(CAPTURA!AK4="","",IFERROR(IF(INDEX(CODIFICACION!$E$2:$E$500,MATCH("P14|"&amp;CAPTURA!AK4,CODIFICACION!$F$2:$F$500,0))="sin dato","",INDEX(CODIFICACION!$E$2:$E$500,MATCH("P14|"&amp;CAPTURA!AK4,CODIFICACION!$F$2:$F$500,0))),"⚠"))</f>
        <v/>
      </c>
      <c r="H4" t="str">
        <f>IF(CAPTURA!AL4="","",IFERROR(IF(INDEX(CODIFICACION!$E$2:$E$500,MATCH("D1.1|"&amp;CAPTURA!AL4,CODIFICACION!$F$2:$F$500,0))="sin dato","",INDEX(CODIFICACION!$E$2:$E$500,MATCH("D1.1|"&amp;CAPTURA!AL4,CODIFICACION!$F$2:$F$500,0))),"⚠"))</f>
        <v/>
      </c>
      <c r="I4" t="str">
        <f>IF(CAPTURA!AN4="","",IFERROR(IF(INDEX(CODIFICACION!$E$2:$E$500,MATCH("D1.3|"&amp;CAPTURA!AN4,CODIFICACION!$F$2:$F$500,0))="sin dato","",INDEX(CODIFICACION!$E$2:$E$500,MATCH("D1.3|"&amp;CAPTURA!AN4,CODIFICACION!$F$2:$F$500,0))),"⚠"))</f>
        <v/>
      </c>
      <c r="J4" t="str">
        <f>IF(CAPTURA!AO4="","",IFERROR(IF(INDEX(CODIFICACION!$E$2:$E$500,MATCH("D1.4|"&amp;CAPTURA!AO4,CODIFICACION!$F$2:$F$500,0))="sin dato","",INDEX(CODIFICACION!$E$2:$E$500,MATCH("D1.4|"&amp;CAPTURA!AO4,CODIFICACION!$F$2:$F$500,0))),"⚠"))</f>
        <v/>
      </c>
      <c r="K4" t="str">
        <f>IF(CAPTURA!AP4="","",IFERROR(IF(INDEX(CODIFICACION!$E$2:$E$500,MATCH("D1.3a|"&amp;CAPTURA!AP4,CODIFICACION!$F$2:$F$500,0))="sin dato","",INDEX(CODIFICACION!$E$2:$E$500,MATCH("D1.3a|"&amp;CAPTURA!AP4,CODIFICACION!$F$2:$F$500,0))),"⚠"))</f>
        <v/>
      </c>
      <c r="L4" t="str">
        <f>IF(CAPTURA!AQ4="","",IF(AND(ISNUMBER(CAPTURA!AQ4),CAPTURA!AQ4&gt;=0,CAPTURA!AQ4&lt;=4),CAPTURA!AQ4*25,"⚠"))</f>
        <v/>
      </c>
      <c r="M4" t="str">
        <f>IF(CAPTURA!AR4="","",IF(ISNUMBER(CAPTURA!AR4),MAX(0,MIN(100,CAPTURA!AR4)),"⚠"))</f>
        <v/>
      </c>
      <c r="N4" t="str">
        <f>IF(CAPTURA!AS4="","",IF(AND(ISNUMBER(CAPTURA!AS4),CAPTURA!AS4&gt;=0,CAPTURA!AS4&lt;=4),CAPTURA!AS4*25,"⚠"))</f>
        <v/>
      </c>
      <c r="O4" t="str">
        <f>IF(CAPTURA!AT4="","",IFERROR(IF(INDEX(CODIFICACION!$E$2:$E$500,MATCH("D2.8|"&amp;CAPTURA!AT4,CODIFICACION!$F$2:$F$500,0))="sin dato","",INDEX(CODIFICACION!$E$2:$E$500,MATCH("D2.8|"&amp;CAPTURA!AT4,CODIFICACION!$F$2:$F$500,0))),"⚠"))</f>
        <v/>
      </c>
      <c r="P4" t="str">
        <f>IF(CAPTURA!AU4="","",IFERROR(IF(INDEX(CODIFICACION!$E$2:$E$500,MATCH("D2.9|"&amp;CAPTURA!AU4,CODIFICACION!$F$2:$F$500,0))="sin dato","",INDEX(CODIFICACION!$E$2:$E$500,MATCH("D2.9|"&amp;CAPTURA!AU4,CODIFICACION!$F$2:$F$500,0))),"⚠"))</f>
        <v/>
      </c>
      <c r="Q4" t="str">
        <f>IF(CAPTURA!AV4="","",IFERROR(IF(INDEX(CODIFICACION!$E$2:$E$500,MATCH("D2.10|"&amp;CAPTURA!AV4,CODIFICACION!$F$2:$F$500,0))="sin dato","",INDEX(CODIFICACION!$E$2:$E$500,MATCH("D2.10|"&amp;CAPTURA!AV4,CODIFICACION!$F$2:$F$500,0))),"⚠"))</f>
        <v/>
      </c>
      <c r="R4" t="str">
        <f>IF(CAPTURA!AW4="","",IFERROR(IF(INDEX(CODIFICACION!$E$2:$E$500,MATCH("D2.5a|"&amp;CAPTURA!AW4,CODIFICACION!$F$2:$F$500,0))="sin dato","",INDEX(CODIFICACION!$E$2:$E$500,MATCH("D2.5a|"&amp;CAPTURA!AW4,CODIFICACION!$F$2:$F$500,0))),"⚠"))</f>
        <v/>
      </c>
      <c r="S4" t="str">
        <f>IF(CAPTURA!AX4="","",IFERROR(IF(INDEX(CODIFICACION!$E$2:$E$500,MATCH("D2.5b|"&amp;CAPTURA!AX4,CODIFICACION!$F$2:$F$500,0))="sin dato","",INDEX(CODIFICACION!$E$2:$E$500,MATCH("D2.5b|"&amp;CAPTURA!AX4,CODIFICACION!$F$2:$F$500,0))),"⚠"))</f>
        <v/>
      </c>
      <c r="T4" t="str">
        <f>IF(CAPTURA!AY4="","",IF(ISNUMBER(CAPTURA!AY4),MAX(0,MIN(100,CAPTURA!AY4)),"⚠"))</f>
        <v/>
      </c>
      <c r="U4" t="str">
        <f>IF(CAPTURA!AZ4="","",IFERROR(IF(INDEX(CODIFICACION!$E$2:$E$500,MATCH("D3.12|"&amp;CAPTURA!AZ4,CODIFICACION!$F$2:$F$500,0))="sin dato","",INDEX(CODIFICACION!$E$2:$E$500,MATCH("D3.12|"&amp;CAPTURA!AZ4,CODIFICACION!$F$2:$F$500,0))),"⚠"))</f>
        <v/>
      </c>
      <c r="V4" t="str">
        <f>IF(CAPTURA!BA4="","",IF(AND(ISNUMBER(CAPTURA!BA4),CAPTURA!BA4&gt;=0,CAPTURA!BA4&lt;=4),CAPTURA!BA4*25,"⚠"))</f>
        <v/>
      </c>
      <c r="W4" t="str">
        <f>IF(CAPTURA!BB4="","",IFERROR(IF(INDEX(CODIFICACION!$E$2:$E$500,MATCH("D3.14|"&amp;CAPTURA!BB4,CODIFICACION!$F$2:$F$500,0))="sin dato","",INDEX(CODIFICACION!$E$2:$E$500,MATCH("D3.14|"&amp;CAPTURA!BB4,CODIFICACION!$F$2:$F$500,0))),"⚠"))</f>
        <v/>
      </c>
      <c r="X4" t="str">
        <f>IF(CAPTURA!BC4="","",IFERROR(IF(INDEX(CODIFICACION!$E$2:$E$500,MATCH("D3.14a|"&amp;CAPTURA!BC4,CODIFICACION!$F$2:$F$500,0))="sin dato","",INDEX(CODIFICACION!$E$2:$E$500,MATCH("D3.14a|"&amp;CAPTURA!BC4,CODIFICACION!$F$2:$F$500,0))),"⚠"))</f>
        <v/>
      </c>
      <c r="Y4" t="str">
        <f>IF(CAPTURA!BD4="","",IFERROR(IF(INDEX(CODIFICACION!$E$2:$E$500,MATCH("D3.14b|"&amp;CAPTURA!BD4,CODIFICACION!$F$2:$F$500,0))="sin dato","",INDEX(CODIFICACION!$E$2:$E$500,MATCH("D3.14b|"&amp;CAPTURA!BD4,CODIFICACION!$F$2:$F$500,0))),"⚠"))</f>
        <v/>
      </c>
      <c r="Z4" t="str">
        <f>IF(CAPTURA!BE4="","",IFERROR(IF(INDEX(CODIFICACION!$E$2:$E$500,MATCH("D3.14c|"&amp;CAPTURA!BE4,CODIFICACION!$F$2:$F$500,0))="sin dato","",INDEX(CODIFICACION!$E$2:$E$500,MATCH("D3.14c|"&amp;CAPTURA!BE4,CODIFICACION!$F$2:$F$500,0))),"⚠"))</f>
        <v/>
      </c>
      <c r="AA4" t="str">
        <f>IF(CAPTURA!BF4="","",IFERROR(IF(INDEX(CODIFICACION!$E$2:$E$500,MATCH("D3.14d|"&amp;CAPTURA!BF4,CODIFICACION!$F$2:$F$500,0))="sin dato","",INDEX(CODIFICACION!$E$2:$E$500,MATCH("D3.14d|"&amp;CAPTURA!BF4,CODIFICACION!$F$2:$F$500,0))),"⚠"))</f>
        <v/>
      </c>
      <c r="AB4" t="str">
        <f>IF(CAPTURA!BG4="","",IFERROR(IF(INDEX(CODIFICACION!$E$2:$E$500,MATCH("D3.14e|"&amp;CAPTURA!BG4,CODIFICACION!$F$2:$F$500,0))="sin dato","",INDEX(CODIFICACION!$E$2:$E$500,MATCH("D3.14e|"&amp;CAPTURA!BG4,CODIFICACION!$F$2:$F$500,0))),"⚠"))</f>
        <v/>
      </c>
      <c r="AC4" t="str">
        <f>IF(CAPTURA!BH4="","",IFERROR(IF(INDEX(CODIFICACION!$E$2:$E$500,MATCH("D3.14f|"&amp;CAPTURA!BH4,CODIFICACION!$F$2:$F$500,0))="sin dato","",INDEX(CODIFICACION!$E$2:$E$500,MATCH("D3.14f|"&amp;CAPTURA!BH4,CODIFICACION!$F$2:$F$500,0))),"⚠"))</f>
        <v/>
      </c>
      <c r="AD4" t="str">
        <f>IF(CAPTURA!BI4="","",IFERROR(IF(INDEX(CODIFICACION!$E$2:$E$500,MATCH("D3.14g|"&amp;CAPTURA!BI4,CODIFICACION!$F$2:$F$500,0))="sin dato","",INDEX(CODIFICACION!$E$2:$E$500,MATCH("D3.14g|"&amp;CAPTURA!BI4,CODIFICACION!$F$2:$F$500,0))),"⚠"))</f>
        <v/>
      </c>
      <c r="AE4" t="str">
        <f>IF(CAPTURA!BJ4="","",IFERROR(IF(INDEX(CODIFICACION!$E$2:$E$500,MATCH("D3.14h|"&amp;CAPTURA!BJ4,CODIFICACION!$F$2:$F$500,0))="sin dato","",INDEX(CODIFICACION!$E$2:$E$500,MATCH("D3.14h|"&amp;CAPTURA!BJ4,CODIFICACION!$F$2:$F$500,0))),"⚠"))</f>
        <v/>
      </c>
      <c r="AF4" t="str">
        <f>IF(CAPTURA!BK4="","",IFERROR(IF(INDEX(CODIFICACION!$E$2:$E$500,MATCH("D3.14i|"&amp;CAPTURA!BK4,CODIFICACION!$F$2:$F$500,0))="sin dato","",INDEX(CODIFICACION!$E$2:$E$500,MATCH("D3.14i|"&amp;CAPTURA!BK4,CODIFICACION!$F$2:$F$500,0))),"⚠"))</f>
        <v/>
      </c>
      <c r="AG4" t="str">
        <f>IF(CAPTURA!BL4="","",IFERROR(IF(INDEX(CODIFICACION!$E$2:$E$500,MATCH("D4.15|"&amp;CAPTURA!BL4,CODIFICACION!$F$2:$F$500,0))="sin dato","",INDEX(CODIFICACION!$E$2:$E$500,MATCH("D4.15|"&amp;CAPTURA!BL4,CODIFICACION!$F$2:$F$500,0))),"⚠"))</f>
        <v/>
      </c>
      <c r="AH4" t="str">
        <f>IF(CAPTURA!BM4="","",IF(AND(ISNUMBER(CAPTURA!BM4),CAPTURA!BM4&gt;=0,CAPTURA!BM4&lt;=4),CAPTURA!BM4*25,"⚠"))</f>
        <v/>
      </c>
      <c r="AI4" t="str">
        <f>IF(CAPTURA!BN4="","",IFERROR(IF(INDEX(CODIFICACION!$E$2:$E$500,MATCH("D4.17|"&amp;CAPTURA!BN4,CODIFICACION!$F$2:$F$500,0))="sin dato","",INDEX(CODIFICACION!$E$2:$E$500,MATCH("D4.17|"&amp;CAPTURA!BN4,CODIFICACION!$F$2:$F$500,0))),"⚠"))</f>
        <v/>
      </c>
      <c r="AJ4" t="str">
        <f>IF(CAPTURA!BO4="","",IFERROR(IF(INDEX(CODIFICACION!$E$2:$E$500,MATCH("D4.15a|"&amp;CAPTURA!BO4,CODIFICACION!$F$2:$F$500,0))="sin dato","",INDEX(CODIFICACION!$E$2:$E$500,MATCH("D4.15a|"&amp;CAPTURA!BO4,CODIFICACION!$F$2:$F$500,0))),"⚠"))</f>
        <v/>
      </c>
      <c r="AK4" t="str">
        <f>IF(CAPTURA!BP4="","",IF(AND(ISNUMBER(CAPTURA!BP4),CAPTURA!BP4&gt;=0,CAPTURA!BP4&lt;=4),CAPTURA!BP4*25,"⚠"))</f>
        <v/>
      </c>
      <c r="AL4" t="str">
        <f>IF(CAPTURA!BQ4="","",IF(AND(ISNUMBER(CAPTURA!BQ4),CAPTURA!BQ4&gt;=0,CAPTURA!BQ4&lt;=4),CAPTURA!BQ4*25,"⚠"))</f>
        <v/>
      </c>
      <c r="AM4" t="str">
        <f>IF(CAPTURA!BR4="","",IFERROR(IF(INDEX(CODIFICACION!$E$2:$E$500,MATCH("D5.18b|"&amp;CAPTURA!BR4,CODIFICACION!$F$2:$F$500,0))="sin dato","",INDEX(CODIFICACION!$E$2:$E$500,MATCH("D5.18b|"&amp;CAPTURA!BR4,CODIFICACION!$F$2:$F$500,0))),"⚠"))</f>
        <v/>
      </c>
      <c r="AN4" t="str">
        <f>IF(CAPTURA!BS4="","",IFERROR(IF(INDEX(CODIFICACION!$E$2:$E$500,MATCH("D5.19|"&amp;CAPTURA!BS4,CODIFICACION!$F$2:$F$500,0))="sin dato","",INDEX(CODIFICACION!$E$2:$E$500,MATCH("D5.19|"&amp;CAPTURA!BS4,CODIFICACION!$F$2:$F$500,0))),"⚠"))</f>
        <v/>
      </c>
      <c r="AO4" t="str">
        <f>IF(CAPTURA!BT4="","",MIN(100,ROUND((LEN(CAPTURA!BT4)-LEN(SUBSTITUTE(CAPTURA!BT4,";",""))+1)/7*100,1)))</f>
        <v/>
      </c>
      <c r="AP4" t="str">
        <f>IF(CAPTURA!BU4="","",IFERROR(IF(INDEX(CODIFICACION!$E$2:$E$500,MATCH("D5.20|"&amp;CAPTURA!BU4,CODIFICACION!$F$2:$F$500,0))="sin dato","",INDEX(CODIFICACION!$E$2:$E$500,MATCH("D5.20|"&amp;CAPTURA!BU4,CODIFICACION!$F$2:$F$500,0))),"⚠"))</f>
        <v/>
      </c>
      <c r="AQ4" t="str">
        <f>IF(CAPTURA!BV4="","",IFERROR(IF(INDEX(CODIFICACION!$E$2:$E$500,MATCH("D5.21|"&amp;CAPTURA!BV4,CODIFICACION!$F$2:$F$500,0))="sin dato","",INDEX(CODIFICACION!$E$2:$E$500,MATCH("D5.21|"&amp;CAPTURA!BV4,CODIFICACION!$F$2:$F$500,0))),"⚠"))</f>
        <v/>
      </c>
      <c r="AR4" t="str">
        <f>IF(CAPTURA!BW4="","",IFERROR(IF(INDEX(CODIFICACION!$E$2:$E$500,MATCH("D5.21a|"&amp;CAPTURA!BW4,CODIFICACION!$F$2:$F$500,0))="sin dato","",INDEX(CODIFICACION!$E$2:$E$500,MATCH("D5.21a|"&amp;CAPTURA!BW4,CODIFICACION!$F$2:$F$500,0))),"⚠"))</f>
        <v/>
      </c>
      <c r="AS4" t="str">
        <f>IF(CAPTURA!BX4="","",IFERROR(IF(INDEX(CODIFICACION!$E$2:$E$500,MATCH("D5.21b|"&amp;CAPTURA!BX4,CODIFICACION!$F$2:$F$500,0))="sin dato","",INDEX(CODIFICACION!$E$2:$E$500,MATCH("D5.21b|"&amp;CAPTURA!BX4,CODIFICACION!$F$2:$F$500,0))),"⚠"))</f>
        <v/>
      </c>
      <c r="AT4" t="str">
        <f>IF(CAPTURA!BY4="","",IFERROR(IF(INDEX(CODIFICACION!$E$2:$E$500,MATCH("D6.22|"&amp;CAPTURA!BY4,CODIFICACION!$F$2:$F$500,0))="sin dato","",INDEX(CODIFICACION!$E$2:$E$500,MATCH("D6.22|"&amp;CAPTURA!BY4,CODIFICACION!$F$2:$F$500,0))),"⚠"))</f>
        <v/>
      </c>
      <c r="AU4" t="str">
        <f>IF(CAPTURA!BZ4="","",IFERROR(IF(INDEX(CODIFICACION!$E$2:$E$500,MATCH("D6.22a|"&amp;CAPTURA!BZ4,CODIFICACION!$F$2:$F$500,0))="sin dato","",INDEX(CODIFICACION!$E$2:$E$500,MATCH("D6.22a|"&amp;CAPTURA!BZ4,CODIFICACION!$F$2:$F$500,0))),"⚠"))</f>
        <v/>
      </c>
      <c r="AV4" t="str">
        <f>IF(CAPTURA!CA4="","",IFERROR(IF(INDEX(CODIFICACION!$E$2:$E$500,MATCH("D6.22b|"&amp;CAPTURA!CA4,CODIFICACION!$F$2:$F$500,0))="sin dato","",INDEX(CODIFICACION!$E$2:$E$500,MATCH("D6.22b|"&amp;CAPTURA!CA4,CODIFICACION!$F$2:$F$500,0))),"⚠"))</f>
        <v/>
      </c>
      <c r="AW4" t="str">
        <f>IF(CAPTURA!CB4="","",IFERROR(IF(INDEX(CODIFICACION!$E$2:$E$500,MATCH("D6.23|"&amp;CAPTURA!CB4,CODIFICACION!$F$2:$F$500,0))="sin dato","",INDEX(CODIFICACION!$E$2:$E$500,MATCH("D6.23|"&amp;CAPTURA!CB4,CODIFICACION!$F$2:$F$500,0))),"⚠"))</f>
        <v/>
      </c>
      <c r="AX4" t="str">
        <f>IF(CAPTURA!CC4="","",IFERROR(IF(INDEX(CODIFICACION!$E$2:$E$500,MATCH("D6.24|"&amp;CAPTURA!CC4,CODIFICACION!$F$2:$F$500,0))="sin dato","",INDEX(CODIFICACION!$E$2:$E$500,MATCH("D6.24|"&amp;CAPTURA!CC4,CODIFICACION!$F$2:$F$500,0))),"⚠"))</f>
        <v/>
      </c>
      <c r="AY4" t="str">
        <f>IF(CAPTURA!CD4="","",IFERROR(IF(INDEX(CODIFICACION!$E$2:$E$500,MATCH("D6.25|"&amp;CAPTURA!CD4,CODIFICACION!$F$2:$F$500,0))="sin dato","",INDEX(CODIFICACION!$E$2:$E$500,MATCH("D6.25|"&amp;CAPTURA!CD4,CODIFICACION!$F$2:$F$500,0))),"⚠"))</f>
        <v/>
      </c>
      <c r="AZ4" t="str">
        <f>IF(CAPTURA!CE4="","",IFERROR(IF(INDEX(CODIFICACION!$E$2:$E$500,MATCH("D6.25a|"&amp;CAPTURA!CE4,CODIFICACION!$F$2:$F$500,0))="sin dato","",INDEX(CODIFICACION!$E$2:$E$500,MATCH("D6.25a|"&amp;CAPTURA!CE4,CODIFICACION!$F$2:$F$500,0))),"⚠"))</f>
        <v/>
      </c>
      <c r="BA4" t="str">
        <f>IF(CAPTURA!CF4="","",IFERROR(IF(INDEX(CODIFICACION!$E$2:$E$500,MATCH("D6.25b|"&amp;CAPTURA!CF4,CODIFICACION!$F$2:$F$500,0))="sin dato","",INDEX(CODIFICACION!$E$2:$E$500,MATCH("D6.25b|"&amp;CAPTURA!CF4,CODIFICACION!$F$2:$F$500,0))),"⚠"))</f>
        <v/>
      </c>
      <c r="BB4" t="str">
        <f>IF(CAPTURA!CG4="","",IFERROR(IF(INDEX(CODIFICACION!$E$2:$E$500,MATCH("D6.22c|"&amp;CAPTURA!CG4,CODIFICACION!$F$2:$F$500,0))="sin dato","",INDEX(CODIFICACION!$E$2:$E$500,MATCH("D6.22c|"&amp;CAPTURA!CG4,CODIFICACION!$F$2:$F$500,0))),"⚠"))</f>
        <v/>
      </c>
      <c r="BC4" t="str">
        <f>IF(CAPTURA!CH4="","",IFERROR(IF(INDEX(CODIFICACION!$E$2:$E$500,MATCH("D7.26|"&amp;CAPTURA!CH4,CODIFICACION!$F$2:$F$500,0))="sin dato","",INDEX(CODIFICACION!$E$2:$E$500,MATCH("D7.26|"&amp;CAPTURA!CH4,CODIFICACION!$F$2:$F$500,0))),"⚠"))</f>
        <v/>
      </c>
      <c r="BD4" t="str">
        <f>IF(CAPTURA!CI4="","",IFERROR(IF(INDEX(CODIFICACION!$E$2:$E$500,MATCH("D7.27|"&amp;CAPTURA!CI4,CODIFICACION!$F$2:$F$500,0))="sin dato","",INDEX(CODIFICACION!$E$2:$E$500,MATCH("D7.27|"&amp;CAPTURA!CI4,CODIFICACION!$F$2:$F$500,0))),"⚠"))</f>
        <v/>
      </c>
      <c r="BE4" t="str">
        <f>IF(CAPTURA!CJ4="","",IFERROR(IF(INDEX(CODIFICACION!$E$2:$E$500,MATCH("D7.28|"&amp;CAPTURA!CJ4,CODIFICACION!$F$2:$F$500,0))="sin dato","",INDEX(CODIFICACION!$E$2:$E$500,MATCH("D7.28|"&amp;CAPTURA!CJ4,CODIFICACION!$F$2:$F$500,0))),"⚠"))</f>
        <v/>
      </c>
      <c r="BF4" t="str">
        <f>IF(CAPTURA!CK4="","",IFERROR(IF(INDEX(CODIFICACION!$E$2:$E$500,MATCH("D7.28b|"&amp;CAPTURA!CK4,CODIFICACION!$F$2:$F$500,0))="sin dato","",INDEX(CODIFICACION!$E$2:$E$500,MATCH("D7.28b|"&amp;CAPTURA!CK4,CODIFICACION!$F$2:$F$500,0))),"⚠"))</f>
        <v/>
      </c>
      <c r="BG4" t="str">
        <f>IF(CAPTURA!CL4="","",MIN(100,ROUND((LEN(CAPTURA!CL4)-LEN(SUBSTITUTE(CAPTURA!CL4,";",""))+1)/8*100,1)))</f>
        <v/>
      </c>
      <c r="BH4" t="str">
        <f>IF(CAPTURA!CM4="","",IFERROR(IF(INDEX(CODIFICACION!$E$2:$E$500,MATCH("D7.26a|"&amp;CAPTURA!CM4,CODIFICACION!$F$2:$F$500,0))="sin dato","",INDEX(CODIFICACION!$E$2:$E$500,MATCH("D7.26a|"&amp;CAPTURA!CM4,CODIFICACION!$F$2:$F$500,0))),"⚠"))</f>
        <v/>
      </c>
      <c r="BI4" t="str">
        <f>IF(CAPTURA!CN4="","",IFERROR(IF(INDEX(CODIFICACION!$E$2:$E$500,MATCH("D7.26b|"&amp;CAPTURA!CN4,CODIFICACION!$F$2:$F$500,0))="sin dato","",INDEX(CODIFICACION!$E$2:$E$500,MATCH("D7.26b|"&amp;CAPTURA!CN4,CODIFICACION!$F$2:$F$500,0))),"⚠"))</f>
        <v/>
      </c>
      <c r="BJ4" t="str">
        <f>IF(CAPTURA!CO4="","",IF(AND(ISNUMBER(CAPTURA!CO4),CAPTURA!CO4&gt;=0,CAPTURA!CO4&lt;=4),CAPTURA!CO4*25,"⚠"))</f>
        <v/>
      </c>
      <c r="BK4" t="str">
        <f>IF(CAPTURA!CP4="","",IF(ISNUMBER(CAPTURA!CP4),MAX(0,MIN(100,CAPTURA!CP4)),"⚠"))</f>
        <v/>
      </c>
      <c r="BL4" t="str">
        <f>IF(CAPTURA!CQ4="","",IFERROR(IF(INDEX(CODIFICACION!$E$2:$E$500,MATCH("D8.31|"&amp;CAPTURA!CQ4,CODIFICACION!$F$2:$F$500,0))="sin dato","",INDEX(CODIFICACION!$E$2:$E$500,MATCH("D8.31|"&amp;CAPTURA!CQ4,CODIFICACION!$F$2:$F$500,0))),"⚠"))</f>
        <v/>
      </c>
      <c r="BM4" t="str">
        <f>IF(CAPTURA!CR4="","",IFERROR(IF(INDEX(CODIFICACION!$E$2:$E$500,MATCH("D8.32|"&amp;CAPTURA!CR4,CODIFICACION!$F$2:$F$500,0))="sin dato","",INDEX(CODIFICACION!$E$2:$E$500,MATCH("D8.32|"&amp;CAPTURA!CR4,CODIFICACION!$F$2:$F$500,0))),"⚠"))</f>
        <v/>
      </c>
      <c r="BN4" t="str">
        <f>IF(CAPTURA!CS4="","",IFERROR(IF(INDEX(CODIFICACION!$E$2:$E$500,MATCH("D9.33|"&amp;CAPTURA!CS4,CODIFICACION!$F$2:$F$500,0))="sin dato","",INDEX(CODIFICACION!$E$2:$E$500,MATCH("D9.33|"&amp;CAPTURA!CS4,CODIFICACION!$F$2:$F$500,0))),"⚠"))</f>
        <v/>
      </c>
      <c r="BO4" t="str">
        <f>IF(CAPTURA!CT4="","",IFERROR(IF(INDEX(CODIFICACION!$E$2:$E$500,MATCH("D9.34|"&amp;CAPTURA!CT4,CODIFICACION!$F$2:$F$500,0))="sin dato","",INDEX(CODIFICACION!$E$2:$E$500,MATCH("D9.34|"&amp;CAPTURA!CT4,CODIFICACION!$F$2:$F$500,0))),"⚠"))</f>
        <v/>
      </c>
      <c r="BP4" t="str">
        <f>IF(CAPTURA!CU4="","",IFERROR(IF(INDEX(CODIFICACION!$E$2:$E$500,MATCH("D9.35|"&amp;CAPTURA!CU4,CODIFICACION!$F$2:$F$500,0))="sin dato","",INDEX(CODIFICACION!$E$2:$E$500,MATCH("D9.35|"&amp;CAPTURA!CU4,CODIFICACION!$F$2:$F$500,0))),"⚠"))</f>
        <v/>
      </c>
      <c r="BQ4" t="str">
        <f>IF(CAPTURA!CV4="","",IFERROR(IF(INDEX(CODIFICACION!$E$2:$E$500,MATCH("D10.36|"&amp;CAPTURA!CV4,CODIFICACION!$F$2:$F$500,0))="sin dato","",INDEX(CODIFICACION!$E$2:$E$500,MATCH("D10.36|"&amp;CAPTURA!CV4,CODIFICACION!$F$2:$F$500,0))),"⚠"))</f>
        <v/>
      </c>
      <c r="BR4" t="str">
        <f>IF(CAPTURA!CW4="","",IFERROR(IF(INDEX(CODIFICACION!$E$2:$E$500,MATCH("D10.37|"&amp;CAPTURA!CW4,CODIFICACION!$F$2:$F$500,0))="sin dato","",INDEX(CODIFICACION!$E$2:$E$500,MATCH("D10.37|"&amp;CAPTURA!CW4,CODIFICACION!$F$2:$F$500,0))),"⚠"))</f>
        <v/>
      </c>
      <c r="BS4" t="str">
        <f>IF(CAPTURA!CX4="","",IFERROR(IF(INDEX(CODIFICACION!$E$2:$E$500,MATCH("D10.36a|"&amp;CAPTURA!CX4,CODIFICACION!$F$2:$F$500,0))="sin dato","",INDEX(CODIFICACION!$E$2:$E$500,MATCH("D10.36a|"&amp;CAPTURA!CX4,CODIFICACION!$F$2:$F$500,0))),"⚠"))</f>
        <v/>
      </c>
      <c r="BT4" t="str">
        <f>IF(CAPTURA!CY4="","",IF(ISNUMBER(SEARCH("Ninguno",CAPTURA!CY4)),0,MIN(100,ROUND((LEN(CAPTURA!CY4)-LEN(SUBSTITUTE(CAPTURA!CY4,";",""))+1)/6*100,1))))</f>
        <v/>
      </c>
      <c r="BU4" t="str">
        <f>IF(CAPTURA!DA4="","",IFERROR(IF(INDEX(CODIFICACION!$E$2:$E$500,MATCH("D11.39a|"&amp;CAPTURA!DA4,CODIFICACION!$F$2:$F$500,0))="sin dato","",INDEX(CODIFICACION!$E$2:$E$500,MATCH("D11.39a|"&amp;CAPTURA!DA4,CODIFICACION!$F$2:$F$500,0))),"⚠"))</f>
        <v/>
      </c>
      <c r="BV4" t="str">
        <f>IF(CAPTURA!DB4="","",IFERROR(IF(INDEX(CODIFICACION!$E$2:$E$500,MATCH("D12.42|"&amp;CAPTURA!DB4,CODIFICACION!$F$2:$F$500,0))="sin dato","",INDEX(CODIFICACION!$E$2:$E$500,MATCH("D12.42|"&amp;CAPTURA!DB4,CODIFICACION!$F$2:$F$500,0))),"⚠"))</f>
        <v/>
      </c>
      <c r="BW4" t="str">
        <f>IF(CAPTURA!DC4="","",IFERROR(IF(INDEX(CODIFICACION!$E$2:$E$500,MATCH("D13.45|"&amp;CAPTURA!DC4,CODIFICACION!$F$2:$F$500,0))="sin dato","",INDEX(CODIFICACION!$E$2:$E$500,MATCH("D13.45|"&amp;CAPTURA!DC4,CODIFICACION!$F$2:$F$500,0))),"⚠"))</f>
        <v/>
      </c>
      <c r="BX4" t="str">
        <f>IF(CAPTURA!DD4="","",IFERROR(IF(INDEX(CODIFICACION!$E$2:$E$500,MATCH("D14.51|"&amp;CAPTURA!DD4,CODIFICACION!$F$2:$F$500,0))="sin dato","",INDEX(CODIFICACION!$E$2:$E$500,MATCH("D14.51|"&amp;CAPTURA!DD4,CODIFICACION!$F$2:$F$500,0))),"⚠"))</f>
        <v/>
      </c>
      <c r="BY4" t="str">
        <f>IF(CAPTURA!DE4="","",IFERROR(IF(INDEX(CODIFICACION!$E$2:$E$500,MATCH("D15.58|"&amp;CAPTURA!DE4,CODIFICACION!$F$2:$F$500,0))="sin dato","",INDEX(CODIFICACION!$E$2:$E$500,MATCH("D15.58|"&amp;CAPTURA!DE4,CODIFICACION!$F$2:$F$500,0))),"⚠"))</f>
        <v/>
      </c>
      <c r="BZ4" t="str">
        <f>IF(CAPTURA!DF4="","",IFERROR(IF(INDEX(CODIFICACION!$E$2:$E$500,MATCH("PP1|"&amp;CAPTURA!DF4,CODIFICACION!$F$2:$F$500,0))="sin dato","",INDEX(CODIFICACION!$E$2:$E$500,MATCH("PP1|"&amp;CAPTURA!DF4,CODIFICACION!$F$2:$F$500,0))),"⚠"))</f>
        <v/>
      </c>
      <c r="CA4" t="str">
        <f>IF(CAPTURA!DG4="","",IFERROR(IF(INDEX(CODIFICACION!$E$2:$E$500,MATCH("PP2|"&amp;CAPTURA!DG4,CODIFICACION!$F$2:$F$500,0))="sin dato","",INDEX(CODIFICACION!$E$2:$E$500,MATCH("PP2|"&amp;CAPTURA!DG4,CODIFICACION!$F$2:$F$500,0))),"⚠"))</f>
        <v/>
      </c>
      <c r="CB4" t="str">
        <f t="shared" si="0"/>
        <v/>
      </c>
      <c r="CC4" t="str">
        <f t="shared" si="1"/>
        <v/>
      </c>
      <c r="CD4" t="str">
        <f t="shared" si="2"/>
        <v/>
      </c>
      <c r="CE4" t="str">
        <f t="shared" si="3"/>
        <v/>
      </c>
      <c r="CF4" t="str">
        <f t="shared" si="4"/>
        <v/>
      </c>
      <c r="CG4" t="str">
        <f t="shared" si="5"/>
        <v/>
      </c>
      <c r="CH4" t="str">
        <f t="shared" si="6"/>
        <v/>
      </c>
      <c r="CI4" t="str">
        <f t="shared" si="7"/>
        <v/>
      </c>
      <c r="CJ4" t="str">
        <f t="shared" si="8"/>
        <v/>
      </c>
      <c r="CK4" t="str">
        <f t="shared" si="9"/>
        <v/>
      </c>
      <c r="CL4" t="str">
        <f t="shared" si="10"/>
        <v/>
      </c>
    </row>
    <row r="5" spans="1:90" x14ac:dyDescent="0.3">
      <c r="A5">
        <f>CAPTURA!A5</f>
        <v>20129529530</v>
      </c>
      <c r="B5">
        <f>CAPTURA!C5</f>
        <v>0</v>
      </c>
      <c r="C5" t="str">
        <f>IF(CAPTURA!M5="","",ROUND((ISNUMBER(SEARCH("Alemania",CAPTURA!M5))+ISNUMBER(SEARCH("Bélgica",CAPTURA!M5))+ISNUMBER(SEARCH("Países Bajos",CAPTURA!M5))+ISNUMBER(SEARCH("Francia",CAPTURA!M5))+ISNUMBER(SEARCH("Italia",CAPTURA!M5))+ISNUMBER(SEARCH("España",CAPTURA!M5))+ISNUMBER(SEARCH("Suecia",CAPTURA!M5))+ISNUMBER(SEARCH("Dinamarca",CAPTURA!M5)))/((LEN(CAPTURA!M5)-LEN(SUBSTITUTE(CAPTURA!M5,";","")))+1)*100,1))</f>
        <v/>
      </c>
      <c r="D5" t="str">
        <f>IF(CAPTURA!AE5="","",IFERROR(IF(INDEX(CODIFICACION!$E$2:$E$500,MATCH("P8|"&amp;CAPTURA!AE5,CODIFICACION!$F$2:$F$500,0))="sin dato","",INDEX(CODIFICACION!$E$2:$E$500,MATCH("P8|"&amp;CAPTURA!AE5,CODIFICACION!$F$2:$F$500,0))),"⚠"))</f>
        <v/>
      </c>
      <c r="E5" t="str">
        <f>IF(CAPTURA!AG5="","",IFERROR(IF(INDEX(CODIFICACION!$E$2:$E$500,MATCH("P10|"&amp;CAPTURA!AG5,CODIFICACION!$F$2:$F$500,0))="sin dato","",INDEX(CODIFICACION!$E$2:$E$500,MATCH("P10|"&amp;CAPTURA!AG5,CODIFICACION!$F$2:$F$500,0))),"⚠"))</f>
        <v/>
      </c>
      <c r="F5" t="str">
        <f>IF(CAPTURA!AJ5="","",IFERROR(IF(INDEX(CODIFICACION!$E$2:$E$500,MATCH("P13|"&amp;CAPTURA!AJ5,CODIFICACION!$F$2:$F$500,0))="sin dato","",INDEX(CODIFICACION!$E$2:$E$500,MATCH("P13|"&amp;CAPTURA!AJ5,CODIFICACION!$F$2:$F$500,0))),"⚠"))</f>
        <v/>
      </c>
      <c r="G5" t="str">
        <f>IF(CAPTURA!AK5="","",IFERROR(IF(INDEX(CODIFICACION!$E$2:$E$500,MATCH("P14|"&amp;CAPTURA!AK5,CODIFICACION!$F$2:$F$500,0))="sin dato","",INDEX(CODIFICACION!$E$2:$E$500,MATCH("P14|"&amp;CAPTURA!AK5,CODIFICACION!$F$2:$F$500,0))),"⚠"))</f>
        <v/>
      </c>
      <c r="H5" t="str">
        <f>IF(CAPTURA!AL5="","",IFERROR(IF(INDEX(CODIFICACION!$E$2:$E$500,MATCH("D1.1|"&amp;CAPTURA!AL5,CODIFICACION!$F$2:$F$500,0))="sin dato","",INDEX(CODIFICACION!$E$2:$E$500,MATCH("D1.1|"&amp;CAPTURA!AL5,CODIFICACION!$F$2:$F$500,0))),"⚠"))</f>
        <v/>
      </c>
      <c r="I5" t="str">
        <f>IF(CAPTURA!AN5="","",IFERROR(IF(INDEX(CODIFICACION!$E$2:$E$500,MATCH("D1.3|"&amp;CAPTURA!AN5,CODIFICACION!$F$2:$F$500,0))="sin dato","",INDEX(CODIFICACION!$E$2:$E$500,MATCH("D1.3|"&amp;CAPTURA!AN5,CODIFICACION!$F$2:$F$500,0))),"⚠"))</f>
        <v/>
      </c>
      <c r="J5" t="str">
        <f>IF(CAPTURA!AO5="","",IFERROR(IF(INDEX(CODIFICACION!$E$2:$E$500,MATCH("D1.4|"&amp;CAPTURA!AO5,CODIFICACION!$F$2:$F$500,0))="sin dato","",INDEX(CODIFICACION!$E$2:$E$500,MATCH("D1.4|"&amp;CAPTURA!AO5,CODIFICACION!$F$2:$F$500,0))),"⚠"))</f>
        <v/>
      </c>
      <c r="K5" t="str">
        <f>IF(CAPTURA!AP5="","",IFERROR(IF(INDEX(CODIFICACION!$E$2:$E$500,MATCH("D1.3a|"&amp;CAPTURA!AP5,CODIFICACION!$F$2:$F$500,0))="sin dato","",INDEX(CODIFICACION!$E$2:$E$500,MATCH("D1.3a|"&amp;CAPTURA!AP5,CODIFICACION!$F$2:$F$500,0))),"⚠"))</f>
        <v/>
      </c>
      <c r="L5" t="str">
        <f>IF(CAPTURA!AQ5="","",IF(AND(ISNUMBER(CAPTURA!AQ5),CAPTURA!AQ5&gt;=0,CAPTURA!AQ5&lt;=4),CAPTURA!AQ5*25,"⚠"))</f>
        <v/>
      </c>
      <c r="M5" t="str">
        <f>IF(CAPTURA!AR5="","",IF(ISNUMBER(CAPTURA!AR5),MAX(0,MIN(100,CAPTURA!AR5)),"⚠"))</f>
        <v/>
      </c>
      <c r="N5" t="str">
        <f>IF(CAPTURA!AS5="","",IF(AND(ISNUMBER(CAPTURA!AS5),CAPTURA!AS5&gt;=0,CAPTURA!AS5&lt;=4),CAPTURA!AS5*25,"⚠"))</f>
        <v/>
      </c>
      <c r="O5" t="str">
        <f>IF(CAPTURA!AT5="","",IFERROR(IF(INDEX(CODIFICACION!$E$2:$E$500,MATCH("D2.8|"&amp;CAPTURA!AT5,CODIFICACION!$F$2:$F$500,0))="sin dato","",INDEX(CODIFICACION!$E$2:$E$500,MATCH("D2.8|"&amp;CAPTURA!AT5,CODIFICACION!$F$2:$F$500,0))),"⚠"))</f>
        <v/>
      </c>
      <c r="P5" t="str">
        <f>IF(CAPTURA!AU5="","",IFERROR(IF(INDEX(CODIFICACION!$E$2:$E$500,MATCH("D2.9|"&amp;CAPTURA!AU5,CODIFICACION!$F$2:$F$500,0))="sin dato","",INDEX(CODIFICACION!$E$2:$E$500,MATCH("D2.9|"&amp;CAPTURA!AU5,CODIFICACION!$F$2:$F$500,0))),"⚠"))</f>
        <v/>
      </c>
      <c r="Q5" t="str">
        <f>IF(CAPTURA!AV5="","",IFERROR(IF(INDEX(CODIFICACION!$E$2:$E$500,MATCH("D2.10|"&amp;CAPTURA!AV5,CODIFICACION!$F$2:$F$500,0))="sin dato","",INDEX(CODIFICACION!$E$2:$E$500,MATCH("D2.10|"&amp;CAPTURA!AV5,CODIFICACION!$F$2:$F$500,0))),"⚠"))</f>
        <v/>
      </c>
      <c r="R5" t="str">
        <f>IF(CAPTURA!AW5="","",IFERROR(IF(INDEX(CODIFICACION!$E$2:$E$500,MATCH("D2.5a|"&amp;CAPTURA!AW5,CODIFICACION!$F$2:$F$500,0))="sin dato","",INDEX(CODIFICACION!$E$2:$E$500,MATCH("D2.5a|"&amp;CAPTURA!AW5,CODIFICACION!$F$2:$F$500,0))),"⚠"))</f>
        <v/>
      </c>
      <c r="S5" t="str">
        <f>IF(CAPTURA!AX5="","",IFERROR(IF(INDEX(CODIFICACION!$E$2:$E$500,MATCH("D2.5b|"&amp;CAPTURA!AX5,CODIFICACION!$F$2:$F$500,0))="sin dato","",INDEX(CODIFICACION!$E$2:$E$500,MATCH("D2.5b|"&amp;CAPTURA!AX5,CODIFICACION!$F$2:$F$500,0))),"⚠"))</f>
        <v/>
      </c>
      <c r="T5" t="str">
        <f>IF(CAPTURA!AY5="","",IF(ISNUMBER(CAPTURA!AY5),MAX(0,MIN(100,CAPTURA!AY5)),"⚠"))</f>
        <v/>
      </c>
      <c r="U5" t="str">
        <f>IF(CAPTURA!AZ5="","",IFERROR(IF(INDEX(CODIFICACION!$E$2:$E$500,MATCH("D3.12|"&amp;CAPTURA!AZ5,CODIFICACION!$F$2:$F$500,0))="sin dato","",INDEX(CODIFICACION!$E$2:$E$500,MATCH("D3.12|"&amp;CAPTURA!AZ5,CODIFICACION!$F$2:$F$500,0))),"⚠"))</f>
        <v/>
      </c>
      <c r="V5" t="str">
        <f>IF(CAPTURA!BA5="","",IF(AND(ISNUMBER(CAPTURA!BA5),CAPTURA!BA5&gt;=0,CAPTURA!BA5&lt;=4),CAPTURA!BA5*25,"⚠"))</f>
        <v/>
      </c>
      <c r="W5" t="str">
        <f>IF(CAPTURA!BB5="","",IFERROR(IF(INDEX(CODIFICACION!$E$2:$E$500,MATCH("D3.14|"&amp;CAPTURA!BB5,CODIFICACION!$F$2:$F$500,0))="sin dato","",INDEX(CODIFICACION!$E$2:$E$500,MATCH("D3.14|"&amp;CAPTURA!BB5,CODIFICACION!$F$2:$F$500,0))),"⚠"))</f>
        <v/>
      </c>
      <c r="X5" t="str">
        <f>IF(CAPTURA!BC5="","",IFERROR(IF(INDEX(CODIFICACION!$E$2:$E$500,MATCH("D3.14a|"&amp;CAPTURA!BC5,CODIFICACION!$F$2:$F$500,0))="sin dato","",INDEX(CODIFICACION!$E$2:$E$500,MATCH("D3.14a|"&amp;CAPTURA!BC5,CODIFICACION!$F$2:$F$500,0))),"⚠"))</f>
        <v/>
      </c>
      <c r="Y5" t="str">
        <f>IF(CAPTURA!BD5="","",IFERROR(IF(INDEX(CODIFICACION!$E$2:$E$500,MATCH("D3.14b|"&amp;CAPTURA!BD5,CODIFICACION!$F$2:$F$500,0))="sin dato","",INDEX(CODIFICACION!$E$2:$E$500,MATCH("D3.14b|"&amp;CAPTURA!BD5,CODIFICACION!$F$2:$F$500,0))),"⚠"))</f>
        <v/>
      </c>
      <c r="Z5" t="str">
        <f>IF(CAPTURA!BE5="","",IFERROR(IF(INDEX(CODIFICACION!$E$2:$E$500,MATCH("D3.14c|"&amp;CAPTURA!BE5,CODIFICACION!$F$2:$F$500,0))="sin dato","",INDEX(CODIFICACION!$E$2:$E$500,MATCH("D3.14c|"&amp;CAPTURA!BE5,CODIFICACION!$F$2:$F$500,0))),"⚠"))</f>
        <v/>
      </c>
      <c r="AA5" t="str">
        <f>IF(CAPTURA!BF5="","",IFERROR(IF(INDEX(CODIFICACION!$E$2:$E$500,MATCH("D3.14d|"&amp;CAPTURA!BF5,CODIFICACION!$F$2:$F$500,0))="sin dato","",INDEX(CODIFICACION!$E$2:$E$500,MATCH("D3.14d|"&amp;CAPTURA!BF5,CODIFICACION!$F$2:$F$500,0))),"⚠"))</f>
        <v/>
      </c>
      <c r="AB5" t="str">
        <f>IF(CAPTURA!BG5="","",IFERROR(IF(INDEX(CODIFICACION!$E$2:$E$500,MATCH("D3.14e|"&amp;CAPTURA!BG5,CODIFICACION!$F$2:$F$500,0))="sin dato","",INDEX(CODIFICACION!$E$2:$E$500,MATCH("D3.14e|"&amp;CAPTURA!BG5,CODIFICACION!$F$2:$F$500,0))),"⚠"))</f>
        <v/>
      </c>
      <c r="AC5" t="str">
        <f>IF(CAPTURA!BH5="","",IFERROR(IF(INDEX(CODIFICACION!$E$2:$E$500,MATCH("D3.14f|"&amp;CAPTURA!BH5,CODIFICACION!$F$2:$F$500,0))="sin dato","",INDEX(CODIFICACION!$E$2:$E$500,MATCH("D3.14f|"&amp;CAPTURA!BH5,CODIFICACION!$F$2:$F$500,0))),"⚠"))</f>
        <v/>
      </c>
      <c r="AD5" t="str">
        <f>IF(CAPTURA!BI5="","",IFERROR(IF(INDEX(CODIFICACION!$E$2:$E$500,MATCH("D3.14g|"&amp;CAPTURA!BI5,CODIFICACION!$F$2:$F$500,0))="sin dato","",INDEX(CODIFICACION!$E$2:$E$500,MATCH("D3.14g|"&amp;CAPTURA!BI5,CODIFICACION!$F$2:$F$500,0))),"⚠"))</f>
        <v/>
      </c>
      <c r="AE5" t="str">
        <f>IF(CAPTURA!BJ5="","",IFERROR(IF(INDEX(CODIFICACION!$E$2:$E$500,MATCH("D3.14h|"&amp;CAPTURA!BJ5,CODIFICACION!$F$2:$F$500,0))="sin dato","",INDEX(CODIFICACION!$E$2:$E$500,MATCH("D3.14h|"&amp;CAPTURA!BJ5,CODIFICACION!$F$2:$F$500,0))),"⚠"))</f>
        <v/>
      </c>
      <c r="AF5" t="str">
        <f>IF(CAPTURA!BK5="","",IFERROR(IF(INDEX(CODIFICACION!$E$2:$E$500,MATCH("D3.14i|"&amp;CAPTURA!BK5,CODIFICACION!$F$2:$F$500,0))="sin dato","",INDEX(CODIFICACION!$E$2:$E$500,MATCH("D3.14i|"&amp;CAPTURA!BK5,CODIFICACION!$F$2:$F$500,0))),"⚠"))</f>
        <v/>
      </c>
      <c r="AG5" t="str">
        <f>IF(CAPTURA!BL5="","",IFERROR(IF(INDEX(CODIFICACION!$E$2:$E$500,MATCH("D4.15|"&amp;CAPTURA!BL5,CODIFICACION!$F$2:$F$500,0))="sin dato","",INDEX(CODIFICACION!$E$2:$E$500,MATCH("D4.15|"&amp;CAPTURA!BL5,CODIFICACION!$F$2:$F$500,0))),"⚠"))</f>
        <v/>
      </c>
      <c r="AH5" t="str">
        <f>IF(CAPTURA!BM5="","",IF(AND(ISNUMBER(CAPTURA!BM5),CAPTURA!BM5&gt;=0,CAPTURA!BM5&lt;=4),CAPTURA!BM5*25,"⚠"))</f>
        <v/>
      </c>
      <c r="AI5" t="str">
        <f>IF(CAPTURA!BN5="","",IFERROR(IF(INDEX(CODIFICACION!$E$2:$E$500,MATCH("D4.17|"&amp;CAPTURA!BN5,CODIFICACION!$F$2:$F$500,0))="sin dato","",INDEX(CODIFICACION!$E$2:$E$500,MATCH("D4.17|"&amp;CAPTURA!BN5,CODIFICACION!$F$2:$F$500,0))),"⚠"))</f>
        <v/>
      </c>
      <c r="AJ5" t="str">
        <f>IF(CAPTURA!BO5="","",IFERROR(IF(INDEX(CODIFICACION!$E$2:$E$500,MATCH("D4.15a|"&amp;CAPTURA!BO5,CODIFICACION!$F$2:$F$500,0))="sin dato","",INDEX(CODIFICACION!$E$2:$E$500,MATCH("D4.15a|"&amp;CAPTURA!BO5,CODIFICACION!$F$2:$F$500,0))),"⚠"))</f>
        <v/>
      </c>
      <c r="AK5" t="str">
        <f>IF(CAPTURA!BP5="","",IF(AND(ISNUMBER(CAPTURA!BP5),CAPTURA!BP5&gt;=0,CAPTURA!BP5&lt;=4),CAPTURA!BP5*25,"⚠"))</f>
        <v/>
      </c>
      <c r="AL5" t="str">
        <f>IF(CAPTURA!BQ5="","",IF(AND(ISNUMBER(CAPTURA!BQ5),CAPTURA!BQ5&gt;=0,CAPTURA!BQ5&lt;=4),CAPTURA!BQ5*25,"⚠"))</f>
        <v/>
      </c>
      <c r="AM5" t="str">
        <f>IF(CAPTURA!BR5="","",IFERROR(IF(INDEX(CODIFICACION!$E$2:$E$500,MATCH("D5.18b|"&amp;CAPTURA!BR5,CODIFICACION!$F$2:$F$500,0))="sin dato","",INDEX(CODIFICACION!$E$2:$E$500,MATCH("D5.18b|"&amp;CAPTURA!BR5,CODIFICACION!$F$2:$F$500,0))),"⚠"))</f>
        <v/>
      </c>
      <c r="AN5" t="str">
        <f>IF(CAPTURA!BS5="","",IFERROR(IF(INDEX(CODIFICACION!$E$2:$E$500,MATCH("D5.19|"&amp;CAPTURA!BS5,CODIFICACION!$F$2:$F$500,0))="sin dato","",INDEX(CODIFICACION!$E$2:$E$500,MATCH("D5.19|"&amp;CAPTURA!BS5,CODIFICACION!$F$2:$F$500,0))),"⚠"))</f>
        <v/>
      </c>
      <c r="AO5" t="str">
        <f>IF(CAPTURA!BT5="","",MIN(100,ROUND((LEN(CAPTURA!BT5)-LEN(SUBSTITUTE(CAPTURA!BT5,";",""))+1)/7*100,1)))</f>
        <v/>
      </c>
      <c r="AP5" t="str">
        <f>IF(CAPTURA!BU5="","",IFERROR(IF(INDEX(CODIFICACION!$E$2:$E$500,MATCH("D5.20|"&amp;CAPTURA!BU5,CODIFICACION!$F$2:$F$500,0))="sin dato","",INDEX(CODIFICACION!$E$2:$E$500,MATCH("D5.20|"&amp;CAPTURA!BU5,CODIFICACION!$F$2:$F$500,0))),"⚠"))</f>
        <v/>
      </c>
      <c r="AQ5" t="str">
        <f>IF(CAPTURA!BV5="","",IFERROR(IF(INDEX(CODIFICACION!$E$2:$E$500,MATCH("D5.21|"&amp;CAPTURA!BV5,CODIFICACION!$F$2:$F$500,0))="sin dato","",INDEX(CODIFICACION!$E$2:$E$500,MATCH("D5.21|"&amp;CAPTURA!BV5,CODIFICACION!$F$2:$F$500,0))),"⚠"))</f>
        <v/>
      </c>
      <c r="AR5" t="str">
        <f>IF(CAPTURA!BW5="","",IFERROR(IF(INDEX(CODIFICACION!$E$2:$E$500,MATCH("D5.21a|"&amp;CAPTURA!BW5,CODIFICACION!$F$2:$F$500,0))="sin dato","",INDEX(CODIFICACION!$E$2:$E$500,MATCH("D5.21a|"&amp;CAPTURA!BW5,CODIFICACION!$F$2:$F$500,0))),"⚠"))</f>
        <v/>
      </c>
      <c r="AS5" t="str">
        <f>IF(CAPTURA!BX5="","",IFERROR(IF(INDEX(CODIFICACION!$E$2:$E$500,MATCH("D5.21b|"&amp;CAPTURA!BX5,CODIFICACION!$F$2:$F$500,0))="sin dato","",INDEX(CODIFICACION!$E$2:$E$500,MATCH("D5.21b|"&amp;CAPTURA!BX5,CODIFICACION!$F$2:$F$500,0))),"⚠"))</f>
        <v/>
      </c>
      <c r="AT5" t="str">
        <f>IF(CAPTURA!BY5="","",IFERROR(IF(INDEX(CODIFICACION!$E$2:$E$500,MATCH("D6.22|"&amp;CAPTURA!BY5,CODIFICACION!$F$2:$F$500,0))="sin dato","",INDEX(CODIFICACION!$E$2:$E$500,MATCH("D6.22|"&amp;CAPTURA!BY5,CODIFICACION!$F$2:$F$500,0))),"⚠"))</f>
        <v/>
      </c>
      <c r="AU5" t="str">
        <f>IF(CAPTURA!BZ5="","",IFERROR(IF(INDEX(CODIFICACION!$E$2:$E$500,MATCH("D6.22a|"&amp;CAPTURA!BZ5,CODIFICACION!$F$2:$F$500,0))="sin dato","",INDEX(CODIFICACION!$E$2:$E$500,MATCH("D6.22a|"&amp;CAPTURA!BZ5,CODIFICACION!$F$2:$F$500,0))),"⚠"))</f>
        <v/>
      </c>
      <c r="AV5" t="str">
        <f>IF(CAPTURA!CA5="","",IFERROR(IF(INDEX(CODIFICACION!$E$2:$E$500,MATCH("D6.22b|"&amp;CAPTURA!CA5,CODIFICACION!$F$2:$F$500,0))="sin dato","",INDEX(CODIFICACION!$E$2:$E$500,MATCH("D6.22b|"&amp;CAPTURA!CA5,CODIFICACION!$F$2:$F$500,0))),"⚠"))</f>
        <v/>
      </c>
      <c r="AW5" t="str">
        <f>IF(CAPTURA!CB5="","",IFERROR(IF(INDEX(CODIFICACION!$E$2:$E$500,MATCH("D6.23|"&amp;CAPTURA!CB5,CODIFICACION!$F$2:$F$500,0))="sin dato","",INDEX(CODIFICACION!$E$2:$E$500,MATCH("D6.23|"&amp;CAPTURA!CB5,CODIFICACION!$F$2:$F$500,0))),"⚠"))</f>
        <v/>
      </c>
      <c r="AX5" t="str">
        <f>IF(CAPTURA!CC5="","",IFERROR(IF(INDEX(CODIFICACION!$E$2:$E$500,MATCH("D6.24|"&amp;CAPTURA!CC5,CODIFICACION!$F$2:$F$500,0))="sin dato","",INDEX(CODIFICACION!$E$2:$E$500,MATCH("D6.24|"&amp;CAPTURA!CC5,CODIFICACION!$F$2:$F$500,0))),"⚠"))</f>
        <v/>
      </c>
      <c r="AY5" t="str">
        <f>IF(CAPTURA!CD5="","",IFERROR(IF(INDEX(CODIFICACION!$E$2:$E$500,MATCH("D6.25|"&amp;CAPTURA!CD5,CODIFICACION!$F$2:$F$500,0))="sin dato","",INDEX(CODIFICACION!$E$2:$E$500,MATCH("D6.25|"&amp;CAPTURA!CD5,CODIFICACION!$F$2:$F$500,0))),"⚠"))</f>
        <v/>
      </c>
      <c r="AZ5" t="str">
        <f>IF(CAPTURA!CE5="","",IFERROR(IF(INDEX(CODIFICACION!$E$2:$E$500,MATCH("D6.25a|"&amp;CAPTURA!CE5,CODIFICACION!$F$2:$F$500,0))="sin dato","",INDEX(CODIFICACION!$E$2:$E$500,MATCH("D6.25a|"&amp;CAPTURA!CE5,CODIFICACION!$F$2:$F$500,0))),"⚠"))</f>
        <v/>
      </c>
      <c r="BA5" t="str">
        <f>IF(CAPTURA!CF5="","",IFERROR(IF(INDEX(CODIFICACION!$E$2:$E$500,MATCH("D6.25b|"&amp;CAPTURA!CF5,CODIFICACION!$F$2:$F$500,0))="sin dato","",INDEX(CODIFICACION!$E$2:$E$500,MATCH("D6.25b|"&amp;CAPTURA!CF5,CODIFICACION!$F$2:$F$500,0))),"⚠"))</f>
        <v/>
      </c>
      <c r="BB5" t="str">
        <f>IF(CAPTURA!CG5="","",IFERROR(IF(INDEX(CODIFICACION!$E$2:$E$500,MATCH("D6.22c|"&amp;CAPTURA!CG5,CODIFICACION!$F$2:$F$500,0))="sin dato","",INDEX(CODIFICACION!$E$2:$E$500,MATCH("D6.22c|"&amp;CAPTURA!CG5,CODIFICACION!$F$2:$F$500,0))),"⚠"))</f>
        <v/>
      </c>
      <c r="BC5" t="str">
        <f>IF(CAPTURA!CH5="","",IFERROR(IF(INDEX(CODIFICACION!$E$2:$E$500,MATCH("D7.26|"&amp;CAPTURA!CH5,CODIFICACION!$F$2:$F$500,0))="sin dato","",INDEX(CODIFICACION!$E$2:$E$500,MATCH("D7.26|"&amp;CAPTURA!CH5,CODIFICACION!$F$2:$F$500,0))),"⚠"))</f>
        <v/>
      </c>
      <c r="BD5" t="str">
        <f>IF(CAPTURA!CI5="","",IFERROR(IF(INDEX(CODIFICACION!$E$2:$E$500,MATCH("D7.27|"&amp;CAPTURA!CI5,CODIFICACION!$F$2:$F$500,0))="sin dato","",INDEX(CODIFICACION!$E$2:$E$500,MATCH("D7.27|"&amp;CAPTURA!CI5,CODIFICACION!$F$2:$F$500,0))),"⚠"))</f>
        <v/>
      </c>
      <c r="BE5" t="str">
        <f>IF(CAPTURA!CJ5="","",IFERROR(IF(INDEX(CODIFICACION!$E$2:$E$500,MATCH("D7.28|"&amp;CAPTURA!CJ5,CODIFICACION!$F$2:$F$500,0))="sin dato","",INDEX(CODIFICACION!$E$2:$E$500,MATCH("D7.28|"&amp;CAPTURA!CJ5,CODIFICACION!$F$2:$F$500,0))),"⚠"))</f>
        <v/>
      </c>
      <c r="BF5" t="str">
        <f>IF(CAPTURA!CK5="","",IFERROR(IF(INDEX(CODIFICACION!$E$2:$E$500,MATCH("D7.28b|"&amp;CAPTURA!CK5,CODIFICACION!$F$2:$F$500,0))="sin dato","",INDEX(CODIFICACION!$E$2:$E$500,MATCH("D7.28b|"&amp;CAPTURA!CK5,CODIFICACION!$F$2:$F$500,0))),"⚠"))</f>
        <v/>
      </c>
      <c r="BG5" t="str">
        <f>IF(CAPTURA!CL5="","",MIN(100,ROUND((LEN(CAPTURA!CL5)-LEN(SUBSTITUTE(CAPTURA!CL5,";",""))+1)/8*100,1)))</f>
        <v/>
      </c>
      <c r="BH5" t="str">
        <f>IF(CAPTURA!CM5="","",IFERROR(IF(INDEX(CODIFICACION!$E$2:$E$500,MATCH("D7.26a|"&amp;CAPTURA!CM5,CODIFICACION!$F$2:$F$500,0))="sin dato","",INDEX(CODIFICACION!$E$2:$E$500,MATCH("D7.26a|"&amp;CAPTURA!CM5,CODIFICACION!$F$2:$F$500,0))),"⚠"))</f>
        <v/>
      </c>
      <c r="BI5" t="str">
        <f>IF(CAPTURA!CN5="","",IFERROR(IF(INDEX(CODIFICACION!$E$2:$E$500,MATCH("D7.26b|"&amp;CAPTURA!CN5,CODIFICACION!$F$2:$F$500,0))="sin dato","",INDEX(CODIFICACION!$E$2:$E$500,MATCH("D7.26b|"&amp;CAPTURA!CN5,CODIFICACION!$F$2:$F$500,0))),"⚠"))</f>
        <v/>
      </c>
      <c r="BJ5" t="str">
        <f>IF(CAPTURA!CO5="","",IF(AND(ISNUMBER(CAPTURA!CO5),CAPTURA!CO5&gt;=0,CAPTURA!CO5&lt;=4),CAPTURA!CO5*25,"⚠"))</f>
        <v/>
      </c>
      <c r="BK5" t="str">
        <f>IF(CAPTURA!CP5="","",IF(ISNUMBER(CAPTURA!CP5),MAX(0,MIN(100,CAPTURA!CP5)),"⚠"))</f>
        <v/>
      </c>
      <c r="BL5" t="str">
        <f>IF(CAPTURA!CQ5="","",IFERROR(IF(INDEX(CODIFICACION!$E$2:$E$500,MATCH("D8.31|"&amp;CAPTURA!CQ5,CODIFICACION!$F$2:$F$500,0))="sin dato","",INDEX(CODIFICACION!$E$2:$E$500,MATCH("D8.31|"&amp;CAPTURA!CQ5,CODIFICACION!$F$2:$F$500,0))),"⚠"))</f>
        <v/>
      </c>
      <c r="BM5" t="str">
        <f>IF(CAPTURA!CR5="","",IFERROR(IF(INDEX(CODIFICACION!$E$2:$E$500,MATCH("D8.32|"&amp;CAPTURA!CR5,CODIFICACION!$F$2:$F$500,0))="sin dato","",INDEX(CODIFICACION!$E$2:$E$500,MATCH("D8.32|"&amp;CAPTURA!CR5,CODIFICACION!$F$2:$F$500,0))),"⚠"))</f>
        <v/>
      </c>
      <c r="BN5" t="str">
        <f>IF(CAPTURA!CS5="","",IFERROR(IF(INDEX(CODIFICACION!$E$2:$E$500,MATCH("D9.33|"&amp;CAPTURA!CS5,CODIFICACION!$F$2:$F$500,0))="sin dato","",INDEX(CODIFICACION!$E$2:$E$500,MATCH("D9.33|"&amp;CAPTURA!CS5,CODIFICACION!$F$2:$F$500,0))),"⚠"))</f>
        <v/>
      </c>
      <c r="BO5" t="str">
        <f>IF(CAPTURA!CT5="","",IFERROR(IF(INDEX(CODIFICACION!$E$2:$E$500,MATCH("D9.34|"&amp;CAPTURA!CT5,CODIFICACION!$F$2:$F$500,0))="sin dato","",INDEX(CODIFICACION!$E$2:$E$500,MATCH("D9.34|"&amp;CAPTURA!CT5,CODIFICACION!$F$2:$F$500,0))),"⚠"))</f>
        <v/>
      </c>
      <c r="BP5" t="str">
        <f>IF(CAPTURA!CU5="","",IFERROR(IF(INDEX(CODIFICACION!$E$2:$E$500,MATCH("D9.35|"&amp;CAPTURA!CU5,CODIFICACION!$F$2:$F$500,0))="sin dato","",INDEX(CODIFICACION!$E$2:$E$500,MATCH("D9.35|"&amp;CAPTURA!CU5,CODIFICACION!$F$2:$F$500,0))),"⚠"))</f>
        <v/>
      </c>
      <c r="BQ5" t="str">
        <f>IF(CAPTURA!CV5="","",IFERROR(IF(INDEX(CODIFICACION!$E$2:$E$500,MATCH("D10.36|"&amp;CAPTURA!CV5,CODIFICACION!$F$2:$F$500,0))="sin dato","",INDEX(CODIFICACION!$E$2:$E$500,MATCH("D10.36|"&amp;CAPTURA!CV5,CODIFICACION!$F$2:$F$500,0))),"⚠"))</f>
        <v/>
      </c>
      <c r="BR5" t="str">
        <f>IF(CAPTURA!CW5="","",IFERROR(IF(INDEX(CODIFICACION!$E$2:$E$500,MATCH("D10.37|"&amp;CAPTURA!CW5,CODIFICACION!$F$2:$F$500,0))="sin dato","",INDEX(CODIFICACION!$E$2:$E$500,MATCH("D10.37|"&amp;CAPTURA!CW5,CODIFICACION!$F$2:$F$500,0))),"⚠"))</f>
        <v/>
      </c>
      <c r="BS5" t="str">
        <f>IF(CAPTURA!CX5="","",IFERROR(IF(INDEX(CODIFICACION!$E$2:$E$500,MATCH("D10.36a|"&amp;CAPTURA!CX5,CODIFICACION!$F$2:$F$500,0))="sin dato","",INDEX(CODIFICACION!$E$2:$E$500,MATCH("D10.36a|"&amp;CAPTURA!CX5,CODIFICACION!$F$2:$F$500,0))),"⚠"))</f>
        <v/>
      </c>
      <c r="BT5" t="str">
        <f>IF(CAPTURA!CY5="","",IF(ISNUMBER(SEARCH("Ninguno",CAPTURA!CY5)),0,MIN(100,ROUND((LEN(CAPTURA!CY5)-LEN(SUBSTITUTE(CAPTURA!CY5,";",""))+1)/6*100,1))))</f>
        <v/>
      </c>
      <c r="BU5" t="str">
        <f>IF(CAPTURA!DA5="","",IFERROR(IF(INDEX(CODIFICACION!$E$2:$E$500,MATCH("D11.39a|"&amp;CAPTURA!DA5,CODIFICACION!$F$2:$F$500,0))="sin dato","",INDEX(CODIFICACION!$E$2:$E$500,MATCH("D11.39a|"&amp;CAPTURA!DA5,CODIFICACION!$F$2:$F$500,0))),"⚠"))</f>
        <v/>
      </c>
      <c r="BV5" t="str">
        <f>IF(CAPTURA!DB5="","",IFERROR(IF(INDEX(CODIFICACION!$E$2:$E$500,MATCH("D12.42|"&amp;CAPTURA!DB5,CODIFICACION!$F$2:$F$500,0))="sin dato","",INDEX(CODIFICACION!$E$2:$E$500,MATCH("D12.42|"&amp;CAPTURA!DB5,CODIFICACION!$F$2:$F$500,0))),"⚠"))</f>
        <v/>
      </c>
      <c r="BW5" t="str">
        <f>IF(CAPTURA!DC5="","",IFERROR(IF(INDEX(CODIFICACION!$E$2:$E$500,MATCH("D13.45|"&amp;CAPTURA!DC5,CODIFICACION!$F$2:$F$500,0))="sin dato","",INDEX(CODIFICACION!$E$2:$E$500,MATCH("D13.45|"&amp;CAPTURA!DC5,CODIFICACION!$F$2:$F$500,0))),"⚠"))</f>
        <v/>
      </c>
      <c r="BX5" t="str">
        <f>IF(CAPTURA!DD5="","",IFERROR(IF(INDEX(CODIFICACION!$E$2:$E$500,MATCH("D14.51|"&amp;CAPTURA!DD5,CODIFICACION!$F$2:$F$500,0))="sin dato","",INDEX(CODIFICACION!$E$2:$E$500,MATCH("D14.51|"&amp;CAPTURA!DD5,CODIFICACION!$F$2:$F$500,0))),"⚠"))</f>
        <v/>
      </c>
      <c r="BY5" t="str">
        <f>IF(CAPTURA!DE5="","",IFERROR(IF(INDEX(CODIFICACION!$E$2:$E$500,MATCH("D15.58|"&amp;CAPTURA!DE5,CODIFICACION!$F$2:$F$500,0))="sin dato","",INDEX(CODIFICACION!$E$2:$E$500,MATCH("D15.58|"&amp;CAPTURA!DE5,CODIFICACION!$F$2:$F$500,0))),"⚠"))</f>
        <v/>
      </c>
      <c r="BZ5" t="str">
        <f>IF(CAPTURA!DF5="","",IFERROR(IF(INDEX(CODIFICACION!$E$2:$E$500,MATCH("PP1|"&amp;CAPTURA!DF5,CODIFICACION!$F$2:$F$500,0))="sin dato","",INDEX(CODIFICACION!$E$2:$E$500,MATCH("PP1|"&amp;CAPTURA!DF5,CODIFICACION!$F$2:$F$500,0))),"⚠"))</f>
        <v/>
      </c>
      <c r="CA5" t="str">
        <f>IF(CAPTURA!DG5="","",IFERROR(IF(INDEX(CODIFICACION!$E$2:$E$500,MATCH("PP2|"&amp;CAPTURA!DG5,CODIFICACION!$F$2:$F$500,0))="sin dato","",INDEX(CODIFICACION!$E$2:$E$500,MATCH("PP2|"&amp;CAPTURA!DG5,CODIFICACION!$F$2:$F$500,0))),"⚠"))</f>
        <v/>
      </c>
      <c r="CB5" t="str">
        <f t="shared" si="0"/>
        <v/>
      </c>
      <c r="CC5" t="str">
        <f t="shared" si="1"/>
        <v/>
      </c>
      <c r="CD5" t="str">
        <f t="shared" si="2"/>
        <v/>
      </c>
      <c r="CE5" t="str">
        <f t="shared" si="3"/>
        <v/>
      </c>
      <c r="CF5" t="str">
        <f t="shared" si="4"/>
        <v/>
      </c>
      <c r="CG5" t="str">
        <f t="shared" si="5"/>
        <v/>
      </c>
      <c r="CH5" t="str">
        <f t="shared" si="6"/>
        <v/>
      </c>
      <c r="CI5" t="str">
        <f t="shared" si="7"/>
        <v/>
      </c>
      <c r="CJ5" t="str">
        <f t="shared" si="8"/>
        <v/>
      </c>
      <c r="CK5" t="str">
        <f t="shared" si="9"/>
        <v/>
      </c>
      <c r="CL5" t="str">
        <f t="shared" si="10"/>
        <v/>
      </c>
    </row>
    <row r="6" spans="1:90" x14ac:dyDescent="0.3">
      <c r="A6">
        <f>CAPTURA!A6</f>
        <v>20132489824</v>
      </c>
      <c r="B6">
        <f>CAPTURA!C6</f>
        <v>0</v>
      </c>
      <c r="C6" t="str">
        <f>IF(CAPTURA!M6="","",ROUND((ISNUMBER(SEARCH("Alemania",CAPTURA!M6))+ISNUMBER(SEARCH("Bélgica",CAPTURA!M6))+ISNUMBER(SEARCH("Países Bajos",CAPTURA!M6))+ISNUMBER(SEARCH("Francia",CAPTURA!M6))+ISNUMBER(SEARCH("Italia",CAPTURA!M6))+ISNUMBER(SEARCH("España",CAPTURA!M6))+ISNUMBER(SEARCH("Suecia",CAPTURA!M6))+ISNUMBER(SEARCH("Dinamarca",CAPTURA!M6)))/((LEN(CAPTURA!M6)-LEN(SUBSTITUTE(CAPTURA!M6,";","")))+1)*100,1))</f>
        <v/>
      </c>
      <c r="D6" t="str">
        <f>IF(CAPTURA!AE6="","",IFERROR(IF(INDEX(CODIFICACION!$E$2:$E$500,MATCH("P8|"&amp;CAPTURA!AE6,CODIFICACION!$F$2:$F$500,0))="sin dato","",INDEX(CODIFICACION!$E$2:$E$500,MATCH("P8|"&amp;CAPTURA!AE6,CODIFICACION!$F$2:$F$500,0))),"⚠"))</f>
        <v/>
      </c>
      <c r="E6" t="str">
        <f>IF(CAPTURA!AG6="","",IFERROR(IF(INDEX(CODIFICACION!$E$2:$E$500,MATCH("P10|"&amp;CAPTURA!AG6,CODIFICACION!$F$2:$F$500,0))="sin dato","",INDEX(CODIFICACION!$E$2:$E$500,MATCH("P10|"&amp;CAPTURA!AG6,CODIFICACION!$F$2:$F$500,0))),"⚠"))</f>
        <v/>
      </c>
      <c r="F6" t="str">
        <f>IF(CAPTURA!AJ6="","",IFERROR(IF(INDEX(CODIFICACION!$E$2:$E$500,MATCH("P13|"&amp;CAPTURA!AJ6,CODIFICACION!$F$2:$F$500,0))="sin dato","",INDEX(CODIFICACION!$E$2:$E$500,MATCH("P13|"&amp;CAPTURA!AJ6,CODIFICACION!$F$2:$F$500,0))),"⚠"))</f>
        <v/>
      </c>
      <c r="G6" t="str">
        <f>IF(CAPTURA!AK6="","",IFERROR(IF(INDEX(CODIFICACION!$E$2:$E$500,MATCH("P14|"&amp;CAPTURA!AK6,CODIFICACION!$F$2:$F$500,0))="sin dato","",INDEX(CODIFICACION!$E$2:$E$500,MATCH("P14|"&amp;CAPTURA!AK6,CODIFICACION!$F$2:$F$500,0))),"⚠"))</f>
        <v/>
      </c>
      <c r="H6" t="str">
        <f>IF(CAPTURA!AL6="","",IFERROR(IF(INDEX(CODIFICACION!$E$2:$E$500,MATCH("D1.1|"&amp;CAPTURA!AL6,CODIFICACION!$F$2:$F$500,0))="sin dato","",INDEX(CODIFICACION!$E$2:$E$500,MATCH("D1.1|"&amp;CAPTURA!AL6,CODIFICACION!$F$2:$F$500,0))),"⚠"))</f>
        <v/>
      </c>
      <c r="I6" t="str">
        <f>IF(CAPTURA!AN6="","",IFERROR(IF(INDEX(CODIFICACION!$E$2:$E$500,MATCH("D1.3|"&amp;CAPTURA!AN6,CODIFICACION!$F$2:$F$500,0))="sin dato","",INDEX(CODIFICACION!$E$2:$E$500,MATCH("D1.3|"&amp;CAPTURA!AN6,CODIFICACION!$F$2:$F$500,0))),"⚠"))</f>
        <v/>
      </c>
      <c r="J6" t="str">
        <f>IF(CAPTURA!AO6="","",IFERROR(IF(INDEX(CODIFICACION!$E$2:$E$500,MATCH("D1.4|"&amp;CAPTURA!AO6,CODIFICACION!$F$2:$F$500,0))="sin dato","",INDEX(CODIFICACION!$E$2:$E$500,MATCH("D1.4|"&amp;CAPTURA!AO6,CODIFICACION!$F$2:$F$500,0))),"⚠"))</f>
        <v/>
      </c>
      <c r="K6" t="str">
        <f>IF(CAPTURA!AP6="","",IFERROR(IF(INDEX(CODIFICACION!$E$2:$E$500,MATCH("D1.3a|"&amp;CAPTURA!AP6,CODIFICACION!$F$2:$F$500,0))="sin dato","",INDEX(CODIFICACION!$E$2:$E$500,MATCH("D1.3a|"&amp;CAPTURA!AP6,CODIFICACION!$F$2:$F$500,0))),"⚠"))</f>
        <v/>
      </c>
      <c r="L6" t="str">
        <f>IF(CAPTURA!AQ6="","",IF(AND(ISNUMBER(CAPTURA!AQ6),CAPTURA!AQ6&gt;=0,CAPTURA!AQ6&lt;=4),CAPTURA!AQ6*25,"⚠"))</f>
        <v/>
      </c>
      <c r="M6" t="str">
        <f>IF(CAPTURA!AR6="","",IF(ISNUMBER(CAPTURA!AR6),MAX(0,MIN(100,CAPTURA!AR6)),"⚠"))</f>
        <v/>
      </c>
      <c r="N6" t="str">
        <f>IF(CAPTURA!AS6="","",IF(AND(ISNUMBER(CAPTURA!AS6),CAPTURA!AS6&gt;=0,CAPTURA!AS6&lt;=4),CAPTURA!AS6*25,"⚠"))</f>
        <v/>
      </c>
      <c r="O6" t="str">
        <f>IF(CAPTURA!AT6="","",IFERROR(IF(INDEX(CODIFICACION!$E$2:$E$500,MATCH("D2.8|"&amp;CAPTURA!AT6,CODIFICACION!$F$2:$F$500,0))="sin dato","",INDEX(CODIFICACION!$E$2:$E$500,MATCH("D2.8|"&amp;CAPTURA!AT6,CODIFICACION!$F$2:$F$500,0))),"⚠"))</f>
        <v/>
      </c>
      <c r="P6" t="str">
        <f>IF(CAPTURA!AU6="","",IFERROR(IF(INDEX(CODIFICACION!$E$2:$E$500,MATCH("D2.9|"&amp;CAPTURA!AU6,CODIFICACION!$F$2:$F$500,0))="sin dato","",INDEX(CODIFICACION!$E$2:$E$500,MATCH("D2.9|"&amp;CAPTURA!AU6,CODIFICACION!$F$2:$F$500,0))),"⚠"))</f>
        <v/>
      </c>
      <c r="Q6" t="str">
        <f>IF(CAPTURA!AV6="","",IFERROR(IF(INDEX(CODIFICACION!$E$2:$E$500,MATCH("D2.10|"&amp;CAPTURA!AV6,CODIFICACION!$F$2:$F$500,0))="sin dato","",INDEX(CODIFICACION!$E$2:$E$500,MATCH("D2.10|"&amp;CAPTURA!AV6,CODIFICACION!$F$2:$F$500,0))),"⚠"))</f>
        <v/>
      </c>
      <c r="R6" t="str">
        <f>IF(CAPTURA!AW6="","",IFERROR(IF(INDEX(CODIFICACION!$E$2:$E$500,MATCH("D2.5a|"&amp;CAPTURA!AW6,CODIFICACION!$F$2:$F$500,0))="sin dato","",INDEX(CODIFICACION!$E$2:$E$500,MATCH("D2.5a|"&amp;CAPTURA!AW6,CODIFICACION!$F$2:$F$500,0))),"⚠"))</f>
        <v/>
      </c>
      <c r="S6" t="str">
        <f>IF(CAPTURA!AX6="","",IFERROR(IF(INDEX(CODIFICACION!$E$2:$E$500,MATCH("D2.5b|"&amp;CAPTURA!AX6,CODIFICACION!$F$2:$F$500,0))="sin dato","",INDEX(CODIFICACION!$E$2:$E$500,MATCH("D2.5b|"&amp;CAPTURA!AX6,CODIFICACION!$F$2:$F$500,0))),"⚠"))</f>
        <v/>
      </c>
      <c r="T6" t="str">
        <f>IF(CAPTURA!AY6="","",IF(ISNUMBER(CAPTURA!AY6),MAX(0,MIN(100,CAPTURA!AY6)),"⚠"))</f>
        <v/>
      </c>
      <c r="U6" t="str">
        <f>IF(CAPTURA!AZ6="","",IFERROR(IF(INDEX(CODIFICACION!$E$2:$E$500,MATCH("D3.12|"&amp;CAPTURA!AZ6,CODIFICACION!$F$2:$F$500,0))="sin dato","",INDEX(CODIFICACION!$E$2:$E$500,MATCH("D3.12|"&amp;CAPTURA!AZ6,CODIFICACION!$F$2:$F$500,0))),"⚠"))</f>
        <v/>
      </c>
      <c r="V6" t="str">
        <f>IF(CAPTURA!BA6="","",IF(AND(ISNUMBER(CAPTURA!BA6),CAPTURA!BA6&gt;=0,CAPTURA!BA6&lt;=4),CAPTURA!BA6*25,"⚠"))</f>
        <v/>
      </c>
      <c r="W6" t="str">
        <f>IF(CAPTURA!BB6="","",IFERROR(IF(INDEX(CODIFICACION!$E$2:$E$500,MATCH("D3.14|"&amp;CAPTURA!BB6,CODIFICACION!$F$2:$F$500,0))="sin dato","",INDEX(CODIFICACION!$E$2:$E$500,MATCH("D3.14|"&amp;CAPTURA!BB6,CODIFICACION!$F$2:$F$500,0))),"⚠"))</f>
        <v/>
      </c>
      <c r="X6" t="str">
        <f>IF(CAPTURA!BC6="","",IFERROR(IF(INDEX(CODIFICACION!$E$2:$E$500,MATCH("D3.14a|"&amp;CAPTURA!BC6,CODIFICACION!$F$2:$F$500,0))="sin dato","",INDEX(CODIFICACION!$E$2:$E$500,MATCH("D3.14a|"&amp;CAPTURA!BC6,CODIFICACION!$F$2:$F$500,0))),"⚠"))</f>
        <v/>
      </c>
      <c r="Y6" t="str">
        <f>IF(CAPTURA!BD6="","",IFERROR(IF(INDEX(CODIFICACION!$E$2:$E$500,MATCH("D3.14b|"&amp;CAPTURA!BD6,CODIFICACION!$F$2:$F$500,0))="sin dato","",INDEX(CODIFICACION!$E$2:$E$500,MATCH("D3.14b|"&amp;CAPTURA!BD6,CODIFICACION!$F$2:$F$500,0))),"⚠"))</f>
        <v/>
      </c>
      <c r="Z6" t="str">
        <f>IF(CAPTURA!BE6="","",IFERROR(IF(INDEX(CODIFICACION!$E$2:$E$500,MATCH("D3.14c|"&amp;CAPTURA!BE6,CODIFICACION!$F$2:$F$500,0))="sin dato","",INDEX(CODIFICACION!$E$2:$E$500,MATCH("D3.14c|"&amp;CAPTURA!BE6,CODIFICACION!$F$2:$F$500,0))),"⚠"))</f>
        <v/>
      </c>
      <c r="AA6" t="str">
        <f>IF(CAPTURA!BF6="","",IFERROR(IF(INDEX(CODIFICACION!$E$2:$E$500,MATCH("D3.14d|"&amp;CAPTURA!BF6,CODIFICACION!$F$2:$F$500,0))="sin dato","",INDEX(CODIFICACION!$E$2:$E$500,MATCH("D3.14d|"&amp;CAPTURA!BF6,CODIFICACION!$F$2:$F$500,0))),"⚠"))</f>
        <v/>
      </c>
      <c r="AB6" t="str">
        <f>IF(CAPTURA!BG6="","",IFERROR(IF(INDEX(CODIFICACION!$E$2:$E$500,MATCH("D3.14e|"&amp;CAPTURA!BG6,CODIFICACION!$F$2:$F$500,0))="sin dato","",INDEX(CODIFICACION!$E$2:$E$500,MATCH("D3.14e|"&amp;CAPTURA!BG6,CODIFICACION!$F$2:$F$500,0))),"⚠"))</f>
        <v/>
      </c>
      <c r="AC6" t="str">
        <f>IF(CAPTURA!BH6="","",IFERROR(IF(INDEX(CODIFICACION!$E$2:$E$500,MATCH("D3.14f|"&amp;CAPTURA!BH6,CODIFICACION!$F$2:$F$500,0))="sin dato","",INDEX(CODIFICACION!$E$2:$E$500,MATCH("D3.14f|"&amp;CAPTURA!BH6,CODIFICACION!$F$2:$F$500,0))),"⚠"))</f>
        <v/>
      </c>
      <c r="AD6" t="str">
        <f>IF(CAPTURA!BI6="","",IFERROR(IF(INDEX(CODIFICACION!$E$2:$E$500,MATCH("D3.14g|"&amp;CAPTURA!BI6,CODIFICACION!$F$2:$F$500,0))="sin dato","",INDEX(CODIFICACION!$E$2:$E$500,MATCH("D3.14g|"&amp;CAPTURA!BI6,CODIFICACION!$F$2:$F$500,0))),"⚠"))</f>
        <v/>
      </c>
      <c r="AE6" t="str">
        <f>IF(CAPTURA!BJ6="","",IFERROR(IF(INDEX(CODIFICACION!$E$2:$E$500,MATCH("D3.14h|"&amp;CAPTURA!BJ6,CODIFICACION!$F$2:$F$500,0))="sin dato","",INDEX(CODIFICACION!$E$2:$E$500,MATCH("D3.14h|"&amp;CAPTURA!BJ6,CODIFICACION!$F$2:$F$500,0))),"⚠"))</f>
        <v/>
      </c>
      <c r="AF6" t="str">
        <f>IF(CAPTURA!BK6="","",IFERROR(IF(INDEX(CODIFICACION!$E$2:$E$500,MATCH("D3.14i|"&amp;CAPTURA!BK6,CODIFICACION!$F$2:$F$500,0))="sin dato","",INDEX(CODIFICACION!$E$2:$E$500,MATCH("D3.14i|"&amp;CAPTURA!BK6,CODIFICACION!$F$2:$F$500,0))),"⚠"))</f>
        <v/>
      </c>
      <c r="AG6" t="str">
        <f>IF(CAPTURA!BL6="","",IFERROR(IF(INDEX(CODIFICACION!$E$2:$E$500,MATCH("D4.15|"&amp;CAPTURA!BL6,CODIFICACION!$F$2:$F$500,0))="sin dato","",INDEX(CODIFICACION!$E$2:$E$500,MATCH("D4.15|"&amp;CAPTURA!BL6,CODIFICACION!$F$2:$F$500,0))),"⚠"))</f>
        <v/>
      </c>
      <c r="AH6" t="str">
        <f>IF(CAPTURA!BM6="","",IF(AND(ISNUMBER(CAPTURA!BM6),CAPTURA!BM6&gt;=0,CAPTURA!BM6&lt;=4),CAPTURA!BM6*25,"⚠"))</f>
        <v/>
      </c>
      <c r="AI6" t="str">
        <f>IF(CAPTURA!BN6="","",IFERROR(IF(INDEX(CODIFICACION!$E$2:$E$500,MATCH("D4.17|"&amp;CAPTURA!BN6,CODIFICACION!$F$2:$F$500,0))="sin dato","",INDEX(CODIFICACION!$E$2:$E$500,MATCH("D4.17|"&amp;CAPTURA!BN6,CODIFICACION!$F$2:$F$500,0))),"⚠"))</f>
        <v/>
      </c>
      <c r="AJ6" t="str">
        <f>IF(CAPTURA!BO6="","",IFERROR(IF(INDEX(CODIFICACION!$E$2:$E$500,MATCH("D4.15a|"&amp;CAPTURA!BO6,CODIFICACION!$F$2:$F$500,0))="sin dato","",INDEX(CODIFICACION!$E$2:$E$500,MATCH("D4.15a|"&amp;CAPTURA!BO6,CODIFICACION!$F$2:$F$500,0))),"⚠"))</f>
        <v/>
      </c>
      <c r="AK6" t="str">
        <f>IF(CAPTURA!BP6="","",IF(AND(ISNUMBER(CAPTURA!BP6),CAPTURA!BP6&gt;=0,CAPTURA!BP6&lt;=4),CAPTURA!BP6*25,"⚠"))</f>
        <v/>
      </c>
      <c r="AL6" t="str">
        <f>IF(CAPTURA!BQ6="","",IF(AND(ISNUMBER(CAPTURA!BQ6),CAPTURA!BQ6&gt;=0,CAPTURA!BQ6&lt;=4),CAPTURA!BQ6*25,"⚠"))</f>
        <v/>
      </c>
      <c r="AM6" t="str">
        <f>IF(CAPTURA!BR6="","",IFERROR(IF(INDEX(CODIFICACION!$E$2:$E$500,MATCH("D5.18b|"&amp;CAPTURA!BR6,CODIFICACION!$F$2:$F$500,0))="sin dato","",INDEX(CODIFICACION!$E$2:$E$500,MATCH("D5.18b|"&amp;CAPTURA!BR6,CODIFICACION!$F$2:$F$500,0))),"⚠"))</f>
        <v/>
      </c>
      <c r="AN6" t="str">
        <f>IF(CAPTURA!BS6="","",IFERROR(IF(INDEX(CODIFICACION!$E$2:$E$500,MATCH("D5.19|"&amp;CAPTURA!BS6,CODIFICACION!$F$2:$F$500,0))="sin dato","",INDEX(CODIFICACION!$E$2:$E$500,MATCH("D5.19|"&amp;CAPTURA!BS6,CODIFICACION!$F$2:$F$500,0))),"⚠"))</f>
        <v/>
      </c>
      <c r="AO6" t="str">
        <f>IF(CAPTURA!BT6="","",MIN(100,ROUND((LEN(CAPTURA!BT6)-LEN(SUBSTITUTE(CAPTURA!BT6,";",""))+1)/7*100,1)))</f>
        <v/>
      </c>
      <c r="AP6" t="str">
        <f>IF(CAPTURA!BU6="","",IFERROR(IF(INDEX(CODIFICACION!$E$2:$E$500,MATCH("D5.20|"&amp;CAPTURA!BU6,CODIFICACION!$F$2:$F$500,0))="sin dato","",INDEX(CODIFICACION!$E$2:$E$500,MATCH("D5.20|"&amp;CAPTURA!BU6,CODIFICACION!$F$2:$F$500,0))),"⚠"))</f>
        <v/>
      </c>
      <c r="AQ6" t="str">
        <f>IF(CAPTURA!BV6="","",IFERROR(IF(INDEX(CODIFICACION!$E$2:$E$500,MATCH("D5.21|"&amp;CAPTURA!BV6,CODIFICACION!$F$2:$F$500,0))="sin dato","",INDEX(CODIFICACION!$E$2:$E$500,MATCH("D5.21|"&amp;CAPTURA!BV6,CODIFICACION!$F$2:$F$500,0))),"⚠"))</f>
        <v/>
      </c>
      <c r="AR6" t="str">
        <f>IF(CAPTURA!BW6="","",IFERROR(IF(INDEX(CODIFICACION!$E$2:$E$500,MATCH("D5.21a|"&amp;CAPTURA!BW6,CODIFICACION!$F$2:$F$500,0))="sin dato","",INDEX(CODIFICACION!$E$2:$E$500,MATCH("D5.21a|"&amp;CAPTURA!BW6,CODIFICACION!$F$2:$F$500,0))),"⚠"))</f>
        <v/>
      </c>
      <c r="AS6" t="str">
        <f>IF(CAPTURA!BX6="","",IFERROR(IF(INDEX(CODIFICACION!$E$2:$E$500,MATCH("D5.21b|"&amp;CAPTURA!BX6,CODIFICACION!$F$2:$F$500,0))="sin dato","",INDEX(CODIFICACION!$E$2:$E$500,MATCH("D5.21b|"&amp;CAPTURA!BX6,CODIFICACION!$F$2:$F$500,0))),"⚠"))</f>
        <v/>
      </c>
      <c r="AT6" t="str">
        <f>IF(CAPTURA!BY6="","",IFERROR(IF(INDEX(CODIFICACION!$E$2:$E$500,MATCH("D6.22|"&amp;CAPTURA!BY6,CODIFICACION!$F$2:$F$500,0))="sin dato","",INDEX(CODIFICACION!$E$2:$E$500,MATCH("D6.22|"&amp;CAPTURA!BY6,CODIFICACION!$F$2:$F$500,0))),"⚠"))</f>
        <v/>
      </c>
      <c r="AU6" t="str">
        <f>IF(CAPTURA!BZ6="","",IFERROR(IF(INDEX(CODIFICACION!$E$2:$E$500,MATCH("D6.22a|"&amp;CAPTURA!BZ6,CODIFICACION!$F$2:$F$500,0))="sin dato","",INDEX(CODIFICACION!$E$2:$E$500,MATCH("D6.22a|"&amp;CAPTURA!BZ6,CODIFICACION!$F$2:$F$500,0))),"⚠"))</f>
        <v/>
      </c>
      <c r="AV6" t="str">
        <f>IF(CAPTURA!CA6="","",IFERROR(IF(INDEX(CODIFICACION!$E$2:$E$500,MATCH("D6.22b|"&amp;CAPTURA!CA6,CODIFICACION!$F$2:$F$500,0))="sin dato","",INDEX(CODIFICACION!$E$2:$E$500,MATCH("D6.22b|"&amp;CAPTURA!CA6,CODIFICACION!$F$2:$F$500,0))),"⚠"))</f>
        <v/>
      </c>
      <c r="AW6" t="str">
        <f>IF(CAPTURA!CB6="","",IFERROR(IF(INDEX(CODIFICACION!$E$2:$E$500,MATCH("D6.23|"&amp;CAPTURA!CB6,CODIFICACION!$F$2:$F$500,0))="sin dato","",INDEX(CODIFICACION!$E$2:$E$500,MATCH("D6.23|"&amp;CAPTURA!CB6,CODIFICACION!$F$2:$F$500,0))),"⚠"))</f>
        <v/>
      </c>
      <c r="AX6" t="str">
        <f>IF(CAPTURA!CC6="","",IFERROR(IF(INDEX(CODIFICACION!$E$2:$E$500,MATCH("D6.24|"&amp;CAPTURA!CC6,CODIFICACION!$F$2:$F$500,0))="sin dato","",INDEX(CODIFICACION!$E$2:$E$500,MATCH("D6.24|"&amp;CAPTURA!CC6,CODIFICACION!$F$2:$F$500,0))),"⚠"))</f>
        <v/>
      </c>
      <c r="AY6" t="str">
        <f>IF(CAPTURA!CD6="","",IFERROR(IF(INDEX(CODIFICACION!$E$2:$E$500,MATCH("D6.25|"&amp;CAPTURA!CD6,CODIFICACION!$F$2:$F$500,0))="sin dato","",INDEX(CODIFICACION!$E$2:$E$500,MATCH("D6.25|"&amp;CAPTURA!CD6,CODIFICACION!$F$2:$F$500,0))),"⚠"))</f>
        <v/>
      </c>
      <c r="AZ6" t="str">
        <f>IF(CAPTURA!CE6="","",IFERROR(IF(INDEX(CODIFICACION!$E$2:$E$500,MATCH("D6.25a|"&amp;CAPTURA!CE6,CODIFICACION!$F$2:$F$500,0))="sin dato","",INDEX(CODIFICACION!$E$2:$E$500,MATCH("D6.25a|"&amp;CAPTURA!CE6,CODIFICACION!$F$2:$F$500,0))),"⚠"))</f>
        <v/>
      </c>
      <c r="BA6" t="str">
        <f>IF(CAPTURA!CF6="","",IFERROR(IF(INDEX(CODIFICACION!$E$2:$E$500,MATCH("D6.25b|"&amp;CAPTURA!CF6,CODIFICACION!$F$2:$F$500,0))="sin dato","",INDEX(CODIFICACION!$E$2:$E$500,MATCH("D6.25b|"&amp;CAPTURA!CF6,CODIFICACION!$F$2:$F$500,0))),"⚠"))</f>
        <v/>
      </c>
      <c r="BB6" t="str">
        <f>IF(CAPTURA!CG6="","",IFERROR(IF(INDEX(CODIFICACION!$E$2:$E$500,MATCH("D6.22c|"&amp;CAPTURA!CG6,CODIFICACION!$F$2:$F$500,0))="sin dato","",INDEX(CODIFICACION!$E$2:$E$500,MATCH("D6.22c|"&amp;CAPTURA!CG6,CODIFICACION!$F$2:$F$500,0))),"⚠"))</f>
        <v/>
      </c>
      <c r="BC6" t="str">
        <f>IF(CAPTURA!CH6="","",IFERROR(IF(INDEX(CODIFICACION!$E$2:$E$500,MATCH("D7.26|"&amp;CAPTURA!CH6,CODIFICACION!$F$2:$F$500,0))="sin dato","",INDEX(CODIFICACION!$E$2:$E$500,MATCH("D7.26|"&amp;CAPTURA!CH6,CODIFICACION!$F$2:$F$500,0))),"⚠"))</f>
        <v/>
      </c>
      <c r="BD6" t="str">
        <f>IF(CAPTURA!CI6="","",IFERROR(IF(INDEX(CODIFICACION!$E$2:$E$500,MATCH("D7.27|"&amp;CAPTURA!CI6,CODIFICACION!$F$2:$F$500,0))="sin dato","",INDEX(CODIFICACION!$E$2:$E$500,MATCH("D7.27|"&amp;CAPTURA!CI6,CODIFICACION!$F$2:$F$500,0))),"⚠"))</f>
        <v/>
      </c>
      <c r="BE6" t="str">
        <f>IF(CAPTURA!CJ6="","",IFERROR(IF(INDEX(CODIFICACION!$E$2:$E$500,MATCH("D7.28|"&amp;CAPTURA!CJ6,CODIFICACION!$F$2:$F$500,0))="sin dato","",INDEX(CODIFICACION!$E$2:$E$500,MATCH("D7.28|"&amp;CAPTURA!CJ6,CODIFICACION!$F$2:$F$500,0))),"⚠"))</f>
        <v/>
      </c>
      <c r="BF6" t="str">
        <f>IF(CAPTURA!CK6="","",IFERROR(IF(INDEX(CODIFICACION!$E$2:$E$500,MATCH("D7.28b|"&amp;CAPTURA!CK6,CODIFICACION!$F$2:$F$500,0))="sin dato","",INDEX(CODIFICACION!$E$2:$E$500,MATCH("D7.28b|"&amp;CAPTURA!CK6,CODIFICACION!$F$2:$F$500,0))),"⚠"))</f>
        <v/>
      </c>
      <c r="BG6" t="str">
        <f>IF(CAPTURA!CL6="","",MIN(100,ROUND((LEN(CAPTURA!CL6)-LEN(SUBSTITUTE(CAPTURA!CL6,";",""))+1)/8*100,1)))</f>
        <v/>
      </c>
      <c r="BH6" t="str">
        <f>IF(CAPTURA!CM6="","",IFERROR(IF(INDEX(CODIFICACION!$E$2:$E$500,MATCH("D7.26a|"&amp;CAPTURA!CM6,CODIFICACION!$F$2:$F$500,0))="sin dato","",INDEX(CODIFICACION!$E$2:$E$500,MATCH("D7.26a|"&amp;CAPTURA!CM6,CODIFICACION!$F$2:$F$500,0))),"⚠"))</f>
        <v/>
      </c>
      <c r="BI6" t="str">
        <f>IF(CAPTURA!CN6="","",IFERROR(IF(INDEX(CODIFICACION!$E$2:$E$500,MATCH("D7.26b|"&amp;CAPTURA!CN6,CODIFICACION!$F$2:$F$500,0))="sin dato","",INDEX(CODIFICACION!$E$2:$E$500,MATCH("D7.26b|"&amp;CAPTURA!CN6,CODIFICACION!$F$2:$F$500,0))),"⚠"))</f>
        <v/>
      </c>
      <c r="BJ6" t="str">
        <f>IF(CAPTURA!CO6="","",IF(AND(ISNUMBER(CAPTURA!CO6),CAPTURA!CO6&gt;=0,CAPTURA!CO6&lt;=4),CAPTURA!CO6*25,"⚠"))</f>
        <v/>
      </c>
      <c r="BK6" t="str">
        <f>IF(CAPTURA!CP6="","",IF(ISNUMBER(CAPTURA!CP6),MAX(0,MIN(100,CAPTURA!CP6)),"⚠"))</f>
        <v/>
      </c>
      <c r="BL6" t="str">
        <f>IF(CAPTURA!CQ6="","",IFERROR(IF(INDEX(CODIFICACION!$E$2:$E$500,MATCH("D8.31|"&amp;CAPTURA!CQ6,CODIFICACION!$F$2:$F$500,0))="sin dato","",INDEX(CODIFICACION!$E$2:$E$500,MATCH("D8.31|"&amp;CAPTURA!CQ6,CODIFICACION!$F$2:$F$500,0))),"⚠"))</f>
        <v/>
      </c>
      <c r="BM6" t="str">
        <f>IF(CAPTURA!CR6="","",IFERROR(IF(INDEX(CODIFICACION!$E$2:$E$500,MATCH("D8.32|"&amp;CAPTURA!CR6,CODIFICACION!$F$2:$F$500,0))="sin dato","",INDEX(CODIFICACION!$E$2:$E$500,MATCH("D8.32|"&amp;CAPTURA!CR6,CODIFICACION!$F$2:$F$500,0))),"⚠"))</f>
        <v/>
      </c>
      <c r="BN6" t="str">
        <f>IF(CAPTURA!CS6="","",IFERROR(IF(INDEX(CODIFICACION!$E$2:$E$500,MATCH("D9.33|"&amp;CAPTURA!CS6,CODIFICACION!$F$2:$F$500,0))="sin dato","",INDEX(CODIFICACION!$E$2:$E$500,MATCH("D9.33|"&amp;CAPTURA!CS6,CODIFICACION!$F$2:$F$500,0))),"⚠"))</f>
        <v/>
      </c>
      <c r="BO6" t="str">
        <f>IF(CAPTURA!CT6="","",IFERROR(IF(INDEX(CODIFICACION!$E$2:$E$500,MATCH("D9.34|"&amp;CAPTURA!CT6,CODIFICACION!$F$2:$F$500,0))="sin dato","",INDEX(CODIFICACION!$E$2:$E$500,MATCH("D9.34|"&amp;CAPTURA!CT6,CODIFICACION!$F$2:$F$500,0))),"⚠"))</f>
        <v/>
      </c>
      <c r="BP6" t="str">
        <f>IF(CAPTURA!CU6="","",IFERROR(IF(INDEX(CODIFICACION!$E$2:$E$500,MATCH("D9.35|"&amp;CAPTURA!CU6,CODIFICACION!$F$2:$F$500,0))="sin dato","",INDEX(CODIFICACION!$E$2:$E$500,MATCH("D9.35|"&amp;CAPTURA!CU6,CODIFICACION!$F$2:$F$500,0))),"⚠"))</f>
        <v/>
      </c>
      <c r="BQ6" t="str">
        <f>IF(CAPTURA!CV6="","",IFERROR(IF(INDEX(CODIFICACION!$E$2:$E$500,MATCH("D10.36|"&amp;CAPTURA!CV6,CODIFICACION!$F$2:$F$500,0))="sin dato","",INDEX(CODIFICACION!$E$2:$E$500,MATCH("D10.36|"&amp;CAPTURA!CV6,CODIFICACION!$F$2:$F$500,0))),"⚠"))</f>
        <v/>
      </c>
      <c r="BR6" t="str">
        <f>IF(CAPTURA!CW6="","",IFERROR(IF(INDEX(CODIFICACION!$E$2:$E$500,MATCH("D10.37|"&amp;CAPTURA!CW6,CODIFICACION!$F$2:$F$500,0))="sin dato","",INDEX(CODIFICACION!$E$2:$E$500,MATCH("D10.37|"&amp;CAPTURA!CW6,CODIFICACION!$F$2:$F$500,0))),"⚠"))</f>
        <v/>
      </c>
      <c r="BS6" t="str">
        <f>IF(CAPTURA!CX6="","",IFERROR(IF(INDEX(CODIFICACION!$E$2:$E$500,MATCH("D10.36a|"&amp;CAPTURA!CX6,CODIFICACION!$F$2:$F$500,0))="sin dato","",INDEX(CODIFICACION!$E$2:$E$500,MATCH("D10.36a|"&amp;CAPTURA!CX6,CODIFICACION!$F$2:$F$500,0))),"⚠"))</f>
        <v/>
      </c>
      <c r="BT6" t="str">
        <f>IF(CAPTURA!CY6="","",IF(ISNUMBER(SEARCH("Ninguno",CAPTURA!CY6)),0,MIN(100,ROUND((LEN(CAPTURA!CY6)-LEN(SUBSTITUTE(CAPTURA!CY6,";",""))+1)/6*100,1))))</f>
        <v/>
      </c>
      <c r="BU6" t="str">
        <f>IF(CAPTURA!DA6="","",IFERROR(IF(INDEX(CODIFICACION!$E$2:$E$500,MATCH("D11.39a|"&amp;CAPTURA!DA6,CODIFICACION!$F$2:$F$500,0))="sin dato","",INDEX(CODIFICACION!$E$2:$E$500,MATCH("D11.39a|"&amp;CAPTURA!DA6,CODIFICACION!$F$2:$F$500,0))),"⚠"))</f>
        <v/>
      </c>
      <c r="BV6" t="str">
        <f>IF(CAPTURA!DB6="","",IFERROR(IF(INDEX(CODIFICACION!$E$2:$E$500,MATCH("D12.42|"&amp;CAPTURA!DB6,CODIFICACION!$F$2:$F$500,0))="sin dato","",INDEX(CODIFICACION!$E$2:$E$500,MATCH("D12.42|"&amp;CAPTURA!DB6,CODIFICACION!$F$2:$F$500,0))),"⚠"))</f>
        <v/>
      </c>
      <c r="BW6" t="str">
        <f>IF(CAPTURA!DC6="","",IFERROR(IF(INDEX(CODIFICACION!$E$2:$E$500,MATCH("D13.45|"&amp;CAPTURA!DC6,CODIFICACION!$F$2:$F$500,0))="sin dato","",INDEX(CODIFICACION!$E$2:$E$500,MATCH("D13.45|"&amp;CAPTURA!DC6,CODIFICACION!$F$2:$F$500,0))),"⚠"))</f>
        <v/>
      </c>
      <c r="BX6" t="str">
        <f>IF(CAPTURA!DD6="","",IFERROR(IF(INDEX(CODIFICACION!$E$2:$E$500,MATCH("D14.51|"&amp;CAPTURA!DD6,CODIFICACION!$F$2:$F$500,0))="sin dato","",INDEX(CODIFICACION!$E$2:$E$500,MATCH("D14.51|"&amp;CAPTURA!DD6,CODIFICACION!$F$2:$F$500,0))),"⚠"))</f>
        <v/>
      </c>
      <c r="BY6" t="str">
        <f>IF(CAPTURA!DE6="","",IFERROR(IF(INDEX(CODIFICACION!$E$2:$E$500,MATCH("D15.58|"&amp;CAPTURA!DE6,CODIFICACION!$F$2:$F$500,0))="sin dato","",INDEX(CODIFICACION!$E$2:$E$500,MATCH("D15.58|"&amp;CAPTURA!DE6,CODIFICACION!$F$2:$F$500,0))),"⚠"))</f>
        <v/>
      </c>
      <c r="BZ6" t="str">
        <f>IF(CAPTURA!DF6="","",IFERROR(IF(INDEX(CODIFICACION!$E$2:$E$500,MATCH("PP1|"&amp;CAPTURA!DF6,CODIFICACION!$F$2:$F$500,0))="sin dato","",INDEX(CODIFICACION!$E$2:$E$500,MATCH("PP1|"&amp;CAPTURA!DF6,CODIFICACION!$F$2:$F$500,0))),"⚠"))</f>
        <v/>
      </c>
      <c r="CA6" t="str">
        <f>IF(CAPTURA!DG6="","",IFERROR(IF(INDEX(CODIFICACION!$E$2:$E$500,MATCH("PP2|"&amp;CAPTURA!DG6,CODIFICACION!$F$2:$F$500,0))="sin dato","",INDEX(CODIFICACION!$E$2:$E$500,MATCH("PP2|"&amp;CAPTURA!DG6,CODIFICACION!$F$2:$F$500,0))),"⚠"))</f>
        <v/>
      </c>
      <c r="CB6" t="str">
        <f t="shared" si="0"/>
        <v/>
      </c>
      <c r="CC6" t="str">
        <f t="shared" si="1"/>
        <v/>
      </c>
      <c r="CD6" t="str">
        <f t="shared" si="2"/>
        <v/>
      </c>
      <c r="CE6" t="str">
        <f t="shared" si="3"/>
        <v/>
      </c>
      <c r="CF6" t="str">
        <f t="shared" si="4"/>
        <v/>
      </c>
      <c r="CG6" t="str">
        <f t="shared" si="5"/>
        <v/>
      </c>
      <c r="CH6" t="str">
        <f t="shared" si="6"/>
        <v/>
      </c>
      <c r="CI6" t="str">
        <f t="shared" si="7"/>
        <v/>
      </c>
      <c r="CJ6" t="str">
        <f t="shared" si="8"/>
        <v/>
      </c>
      <c r="CK6" t="str">
        <f t="shared" si="9"/>
        <v/>
      </c>
      <c r="CL6" t="str">
        <f t="shared" si="10"/>
        <v/>
      </c>
    </row>
    <row r="7" spans="1:90" x14ac:dyDescent="0.3">
      <c r="A7">
        <f>CAPTURA!A7</f>
        <v>20132505455</v>
      </c>
      <c r="B7">
        <f>CAPTURA!C7</f>
        <v>0</v>
      </c>
      <c r="C7" t="str">
        <f>IF(CAPTURA!M7="","",ROUND((ISNUMBER(SEARCH("Alemania",CAPTURA!M7))+ISNUMBER(SEARCH("Bélgica",CAPTURA!M7))+ISNUMBER(SEARCH("Países Bajos",CAPTURA!M7))+ISNUMBER(SEARCH("Francia",CAPTURA!M7))+ISNUMBER(SEARCH("Italia",CAPTURA!M7))+ISNUMBER(SEARCH("España",CAPTURA!M7))+ISNUMBER(SEARCH("Suecia",CAPTURA!M7))+ISNUMBER(SEARCH("Dinamarca",CAPTURA!M7)))/((LEN(CAPTURA!M7)-LEN(SUBSTITUTE(CAPTURA!M7,";","")))+1)*100,1))</f>
        <v/>
      </c>
      <c r="D7" t="str">
        <f>IF(CAPTURA!AE7="","",IFERROR(IF(INDEX(CODIFICACION!$E$2:$E$500,MATCH("P8|"&amp;CAPTURA!AE7,CODIFICACION!$F$2:$F$500,0))="sin dato","",INDEX(CODIFICACION!$E$2:$E$500,MATCH("P8|"&amp;CAPTURA!AE7,CODIFICACION!$F$2:$F$500,0))),"⚠"))</f>
        <v/>
      </c>
      <c r="E7" t="str">
        <f>IF(CAPTURA!AG7="","",IFERROR(IF(INDEX(CODIFICACION!$E$2:$E$500,MATCH("P10|"&amp;CAPTURA!AG7,CODIFICACION!$F$2:$F$500,0))="sin dato","",INDEX(CODIFICACION!$E$2:$E$500,MATCH("P10|"&amp;CAPTURA!AG7,CODIFICACION!$F$2:$F$500,0))),"⚠"))</f>
        <v/>
      </c>
      <c r="F7" t="str">
        <f>IF(CAPTURA!AJ7="","",IFERROR(IF(INDEX(CODIFICACION!$E$2:$E$500,MATCH("P13|"&amp;CAPTURA!AJ7,CODIFICACION!$F$2:$F$500,0))="sin dato","",INDEX(CODIFICACION!$E$2:$E$500,MATCH("P13|"&amp;CAPTURA!AJ7,CODIFICACION!$F$2:$F$500,0))),"⚠"))</f>
        <v/>
      </c>
      <c r="G7" t="str">
        <f>IF(CAPTURA!AK7="","",IFERROR(IF(INDEX(CODIFICACION!$E$2:$E$500,MATCH("P14|"&amp;CAPTURA!AK7,CODIFICACION!$F$2:$F$500,0))="sin dato","",INDEX(CODIFICACION!$E$2:$E$500,MATCH("P14|"&amp;CAPTURA!AK7,CODIFICACION!$F$2:$F$500,0))),"⚠"))</f>
        <v/>
      </c>
      <c r="H7" t="str">
        <f>IF(CAPTURA!AL7="","",IFERROR(IF(INDEX(CODIFICACION!$E$2:$E$500,MATCH("D1.1|"&amp;CAPTURA!AL7,CODIFICACION!$F$2:$F$500,0))="sin dato","",INDEX(CODIFICACION!$E$2:$E$500,MATCH("D1.1|"&amp;CAPTURA!AL7,CODIFICACION!$F$2:$F$500,0))),"⚠"))</f>
        <v/>
      </c>
      <c r="I7" t="str">
        <f>IF(CAPTURA!AN7="","",IFERROR(IF(INDEX(CODIFICACION!$E$2:$E$500,MATCH("D1.3|"&amp;CAPTURA!AN7,CODIFICACION!$F$2:$F$500,0))="sin dato","",INDEX(CODIFICACION!$E$2:$E$500,MATCH("D1.3|"&amp;CAPTURA!AN7,CODIFICACION!$F$2:$F$500,0))),"⚠"))</f>
        <v/>
      </c>
      <c r="J7" t="str">
        <f>IF(CAPTURA!AO7="","",IFERROR(IF(INDEX(CODIFICACION!$E$2:$E$500,MATCH("D1.4|"&amp;CAPTURA!AO7,CODIFICACION!$F$2:$F$500,0))="sin dato","",INDEX(CODIFICACION!$E$2:$E$500,MATCH("D1.4|"&amp;CAPTURA!AO7,CODIFICACION!$F$2:$F$500,0))),"⚠"))</f>
        <v/>
      </c>
      <c r="K7" t="str">
        <f>IF(CAPTURA!AP7="","",IFERROR(IF(INDEX(CODIFICACION!$E$2:$E$500,MATCH("D1.3a|"&amp;CAPTURA!AP7,CODIFICACION!$F$2:$F$500,0))="sin dato","",INDEX(CODIFICACION!$E$2:$E$500,MATCH("D1.3a|"&amp;CAPTURA!AP7,CODIFICACION!$F$2:$F$500,0))),"⚠"))</f>
        <v/>
      </c>
      <c r="L7" t="str">
        <f>IF(CAPTURA!AQ7="","",IF(AND(ISNUMBER(CAPTURA!AQ7),CAPTURA!AQ7&gt;=0,CAPTURA!AQ7&lt;=4),CAPTURA!AQ7*25,"⚠"))</f>
        <v/>
      </c>
      <c r="M7" t="str">
        <f>IF(CAPTURA!AR7="","",IF(ISNUMBER(CAPTURA!AR7),MAX(0,MIN(100,CAPTURA!AR7)),"⚠"))</f>
        <v/>
      </c>
      <c r="N7" t="str">
        <f>IF(CAPTURA!AS7="","",IF(AND(ISNUMBER(CAPTURA!AS7),CAPTURA!AS7&gt;=0,CAPTURA!AS7&lt;=4),CAPTURA!AS7*25,"⚠"))</f>
        <v/>
      </c>
      <c r="O7" t="str">
        <f>IF(CAPTURA!AT7="","",IFERROR(IF(INDEX(CODIFICACION!$E$2:$E$500,MATCH("D2.8|"&amp;CAPTURA!AT7,CODIFICACION!$F$2:$F$500,0))="sin dato","",INDEX(CODIFICACION!$E$2:$E$500,MATCH("D2.8|"&amp;CAPTURA!AT7,CODIFICACION!$F$2:$F$500,0))),"⚠"))</f>
        <v/>
      </c>
      <c r="P7" t="str">
        <f>IF(CAPTURA!AU7="","",IFERROR(IF(INDEX(CODIFICACION!$E$2:$E$500,MATCH("D2.9|"&amp;CAPTURA!AU7,CODIFICACION!$F$2:$F$500,0))="sin dato","",INDEX(CODIFICACION!$E$2:$E$500,MATCH("D2.9|"&amp;CAPTURA!AU7,CODIFICACION!$F$2:$F$500,0))),"⚠"))</f>
        <v/>
      </c>
      <c r="Q7" t="str">
        <f>IF(CAPTURA!AV7="","",IFERROR(IF(INDEX(CODIFICACION!$E$2:$E$500,MATCH("D2.10|"&amp;CAPTURA!AV7,CODIFICACION!$F$2:$F$500,0))="sin dato","",INDEX(CODIFICACION!$E$2:$E$500,MATCH("D2.10|"&amp;CAPTURA!AV7,CODIFICACION!$F$2:$F$500,0))),"⚠"))</f>
        <v/>
      </c>
      <c r="R7" t="str">
        <f>IF(CAPTURA!AW7="","",IFERROR(IF(INDEX(CODIFICACION!$E$2:$E$500,MATCH("D2.5a|"&amp;CAPTURA!AW7,CODIFICACION!$F$2:$F$500,0))="sin dato","",INDEX(CODIFICACION!$E$2:$E$500,MATCH("D2.5a|"&amp;CAPTURA!AW7,CODIFICACION!$F$2:$F$500,0))),"⚠"))</f>
        <v/>
      </c>
      <c r="S7" t="str">
        <f>IF(CAPTURA!AX7="","",IFERROR(IF(INDEX(CODIFICACION!$E$2:$E$500,MATCH("D2.5b|"&amp;CAPTURA!AX7,CODIFICACION!$F$2:$F$500,0))="sin dato","",INDEX(CODIFICACION!$E$2:$E$500,MATCH("D2.5b|"&amp;CAPTURA!AX7,CODIFICACION!$F$2:$F$500,0))),"⚠"))</f>
        <v/>
      </c>
      <c r="T7" t="str">
        <f>IF(CAPTURA!AY7="","",IF(ISNUMBER(CAPTURA!AY7),MAX(0,MIN(100,CAPTURA!AY7)),"⚠"))</f>
        <v/>
      </c>
      <c r="U7" t="str">
        <f>IF(CAPTURA!AZ7="","",IFERROR(IF(INDEX(CODIFICACION!$E$2:$E$500,MATCH("D3.12|"&amp;CAPTURA!AZ7,CODIFICACION!$F$2:$F$500,0))="sin dato","",INDEX(CODIFICACION!$E$2:$E$500,MATCH("D3.12|"&amp;CAPTURA!AZ7,CODIFICACION!$F$2:$F$500,0))),"⚠"))</f>
        <v/>
      </c>
      <c r="V7" t="str">
        <f>IF(CAPTURA!BA7="","",IF(AND(ISNUMBER(CAPTURA!BA7),CAPTURA!BA7&gt;=0,CAPTURA!BA7&lt;=4),CAPTURA!BA7*25,"⚠"))</f>
        <v/>
      </c>
      <c r="W7" t="str">
        <f>IF(CAPTURA!BB7="","",IFERROR(IF(INDEX(CODIFICACION!$E$2:$E$500,MATCH("D3.14|"&amp;CAPTURA!BB7,CODIFICACION!$F$2:$F$500,0))="sin dato","",INDEX(CODIFICACION!$E$2:$E$500,MATCH("D3.14|"&amp;CAPTURA!BB7,CODIFICACION!$F$2:$F$500,0))),"⚠"))</f>
        <v/>
      </c>
      <c r="X7" t="str">
        <f>IF(CAPTURA!BC7="","",IFERROR(IF(INDEX(CODIFICACION!$E$2:$E$500,MATCH("D3.14a|"&amp;CAPTURA!BC7,CODIFICACION!$F$2:$F$500,0))="sin dato","",INDEX(CODIFICACION!$E$2:$E$500,MATCH("D3.14a|"&amp;CAPTURA!BC7,CODIFICACION!$F$2:$F$500,0))),"⚠"))</f>
        <v/>
      </c>
      <c r="Y7" t="str">
        <f>IF(CAPTURA!BD7="","",IFERROR(IF(INDEX(CODIFICACION!$E$2:$E$500,MATCH("D3.14b|"&amp;CAPTURA!BD7,CODIFICACION!$F$2:$F$500,0))="sin dato","",INDEX(CODIFICACION!$E$2:$E$500,MATCH("D3.14b|"&amp;CAPTURA!BD7,CODIFICACION!$F$2:$F$500,0))),"⚠"))</f>
        <v/>
      </c>
      <c r="Z7" t="str">
        <f>IF(CAPTURA!BE7="","",IFERROR(IF(INDEX(CODIFICACION!$E$2:$E$500,MATCH("D3.14c|"&amp;CAPTURA!BE7,CODIFICACION!$F$2:$F$500,0))="sin dato","",INDEX(CODIFICACION!$E$2:$E$500,MATCH("D3.14c|"&amp;CAPTURA!BE7,CODIFICACION!$F$2:$F$500,0))),"⚠"))</f>
        <v/>
      </c>
      <c r="AA7" t="str">
        <f>IF(CAPTURA!BF7="","",IFERROR(IF(INDEX(CODIFICACION!$E$2:$E$500,MATCH("D3.14d|"&amp;CAPTURA!BF7,CODIFICACION!$F$2:$F$500,0))="sin dato","",INDEX(CODIFICACION!$E$2:$E$500,MATCH("D3.14d|"&amp;CAPTURA!BF7,CODIFICACION!$F$2:$F$500,0))),"⚠"))</f>
        <v/>
      </c>
      <c r="AB7" t="str">
        <f>IF(CAPTURA!BG7="","",IFERROR(IF(INDEX(CODIFICACION!$E$2:$E$500,MATCH("D3.14e|"&amp;CAPTURA!BG7,CODIFICACION!$F$2:$F$500,0))="sin dato","",INDEX(CODIFICACION!$E$2:$E$500,MATCH("D3.14e|"&amp;CAPTURA!BG7,CODIFICACION!$F$2:$F$500,0))),"⚠"))</f>
        <v/>
      </c>
      <c r="AC7" t="str">
        <f>IF(CAPTURA!BH7="","",IFERROR(IF(INDEX(CODIFICACION!$E$2:$E$500,MATCH("D3.14f|"&amp;CAPTURA!BH7,CODIFICACION!$F$2:$F$500,0))="sin dato","",INDEX(CODIFICACION!$E$2:$E$500,MATCH("D3.14f|"&amp;CAPTURA!BH7,CODIFICACION!$F$2:$F$500,0))),"⚠"))</f>
        <v/>
      </c>
      <c r="AD7" t="str">
        <f>IF(CAPTURA!BI7="","",IFERROR(IF(INDEX(CODIFICACION!$E$2:$E$500,MATCH("D3.14g|"&amp;CAPTURA!BI7,CODIFICACION!$F$2:$F$500,0))="sin dato","",INDEX(CODIFICACION!$E$2:$E$500,MATCH("D3.14g|"&amp;CAPTURA!BI7,CODIFICACION!$F$2:$F$500,0))),"⚠"))</f>
        <v/>
      </c>
      <c r="AE7" t="str">
        <f>IF(CAPTURA!BJ7="","",IFERROR(IF(INDEX(CODIFICACION!$E$2:$E$500,MATCH("D3.14h|"&amp;CAPTURA!BJ7,CODIFICACION!$F$2:$F$500,0))="sin dato","",INDEX(CODIFICACION!$E$2:$E$500,MATCH("D3.14h|"&amp;CAPTURA!BJ7,CODIFICACION!$F$2:$F$500,0))),"⚠"))</f>
        <v/>
      </c>
      <c r="AF7" t="str">
        <f>IF(CAPTURA!BK7="","",IFERROR(IF(INDEX(CODIFICACION!$E$2:$E$500,MATCH("D3.14i|"&amp;CAPTURA!BK7,CODIFICACION!$F$2:$F$500,0))="sin dato","",INDEX(CODIFICACION!$E$2:$E$500,MATCH("D3.14i|"&amp;CAPTURA!BK7,CODIFICACION!$F$2:$F$500,0))),"⚠"))</f>
        <v/>
      </c>
      <c r="AG7" t="str">
        <f>IF(CAPTURA!BL7="","",IFERROR(IF(INDEX(CODIFICACION!$E$2:$E$500,MATCH("D4.15|"&amp;CAPTURA!BL7,CODIFICACION!$F$2:$F$500,0))="sin dato","",INDEX(CODIFICACION!$E$2:$E$500,MATCH("D4.15|"&amp;CAPTURA!BL7,CODIFICACION!$F$2:$F$500,0))),"⚠"))</f>
        <v/>
      </c>
      <c r="AH7" t="str">
        <f>IF(CAPTURA!BM7="","",IF(AND(ISNUMBER(CAPTURA!BM7),CAPTURA!BM7&gt;=0,CAPTURA!BM7&lt;=4),CAPTURA!BM7*25,"⚠"))</f>
        <v/>
      </c>
      <c r="AI7" t="str">
        <f>IF(CAPTURA!BN7="","",IFERROR(IF(INDEX(CODIFICACION!$E$2:$E$500,MATCH("D4.17|"&amp;CAPTURA!BN7,CODIFICACION!$F$2:$F$500,0))="sin dato","",INDEX(CODIFICACION!$E$2:$E$500,MATCH("D4.17|"&amp;CAPTURA!BN7,CODIFICACION!$F$2:$F$500,0))),"⚠"))</f>
        <v/>
      </c>
      <c r="AJ7" t="str">
        <f>IF(CAPTURA!BO7="","",IFERROR(IF(INDEX(CODIFICACION!$E$2:$E$500,MATCH("D4.15a|"&amp;CAPTURA!BO7,CODIFICACION!$F$2:$F$500,0))="sin dato","",INDEX(CODIFICACION!$E$2:$E$500,MATCH("D4.15a|"&amp;CAPTURA!BO7,CODIFICACION!$F$2:$F$500,0))),"⚠"))</f>
        <v/>
      </c>
      <c r="AK7" t="str">
        <f>IF(CAPTURA!BP7="","",IF(AND(ISNUMBER(CAPTURA!BP7),CAPTURA!BP7&gt;=0,CAPTURA!BP7&lt;=4),CAPTURA!BP7*25,"⚠"))</f>
        <v/>
      </c>
      <c r="AL7" t="str">
        <f>IF(CAPTURA!BQ7="","",IF(AND(ISNUMBER(CAPTURA!BQ7),CAPTURA!BQ7&gt;=0,CAPTURA!BQ7&lt;=4),CAPTURA!BQ7*25,"⚠"))</f>
        <v/>
      </c>
      <c r="AM7" t="str">
        <f>IF(CAPTURA!BR7="","",IFERROR(IF(INDEX(CODIFICACION!$E$2:$E$500,MATCH("D5.18b|"&amp;CAPTURA!BR7,CODIFICACION!$F$2:$F$500,0))="sin dato","",INDEX(CODIFICACION!$E$2:$E$500,MATCH("D5.18b|"&amp;CAPTURA!BR7,CODIFICACION!$F$2:$F$500,0))),"⚠"))</f>
        <v/>
      </c>
      <c r="AN7" t="str">
        <f>IF(CAPTURA!BS7="","",IFERROR(IF(INDEX(CODIFICACION!$E$2:$E$500,MATCH("D5.19|"&amp;CAPTURA!BS7,CODIFICACION!$F$2:$F$500,0))="sin dato","",INDEX(CODIFICACION!$E$2:$E$500,MATCH("D5.19|"&amp;CAPTURA!BS7,CODIFICACION!$F$2:$F$500,0))),"⚠"))</f>
        <v/>
      </c>
      <c r="AO7" t="str">
        <f>IF(CAPTURA!BT7="","",MIN(100,ROUND((LEN(CAPTURA!BT7)-LEN(SUBSTITUTE(CAPTURA!BT7,";",""))+1)/7*100,1)))</f>
        <v/>
      </c>
      <c r="AP7" t="str">
        <f>IF(CAPTURA!BU7="","",IFERROR(IF(INDEX(CODIFICACION!$E$2:$E$500,MATCH("D5.20|"&amp;CAPTURA!BU7,CODIFICACION!$F$2:$F$500,0))="sin dato","",INDEX(CODIFICACION!$E$2:$E$500,MATCH("D5.20|"&amp;CAPTURA!BU7,CODIFICACION!$F$2:$F$500,0))),"⚠"))</f>
        <v/>
      </c>
      <c r="AQ7" t="str">
        <f>IF(CAPTURA!BV7="","",IFERROR(IF(INDEX(CODIFICACION!$E$2:$E$500,MATCH("D5.21|"&amp;CAPTURA!BV7,CODIFICACION!$F$2:$F$500,0))="sin dato","",INDEX(CODIFICACION!$E$2:$E$500,MATCH("D5.21|"&amp;CAPTURA!BV7,CODIFICACION!$F$2:$F$500,0))),"⚠"))</f>
        <v/>
      </c>
      <c r="AR7" t="str">
        <f>IF(CAPTURA!BW7="","",IFERROR(IF(INDEX(CODIFICACION!$E$2:$E$500,MATCH("D5.21a|"&amp;CAPTURA!BW7,CODIFICACION!$F$2:$F$500,0))="sin dato","",INDEX(CODIFICACION!$E$2:$E$500,MATCH("D5.21a|"&amp;CAPTURA!BW7,CODIFICACION!$F$2:$F$500,0))),"⚠"))</f>
        <v/>
      </c>
      <c r="AS7" t="str">
        <f>IF(CAPTURA!BX7="","",IFERROR(IF(INDEX(CODIFICACION!$E$2:$E$500,MATCH("D5.21b|"&amp;CAPTURA!BX7,CODIFICACION!$F$2:$F$500,0))="sin dato","",INDEX(CODIFICACION!$E$2:$E$500,MATCH("D5.21b|"&amp;CAPTURA!BX7,CODIFICACION!$F$2:$F$500,0))),"⚠"))</f>
        <v/>
      </c>
      <c r="AT7" t="str">
        <f>IF(CAPTURA!BY7="","",IFERROR(IF(INDEX(CODIFICACION!$E$2:$E$500,MATCH("D6.22|"&amp;CAPTURA!BY7,CODIFICACION!$F$2:$F$500,0))="sin dato","",INDEX(CODIFICACION!$E$2:$E$500,MATCH("D6.22|"&amp;CAPTURA!BY7,CODIFICACION!$F$2:$F$500,0))),"⚠"))</f>
        <v/>
      </c>
      <c r="AU7" t="str">
        <f>IF(CAPTURA!BZ7="","",IFERROR(IF(INDEX(CODIFICACION!$E$2:$E$500,MATCH("D6.22a|"&amp;CAPTURA!BZ7,CODIFICACION!$F$2:$F$500,0))="sin dato","",INDEX(CODIFICACION!$E$2:$E$500,MATCH("D6.22a|"&amp;CAPTURA!BZ7,CODIFICACION!$F$2:$F$500,0))),"⚠"))</f>
        <v/>
      </c>
      <c r="AV7" t="str">
        <f>IF(CAPTURA!CA7="","",IFERROR(IF(INDEX(CODIFICACION!$E$2:$E$500,MATCH("D6.22b|"&amp;CAPTURA!CA7,CODIFICACION!$F$2:$F$500,0))="sin dato","",INDEX(CODIFICACION!$E$2:$E$500,MATCH("D6.22b|"&amp;CAPTURA!CA7,CODIFICACION!$F$2:$F$500,0))),"⚠"))</f>
        <v/>
      </c>
      <c r="AW7" t="str">
        <f>IF(CAPTURA!CB7="","",IFERROR(IF(INDEX(CODIFICACION!$E$2:$E$500,MATCH("D6.23|"&amp;CAPTURA!CB7,CODIFICACION!$F$2:$F$500,0))="sin dato","",INDEX(CODIFICACION!$E$2:$E$500,MATCH("D6.23|"&amp;CAPTURA!CB7,CODIFICACION!$F$2:$F$500,0))),"⚠"))</f>
        <v/>
      </c>
      <c r="AX7" t="str">
        <f>IF(CAPTURA!CC7="","",IFERROR(IF(INDEX(CODIFICACION!$E$2:$E$500,MATCH("D6.24|"&amp;CAPTURA!CC7,CODIFICACION!$F$2:$F$500,0))="sin dato","",INDEX(CODIFICACION!$E$2:$E$500,MATCH("D6.24|"&amp;CAPTURA!CC7,CODIFICACION!$F$2:$F$500,0))),"⚠"))</f>
        <v/>
      </c>
      <c r="AY7" t="str">
        <f>IF(CAPTURA!CD7="","",IFERROR(IF(INDEX(CODIFICACION!$E$2:$E$500,MATCH("D6.25|"&amp;CAPTURA!CD7,CODIFICACION!$F$2:$F$500,0))="sin dato","",INDEX(CODIFICACION!$E$2:$E$500,MATCH("D6.25|"&amp;CAPTURA!CD7,CODIFICACION!$F$2:$F$500,0))),"⚠"))</f>
        <v/>
      </c>
      <c r="AZ7" t="str">
        <f>IF(CAPTURA!CE7="","",IFERROR(IF(INDEX(CODIFICACION!$E$2:$E$500,MATCH("D6.25a|"&amp;CAPTURA!CE7,CODIFICACION!$F$2:$F$500,0))="sin dato","",INDEX(CODIFICACION!$E$2:$E$500,MATCH("D6.25a|"&amp;CAPTURA!CE7,CODIFICACION!$F$2:$F$500,0))),"⚠"))</f>
        <v/>
      </c>
      <c r="BA7" t="str">
        <f>IF(CAPTURA!CF7="","",IFERROR(IF(INDEX(CODIFICACION!$E$2:$E$500,MATCH("D6.25b|"&amp;CAPTURA!CF7,CODIFICACION!$F$2:$F$500,0))="sin dato","",INDEX(CODIFICACION!$E$2:$E$500,MATCH("D6.25b|"&amp;CAPTURA!CF7,CODIFICACION!$F$2:$F$500,0))),"⚠"))</f>
        <v/>
      </c>
      <c r="BB7" t="str">
        <f>IF(CAPTURA!CG7="","",IFERROR(IF(INDEX(CODIFICACION!$E$2:$E$500,MATCH("D6.22c|"&amp;CAPTURA!CG7,CODIFICACION!$F$2:$F$500,0))="sin dato","",INDEX(CODIFICACION!$E$2:$E$500,MATCH("D6.22c|"&amp;CAPTURA!CG7,CODIFICACION!$F$2:$F$500,0))),"⚠"))</f>
        <v/>
      </c>
      <c r="BC7" t="str">
        <f>IF(CAPTURA!CH7="","",IFERROR(IF(INDEX(CODIFICACION!$E$2:$E$500,MATCH("D7.26|"&amp;CAPTURA!CH7,CODIFICACION!$F$2:$F$500,0))="sin dato","",INDEX(CODIFICACION!$E$2:$E$500,MATCH("D7.26|"&amp;CAPTURA!CH7,CODIFICACION!$F$2:$F$500,0))),"⚠"))</f>
        <v/>
      </c>
      <c r="BD7" t="str">
        <f>IF(CAPTURA!CI7="","",IFERROR(IF(INDEX(CODIFICACION!$E$2:$E$500,MATCH("D7.27|"&amp;CAPTURA!CI7,CODIFICACION!$F$2:$F$500,0))="sin dato","",INDEX(CODIFICACION!$E$2:$E$500,MATCH("D7.27|"&amp;CAPTURA!CI7,CODIFICACION!$F$2:$F$500,0))),"⚠"))</f>
        <v/>
      </c>
      <c r="BE7" t="str">
        <f>IF(CAPTURA!CJ7="","",IFERROR(IF(INDEX(CODIFICACION!$E$2:$E$500,MATCH("D7.28|"&amp;CAPTURA!CJ7,CODIFICACION!$F$2:$F$500,0))="sin dato","",INDEX(CODIFICACION!$E$2:$E$500,MATCH("D7.28|"&amp;CAPTURA!CJ7,CODIFICACION!$F$2:$F$500,0))),"⚠"))</f>
        <v/>
      </c>
      <c r="BF7" t="str">
        <f>IF(CAPTURA!CK7="","",IFERROR(IF(INDEX(CODIFICACION!$E$2:$E$500,MATCH("D7.28b|"&amp;CAPTURA!CK7,CODIFICACION!$F$2:$F$500,0))="sin dato","",INDEX(CODIFICACION!$E$2:$E$500,MATCH("D7.28b|"&amp;CAPTURA!CK7,CODIFICACION!$F$2:$F$500,0))),"⚠"))</f>
        <v/>
      </c>
      <c r="BG7" t="str">
        <f>IF(CAPTURA!CL7="","",MIN(100,ROUND((LEN(CAPTURA!CL7)-LEN(SUBSTITUTE(CAPTURA!CL7,";",""))+1)/8*100,1)))</f>
        <v/>
      </c>
      <c r="BH7" t="str">
        <f>IF(CAPTURA!CM7="","",IFERROR(IF(INDEX(CODIFICACION!$E$2:$E$500,MATCH("D7.26a|"&amp;CAPTURA!CM7,CODIFICACION!$F$2:$F$500,0))="sin dato","",INDEX(CODIFICACION!$E$2:$E$500,MATCH("D7.26a|"&amp;CAPTURA!CM7,CODIFICACION!$F$2:$F$500,0))),"⚠"))</f>
        <v/>
      </c>
      <c r="BI7" t="str">
        <f>IF(CAPTURA!CN7="","",IFERROR(IF(INDEX(CODIFICACION!$E$2:$E$500,MATCH("D7.26b|"&amp;CAPTURA!CN7,CODIFICACION!$F$2:$F$500,0))="sin dato","",INDEX(CODIFICACION!$E$2:$E$500,MATCH("D7.26b|"&amp;CAPTURA!CN7,CODIFICACION!$F$2:$F$500,0))),"⚠"))</f>
        <v/>
      </c>
      <c r="BJ7" t="str">
        <f>IF(CAPTURA!CO7="","",IF(AND(ISNUMBER(CAPTURA!CO7),CAPTURA!CO7&gt;=0,CAPTURA!CO7&lt;=4),CAPTURA!CO7*25,"⚠"))</f>
        <v/>
      </c>
      <c r="BK7" t="str">
        <f>IF(CAPTURA!CP7="","",IF(ISNUMBER(CAPTURA!CP7),MAX(0,MIN(100,CAPTURA!CP7)),"⚠"))</f>
        <v/>
      </c>
      <c r="BL7" t="str">
        <f>IF(CAPTURA!CQ7="","",IFERROR(IF(INDEX(CODIFICACION!$E$2:$E$500,MATCH("D8.31|"&amp;CAPTURA!CQ7,CODIFICACION!$F$2:$F$500,0))="sin dato","",INDEX(CODIFICACION!$E$2:$E$500,MATCH("D8.31|"&amp;CAPTURA!CQ7,CODIFICACION!$F$2:$F$500,0))),"⚠"))</f>
        <v/>
      </c>
      <c r="BM7" t="str">
        <f>IF(CAPTURA!CR7="","",IFERROR(IF(INDEX(CODIFICACION!$E$2:$E$500,MATCH("D8.32|"&amp;CAPTURA!CR7,CODIFICACION!$F$2:$F$500,0))="sin dato","",INDEX(CODIFICACION!$E$2:$E$500,MATCH("D8.32|"&amp;CAPTURA!CR7,CODIFICACION!$F$2:$F$500,0))),"⚠"))</f>
        <v/>
      </c>
      <c r="BN7" t="str">
        <f>IF(CAPTURA!CS7="","",IFERROR(IF(INDEX(CODIFICACION!$E$2:$E$500,MATCH("D9.33|"&amp;CAPTURA!CS7,CODIFICACION!$F$2:$F$500,0))="sin dato","",INDEX(CODIFICACION!$E$2:$E$500,MATCH("D9.33|"&amp;CAPTURA!CS7,CODIFICACION!$F$2:$F$500,0))),"⚠"))</f>
        <v/>
      </c>
      <c r="BO7" t="str">
        <f>IF(CAPTURA!CT7="","",IFERROR(IF(INDEX(CODIFICACION!$E$2:$E$500,MATCH("D9.34|"&amp;CAPTURA!CT7,CODIFICACION!$F$2:$F$500,0))="sin dato","",INDEX(CODIFICACION!$E$2:$E$500,MATCH("D9.34|"&amp;CAPTURA!CT7,CODIFICACION!$F$2:$F$500,0))),"⚠"))</f>
        <v/>
      </c>
      <c r="BP7" t="str">
        <f>IF(CAPTURA!CU7="","",IFERROR(IF(INDEX(CODIFICACION!$E$2:$E$500,MATCH("D9.35|"&amp;CAPTURA!CU7,CODIFICACION!$F$2:$F$500,0))="sin dato","",INDEX(CODIFICACION!$E$2:$E$500,MATCH("D9.35|"&amp;CAPTURA!CU7,CODIFICACION!$F$2:$F$500,0))),"⚠"))</f>
        <v/>
      </c>
      <c r="BQ7" t="str">
        <f>IF(CAPTURA!CV7="","",IFERROR(IF(INDEX(CODIFICACION!$E$2:$E$500,MATCH("D10.36|"&amp;CAPTURA!CV7,CODIFICACION!$F$2:$F$500,0))="sin dato","",INDEX(CODIFICACION!$E$2:$E$500,MATCH("D10.36|"&amp;CAPTURA!CV7,CODIFICACION!$F$2:$F$500,0))),"⚠"))</f>
        <v/>
      </c>
      <c r="BR7" t="str">
        <f>IF(CAPTURA!CW7="","",IFERROR(IF(INDEX(CODIFICACION!$E$2:$E$500,MATCH("D10.37|"&amp;CAPTURA!CW7,CODIFICACION!$F$2:$F$500,0))="sin dato","",INDEX(CODIFICACION!$E$2:$E$500,MATCH("D10.37|"&amp;CAPTURA!CW7,CODIFICACION!$F$2:$F$500,0))),"⚠"))</f>
        <v/>
      </c>
      <c r="BS7" t="str">
        <f>IF(CAPTURA!CX7="","",IFERROR(IF(INDEX(CODIFICACION!$E$2:$E$500,MATCH("D10.36a|"&amp;CAPTURA!CX7,CODIFICACION!$F$2:$F$500,0))="sin dato","",INDEX(CODIFICACION!$E$2:$E$500,MATCH("D10.36a|"&amp;CAPTURA!CX7,CODIFICACION!$F$2:$F$500,0))),"⚠"))</f>
        <v/>
      </c>
      <c r="BT7" t="str">
        <f>IF(CAPTURA!CY7="","",IF(ISNUMBER(SEARCH("Ninguno",CAPTURA!CY7)),0,MIN(100,ROUND((LEN(CAPTURA!CY7)-LEN(SUBSTITUTE(CAPTURA!CY7,";",""))+1)/6*100,1))))</f>
        <v/>
      </c>
      <c r="BU7" t="str">
        <f>IF(CAPTURA!DA7="","",IFERROR(IF(INDEX(CODIFICACION!$E$2:$E$500,MATCH("D11.39a|"&amp;CAPTURA!DA7,CODIFICACION!$F$2:$F$500,0))="sin dato","",INDEX(CODIFICACION!$E$2:$E$500,MATCH("D11.39a|"&amp;CAPTURA!DA7,CODIFICACION!$F$2:$F$500,0))),"⚠"))</f>
        <v/>
      </c>
      <c r="BV7" t="str">
        <f>IF(CAPTURA!DB7="","",IFERROR(IF(INDEX(CODIFICACION!$E$2:$E$500,MATCH("D12.42|"&amp;CAPTURA!DB7,CODIFICACION!$F$2:$F$500,0))="sin dato","",INDEX(CODIFICACION!$E$2:$E$500,MATCH("D12.42|"&amp;CAPTURA!DB7,CODIFICACION!$F$2:$F$500,0))),"⚠"))</f>
        <v/>
      </c>
      <c r="BW7" t="str">
        <f>IF(CAPTURA!DC7="","",IFERROR(IF(INDEX(CODIFICACION!$E$2:$E$500,MATCH("D13.45|"&amp;CAPTURA!DC7,CODIFICACION!$F$2:$F$500,0))="sin dato","",INDEX(CODIFICACION!$E$2:$E$500,MATCH("D13.45|"&amp;CAPTURA!DC7,CODIFICACION!$F$2:$F$500,0))),"⚠"))</f>
        <v/>
      </c>
      <c r="BX7" t="str">
        <f>IF(CAPTURA!DD7="","",IFERROR(IF(INDEX(CODIFICACION!$E$2:$E$500,MATCH("D14.51|"&amp;CAPTURA!DD7,CODIFICACION!$F$2:$F$500,0))="sin dato","",INDEX(CODIFICACION!$E$2:$E$500,MATCH("D14.51|"&amp;CAPTURA!DD7,CODIFICACION!$F$2:$F$500,0))),"⚠"))</f>
        <v/>
      </c>
      <c r="BY7" t="str">
        <f>IF(CAPTURA!DE7="","",IFERROR(IF(INDEX(CODIFICACION!$E$2:$E$500,MATCH("D15.58|"&amp;CAPTURA!DE7,CODIFICACION!$F$2:$F$500,0))="sin dato","",INDEX(CODIFICACION!$E$2:$E$500,MATCH("D15.58|"&amp;CAPTURA!DE7,CODIFICACION!$F$2:$F$500,0))),"⚠"))</f>
        <v/>
      </c>
      <c r="BZ7" t="str">
        <f>IF(CAPTURA!DF7="","",IFERROR(IF(INDEX(CODIFICACION!$E$2:$E$500,MATCH("PP1|"&amp;CAPTURA!DF7,CODIFICACION!$F$2:$F$500,0))="sin dato","",INDEX(CODIFICACION!$E$2:$E$500,MATCH("PP1|"&amp;CAPTURA!DF7,CODIFICACION!$F$2:$F$500,0))),"⚠"))</f>
        <v/>
      </c>
      <c r="CA7" t="str">
        <f>IF(CAPTURA!DG7="","",IFERROR(IF(INDEX(CODIFICACION!$E$2:$E$500,MATCH("PP2|"&amp;CAPTURA!DG7,CODIFICACION!$F$2:$F$500,0))="sin dato","",INDEX(CODIFICACION!$E$2:$E$500,MATCH("PP2|"&amp;CAPTURA!DG7,CODIFICACION!$F$2:$F$500,0))),"⚠"))</f>
        <v/>
      </c>
      <c r="CB7" t="str">
        <f t="shared" si="0"/>
        <v/>
      </c>
      <c r="CC7" t="str">
        <f t="shared" si="1"/>
        <v/>
      </c>
      <c r="CD7" t="str">
        <f t="shared" si="2"/>
        <v/>
      </c>
      <c r="CE7" t="str">
        <f t="shared" si="3"/>
        <v/>
      </c>
      <c r="CF7" t="str">
        <f t="shared" si="4"/>
        <v/>
      </c>
      <c r="CG7" t="str">
        <f t="shared" si="5"/>
        <v/>
      </c>
      <c r="CH7" t="str">
        <f t="shared" si="6"/>
        <v/>
      </c>
      <c r="CI7" t="str">
        <f t="shared" si="7"/>
        <v/>
      </c>
      <c r="CJ7" t="str">
        <f t="shared" si="8"/>
        <v/>
      </c>
      <c r="CK7" t="str">
        <f t="shared" si="9"/>
        <v/>
      </c>
      <c r="CL7" t="str">
        <f t="shared" si="10"/>
        <v/>
      </c>
    </row>
    <row r="8" spans="1:90" x14ac:dyDescent="0.3">
      <c r="A8">
        <f>CAPTURA!A8</f>
        <v>20132509795</v>
      </c>
      <c r="B8">
        <f>CAPTURA!C8</f>
        <v>0</v>
      </c>
      <c r="C8" t="str">
        <f>IF(CAPTURA!M8="","",ROUND((ISNUMBER(SEARCH("Alemania",CAPTURA!M8))+ISNUMBER(SEARCH("Bélgica",CAPTURA!M8))+ISNUMBER(SEARCH("Países Bajos",CAPTURA!M8))+ISNUMBER(SEARCH("Francia",CAPTURA!M8))+ISNUMBER(SEARCH("Italia",CAPTURA!M8))+ISNUMBER(SEARCH("España",CAPTURA!M8))+ISNUMBER(SEARCH("Suecia",CAPTURA!M8))+ISNUMBER(SEARCH("Dinamarca",CAPTURA!M8)))/((LEN(CAPTURA!M8)-LEN(SUBSTITUTE(CAPTURA!M8,";","")))+1)*100,1))</f>
        <v/>
      </c>
      <c r="D8" t="str">
        <f>IF(CAPTURA!AE8="","",IFERROR(IF(INDEX(CODIFICACION!$E$2:$E$500,MATCH("P8|"&amp;CAPTURA!AE8,CODIFICACION!$F$2:$F$500,0))="sin dato","",INDEX(CODIFICACION!$E$2:$E$500,MATCH("P8|"&amp;CAPTURA!AE8,CODIFICACION!$F$2:$F$500,0))),"⚠"))</f>
        <v/>
      </c>
      <c r="E8" t="str">
        <f>IF(CAPTURA!AG8="","",IFERROR(IF(INDEX(CODIFICACION!$E$2:$E$500,MATCH("P10|"&amp;CAPTURA!AG8,CODIFICACION!$F$2:$F$500,0))="sin dato","",INDEX(CODIFICACION!$E$2:$E$500,MATCH("P10|"&amp;CAPTURA!AG8,CODIFICACION!$F$2:$F$500,0))),"⚠"))</f>
        <v/>
      </c>
      <c r="F8" t="str">
        <f>IF(CAPTURA!AJ8="","",IFERROR(IF(INDEX(CODIFICACION!$E$2:$E$500,MATCH("P13|"&amp;CAPTURA!AJ8,CODIFICACION!$F$2:$F$500,0))="sin dato","",INDEX(CODIFICACION!$E$2:$E$500,MATCH("P13|"&amp;CAPTURA!AJ8,CODIFICACION!$F$2:$F$500,0))),"⚠"))</f>
        <v/>
      </c>
      <c r="G8" t="str">
        <f>IF(CAPTURA!AK8="","",IFERROR(IF(INDEX(CODIFICACION!$E$2:$E$500,MATCH("P14|"&amp;CAPTURA!AK8,CODIFICACION!$F$2:$F$500,0))="sin dato","",INDEX(CODIFICACION!$E$2:$E$500,MATCH("P14|"&amp;CAPTURA!AK8,CODIFICACION!$F$2:$F$500,0))),"⚠"))</f>
        <v/>
      </c>
      <c r="H8" t="str">
        <f>IF(CAPTURA!AL8="","",IFERROR(IF(INDEX(CODIFICACION!$E$2:$E$500,MATCH("D1.1|"&amp;CAPTURA!AL8,CODIFICACION!$F$2:$F$500,0))="sin dato","",INDEX(CODIFICACION!$E$2:$E$500,MATCH("D1.1|"&amp;CAPTURA!AL8,CODIFICACION!$F$2:$F$500,0))),"⚠"))</f>
        <v/>
      </c>
      <c r="I8" t="str">
        <f>IF(CAPTURA!AN8="","",IFERROR(IF(INDEX(CODIFICACION!$E$2:$E$500,MATCH("D1.3|"&amp;CAPTURA!AN8,CODIFICACION!$F$2:$F$500,0))="sin dato","",INDEX(CODIFICACION!$E$2:$E$500,MATCH("D1.3|"&amp;CAPTURA!AN8,CODIFICACION!$F$2:$F$500,0))),"⚠"))</f>
        <v/>
      </c>
      <c r="J8" t="str">
        <f>IF(CAPTURA!AO8="","",IFERROR(IF(INDEX(CODIFICACION!$E$2:$E$500,MATCH("D1.4|"&amp;CAPTURA!AO8,CODIFICACION!$F$2:$F$500,0))="sin dato","",INDEX(CODIFICACION!$E$2:$E$500,MATCH("D1.4|"&amp;CAPTURA!AO8,CODIFICACION!$F$2:$F$500,0))),"⚠"))</f>
        <v/>
      </c>
      <c r="K8" t="str">
        <f>IF(CAPTURA!AP8="","",IFERROR(IF(INDEX(CODIFICACION!$E$2:$E$500,MATCH("D1.3a|"&amp;CAPTURA!AP8,CODIFICACION!$F$2:$F$500,0))="sin dato","",INDEX(CODIFICACION!$E$2:$E$500,MATCH("D1.3a|"&amp;CAPTURA!AP8,CODIFICACION!$F$2:$F$500,0))),"⚠"))</f>
        <v/>
      </c>
      <c r="L8" t="str">
        <f>IF(CAPTURA!AQ8="","",IF(AND(ISNUMBER(CAPTURA!AQ8),CAPTURA!AQ8&gt;=0,CAPTURA!AQ8&lt;=4),CAPTURA!AQ8*25,"⚠"))</f>
        <v/>
      </c>
      <c r="M8" t="str">
        <f>IF(CAPTURA!AR8="","",IF(ISNUMBER(CAPTURA!AR8),MAX(0,MIN(100,CAPTURA!AR8)),"⚠"))</f>
        <v/>
      </c>
      <c r="N8" t="str">
        <f>IF(CAPTURA!AS8="","",IF(AND(ISNUMBER(CAPTURA!AS8),CAPTURA!AS8&gt;=0,CAPTURA!AS8&lt;=4),CAPTURA!AS8*25,"⚠"))</f>
        <v/>
      </c>
      <c r="O8" t="str">
        <f>IF(CAPTURA!AT8="","",IFERROR(IF(INDEX(CODIFICACION!$E$2:$E$500,MATCH("D2.8|"&amp;CAPTURA!AT8,CODIFICACION!$F$2:$F$500,0))="sin dato","",INDEX(CODIFICACION!$E$2:$E$500,MATCH("D2.8|"&amp;CAPTURA!AT8,CODIFICACION!$F$2:$F$500,0))),"⚠"))</f>
        <v/>
      </c>
      <c r="P8" t="str">
        <f>IF(CAPTURA!AU8="","",IFERROR(IF(INDEX(CODIFICACION!$E$2:$E$500,MATCH("D2.9|"&amp;CAPTURA!AU8,CODIFICACION!$F$2:$F$500,0))="sin dato","",INDEX(CODIFICACION!$E$2:$E$500,MATCH("D2.9|"&amp;CAPTURA!AU8,CODIFICACION!$F$2:$F$500,0))),"⚠"))</f>
        <v/>
      </c>
      <c r="Q8" t="str">
        <f>IF(CAPTURA!AV8="","",IFERROR(IF(INDEX(CODIFICACION!$E$2:$E$500,MATCH("D2.10|"&amp;CAPTURA!AV8,CODIFICACION!$F$2:$F$500,0))="sin dato","",INDEX(CODIFICACION!$E$2:$E$500,MATCH("D2.10|"&amp;CAPTURA!AV8,CODIFICACION!$F$2:$F$500,0))),"⚠"))</f>
        <v/>
      </c>
      <c r="R8" t="str">
        <f>IF(CAPTURA!AW8="","",IFERROR(IF(INDEX(CODIFICACION!$E$2:$E$500,MATCH("D2.5a|"&amp;CAPTURA!AW8,CODIFICACION!$F$2:$F$500,0))="sin dato","",INDEX(CODIFICACION!$E$2:$E$500,MATCH("D2.5a|"&amp;CAPTURA!AW8,CODIFICACION!$F$2:$F$500,0))),"⚠"))</f>
        <v/>
      </c>
      <c r="S8" t="str">
        <f>IF(CAPTURA!AX8="","",IFERROR(IF(INDEX(CODIFICACION!$E$2:$E$500,MATCH("D2.5b|"&amp;CAPTURA!AX8,CODIFICACION!$F$2:$F$500,0))="sin dato","",INDEX(CODIFICACION!$E$2:$E$500,MATCH("D2.5b|"&amp;CAPTURA!AX8,CODIFICACION!$F$2:$F$500,0))),"⚠"))</f>
        <v/>
      </c>
      <c r="T8" t="str">
        <f>IF(CAPTURA!AY8="","",IF(ISNUMBER(CAPTURA!AY8),MAX(0,MIN(100,CAPTURA!AY8)),"⚠"))</f>
        <v/>
      </c>
      <c r="U8" t="str">
        <f>IF(CAPTURA!AZ8="","",IFERROR(IF(INDEX(CODIFICACION!$E$2:$E$500,MATCH("D3.12|"&amp;CAPTURA!AZ8,CODIFICACION!$F$2:$F$500,0))="sin dato","",INDEX(CODIFICACION!$E$2:$E$500,MATCH("D3.12|"&amp;CAPTURA!AZ8,CODIFICACION!$F$2:$F$500,0))),"⚠"))</f>
        <v/>
      </c>
      <c r="V8" t="str">
        <f>IF(CAPTURA!BA8="","",IF(AND(ISNUMBER(CAPTURA!BA8),CAPTURA!BA8&gt;=0,CAPTURA!BA8&lt;=4),CAPTURA!BA8*25,"⚠"))</f>
        <v/>
      </c>
      <c r="W8" t="str">
        <f>IF(CAPTURA!BB8="","",IFERROR(IF(INDEX(CODIFICACION!$E$2:$E$500,MATCH("D3.14|"&amp;CAPTURA!BB8,CODIFICACION!$F$2:$F$500,0))="sin dato","",INDEX(CODIFICACION!$E$2:$E$500,MATCH("D3.14|"&amp;CAPTURA!BB8,CODIFICACION!$F$2:$F$500,0))),"⚠"))</f>
        <v/>
      </c>
      <c r="X8" t="str">
        <f>IF(CAPTURA!BC8="","",IFERROR(IF(INDEX(CODIFICACION!$E$2:$E$500,MATCH("D3.14a|"&amp;CAPTURA!BC8,CODIFICACION!$F$2:$F$500,0))="sin dato","",INDEX(CODIFICACION!$E$2:$E$500,MATCH("D3.14a|"&amp;CAPTURA!BC8,CODIFICACION!$F$2:$F$500,0))),"⚠"))</f>
        <v/>
      </c>
      <c r="Y8" t="str">
        <f>IF(CAPTURA!BD8="","",IFERROR(IF(INDEX(CODIFICACION!$E$2:$E$500,MATCH("D3.14b|"&amp;CAPTURA!BD8,CODIFICACION!$F$2:$F$500,0))="sin dato","",INDEX(CODIFICACION!$E$2:$E$500,MATCH("D3.14b|"&amp;CAPTURA!BD8,CODIFICACION!$F$2:$F$500,0))),"⚠"))</f>
        <v/>
      </c>
      <c r="Z8" t="str">
        <f>IF(CAPTURA!BE8="","",IFERROR(IF(INDEX(CODIFICACION!$E$2:$E$500,MATCH("D3.14c|"&amp;CAPTURA!BE8,CODIFICACION!$F$2:$F$500,0))="sin dato","",INDEX(CODIFICACION!$E$2:$E$500,MATCH("D3.14c|"&amp;CAPTURA!BE8,CODIFICACION!$F$2:$F$500,0))),"⚠"))</f>
        <v/>
      </c>
      <c r="AA8" t="str">
        <f>IF(CAPTURA!BF8="","",IFERROR(IF(INDEX(CODIFICACION!$E$2:$E$500,MATCH("D3.14d|"&amp;CAPTURA!BF8,CODIFICACION!$F$2:$F$500,0))="sin dato","",INDEX(CODIFICACION!$E$2:$E$500,MATCH("D3.14d|"&amp;CAPTURA!BF8,CODIFICACION!$F$2:$F$500,0))),"⚠"))</f>
        <v/>
      </c>
      <c r="AB8" t="str">
        <f>IF(CAPTURA!BG8="","",IFERROR(IF(INDEX(CODIFICACION!$E$2:$E$500,MATCH("D3.14e|"&amp;CAPTURA!BG8,CODIFICACION!$F$2:$F$500,0))="sin dato","",INDEX(CODIFICACION!$E$2:$E$500,MATCH("D3.14e|"&amp;CAPTURA!BG8,CODIFICACION!$F$2:$F$500,0))),"⚠"))</f>
        <v/>
      </c>
      <c r="AC8" t="str">
        <f>IF(CAPTURA!BH8="","",IFERROR(IF(INDEX(CODIFICACION!$E$2:$E$500,MATCH("D3.14f|"&amp;CAPTURA!BH8,CODIFICACION!$F$2:$F$500,0))="sin dato","",INDEX(CODIFICACION!$E$2:$E$500,MATCH("D3.14f|"&amp;CAPTURA!BH8,CODIFICACION!$F$2:$F$500,0))),"⚠"))</f>
        <v/>
      </c>
      <c r="AD8" t="str">
        <f>IF(CAPTURA!BI8="","",IFERROR(IF(INDEX(CODIFICACION!$E$2:$E$500,MATCH("D3.14g|"&amp;CAPTURA!BI8,CODIFICACION!$F$2:$F$500,0))="sin dato","",INDEX(CODIFICACION!$E$2:$E$500,MATCH("D3.14g|"&amp;CAPTURA!BI8,CODIFICACION!$F$2:$F$500,0))),"⚠"))</f>
        <v/>
      </c>
      <c r="AE8" t="str">
        <f>IF(CAPTURA!BJ8="","",IFERROR(IF(INDEX(CODIFICACION!$E$2:$E$500,MATCH("D3.14h|"&amp;CAPTURA!BJ8,CODIFICACION!$F$2:$F$500,0))="sin dato","",INDEX(CODIFICACION!$E$2:$E$500,MATCH("D3.14h|"&amp;CAPTURA!BJ8,CODIFICACION!$F$2:$F$500,0))),"⚠"))</f>
        <v/>
      </c>
      <c r="AF8" t="str">
        <f>IF(CAPTURA!BK8="","",IFERROR(IF(INDEX(CODIFICACION!$E$2:$E$500,MATCH("D3.14i|"&amp;CAPTURA!BK8,CODIFICACION!$F$2:$F$500,0))="sin dato","",INDEX(CODIFICACION!$E$2:$E$500,MATCH("D3.14i|"&amp;CAPTURA!BK8,CODIFICACION!$F$2:$F$500,0))),"⚠"))</f>
        <v/>
      </c>
      <c r="AG8" t="str">
        <f>IF(CAPTURA!BL8="","",IFERROR(IF(INDEX(CODIFICACION!$E$2:$E$500,MATCH("D4.15|"&amp;CAPTURA!BL8,CODIFICACION!$F$2:$F$500,0))="sin dato","",INDEX(CODIFICACION!$E$2:$E$500,MATCH("D4.15|"&amp;CAPTURA!BL8,CODIFICACION!$F$2:$F$500,0))),"⚠"))</f>
        <v/>
      </c>
      <c r="AH8" t="str">
        <f>IF(CAPTURA!BM8="","",IF(AND(ISNUMBER(CAPTURA!BM8),CAPTURA!BM8&gt;=0,CAPTURA!BM8&lt;=4),CAPTURA!BM8*25,"⚠"))</f>
        <v/>
      </c>
      <c r="AI8" t="str">
        <f>IF(CAPTURA!BN8="","",IFERROR(IF(INDEX(CODIFICACION!$E$2:$E$500,MATCH("D4.17|"&amp;CAPTURA!BN8,CODIFICACION!$F$2:$F$500,0))="sin dato","",INDEX(CODIFICACION!$E$2:$E$500,MATCH("D4.17|"&amp;CAPTURA!BN8,CODIFICACION!$F$2:$F$500,0))),"⚠"))</f>
        <v/>
      </c>
      <c r="AJ8" t="str">
        <f>IF(CAPTURA!BO8="","",IFERROR(IF(INDEX(CODIFICACION!$E$2:$E$500,MATCH("D4.15a|"&amp;CAPTURA!BO8,CODIFICACION!$F$2:$F$500,0))="sin dato","",INDEX(CODIFICACION!$E$2:$E$500,MATCH("D4.15a|"&amp;CAPTURA!BO8,CODIFICACION!$F$2:$F$500,0))),"⚠"))</f>
        <v/>
      </c>
      <c r="AK8" t="str">
        <f>IF(CAPTURA!BP8="","",IF(AND(ISNUMBER(CAPTURA!BP8),CAPTURA!BP8&gt;=0,CAPTURA!BP8&lt;=4),CAPTURA!BP8*25,"⚠"))</f>
        <v/>
      </c>
      <c r="AL8" t="str">
        <f>IF(CAPTURA!BQ8="","",IF(AND(ISNUMBER(CAPTURA!BQ8),CAPTURA!BQ8&gt;=0,CAPTURA!BQ8&lt;=4),CAPTURA!BQ8*25,"⚠"))</f>
        <v/>
      </c>
      <c r="AM8" t="str">
        <f>IF(CAPTURA!BR8="","",IFERROR(IF(INDEX(CODIFICACION!$E$2:$E$500,MATCH("D5.18b|"&amp;CAPTURA!BR8,CODIFICACION!$F$2:$F$500,0))="sin dato","",INDEX(CODIFICACION!$E$2:$E$500,MATCH("D5.18b|"&amp;CAPTURA!BR8,CODIFICACION!$F$2:$F$500,0))),"⚠"))</f>
        <v/>
      </c>
      <c r="AN8" t="str">
        <f>IF(CAPTURA!BS8="","",IFERROR(IF(INDEX(CODIFICACION!$E$2:$E$500,MATCH("D5.19|"&amp;CAPTURA!BS8,CODIFICACION!$F$2:$F$500,0))="sin dato","",INDEX(CODIFICACION!$E$2:$E$500,MATCH("D5.19|"&amp;CAPTURA!BS8,CODIFICACION!$F$2:$F$500,0))),"⚠"))</f>
        <v/>
      </c>
      <c r="AO8" t="str">
        <f>IF(CAPTURA!BT8="","",MIN(100,ROUND((LEN(CAPTURA!BT8)-LEN(SUBSTITUTE(CAPTURA!BT8,";",""))+1)/7*100,1)))</f>
        <v/>
      </c>
      <c r="AP8" t="str">
        <f>IF(CAPTURA!BU8="","",IFERROR(IF(INDEX(CODIFICACION!$E$2:$E$500,MATCH("D5.20|"&amp;CAPTURA!BU8,CODIFICACION!$F$2:$F$500,0))="sin dato","",INDEX(CODIFICACION!$E$2:$E$500,MATCH("D5.20|"&amp;CAPTURA!BU8,CODIFICACION!$F$2:$F$500,0))),"⚠"))</f>
        <v/>
      </c>
      <c r="AQ8" t="str">
        <f>IF(CAPTURA!BV8="","",IFERROR(IF(INDEX(CODIFICACION!$E$2:$E$500,MATCH("D5.21|"&amp;CAPTURA!BV8,CODIFICACION!$F$2:$F$500,0))="sin dato","",INDEX(CODIFICACION!$E$2:$E$500,MATCH("D5.21|"&amp;CAPTURA!BV8,CODIFICACION!$F$2:$F$500,0))),"⚠"))</f>
        <v/>
      </c>
      <c r="AR8" t="str">
        <f>IF(CAPTURA!BW8="","",IFERROR(IF(INDEX(CODIFICACION!$E$2:$E$500,MATCH("D5.21a|"&amp;CAPTURA!BW8,CODIFICACION!$F$2:$F$500,0))="sin dato","",INDEX(CODIFICACION!$E$2:$E$500,MATCH("D5.21a|"&amp;CAPTURA!BW8,CODIFICACION!$F$2:$F$500,0))),"⚠"))</f>
        <v/>
      </c>
      <c r="AS8" t="str">
        <f>IF(CAPTURA!BX8="","",IFERROR(IF(INDEX(CODIFICACION!$E$2:$E$500,MATCH("D5.21b|"&amp;CAPTURA!BX8,CODIFICACION!$F$2:$F$500,0))="sin dato","",INDEX(CODIFICACION!$E$2:$E$500,MATCH("D5.21b|"&amp;CAPTURA!BX8,CODIFICACION!$F$2:$F$500,0))),"⚠"))</f>
        <v/>
      </c>
      <c r="AT8" t="str">
        <f>IF(CAPTURA!BY8="","",IFERROR(IF(INDEX(CODIFICACION!$E$2:$E$500,MATCH("D6.22|"&amp;CAPTURA!BY8,CODIFICACION!$F$2:$F$500,0))="sin dato","",INDEX(CODIFICACION!$E$2:$E$500,MATCH("D6.22|"&amp;CAPTURA!BY8,CODIFICACION!$F$2:$F$500,0))),"⚠"))</f>
        <v/>
      </c>
      <c r="AU8" t="str">
        <f>IF(CAPTURA!BZ8="","",IFERROR(IF(INDEX(CODIFICACION!$E$2:$E$500,MATCH("D6.22a|"&amp;CAPTURA!BZ8,CODIFICACION!$F$2:$F$500,0))="sin dato","",INDEX(CODIFICACION!$E$2:$E$500,MATCH("D6.22a|"&amp;CAPTURA!BZ8,CODIFICACION!$F$2:$F$500,0))),"⚠"))</f>
        <v/>
      </c>
      <c r="AV8" t="str">
        <f>IF(CAPTURA!CA8="","",IFERROR(IF(INDEX(CODIFICACION!$E$2:$E$500,MATCH("D6.22b|"&amp;CAPTURA!CA8,CODIFICACION!$F$2:$F$500,0))="sin dato","",INDEX(CODIFICACION!$E$2:$E$500,MATCH("D6.22b|"&amp;CAPTURA!CA8,CODIFICACION!$F$2:$F$500,0))),"⚠"))</f>
        <v/>
      </c>
      <c r="AW8" t="str">
        <f>IF(CAPTURA!CB8="","",IFERROR(IF(INDEX(CODIFICACION!$E$2:$E$500,MATCH("D6.23|"&amp;CAPTURA!CB8,CODIFICACION!$F$2:$F$500,0))="sin dato","",INDEX(CODIFICACION!$E$2:$E$500,MATCH("D6.23|"&amp;CAPTURA!CB8,CODIFICACION!$F$2:$F$500,0))),"⚠"))</f>
        <v/>
      </c>
      <c r="AX8" t="str">
        <f>IF(CAPTURA!CC8="","",IFERROR(IF(INDEX(CODIFICACION!$E$2:$E$500,MATCH("D6.24|"&amp;CAPTURA!CC8,CODIFICACION!$F$2:$F$500,0))="sin dato","",INDEX(CODIFICACION!$E$2:$E$500,MATCH("D6.24|"&amp;CAPTURA!CC8,CODIFICACION!$F$2:$F$500,0))),"⚠"))</f>
        <v/>
      </c>
      <c r="AY8" t="str">
        <f>IF(CAPTURA!CD8="","",IFERROR(IF(INDEX(CODIFICACION!$E$2:$E$500,MATCH("D6.25|"&amp;CAPTURA!CD8,CODIFICACION!$F$2:$F$500,0))="sin dato","",INDEX(CODIFICACION!$E$2:$E$500,MATCH("D6.25|"&amp;CAPTURA!CD8,CODIFICACION!$F$2:$F$500,0))),"⚠"))</f>
        <v/>
      </c>
      <c r="AZ8" t="str">
        <f>IF(CAPTURA!CE8="","",IFERROR(IF(INDEX(CODIFICACION!$E$2:$E$500,MATCH("D6.25a|"&amp;CAPTURA!CE8,CODIFICACION!$F$2:$F$500,0))="sin dato","",INDEX(CODIFICACION!$E$2:$E$500,MATCH("D6.25a|"&amp;CAPTURA!CE8,CODIFICACION!$F$2:$F$500,0))),"⚠"))</f>
        <v/>
      </c>
      <c r="BA8" t="str">
        <f>IF(CAPTURA!CF8="","",IFERROR(IF(INDEX(CODIFICACION!$E$2:$E$500,MATCH("D6.25b|"&amp;CAPTURA!CF8,CODIFICACION!$F$2:$F$500,0))="sin dato","",INDEX(CODIFICACION!$E$2:$E$500,MATCH("D6.25b|"&amp;CAPTURA!CF8,CODIFICACION!$F$2:$F$500,0))),"⚠"))</f>
        <v/>
      </c>
      <c r="BB8" t="str">
        <f>IF(CAPTURA!CG8="","",IFERROR(IF(INDEX(CODIFICACION!$E$2:$E$500,MATCH("D6.22c|"&amp;CAPTURA!CG8,CODIFICACION!$F$2:$F$500,0))="sin dato","",INDEX(CODIFICACION!$E$2:$E$500,MATCH("D6.22c|"&amp;CAPTURA!CG8,CODIFICACION!$F$2:$F$500,0))),"⚠"))</f>
        <v/>
      </c>
      <c r="BC8" t="str">
        <f>IF(CAPTURA!CH8="","",IFERROR(IF(INDEX(CODIFICACION!$E$2:$E$500,MATCH("D7.26|"&amp;CAPTURA!CH8,CODIFICACION!$F$2:$F$500,0))="sin dato","",INDEX(CODIFICACION!$E$2:$E$500,MATCH("D7.26|"&amp;CAPTURA!CH8,CODIFICACION!$F$2:$F$500,0))),"⚠"))</f>
        <v/>
      </c>
      <c r="BD8" t="str">
        <f>IF(CAPTURA!CI8="","",IFERROR(IF(INDEX(CODIFICACION!$E$2:$E$500,MATCH("D7.27|"&amp;CAPTURA!CI8,CODIFICACION!$F$2:$F$500,0))="sin dato","",INDEX(CODIFICACION!$E$2:$E$500,MATCH("D7.27|"&amp;CAPTURA!CI8,CODIFICACION!$F$2:$F$500,0))),"⚠"))</f>
        <v/>
      </c>
      <c r="BE8" t="str">
        <f>IF(CAPTURA!CJ8="","",IFERROR(IF(INDEX(CODIFICACION!$E$2:$E$500,MATCH("D7.28|"&amp;CAPTURA!CJ8,CODIFICACION!$F$2:$F$500,0))="sin dato","",INDEX(CODIFICACION!$E$2:$E$500,MATCH("D7.28|"&amp;CAPTURA!CJ8,CODIFICACION!$F$2:$F$500,0))),"⚠"))</f>
        <v/>
      </c>
      <c r="BF8" t="str">
        <f>IF(CAPTURA!CK8="","",IFERROR(IF(INDEX(CODIFICACION!$E$2:$E$500,MATCH("D7.28b|"&amp;CAPTURA!CK8,CODIFICACION!$F$2:$F$500,0))="sin dato","",INDEX(CODIFICACION!$E$2:$E$500,MATCH("D7.28b|"&amp;CAPTURA!CK8,CODIFICACION!$F$2:$F$500,0))),"⚠"))</f>
        <v/>
      </c>
      <c r="BG8" t="str">
        <f>IF(CAPTURA!CL8="","",MIN(100,ROUND((LEN(CAPTURA!CL8)-LEN(SUBSTITUTE(CAPTURA!CL8,";",""))+1)/8*100,1)))</f>
        <v/>
      </c>
      <c r="BH8" t="str">
        <f>IF(CAPTURA!CM8="","",IFERROR(IF(INDEX(CODIFICACION!$E$2:$E$500,MATCH("D7.26a|"&amp;CAPTURA!CM8,CODIFICACION!$F$2:$F$500,0))="sin dato","",INDEX(CODIFICACION!$E$2:$E$500,MATCH("D7.26a|"&amp;CAPTURA!CM8,CODIFICACION!$F$2:$F$500,0))),"⚠"))</f>
        <v/>
      </c>
      <c r="BI8" t="str">
        <f>IF(CAPTURA!CN8="","",IFERROR(IF(INDEX(CODIFICACION!$E$2:$E$500,MATCH("D7.26b|"&amp;CAPTURA!CN8,CODIFICACION!$F$2:$F$500,0))="sin dato","",INDEX(CODIFICACION!$E$2:$E$500,MATCH("D7.26b|"&amp;CAPTURA!CN8,CODIFICACION!$F$2:$F$500,0))),"⚠"))</f>
        <v/>
      </c>
      <c r="BJ8" t="str">
        <f>IF(CAPTURA!CO8="","",IF(AND(ISNUMBER(CAPTURA!CO8),CAPTURA!CO8&gt;=0,CAPTURA!CO8&lt;=4),CAPTURA!CO8*25,"⚠"))</f>
        <v/>
      </c>
      <c r="BK8" t="str">
        <f>IF(CAPTURA!CP8="","",IF(ISNUMBER(CAPTURA!CP8),MAX(0,MIN(100,CAPTURA!CP8)),"⚠"))</f>
        <v/>
      </c>
      <c r="BL8" t="str">
        <f>IF(CAPTURA!CQ8="","",IFERROR(IF(INDEX(CODIFICACION!$E$2:$E$500,MATCH("D8.31|"&amp;CAPTURA!CQ8,CODIFICACION!$F$2:$F$500,0))="sin dato","",INDEX(CODIFICACION!$E$2:$E$500,MATCH("D8.31|"&amp;CAPTURA!CQ8,CODIFICACION!$F$2:$F$500,0))),"⚠"))</f>
        <v/>
      </c>
      <c r="BM8" t="str">
        <f>IF(CAPTURA!CR8="","",IFERROR(IF(INDEX(CODIFICACION!$E$2:$E$500,MATCH("D8.32|"&amp;CAPTURA!CR8,CODIFICACION!$F$2:$F$500,0))="sin dato","",INDEX(CODIFICACION!$E$2:$E$500,MATCH("D8.32|"&amp;CAPTURA!CR8,CODIFICACION!$F$2:$F$500,0))),"⚠"))</f>
        <v/>
      </c>
      <c r="BN8" t="str">
        <f>IF(CAPTURA!CS8="","",IFERROR(IF(INDEX(CODIFICACION!$E$2:$E$500,MATCH("D9.33|"&amp;CAPTURA!CS8,CODIFICACION!$F$2:$F$500,0))="sin dato","",INDEX(CODIFICACION!$E$2:$E$500,MATCH("D9.33|"&amp;CAPTURA!CS8,CODIFICACION!$F$2:$F$500,0))),"⚠"))</f>
        <v/>
      </c>
      <c r="BO8" t="str">
        <f>IF(CAPTURA!CT8="","",IFERROR(IF(INDEX(CODIFICACION!$E$2:$E$500,MATCH("D9.34|"&amp;CAPTURA!CT8,CODIFICACION!$F$2:$F$500,0))="sin dato","",INDEX(CODIFICACION!$E$2:$E$500,MATCH("D9.34|"&amp;CAPTURA!CT8,CODIFICACION!$F$2:$F$500,0))),"⚠"))</f>
        <v/>
      </c>
      <c r="BP8" t="str">
        <f>IF(CAPTURA!CU8="","",IFERROR(IF(INDEX(CODIFICACION!$E$2:$E$500,MATCH("D9.35|"&amp;CAPTURA!CU8,CODIFICACION!$F$2:$F$500,0))="sin dato","",INDEX(CODIFICACION!$E$2:$E$500,MATCH("D9.35|"&amp;CAPTURA!CU8,CODIFICACION!$F$2:$F$500,0))),"⚠"))</f>
        <v/>
      </c>
      <c r="BQ8" t="str">
        <f>IF(CAPTURA!CV8="","",IFERROR(IF(INDEX(CODIFICACION!$E$2:$E$500,MATCH("D10.36|"&amp;CAPTURA!CV8,CODIFICACION!$F$2:$F$500,0))="sin dato","",INDEX(CODIFICACION!$E$2:$E$500,MATCH("D10.36|"&amp;CAPTURA!CV8,CODIFICACION!$F$2:$F$500,0))),"⚠"))</f>
        <v/>
      </c>
      <c r="BR8" t="str">
        <f>IF(CAPTURA!CW8="","",IFERROR(IF(INDEX(CODIFICACION!$E$2:$E$500,MATCH("D10.37|"&amp;CAPTURA!CW8,CODIFICACION!$F$2:$F$500,0))="sin dato","",INDEX(CODIFICACION!$E$2:$E$500,MATCH("D10.37|"&amp;CAPTURA!CW8,CODIFICACION!$F$2:$F$500,0))),"⚠"))</f>
        <v/>
      </c>
      <c r="BS8" t="str">
        <f>IF(CAPTURA!CX8="","",IFERROR(IF(INDEX(CODIFICACION!$E$2:$E$500,MATCH("D10.36a|"&amp;CAPTURA!CX8,CODIFICACION!$F$2:$F$500,0))="sin dato","",INDEX(CODIFICACION!$E$2:$E$500,MATCH("D10.36a|"&amp;CAPTURA!CX8,CODIFICACION!$F$2:$F$500,0))),"⚠"))</f>
        <v/>
      </c>
      <c r="BT8" t="str">
        <f>IF(CAPTURA!CY8="","",IF(ISNUMBER(SEARCH("Ninguno",CAPTURA!CY8)),0,MIN(100,ROUND((LEN(CAPTURA!CY8)-LEN(SUBSTITUTE(CAPTURA!CY8,";",""))+1)/6*100,1))))</f>
        <v/>
      </c>
      <c r="BU8" t="str">
        <f>IF(CAPTURA!DA8="","",IFERROR(IF(INDEX(CODIFICACION!$E$2:$E$500,MATCH("D11.39a|"&amp;CAPTURA!DA8,CODIFICACION!$F$2:$F$500,0))="sin dato","",INDEX(CODIFICACION!$E$2:$E$500,MATCH("D11.39a|"&amp;CAPTURA!DA8,CODIFICACION!$F$2:$F$500,0))),"⚠"))</f>
        <v/>
      </c>
      <c r="BV8" t="str">
        <f>IF(CAPTURA!DB8="","",IFERROR(IF(INDEX(CODIFICACION!$E$2:$E$500,MATCH("D12.42|"&amp;CAPTURA!DB8,CODIFICACION!$F$2:$F$500,0))="sin dato","",INDEX(CODIFICACION!$E$2:$E$500,MATCH("D12.42|"&amp;CAPTURA!DB8,CODIFICACION!$F$2:$F$500,0))),"⚠"))</f>
        <v/>
      </c>
      <c r="BW8" t="str">
        <f>IF(CAPTURA!DC8="","",IFERROR(IF(INDEX(CODIFICACION!$E$2:$E$500,MATCH("D13.45|"&amp;CAPTURA!DC8,CODIFICACION!$F$2:$F$500,0))="sin dato","",INDEX(CODIFICACION!$E$2:$E$500,MATCH("D13.45|"&amp;CAPTURA!DC8,CODIFICACION!$F$2:$F$500,0))),"⚠"))</f>
        <v/>
      </c>
      <c r="BX8" t="str">
        <f>IF(CAPTURA!DD8="","",IFERROR(IF(INDEX(CODIFICACION!$E$2:$E$500,MATCH("D14.51|"&amp;CAPTURA!DD8,CODIFICACION!$F$2:$F$500,0))="sin dato","",INDEX(CODIFICACION!$E$2:$E$500,MATCH("D14.51|"&amp;CAPTURA!DD8,CODIFICACION!$F$2:$F$500,0))),"⚠"))</f>
        <v/>
      </c>
      <c r="BY8" t="str">
        <f>IF(CAPTURA!DE8="","",IFERROR(IF(INDEX(CODIFICACION!$E$2:$E$500,MATCH("D15.58|"&amp;CAPTURA!DE8,CODIFICACION!$F$2:$F$500,0))="sin dato","",INDEX(CODIFICACION!$E$2:$E$500,MATCH("D15.58|"&amp;CAPTURA!DE8,CODIFICACION!$F$2:$F$500,0))),"⚠"))</f>
        <v/>
      </c>
      <c r="BZ8" t="str">
        <f>IF(CAPTURA!DF8="","",IFERROR(IF(INDEX(CODIFICACION!$E$2:$E$500,MATCH("PP1|"&amp;CAPTURA!DF8,CODIFICACION!$F$2:$F$500,0))="sin dato","",INDEX(CODIFICACION!$E$2:$E$500,MATCH("PP1|"&amp;CAPTURA!DF8,CODIFICACION!$F$2:$F$500,0))),"⚠"))</f>
        <v/>
      </c>
      <c r="CA8" t="str">
        <f>IF(CAPTURA!DG8="","",IFERROR(IF(INDEX(CODIFICACION!$E$2:$E$500,MATCH("PP2|"&amp;CAPTURA!DG8,CODIFICACION!$F$2:$F$500,0))="sin dato","",INDEX(CODIFICACION!$E$2:$E$500,MATCH("PP2|"&amp;CAPTURA!DG8,CODIFICACION!$F$2:$F$500,0))),"⚠"))</f>
        <v/>
      </c>
      <c r="CB8" t="str">
        <f t="shared" si="0"/>
        <v/>
      </c>
      <c r="CC8" t="str">
        <f t="shared" si="1"/>
        <v/>
      </c>
      <c r="CD8" t="str">
        <f t="shared" si="2"/>
        <v/>
      </c>
      <c r="CE8" t="str">
        <f t="shared" si="3"/>
        <v/>
      </c>
      <c r="CF8" t="str">
        <f t="shared" si="4"/>
        <v/>
      </c>
      <c r="CG8" t="str">
        <f t="shared" si="5"/>
        <v/>
      </c>
      <c r="CH8" t="str">
        <f t="shared" si="6"/>
        <v/>
      </c>
      <c r="CI8" t="str">
        <f t="shared" si="7"/>
        <v/>
      </c>
      <c r="CJ8" t="str">
        <f t="shared" si="8"/>
        <v/>
      </c>
      <c r="CK8" t="str">
        <f t="shared" si="9"/>
        <v/>
      </c>
      <c r="CL8" t="str">
        <f t="shared" si="10"/>
        <v/>
      </c>
    </row>
    <row r="9" spans="1:90" x14ac:dyDescent="0.3">
      <c r="A9">
        <f>CAPTURA!A9</f>
        <v>20132509876</v>
      </c>
      <c r="B9">
        <f>CAPTURA!C9</f>
        <v>0</v>
      </c>
      <c r="C9" t="str">
        <f>IF(CAPTURA!M9="","",ROUND((ISNUMBER(SEARCH("Alemania",CAPTURA!M9))+ISNUMBER(SEARCH("Bélgica",CAPTURA!M9))+ISNUMBER(SEARCH("Países Bajos",CAPTURA!M9))+ISNUMBER(SEARCH("Francia",CAPTURA!M9))+ISNUMBER(SEARCH("Italia",CAPTURA!M9))+ISNUMBER(SEARCH("España",CAPTURA!M9))+ISNUMBER(SEARCH("Suecia",CAPTURA!M9))+ISNUMBER(SEARCH("Dinamarca",CAPTURA!M9)))/((LEN(CAPTURA!M9)-LEN(SUBSTITUTE(CAPTURA!M9,";","")))+1)*100,1))</f>
        <v/>
      </c>
      <c r="D9" t="str">
        <f>IF(CAPTURA!AE9="","",IFERROR(IF(INDEX(CODIFICACION!$E$2:$E$500,MATCH("P8|"&amp;CAPTURA!AE9,CODIFICACION!$F$2:$F$500,0))="sin dato","",INDEX(CODIFICACION!$E$2:$E$500,MATCH("P8|"&amp;CAPTURA!AE9,CODIFICACION!$F$2:$F$500,0))),"⚠"))</f>
        <v/>
      </c>
      <c r="E9" t="str">
        <f>IF(CAPTURA!AG9="","",IFERROR(IF(INDEX(CODIFICACION!$E$2:$E$500,MATCH("P10|"&amp;CAPTURA!AG9,CODIFICACION!$F$2:$F$500,0))="sin dato","",INDEX(CODIFICACION!$E$2:$E$500,MATCH("P10|"&amp;CAPTURA!AG9,CODIFICACION!$F$2:$F$500,0))),"⚠"))</f>
        <v/>
      </c>
      <c r="F9" t="str">
        <f>IF(CAPTURA!AJ9="","",IFERROR(IF(INDEX(CODIFICACION!$E$2:$E$500,MATCH("P13|"&amp;CAPTURA!AJ9,CODIFICACION!$F$2:$F$500,0))="sin dato","",INDEX(CODIFICACION!$E$2:$E$500,MATCH("P13|"&amp;CAPTURA!AJ9,CODIFICACION!$F$2:$F$500,0))),"⚠"))</f>
        <v/>
      </c>
      <c r="G9" t="str">
        <f>IF(CAPTURA!AK9="","",IFERROR(IF(INDEX(CODIFICACION!$E$2:$E$500,MATCH("P14|"&amp;CAPTURA!AK9,CODIFICACION!$F$2:$F$500,0))="sin dato","",INDEX(CODIFICACION!$E$2:$E$500,MATCH("P14|"&amp;CAPTURA!AK9,CODIFICACION!$F$2:$F$500,0))),"⚠"))</f>
        <v/>
      </c>
      <c r="H9" t="str">
        <f>IF(CAPTURA!AL9="","",IFERROR(IF(INDEX(CODIFICACION!$E$2:$E$500,MATCH("D1.1|"&amp;CAPTURA!AL9,CODIFICACION!$F$2:$F$500,0))="sin dato","",INDEX(CODIFICACION!$E$2:$E$500,MATCH("D1.1|"&amp;CAPTURA!AL9,CODIFICACION!$F$2:$F$500,0))),"⚠"))</f>
        <v/>
      </c>
      <c r="I9" t="str">
        <f>IF(CAPTURA!AN9="","",IFERROR(IF(INDEX(CODIFICACION!$E$2:$E$500,MATCH("D1.3|"&amp;CAPTURA!AN9,CODIFICACION!$F$2:$F$500,0))="sin dato","",INDEX(CODIFICACION!$E$2:$E$500,MATCH("D1.3|"&amp;CAPTURA!AN9,CODIFICACION!$F$2:$F$500,0))),"⚠"))</f>
        <v/>
      </c>
      <c r="J9" t="str">
        <f>IF(CAPTURA!AO9="","",IFERROR(IF(INDEX(CODIFICACION!$E$2:$E$500,MATCH("D1.4|"&amp;CAPTURA!AO9,CODIFICACION!$F$2:$F$500,0))="sin dato","",INDEX(CODIFICACION!$E$2:$E$500,MATCH("D1.4|"&amp;CAPTURA!AO9,CODIFICACION!$F$2:$F$500,0))),"⚠"))</f>
        <v/>
      </c>
      <c r="K9" t="str">
        <f>IF(CAPTURA!AP9="","",IFERROR(IF(INDEX(CODIFICACION!$E$2:$E$500,MATCH("D1.3a|"&amp;CAPTURA!AP9,CODIFICACION!$F$2:$F$500,0))="sin dato","",INDEX(CODIFICACION!$E$2:$E$500,MATCH("D1.3a|"&amp;CAPTURA!AP9,CODIFICACION!$F$2:$F$500,0))),"⚠"))</f>
        <v/>
      </c>
      <c r="L9" t="str">
        <f>IF(CAPTURA!AQ9="","",IF(AND(ISNUMBER(CAPTURA!AQ9),CAPTURA!AQ9&gt;=0,CAPTURA!AQ9&lt;=4),CAPTURA!AQ9*25,"⚠"))</f>
        <v/>
      </c>
      <c r="M9" t="str">
        <f>IF(CAPTURA!AR9="","",IF(ISNUMBER(CAPTURA!AR9),MAX(0,MIN(100,CAPTURA!AR9)),"⚠"))</f>
        <v/>
      </c>
      <c r="N9" t="str">
        <f>IF(CAPTURA!AS9="","",IF(AND(ISNUMBER(CAPTURA!AS9),CAPTURA!AS9&gt;=0,CAPTURA!AS9&lt;=4),CAPTURA!AS9*25,"⚠"))</f>
        <v/>
      </c>
      <c r="O9" t="str">
        <f>IF(CAPTURA!AT9="","",IFERROR(IF(INDEX(CODIFICACION!$E$2:$E$500,MATCH("D2.8|"&amp;CAPTURA!AT9,CODIFICACION!$F$2:$F$500,0))="sin dato","",INDEX(CODIFICACION!$E$2:$E$500,MATCH("D2.8|"&amp;CAPTURA!AT9,CODIFICACION!$F$2:$F$500,0))),"⚠"))</f>
        <v/>
      </c>
      <c r="P9" t="str">
        <f>IF(CAPTURA!AU9="","",IFERROR(IF(INDEX(CODIFICACION!$E$2:$E$500,MATCH("D2.9|"&amp;CAPTURA!AU9,CODIFICACION!$F$2:$F$500,0))="sin dato","",INDEX(CODIFICACION!$E$2:$E$500,MATCH("D2.9|"&amp;CAPTURA!AU9,CODIFICACION!$F$2:$F$500,0))),"⚠"))</f>
        <v/>
      </c>
      <c r="Q9" t="str">
        <f>IF(CAPTURA!AV9="","",IFERROR(IF(INDEX(CODIFICACION!$E$2:$E$500,MATCH("D2.10|"&amp;CAPTURA!AV9,CODIFICACION!$F$2:$F$500,0))="sin dato","",INDEX(CODIFICACION!$E$2:$E$500,MATCH("D2.10|"&amp;CAPTURA!AV9,CODIFICACION!$F$2:$F$500,0))),"⚠"))</f>
        <v/>
      </c>
      <c r="R9" t="str">
        <f>IF(CAPTURA!AW9="","",IFERROR(IF(INDEX(CODIFICACION!$E$2:$E$500,MATCH("D2.5a|"&amp;CAPTURA!AW9,CODIFICACION!$F$2:$F$500,0))="sin dato","",INDEX(CODIFICACION!$E$2:$E$500,MATCH("D2.5a|"&amp;CAPTURA!AW9,CODIFICACION!$F$2:$F$500,0))),"⚠"))</f>
        <v/>
      </c>
      <c r="S9" t="str">
        <f>IF(CAPTURA!AX9="","",IFERROR(IF(INDEX(CODIFICACION!$E$2:$E$500,MATCH("D2.5b|"&amp;CAPTURA!AX9,CODIFICACION!$F$2:$F$500,0))="sin dato","",INDEX(CODIFICACION!$E$2:$E$500,MATCH("D2.5b|"&amp;CAPTURA!AX9,CODIFICACION!$F$2:$F$500,0))),"⚠"))</f>
        <v/>
      </c>
      <c r="T9" t="str">
        <f>IF(CAPTURA!AY9="","",IF(ISNUMBER(CAPTURA!AY9),MAX(0,MIN(100,CAPTURA!AY9)),"⚠"))</f>
        <v/>
      </c>
      <c r="U9" t="str">
        <f>IF(CAPTURA!AZ9="","",IFERROR(IF(INDEX(CODIFICACION!$E$2:$E$500,MATCH("D3.12|"&amp;CAPTURA!AZ9,CODIFICACION!$F$2:$F$500,0))="sin dato","",INDEX(CODIFICACION!$E$2:$E$500,MATCH("D3.12|"&amp;CAPTURA!AZ9,CODIFICACION!$F$2:$F$500,0))),"⚠"))</f>
        <v/>
      </c>
      <c r="V9" t="str">
        <f>IF(CAPTURA!BA9="","",IF(AND(ISNUMBER(CAPTURA!BA9),CAPTURA!BA9&gt;=0,CAPTURA!BA9&lt;=4),CAPTURA!BA9*25,"⚠"))</f>
        <v/>
      </c>
      <c r="W9" t="str">
        <f>IF(CAPTURA!BB9="","",IFERROR(IF(INDEX(CODIFICACION!$E$2:$E$500,MATCH("D3.14|"&amp;CAPTURA!BB9,CODIFICACION!$F$2:$F$500,0))="sin dato","",INDEX(CODIFICACION!$E$2:$E$500,MATCH("D3.14|"&amp;CAPTURA!BB9,CODIFICACION!$F$2:$F$500,0))),"⚠"))</f>
        <v/>
      </c>
      <c r="X9" t="str">
        <f>IF(CAPTURA!BC9="","",IFERROR(IF(INDEX(CODIFICACION!$E$2:$E$500,MATCH("D3.14a|"&amp;CAPTURA!BC9,CODIFICACION!$F$2:$F$500,0))="sin dato","",INDEX(CODIFICACION!$E$2:$E$500,MATCH("D3.14a|"&amp;CAPTURA!BC9,CODIFICACION!$F$2:$F$500,0))),"⚠"))</f>
        <v/>
      </c>
      <c r="Y9" t="str">
        <f>IF(CAPTURA!BD9="","",IFERROR(IF(INDEX(CODIFICACION!$E$2:$E$500,MATCH("D3.14b|"&amp;CAPTURA!BD9,CODIFICACION!$F$2:$F$500,0))="sin dato","",INDEX(CODIFICACION!$E$2:$E$500,MATCH("D3.14b|"&amp;CAPTURA!BD9,CODIFICACION!$F$2:$F$500,0))),"⚠"))</f>
        <v/>
      </c>
      <c r="Z9" t="str">
        <f>IF(CAPTURA!BE9="","",IFERROR(IF(INDEX(CODIFICACION!$E$2:$E$500,MATCH("D3.14c|"&amp;CAPTURA!BE9,CODIFICACION!$F$2:$F$500,0))="sin dato","",INDEX(CODIFICACION!$E$2:$E$500,MATCH("D3.14c|"&amp;CAPTURA!BE9,CODIFICACION!$F$2:$F$500,0))),"⚠"))</f>
        <v/>
      </c>
      <c r="AA9" t="str">
        <f>IF(CAPTURA!BF9="","",IFERROR(IF(INDEX(CODIFICACION!$E$2:$E$500,MATCH("D3.14d|"&amp;CAPTURA!BF9,CODIFICACION!$F$2:$F$500,0))="sin dato","",INDEX(CODIFICACION!$E$2:$E$500,MATCH("D3.14d|"&amp;CAPTURA!BF9,CODIFICACION!$F$2:$F$500,0))),"⚠"))</f>
        <v/>
      </c>
      <c r="AB9" t="str">
        <f>IF(CAPTURA!BG9="","",IFERROR(IF(INDEX(CODIFICACION!$E$2:$E$500,MATCH("D3.14e|"&amp;CAPTURA!BG9,CODIFICACION!$F$2:$F$500,0))="sin dato","",INDEX(CODIFICACION!$E$2:$E$500,MATCH("D3.14e|"&amp;CAPTURA!BG9,CODIFICACION!$F$2:$F$500,0))),"⚠"))</f>
        <v/>
      </c>
      <c r="AC9" t="str">
        <f>IF(CAPTURA!BH9="","",IFERROR(IF(INDEX(CODIFICACION!$E$2:$E$500,MATCH("D3.14f|"&amp;CAPTURA!BH9,CODIFICACION!$F$2:$F$500,0))="sin dato","",INDEX(CODIFICACION!$E$2:$E$500,MATCH("D3.14f|"&amp;CAPTURA!BH9,CODIFICACION!$F$2:$F$500,0))),"⚠"))</f>
        <v/>
      </c>
      <c r="AD9" t="str">
        <f>IF(CAPTURA!BI9="","",IFERROR(IF(INDEX(CODIFICACION!$E$2:$E$500,MATCH("D3.14g|"&amp;CAPTURA!BI9,CODIFICACION!$F$2:$F$500,0))="sin dato","",INDEX(CODIFICACION!$E$2:$E$500,MATCH("D3.14g|"&amp;CAPTURA!BI9,CODIFICACION!$F$2:$F$500,0))),"⚠"))</f>
        <v/>
      </c>
      <c r="AE9" t="str">
        <f>IF(CAPTURA!BJ9="","",IFERROR(IF(INDEX(CODIFICACION!$E$2:$E$500,MATCH("D3.14h|"&amp;CAPTURA!BJ9,CODIFICACION!$F$2:$F$500,0))="sin dato","",INDEX(CODIFICACION!$E$2:$E$500,MATCH("D3.14h|"&amp;CAPTURA!BJ9,CODIFICACION!$F$2:$F$500,0))),"⚠"))</f>
        <v/>
      </c>
      <c r="AF9" t="str">
        <f>IF(CAPTURA!BK9="","",IFERROR(IF(INDEX(CODIFICACION!$E$2:$E$500,MATCH("D3.14i|"&amp;CAPTURA!BK9,CODIFICACION!$F$2:$F$500,0))="sin dato","",INDEX(CODIFICACION!$E$2:$E$500,MATCH("D3.14i|"&amp;CAPTURA!BK9,CODIFICACION!$F$2:$F$500,0))),"⚠"))</f>
        <v/>
      </c>
      <c r="AG9" t="str">
        <f>IF(CAPTURA!BL9="","",IFERROR(IF(INDEX(CODIFICACION!$E$2:$E$500,MATCH("D4.15|"&amp;CAPTURA!BL9,CODIFICACION!$F$2:$F$500,0))="sin dato","",INDEX(CODIFICACION!$E$2:$E$500,MATCH("D4.15|"&amp;CAPTURA!BL9,CODIFICACION!$F$2:$F$500,0))),"⚠"))</f>
        <v/>
      </c>
      <c r="AH9" t="str">
        <f>IF(CAPTURA!BM9="","",IF(AND(ISNUMBER(CAPTURA!BM9),CAPTURA!BM9&gt;=0,CAPTURA!BM9&lt;=4),CAPTURA!BM9*25,"⚠"))</f>
        <v/>
      </c>
      <c r="AI9" t="str">
        <f>IF(CAPTURA!BN9="","",IFERROR(IF(INDEX(CODIFICACION!$E$2:$E$500,MATCH("D4.17|"&amp;CAPTURA!BN9,CODIFICACION!$F$2:$F$500,0))="sin dato","",INDEX(CODIFICACION!$E$2:$E$500,MATCH("D4.17|"&amp;CAPTURA!BN9,CODIFICACION!$F$2:$F$500,0))),"⚠"))</f>
        <v/>
      </c>
      <c r="AJ9" t="str">
        <f>IF(CAPTURA!BO9="","",IFERROR(IF(INDEX(CODIFICACION!$E$2:$E$500,MATCH("D4.15a|"&amp;CAPTURA!BO9,CODIFICACION!$F$2:$F$500,0))="sin dato","",INDEX(CODIFICACION!$E$2:$E$500,MATCH("D4.15a|"&amp;CAPTURA!BO9,CODIFICACION!$F$2:$F$500,0))),"⚠"))</f>
        <v/>
      </c>
      <c r="AK9" t="str">
        <f>IF(CAPTURA!BP9="","",IF(AND(ISNUMBER(CAPTURA!BP9),CAPTURA!BP9&gt;=0,CAPTURA!BP9&lt;=4),CAPTURA!BP9*25,"⚠"))</f>
        <v/>
      </c>
      <c r="AL9" t="str">
        <f>IF(CAPTURA!BQ9="","",IF(AND(ISNUMBER(CAPTURA!BQ9),CAPTURA!BQ9&gt;=0,CAPTURA!BQ9&lt;=4),CAPTURA!BQ9*25,"⚠"))</f>
        <v/>
      </c>
      <c r="AM9" t="str">
        <f>IF(CAPTURA!BR9="","",IFERROR(IF(INDEX(CODIFICACION!$E$2:$E$500,MATCH("D5.18b|"&amp;CAPTURA!BR9,CODIFICACION!$F$2:$F$500,0))="sin dato","",INDEX(CODIFICACION!$E$2:$E$500,MATCH("D5.18b|"&amp;CAPTURA!BR9,CODIFICACION!$F$2:$F$500,0))),"⚠"))</f>
        <v/>
      </c>
      <c r="AN9" t="str">
        <f>IF(CAPTURA!BS9="","",IFERROR(IF(INDEX(CODIFICACION!$E$2:$E$500,MATCH("D5.19|"&amp;CAPTURA!BS9,CODIFICACION!$F$2:$F$500,0))="sin dato","",INDEX(CODIFICACION!$E$2:$E$500,MATCH("D5.19|"&amp;CAPTURA!BS9,CODIFICACION!$F$2:$F$500,0))),"⚠"))</f>
        <v/>
      </c>
      <c r="AO9" t="str">
        <f>IF(CAPTURA!BT9="","",MIN(100,ROUND((LEN(CAPTURA!BT9)-LEN(SUBSTITUTE(CAPTURA!BT9,";",""))+1)/7*100,1)))</f>
        <v/>
      </c>
      <c r="AP9" t="str">
        <f>IF(CAPTURA!BU9="","",IFERROR(IF(INDEX(CODIFICACION!$E$2:$E$500,MATCH("D5.20|"&amp;CAPTURA!BU9,CODIFICACION!$F$2:$F$500,0))="sin dato","",INDEX(CODIFICACION!$E$2:$E$500,MATCH("D5.20|"&amp;CAPTURA!BU9,CODIFICACION!$F$2:$F$500,0))),"⚠"))</f>
        <v/>
      </c>
      <c r="AQ9" t="str">
        <f>IF(CAPTURA!BV9="","",IFERROR(IF(INDEX(CODIFICACION!$E$2:$E$500,MATCH("D5.21|"&amp;CAPTURA!BV9,CODIFICACION!$F$2:$F$500,0))="sin dato","",INDEX(CODIFICACION!$E$2:$E$500,MATCH("D5.21|"&amp;CAPTURA!BV9,CODIFICACION!$F$2:$F$500,0))),"⚠"))</f>
        <v/>
      </c>
      <c r="AR9" t="str">
        <f>IF(CAPTURA!BW9="","",IFERROR(IF(INDEX(CODIFICACION!$E$2:$E$500,MATCH("D5.21a|"&amp;CAPTURA!BW9,CODIFICACION!$F$2:$F$500,0))="sin dato","",INDEX(CODIFICACION!$E$2:$E$500,MATCH("D5.21a|"&amp;CAPTURA!BW9,CODIFICACION!$F$2:$F$500,0))),"⚠"))</f>
        <v/>
      </c>
      <c r="AS9" t="str">
        <f>IF(CAPTURA!BX9="","",IFERROR(IF(INDEX(CODIFICACION!$E$2:$E$500,MATCH("D5.21b|"&amp;CAPTURA!BX9,CODIFICACION!$F$2:$F$500,0))="sin dato","",INDEX(CODIFICACION!$E$2:$E$500,MATCH("D5.21b|"&amp;CAPTURA!BX9,CODIFICACION!$F$2:$F$500,0))),"⚠"))</f>
        <v/>
      </c>
      <c r="AT9" t="str">
        <f>IF(CAPTURA!BY9="","",IFERROR(IF(INDEX(CODIFICACION!$E$2:$E$500,MATCH("D6.22|"&amp;CAPTURA!BY9,CODIFICACION!$F$2:$F$500,0))="sin dato","",INDEX(CODIFICACION!$E$2:$E$500,MATCH("D6.22|"&amp;CAPTURA!BY9,CODIFICACION!$F$2:$F$500,0))),"⚠"))</f>
        <v/>
      </c>
      <c r="AU9" t="str">
        <f>IF(CAPTURA!BZ9="","",IFERROR(IF(INDEX(CODIFICACION!$E$2:$E$500,MATCH("D6.22a|"&amp;CAPTURA!BZ9,CODIFICACION!$F$2:$F$500,0))="sin dato","",INDEX(CODIFICACION!$E$2:$E$500,MATCH("D6.22a|"&amp;CAPTURA!BZ9,CODIFICACION!$F$2:$F$500,0))),"⚠"))</f>
        <v/>
      </c>
      <c r="AV9" t="str">
        <f>IF(CAPTURA!CA9="","",IFERROR(IF(INDEX(CODIFICACION!$E$2:$E$500,MATCH("D6.22b|"&amp;CAPTURA!CA9,CODIFICACION!$F$2:$F$500,0))="sin dato","",INDEX(CODIFICACION!$E$2:$E$500,MATCH("D6.22b|"&amp;CAPTURA!CA9,CODIFICACION!$F$2:$F$500,0))),"⚠"))</f>
        <v/>
      </c>
      <c r="AW9" t="str">
        <f>IF(CAPTURA!CB9="","",IFERROR(IF(INDEX(CODIFICACION!$E$2:$E$500,MATCH("D6.23|"&amp;CAPTURA!CB9,CODIFICACION!$F$2:$F$500,0))="sin dato","",INDEX(CODIFICACION!$E$2:$E$500,MATCH("D6.23|"&amp;CAPTURA!CB9,CODIFICACION!$F$2:$F$500,0))),"⚠"))</f>
        <v/>
      </c>
      <c r="AX9" t="str">
        <f>IF(CAPTURA!CC9="","",IFERROR(IF(INDEX(CODIFICACION!$E$2:$E$500,MATCH("D6.24|"&amp;CAPTURA!CC9,CODIFICACION!$F$2:$F$500,0))="sin dato","",INDEX(CODIFICACION!$E$2:$E$500,MATCH("D6.24|"&amp;CAPTURA!CC9,CODIFICACION!$F$2:$F$500,0))),"⚠"))</f>
        <v/>
      </c>
      <c r="AY9" t="str">
        <f>IF(CAPTURA!CD9="","",IFERROR(IF(INDEX(CODIFICACION!$E$2:$E$500,MATCH("D6.25|"&amp;CAPTURA!CD9,CODIFICACION!$F$2:$F$500,0))="sin dato","",INDEX(CODIFICACION!$E$2:$E$500,MATCH("D6.25|"&amp;CAPTURA!CD9,CODIFICACION!$F$2:$F$500,0))),"⚠"))</f>
        <v/>
      </c>
      <c r="AZ9" t="str">
        <f>IF(CAPTURA!CE9="","",IFERROR(IF(INDEX(CODIFICACION!$E$2:$E$500,MATCH("D6.25a|"&amp;CAPTURA!CE9,CODIFICACION!$F$2:$F$500,0))="sin dato","",INDEX(CODIFICACION!$E$2:$E$500,MATCH("D6.25a|"&amp;CAPTURA!CE9,CODIFICACION!$F$2:$F$500,0))),"⚠"))</f>
        <v/>
      </c>
      <c r="BA9" t="str">
        <f>IF(CAPTURA!CF9="","",IFERROR(IF(INDEX(CODIFICACION!$E$2:$E$500,MATCH("D6.25b|"&amp;CAPTURA!CF9,CODIFICACION!$F$2:$F$500,0))="sin dato","",INDEX(CODIFICACION!$E$2:$E$500,MATCH("D6.25b|"&amp;CAPTURA!CF9,CODIFICACION!$F$2:$F$500,0))),"⚠"))</f>
        <v/>
      </c>
      <c r="BB9" t="str">
        <f>IF(CAPTURA!CG9="","",IFERROR(IF(INDEX(CODIFICACION!$E$2:$E$500,MATCH("D6.22c|"&amp;CAPTURA!CG9,CODIFICACION!$F$2:$F$500,0))="sin dato","",INDEX(CODIFICACION!$E$2:$E$500,MATCH("D6.22c|"&amp;CAPTURA!CG9,CODIFICACION!$F$2:$F$500,0))),"⚠"))</f>
        <v/>
      </c>
      <c r="BC9" t="str">
        <f>IF(CAPTURA!CH9="","",IFERROR(IF(INDEX(CODIFICACION!$E$2:$E$500,MATCH("D7.26|"&amp;CAPTURA!CH9,CODIFICACION!$F$2:$F$500,0))="sin dato","",INDEX(CODIFICACION!$E$2:$E$500,MATCH("D7.26|"&amp;CAPTURA!CH9,CODIFICACION!$F$2:$F$500,0))),"⚠"))</f>
        <v/>
      </c>
      <c r="BD9" t="str">
        <f>IF(CAPTURA!CI9="","",IFERROR(IF(INDEX(CODIFICACION!$E$2:$E$500,MATCH("D7.27|"&amp;CAPTURA!CI9,CODIFICACION!$F$2:$F$500,0))="sin dato","",INDEX(CODIFICACION!$E$2:$E$500,MATCH("D7.27|"&amp;CAPTURA!CI9,CODIFICACION!$F$2:$F$500,0))),"⚠"))</f>
        <v/>
      </c>
      <c r="BE9" t="str">
        <f>IF(CAPTURA!CJ9="","",IFERROR(IF(INDEX(CODIFICACION!$E$2:$E$500,MATCH("D7.28|"&amp;CAPTURA!CJ9,CODIFICACION!$F$2:$F$500,0))="sin dato","",INDEX(CODIFICACION!$E$2:$E$500,MATCH("D7.28|"&amp;CAPTURA!CJ9,CODIFICACION!$F$2:$F$500,0))),"⚠"))</f>
        <v/>
      </c>
      <c r="BF9" t="str">
        <f>IF(CAPTURA!CK9="","",IFERROR(IF(INDEX(CODIFICACION!$E$2:$E$500,MATCH("D7.28b|"&amp;CAPTURA!CK9,CODIFICACION!$F$2:$F$500,0))="sin dato","",INDEX(CODIFICACION!$E$2:$E$500,MATCH("D7.28b|"&amp;CAPTURA!CK9,CODIFICACION!$F$2:$F$500,0))),"⚠"))</f>
        <v/>
      </c>
      <c r="BG9" t="str">
        <f>IF(CAPTURA!CL9="","",MIN(100,ROUND((LEN(CAPTURA!CL9)-LEN(SUBSTITUTE(CAPTURA!CL9,";",""))+1)/8*100,1)))</f>
        <v/>
      </c>
      <c r="BH9" t="str">
        <f>IF(CAPTURA!CM9="","",IFERROR(IF(INDEX(CODIFICACION!$E$2:$E$500,MATCH("D7.26a|"&amp;CAPTURA!CM9,CODIFICACION!$F$2:$F$500,0))="sin dato","",INDEX(CODIFICACION!$E$2:$E$500,MATCH("D7.26a|"&amp;CAPTURA!CM9,CODIFICACION!$F$2:$F$500,0))),"⚠"))</f>
        <v/>
      </c>
      <c r="BI9" t="str">
        <f>IF(CAPTURA!CN9="","",IFERROR(IF(INDEX(CODIFICACION!$E$2:$E$500,MATCH("D7.26b|"&amp;CAPTURA!CN9,CODIFICACION!$F$2:$F$500,0))="sin dato","",INDEX(CODIFICACION!$E$2:$E$500,MATCH("D7.26b|"&amp;CAPTURA!CN9,CODIFICACION!$F$2:$F$500,0))),"⚠"))</f>
        <v/>
      </c>
      <c r="BJ9" t="str">
        <f>IF(CAPTURA!CO9="","",IF(AND(ISNUMBER(CAPTURA!CO9),CAPTURA!CO9&gt;=0,CAPTURA!CO9&lt;=4),CAPTURA!CO9*25,"⚠"))</f>
        <v/>
      </c>
      <c r="BK9" t="str">
        <f>IF(CAPTURA!CP9="","",IF(ISNUMBER(CAPTURA!CP9),MAX(0,MIN(100,CAPTURA!CP9)),"⚠"))</f>
        <v/>
      </c>
      <c r="BL9" t="str">
        <f>IF(CAPTURA!CQ9="","",IFERROR(IF(INDEX(CODIFICACION!$E$2:$E$500,MATCH("D8.31|"&amp;CAPTURA!CQ9,CODIFICACION!$F$2:$F$500,0))="sin dato","",INDEX(CODIFICACION!$E$2:$E$500,MATCH("D8.31|"&amp;CAPTURA!CQ9,CODIFICACION!$F$2:$F$500,0))),"⚠"))</f>
        <v/>
      </c>
      <c r="BM9" t="str">
        <f>IF(CAPTURA!CR9="","",IFERROR(IF(INDEX(CODIFICACION!$E$2:$E$500,MATCH("D8.32|"&amp;CAPTURA!CR9,CODIFICACION!$F$2:$F$500,0))="sin dato","",INDEX(CODIFICACION!$E$2:$E$500,MATCH("D8.32|"&amp;CAPTURA!CR9,CODIFICACION!$F$2:$F$500,0))),"⚠"))</f>
        <v/>
      </c>
      <c r="BN9" t="str">
        <f>IF(CAPTURA!CS9="","",IFERROR(IF(INDEX(CODIFICACION!$E$2:$E$500,MATCH("D9.33|"&amp;CAPTURA!CS9,CODIFICACION!$F$2:$F$500,0))="sin dato","",INDEX(CODIFICACION!$E$2:$E$500,MATCH("D9.33|"&amp;CAPTURA!CS9,CODIFICACION!$F$2:$F$500,0))),"⚠"))</f>
        <v/>
      </c>
      <c r="BO9" t="str">
        <f>IF(CAPTURA!CT9="","",IFERROR(IF(INDEX(CODIFICACION!$E$2:$E$500,MATCH("D9.34|"&amp;CAPTURA!CT9,CODIFICACION!$F$2:$F$500,0))="sin dato","",INDEX(CODIFICACION!$E$2:$E$500,MATCH("D9.34|"&amp;CAPTURA!CT9,CODIFICACION!$F$2:$F$500,0))),"⚠"))</f>
        <v/>
      </c>
      <c r="BP9" t="str">
        <f>IF(CAPTURA!CU9="","",IFERROR(IF(INDEX(CODIFICACION!$E$2:$E$500,MATCH("D9.35|"&amp;CAPTURA!CU9,CODIFICACION!$F$2:$F$500,0))="sin dato","",INDEX(CODIFICACION!$E$2:$E$500,MATCH("D9.35|"&amp;CAPTURA!CU9,CODIFICACION!$F$2:$F$500,0))),"⚠"))</f>
        <v/>
      </c>
      <c r="BQ9" t="str">
        <f>IF(CAPTURA!CV9="","",IFERROR(IF(INDEX(CODIFICACION!$E$2:$E$500,MATCH("D10.36|"&amp;CAPTURA!CV9,CODIFICACION!$F$2:$F$500,0))="sin dato","",INDEX(CODIFICACION!$E$2:$E$500,MATCH("D10.36|"&amp;CAPTURA!CV9,CODIFICACION!$F$2:$F$500,0))),"⚠"))</f>
        <v/>
      </c>
      <c r="BR9" t="str">
        <f>IF(CAPTURA!CW9="","",IFERROR(IF(INDEX(CODIFICACION!$E$2:$E$500,MATCH("D10.37|"&amp;CAPTURA!CW9,CODIFICACION!$F$2:$F$500,0))="sin dato","",INDEX(CODIFICACION!$E$2:$E$500,MATCH("D10.37|"&amp;CAPTURA!CW9,CODIFICACION!$F$2:$F$500,0))),"⚠"))</f>
        <v/>
      </c>
      <c r="BS9" t="str">
        <f>IF(CAPTURA!CX9="","",IFERROR(IF(INDEX(CODIFICACION!$E$2:$E$500,MATCH("D10.36a|"&amp;CAPTURA!CX9,CODIFICACION!$F$2:$F$500,0))="sin dato","",INDEX(CODIFICACION!$E$2:$E$500,MATCH("D10.36a|"&amp;CAPTURA!CX9,CODIFICACION!$F$2:$F$500,0))),"⚠"))</f>
        <v/>
      </c>
      <c r="BT9" t="str">
        <f>IF(CAPTURA!CY9="","",IF(ISNUMBER(SEARCH("Ninguno",CAPTURA!CY9)),0,MIN(100,ROUND((LEN(CAPTURA!CY9)-LEN(SUBSTITUTE(CAPTURA!CY9,";",""))+1)/6*100,1))))</f>
        <v/>
      </c>
      <c r="BU9" t="str">
        <f>IF(CAPTURA!DA9="","",IFERROR(IF(INDEX(CODIFICACION!$E$2:$E$500,MATCH("D11.39a|"&amp;CAPTURA!DA9,CODIFICACION!$F$2:$F$500,0))="sin dato","",INDEX(CODIFICACION!$E$2:$E$500,MATCH("D11.39a|"&amp;CAPTURA!DA9,CODIFICACION!$F$2:$F$500,0))),"⚠"))</f>
        <v/>
      </c>
      <c r="BV9" t="str">
        <f>IF(CAPTURA!DB9="","",IFERROR(IF(INDEX(CODIFICACION!$E$2:$E$500,MATCH("D12.42|"&amp;CAPTURA!DB9,CODIFICACION!$F$2:$F$500,0))="sin dato","",INDEX(CODIFICACION!$E$2:$E$500,MATCH("D12.42|"&amp;CAPTURA!DB9,CODIFICACION!$F$2:$F$500,0))),"⚠"))</f>
        <v/>
      </c>
      <c r="BW9" t="str">
        <f>IF(CAPTURA!DC9="","",IFERROR(IF(INDEX(CODIFICACION!$E$2:$E$500,MATCH("D13.45|"&amp;CAPTURA!DC9,CODIFICACION!$F$2:$F$500,0))="sin dato","",INDEX(CODIFICACION!$E$2:$E$500,MATCH("D13.45|"&amp;CAPTURA!DC9,CODIFICACION!$F$2:$F$500,0))),"⚠"))</f>
        <v/>
      </c>
      <c r="BX9" t="str">
        <f>IF(CAPTURA!DD9="","",IFERROR(IF(INDEX(CODIFICACION!$E$2:$E$500,MATCH("D14.51|"&amp;CAPTURA!DD9,CODIFICACION!$F$2:$F$500,0))="sin dato","",INDEX(CODIFICACION!$E$2:$E$500,MATCH("D14.51|"&amp;CAPTURA!DD9,CODIFICACION!$F$2:$F$500,0))),"⚠"))</f>
        <v/>
      </c>
      <c r="BY9" t="str">
        <f>IF(CAPTURA!DE9="","",IFERROR(IF(INDEX(CODIFICACION!$E$2:$E$500,MATCH("D15.58|"&amp;CAPTURA!DE9,CODIFICACION!$F$2:$F$500,0))="sin dato","",INDEX(CODIFICACION!$E$2:$E$500,MATCH("D15.58|"&amp;CAPTURA!DE9,CODIFICACION!$F$2:$F$500,0))),"⚠"))</f>
        <v/>
      </c>
      <c r="BZ9" t="str">
        <f>IF(CAPTURA!DF9="","",IFERROR(IF(INDEX(CODIFICACION!$E$2:$E$500,MATCH("PP1|"&amp;CAPTURA!DF9,CODIFICACION!$F$2:$F$500,0))="sin dato","",INDEX(CODIFICACION!$E$2:$E$500,MATCH("PP1|"&amp;CAPTURA!DF9,CODIFICACION!$F$2:$F$500,0))),"⚠"))</f>
        <v/>
      </c>
      <c r="CA9" t="str">
        <f>IF(CAPTURA!DG9="","",IFERROR(IF(INDEX(CODIFICACION!$E$2:$E$500,MATCH("PP2|"&amp;CAPTURA!DG9,CODIFICACION!$F$2:$F$500,0))="sin dato","",INDEX(CODIFICACION!$E$2:$E$500,MATCH("PP2|"&amp;CAPTURA!DG9,CODIFICACION!$F$2:$F$500,0))),"⚠"))</f>
        <v/>
      </c>
      <c r="CB9" t="str">
        <f t="shared" si="0"/>
        <v/>
      </c>
      <c r="CC9" t="str">
        <f t="shared" si="1"/>
        <v/>
      </c>
      <c r="CD9" t="str">
        <f t="shared" si="2"/>
        <v/>
      </c>
      <c r="CE9" t="str">
        <f t="shared" si="3"/>
        <v/>
      </c>
      <c r="CF9" t="str">
        <f t="shared" si="4"/>
        <v/>
      </c>
      <c r="CG9" t="str">
        <f t="shared" si="5"/>
        <v/>
      </c>
      <c r="CH9" t="str">
        <f t="shared" si="6"/>
        <v/>
      </c>
      <c r="CI9" t="str">
        <f t="shared" si="7"/>
        <v/>
      </c>
      <c r="CJ9" t="str">
        <f t="shared" si="8"/>
        <v/>
      </c>
      <c r="CK9" t="str">
        <f t="shared" si="9"/>
        <v/>
      </c>
      <c r="CL9" t="str">
        <f t="shared" si="10"/>
        <v/>
      </c>
    </row>
    <row r="10" spans="1:90" x14ac:dyDescent="0.3">
      <c r="A10">
        <f>CAPTURA!A10</f>
        <v>20132517119</v>
      </c>
      <c r="B10">
        <f>CAPTURA!C10</f>
        <v>0</v>
      </c>
      <c r="C10" t="str">
        <f>IF(CAPTURA!M10="","",ROUND((ISNUMBER(SEARCH("Alemania",CAPTURA!M10))+ISNUMBER(SEARCH("Bélgica",CAPTURA!M10))+ISNUMBER(SEARCH("Países Bajos",CAPTURA!M10))+ISNUMBER(SEARCH("Francia",CAPTURA!M10))+ISNUMBER(SEARCH("Italia",CAPTURA!M10))+ISNUMBER(SEARCH("España",CAPTURA!M10))+ISNUMBER(SEARCH("Suecia",CAPTURA!M10))+ISNUMBER(SEARCH("Dinamarca",CAPTURA!M10)))/((LEN(CAPTURA!M10)-LEN(SUBSTITUTE(CAPTURA!M10,";","")))+1)*100,1))</f>
        <v/>
      </c>
      <c r="D10" t="str">
        <f>IF(CAPTURA!AE10="","",IFERROR(IF(INDEX(CODIFICACION!$E$2:$E$500,MATCH("P8|"&amp;CAPTURA!AE10,CODIFICACION!$F$2:$F$500,0))="sin dato","",INDEX(CODIFICACION!$E$2:$E$500,MATCH("P8|"&amp;CAPTURA!AE10,CODIFICACION!$F$2:$F$500,0))),"⚠"))</f>
        <v/>
      </c>
      <c r="E10" t="str">
        <f>IF(CAPTURA!AG10="","",IFERROR(IF(INDEX(CODIFICACION!$E$2:$E$500,MATCH("P10|"&amp;CAPTURA!AG10,CODIFICACION!$F$2:$F$500,0))="sin dato","",INDEX(CODIFICACION!$E$2:$E$500,MATCH("P10|"&amp;CAPTURA!AG10,CODIFICACION!$F$2:$F$500,0))),"⚠"))</f>
        <v/>
      </c>
      <c r="F10" t="str">
        <f>IF(CAPTURA!AJ10="","",IFERROR(IF(INDEX(CODIFICACION!$E$2:$E$500,MATCH("P13|"&amp;CAPTURA!AJ10,CODIFICACION!$F$2:$F$500,0))="sin dato","",INDEX(CODIFICACION!$E$2:$E$500,MATCH("P13|"&amp;CAPTURA!AJ10,CODIFICACION!$F$2:$F$500,0))),"⚠"))</f>
        <v/>
      </c>
      <c r="G10" t="str">
        <f>IF(CAPTURA!AK10="","",IFERROR(IF(INDEX(CODIFICACION!$E$2:$E$500,MATCH("P14|"&amp;CAPTURA!AK10,CODIFICACION!$F$2:$F$500,0))="sin dato","",INDEX(CODIFICACION!$E$2:$E$500,MATCH("P14|"&amp;CAPTURA!AK10,CODIFICACION!$F$2:$F$500,0))),"⚠"))</f>
        <v/>
      </c>
      <c r="H10" t="str">
        <f>IF(CAPTURA!AL10="","",IFERROR(IF(INDEX(CODIFICACION!$E$2:$E$500,MATCH("D1.1|"&amp;CAPTURA!AL10,CODIFICACION!$F$2:$F$500,0))="sin dato","",INDEX(CODIFICACION!$E$2:$E$500,MATCH("D1.1|"&amp;CAPTURA!AL10,CODIFICACION!$F$2:$F$500,0))),"⚠"))</f>
        <v/>
      </c>
      <c r="I10" t="str">
        <f>IF(CAPTURA!AN10="","",IFERROR(IF(INDEX(CODIFICACION!$E$2:$E$500,MATCH("D1.3|"&amp;CAPTURA!AN10,CODIFICACION!$F$2:$F$500,0))="sin dato","",INDEX(CODIFICACION!$E$2:$E$500,MATCH("D1.3|"&amp;CAPTURA!AN10,CODIFICACION!$F$2:$F$500,0))),"⚠"))</f>
        <v/>
      </c>
      <c r="J10" t="str">
        <f>IF(CAPTURA!AO10="","",IFERROR(IF(INDEX(CODIFICACION!$E$2:$E$500,MATCH("D1.4|"&amp;CAPTURA!AO10,CODIFICACION!$F$2:$F$500,0))="sin dato","",INDEX(CODIFICACION!$E$2:$E$500,MATCH("D1.4|"&amp;CAPTURA!AO10,CODIFICACION!$F$2:$F$500,0))),"⚠"))</f>
        <v/>
      </c>
      <c r="K10" t="str">
        <f>IF(CAPTURA!AP10="","",IFERROR(IF(INDEX(CODIFICACION!$E$2:$E$500,MATCH("D1.3a|"&amp;CAPTURA!AP10,CODIFICACION!$F$2:$F$500,0))="sin dato","",INDEX(CODIFICACION!$E$2:$E$500,MATCH("D1.3a|"&amp;CAPTURA!AP10,CODIFICACION!$F$2:$F$500,0))),"⚠"))</f>
        <v/>
      </c>
      <c r="L10" t="str">
        <f>IF(CAPTURA!AQ10="","",IF(AND(ISNUMBER(CAPTURA!AQ10),CAPTURA!AQ10&gt;=0,CAPTURA!AQ10&lt;=4),CAPTURA!AQ10*25,"⚠"))</f>
        <v/>
      </c>
      <c r="M10" t="str">
        <f>IF(CAPTURA!AR10="","",IF(ISNUMBER(CAPTURA!AR10),MAX(0,MIN(100,CAPTURA!AR10)),"⚠"))</f>
        <v/>
      </c>
      <c r="N10" t="str">
        <f>IF(CAPTURA!AS10="","",IF(AND(ISNUMBER(CAPTURA!AS10),CAPTURA!AS10&gt;=0,CAPTURA!AS10&lt;=4),CAPTURA!AS10*25,"⚠"))</f>
        <v/>
      </c>
      <c r="O10" t="str">
        <f>IF(CAPTURA!AT10="","",IFERROR(IF(INDEX(CODIFICACION!$E$2:$E$500,MATCH("D2.8|"&amp;CAPTURA!AT10,CODIFICACION!$F$2:$F$500,0))="sin dato","",INDEX(CODIFICACION!$E$2:$E$500,MATCH("D2.8|"&amp;CAPTURA!AT10,CODIFICACION!$F$2:$F$500,0))),"⚠"))</f>
        <v/>
      </c>
      <c r="P10" t="str">
        <f>IF(CAPTURA!AU10="","",IFERROR(IF(INDEX(CODIFICACION!$E$2:$E$500,MATCH("D2.9|"&amp;CAPTURA!AU10,CODIFICACION!$F$2:$F$500,0))="sin dato","",INDEX(CODIFICACION!$E$2:$E$500,MATCH("D2.9|"&amp;CAPTURA!AU10,CODIFICACION!$F$2:$F$500,0))),"⚠"))</f>
        <v/>
      </c>
      <c r="Q10" t="str">
        <f>IF(CAPTURA!AV10="","",IFERROR(IF(INDEX(CODIFICACION!$E$2:$E$500,MATCH("D2.10|"&amp;CAPTURA!AV10,CODIFICACION!$F$2:$F$500,0))="sin dato","",INDEX(CODIFICACION!$E$2:$E$500,MATCH("D2.10|"&amp;CAPTURA!AV10,CODIFICACION!$F$2:$F$500,0))),"⚠"))</f>
        <v/>
      </c>
      <c r="R10" t="str">
        <f>IF(CAPTURA!AW10="","",IFERROR(IF(INDEX(CODIFICACION!$E$2:$E$500,MATCH("D2.5a|"&amp;CAPTURA!AW10,CODIFICACION!$F$2:$F$500,0))="sin dato","",INDEX(CODIFICACION!$E$2:$E$500,MATCH("D2.5a|"&amp;CAPTURA!AW10,CODIFICACION!$F$2:$F$500,0))),"⚠"))</f>
        <v/>
      </c>
      <c r="S10" t="str">
        <f>IF(CAPTURA!AX10="","",IFERROR(IF(INDEX(CODIFICACION!$E$2:$E$500,MATCH("D2.5b|"&amp;CAPTURA!AX10,CODIFICACION!$F$2:$F$500,0))="sin dato","",INDEX(CODIFICACION!$E$2:$E$500,MATCH("D2.5b|"&amp;CAPTURA!AX10,CODIFICACION!$F$2:$F$500,0))),"⚠"))</f>
        <v/>
      </c>
      <c r="T10" t="str">
        <f>IF(CAPTURA!AY10="","",IF(ISNUMBER(CAPTURA!AY10),MAX(0,MIN(100,CAPTURA!AY10)),"⚠"))</f>
        <v/>
      </c>
      <c r="U10" t="str">
        <f>IF(CAPTURA!AZ10="","",IFERROR(IF(INDEX(CODIFICACION!$E$2:$E$500,MATCH("D3.12|"&amp;CAPTURA!AZ10,CODIFICACION!$F$2:$F$500,0))="sin dato","",INDEX(CODIFICACION!$E$2:$E$500,MATCH("D3.12|"&amp;CAPTURA!AZ10,CODIFICACION!$F$2:$F$500,0))),"⚠"))</f>
        <v/>
      </c>
      <c r="V10" t="str">
        <f>IF(CAPTURA!BA10="","",IF(AND(ISNUMBER(CAPTURA!BA10),CAPTURA!BA10&gt;=0,CAPTURA!BA10&lt;=4),CAPTURA!BA10*25,"⚠"))</f>
        <v/>
      </c>
      <c r="W10" t="str">
        <f>IF(CAPTURA!BB10="","",IFERROR(IF(INDEX(CODIFICACION!$E$2:$E$500,MATCH("D3.14|"&amp;CAPTURA!BB10,CODIFICACION!$F$2:$F$500,0))="sin dato","",INDEX(CODIFICACION!$E$2:$E$500,MATCH("D3.14|"&amp;CAPTURA!BB10,CODIFICACION!$F$2:$F$500,0))),"⚠"))</f>
        <v/>
      </c>
      <c r="X10" t="str">
        <f>IF(CAPTURA!BC10="","",IFERROR(IF(INDEX(CODIFICACION!$E$2:$E$500,MATCH("D3.14a|"&amp;CAPTURA!BC10,CODIFICACION!$F$2:$F$500,0))="sin dato","",INDEX(CODIFICACION!$E$2:$E$500,MATCH("D3.14a|"&amp;CAPTURA!BC10,CODIFICACION!$F$2:$F$500,0))),"⚠"))</f>
        <v/>
      </c>
      <c r="Y10" t="str">
        <f>IF(CAPTURA!BD10="","",IFERROR(IF(INDEX(CODIFICACION!$E$2:$E$500,MATCH("D3.14b|"&amp;CAPTURA!BD10,CODIFICACION!$F$2:$F$500,0))="sin dato","",INDEX(CODIFICACION!$E$2:$E$500,MATCH("D3.14b|"&amp;CAPTURA!BD10,CODIFICACION!$F$2:$F$500,0))),"⚠"))</f>
        <v/>
      </c>
      <c r="Z10" t="str">
        <f>IF(CAPTURA!BE10="","",IFERROR(IF(INDEX(CODIFICACION!$E$2:$E$500,MATCH("D3.14c|"&amp;CAPTURA!BE10,CODIFICACION!$F$2:$F$500,0))="sin dato","",INDEX(CODIFICACION!$E$2:$E$500,MATCH("D3.14c|"&amp;CAPTURA!BE10,CODIFICACION!$F$2:$F$500,0))),"⚠"))</f>
        <v/>
      </c>
      <c r="AA10" t="str">
        <f>IF(CAPTURA!BF10="","",IFERROR(IF(INDEX(CODIFICACION!$E$2:$E$500,MATCH("D3.14d|"&amp;CAPTURA!BF10,CODIFICACION!$F$2:$F$500,0))="sin dato","",INDEX(CODIFICACION!$E$2:$E$500,MATCH("D3.14d|"&amp;CAPTURA!BF10,CODIFICACION!$F$2:$F$500,0))),"⚠"))</f>
        <v/>
      </c>
      <c r="AB10" t="str">
        <f>IF(CAPTURA!BG10="","",IFERROR(IF(INDEX(CODIFICACION!$E$2:$E$500,MATCH("D3.14e|"&amp;CAPTURA!BG10,CODIFICACION!$F$2:$F$500,0))="sin dato","",INDEX(CODIFICACION!$E$2:$E$500,MATCH("D3.14e|"&amp;CAPTURA!BG10,CODIFICACION!$F$2:$F$500,0))),"⚠"))</f>
        <v/>
      </c>
      <c r="AC10" t="str">
        <f>IF(CAPTURA!BH10="","",IFERROR(IF(INDEX(CODIFICACION!$E$2:$E$500,MATCH("D3.14f|"&amp;CAPTURA!BH10,CODIFICACION!$F$2:$F$500,0))="sin dato","",INDEX(CODIFICACION!$E$2:$E$500,MATCH("D3.14f|"&amp;CAPTURA!BH10,CODIFICACION!$F$2:$F$500,0))),"⚠"))</f>
        <v/>
      </c>
      <c r="AD10" t="str">
        <f>IF(CAPTURA!BI10="","",IFERROR(IF(INDEX(CODIFICACION!$E$2:$E$500,MATCH("D3.14g|"&amp;CAPTURA!BI10,CODIFICACION!$F$2:$F$500,0))="sin dato","",INDEX(CODIFICACION!$E$2:$E$500,MATCH("D3.14g|"&amp;CAPTURA!BI10,CODIFICACION!$F$2:$F$500,0))),"⚠"))</f>
        <v/>
      </c>
      <c r="AE10" t="str">
        <f>IF(CAPTURA!BJ10="","",IFERROR(IF(INDEX(CODIFICACION!$E$2:$E$500,MATCH("D3.14h|"&amp;CAPTURA!BJ10,CODIFICACION!$F$2:$F$500,0))="sin dato","",INDEX(CODIFICACION!$E$2:$E$500,MATCH("D3.14h|"&amp;CAPTURA!BJ10,CODIFICACION!$F$2:$F$500,0))),"⚠"))</f>
        <v/>
      </c>
      <c r="AF10" t="str">
        <f>IF(CAPTURA!BK10="","",IFERROR(IF(INDEX(CODIFICACION!$E$2:$E$500,MATCH("D3.14i|"&amp;CAPTURA!BK10,CODIFICACION!$F$2:$F$500,0))="sin dato","",INDEX(CODIFICACION!$E$2:$E$500,MATCH("D3.14i|"&amp;CAPTURA!BK10,CODIFICACION!$F$2:$F$500,0))),"⚠"))</f>
        <v/>
      </c>
      <c r="AG10" t="str">
        <f>IF(CAPTURA!BL10="","",IFERROR(IF(INDEX(CODIFICACION!$E$2:$E$500,MATCH("D4.15|"&amp;CAPTURA!BL10,CODIFICACION!$F$2:$F$500,0))="sin dato","",INDEX(CODIFICACION!$E$2:$E$500,MATCH("D4.15|"&amp;CAPTURA!BL10,CODIFICACION!$F$2:$F$500,0))),"⚠"))</f>
        <v/>
      </c>
      <c r="AH10" t="str">
        <f>IF(CAPTURA!BM10="","",IF(AND(ISNUMBER(CAPTURA!BM10),CAPTURA!BM10&gt;=0,CAPTURA!BM10&lt;=4),CAPTURA!BM10*25,"⚠"))</f>
        <v/>
      </c>
      <c r="AI10" t="str">
        <f>IF(CAPTURA!BN10="","",IFERROR(IF(INDEX(CODIFICACION!$E$2:$E$500,MATCH("D4.17|"&amp;CAPTURA!BN10,CODIFICACION!$F$2:$F$500,0))="sin dato","",INDEX(CODIFICACION!$E$2:$E$500,MATCH("D4.17|"&amp;CAPTURA!BN10,CODIFICACION!$F$2:$F$500,0))),"⚠"))</f>
        <v/>
      </c>
      <c r="AJ10" t="str">
        <f>IF(CAPTURA!BO10="","",IFERROR(IF(INDEX(CODIFICACION!$E$2:$E$500,MATCH("D4.15a|"&amp;CAPTURA!BO10,CODIFICACION!$F$2:$F$500,0))="sin dato","",INDEX(CODIFICACION!$E$2:$E$500,MATCH("D4.15a|"&amp;CAPTURA!BO10,CODIFICACION!$F$2:$F$500,0))),"⚠"))</f>
        <v/>
      </c>
      <c r="AK10" t="str">
        <f>IF(CAPTURA!BP10="","",IF(AND(ISNUMBER(CAPTURA!BP10),CAPTURA!BP10&gt;=0,CAPTURA!BP10&lt;=4),CAPTURA!BP10*25,"⚠"))</f>
        <v/>
      </c>
      <c r="AL10" t="str">
        <f>IF(CAPTURA!BQ10="","",IF(AND(ISNUMBER(CAPTURA!BQ10),CAPTURA!BQ10&gt;=0,CAPTURA!BQ10&lt;=4),CAPTURA!BQ10*25,"⚠"))</f>
        <v/>
      </c>
      <c r="AM10" t="str">
        <f>IF(CAPTURA!BR10="","",IFERROR(IF(INDEX(CODIFICACION!$E$2:$E$500,MATCH("D5.18b|"&amp;CAPTURA!BR10,CODIFICACION!$F$2:$F$500,0))="sin dato","",INDEX(CODIFICACION!$E$2:$E$500,MATCH("D5.18b|"&amp;CAPTURA!BR10,CODIFICACION!$F$2:$F$500,0))),"⚠"))</f>
        <v/>
      </c>
      <c r="AN10" t="str">
        <f>IF(CAPTURA!BS10="","",IFERROR(IF(INDEX(CODIFICACION!$E$2:$E$500,MATCH("D5.19|"&amp;CAPTURA!BS10,CODIFICACION!$F$2:$F$500,0))="sin dato","",INDEX(CODIFICACION!$E$2:$E$500,MATCH("D5.19|"&amp;CAPTURA!BS10,CODIFICACION!$F$2:$F$500,0))),"⚠"))</f>
        <v/>
      </c>
      <c r="AO10" t="str">
        <f>IF(CAPTURA!BT10="","",MIN(100,ROUND((LEN(CAPTURA!BT10)-LEN(SUBSTITUTE(CAPTURA!BT10,";",""))+1)/7*100,1)))</f>
        <v/>
      </c>
      <c r="AP10" t="str">
        <f>IF(CAPTURA!BU10="","",IFERROR(IF(INDEX(CODIFICACION!$E$2:$E$500,MATCH("D5.20|"&amp;CAPTURA!BU10,CODIFICACION!$F$2:$F$500,0))="sin dato","",INDEX(CODIFICACION!$E$2:$E$500,MATCH("D5.20|"&amp;CAPTURA!BU10,CODIFICACION!$F$2:$F$500,0))),"⚠"))</f>
        <v/>
      </c>
      <c r="AQ10" t="str">
        <f>IF(CAPTURA!BV10="","",IFERROR(IF(INDEX(CODIFICACION!$E$2:$E$500,MATCH("D5.21|"&amp;CAPTURA!BV10,CODIFICACION!$F$2:$F$500,0))="sin dato","",INDEX(CODIFICACION!$E$2:$E$500,MATCH("D5.21|"&amp;CAPTURA!BV10,CODIFICACION!$F$2:$F$500,0))),"⚠"))</f>
        <v/>
      </c>
      <c r="AR10" t="str">
        <f>IF(CAPTURA!BW10="","",IFERROR(IF(INDEX(CODIFICACION!$E$2:$E$500,MATCH("D5.21a|"&amp;CAPTURA!BW10,CODIFICACION!$F$2:$F$500,0))="sin dato","",INDEX(CODIFICACION!$E$2:$E$500,MATCH("D5.21a|"&amp;CAPTURA!BW10,CODIFICACION!$F$2:$F$500,0))),"⚠"))</f>
        <v/>
      </c>
      <c r="AS10" t="str">
        <f>IF(CAPTURA!BX10="","",IFERROR(IF(INDEX(CODIFICACION!$E$2:$E$500,MATCH("D5.21b|"&amp;CAPTURA!BX10,CODIFICACION!$F$2:$F$500,0))="sin dato","",INDEX(CODIFICACION!$E$2:$E$500,MATCH("D5.21b|"&amp;CAPTURA!BX10,CODIFICACION!$F$2:$F$500,0))),"⚠"))</f>
        <v/>
      </c>
      <c r="AT10" t="str">
        <f>IF(CAPTURA!BY10="","",IFERROR(IF(INDEX(CODIFICACION!$E$2:$E$500,MATCH("D6.22|"&amp;CAPTURA!BY10,CODIFICACION!$F$2:$F$500,0))="sin dato","",INDEX(CODIFICACION!$E$2:$E$500,MATCH("D6.22|"&amp;CAPTURA!BY10,CODIFICACION!$F$2:$F$500,0))),"⚠"))</f>
        <v/>
      </c>
      <c r="AU10" t="str">
        <f>IF(CAPTURA!BZ10="","",IFERROR(IF(INDEX(CODIFICACION!$E$2:$E$500,MATCH("D6.22a|"&amp;CAPTURA!BZ10,CODIFICACION!$F$2:$F$500,0))="sin dato","",INDEX(CODIFICACION!$E$2:$E$500,MATCH("D6.22a|"&amp;CAPTURA!BZ10,CODIFICACION!$F$2:$F$500,0))),"⚠"))</f>
        <v/>
      </c>
      <c r="AV10" t="str">
        <f>IF(CAPTURA!CA10="","",IFERROR(IF(INDEX(CODIFICACION!$E$2:$E$500,MATCH("D6.22b|"&amp;CAPTURA!CA10,CODIFICACION!$F$2:$F$500,0))="sin dato","",INDEX(CODIFICACION!$E$2:$E$500,MATCH("D6.22b|"&amp;CAPTURA!CA10,CODIFICACION!$F$2:$F$500,0))),"⚠"))</f>
        <v/>
      </c>
      <c r="AW10" t="str">
        <f>IF(CAPTURA!CB10="","",IFERROR(IF(INDEX(CODIFICACION!$E$2:$E$500,MATCH("D6.23|"&amp;CAPTURA!CB10,CODIFICACION!$F$2:$F$500,0))="sin dato","",INDEX(CODIFICACION!$E$2:$E$500,MATCH("D6.23|"&amp;CAPTURA!CB10,CODIFICACION!$F$2:$F$500,0))),"⚠"))</f>
        <v/>
      </c>
      <c r="AX10" t="str">
        <f>IF(CAPTURA!CC10="","",IFERROR(IF(INDEX(CODIFICACION!$E$2:$E$500,MATCH("D6.24|"&amp;CAPTURA!CC10,CODIFICACION!$F$2:$F$500,0))="sin dato","",INDEX(CODIFICACION!$E$2:$E$500,MATCH("D6.24|"&amp;CAPTURA!CC10,CODIFICACION!$F$2:$F$500,0))),"⚠"))</f>
        <v/>
      </c>
      <c r="AY10" t="str">
        <f>IF(CAPTURA!CD10="","",IFERROR(IF(INDEX(CODIFICACION!$E$2:$E$500,MATCH("D6.25|"&amp;CAPTURA!CD10,CODIFICACION!$F$2:$F$500,0))="sin dato","",INDEX(CODIFICACION!$E$2:$E$500,MATCH("D6.25|"&amp;CAPTURA!CD10,CODIFICACION!$F$2:$F$500,0))),"⚠"))</f>
        <v/>
      </c>
      <c r="AZ10" t="str">
        <f>IF(CAPTURA!CE10="","",IFERROR(IF(INDEX(CODIFICACION!$E$2:$E$500,MATCH("D6.25a|"&amp;CAPTURA!CE10,CODIFICACION!$F$2:$F$500,0))="sin dato","",INDEX(CODIFICACION!$E$2:$E$500,MATCH("D6.25a|"&amp;CAPTURA!CE10,CODIFICACION!$F$2:$F$500,0))),"⚠"))</f>
        <v/>
      </c>
      <c r="BA10" t="str">
        <f>IF(CAPTURA!CF10="","",IFERROR(IF(INDEX(CODIFICACION!$E$2:$E$500,MATCH("D6.25b|"&amp;CAPTURA!CF10,CODIFICACION!$F$2:$F$500,0))="sin dato","",INDEX(CODIFICACION!$E$2:$E$500,MATCH("D6.25b|"&amp;CAPTURA!CF10,CODIFICACION!$F$2:$F$500,0))),"⚠"))</f>
        <v/>
      </c>
      <c r="BB10" t="str">
        <f>IF(CAPTURA!CG10="","",IFERROR(IF(INDEX(CODIFICACION!$E$2:$E$500,MATCH("D6.22c|"&amp;CAPTURA!CG10,CODIFICACION!$F$2:$F$500,0))="sin dato","",INDEX(CODIFICACION!$E$2:$E$500,MATCH("D6.22c|"&amp;CAPTURA!CG10,CODIFICACION!$F$2:$F$500,0))),"⚠"))</f>
        <v/>
      </c>
      <c r="BC10" t="str">
        <f>IF(CAPTURA!CH10="","",IFERROR(IF(INDEX(CODIFICACION!$E$2:$E$500,MATCH("D7.26|"&amp;CAPTURA!CH10,CODIFICACION!$F$2:$F$500,0))="sin dato","",INDEX(CODIFICACION!$E$2:$E$500,MATCH("D7.26|"&amp;CAPTURA!CH10,CODIFICACION!$F$2:$F$500,0))),"⚠"))</f>
        <v/>
      </c>
      <c r="BD10" t="str">
        <f>IF(CAPTURA!CI10="","",IFERROR(IF(INDEX(CODIFICACION!$E$2:$E$500,MATCH("D7.27|"&amp;CAPTURA!CI10,CODIFICACION!$F$2:$F$500,0))="sin dato","",INDEX(CODIFICACION!$E$2:$E$500,MATCH("D7.27|"&amp;CAPTURA!CI10,CODIFICACION!$F$2:$F$500,0))),"⚠"))</f>
        <v/>
      </c>
      <c r="BE10" t="str">
        <f>IF(CAPTURA!CJ10="","",IFERROR(IF(INDEX(CODIFICACION!$E$2:$E$500,MATCH("D7.28|"&amp;CAPTURA!CJ10,CODIFICACION!$F$2:$F$500,0))="sin dato","",INDEX(CODIFICACION!$E$2:$E$500,MATCH("D7.28|"&amp;CAPTURA!CJ10,CODIFICACION!$F$2:$F$500,0))),"⚠"))</f>
        <v/>
      </c>
      <c r="BF10" t="str">
        <f>IF(CAPTURA!CK10="","",IFERROR(IF(INDEX(CODIFICACION!$E$2:$E$500,MATCH("D7.28b|"&amp;CAPTURA!CK10,CODIFICACION!$F$2:$F$500,0))="sin dato","",INDEX(CODIFICACION!$E$2:$E$500,MATCH("D7.28b|"&amp;CAPTURA!CK10,CODIFICACION!$F$2:$F$500,0))),"⚠"))</f>
        <v/>
      </c>
      <c r="BG10" t="str">
        <f>IF(CAPTURA!CL10="","",MIN(100,ROUND((LEN(CAPTURA!CL10)-LEN(SUBSTITUTE(CAPTURA!CL10,";",""))+1)/8*100,1)))</f>
        <v/>
      </c>
      <c r="BH10" t="str">
        <f>IF(CAPTURA!CM10="","",IFERROR(IF(INDEX(CODIFICACION!$E$2:$E$500,MATCH("D7.26a|"&amp;CAPTURA!CM10,CODIFICACION!$F$2:$F$500,0))="sin dato","",INDEX(CODIFICACION!$E$2:$E$500,MATCH("D7.26a|"&amp;CAPTURA!CM10,CODIFICACION!$F$2:$F$500,0))),"⚠"))</f>
        <v/>
      </c>
      <c r="BI10" t="str">
        <f>IF(CAPTURA!CN10="","",IFERROR(IF(INDEX(CODIFICACION!$E$2:$E$500,MATCH("D7.26b|"&amp;CAPTURA!CN10,CODIFICACION!$F$2:$F$500,0))="sin dato","",INDEX(CODIFICACION!$E$2:$E$500,MATCH("D7.26b|"&amp;CAPTURA!CN10,CODIFICACION!$F$2:$F$500,0))),"⚠"))</f>
        <v/>
      </c>
      <c r="BJ10" t="str">
        <f>IF(CAPTURA!CO10="","",IF(AND(ISNUMBER(CAPTURA!CO10),CAPTURA!CO10&gt;=0,CAPTURA!CO10&lt;=4),CAPTURA!CO10*25,"⚠"))</f>
        <v/>
      </c>
      <c r="BK10" t="str">
        <f>IF(CAPTURA!CP10="","",IF(ISNUMBER(CAPTURA!CP10),MAX(0,MIN(100,CAPTURA!CP10)),"⚠"))</f>
        <v/>
      </c>
      <c r="BL10" t="str">
        <f>IF(CAPTURA!CQ10="","",IFERROR(IF(INDEX(CODIFICACION!$E$2:$E$500,MATCH("D8.31|"&amp;CAPTURA!CQ10,CODIFICACION!$F$2:$F$500,0))="sin dato","",INDEX(CODIFICACION!$E$2:$E$500,MATCH("D8.31|"&amp;CAPTURA!CQ10,CODIFICACION!$F$2:$F$500,0))),"⚠"))</f>
        <v/>
      </c>
      <c r="BM10" t="str">
        <f>IF(CAPTURA!CR10="","",IFERROR(IF(INDEX(CODIFICACION!$E$2:$E$500,MATCH("D8.32|"&amp;CAPTURA!CR10,CODIFICACION!$F$2:$F$500,0))="sin dato","",INDEX(CODIFICACION!$E$2:$E$500,MATCH("D8.32|"&amp;CAPTURA!CR10,CODIFICACION!$F$2:$F$500,0))),"⚠"))</f>
        <v/>
      </c>
      <c r="BN10" t="str">
        <f>IF(CAPTURA!CS10="","",IFERROR(IF(INDEX(CODIFICACION!$E$2:$E$500,MATCH("D9.33|"&amp;CAPTURA!CS10,CODIFICACION!$F$2:$F$500,0))="sin dato","",INDEX(CODIFICACION!$E$2:$E$500,MATCH("D9.33|"&amp;CAPTURA!CS10,CODIFICACION!$F$2:$F$500,0))),"⚠"))</f>
        <v/>
      </c>
      <c r="BO10" t="str">
        <f>IF(CAPTURA!CT10="","",IFERROR(IF(INDEX(CODIFICACION!$E$2:$E$500,MATCH("D9.34|"&amp;CAPTURA!CT10,CODIFICACION!$F$2:$F$500,0))="sin dato","",INDEX(CODIFICACION!$E$2:$E$500,MATCH("D9.34|"&amp;CAPTURA!CT10,CODIFICACION!$F$2:$F$500,0))),"⚠"))</f>
        <v/>
      </c>
      <c r="BP10" t="str">
        <f>IF(CAPTURA!CU10="","",IFERROR(IF(INDEX(CODIFICACION!$E$2:$E$500,MATCH("D9.35|"&amp;CAPTURA!CU10,CODIFICACION!$F$2:$F$500,0))="sin dato","",INDEX(CODIFICACION!$E$2:$E$500,MATCH("D9.35|"&amp;CAPTURA!CU10,CODIFICACION!$F$2:$F$500,0))),"⚠"))</f>
        <v/>
      </c>
      <c r="BQ10" t="str">
        <f>IF(CAPTURA!CV10="","",IFERROR(IF(INDEX(CODIFICACION!$E$2:$E$500,MATCH("D10.36|"&amp;CAPTURA!CV10,CODIFICACION!$F$2:$F$500,0))="sin dato","",INDEX(CODIFICACION!$E$2:$E$500,MATCH("D10.36|"&amp;CAPTURA!CV10,CODIFICACION!$F$2:$F$500,0))),"⚠"))</f>
        <v/>
      </c>
      <c r="BR10" t="str">
        <f>IF(CAPTURA!CW10="","",IFERROR(IF(INDEX(CODIFICACION!$E$2:$E$500,MATCH("D10.37|"&amp;CAPTURA!CW10,CODIFICACION!$F$2:$F$500,0))="sin dato","",INDEX(CODIFICACION!$E$2:$E$500,MATCH("D10.37|"&amp;CAPTURA!CW10,CODIFICACION!$F$2:$F$500,0))),"⚠"))</f>
        <v/>
      </c>
      <c r="BS10" t="str">
        <f>IF(CAPTURA!CX10="","",IFERROR(IF(INDEX(CODIFICACION!$E$2:$E$500,MATCH("D10.36a|"&amp;CAPTURA!CX10,CODIFICACION!$F$2:$F$500,0))="sin dato","",INDEX(CODIFICACION!$E$2:$E$500,MATCH("D10.36a|"&amp;CAPTURA!CX10,CODIFICACION!$F$2:$F$500,0))),"⚠"))</f>
        <v/>
      </c>
      <c r="BT10" t="str">
        <f>IF(CAPTURA!CY10="","",IF(ISNUMBER(SEARCH("Ninguno",CAPTURA!CY10)),0,MIN(100,ROUND((LEN(CAPTURA!CY10)-LEN(SUBSTITUTE(CAPTURA!CY10,";",""))+1)/6*100,1))))</f>
        <v/>
      </c>
      <c r="BU10" t="str">
        <f>IF(CAPTURA!DA10="","",IFERROR(IF(INDEX(CODIFICACION!$E$2:$E$500,MATCH("D11.39a|"&amp;CAPTURA!DA10,CODIFICACION!$F$2:$F$500,0))="sin dato","",INDEX(CODIFICACION!$E$2:$E$500,MATCH("D11.39a|"&amp;CAPTURA!DA10,CODIFICACION!$F$2:$F$500,0))),"⚠"))</f>
        <v/>
      </c>
      <c r="BV10" t="str">
        <f>IF(CAPTURA!DB10="","",IFERROR(IF(INDEX(CODIFICACION!$E$2:$E$500,MATCH("D12.42|"&amp;CAPTURA!DB10,CODIFICACION!$F$2:$F$500,0))="sin dato","",INDEX(CODIFICACION!$E$2:$E$500,MATCH("D12.42|"&amp;CAPTURA!DB10,CODIFICACION!$F$2:$F$500,0))),"⚠"))</f>
        <v/>
      </c>
      <c r="BW10" t="str">
        <f>IF(CAPTURA!DC10="","",IFERROR(IF(INDEX(CODIFICACION!$E$2:$E$500,MATCH("D13.45|"&amp;CAPTURA!DC10,CODIFICACION!$F$2:$F$500,0))="sin dato","",INDEX(CODIFICACION!$E$2:$E$500,MATCH("D13.45|"&amp;CAPTURA!DC10,CODIFICACION!$F$2:$F$500,0))),"⚠"))</f>
        <v/>
      </c>
      <c r="BX10" t="str">
        <f>IF(CAPTURA!DD10="","",IFERROR(IF(INDEX(CODIFICACION!$E$2:$E$500,MATCH("D14.51|"&amp;CAPTURA!DD10,CODIFICACION!$F$2:$F$500,0))="sin dato","",INDEX(CODIFICACION!$E$2:$E$500,MATCH("D14.51|"&amp;CAPTURA!DD10,CODIFICACION!$F$2:$F$500,0))),"⚠"))</f>
        <v/>
      </c>
      <c r="BY10" t="str">
        <f>IF(CAPTURA!DE10="","",IFERROR(IF(INDEX(CODIFICACION!$E$2:$E$500,MATCH("D15.58|"&amp;CAPTURA!DE10,CODIFICACION!$F$2:$F$500,0))="sin dato","",INDEX(CODIFICACION!$E$2:$E$500,MATCH("D15.58|"&amp;CAPTURA!DE10,CODIFICACION!$F$2:$F$500,0))),"⚠"))</f>
        <v/>
      </c>
      <c r="BZ10" t="str">
        <f>IF(CAPTURA!DF10="","",IFERROR(IF(INDEX(CODIFICACION!$E$2:$E$500,MATCH("PP1|"&amp;CAPTURA!DF10,CODIFICACION!$F$2:$F$500,0))="sin dato","",INDEX(CODIFICACION!$E$2:$E$500,MATCH("PP1|"&amp;CAPTURA!DF10,CODIFICACION!$F$2:$F$500,0))),"⚠"))</f>
        <v/>
      </c>
      <c r="CA10" t="str">
        <f>IF(CAPTURA!DG10="","",IFERROR(IF(INDEX(CODIFICACION!$E$2:$E$500,MATCH("PP2|"&amp;CAPTURA!DG10,CODIFICACION!$F$2:$F$500,0))="sin dato","",INDEX(CODIFICACION!$E$2:$E$500,MATCH("PP2|"&amp;CAPTURA!DG10,CODIFICACION!$F$2:$F$500,0))),"⚠"))</f>
        <v/>
      </c>
      <c r="CB10" t="str">
        <f t="shared" si="0"/>
        <v/>
      </c>
      <c r="CC10" t="str">
        <f t="shared" si="1"/>
        <v/>
      </c>
      <c r="CD10" t="str">
        <f t="shared" si="2"/>
        <v/>
      </c>
      <c r="CE10" t="str">
        <f t="shared" si="3"/>
        <v/>
      </c>
      <c r="CF10" t="str">
        <f t="shared" si="4"/>
        <v/>
      </c>
      <c r="CG10" t="str">
        <f t="shared" si="5"/>
        <v/>
      </c>
      <c r="CH10" t="str">
        <f t="shared" si="6"/>
        <v/>
      </c>
      <c r="CI10" t="str">
        <f t="shared" si="7"/>
        <v/>
      </c>
      <c r="CJ10" t="str">
        <f t="shared" si="8"/>
        <v/>
      </c>
      <c r="CK10" t="str">
        <f t="shared" si="9"/>
        <v/>
      </c>
      <c r="CL10" t="str">
        <f t="shared" si="10"/>
        <v/>
      </c>
    </row>
    <row r="11" spans="1:90" x14ac:dyDescent="0.3">
      <c r="A11">
        <f>CAPTURA!A11</f>
        <v>20136201132</v>
      </c>
      <c r="B11">
        <f>CAPTURA!C11</f>
        <v>0</v>
      </c>
      <c r="C11" t="str">
        <f>IF(CAPTURA!M11="","",ROUND((ISNUMBER(SEARCH("Alemania",CAPTURA!M11))+ISNUMBER(SEARCH("Bélgica",CAPTURA!M11))+ISNUMBER(SEARCH("Países Bajos",CAPTURA!M11))+ISNUMBER(SEARCH("Francia",CAPTURA!M11))+ISNUMBER(SEARCH("Italia",CAPTURA!M11))+ISNUMBER(SEARCH("España",CAPTURA!M11))+ISNUMBER(SEARCH("Suecia",CAPTURA!M11))+ISNUMBER(SEARCH("Dinamarca",CAPTURA!M11)))/((LEN(CAPTURA!M11)-LEN(SUBSTITUTE(CAPTURA!M11,";","")))+1)*100,1))</f>
        <v/>
      </c>
      <c r="D11" t="str">
        <f>IF(CAPTURA!AE11="","",IFERROR(IF(INDEX(CODIFICACION!$E$2:$E$500,MATCH("P8|"&amp;CAPTURA!AE11,CODIFICACION!$F$2:$F$500,0))="sin dato","",INDEX(CODIFICACION!$E$2:$E$500,MATCH("P8|"&amp;CAPTURA!AE11,CODIFICACION!$F$2:$F$500,0))),"⚠"))</f>
        <v/>
      </c>
      <c r="E11" t="str">
        <f>IF(CAPTURA!AG11="","",IFERROR(IF(INDEX(CODIFICACION!$E$2:$E$500,MATCH("P10|"&amp;CAPTURA!AG11,CODIFICACION!$F$2:$F$500,0))="sin dato","",INDEX(CODIFICACION!$E$2:$E$500,MATCH("P10|"&amp;CAPTURA!AG11,CODIFICACION!$F$2:$F$500,0))),"⚠"))</f>
        <v/>
      </c>
      <c r="F11" t="str">
        <f>IF(CAPTURA!AJ11="","",IFERROR(IF(INDEX(CODIFICACION!$E$2:$E$500,MATCH("P13|"&amp;CAPTURA!AJ11,CODIFICACION!$F$2:$F$500,0))="sin dato","",INDEX(CODIFICACION!$E$2:$E$500,MATCH("P13|"&amp;CAPTURA!AJ11,CODIFICACION!$F$2:$F$500,0))),"⚠"))</f>
        <v/>
      </c>
      <c r="G11" t="str">
        <f>IF(CAPTURA!AK11="","",IFERROR(IF(INDEX(CODIFICACION!$E$2:$E$500,MATCH("P14|"&amp;CAPTURA!AK11,CODIFICACION!$F$2:$F$500,0))="sin dato","",INDEX(CODIFICACION!$E$2:$E$500,MATCH("P14|"&amp;CAPTURA!AK11,CODIFICACION!$F$2:$F$500,0))),"⚠"))</f>
        <v/>
      </c>
      <c r="H11" t="str">
        <f>IF(CAPTURA!AL11="","",IFERROR(IF(INDEX(CODIFICACION!$E$2:$E$500,MATCH("D1.1|"&amp;CAPTURA!AL11,CODIFICACION!$F$2:$F$500,0))="sin dato","",INDEX(CODIFICACION!$E$2:$E$500,MATCH("D1.1|"&amp;CAPTURA!AL11,CODIFICACION!$F$2:$F$500,0))),"⚠"))</f>
        <v/>
      </c>
      <c r="I11" t="str">
        <f>IF(CAPTURA!AN11="","",IFERROR(IF(INDEX(CODIFICACION!$E$2:$E$500,MATCH("D1.3|"&amp;CAPTURA!AN11,CODIFICACION!$F$2:$F$500,0))="sin dato","",INDEX(CODIFICACION!$E$2:$E$500,MATCH("D1.3|"&amp;CAPTURA!AN11,CODIFICACION!$F$2:$F$500,0))),"⚠"))</f>
        <v/>
      </c>
      <c r="J11" t="str">
        <f>IF(CAPTURA!AO11="","",IFERROR(IF(INDEX(CODIFICACION!$E$2:$E$500,MATCH("D1.4|"&amp;CAPTURA!AO11,CODIFICACION!$F$2:$F$500,0))="sin dato","",INDEX(CODIFICACION!$E$2:$E$500,MATCH("D1.4|"&amp;CAPTURA!AO11,CODIFICACION!$F$2:$F$500,0))),"⚠"))</f>
        <v/>
      </c>
      <c r="K11" t="str">
        <f>IF(CAPTURA!AP11="","",IFERROR(IF(INDEX(CODIFICACION!$E$2:$E$500,MATCH("D1.3a|"&amp;CAPTURA!AP11,CODIFICACION!$F$2:$F$500,0))="sin dato","",INDEX(CODIFICACION!$E$2:$E$500,MATCH("D1.3a|"&amp;CAPTURA!AP11,CODIFICACION!$F$2:$F$500,0))),"⚠"))</f>
        <v/>
      </c>
      <c r="L11" t="str">
        <f>IF(CAPTURA!AQ11="","",IF(AND(ISNUMBER(CAPTURA!AQ11),CAPTURA!AQ11&gt;=0,CAPTURA!AQ11&lt;=4),CAPTURA!AQ11*25,"⚠"))</f>
        <v/>
      </c>
      <c r="M11" t="str">
        <f>IF(CAPTURA!AR11="","",IF(ISNUMBER(CAPTURA!AR11),MAX(0,MIN(100,CAPTURA!AR11)),"⚠"))</f>
        <v/>
      </c>
      <c r="N11" t="str">
        <f>IF(CAPTURA!AS11="","",IF(AND(ISNUMBER(CAPTURA!AS11),CAPTURA!AS11&gt;=0,CAPTURA!AS11&lt;=4),CAPTURA!AS11*25,"⚠"))</f>
        <v/>
      </c>
      <c r="O11" t="str">
        <f>IF(CAPTURA!AT11="","",IFERROR(IF(INDEX(CODIFICACION!$E$2:$E$500,MATCH("D2.8|"&amp;CAPTURA!AT11,CODIFICACION!$F$2:$F$500,0))="sin dato","",INDEX(CODIFICACION!$E$2:$E$500,MATCH("D2.8|"&amp;CAPTURA!AT11,CODIFICACION!$F$2:$F$500,0))),"⚠"))</f>
        <v/>
      </c>
      <c r="P11" t="str">
        <f>IF(CAPTURA!AU11="","",IFERROR(IF(INDEX(CODIFICACION!$E$2:$E$500,MATCH("D2.9|"&amp;CAPTURA!AU11,CODIFICACION!$F$2:$F$500,0))="sin dato","",INDEX(CODIFICACION!$E$2:$E$500,MATCH("D2.9|"&amp;CAPTURA!AU11,CODIFICACION!$F$2:$F$500,0))),"⚠"))</f>
        <v/>
      </c>
      <c r="Q11" t="str">
        <f>IF(CAPTURA!AV11="","",IFERROR(IF(INDEX(CODIFICACION!$E$2:$E$500,MATCH("D2.10|"&amp;CAPTURA!AV11,CODIFICACION!$F$2:$F$500,0))="sin dato","",INDEX(CODIFICACION!$E$2:$E$500,MATCH("D2.10|"&amp;CAPTURA!AV11,CODIFICACION!$F$2:$F$500,0))),"⚠"))</f>
        <v/>
      </c>
      <c r="R11" t="str">
        <f>IF(CAPTURA!AW11="","",IFERROR(IF(INDEX(CODIFICACION!$E$2:$E$500,MATCH("D2.5a|"&amp;CAPTURA!AW11,CODIFICACION!$F$2:$F$500,0))="sin dato","",INDEX(CODIFICACION!$E$2:$E$500,MATCH("D2.5a|"&amp;CAPTURA!AW11,CODIFICACION!$F$2:$F$500,0))),"⚠"))</f>
        <v/>
      </c>
      <c r="S11" t="str">
        <f>IF(CAPTURA!AX11="","",IFERROR(IF(INDEX(CODIFICACION!$E$2:$E$500,MATCH("D2.5b|"&amp;CAPTURA!AX11,CODIFICACION!$F$2:$F$500,0))="sin dato","",INDEX(CODIFICACION!$E$2:$E$500,MATCH("D2.5b|"&amp;CAPTURA!AX11,CODIFICACION!$F$2:$F$500,0))),"⚠"))</f>
        <v/>
      </c>
      <c r="T11" t="str">
        <f>IF(CAPTURA!AY11="","",IF(ISNUMBER(CAPTURA!AY11),MAX(0,MIN(100,CAPTURA!AY11)),"⚠"))</f>
        <v/>
      </c>
      <c r="U11" t="str">
        <f>IF(CAPTURA!AZ11="","",IFERROR(IF(INDEX(CODIFICACION!$E$2:$E$500,MATCH("D3.12|"&amp;CAPTURA!AZ11,CODIFICACION!$F$2:$F$500,0))="sin dato","",INDEX(CODIFICACION!$E$2:$E$500,MATCH("D3.12|"&amp;CAPTURA!AZ11,CODIFICACION!$F$2:$F$500,0))),"⚠"))</f>
        <v/>
      </c>
      <c r="V11" t="str">
        <f>IF(CAPTURA!BA11="","",IF(AND(ISNUMBER(CAPTURA!BA11),CAPTURA!BA11&gt;=0,CAPTURA!BA11&lt;=4),CAPTURA!BA11*25,"⚠"))</f>
        <v/>
      </c>
      <c r="W11" t="str">
        <f>IF(CAPTURA!BB11="","",IFERROR(IF(INDEX(CODIFICACION!$E$2:$E$500,MATCH("D3.14|"&amp;CAPTURA!BB11,CODIFICACION!$F$2:$F$500,0))="sin dato","",INDEX(CODIFICACION!$E$2:$E$500,MATCH("D3.14|"&amp;CAPTURA!BB11,CODIFICACION!$F$2:$F$500,0))),"⚠"))</f>
        <v/>
      </c>
      <c r="X11" t="str">
        <f>IF(CAPTURA!BC11="","",IFERROR(IF(INDEX(CODIFICACION!$E$2:$E$500,MATCH("D3.14a|"&amp;CAPTURA!BC11,CODIFICACION!$F$2:$F$500,0))="sin dato","",INDEX(CODIFICACION!$E$2:$E$500,MATCH("D3.14a|"&amp;CAPTURA!BC11,CODIFICACION!$F$2:$F$500,0))),"⚠"))</f>
        <v/>
      </c>
      <c r="Y11" t="str">
        <f>IF(CAPTURA!BD11="","",IFERROR(IF(INDEX(CODIFICACION!$E$2:$E$500,MATCH("D3.14b|"&amp;CAPTURA!BD11,CODIFICACION!$F$2:$F$500,0))="sin dato","",INDEX(CODIFICACION!$E$2:$E$500,MATCH("D3.14b|"&amp;CAPTURA!BD11,CODIFICACION!$F$2:$F$500,0))),"⚠"))</f>
        <v/>
      </c>
      <c r="Z11" t="str">
        <f>IF(CAPTURA!BE11="","",IFERROR(IF(INDEX(CODIFICACION!$E$2:$E$500,MATCH("D3.14c|"&amp;CAPTURA!BE11,CODIFICACION!$F$2:$F$500,0))="sin dato","",INDEX(CODIFICACION!$E$2:$E$500,MATCH("D3.14c|"&amp;CAPTURA!BE11,CODIFICACION!$F$2:$F$500,0))),"⚠"))</f>
        <v/>
      </c>
      <c r="AA11" t="str">
        <f>IF(CAPTURA!BF11="","",IFERROR(IF(INDEX(CODIFICACION!$E$2:$E$500,MATCH("D3.14d|"&amp;CAPTURA!BF11,CODIFICACION!$F$2:$F$500,0))="sin dato","",INDEX(CODIFICACION!$E$2:$E$500,MATCH("D3.14d|"&amp;CAPTURA!BF11,CODIFICACION!$F$2:$F$500,0))),"⚠"))</f>
        <v/>
      </c>
      <c r="AB11" t="str">
        <f>IF(CAPTURA!BG11="","",IFERROR(IF(INDEX(CODIFICACION!$E$2:$E$500,MATCH("D3.14e|"&amp;CAPTURA!BG11,CODIFICACION!$F$2:$F$500,0))="sin dato","",INDEX(CODIFICACION!$E$2:$E$500,MATCH("D3.14e|"&amp;CAPTURA!BG11,CODIFICACION!$F$2:$F$500,0))),"⚠"))</f>
        <v/>
      </c>
      <c r="AC11" t="str">
        <f>IF(CAPTURA!BH11="","",IFERROR(IF(INDEX(CODIFICACION!$E$2:$E$500,MATCH("D3.14f|"&amp;CAPTURA!BH11,CODIFICACION!$F$2:$F$500,0))="sin dato","",INDEX(CODIFICACION!$E$2:$E$500,MATCH("D3.14f|"&amp;CAPTURA!BH11,CODIFICACION!$F$2:$F$500,0))),"⚠"))</f>
        <v/>
      </c>
      <c r="AD11" t="str">
        <f>IF(CAPTURA!BI11="","",IFERROR(IF(INDEX(CODIFICACION!$E$2:$E$500,MATCH("D3.14g|"&amp;CAPTURA!BI11,CODIFICACION!$F$2:$F$500,0))="sin dato","",INDEX(CODIFICACION!$E$2:$E$500,MATCH("D3.14g|"&amp;CAPTURA!BI11,CODIFICACION!$F$2:$F$500,0))),"⚠"))</f>
        <v/>
      </c>
      <c r="AE11" t="str">
        <f>IF(CAPTURA!BJ11="","",IFERROR(IF(INDEX(CODIFICACION!$E$2:$E$500,MATCH("D3.14h|"&amp;CAPTURA!BJ11,CODIFICACION!$F$2:$F$500,0))="sin dato","",INDEX(CODIFICACION!$E$2:$E$500,MATCH("D3.14h|"&amp;CAPTURA!BJ11,CODIFICACION!$F$2:$F$500,0))),"⚠"))</f>
        <v/>
      </c>
      <c r="AF11" t="str">
        <f>IF(CAPTURA!BK11="","",IFERROR(IF(INDEX(CODIFICACION!$E$2:$E$500,MATCH("D3.14i|"&amp;CAPTURA!BK11,CODIFICACION!$F$2:$F$500,0))="sin dato","",INDEX(CODIFICACION!$E$2:$E$500,MATCH("D3.14i|"&amp;CAPTURA!BK11,CODIFICACION!$F$2:$F$500,0))),"⚠"))</f>
        <v/>
      </c>
      <c r="AG11" t="str">
        <f>IF(CAPTURA!BL11="","",IFERROR(IF(INDEX(CODIFICACION!$E$2:$E$500,MATCH("D4.15|"&amp;CAPTURA!BL11,CODIFICACION!$F$2:$F$500,0))="sin dato","",INDEX(CODIFICACION!$E$2:$E$500,MATCH("D4.15|"&amp;CAPTURA!BL11,CODIFICACION!$F$2:$F$500,0))),"⚠"))</f>
        <v/>
      </c>
      <c r="AH11" t="str">
        <f>IF(CAPTURA!BM11="","",IF(AND(ISNUMBER(CAPTURA!BM11),CAPTURA!BM11&gt;=0,CAPTURA!BM11&lt;=4),CAPTURA!BM11*25,"⚠"))</f>
        <v/>
      </c>
      <c r="AI11" t="str">
        <f>IF(CAPTURA!BN11="","",IFERROR(IF(INDEX(CODIFICACION!$E$2:$E$500,MATCH("D4.17|"&amp;CAPTURA!BN11,CODIFICACION!$F$2:$F$500,0))="sin dato","",INDEX(CODIFICACION!$E$2:$E$500,MATCH("D4.17|"&amp;CAPTURA!BN11,CODIFICACION!$F$2:$F$500,0))),"⚠"))</f>
        <v/>
      </c>
      <c r="AJ11" t="str">
        <f>IF(CAPTURA!BO11="","",IFERROR(IF(INDEX(CODIFICACION!$E$2:$E$500,MATCH("D4.15a|"&amp;CAPTURA!BO11,CODIFICACION!$F$2:$F$500,0))="sin dato","",INDEX(CODIFICACION!$E$2:$E$500,MATCH("D4.15a|"&amp;CAPTURA!BO11,CODIFICACION!$F$2:$F$500,0))),"⚠"))</f>
        <v/>
      </c>
      <c r="AK11" t="str">
        <f>IF(CAPTURA!BP11="","",IF(AND(ISNUMBER(CAPTURA!BP11),CAPTURA!BP11&gt;=0,CAPTURA!BP11&lt;=4),CAPTURA!BP11*25,"⚠"))</f>
        <v/>
      </c>
      <c r="AL11" t="str">
        <f>IF(CAPTURA!BQ11="","",IF(AND(ISNUMBER(CAPTURA!BQ11),CAPTURA!BQ11&gt;=0,CAPTURA!BQ11&lt;=4),CAPTURA!BQ11*25,"⚠"))</f>
        <v/>
      </c>
      <c r="AM11" t="str">
        <f>IF(CAPTURA!BR11="","",IFERROR(IF(INDEX(CODIFICACION!$E$2:$E$500,MATCH("D5.18b|"&amp;CAPTURA!BR11,CODIFICACION!$F$2:$F$500,0))="sin dato","",INDEX(CODIFICACION!$E$2:$E$500,MATCH("D5.18b|"&amp;CAPTURA!BR11,CODIFICACION!$F$2:$F$500,0))),"⚠"))</f>
        <v/>
      </c>
      <c r="AN11" t="str">
        <f>IF(CAPTURA!BS11="","",IFERROR(IF(INDEX(CODIFICACION!$E$2:$E$500,MATCH("D5.19|"&amp;CAPTURA!BS11,CODIFICACION!$F$2:$F$500,0))="sin dato","",INDEX(CODIFICACION!$E$2:$E$500,MATCH("D5.19|"&amp;CAPTURA!BS11,CODIFICACION!$F$2:$F$500,0))),"⚠"))</f>
        <v/>
      </c>
      <c r="AO11" t="str">
        <f>IF(CAPTURA!BT11="","",MIN(100,ROUND((LEN(CAPTURA!BT11)-LEN(SUBSTITUTE(CAPTURA!BT11,";",""))+1)/7*100,1)))</f>
        <v/>
      </c>
      <c r="AP11" t="str">
        <f>IF(CAPTURA!BU11="","",IFERROR(IF(INDEX(CODIFICACION!$E$2:$E$500,MATCH("D5.20|"&amp;CAPTURA!BU11,CODIFICACION!$F$2:$F$500,0))="sin dato","",INDEX(CODIFICACION!$E$2:$E$500,MATCH("D5.20|"&amp;CAPTURA!BU11,CODIFICACION!$F$2:$F$500,0))),"⚠"))</f>
        <v/>
      </c>
      <c r="AQ11" t="str">
        <f>IF(CAPTURA!BV11="","",IFERROR(IF(INDEX(CODIFICACION!$E$2:$E$500,MATCH("D5.21|"&amp;CAPTURA!BV11,CODIFICACION!$F$2:$F$500,0))="sin dato","",INDEX(CODIFICACION!$E$2:$E$500,MATCH("D5.21|"&amp;CAPTURA!BV11,CODIFICACION!$F$2:$F$500,0))),"⚠"))</f>
        <v/>
      </c>
      <c r="AR11" t="str">
        <f>IF(CAPTURA!BW11="","",IFERROR(IF(INDEX(CODIFICACION!$E$2:$E$500,MATCH("D5.21a|"&amp;CAPTURA!BW11,CODIFICACION!$F$2:$F$500,0))="sin dato","",INDEX(CODIFICACION!$E$2:$E$500,MATCH("D5.21a|"&amp;CAPTURA!BW11,CODIFICACION!$F$2:$F$500,0))),"⚠"))</f>
        <v/>
      </c>
      <c r="AS11" t="str">
        <f>IF(CAPTURA!BX11="","",IFERROR(IF(INDEX(CODIFICACION!$E$2:$E$500,MATCH("D5.21b|"&amp;CAPTURA!BX11,CODIFICACION!$F$2:$F$500,0))="sin dato","",INDEX(CODIFICACION!$E$2:$E$500,MATCH("D5.21b|"&amp;CAPTURA!BX11,CODIFICACION!$F$2:$F$500,0))),"⚠"))</f>
        <v/>
      </c>
      <c r="AT11" t="str">
        <f>IF(CAPTURA!BY11="","",IFERROR(IF(INDEX(CODIFICACION!$E$2:$E$500,MATCH("D6.22|"&amp;CAPTURA!BY11,CODIFICACION!$F$2:$F$500,0))="sin dato","",INDEX(CODIFICACION!$E$2:$E$500,MATCH("D6.22|"&amp;CAPTURA!BY11,CODIFICACION!$F$2:$F$500,0))),"⚠"))</f>
        <v/>
      </c>
      <c r="AU11" t="str">
        <f>IF(CAPTURA!BZ11="","",IFERROR(IF(INDEX(CODIFICACION!$E$2:$E$500,MATCH("D6.22a|"&amp;CAPTURA!BZ11,CODIFICACION!$F$2:$F$500,0))="sin dato","",INDEX(CODIFICACION!$E$2:$E$500,MATCH("D6.22a|"&amp;CAPTURA!BZ11,CODIFICACION!$F$2:$F$500,0))),"⚠"))</f>
        <v/>
      </c>
      <c r="AV11" t="str">
        <f>IF(CAPTURA!CA11="","",IFERROR(IF(INDEX(CODIFICACION!$E$2:$E$500,MATCH("D6.22b|"&amp;CAPTURA!CA11,CODIFICACION!$F$2:$F$500,0))="sin dato","",INDEX(CODIFICACION!$E$2:$E$500,MATCH("D6.22b|"&amp;CAPTURA!CA11,CODIFICACION!$F$2:$F$500,0))),"⚠"))</f>
        <v/>
      </c>
      <c r="AW11" t="str">
        <f>IF(CAPTURA!CB11="","",IFERROR(IF(INDEX(CODIFICACION!$E$2:$E$500,MATCH("D6.23|"&amp;CAPTURA!CB11,CODIFICACION!$F$2:$F$500,0))="sin dato","",INDEX(CODIFICACION!$E$2:$E$500,MATCH("D6.23|"&amp;CAPTURA!CB11,CODIFICACION!$F$2:$F$500,0))),"⚠"))</f>
        <v/>
      </c>
      <c r="AX11" t="str">
        <f>IF(CAPTURA!CC11="","",IFERROR(IF(INDEX(CODIFICACION!$E$2:$E$500,MATCH("D6.24|"&amp;CAPTURA!CC11,CODIFICACION!$F$2:$F$500,0))="sin dato","",INDEX(CODIFICACION!$E$2:$E$500,MATCH("D6.24|"&amp;CAPTURA!CC11,CODIFICACION!$F$2:$F$500,0))),"⚠"))</f>
        <v/>
      </c>
      <c r="AY11" t="str">
        <f>IF(CAPTURA!CD11="","",IFERROR(IF(INDEX(CODIFICACION!$E$2:$E$500,MATCH("D6.25|"&amp;CAPTURA!CD11,CODIFICACION!$F$2:$F$500,0))="sin dato","",INDEX(CODIFICACION!$E$2:$E$500,MATCH("D6.25|"&amp;CAPTURA!CD11,CODIFICACION!$F$2:$F$500,0))),"⚠"))</f>
        <v/>
      </c>
      <c r="AZ11" t="str">
        <f>IF(CAPTURA!CE11="","",IFERROR(IF(INDEX(CODIFICACION!$E$2:$E$500,MATCH("D6.25a|"&amp;CAPTURA!CE11,CODIFICACION!$F$2:$F$500,0))="sin dato","",INDEX(CODIFICACION!$E$2:$E$500,MATCH("D6.25a|"&amp;CAPTURA!CE11,CODIFICACION!$F$2:$F$500,0))),"⚠"))</f>
        <v/>
      </c>
      <c r="BA11" t="str">
        <f>IF(CAPTURA!CF11="","",IFERROR(IF(INDEX(CODIFICACION!$E$2:$E$500,MATCH("D6.25b|"&amp;CAPTURA!CF11,CODIFICACION!$F$2:$F$500,0))="sin dato","",INDEX(CODIFICACION!$E$2:$E$500,MATCH("D6.25b|"&amp;CAPTURA!CF11,CODIFICACION!$F$2:$F$500,0))),"⚠"))</f>
        <v/>
      </c>
      <c r="BB11" t="str">
        <f>IF(CAPTURA!CG11="","",IFERROR(IF(INDEX(CODIFICACION!$E$2:$E$500,MATCH("D6.22c|"&amp;CAPTURA!CG11,CODIFICACION!$F$2:$F$500,0))="sin dato","",INDEX(CODIFICACION!$E$2:$E$500,MATCH("D6.22c|"&amp;CAPTURA!CG11,CODIFICACION!$F$2:$F$500,0))),"⚠"))</f>
        <v/>
      </c>
      <c r="BC11" t="str">
        <f>IF(CAPTURA!CH11="","",IFERROR(IF(INDEX(CODIFICACION!$E$2:$E$500,MATCH("D7.26|"&amp;CAPTURA!CH11,CODIFICACION!$F$2:$F$500,0))="sin dato","",INDEX(CODIFICACION!$E$2:$E$500,MATCH("D7.26|"&amp;CAPTURA!CH11,CODIFICACION!$F$2:$F$500,0))),"⚠"))</f>
        <v/>
      </c>
      <c r="BD11" t="str">
        <f>IF(CAPTURA!CI11="","",IFERROR(IF(INDEX(CODIFICACION!$E$2:$E$500,MATCH("D7.27|"&amp;CAPTURA!CI11,CODIFICACION!$F$2:$F$500,0))="sin dato","",INDEX(CODIFICACION!$E$2:$E$500,MATCH("D7.27|"&amp;CAPTURA!CI11,CODIFICACION!$F$2:$F$500,0))),"⚠"))</f>
        <v/>
      </c>
      <c r="BE11" t="str">
        <f>IF(CAPTURA!CJ11="","",IFERROR(IF(INDEX(CODIFICACION!$E$2:$E$500,MATCH("D7.28|"&amp;CAPTURA!CJ11,CODIFICACION!$F$2:$F$500,0))="sin dato","",INDEX(CODIFICACION!$E$2:$E$500,MATCH("D7.28|"&amp;CAPTURA!CJ11,CODIFICACION!$F$2:$F$500,0))),"⚠"))</f>
        <v/>
      </c>
      <c r="BF11" t="str">
        <f>IF(CAPTURA!CK11="","",IFERROR(IF(INDEX(CODIFICACION!$E$2:$E$500,MATCH("D7.28b|"&amp;CAPTURA!CK11,CODIFICACION!$F$2:$F$500,0))="sin dato","",INDEX(CODIFICACION!$E$2:$E$500,MATCH("D7.28b|"&amp;CAPTURA!CK11,CODIFICACION!$F$2:$F$500,0))),"⚠"))</f>
        <v/>
      </c>
      <c r="BG11" t="str">
        <f>IF(CAPTURA!CL11="","",MIN(100,ROUND((LEN(CAPTURA!CL11)-LEN(SUBSTITUTE(CAPTURA!CL11,";",""))+1)/8*100,1)))</f>
        <v/>
      </c>
      <c r="BH11" t="str">
        <f>IF(CAPTURA!CM11="","",IFERROR(IF(INDEX(CODIFICACION!$E$2:$E$500,MATCH("D7.26a|"&amp;CAPTURA!CM11,CODIFICACION!$F$2:$F$500,0))="sin dato","",INDEX(CODIFICACION!$E$2:$E$500,MATCH("D7.26a|"&amp;CAPTURA!CM11,CODIFICACION!$F$2:$F$500,0))),"⚠"))</f>
        <v/>
      </c>
      <c r="BI11" t="str">
        <f>IF(CAPTURA!CN11="","",IFERROR(IF(INDEX(CODIFICACION!$E$2:$E$500,MATCH("D7.26b|"&amp;CAPTURA!CN11,CODIFICACION!$F$2:$F$500,0))="sin dato","",INDEX(CODIFICACION!$E$2:$E$500,MATCH("D7.26b|"&amp;CAPTURA!CN11,CODIFICACION!$F$2:$F$500,0))),"⚠"))</f>
        <v/>
      </c>
      <c r="BJ11" t="str">
        <f>IF(CAPTURA!CO11="","",IF(AND(ISNUMBER(CAPTURA!CO11),CAPTURA!CO11&gt;=0,CAPTURA!CO11&lt;=4),CAPTURA!CO11*25,"⚠"))</f>
        <v/>
      </c>
      <c r="BK11" t="str">
        <f>IF(CAPTURA!CP11="","",IF(ISNUMBER(CAPTURA!CP11),MAX(0,MIN(100,CAPTURA!CP11)),"⚠"))</f>
        <v/>
      </c>
      <c r="BL11" t="str">
        <f>IF(CAPTURA!CQ11="","",IFERROR(IF(INDEX(CODIFICACION!$E$2:$E$500,MATCH("D8.31|"&amp;CAPTURA!CQ11,CODIFICACION!$F$2:$F$500,0))="sin dato","",INDEX(CODIFICACION!$E$2:$E$500,MATCH("D8.31|"&amp;CAPTURA!CQ11,CODIFICACION!$F$2:$F$500,0))),"⚠"))</f>
        <v/>
      </c>
      <c r="BM11" t="str">
        <f>IF(CAPTURA!CR11="","",IFERROR(IF(INDEX(CODIFICACION!$E$2:$E$500,MATCH("D8.32|"&amp;CAPTURA!CR11,CODIFICACION!$F$2:$F$500,0))="sin dato","",INDEX(CODIFICACION!$E$2:$E$500,MATCH("D8.32|"&amp;CAPTURA!CR11,CODIFICACION!$F$2:$F$500,0))),"⚠"))</f>
        <v/>
      </c>
      <c r="BN11" t="str">
        <f>IF(CAPTURA!CS11="","",IFERROR(IF(INDEX(CODIFICACION!$E$2:$E$500,MATCH("D9.33|"&amp;CAPTURA!CS11,CODIFICACION!$F$2:$F$500,0))="sin dato","",INDEX(CODIFICACION!$E$2:$E$500,MATCH("D9.33|"&amp;CAPTURA!CS11,CODIFICACION!$F$2:$F$500,0))),"⚠"))</f>
        <v/>
      </c>
      <c r="BO11" t="str">
        <f>IF(CAPTURA!CT11="","",IFERROR(IF(INDEX(CODIFICACION!$E$2:$E$500,MATCH("D9.34|"&amp;CAPTURA!CT11,CODIFICACION!$F$2:$F$500,0))="sin dato","",INDEX(CODIFICACION!$E$2:$E$500,MATCH("D9.34|"&amp;CAPTURA!CT11,CODIFICACION!$F$2:$F$500,0))),"⚠"))</f>
        <v/>
      </c>
      <c r="BP11" t="str">
        <f>IF(CAPTURA!CU11="","",IFERROR(IF(INDEX(CODIFICACION!$E$2:$E$500,MATCH("D9.35|"&amp;CAPTURA!CU11,CODIFICACION!$F$2:$F$500,0))="sin dato","",INDEX(CODIFICACION!$E$2:$E$500,MATCH("D9.35|"&amp;CAPTURA!CU11,CODIFICACION!$F$2:$F$500,0))),"⚠"))</f>
        <v/>
      </c>
      <c r="BQ11" t="str">
        <f>IF(CAPTURA!CV11="","",IFERROR(IF(INDEX(CODIFICACION!$E$2:$E$500,MATCH("D10.36|"&amp;CAPTURA!CV11,CODIFICACION!$F$2:$F$500,0))="sin dato","",INDEX(CODIFICACION!$E$2:$E$500,MATCH("D10.36|"&amp;CAPTURA!CV11,CODIFICACION!$F$2:$F$500,0))),"⚠"))</f>
        <v/>
      </c>
      <c r="BR11" t="str">
        <f>IF(CAPTURA!CW11="","",IFERROR(IF(INDEX(CODIFICACION!$E$2:$E$500,MATCH("D10.37|"&amp;CAPTURA!CW11,CODIFICACION!$F$2:$F$500,0))="sin dato","",INDEX(CODIFICACION!$E$2:$E$500,MATCH("D10.37|"&amp;CAPTURA!CW11,CODIFICACION!$F$2:$F$500,0))),"⚠"))</f>
        <v/>
      </c>
      <c r="BS11" t="str">
        <f>IF(CAPTURA!CX11="","",IFERROR(IF(INDEX(CODIFICACION!$E$2:$E$500,MATCH("D10.36a|"&amp;CAPTURA!CX11,CODIFICACION!$F$2:$F$500,0))="sin dato","",INDEX(CODIFICACION!$E$2:$E$500,MATCH("D10.36a|"&amp;CAPTURA!CX11,CODIFICACION!$F$2:$F$500,0))),"⚠"))</f>
        <v/>
      </c>
      <c r="BT11" t="str">
        <f>IF(CAPTURA!CY11="","",IF(ISNUMBER(SEARCH("Ninguno",CAPTURA!CY11)),0,MIN(100,ROUND((LEN(CAPTURA!CY11)-LEN(SUBSTITUTE(CAPTURA!CY11,";",""))+1)/6*100,1))))</f>
        <v/>
      </c>
      <c r="BU11" t="str">
        <f>IF(CAPTURA!DA11="","",IFERROR(IF(INDEX(CODIFICACION!$E$2:$E$500,MATCH("D11.39a|"&amp;CAPTURA!DA11,CODIFICACION!$F$2:$F$500,0))="sin dato","",INDEX(CODIFICACION!$E$2:$E$500,MATCH("D11.39a|"&amp;CAPTURA!DA11,CODIFICACION!$F$2:$F$500,0))),"⚠"))</f>
        <v/>
      </c>
      <c r="BV11" t="str">
        <f>IF(CAPTURA!DB11="","",IFERROR(IF(INDEX(CODIFICACION!$E$2:$E$500,MATCH("D12.42|"&amp;CAPTURA!DB11,CODIFICACION!$F$2:$F$500,0))="sin dato","",INDEX(CODIFICACION!$E$2:$E$500,MATCH("D12.42|"&amp;CAPTURA!DB11,CODIFICACION!$F$2:$F$500,0))),"⚠"))</f>
        <v/>
      </c>
      <c r="BW11" t="str">
        <f>IF(CAPTURA!DC11="","",IFERROR(IF(INDEX(CODIFICACION!$E$2:$E$500,MATCH("D13.45|"&amp;CAPTURA!DC11,CODIFICACION!$F$2:$F$500,0))="sin dato","",INDEX(CODIFICACION!$E$2:$E$500,MATCH("D13.45|"&amp;CAPTURA!DC11,CODIFICACION!$F$2:$F$500,0))),"⚠"))</f>
        <v/>
      </c>
      <c r="BX11" t="str">
        <f>IF(CAPTURA!DD11="","",IFERROR(IF(INDEX(CODIFICACION!$E$2:$E$500,MATCH("D14.51|"&amp;CAPTURA!DD11,CODIFICACION!$F$2:$F$500,0))="sin dato","",INDEX(CODIFICACION!$E$2:$E$500,MATCH("D14.51|"&amp;CAPTURA!DD11,CODIFICACION!$F$2:$F$500,0))),"⚠"))</f>
        <v/>
      </c>
      <c r="BY11" t="str">
        <f>IF(CAPTURA!DE11="","",IFERROR(IF(INDEX(CODIFICACION!$E$2:$E$500,MATCH("D15.58|"&amp;CAPTURA!DE11,CODIFICACION!$F$2:$F$500,0))="sin dato","",INDEX(CODIFICACION!$E$2:$E$500,MATCH("D15.58|"&amp;CAPTURA!DE11,CODIFICACION!$F$2:$F$500,0))),"⚠"))</f>
        <v/>
      </c>
      <c r="BZ11" t="str">
        <f>IF(CAPTURA!DF11="","",IFERROR(IF(INDEX(CODIFICACION!$E$2:$E$500,MATCH("PP1|"&amp;CAPTURA!DF11,CODIFICACION!$F$2:$F$500,0))="sin dato","",INDEX(CODIFICACION!$E$2:$E$500,MATCH("PP1|"&amp;CAPTURA!DF11,CODIFICACION!$F$2:$F$500,0))),"⚠"))</f>
        <v/>
      </c>
      <c r="CA11" t="str">
        <f>IF(CAPTURA!DG11="","",IFERROR(IF(INDEX(CODIFICACION!$E$2:$E$500,MATCH("PP2|"&amp;CAPTURA!DG11,CODIFICACION!$F$2:$F$500,0))="sin dato","",INDEX(CODIFICACION!$E$2:$E$500,MATCH("PP2|"&amp;CAPTURA!DG11,CODIFICACION!$F$2:$F$500,0))),"⚠"))</f>
        <v/>
      </c>
      <c r="CB11" t="str">
        <f t="shared" si="0"/>
        <v/>
      </c>
      <c r="CC11" t="str">
        <f t="shared" si="1"/>
        <v/>
      </c>
      <c r="CD11" t="str">
        <f t="shared" si="2"/>
        <v/>
      </c>
      <c r="CE11" t="str">
        <f t="shared" si="3"/>
        <v/>
      </c>
      <c r="CF11" t="str">
        <f t="shared" si="4"/>
        <v/>
      </c>
      <c r="CG11" t="str">
        <f t="shared" si="5"/>
        <v/>
      </c>
      <c r="CH11" t="str">
        <f t="shared" si="6"/>
        <v/>
      </c>
      <c r="CI11" t="str">
        <f t="shared" si="7"/>
        <v/>
      </c>
      <c r="CJ11" t="str">
        <f t="shared" si="8"/>
        <v/>
      </c>
      <c r="CK11" t="str">
        <f t="shared" si="9"/>
        <v/>
      </c>
      <c r="CL11" t="str">
        <f t="shared" si="10"/>
        <v/>
      </c>
    </row>
    <row r="12" spans="1:90" x14ac:dyDescent="0.3">
      <c r="A12">
        <f>CAPTURA!A12</f>
        <v>20136201213</v>
      </c>
      <c r="B12">
        <f>CAPTURA!C12</f>
        <v>0</v>
      </c>
      <c r="C12" t="str">
        <f>IF(CAPTURA!M12="","",ROUND((ISNUMBER(SEARCH("Alemania",CAPTURA!M12))+ISNUMBER(SEARCH("Bélgica",CAPTURA!M12))+ISNUMBER(SEARCH("Países Bajos",CAPTURA!M12))+ISNUMBER(SEARCH("Francia",CAPTURA!M12))+ISNUMBER(SEARCH("Italia",CAPTURA!M12))+ISNUMBER(SEARCH("España",CAPTURA!M12))+ISNUMBER(SEARCH("Suecia",CAPTURA!M12))+ISNUMBER(SEARCH("Dinamarca",CAPTURA!M12)))/((LEN(CAPTURA!M12)-LEN(SUBSTITUTE(CAPTURA!M12,";","")))+1)*100,1))</f>
        <v/>
      </c>
      <c r="D12" t="str">
        <f>IF(CAPTURA!AE12="","",IFERROR(IF(INDEX(CODIFICACION!$E$2:$E$500,MATCH("P8|"&amp;CAPTURA!AE12,CODIFICACION!$F$2:$F$500,0))="sin dato","",INDEX(CODIFICACION!$E$2:$E$500,MATCH("P8|"&amp;CAPTURA!AE12,CODIFICACION!$F$2:$F$500,0))),"⚠"))</f>
        <v/>
      </c>
      <c r="E12" t="str">
        <f>IF(CAPTURA!AG12="","",IFERROR(IF(INDEX(CODIFICACION!$E$2:$E$500,MATCH("P10|"&amp;CAPTURA!AG12,CODIFICACION!$F$2:$F$500,0))="sin dato","",INDEX(CODIFICACION!$E$2:$E$500,MATCH("P10|"&amp;CAPTURA!AG12,CODIFICACION!$F$2:$F$500,0))),"⚠"))</f>
        <v/>
      </c>
      <c r="F12" t="str">
        <f>IF(CAPTURA!AJ12="","",IFERROR(IF(INDEX(CODIFICACION!$E$2:$E$500,MATCH("P13|"&amp;CAPTURA!AJ12,CODIFICACION!$F$2:$F$500,0))="sin dato","",INDEX(CODIFICACION!$E$2:$E$500,MATCH("P13|"&amp;CAPTURA!AJ12,CODIFICACION!$F$2:$F$500,0))),"⚠"))</f>
        <v/>
      </c>
      <c r="G12" t="str">
        <f>IF(CAPTURA!AK12="","",IFERROR(IF(INDEX(CODIFICACION!$E$2:$E$500,MATCH("P14|"&amp;CAPTURA!AK12,CODIFICACION!$F$2:$F$500,0))="sin dato","",INDEX(CODIFICACION!$E$2:$E$500,MATCH("P14|"&amp;CAPTURA!AK12,CODIFICACION!$F$2:$F$500,0))),"⚠"))</f>
        <v/>
      </c>
      <c r="H12" t="str">
        <f>IF(CAPTURA!AL12="","",IFERROR(IF(INDEX(CODIFICACION!$E$2:$E$500,MATCH("D1.1|"&amp;CAPTURA!AL12,CODIFICACION!$F$2:$F$500,0))="sin dato","",INDEX(CODIFICACION!$E$2:$E$500,MATCH("D1.1|"&amp;CAPTURA!AL12,CODIFICACION!$F$2:$F$500,0))),"⚠"))</f>
        <v/>
      </c>
      <c r="I12" t="str">
        <f>IF(CAPTURA!AN12="","",IFERROR(IF(INDEX(CODIFICACION!$E$2:$E$500,MATCH("D1.3|"&amp;CAPTURA!AN12,CODIFICACION!$F$2:$F$500,0))="sin dato","",INDEX(CODIFICACION!$E$2:$E$500,MATCH("D1.3|"&amp;CAPTURA!AN12,CODIFICACION!$F$2:$F$500,0))),"⚠"))</f>
        <v/>
      </c>
      <c r="J12" t="str">
        <f>IF(CAPTURA!AO12="","",IFERROR(IF(INDEX(CODIFICACION!$E$2:$E$500,MATCH("D1.4|"&amp;CAPTURA!AO12,CODIFICACION!$F$2:$F$500,0))="sin dato","",INDEX(CODIFICACION!$E$2:$E$500,MATCH("D1.4|"&amp;CAPTURA!AO12,CODIFICACION!$F$2:$F$500,0))),"⚠"))</f>
        <v/>
      </c>
      <c r="K12" t="str">
        <f>IF(CAPTURA!AP12="","",IFERROR(IF(INDEX(CODIFICACION!$E$2:$E$500,MATCH("D1.3a|"&amp;CAPTURA!AP12,CODIFICACION!$F$2:$F$500,0))="sin dato","",INDEX(CODIFICACION!$E$2:$E$500,MATCH("D1.3a|"&amp;CAPTURA!AP12,CODIFICACION!$F$2:$F$500,0))),"⚠"))</f>
        <v/>
      </c>
      <c r="L12" t="str">
        <f>IF(CAPTURA!AQ12="","",IF(AND(ISNUMBER(CAPTURA!AQ12),CAPTURA!AQ12&gt;=0,CAPTURA!AQ12&lt;=4),CAPTURA!AQ12*25,"⚠"))</f>
        <v/>
      </c>
      <c r="M12" t="str">
        <f>IF(CAPTURA!AR12="","",IF(ISNUMBER(CAPTURA!AR12),MAX(0,MIN(100,CAPTURA!AR12)),"⚠"))</f>
        <v/>
      </c>
      <c r="N12" t="str">
        <f>IF(CAPTURA!AS12="","",IF(AND(ISNUMBER(CAPTURA!AS12),CAPTURA!AS12&gt;=0,CAPTURA!AS12&lt;=4),CAPTURA!AS12*25,"⚠"))</f>
        <v/>
      </c>
      <c r="O12" t="str">
        <f>IF(CAPTURA!AT12="","",IFERROR(IF(INDEX(CODIFICACION!$E$2:$E$500,MATCH("D2.8|"&amp;CAPTURA!AT12,CODIFICACION!$F$2:$F$500,0))="sin dato","",INDEX(CODIFICACION!$E$2:$E$500,MATCH("D2.8|"&amp;CAPTURA!AT12,CODIFICACION!$F$2:$F$500,0))),"⚠"))</f>
        <v/>
      </c>
      <c r="P12" t="str">
        <f>IF(CAPTURA!AU12="","",IFERROR(IF(INDEX(CODIFICACION!$E$2:$E$500,MATCH("D2.9|"&amp;CAPTURA!AU12,CODIFICACION!$F$2:$F$500,0))="sin dato","",INDEX(CODIFICACION!$E$2:$E$500,MATCH("D2.9|"&amp;CAPTURA!AU12,CODIFICACION!$F$2:$F$500,0))),"⚠"))</f>
        <v/>
      </c>
      <c r="Q12" t="str">
        <f>IF(CAPTURA!AV12="","",IFERROR(IF(INDEX(CODIFICACION!$E$2:$E$500,MATCH("D2.10|"&amp;CAPTURA!AV12,CODIFICACION!$F$2:$F$500,0))="sin dato","",INDEX(CODIFICACION!$E$2:$E$500,MATCH("D2.10|"&amp;CAPTURA!AV12,CODIFICACION!$F$2:$F$500,0))),"⚠"))</f>
        <v/>
      </c>
      <c r="R12" t="str">
        <f>IF(CAPTURA!AW12="","",IFERROR(IF(INDEX(CODIFICACION!$E$2:$E$500,MATCH("D2.5a|"&amp;CAPTURA!AW12,CODIFICACION!$F$2:$F$500,0))="sin dato","",INDEX(CODIFICACION!$E$2:$E$500,MATCH("D2.5a|"&amp;CAPTURA!AW12,CODIFICACION!$F$2:$F$500,0))),"⚠"))</f>
        <v/>
      </c>
      <c r="S12" t="str">
        <f>IF(CAPTURA!AX12="","",IFERROR(IF(INDEX(CODIFICACION!$E$2:$E$500,MATCH("D2.5b|"&amp;CAPTURA!AX12,CODIFICACION!$F$2:$F$500,0))="sin dato","",INDEX(CODIFICACION!$E$2:$E$500,MATCH("D2.5b|"&amp;CAPTURA!AX12,CODIFICACION!$F$2:$F$500,0))),"⚠"))</f>
        <v/>
      </c>
      <c r="T12" t="str">
        <f>IF(CAPTURA!AY12="","",IF(ISNUMBER(CAPTURA!AY12),MAX(0,MIN(100,CAPTURA!AY12)),"⚠"))</f>
        <v/>
      </c>
      <c r="U12" t="str">
        <f>IF(CAPTURA!AZ12="","",IFERROR(IF(INDEX(CODIFICACION!$E$2:$E$500,MATCH("D3.12|"&amp;CAPTURA!AZ12,CODIFICACION!$F$2:$F$500,0))="sin dato","",INDEX(CODIFICACION!$E$2:$E$500,MATCH("D3.12|"&amp;CAPTURA!AZ12,CODIFICACION!$F$2:$F$500,0))),"⚠"))</f>
        <v/>
      </c>
      <c r="V12" t="str">
        <f>IF(CAPTURA!BA12="","",IF(AND(ISNUMBER(CAPTURA!BA12),CAPTURA!BA12&gt;=0,CAPTURA!BA12&lt;=4),CAPTURA!BA12*25,"⚠"))</f>
        <v/>
      </c>
      <c r="W12" t="str">
        <f>IF(CAPTURA!BB12="","",IFERROR(IF(INDEX(CODIFICACION!$E$2:$E$500,MATCH("D3.14|"&amp;CAPTURA!BB12,CODIFICACION!$F$2:$F$500,0))="sin dato","",INDEX(CODIFICACION!$E$2:$E$500,MATCH("D3.14|"&amp;CAPTURA!BB12,CODIFICACION!$F$2:$F$500,0))),"⚠"))</f>
        <v/>
      </c>
      <c r="X12" t="str">
        <f>IF(CAPTURA!BC12="","",IFERROR(IF(INDEX(CODIFICACION!$E$2:$E$500,MATCH("D3.14a|"&amp;CAPTURA!BC12,CODIFICACION!$F$2:$F$500,0))="sin dato","",INDEX(CODIFICACION!$E$2:$E$500,MATCH("D3.14a|"&amp;CAPTURA!BC12,CODIFICACION!$F$2:$F$500,0))),"⚠"))</f>
        <v/>
      </c>
      <c r="Y12" t="str">
        <f>IF(CAPTURA!BD12="","",IFERROR(IF(INDEX(CODIFICACION!$E$2:$E$500,MATCH("D3.14b|"&amp;CAPTURA!BD12,CODIFICACION!$F$2:$F$500,0))="sin dato","",INDEX(CODIFICACION!$E$2:$E$500,MATCH("D3.14b|"&amp;CAPTURA!BD12,CODIFICACION!$F$2:$F$500,0))),"⚠"))</f>
        <v/>
      </c>
      <c r="Z12" t="str">
        <f>IF(CAPTURA!BE12="","",IFERROR(IF(INDEX(CODIFICACION!$E$2:$E$500,MATCH("D3.14c|"&amp;CAPTURA!BE12,CODIFICACION!$F$2:$F$500,0))="sin dato","",INDEX(CODIFICACION!$E$2:$E$500,MATCH("D3.14c|"&amp;CAPTURA!BE12,CODIFICACION!$F$2:$F$500,0))),"⚠"))</f>
        <v/>
      </c>
      <c r="AA12" t="str">
        <f>IF(CAPTURA!BF12="","",IFERROR(IF(INDEX(CODIFICACION!$E$2:$E$500,MATCH("D3.14d|"&amp;CAPTURA!BF12,CODIFICACION!$F$2:$F$500,0))="sin dato","",INDEX(CODIFICACION!$E$2:$E$500,MATCH("D3.14d|"&amp;CAPTURA!BF12,CODIFICACION!$F$2:$F$500,0))),"⚠"))</f>
        <v/>
      </c>
      <c r="AB12" t="str">
        <f>IF(CAPTURA!BG12="","",IFERROR(IF(INDEX(CODIFICACION!$E$2:$E$500,MATCH("D3.14e|"&amp;CAPTURA!BG12,CODIFICACION!$F$2:$F$500,0))="sin dato","",INDEX(CODIFICACION!$E$2:$E$500,MATCH("D3.14e|"&amp;CAPTURA!BG12,CODIFICACION!$F$2:$F$500,0))),"⚠"))</f>
        <v/>
      </c>
      <c r="AC12" t="str">
        <f>IF(CAPTURA!BH12="","",IFERROR(IF(INDEX(CODIFICACION!$E$2:$E$500,MATCH("D3.14f|"&amp;CAPTURA!BH12,CODIFICACION!$F$2:$F$500,0))="sin dato","",INDEX(CODIFICACION!$E$2:$E$500,MATCH("D3.14f|"&amp;CAPTURA!BH12,CODIFICACION!$F$2:$F$500,0))),"⚠"))</f>
        <v/>
      </c>
      <c r="AD12" t="str">
        <f>IF(CAPTURA!BI12="","",IFERROR(IF(INDEX(CODIFICACION!$E$2:$E$500,MATCH("D3.14g|"&amp;CAPTURA!BI12,CODIFICACION!$F$2:$F$500,0))="sin dato","",INDEX(CODIFICACION!$E$2:$E$500,MATCH("D3.14g|"&amp;CAPTURA!BI12,CODIFICACION!$F$2:$F$500,0))),"⚠"))</f>
        <v/>
      </c>
      <c r="AE12" t="str">
        <f>IF(CAPTURA!BJ12="","",IFERROR(IF(INDEX(CODIFICACION!$E$2:$E$500,MATCH("D3.14h|"&amp;CAPTURA!BJ12,CODIFICACION!$F$2:$F$500,0))="sin dato","",INDEX(CODIFICACION!$E$2:$E$500,MATCH("D3.14h|"&amp;CAPTURA!BJ12,CODIFICACION!$F$2:$F$500,0))),"⚠"))</f>
        <v/>
      </c>
      <c r="AF12" t="str">
        <f>IF(CAPTURA!BK12="","",IFERROR(IF(INDEX(CODIFICACION!$E$2:$E$500,MATCH("D3.14i|"&amp;CAPTURA!BK12,CODIFICACION!$F$2:$F$500,0))="sin dato","",INDEX(CODIFICACION!$E$2:$E$500,MATCH("D3.14i|"&amp;CAPTURA!BK12,CODIFICACION!$F$2:$F$500,0))),"⚠"))</f>
        <v/>
      </c>
      <c r="AG12" t="str">
        <f>IF(CAPTURA!BL12="","",IFERROR(IF(INDEX(CODIFICACION!$E$2:$E$500,MATCH("D4.15|"&amp;CAPTURA!BL12,CODIFICACION!$F$2:$F$500,0))="sin dato","",INDEX(CODIFICACION!$E$2:$E$500,MATCH("D4.15|"&amp;CAPTURA!BL12,CODIFICACION!$F$2:$F$500,0))),"⚠"))</f>
        <v/>
      </c>
      <c r="AH12" t="str">
        <f>IF(CAPTURA!BM12="","",IF(AND(ISNUMBER(CAPTURA!BM12),CAPTURA!BM12&gt;=0,CAPTURA!BM12&lt;=4),CAPTURA!BM12*25,"⚠"))</f>
        <v/>
      </c>
      <c r="AI12" t="str">
        <f>IF(CAPTURA!BN12="","",IFERROR(IF(INDEX(CODIFICACION!$E$2:$E$500,MATCH("D4.17|"&amp;CAPTURA!BN12,CODIFICACION!$F$2:$F$500,0))="sin dato","",INDEX(CODIFICACION!$E$2:$E$500,MATCH("D4.17|"&amp;CAPTURA!BN12,CODIFICACION!$F$2:$F$500,0))),"⚠"))</f>
        <v/>
      </c>
      <c r="AJ12" t="str">
        <f>IF(CAPTURA!BO12="","",IFERROR(IF(INDEX(CODIFICACION!$E$2:$E$500,MATCH("D4.15a|"&amp;CAPTURA!BO12,CODIFICACION!$F$2:$F$500,0))="sin dato","",INDEX(CODIFICACION!$E$2:$E$500,MATCH("D4.15a|"&amp;CAPTURA!BO12,CODIFICACION!$F$2:$F$500,0))),"⚠"))</f>
        <v/>
      </c>
      <c r="AK12" t="str">
        <f>IF(CAPTURA!BP12="","",IF(AND(ISNUMBER(CAPTURA!BP12),CAPTURA!BP12&gt;=0,CAPTURA!BP12&lt;=4),CAPTURA!BP12*25,"⚠"))</f>
        <v/>
      </c>
      <c r="AL12" t="str">
        <f>IF(CAPTURA!BQ12="","",IF(AND(ISNUMBER(CAPTURA!BQ12),CAPTURA!BQ12&gt;=0,CAPTURA!BQ12&lt;=4),CAPTURA!BQ12*25,"⚠"))</f>
        <v/>
      </c>
      <c r="AM12" t="str">
        <f>IF(CAPTURA!BR12="","",IFERROR(IF(INDEX(CODIFICACION!$E$2:$E$500,MATCH("D5.18b|"&amp;CAPTURA!BR12,CODIFICACION!$F$2:$F$500,0))="sin dato","",INDEX(CODIFICACION!$E$2:$E$500,MATCH("D5.18b|"&amp;CAPTURA!BR12,CODIFICACION!$F$2:$F$500,0))),"⚠"))</f>
        <v/>
      </c>
      <c r="AN12" t="str">
        <f>IF(CAPTURA!BS12="","",IFERROR(IF(INDEX(CODIFICACION!$E$2:$E$500,MATCH("D5.19|"&amp;CAPTURA!BS12,CODIFICACION!$F$2:$F$500,0))="sin dato","",INDEX(CODIFICACION!$E$2:$E$500,MATCH("D5.19|"&amp;CAPTURA!BS12,CODIFICACION!$F$2:$F$500,0))),"⚠"))</f>
        <v/>
      </c>
      <c r="AO12" t="str">
        <f>IF(CAPTURA!BT12="","",MIN(100,ROUND((LEN(CAPTURA!BT12)-LEN(SUBSTITUTE(CAPTURA!BT12,";",""))+1)/7*100,1)))</f>
        <v/>
      </c>
      <c r="AP12" t="str">
        <f>IF(CAPTURA!BU12="","",IFERROR(IF(INDEX(CODIFICACION!$E$2:$E$500,MATCH("D5.20|"&amp;CAPTURA!BU12,CODIFICACION!$F$2:$F$500,0))="sin dato","",INDEX(CODIFICACION!$E$2:$E$500,MATCH("D5.20|"&amp;CAPTURA!BU12,CODIFICACION!$F$2:$F$500,0))),"⚠"))</f>
        <v/>
      </c>
      <c r="AQ12" t="str">
        <f>IF(CAPTURA!BV12="","",IFERROR(IF(INDEX(CODIFICACION!$E$2:$E$500,MATCH("D5.21|"&amp;CAPTURA!BV12,CODIFICACION!$F$2:$F$500,0))="sin dato","",INDEX(CODIFICACION!$E$2:$E$500,MATCH("D5.21|"&amp;CAPTURA!BV12,CODIFICACION!$F$2:$F$500,0))),"⚠"))</f>
        <v/>
      </c>
      <c r="AR12" t="str">
        <f>IF(CAPTURA!BW12="","",IFERROR(IF(INDEX(CODIFICACION!$E$2:$E$500,MATCH("D5.21a|"&amp;CAPTURA!BW12,CODIFICACION!$F$2:$F$500,0))="sin dato","",INDEX(CODIFICACION!$E$2:$E$500,MATCH("D5.21a|"&amp;CAPTURA!BW12,CODIFICACION!$F$2:$F$500,0))),"⚠"))</f>
        <v/>
      </c>
      <c r="AS12" t="str">
        <f>IF(CAPTURA!BX12="","",IFERROR(IF(INDEX(CODIFICACION!$E$2:$E$500,MATCH("D5.21b|"&amp;CAPTURA!BX12,CODIFICACION!$F$2:$F$500,0))="sin dato","",INDEX(CODIFICACION!$E$2:$E$500,MATCH("D5.21b|"&amp;CAPTURA!BX12,CODIFICACION!$F$2:$F$500,0))),"⚠"))</f>
        <v/>
      </c>
      <c r="AT12" t="str">
        <f>IF(CAPTURA!BY12="","",IFERROR(IF(INDEX(CODIFICACION!$E$2:$E$500,MATCH("D6.22|"&amp;CAPTURA!BY12,CODIFICACION!$F$2:$F$500,0))="sin dato","",INDEX(CODIFICACION!$E$2:$E$500,MATCH("D6.22|"&amp;CAPTURA!BY12,CODIFICACION!$F$2:$F$500,0))),"⚠"))</f>
        <v/>
      </c>
      <c r="AU12" t="str">
        <f>IF(CAPTURA!BZ12="","",IFERROR(IF(INDEX(CODIFICACION!$E$2:$E$500,MATCH("D6.22a|"&amp;CAPTURA!BZ12,CODIFICACION!$F$2:$F$500,0))="sin dato","",INDEX(CODIFICACION!$E$2:$E$500,MATCH("D6.22a|"&amp;CAPTURA!BZ12,CODIFICACION!$F$2:$F$500,0))),"⚠"))</f>
        <v/>
      </c>
      <c r="AV12" t="str">
        <f>IF(CAPTURA!CA12="","",IFERROR(IF(INDEX(CODIFICACION!$E$2:$E$500,MATCH("D6.22b|"&amp;CAPTURA!CA12,CODIFICACION!$F$2:$F$500,0))="sin dato","",INDEX(CODIFICACION!$E$2:$E$500,MATCH("D6.22b|"&amp;CAPTURA!CA12,CODIFICACION!$F$2:$F$500,0))),"⚠"))</f>
        <v/>
      </c>
      <c r="AW12" t="str">
        <f>IF(CAPTURA!CB12="","",IFERROR(IF(INDEX(CODIFICACION!$E$2:$E$500,MATCH("D6.23|"&amp;CAPTURA!CB12,CODIFICACION!$F$2:$F$500,0))="sin dato","",INDEX(CODIFICACION!$E$2:$E$500,MATCH("D6.23|"&amp;CAPTURA!CB12,CODIFICACION!$F$2:$F$500,0))),"⚠"))</f>
        <v/>
      </c>
      <c r="AX12" t="str">
        <f>IF(CAPTURA!CC12="","",IFERROR(IF(INDEX(CODIFICACION!$E$2:$E$500,MATCH("D6.24|"&amp;CAPTURA!CC12,CODIFICACION!$F$2:$F$500,0))="sin dato","",INDEX(CODIFICACION!$E$2:$E$500,MATCH("D6.24|"&amp;CAPTURA!CC12,CODIFICACION!$F$2:$F$500,0))),"⚠"))</f>
        <v/>
      </c>
      <c r="AY12" t="str">
        <f>IF(CAPTURA!CD12="","",IFERROR(IF(INDEX(CODIFICACION!$E$2:$E$500,MATCH("D6.25|"&amp;CAPTURA!CD12,CODIFICACION!$F$2:$F$500,0))="sin dato","",INDEX(CODIFICACION!$E$2:$E$500,MATCH("D6.25|"&amp;CAPTURA!CD12,CODIFICACION!$F$2:$F$500,0))),"⚠"))</f>
        <v/>
      </c>
      <c r="AZ12" t="str">
        <f>IF(CAPTURA!CE12="","",IFERROR(IF(INDEX(CODIFICACION!$E$2:$E$500,MATCH("D6.25a|"&amp;CAPTURA!CE12,CODIFICACION!$F$2:$F$500,0))="sin dato","",INDEX(CODIFICACION!$E$2:$E$500,MATCH("D6.25a|"&amp;CAPTURA!CE12,CODIFICACION!$F$2:$F$500,0))),"⚠"))</f>
        <v/>
      </c>
      <c r="BA12" t="str">
        <f>IF(CAPTURA!CF12="","",IFERROR(IF(INDEX(CODIFICACION!$E$2:$E$500,MATCH("D6.25b|"&amp;CAPTURA!CF12,CODIFICACION!$F$2:$F$500,0))="sin dato","",INDEX(CODIFICACION!$E$2:$E$500,MATCH("D6.25b|"&amp;CAPTURA!CF12,CODIFICACION!$F$2:$F$500,0))),"⚠"))</f>
        <v/>
      </c>
      <c r="BB12" t="str">
        <f>IF(CAPTURA!CG12="","",IFERROR(IF(INDEX(CODIFICACION!$E$2:$E$500,MATCH("D6.22c|"&amp;CAPTURA!CG12,CODIFICACION!$F$2:$F$500,0))="sin dato","",INDEX(CODIFICACION!$E$2:$E$500,MATCH("D6.22c|"&amp;CAPTURA!CG12,CODIFICACION!$F$2:$F$500,0))),"⚠"))</f>
        <v/>
      </c>
      <c r="BC12" t="str">
        <f>IF(CAPTURA!CH12="","",IFERROR(IF(INDEX(CODIFICACION!$E$2:$E$500,MATCH("D7.26|"&amp;CAPTURA!CH12,CODIFICACION!$F$2:$F$500,0))="sin dato","",INDEX(CODIFICACION!$E$2:$E$500,MATCH("D7.26|"&amp;CAPTURA!CH12,CODIFICACION!$F$2:$F$500,0))),"⚠"))</f>
        <v/>
      </c>
      <c r="BD12" t="str">
        <f>IF(CAPTURA!CI12="","",IFERROR(IF(INDEX(CODIFICACION!$E$2:$E$500,MATCH("D7.27|"&amp;CAPTURA!CI12,CODIFICACION!$F$2:$F$500,0))="sin dato","",INDEX(CODIFICACION!$E$2:$E$500,MATCH("D7.27|"&amp;CAPTURA!CI12,CODIFICACION!$F$2:$F$500,0))),"⚠"))</f>
        <v/>
      </c>
      <c r="BE12" t="str">
        <f>IF(CAPTURA!CJ12="","",IFERROR(IF(INDEX(CODIFICACION!$E$2:$E$500,MATCH("D7.28|"&amp;CAPTURA!CJ12,CODIFICACION!$F$2:$F$500,0))="sin dato","",INDEX(CODIFICACION!$E$2:$E$500,MATCH("D7.28|"&amp;CAPTURA!CJ12,CODIFICACION!$F$2:$F$500,0))),"⚠"))</f>
        <v/>
      </c>
      <c r="BF12" t="str">
        <f>IF(CAPTURA!CK12="","",IFERROR(IF(INDEX(CODIFICACION!$E$2:$E$500,MATCH("D7.28b|"&amp;CAPTURA!CK12,CODIFICACION!$F$2:$F$500,0))="sin dato","",INDEX(CODIFICACION!$E$2:$E$500,MATCH("D7.28b|"&amp;CAPTURA!CK12,CODIFICACION!$F$2:$F$500,0))),"⚠"))</f>
        <v/>
      </c>
      <c r="BG12" t="str">
        <f>IF(CAPTURA!CL12="","",MIN(100,ROUND((LEN(CAPTURA!CL12)-LEN(SUBSTITUTE(CAPTURA!CL12,";",""))+1)/8*100,1)))</f>
        <v/>
      </c>
      <c r="BH12" t="str">
        <f>IF(CAPTURA!CM12="","",IFERROR(IF(INDEX(CODIFICACION!$E$2:$E$500,MATCH("D7.26a|"&amp;CAPTURA!CM12,CODIFICACION!$F$2:$F$500,0))="sin dato","",INDEX(CODIFICACION!$E$2:$E$500,MATCH("D7.26a|"&amp;CAPTURA!CM12,CODIFICACION!$F$2:$F$500,0))),"⚠"))</f>
        <v/>
      </c>
      <c r="BI12" t="str">
        <f>IF(CAPTURA!CN12="","",IFERROR(IF(INDEX(CODIFICACION!$E$2:$E$500,MATCH("D7.26b|"&amp;CAPTURA!CN12,CODIFICACION!$F$2:$F$500,0))="sin dato","",INDEX(CODIFICACION!$E$2:$E$500,MATCH("D7.26b|"&amp;CAPTURA!CN12,CODIFICACION!$F$2:$F$500,0))),"⚠"))</f>
        <v/>
      </c>
      <c r="BJ12" t="str">
        <f>IF(CAPTURA!CO12="","",IF(AND(ISNUMBER(CAPTURA!CO12),CAPTURA!CO12&gt;=0,CAPTURA!CO12&lt;=4),CAPTURA!CO12*25,"⚠"))</f>
        <v/>
      </c>
      <c r="BK12" t="str">
        <f>IF(CAPTURA!CP12="","",IF(ISNUMBER(CAPTURA!CP12),MAX(0,MIN(100,CAPTURA!CP12)),"⚠"))</f>
        <v/>
      </c>
      <c r="BL12" t="str">
        <f>IF(CAPTURA!CQ12="","",IFERROR(IF(INDEX(CODIFICACION!$E$2:$E$500,MATCH("D8.31|"&amp;CAPTURA!CQ12,CODIFICACION!$F$2:$F$500,0))="sin dato","",INDEX(CODIFICACION!$E$2:$E$500,MATCH("D8.31|"&amp;CAPTURA!CQ12,CODIFICACION!$F$2:$F$500,0))),"⚠"))</f>
        <v/>
      </c>
      <c r="BM12" t="str">
        <f>IF(CAPTURA!CR12="","",IFERROR(IF(INDEX(CODIFICACION!$E$2:$E$500,MATCH("D8.32|"&amp;CAPTURA!CR12,CODIFICACION!$F$2:$F$500,0))="sin dato","",INDEX(CODIFICACION!$E$2:$E$500,MATCH("D8.32|"&amp;CAPTURA!CR12,CODIFICACION!$F$2:$F$500,0))),"⚠"))</f>
        <v/>
      </c>
      <c r="BN12" t="str">
        <f>IF(CAPTURA!CS12="","",IFERROR(IF(INDEX(CODIFICACION!$E$2:$E$500,MATCH("D9.33|"&amp;CAPTURA!CS12,CODIFICACION!$F$2:$F$500,0))="sin dato","",INDEX(CODIFICACION!$E$2:$E$500,MATCH("D9.33|"&amp;CAPTURA!CS12,CODIFICACION!$F$2:$F$500,0))),"⚠"))</f>
        <v/>
      </c>
      <c r="BO12" t="str">
        <f>IF(CAPTURA!CT12="","",IFERROR(IF(INDEX(CODIFICACION!$E$2:$E$500,MATCH("D9.34|"&amp;CAPTURA!CT12,CODIFICACION!$F$2:$F$500,0))="sin dato","",INDEX(CODIFICACION!$E$2:$E$500,MATCH("D9.34|"&amp;CAPTURA!CT12,CODIFICACION!$F$2:$F$500,0))),"⚠"))</f>
        <v/>
      </c>
      <c r="BP12" t="str">
        <f>IF(CAPTURA!CU12="","",IFERROR(IF(INDEX(CODIFICACION!$E$2:$E$500,MATCH("D9.35|"&amp;CAPTURA!CU12,CODIFICACION!$F$2:$F$500,0))="sin dato","",INDEX(CODIFICACION!$E$2:$E$500,MATCH("D9.35|"&amp;CAPTURA!CU12,CODIFICACION!$F$2:$F$500,0))),"⚠"))</f>
        <v/>
      </c>
      <c r="BQ12" t="str">
        <f>IF(CAPTURA!CV12="","",IFERROR(IF(INDEX(CODIFICACION!$E$2:$E$500,MATCH("D10.36|"&amp;CAPTURA!CV12,CODIFICACION!$F$2:$F$500,0))="sin dato","",INDEX(CODIFICACION!$E$2:$E$500,MATCH("D10.36|"&amp;CAPTURA!CV12,CODIFICACION!$F$2:$F$500,0))),"⚠"))</f>
        <v/>
      </c>
      <c r="BR12" t="str">
        <f>IF(CAPTURA!CW12="","",IFERROR(IF(INDEX(CODIFICACION!$E$2:$E$500,MATCH("D10.37|"&amp;CAPTURA!CW12,CODIFICACION!$F$2:$F$500,0))="sin dato","",INDEX(CODIFICACION!$E$2:$E$500,MATCH("D10.37|"&amp;CAPTURA!CW12,CODIFICACION!$F$2:$F$500,0))),"⚠"))</f>
        <v/>
      </c>
      <c r="BS12" t="str">
        <f>IF(CAPTURA!CX12="","",IFERROR(IF(INDEX(CODIFICACION!$E$2:$E$500,MATCH("D10.36a|"&amp;CAPTURA!CX12,CODIFICACION!$F$2:$F$500,0))="sin dato","",INDEX(CODIFICACION!$E$2:$E$500,MATCH("D10.36a|"&amp;CAPTURA!CX12,CODIFICACION!$F$2:$F$500,0))),"⚠"))</f>
        <v/>
      </c>
      <c r="BT12" t="str">
        <f>IF(CAPTURA!CY12="","",IF(ISNUMBER(SEARCH("Ninguno",CAPTURA!CY12)),0,MIN(100,ROUND((LEN(CAPTURA!CY12)-LEN(SUBSTITUTE(CAPTURA!CY12,";",""))+1)/6*100,1))))</f>
        <v/>
      </c>
      <c r="BU12" t="str">
        <f>IF(CAPTURA!DA12="","",IFERROR(IF(INDEX(CODIFICACION!$E$2:$E$500,MATCH("D11.39a|"&amp;CAPTURA!DA12,CODIFICACION!$F$2:$F$500,0))="sin dato","",INDEX(CODIFICACION!$E$2:$E$500,MATCH("D11.39a|"&amp;CAPTURA!DA12,CODIFICACION!$F$2:$F$500,0))),"⚠"))</f>
        <v/>
      </c>
      <c r="BV12" t="str">
        <f>IF(CAPTURA!DB12="","",IFERROR(IF(INDEX(CODIFICACION!$E$2:$E$500,MATCH("D12.42|"&amp;CAPTURA!DB12,CODIFICACION!$F$2:$F$500,0))="sin dato","",INDEX(CODIFICACION!$E$2:$E$500,MATCH("D12.42|"&amp;CAPTURA!DB12,CODIFICACION!$F$2:$F$500,0))),"⚠"))</f>
        <v/>
      </c>
      <c r="BW12" t="str">
        <f>IF(CAPTURA!DC12="","",IFERROR(IF(INDEX(CODIFICACION!$E$2:$E$500,MATCH("D13.45|"&amp;CAPTURA!DC12,CODIFICACION!$F$2:$F$500,0))="sin dato","",INDEX(CODIFICACION!$E$2:$E$500,MATCH("D13.45|"&amp;CAPTURA!DC12,CODIFICACION!$F$2:$F$500,0))),"⚠"))</f>
        <v/>
      </c>
      <c r="BX12" t="str">
        <f>IF(CAPTURA!DD12="","",IFERROR(IF(INDEX(CODIFICACION!$E$2:$E$500,MATCH("D14.51|"&amp;CAPTURA!DD12,CODIFICACION!$F$2:$F$500,0))="sin dato","",INDEX(CODIFICACION!$E$2:$E$500,MATCH("D14.51|"&amp;CAPTURA!DD12,CODIFICACION!$F$2:$F$500,0))),"⚠"))</f>
        <v/>
      </c>
      <c r="BY12" t="str">
        <f>IF(CAPTURA!DE12="","",IFERROR(IF(INDEX(CODIFICACION!$E$2:$E$500,MATCH("D15.58|"&amp;CAPTURA!DE12,CODIFICACION!$F$2:$F$500,0))="sin dato","",INDEX(CODIFICACION!$E$2:$E$500,MATCH("D15.58|"&amp;CAPTURA!DE12,CODIFICACION!$F$2:$F$500,0))),"⚠"))</f>
        <v/>
      </c>
      <c r="BZ12" t="str">
        <f>IF(CAPTURA!DF12="","",IFERROR(IF(INDEX(CODIFICACION!$E$2:$E$500,MATCH("PP1|"&amp;CAPTURA!DF12,CODIFICACION!$F$2:$F$500,0))="sin dato","",INDEX(CODIFICACION!$E$2:$E$500,MATCH("PP1|"&amp;CAPTURA!DF12,CODIFICACION!$F$2:$F$500,0))),"⚠"))</f>
        <v/>
      </c>
      <c r="CA12" t="str">
        <f>IF(CAPTURA!DG12="","",IFERROR(IF(INDEX(CODIFICACION!$E$2:$E$500,MATCH("PP2|"&amp;CAPTURA!DG12,CODIFICACION!$F$2:$F$500,0))="sin dato","",INDEX(CODIFICACION!$E$2:$E$500,MATCH("PP2|"&amp;CAPTURA!DG12,CODIFICACION!$F$2:$F$500,0))),"⚠"))</f>
        <v/>
      </c>
      <c r="CB12" t="str">
        <f t="shared" si="0"/>
        <v/>
      </c>
      <c r="CC12" t="str">
        <f t="shared" si="1"/>
        <v/>
      </c>
      <c r="CD12" t="str">
        <f t="shared" si="2"/>
        <v/>
      </c>
      <c r="CE12" t="str">
        <f t="shared" si="3"/>
        <v/>
      </c>
      <c r="CF12" t="str">
        <f t="shared" si="4"/>
        <v/>
      </c>
      <c r="CG12" t="str">
        <f t="shared" si="5"/>
        <v/>
      </c>
      <c r="CH12" t="str">
        <f t="shared" si="6"/>
        <v/>
      </c>
      <c r="CI12" t="str">
        <f t="shared" si="7"/>
        <v/>
      </c>
      <c r="CJ12" t="str">
        <f t="shared" si="8"/>
        <v/>
      </c>
      <c r="CK12" t="str">
        <f t="shared" si="9"/>
        <v/>
      </c>
      <c r="CL12" t="str">
        <f t="shared" si="10"/>
        <v/>
      </c>
    </row>
    <row r="13" spans="1:90" x14ac:dyDescent="0.3">
      <c r="A13">
        <f>CAPTURA!A13</f>
        <v>20140292657</v>
      </c>
      <c r="B13">
        <f>CAPTURA!C13</f>
        <v>0</v>
      </c>
      <c r="C13" t="str">
        <f>IF(CAPTURA!M13="","",ROUND((ISNUMBER(SEARCH("Alemania",CAPTURA!M13))+ISNUMBER(SEARCH("Bélgica",CAPTURA!M13))+ISNUMBER(SEARCH("Países Bajos",CAPTURA!M13))+ISNUMBER(SEARCH("Francia",CAPTURA!M13))+ISNUMBER(SEARCH("Italia",CAPTURA!M13))+ISNUMBER(SEARCH("España",CAPTURA!M13))+ISNUMBER(SEARCH("Suecia",CAPTURA!M13))+ISNUMBER(SEARCH("Dinamarca",CAPTURA!M13)))/((LEN(CAPTURA!M13)-LEN(SUBSTITUTE(CAPTURA!M13,";","")))+1)*100,1))</f>
        <v/>
      </c>
      <c r="D13" t="str">
        <f>IF(CAPTURA!AE13="","",IFERROR(IF(INDEX(CODIFICACION!$E$2:$E$500,MATCH("P8|"&amp;CAPTURA!AE13,CODIFICACION!$F$2:$F$500,0))="sin dato","",INDEX(CODIFICACION!$E$2:$E$500,MATCH("P8|"&amp;CAPTURA!AE13,CODIFICACION!$F$2:$F$500,0))),"⚠"))</f>
        <v/>
      </c>
      <c r="E13" t="str">
        <f>IF(CAPTURA!AG13="","",IFERROR(IF(INDEX(CODIFICACION!$E$2:$E$500,MATCH("P10|"&amp;CAPTURA!AG13,CODIFICACION!$F$2:$F$500,0))="sin dato","",INDEX(CODIFICACION!$E$2:$E$500,MATCH("P10|"&amp;CAPTURA!AG13,CODIFICACION!$F$2:$F$500,0))),"⚠"))</f>
        <v/>
      </c>
      <c r="F13" t="str">
        <f>IF(CAPTURA!AJ13="","",IFERROR(IF(INDEX(CODIFICACION!$E$2:$E$500,MATCH("P13|"&amp;CAPTURA!AJ13,CODIFICACION!$F$2:$F$500,0))="sin dato","",INDEX(CODIFICACION!$E$2:$E$500,MATCH("P13|"&amp;CAPTURA!AJ13,CODIFICACION!$F$2:$F$500,0))),"⚠"))</f>
        <v/>
      </c>
      <c r="G13" t="str">
        <f>IF(CAPTURA!AK13="","",IFERROR(IF(INDEX(CODIFICACION!$E$2:$E$500,MATCH("P14|"&amp;CAPTURA!AK13,CODIFICACION!$F$2:$F$500,0))="sin dato","",INDEX(CODIFICACION!$E$2:$E$500,MATCH("P14|"&amp;CAPTURA!AK13,CODIFICACION!$F$2:$F$500,0))),"⚠"))</f>
        <v/>
      </c>
      <c r="H13" t="str">
        <f>IF(CAPTURA!AL13="","",IFERROR(IF(INDEX(CODIFICACION!$E$2:$E$500,MATCH("D1.1|"&amp;CAPTURA!AL13,CODIFICACION!$F$2:$F$500,0))="sin dato","",INDEX(CODIFICACION!$E$2:$E$500,MATCH("D1.1|"&amp;CAPTURA!AL13,CODIFICACION!$F$2:$F$500,0))),"⚠"))</f>
        <v/>
      </c>
      <c r="I13" t="str">
        <f>IF(CAPTURA!AN13="","",IFERROR(IF(INDEX(CODIFICACION!$E$2:$E$500,MATCH("D1.3|"&amp;CAPTURA!AN13,CODIFICACION!$F$2:$F$500,0))="sin dato","",INDEX(CODIFICACION!$E$2:$E$500,MATCH("D1.3|"&amp;CAPTURA!AN13,CODIFICACION!$F$2:$F$500,0))),"⚠"))</f>
        <v/>
      </c>
      <c r="J13" t="str">
        <f>IF(CAPTURA!AO13="","",IFERROR(IF(INDEX(CODIFICACION!$E$2:$E$500,MATCH("D1.4|"&amp;CAPTURA!AO13,CODIFICACION!$F$2:$F$500,0))="sin dato","",INDEX(CODIFICACION!$E$2:$E$500,MATCH("D1.4|"&amp;CAPTURA!AO13,CODIFICACION!$F$2:$F$500,0))),"⚠"))</f>
        <v/>
      </c>
      <c r="K13" t="str">
        <f>IF(CAPTURA!AP13="","",IFERROR(IF(INDEX(CODIFICACION!$E$2:$E$500,MATCH("D1.3a|"&amp;CAPTURA!AP13,CODIFICACION!$F$2:$F$500,0))="sin dato","",INDEX(CODIFICACION!$E$2:$E$500,MATCH("D1.3a|"&amp;CAPTURA!AP13,CODIFICACION!$F$2:$F$500,0))),"⚠"))</f>
        <v/>
      </c>
      <c r="L13" t="str">
        <f>IF(CAPTURA!AQ13="","",IF(AND(ISNUMBER(CAPTURA!AQ13),CAPTURA!AQ13&gt;=0,CAPTURA!AQ13&lt;=4),CAPTURA!AQ13*25,"⚠"))</f>
        <v/>
      </c>
      <c r="M13" t="str">
        <f>IF(CAPTURA!AR13="","",IF(ISNUMBER(CAPTURA!AR13),MAX(0,MIN(100,CAPTURA!AR13)),"⚠"))</f>
        <v/>
      </c>
      <c r="N13" t="str">
        <f>IF(CAPTURA!AS13="","",IF(AND(ISNUMBER(CAPTURA!AS13),CAPTURA!AS13&gt;=0,CAPTURA!AS13&lt;=4),CAPTURA!AS13*25,"⚠"))</f>
        <v/>
      </c>
      <c r="O13" t="str">
        <f>IF(CAPTURA!AT13="","",IFERROR(IF(INDEX(CODIFICACION!$E$2:$E$500,MATCH("D2.8|"&amp;CAPTURA!AT13,CODIFICACION!$F$2:$F$500,0))="sin dato","",INDEX(CODIFICACION!$E$2:$E$500,MATCH("D2.8|"&amp;CAPTURA!AT13,CODIFICACION!$F$2:$F$500,0))),"⚠"))</f>
        <v/>
      </c>
      <c r="P13" t="str">
        <f>IF(CAPTURA!AU13="","",IFERROR(IF(INDEX(CODIFICACION!$E$2:$E$500,MATCH("D2.9|"&amp;CAPTURA!AU13,CODIFICACION!$F$2:$F$500,0))="sin dato","",INDEX(CODIFICACION!$E$2:$E$500,MATCH("D2.9|"&amp;CAPTURA!AU13,CODIFICACION!$F$2:$F$500,0))),"⚠"))</f>
        <v/>
      </c>
      <c r="Q13" t="str">
        <f>IF(CAPTURA!AV13="","",IFERROR(IF(INDEX(CODIFICACION!$E$2:$E$500,MATCH("D2.10|"&amp;CAPTURA!AV13,CODIFICACION!$F$2:$F$500,0))="sin dato","",INDEX(CODIFICACION!$E$2:$E$500,MATCH("D2.10|"&amp;CAPTURA!AV13,CODIFICACION!$F$2:$F$500,0))),"⚠"))</f>
        <v/>
      </c>
      <c r="R13" t="str">
        <f>IF(CAPTURA!AW13="","",IFERROR(IF(INDEX(CODIFICACION!$E$2:$E$500,MATCH("D2.5a|"&amp;CAPTURA!AW13,CODIFICACION!$F$2:$F$500,0))="sin dato","",INDEX(CODIFICACION!$E$2:$E$500,MATCH("D2.5a|"&amp;CAPTURA!AW13,CODIFICACION!$F$2:$F$500,0))),"⚠"))</f>
        <v/>
      </c>
      <c r="S13" t="str">
        <f>IF(CAPTURA!AX13="","",IFERROR(IF(INDEX(CODIFICACION!$E$2:$E$500,MATCH("D2.5b|"&amp;CAPTURA!AX13,CODIFICACION!$F$2:$F$500,0))="sin dato","",INDEX(CODIFICACION!$E$2:$E$500,MATCH("D2.5b|"&amp;CAPTURA!AX13,CODIFICACION!$F$2:$F$500,0))),"⚠"))</f>
        <v/>
      </c>
      <c r="T13" t="str">
        <f>IF(CAPTURA!AY13="","",IF(ISNUMBER(CAPTURA!AY13),MAX(0,MIN(100,CAPTURA!AY13)),"⚠"))</f>
        <v/>
      </c>
      <c r="U13" t="str">
        <f>IF(CAPTURA!AZ13="","",IFERROR(IF(INDEX(CODIFICACION!$E$2:$E$500,MATCH("D3.12|"&amp;CAPTURA!AZ13,CODIFICACION!$F$2:$F$500,0))="sin dato","",INDEX(CODIFICACION!$E$2:$E$500,MATCH("D3.12|"&amp;CAPTURA!AZ13,CODIFICACION!$F$2:$F$500,0))),"⚠"))</f>
        <v/>
      </c>
      <c r="V13" t="str">
        <f>IF(CAPTURA!BA13="","",IF(AND(ISNUMBER(CAPTURA!BA13),CAPTURA!BA13&gt;=0,CAPTURA!BA13&lt;=4),CAPTURA!BA13*25,"⚠"))</f>
        <v/>
      </c>
      <c r="W13" t="str">
        <f>IF(CAPTURA!BB13="","",IFERROR(IF(INDEX(CODIFICACION!$E$2:$E$500,MATCH("D3.14|"&amp;CAPTURA!BB13,CODIFICACION!$F$2:$F$500,0))="sin dato","",INDEX(CODIFICACION!$E$2:$E$500,MATCH("D3.14|"&amp;CAPTURA!BB13,CODIFICACION!$F$2:$F$500,0))),"⚠"))</f>
        <v/>
      </c>
      <c r="X13" t="str">
        <f>IF(CAPTURA!BC13="","",IFERROR(IF(INDEX(CODIFICACION!$E$2:$E$500,MATCH("D3.14a|"&amp;CAPTURA!BC13,CODIFICACION!$F$2:$F$500,0))="sin dato","",INDEX(CODIFICACION!$E$2:$E$500,MATCH("D3.14a|"&amp;CAPTURA!BC13,CODIFICACION!$F$2:$F$500,0))),"⚠"))</f>
        <v/>
      </c>
      <c r="Y13" t="str">
        <f>IF(CAPTURA!BD13="","",IFERROR(IF(INDEX(CODIFICACION!$E$2:$E$500,MATCH("D3.14b|"&amp;CAPTURA!BD13,CODIFICACION!$F$2:$F$500,0))="sin dato","",INDEX(CODIFICACION!$E$2:$E$500,MATCH("D3.14b|"&amp;CAPTURA!BD13,CODIFICACION!$F$2:$F$500,0))),"⚠"))</f>
        <v/>
      </c>
      <c r="Z13" t="str">
        <f>IF(CAPTURA!BE13="","",IFERROR(IF(INDEX(CODIFICACION!$E$2:$E$500,MATCH("D3.14c|"&amp;CAPTURA!BE13,CODIFICACION!$F$2:$F$500,0))="sin dato","",INDEX(CODIFICACION!$E$2:$E$500,MATCH("D3.14c|"&amp;CAPTURA!BE13,CODIFICACION!$F$2:$F$500,0))),"⚠"))</f>
        <v/>
      </c>
      <c r="AA13" t="str">
        <f>IF(CAPTURA!BF13="","",IFERROR(IF(INDEX(CODIFICACION!$E$2:$E$500,MATCH("D3.14d|"&amp;CAPTURA!BF13,CODIFICACION!$F$2:$F$500,0))="sin dato","",INDEX(CODIFICACION!$E$2:$E$500,MATCH("D3.14d|"&amp;CAPTURA!BF13,CODIFICACION!$F$2:$F$500,0))),"⚠"))</f>
        <v/>
      </c>
      <c r="AB13" t="str">
        <f>IF(CAPTURA!BG13="","",IFERROR(IF(INDEX(CODIFICACION!$E$2:$E$500,MATCH("D3.14e|"&amp;CAPTURA!BG13,CODIFICACION!$F$2:$F$500,0))="sin dato","",INDEX(CODIFICACION!$E$2:$E$500,MATCH("D3.14e|"&amp;CAPTURA!BG13,CODIFICACION!$F$2:$F$500,0))),"⚠"))</f>
        <v/>
      </c>
      <c r="AC13" t="str">
        <f>IF(CAPTURA!BH13="","",IFERROR(IF(INDEX(CODIFICACION!$E$2:$E$500,MATCH("D3.14f|"&amp;CAPTURA!BH13,CODIFICACION!$F$2:$F$500,0))="sin dato","",INDEX(CODIFICACION!$E$2:$E$500,MATCH("D3.14f|"&amp;CAPTURA!BH13,CODIFICACION!$F$2:$F$500,0))),"⚠"))</f>
        <v/>
      </c>
      <c r="AD13" t="str">
        <f>IF(CAPTURA!BI13="","",IFERROR(IF(INDEX(CODIFICACION!$E$2:$E$500,MATCH("D3.14g|"&amp;CAPTURA!BI13,CODIFICACION!$F$2:$F$500,0))="sin dato","",INDEX(CODIFICACION!$E$2:$E$500,MATCH("D3.14g|"&amp;CAPTURA!BI13,CODIFICACION!$F$2:$F$500,0))),"⚠"))</f>
        <v/>
      </c>
      <c r="AE13" t="str">
        <f>IF(CAPTURA!BJ13="","",IFERROR(IF(INDEX(CODIFICACION!$E$2:$E$500,MATCH("D3.14h|"&amp;CAPTURA!BJ13,CODIFICACION!$F$2:$F$500,0))="sin dato","",INDEX(CODIFICACION!$E$2:$E$500,MATCH("D3.14h|"&amp;CAPTURA!BJ13,CODIFICACION!$F$2:$F$500,0))),"⚠"))</f>
        <v/>
      </c>
      <c r="AF13" t="str">
        <f>IF(CAPTURA!BK13="","",IFERROR(IF(INDEX(CODIFICACION!$E$2:$E$500,MATCH("D3.14i|"&amp;CAPTURA!BK13,CODIFICACION!$F$2:$F$500,0))="sin dato","",INDEX(CODIFICACION!$E$2:$E$500,MATCH("D3.14i|"&amp;CAPTURA!BK13,CODIFICACION!$F$2:$F$500,0))),"⚠"))</f>
        <v/>
      </c>
      <c r="AG13" t="str">
        <f>IF(CAPTURA!BL13="","",IFERROR(IF(INDEX(CODIFICACION!$E$2:$E$500,MATCH("D4.15|"&amp;CAPTURA!BL13,CODIFICACION!$F$2:$F$500,0))="sin dato","",INDEX(CODIFICACION!$E$2:$E$500,MATCH("D4.15|"&amp;CAPTURA!BL13,CODIFICACION!$F$2:$F$500,0))),"⚠"))</f>
        <v/>
      </c>
      <c r="AH13" t="str">
        <f>IF(CAPTURA!BM13="","",IF(AND(ISNUMBER(CAPTURA!BM13),CAPTURA!BM13&gt;=0,CAPTURA!BM13&lt;=4),CAPTURA!BM13*25,"⚠"))</f>
        <v/>
      </c>
      <c r="AI13" t="str">
        <f>IF(CAPTURA!BN13="","",IFERROR(IF(INDEX(CODIFICACION!$E$2:$E$500,MATCH("D4.17|"&amp;CAPTURA!BN13,CODIFICACION!$F$2:$F$500,0))="sin dato","",INDEX(CODIFICACION!$E$2:$E$500,MATCH("D4.17|"&amp;CAPTURA!BN13,CODIFICACION!$F$2:$F$500,0))),"⚠"))</f>
        <v/>
      </c>
      <c r="AJ13" t="str">
        <f>IF(CAPTURA!BO13="","",IFERROR(IF(INDEX(CODIFICACION!$E$2:$E$500,MATCH("D4.15a|"&amp;CAPTURA!BO13,CODIFICACION!$F$2:$F$500,0))="sin dato","",INDEX(CODIFICACION!$E$2:$E$500,MATCH("D4.15a|"&amp;CAPTURA!BO13,CODIFICACION!$F$2:$F$500,0))),"⚠"))</f>
        <v/>
      </c>
      <c r="AK13" t="str">
        <f>IF(CAPTURA!BP13="","",IF(AND(ISNUMBER(CAPTURA!BP13),CAPTURA!BP13&gt;=0,CAPTURA!BP13&lt;=4),CAPTURA!BP13*25,"⚠"))</f>
        <v/>
      </c>
      <c r="AL13" t="str">
        <f>IF(CAPTURA!BQ13="","",IF(AND(ISNUMBER(CAPTURA!BQ13),CAPTURA!BQ13&gt;=0,CAPTURA!BQ13&lt;=4),CAPTURA!BQ13*25,"⚠"))</f>
        <v/>
      </c>
      <c r="AM13" t="str">
        <f>IF(CAPTURA!BR13="","",IFERROR(IF(INDEX(CODIFICACION!$E$2:$E$500,MATCH("D5.18b|"&amp;CAPTURA!BR13,CODIFICACION!$F$2:$F$500,0))="sin dato","",INDEX(CODIFICACION!$E$2:$E$500,MATCH("D5.18b|"&amp;CAPTURA!BR13,CODIFICACION!$F$2:$F$500,0))),"⚠"))</f>
        <v/>
      </c>
      <c r="AN13" t="str">
        <f>IF(CAPTURA!BS13="","",IFERROR(IF(INDEX(CODIFICACION!$E$2:$E$500,MATCH("D5.19|"&amp;CAPTURA!BS13,CODIFICACION!$F$2:$F$500,0))="sin dato","",INDEX(CODIFICACION!$E$2:$E$500,MATCH("D5.19|"&amp;CAPTURA!BS13,CODIFICACION!$F$2:$F$500,0))),"⚠"))</f>
        <v/>
      </c>
      <c r="AO13" t="str">
        <f>IF(CAPTURA!BT13="","",MIN(100,ROUND((LEN(CAPTURA!BT13)-LEN(SUBSTITUTE(CAPTURA!BT13,";",""))+1)/7*100,1)))</f>
        <v/>
      </c>
      <c r="AP13" t="str">
        <f>IF(CAPTURA!BU13="","",IFERROR(IF(INDEX(CODIFICACION!$E$2:$E$500,MATCH("D5.20|"&amp;CAPTURA!BU13,CODIFICACION!$F$2:$F$500,0))="sin dato","",INDEX(CODIFICACION!$E$2:$E$500,MATCH("D5.20|"&amp;CAPTURA!BU13,CODIFICACION!$F$2:$F$500,0))),"⚠"))</f>
        <v/>
      </c>
      <c r="AQ13" t="str">
        <f>IF(CAPTURA!BV13="","",IFERROR(IF(INDEX(CODIFICACION!$E$2:$E$500,MATCH("D5.21|"&amp;CAPTURA!BV13,CODIFICACION!$F$2:$F$500,0))="sin dato","",INDEX(CODIFICACION!$E$2:$E$500,MATCH("D5.21|"&amp;CAPTURA!BV13,CODIFICACION!$F$2:$F$500,0))),"⚠"))</f>
        <v/>
      </c>
      <c r="AR13" t="str">
        <f>IF(CAPTURA!BW13="","",IFERROR(IF(INDEX(CODIFICACION!$E$2:$E$500,MATCH("D5.21a|"&amp;CAPTURA!BW13,CODIFICACION!$F$2:$F$500,0))="sin dato","",INDEX(CODIFICACION!$E$2:$E$500,MATCH("D5.21a|"&amp;CAPTURA!BW13,CODIFICACION!$F$2:$F$500,0))),"⚠"))</f>
        <v/>
      </c>
      <c r="AS13" t="str">
        <f>IF(CAPTURA!BX13="","",IFERROR(IF(INDEX(CODIFICACION!$E$2:$E$500,MATCH("D5.21b|"&amp;CAPTURA!BX13,CODIFICACION!$F$2:$F$500,0))="sin dato","",INDEX(CODIFICACION!$E$2:$E$500,MATCH("D5.21b|"&amp;CAPTURA!BX13,CODIFICACION!$F$2:$F$500,0))),"⚠"))</f>
        <v/>
      </c>
      <c r="AT13" t="str">
        <f>IF(CAPTURA!BY13="","",IFERROR(IF(INDEX(CODIFICACION!$E$2:$E$500,MATCH("D6.22|"&amp;CAPTURA!BY13,CODIFICACION!$F$2:$F$500,0))="sin dato","",INDEX(CODIFICACION!$E$2:$E$500,MATCH("D6.22|"&amp;CAPTURA!BY13,CODIFICACION!$F$2:$F$500,0))),"⚠"))</f>
        <v/>
      </c>
      <c r="AU13" t="str">
        <f>IF(CAPTURA!BZ13="","",IFERROR(IF(INDEX(CODIFICACION!$E$2:$E$500,MATCH("D6.22a|"&amp;CAPTURA!BZ13,CODIFICACION!$F$2:$F$500,0))="sin dato","",INDEX(CODIFICACION!$E$2:$E$500,MATCH("D6.22a|"&amp;CAPTURA!BZ13,CODIFICACION!$F$2:$F$500,0))),"⚠"))</f>
        <v/>
      </c>
      <c r="AV13" t="str">
        <f>IF(CAPTURA!CA13="","",IFERROR(IF(INDEX(CODIFICACION!$E$2:$E$500,MATCH("D6.22b|"&amp;CAPTURA!CA13,CODIFICACION!$F$2:$F$500,0))="sin dato","",INDEX(CODIFICACION!$E$2:$E$500,MATCH("D6.22b|"&amp;CAPTURA!CA13,CODIFICACION!$F$2:$F$500,0))),"⚠"))</f>
        <v/>
      </c>
      <c r="AW13" t="str">
        <f>IF(CAPTURA!CB13="","",IFERROR(IF(INDEX(CODIFICACION!$E$2:$E$500,MATCH("D6.23|"&amp;CAPTURA!CB13,CODIFICACION!$F$2:$F$500,0))="sin dato","",INDEX(CODIFICACION!$E$2:$E$500,MATCH("D6.23|"&amp;CAPTURA!CB13,CODIFICACION!$F$2:$F$500,0))),"⚠"))</f>
        <v/>
      </c>
      <c r="AX13" t="str">
        <f>IF(CAPTURA!CC13="","",IFERROR(IF(INDEX(CODIFICACION!$E$2:$E$500,MATCH("D6.24|"&amp;CAPTURA!CC13,CODIFICACION!$F$2:$F$500,0))="sin dato","",INDEX(CODIFICACION!$E$2:$E$500,MATCH("D6.24|"&amp;CAPTURA!CC13,CODIFICACION!$F$2:$F$500,0))),"⚠"))</f>
        <v/>
      </c>
      <c r="AY13" t="str">
        <f>IF(CAPTURA!CD13="","",IFERROR(IF(INDEX(CODIFICACION!$E$2:$E$500,MATCH("D6.25|"&amp;CAPTURA!CD13,CODIFICACION!$F$2:$F$500,0))="sin dato","",INDEX(CODIFICACION!$E$2:$E$500,MATCH("D6.25|"&amp;CAPTURA!CD13,CODIFICACION!$F$2:$F$500,0))),"⚠"))</f>
        <v/>
      </c>
      <c r="AZ13" t="str">
        <f>IF(CAPTURA!CE13="","",IFERROR(IF(INDEX(CODIFICACION!$E$2:$E$500,MATCH("D6.25a|"&amp;CAPTURA!CE13,CODIFICACION!$F$2:$F$500,0))="sin dato","",INDEX(CODIFICACION!$E$2:$E$500,MATCH("D6.25a|"&amp;CAPTURA!CE13,CODIFICACION!$F$2:$F$500,0))),"⚠"))</f>
        <v/>
      </c>
      <c r="BA13" t="str">
        <f>IF(CAPTURA!CF13="","",IFERROR(IF(INDEX(CODIFICACION!$E$2:$E$500,MATCH("D6.25b|"&amp;CAPTURA!CF13,CODIFICACION!$F$2:$F$500,0))="sin dato","",INDEX(CODIFICACION!$E$2:$E$500,MATCH("D6.25b|"&amp;CAPTURA!CF13,CODIFICACION!$F$2:$F$500,0))),"⚠"))</f>
        <v/>
      </c>
      <c r="BB13" t="str">
        <f>IF(CAPTURA!CG13="","",IFERROR(IF(INDEX(CODIFICACION!$E$2:$E$500,MATCH("D6.22c|"&amp;CAPTURA!CG13,CODIFICACION!$F$2:$F$500,0))="sin dato","",INDEX(CODIFICACION!$E$2:$E$500,MATCH("D6.22c|"&amp;CAPTURA!CG13,CODIFICACION!$F$2:$F$500,0))),"⚠"))</f>
        <v/>
      </c>
      <c r="BC13" t="str">
        <f>IF(CAPTURA!CH13="","",IFERROR(IF(INDEX(CODIFICACION!$E$2:$E$500,MATCH("D7.26|"&amp;CAPTURA!CH13,CODIFICACION!$F$2:$F$500,0))="sin dato","",INDEX(CODIFICACION!$E$2:$E$500,MATCH("D7.26|"&amp;CAPTURA!CH13,CODIFICACION!$F$2:$F$500,0))),"⚠"))</f>
        <v/>
      </c>
      <c r="BD13" t="str">
        <f>IF(CAPTURA!CI13="","",IFERROR(IF(INDEX(CODIFICACION!$E$2:$E$500,MATCH("D7.27|"&amp;CAPTURA!CI13,CODIFICACION!$F$2:$F$500,0))="sin dato","",INDEX(CODIFICACION!$E$2:$E$500,MATCH("D7.27|"&amp;CAPTURA!CI13,CODIFICACION!$F$2:$F$500,0))),"⚠"))</f>
        <v/>
      </c>
      <c r="BE13" t="str">
        <f>IF(CAPTURA!CJ13="","",IFERROR(IF(INDEX(CODIFICACION!$E$2:$E$500,MATCH("D7.28|"&amp;CAPTURA!CJ13,CODIFICACION!$F$2:$F$500,0))="sin dato","",INDEX(CODIFICACION!$E$2:$E$500,MATCH("D7.28|"&amp;CAPTURA!CJ13,CODIFICACION!$F$2:$F$500,0))),"⚠"))</f>
        <v/>
      </c>
      <c r="BF13" t="str">
        <f>IF(CAPTURA!CK13="","",IFERROR(IF(INDEX(CODIFICACION!$E$2:$E$500,MATCH("D7.28b|"&amp;CAPTURA!CK13,CODIFICACION!$F$2:$F$500,0))="sin dato","",INDEX(CODIFICACION!$E$2:$E$500,MATCH("D7.28b|"&amp;CAPTURA!CK13,CODIFICACION!$F$2:$F$500,0))),"⚠"))</f>
        <v/>
      </c>
      <c r="BG13" t="str">
        <f>IF(CAPTURA!CL13="","",MIN(100,ROUND((LEN(CAPTURA!CL13)-LEN(SUBSTITUTE(CAPTURA!CL13,";",""))+1)/8*100,1)))</f>
        <v/>
      </c>
      <c r="BH13" t="str">
        <f>IF(CAPTURA!CM13="","",IFERROR(IF(INDEX(CODIFICACION!$E$2:$E$500,MATCH("D7.26a|"&amp;CAPTURA!CM13,CODIFICACION!$F$2:$F$500,0))="sin dato","",INDEX(CODIFICACION!$E$2:$E$500,MATCH("D7.26a|"&amp;CAPTURA!CM13,CODIFICACION!$F$2:$F$500,0))),"⚠"))</f>
        <v/>
      </c>
      <c r="BI13" t="str">
        <f>IF(CAPTURA!CN13="","",IFERROR(IF(INDEX(CODIFICACION!$E$2:$E$500,MATCH("D7.26b|"&amp;CAPTURA!CN13,CODIFICACION!$F$2:$F$500,0))="sin dato","",INDEX(CODIFICACION!$E$2:$E$500,MATCH("D7.26b|"&amp;CAPTURA!CN13,CODIFICACION!$F$2:$F$500,0))),"⚠"))</f>
        <v/>
      </c>
      <c r="BJ13" t="str">
        <f>IF(CAPTURA!CO13="","",IF(AND(ISNUMBER(CAPTURA!CO13),CAPTURA!CO13&gt;=0,CAPTURA!CO13&lt;=4),CAPTURA!CO13*25,"⚠"))</f>
        <v/>
      </c>
      <c r="BK13" t="str">
        <f>IF(CAPTURA!CP13="","",IF(ISNUMBER(CAPTURA!CP13),MAX(0,MIN(100,CAPTURA!CP13)),"⚠"))</f>
        <v/>
      </c>
      <c r="BL13" t="str">
        <f>IF(CAPTURA!CQ13="","",IFERROR(IF(INDEX(CODIFICACION!$E$2:$E$500,MATCH("D8.31|"&amp;CAPTURA!CQ13,CODIFICACION!$F$2:$F$500,0))="sin dato","",INDEX(CODIFICACION!$E$2:$E$500,MATCH("D8.31|"&amp;CAPTURA!CQ13,CODIFICACION!$F$2:$F$500,0))),"⚠"))</f>
        <v/>
      </c>
      <c r="BM13" t="str">
        <f>IF(CAPTURA!CR13="","",IFERROR(IF(INDEX(CODIFICACION!$E$2:$E$500,MATCH("D8.32|"&amp;CAPTURA!CR13,CODIFICACION!$F$2:$F$500,0))="sin dato","",INDEX(CODIFICACION!$E$2:$E$500,MATCH("D8.32|"&amp;CAPTURA!CR13,CODIFICACION!$F$2:$F$500,0))),"⚠"))</f>
        <v/>
      </c>
      <c r="BN13" t="str">
        <f>IF(CAPTURA!CS13="","",IFERROR(IF(INDEX(CODIFICACION!$E$2:$E$500,MATCH("D9.33|"&amp;CAPTURA!CS13,CODIFICACION!$F$2:$F$500,0))="sin dato","",INDEX(CODIFICACION!$E$2:$E$500,MATCH("D9.33|"&amp;CAPTURA!CS13,CODIFICACION!$F$2:$F$500,0))),"⚠"))</f>
        <v/>
      </c>
      <c r="BO13" t="str">
        <f>IF(CAPTURA!CT13="","",IFERROR(IF(INDEX(CODIFICACION!$E$2:$E$500,MATCH("D9.34|"&amp;CAPTURA!CT13,CODIFICACION!$F$2:$F$500,0))="sin dato","",INDEX(CODIFICACION!$E$2:$E$500,MATCH("D9.34|"&amp;CAPTURA!CT13,CODIFICACION!$F$2:$F$500,0))),"⚠"))</f>
        <v/>
      </c>
      <c r="BP13" t="str">
        <f>IF(CAPTURA!CU13="","",IFERROR(IF(INDEX(CODIFICACION!$E$2:$E$500,MATCH("D9.35|"&amp;CAPTURA!CU13,CODIFICACION!$F$2:$F$500,0))="sin dato","",INDEX(CODIFICACION!$E$2:$E$500,MATCH("D9.35|"&amp;CAPTURA!CU13,CODIFICACION!$F$2:$F$500,0))),"⚠"))</f>
        <v/>
      </c>
      <c r="BQ13" t="str">
        <f>IF(CAPTURA!CV13="","",IFERROR(IF(INDEX(CODIFICACION!$E$2:$E$500,MATCH("D10.36|"&amp;CAPTURA!CV13,CODIFICACION!$F$2:$F$500,0))="sin dato","",INDEX(CODIFICACION!$E$2:$E$500,MATCH("D10.36|"&amp;CAPTURA!CV13,CODIFICACION!$F$2:$F$500,0))),"⚠"))</f>
        <v/>
      </c>
      <c r="BR13" t="str">
        <f>IF(CAPTURA!CW13="","",IFERROR(IF(INDEX(CODIFICACION!$E$2:$E$500,MATCH("D10.37|"&amp;CAPTURA!CW13,CODIFICACION!$F$2:$F$500,0))="sin dato","",INDEX(CODIFICACION!$E$2:$E$500,MATCH("D10.37|"&amp;CAPTURA!CW13,CODIFICACION!$F$2:$F$500,0))),"⚠"))</f>
        <v/>
      </c>
      <c r="BS13" t="str">
        <f>IF(CAPTURA!CX13="","",IFERROR(IF(INDEX(CODIFICACION!$E$2:$E$500,MATCH("D10.36a|"&amp;CAPTURA!CX13,CODIFICACION!$F$2:$F$500,0))="sin dato","",INDEX(CODIFICACION!$E$2:$E$500,MATCH("D10.36a|"&amp;CAPTURA!CX13,CODIFICACION!$F$2:$F$500,0))),"⚠"))</f>
        <v/>
      </c>
      <c r="BT13" t="str">
        <f>IF(CAPTURA!CY13="","",IF(ISNUMBER(SEARCH("Ninguno",CAPTURA!CY13)),0,MIN(100,ROUND((LEN(CAPTURA!CY13)-LEN(SUBSTITUTE(CAPTURA!CY13,";",""))+1)/6*100,1))))</f>
        <v/>
      </c>
      <c r="BU13" t="str">
        <f>IF(CAPTURA!DA13="","",IFERROR(IF(INDEX(CODIFICACION!$E$2:$E$500,MATCH("D11.39a|"&amp;CAPTURA!DA13,CODIFICACION!$F$2:$F$500,0))="sin dato","",INDEX(CODIFICACION!$E$2:$E$500,MATCH("D11.39a|"&amp;CAPTURA!DA13,CODIFICACION!$F$2:$F$500,0))),"⚠"))</f>
        <v/>
      </c>
      <c r="BV13" t="str">
        <f>IF(CAPTURA!DB13="","",IFERROR(IF(INDEX(CODIFICACION!$E$2:$E$500,MATCH("D12.42|"&amp;CAPTURA!DB13,CODIFICACION!$F$2:$F$500,0))="sin dato","",INDEX(CODIFICACION!$E$2:$E$500,MATCH("D12.42|"&amp;CAPTURA!DB13,CODIFICACION!$F$2:$F$500,0))),"⚠"))</f>
        <v/>
      </c>
      <c r="BW13" t="str">
        <f>IF(CAPTURA!DC13="","",IFERROR(IF(INDEX(CODIFICACION!$E$2:$E$500,MATCH("D13.45|"&amp;CAPTURA!DC13,CODIFICACION!$F$2:$F$500,0))="sin dato","",INDEX(CODIFICACION!$E$2:$E$500,MATCH("D13.45|"&amp;CAPTURA!DC13,CODIFICACION!$F$2:$F$500,0))),"⚠"))</f>
        <v/>
      </c>
      <c r="BX13" t="str">
        <f>IF(CAPTURA!DD13="","",IFERROR(IF(INDEX(CODIFICACION!$E$2:$E$500,MATCH("D14.51|"&amp;CAPTURA!DD13,CODIFICACION!$F$2:$F$500,0))="sin dato","",INDEX(CODIFICACION!$E$2:$E$500,MATCH("D14.51|"&amp;CAPTURA!DD13,CODIFICACION!$F$2:$F$500,0))),"⚠"))</f>
        <v/>
      </c>
      <c r="BY13" t="str">
        <f>IF(CAPTURA!DE13="","",IFERROR(IF(INDEX(CODIFICACION!$E$2:$E$500,MATCH("D15.58|"&amp;CAPTURA!DE13,CODIFICACION!$F$2:$F$500,0))="sin dato","",INDEX(CODIFICACION!$E$2:$E$500,MATCH("D15.58|"&amp;CAPTURA!DE13,CODIFICACION!$F$2:$F$500,0))),"⚠"))</f>
        <v/>
      </c>
      <c r="BZ13" t="str">
        <f>IF(CAPTURA!DF13="","",IFERROR(IF(INDEX(CODIFICACION!$E$2:$E$500,MATCH("PP1|"&amp;CAPTURA!DF13,CODIFICACION!$F$2:$F$500,0))="sin dato","",INDEX(CODIFICACION!$E$2:$E$500,MATCH("PP1|"&amp;CAPTURA!DF13,CODIFICACION!$F$2:$F$500,0))),"⚠"))</f>
        <v/>
      </c>
      <c r="CA13" t="str">
        <f>IF(CAPTURA!DG13="","",IFERROR(IF(INDEX(CODIFICACION!$E$2:$E$500,MATCH("PP2|"&amp;CAPTURA!DG13,CODIFICACION!$F$2:$F$500,0))="sin dato","",INDEX(CODIFICACION!$E$2:$E$500,MATCH("PP2|"&amp;CAPTURA!DG13,CODIFICACION!$F$2:$F$500,0))),"⚠"))</f>
        <v/>
      </c>
      <c r="CB13" t="str">
        <f t="shared" si="0"/>
        <v/>
      </c>
      <c r="CC13" t="str">
        <f t="shared" si="1"/>
        <v/>
      </c>
      <c r="CD13" t="str">
        <f t="shared" si="2"/>
        <v/>
      </c>
      <c r="CE13" t="str">
        <f t="shared" si="3"/>
        <v/>
      </c>
      <c r="CF13" t="str">
        <f t="shared" si="4"/>
        <v/>
      </c>
      <c r="CG13" t="str">
        <f t="shared" si="5"/>
        <v/>
      </c>
      <c r="CH13" t="str">
        <f t="shared" si="6"/>
        <v/>
      </c>
      <c r="CI13" t="str">
        <f t="shared" si="7"/>
        <v/>
      </c>
      <c r="CJ13" t="str">
        <f t="shared" si="8"/>
        <v/>
      </c>
      <c r="CK13" t="str">
        <f t="shared" si="9"/>
        <v/>
      </c>
      <c r="CL13" t="str">
        <f t="shared" si="10"/>
        <v/>
      </c>
    </row>
    <row r="14" spans="1:90" x14ac:dyDescent="0.3">
      <c r="A14">
        <f>CAPTURA!A14</f>
        <v>20143692010</v>
      </c>
      <c r="B14">
        <f>CAPTURA!C14</f>
        <v>0</v>
      </c>
      <c r="C14" t="str">
        <f>IF(CAPTURA!M14="","",ROUND((ISNUMBER(SEARCH("Alemania",CAPTURA!M14))+ISNUMBER(SEARCH("Bélgica",CAPTURA!M14))+ISNUMBER(SEARCH("Países Bajos",CAPTURA!M14))+ISNUMBER(SEARCH("Francia",CAPTURA!M14))+ISNUMBER(SEARCH("Italia",CAPTURA!M14))+ISNUMBER(SEARCH("España",CAPTURA!M14))+ISNUMBER(SEARCH("Suecia",CAPTURA!M14))+ISNUMBER(SEARCH("Dinamarca",CAPTURA!M14)))/((LEN(CAPTURA!M14)-LEN(SUBSTITUTE(CAPTURA!M14,";","")))+1)*100,1))</f>
        <v/>
      </c>
      <c r="D14" t="str">
        <f>IF(CAPTURA!AE14="","",IFERROR(IF(INDEX(CODIFICACION!$E$2:$E$500,MATCH("P8|"&amp;CAPTURA!AE14,CODIFICACION!$F$2:$F$500,0))="sin dato","",INDEX(CODIFICACION!$E$2:$E$500,MATCH("P8|"&amp;CAPTURA!AE14,CODIFICACION!$F$2:$F$500,0))),"⚠"))</f>
        <v/>
      </c>
      <c r="E14" t="str">
        <f>IF(CAPTURA!AG14="","",IFERROR(IF(INDEX(CODIFICACION!$E$2:$E$500,MATCH("P10|"&amp;CAPTURA!AG14,CODIFICACION!$F$2:$F$500,0))="sin dato","",INDEX(CODIFICACION!$E$2:$E$500,MATCH("P10|"&amp;CAPTURA!AG14,CODIFICACION!$F$2:$F$500,0))),"⚠"))</f>
        <v/>
      </c>
      <c r="F14" t="str">
        <f>IF(CAPTURA!AJ14="","",IFERROR(IF(INDEX(CODIFICACION!$E$2:$E$500,MATCH("P13|"&amp;CAPTURA!AJ14,CODIFICACION!$F$2:$F$500,0))="sin dato","",INDEX(CODIFICACION!$E$2:$E$500,MATCH("P13|"&amp;CAPTURA!AJ14,CODIFICACION!$F$2:$F$500,0))),"⚠"))</f>
        <v/>
      </c>
      <c r="G14" t="str">
        <f>IF(CAPTURA!AK14="","",IFERROR(IF(INDEX(CODIFICACION!$E$2:$E$500,MATCH("P14|"&amp;CAPTURA!AK14,CODIFICACION!$F$2:$F$500,0))="sin dato","",INDEX(CODIFICACION!$E$2:$E$500,MATCH("P14|"&amp;CAPTURA!AK14,CODIFICACION!$F$2:$F$500,0))),"⚠"))</f>
        <v/>
      </c>
      <c r="H14" t="str">
        <f>IF(CAPTURA!AL14="","",IFERROR(IF(INDEX(CODIFICACION!$E$2:$E$500,MATCH("D1.1|"&amp;CAPTURA!AL14,CODIFICACION!$F$2:$F$500,0))="sin dato","",INDEX(CODIFICACION!$E$2:$E$500,MATCH("D1.1|"&amp;CAPTURA!AL14,CODIFICACION!$F$2:$F$500,0))),"⚠"))</f>
        <v/>
      </c>
      <c r="I14" t="str">
        <f>IF(CAPTURA!AN14="","",IFERROR(IF(INDEX(CODIFICACION!$E$2:$E$500,MATCH("D1.3|"&amp;CAPTURA!AN14,CODIFICACION!$F$2:$F$500,0))="sin dato","",INDEX(CODIFICACION!$E$2:$E$500,MATCH("D1.3|"&amp;CAPTURA!AN14,CODIFICACION!$F$2:$F$500,0))),"⚠"))</f>
        <v/>
      </c>
      <c r="J14" t="str">
        <f>IF(CAPTURA!AO14="","",IFERROR(IF(INDEX(CODIFICACION!$E$2:$E$500,MATCH("D1.4|"&amp;CAPTURA!AO14,CODIFICACION!$F$2:$F$500,0))="sin dato","",INDEX(CODIFICACION!$E$2:$E$500,MATCH("D1.4|"&amp;CAPTURA!AO14,CODIFICACION!$F$2:$F$500,0))),"⚠"))</f>
        <v/>
      </c>
      <c r="K14" t="str">
        <f>IF(CAPTURA!AP14="","",IFERROR(IF(INDEX(CODIFICACION!$E$2:$E$500,MATCH("D1.3a|"&amp;CAPTURA!AP14,CODIFICACION!$F$2:$F$500,0))="sin dato","",INDEX(CODIFICACION!$E$2:$E$500,MATCH("D1.3a|"&amp;CAPTURA!AP14,CODIFICACION!$F$2:$F$500,0))),"⚠"))</f>
        <v/>
      </c>
      <c r="L14" t="str">
        <f>IF(CAPTURA!AQ14="","",IF(AND(ISNUMBER(CAPTURA!AQ14),CAPTURA!AQ14&gt;=0,CAPTURA!AQ14&lt;=4),CAPTURA!AQ14*25,"⚠"))</f>
        <v/>
      </c>
      <c r="M14" t="str">
        <f>IF(CAPTURA!AR14="","",IF(ISNUMBER(CAPTURA!AR14),MAX(0,MIN(100,CAPTURA!AR14)),"⚠"))</f>
        <v/>
      </c>
      <c r="N14" t="str">
        <f>IF(CAPTURA!AS14="","",IF(AND(ISNUMBER(CAPTURA!AS14),CAPTURA!AS14&gt;=0,CAPTURA!AS14&lt;=4),CAPTURA!AS14*25,"⚠"))</f>
        <v/>
      </c>
      <c r="O14" t="str">
        <f>IF(CAPTURA!AT14="","",IFERROR(IF(INDEX(CODIFICACION!$E$2:$E$500,MATCH("D2.8|"&amp;CAPTURA!AT14,CODIFICACION!$F$2:$F$500,0))="sin dato","",INDEX(CODIFICACION!$E$2:$E$500,MATCH("D2.8|"&amp;CAPTURA!AT14,CODIFICACION!$F$2:$F$500,0))),"⚠"))</f>
        <v/>
      </c>
      <c r="P14" t="str">
        <f>IF(CAPTURA!AU14="","",IFERROR(IF(INDEX(CODIFICACION!$E$2:$E$500,MATCH("D2.9|"&amp;CAPTURA!AU14,CODIFICACION!$F$2:$F$500,0))="sin dato","",INDEX(CODIFICACION!$E$2:$E$500,MATCH("D2.9|"&amp;CAPTURA!AU14,CODIFICACION!$F$2:$F$500,0))),"⚠"))</f>
        <v/>
      </c>
      <c r="Q14" t="str">
        <f>IF(CAPTURA!AV14="","",IFERROR(IF(INDEX(CODIFICACION!$E$2:$E$500,MATCH("D2.10|"&amp;CAPTURA!AV14,CODIFICACION!$F$2:$F$500,0))="sin dato","",INDEX(CODIFICACION!$E$2:$E$500,MATCH("D2.10|"&amp;CAPTURA!AV14,CODIFICACION!$F$2:$F$500,0))),"⚠"))</f>
        <v/>
      </c>
      <c r="R14" t="str">
        <f>IF(CAPTURA!AW14="","",IFERROR(IF(INDEX(CODIFICACION!$E$2:$E$500,MATCH("D2.5a|"&amp;CAPTURA!AW14,CODIFICACION!$F$2:$F$500,0))="sin dato","",INDEX(CODIFICACION!$E$2:$E$500,MATCH("D2.5a|"&amp;CAPTURA!AW14,CODIFICACION!$F$2:$F$500,0))),"⚠"))</f>
        <v/>
      </c>
      <c r="S14" t="str">
        <f>IF(CAPTURA!AX14="","",IFERROR(IF(INDEX(CODIFICACION!$E$2:$E$500,MATCH("D2.5b|"&amp;CAPTURA!AX14,CODIFICACION!$F$2:$F$500,0))="sin dato","",INDEX(CODIFICACION!$E$2:$E$500,MATCH("D2.5b|"&amp;CAPTURA!AX14,CODIFICACION!$F$2:$F$500,0))),"⚠"))</f>
        <v/>
      </c>
      <c r="T14" t="str">
        <f>IF(CAPTURA!AY14="","",IF(ISNUMBER(CAPTURA!AY14),MAX(0,MIN(100,CAPTURA!AY14)),"⚠"))</f>
        <v/>
      </c>
      <c r="U14" t="str">
        <f>IF(CAPTURA!AZ14="","",IFERROR(IF(INDEX(CODIFICACION!$E$2:$E$500,MATCH("D3.12|"&amp;CAPTURA!AZ14,CODIFICACION!$F$2:$F$500,0))="sin dato","",INDEX(CODIFICACION!$E$2:$E$500,MATCH("D3.12|"&amp;CAPTURA!AZ14,CODIFICACION!$F$2:$F$500,0))),"⚠"))</f>
        <v/>
      </c>
      <c r="V14" t="str">
        <f>IF(CAPTURA!BA14="","",IF(AND(ISNUMBER(CAPTURA!BA14),CAPTURA!BA14&gt;=0,CAPTURA!BA14&lt;=4),CAPTURA!BA14*25,"⚠"))</f>
        <v/>
      </c>
      <c r="W14" t="str">
        <f>IF(CAPTURA!BB14="","",IFERROR(IF(INDEX(CODIFICACION!$E$2:$E$500,MATCH("D3.14|"&amp;CAPTURA!BB14,CODIFICACION!$F$2:$F$500,0))="sin dato","",INDEX(CODIFICACION!$E$2:$E$500,MATCH("D3.14|"&amp;CAPTURA!BB14,CODIFICACION!$F$2:$F$500,0))),"⚠"))</f>
        <v/>
      </c>
      <c r="X14" t="str">
        <f>IF(CAPTURA!BC14="","",IFERROR(IF(INDEX(CODIFICACION!$E$2:$E$500,MATCH("D3.14a|"&amp;CAPTURA!BC14,CODIFICACION!$F$2:$F$500,0))="sin dato","",INDEX(CODIFICACION!$E$2:$E$500,MATCH("D3.14a|"&amp;CAPTURA!BC14,CODIFICACION!$F$2:$F$500,0))),"⚠"))</f>
        <v/>
      </c>
      <c r="Y14" t="str">
        <f>IF(CAPTURA!BD14="","",IFERROR(IF(INDEX(CODIFICACION!$E$2:$E$500,MATCH("D3.14b|"&amp;CAPTURA!BD14,CODIFICACION!$F$2:$F$500,0))="sin dato","",INDEX(CODIFICACION!$E$2:$E$500,MATCH("D3.14b|"&amp;CAPTURA!BD14,CODIFICACION!$F$2:$F$500,0))),"⚠"))</f>
        <v/>
      </c>
      <c r="Z14" t="str">
        <f>IF(CAPTURA!BE14="","",IFERROR(IF(INDEX(CODIFICACION!$E$2:$E$500,MATCH("D3.14c|"&amp;CAPTURA!BE14,CODIFICACION!$F$2:$F$500,0))="sin dato","",INDEX(CODIFICACION!$E$2:$E$500,MATCH("D3.14c|"&amp;CAPTURA!BE14,CODIFICACION!$F$2:$F$500,0))),"⚠"))</f>
        <v/>
      </c>
      <c r="AA14" t="str">
        <f>IF(CAPTURA!BF14="","",IFERROR(IF(INDEX(CODIFICACION!$E$2:$E$500,MATCH("D3.14d|"&amp;CAPTURA!BF14,CODIFICACION!$F$2:$F$500,0))="sin dato","",INDEX(CODIFICACION!$E$2:$E$500,MATCH("D3.14d|"&amp;CAPTURA!BF14,CODIFICACION!$F$2:$F$500,0))),"⚠"))</f>
        <v/>
      </c>
      <c r="AB14" t="str">
        <f>IF(CAPTURA!BG14="","",IFERROR(IF(INDEX(CODIFICACION!$E$2:$E$500,MATCH("D3.14e|"&amp;CAPTURA!BG14,CODIFICACION!$F$2:$F$500,0))="sin dato","",INDEX(CODIFICACION!$E$2:$E$500,MATCH("D3.14e|"&amp;CAPTURA!BG14,CODIFICACION!$F$2:$F$500,0))),"⚠"))</f>
        <v/>
      </c>
      <c r="AC14" t="str">
        <f>IF(CAPTURA!BH14="","",IFERROR(IF(INDEX(CODIFICACION!$E$2:$E$500,MATCH("D3.14f|"&amp;CAPTURA!BH14,CODIFICACION!$F$2:$F$500,0))="sin dato","",INDEX(CODIFICACION!$E$2:$E$500,MATCH("D3.14f|"&amp;CAPTURA!BH14,CODIFICACION!$F$2:$F$500,0))),"⚠"))</f>
        <v/>
      </c>
      <c r="AD14" t="str">
        <f>IF(CAPTURA!BI14="","",IFERROR(IF(INDEX(CODIFICACION!$E$2:$E$500,MATCH("D3.14g|"&amp;CAPTURA!BI14,CODIFICACION!$F$2:$F$500,0))="sin dato","",INDEX(CODIFICACION!$E$2:$E$500,MATCH("D3.14g|"&amp;CAPTURA!BI14,CODIFICACION!$F$2:$F$500,0))),"⚠"))</f>
        <v/>
      </c>
      <c r="AE14" t="str">
        <f>IF(CAPTURA!BJ14="","",IFERROR(IF(INDEX(CODIFICACION!$E$2:$E$500,MATCH("D3.14h|"&amp;CAPTURA!BJ14,CODIFICACION!$F$2:$F$500,0))="sin dato","",INDEX(CODIFICACION!$E$2:$E$500,MATCH("D3.14h|"&amp;CAPTURA!BJ14,CODIFICACION!$F$2:$F$500,0))),"⚠"))</f>
        <v/>
      </c>
      <c r="AF14" t="str">
        <f>IF(CAPTURA!BK14="","",IFERROR(IF(INDEX(CODIFICACION!$E$2:$E$500,MATCH("D3.14i|"&amp;CAPTURA!BK14,CODIFICACION!$F$2:$F$500,0))="sin dato","",INDEX(CODIFICACION!$E$2:$E$500,MATCH("D3.14i|"&amp;CAPTURA!BK14,CODIFICACION!$F$2:$F$500,0))),"⚠"))</f>
        <v/>
      </c>
      <c r="AG14" t="str">
        <f>IF(CAPTURA!BL14="","",IFERROR(IF(INDEX(CODIFICACION!$E$2:$E$500,MATCH("D4.15|"&amp;CAPTURA!BL14,CODIFICACION!$F$2:$F$500,0))="sin dato","",INDEX(CODIFICACION!$E$2:$E$500,MATCH("D4.15|"&amp;CAPTURA!BL14,CODIFICACION!$F$2:$F$500,0))),"⚠"))</f>
        <v/>
      </c>
      <c r="AH14" t="str">
        <f>IF(CAPTURA!BM14="","",IF(AND(ISNUMBER(CAPTURA!BM14),CAPTURA!BM14&gt;=0,CAPTURA!BM14&lt;=4),CAPTURA!BM14*25,"⚠"))</f>
        <v/>
      </c>
      <c r="AI14" t="str">
        <f>IF(CAPTURA!BN14="","",IFERROR(IF(INDEX(CODIFICACION!$E$2:$E$500,MATCH("D4.17|"&amp;CAPTURA!BN14,CODIFICACION!$F$2:$F$500,0))="sin dato","",INDEX(CODIFICACION!$E$2:$E$500,MATCH("D4.17|"&amp;CAPTURA!BN14,CODIFICACION!$F$2:$F$500,0))),"⚠"))</f>
        <v/>
      </c>
      <c r="AJ14" t="str">
        <f>IF(CAPTURA!BO14="","",IFERROR(IF(INDEX(CODIFICACION!$E$2:$E$500,MATCH("D4.15a|"&amp;CAPTURA!BO14,CODIFICACION!$F$2:$F$500,0))="sin dato","",INDEX(CODIFICACION!$E$2:$E$500,MATCH("D4.15a|"&amp;CAPTURA!BO14,CODIFICACION!$F$2:$F$500,0))),"⚠"))</f>
        <v/>
      </c>
      <c r="AK14" t="str">
        <f>IF(CAPTURA!BP14="","",IF(AND(ISNUMBER(CAPTURA!BP14),CAPTURA!BP14&gt;=0,CAPTURA!BP14&lt;=4),CAPTURA!BP14*25,"⚠"))</f>
        <v/>
      </c>
      <c r="AL14" t="str">
        <f>IF(CAPTURA!BQ14="","",IF(AND(ISNUMBER(CAPTURA!BQ14),CAPTURA!BQ14&gt;=0,CAPTURA!BQ14&lt;=4),CAPTURA!BQ14*25,"⚠"))</f>
        <v/>
      </c>
      <c r="AM14" t="str">
        <f>IF(CAPTURA!BR14="","",IFERROR(IF(INDEX(CODIFICACION!$E$2:$E$500,MATCH("D5.18b|"&amp;CAPTURA!BR14,CODIFICACION!$F$2:$F$500,0))="sin dato","",INDEX(CODIFICACION!$E$2:$E$500,MATCH("D5.18b|"&amp;CAPTURA!BR14,CODIFICACION!$F$2:$F$500,0))),"⚠"))</f>
        <v/>
      </c>
      <c r="AN14" t="str">
        <f>IF(CAPTURA!BS14="","",IFERROR(IF(INDEX(CODIFICACION!$E$2:$E$500,MATCH("D5.19|"&amp;CAPTURA!BS14,CODIFICACION!$F$2:$F$500,0))="sin dato","",INDEX(CODIFICACION!$E$2:$E$500,MATCH("D5.19|"&amp;CAPTURA!BS14,CODIFICACION!$F$2:$F$500,0))),"⚠"))</f>
        <v/>
      </c>
      <c r="AO14" t="str">
        <f>IF(CAPTURA!BT14="","",MIN(100,ROUND((LEN(CAPTURA!BT14)-LEN(SUBSTITUTE(CAPTURA!BT14,";",""))+1)/7*100,1)))</f>
        <v/>
      </c>
      <c r="AP14" t="str">
        <f>IF(CAPTURA!BU14="","",IFERROR(IF(INDEX(CODIFICACION!$E$2:$E$500,MATCH("D5.20|"&amp;CAPTURA!BU14,CODIFICACION!$F$2:$F$500,0))="sin dato","",INDEX(CODIFICACION!$E$2:$E$500,MATCH("D5.20|"&amp;CAPTURA!BU14,CODIFICACION!$F$2:$F$500,0))),"⚠"))</f>
        <v/>
      </c>
      <c r="AQ14" t="str">
        <f>IF(CAPTURA!BV14="","",IFERROR(IF(INDEX(CODIFICACION!$E$2:$E$500,MATCH("D5.21|"&amp;CAPTURA!BV14,CODIFICACION!$F$2:$F$500,0))="sin dato","",INDEX(CODIFICACION!$E$2:$E$500,MATCH("D5.21|"&amp;CAPTURA!BV14,CODIFICACION!$F$2:$F$500,0))),"⚠"))</f>
        <v/>
      </c>
      <c r="AR14" t="str">
        <f>IF(CAPTURA!BW14="","",IFERROR(IF(INDEX(CODIFICACION!$E$2:$E$500,MATCH("D5.21a|"&amp;CAPTURA!BW14,CODIFICACION!$F$2:$F$500,0))="sin dato","",INDEX(CODIFICACION!$E$2:$E$500,MATCH("D5.21a|"&amp;CAPTURA!BW14,CODIFICACION!$F$2:$F$500,0))),"⚠"))</f>
        <v/>
      </c>
      <c r="AS14" t="str">
        <f>IF(CAPTURA!BX14="","",IFERROR(IF(INDEX(CODIFICACION!$E$2:$E$500,MATCH("D5.21b|"&amp;CAPTURA!BX14,CODIFICACION!$F$2:$F$500,0))="sin dato","",INDEX(CODIFICACION!$E$2:$E$500,MATCH("D5.21b|"&amp;CAPTURA!BX14,CODIFICACION!$F$2:$F$500,0))),"⚠"))</f>
        <v/>
      </c>
      <c r="AT14" t="str">
        <f>IF(CAPTURA!BY14="","",IFERROR(IF(INDEX(CODIFICACION!$E$2:$E$500,MATCH("D6.22|"&amp;CAPTURA!BY14,CODIFICACION!$F$2:$F$500,0))="sin dato","",INDEX(CODIFICACION!$E$2:$E$500,MATCH("D6.22|"&amp;CAPTURA!BY14,CODIFICACION!$F$2:$F$500,0))),"⚠"))</f>
        <v/>
      </c>
      <c r="AU14" t="str">
        <f>IF(CAPTURA!BZ14="","",IFERROR(IF(INDEX(CODIFICACION!$E$2:$E$500,MATCH("D6.22a|"&amp;CAPTURA!BZ14,CODIFICACION!$F$2:$F$500,0))="sin dato","",INDEX(CODIFICACION!$E$2:$E$500,MATCH("D6.22a|"&amp;CAPTURA!BZ14,CODIFICACION!$F$2:$F$500,0))),"⚠"))</f>
        <v/>
      </c>
      <c r="AV14" t="str">
        <f>IF(CAPTURA!CA14="","",IFERROR(IF(INDEX(CODIFICACION!$E$2:$E$500,MATCH("D6.22b|"&amp;CAPTURA!CA14,CODIFICACION!$F$2:$F$500,0))="sin dato","",INDEX(CODIFICACION!$E$2:$E$500,MATCH("D6.22b|"&amp;CAPTURA!CA14,CODIFICACION!$F$2:$F$500,0))),"⚠"))</f>
        <v/>
      </c>
      <c r="AW14" t="str">
        <f>IF(CAPTURA!CB14="","",IFERROR(IF(INDEX(CODIFICACION!$E$2:$E$500,MATCH("D6.23|"&amp;CAPTURA!CB14,CODIFICACION!$F$2:$F$500,0))="sin dato","",INDEX(CODIFICACION!$E$2:$E$500,MATCH("D6.23|"&amp;CAPTURA!CB14,CODIFICACION!$F$2:$F$500,0))),"⚠"))</f>
        <v/>
      </c>
      <c r="AX14" t="str">
        <f>IF(CAPTURA!CC14="","",IFERROR(IF(INDEX(CODIFICACION!$E$2:$E$500,MATCH("D6.24|"&amp;CAPTURA!CC14,CODIFICACION!$F$2:$F$500,0))="sin dato","",INDEX(CODIFICACION!$E$2:$E$500,MATCH("D6.24|"&amp;CAPTURA!CC14,CODIFICACION!$F$2:$F$500,0))),"⚠"))</f>
        <v/>
      </c>
      <c r="AY14" t="str">
        <f>IF(CAPTURA!CD14="","",IFERROR(IF(INDEX(CODIFICACION!$E$2:$E$500,MATCH("D6.25|"&amp;CAPTURA!CD14,CODIFICACION!$F$2:$F$500,0))="sin dato","",INDEX(CODIFICACION!$E$2:$E$500,MATCH("D6.25|"&amp;CAPTURA!CD14,CODIFICACION!$F$2:$F$500,0))),"⚠"))</f>
        <v/>
      </c>
      <c r="AZ14" t="str">
        <f>IF(CAPTURA!CE14="","",IFERROR(IF(INDEX(CODIFICACION!$E$2:$E$500,MATCH("D6.25a|"&amp;CAPTURA!CE14,CODIFICACION!$F$2:$F$500,0))="sin dato","",INDEX(CODIFICACION!$E$2:$E$500,MATCH("D6.25a|"&amp;CAPTURA!CE14,CODIFICACION!$F$2:$F$500,0))),"⚠"))</f>
        <v/>
      </c>
      <c r="BA14" t="str">
        <f>IF(CAPTURA!CF14="","",IFERROR(IF(INDEX(CODIFICACION!$E$2:$E$500,MATCH("D6.25b|"&amp;CAPTURA!CF14,CODIFICACION!$F$2:$F$500,0))="sin dato","",INDEX(CODIFICACION!$E$2:$E$500,MATCH("D6.25b|"&amp;CAPTURA!CF14,CODIFICACION!$F$2:$F$500,0))),"⚠"))</f>
        <v/>
      </c>
      <c r="BB14" t="str">
        <f>IF(CAPTURA!CG14="","",IFERROR(IF(INDEX(CODIFICACION!$E$2:$E$500,MATCH("D6.22c|"&amp;CAPTURA!CG14,CODIFICACION!$F$2:$F$500,0))="sin dato","",INDEX(CODIFICACION!$E$2:$E$500,MATCH("D6.22c|"&amp;CAPTURA!CG14,CODIFICACION!$F$2:$F$500,0))),"⚠"))</f>
        <v/>
      </c>
      <c r="BC14" t="str">
        <f>IF(CAPTURA!CH14="","",IFERROR(IF(INDEX(CODIFICACION!$E$2:$E$500,MATCH("D7.26|"&amp;CAPTURA!CH14,CODIFICACION!$F$2:$F$500,0))="sin dato","",INDEX(CODIFICACION!$E$2:$E$500,MATCH("D7.26|"&amp;CAPTURA!CH14,CODIFICACION!$F$2:$F$500,0))),"⚠"))</f>
        <v/>
      </c>
      <c r="BD14" t="str">
        <f>IF(CAPTURA!CI14="","",IFERROR(IF(INDEX(CODIFICACION!$E$2:$E$500,MATCH("D7.27|"&amp;CAPTURA!CI14,CODIFICACION!$F$2:$F$500,0))="sin dato","",INDEX(CODIFICACION!$E$2:$E$500,MATCH("D7.27|"&amp;CAPTURA!CI14,CODIFICACION!$F$2:$F$500,0))),"⚠"))</f>
        <v/>
      </c>
      <c r="BE14" t="str">
        <f>IF(CAPTURA!CJ14="","",IFERROR(IF(INDEX(CODIFICACION!$E$2:$E$500,MATCH("D7.28|"&amp;CAPTURA!CJ14,CODIFICACION!$F$2:$F$500,0))="sin dato","",INDEX(CODIFICACION!$E$2:$E$500,MATCH("D7.28|"&amp;CAPTURA!CJ14,CODIFICACION!$F$2:$F$500,0))),"⚠"))</f>
        <v/>
      </c>
      <c r="BF14" t="str">
        <f>IF(CAPTURA!CK14="","",IFERROR(IF(INDEX(CODIFICACION!$E$2:$E$500,MATCH("D7.28b|"&amp;CAPTURA!CK14,CODIFICACION!$F$2:$F$500,0))="sin dato","",INDEX(CODIFICACION!$E$2:$E$500,MATCH("D7.28b|"&amp;CAPTURA!CK14,CODIFICACION!$F$2:$F$500,0))),"⚠"))</f>
        <v/>
      </c>
      <c r="BG14" t="str">
        <f>IF(CAPTURA!CL14="","",MIN(100,ROUND((LEN(CAPTURA!CL14)-LEN(SUBSTITUTE(CAPTURA!CL14,";",""))+1)/8*100,1)))</f>
        <v/>
      </c>
      <c r="BH14" t="str">
        <f>IF(CAPTURA!CM14="","",IFERROR(IF(INDEX(CODIFICACION!$E$2:$E$500,MATCH("D7.26a|"&amp;CAPTURA!CM14,CODIFICACION!$F$2:$F$500,0))="sin dato","",INDEX(CODIFICACION!$E$2:$E$500,MATCH("D7.26a|"&amp;CAPTURA!CM14,CODIFICACION!$F$2:$F$500,0))),"⚠"))</f>
        <v/>
      </c>
      <c r="BI14" t="str">
        <f>IF(CAPTURA!CN14="","",IFERROR(IF(INDEX(CODIFICACION!$E$2:$E$500,MATCH("D7.26b|"&amp;CAPTURA!CN14,CODIFICACION!$F$2:$F$500,0))="sin dato","",INDEX(CODIFICACION!$E$2:$E$500,MATCH("D7.26b|"&amp;CAPTURA!CN14,CODIFICACION!$F$2:$F$500,0))),"⚠"))</f>
        <v/>
      </c>
      <c r="BJ14" t="str">
        <f>IF(CAPTURA!CO14="","",IF(AND(ISNUMBER(CAPTURA!CO14),CAPTURA!CO14&gt;=0,CAPTURA!CO14&lt;=4),CAPTURA!CO14*25,"⚠"))</f>
        <v/>
      </c>
      <c r="BK14" t="str">
        <f>IF(CAPTURA!CP14="","",IF(ISNUMBER(CAPTURA!CP14),MAX(0,MIN(100,CAPTURA!CP14)),"⚠"))</f>
        <v/>
      </c>
      <c r="BL14" t="str">
        <f>IF(CAPTURA!CQ14="","",IFERROR(IF(INDEX(CODIFICACION!$E$2:$E$500,MATCH("D8.31|"&amp;CAPTURA!CQ14,CODIFICACION!$F$2:$F$500,0))="sin dato","",INDEX(CODIFICACION!$E$2:$E$500,MATCH("D8.31|"&amp;CAPTURA!CQ14,CODIFICACION!$F$2:$F$500,0))),"⚠"))</f>
        <v/>
      </c>
      <c r="BM14" t="str">
        <f>IF(CAPTURA!CR14="","",IFERROR(IF(INDEX(CODIFICACION!$E$2:$E$500,MATCH("D8.32|"&amp;CAPTURA!CR14,CODIFICACION!$F$2:$F$500,0))="sin dato","",INDEX(CODIFICACION!$E$2:$E$500,MATCH("D8.32|"&amp;CAPTURA!CR14,CODIFICACION!$F$2:$F$500,0))),"⚠"))</f>
        <v/>
      </c>
      <c r="BN14" t="str">
        <f>IF(CAPTURA!CS14="","",IFERROR(IF(INDEX(CODIFICACION!$E$2:$E$500,MATCH("D9.33|"&amp;CAPTURA!CS14,CODIFICACION!$F$2:$F$500,0))="sin dato","",INDEX(CODIFICACION!$E$2:$E$500,MATCH("D9.33|"&amp;CAPTURA!CS14,CODIFICACION!$F$2:$F$500,0))),"⚠"))</f>
        <v/>
      </c>
      <c r="BO14" t="str">
        <f>IF(CAPTURA!CT14="","",IFERROR(IF(INDEX(CODIFICACION!$E$2:$E$500,MATCH("D9.34|"&amp;CAPTURA!CT14,CODIFICACION!$F$2:$F$500,0))="sin dato","",INDEX(CODIFICACION!$E$2:$E$500,MATCH("D9.34|"&amp;CAPTURA!CT14,CODIFICACION!$F$2:$F$500,0))),"⚠"))</f>
        <v/>
      </c>
      <c r="BP14" t="str">
        <f>IF(CAPTURA!CU14="","",IFERROR(IF(INDEX(CODIFICACION!$E$2:$E$500,MATCH("D9.35|"&amp;CAPTURA!CU14,CODIFICACION!$F$2:$F$500,0))="sin dato","",INDEX(CODIFICACION!$E$2:$E$500,MATCH("D9.35|"&amp;CAPTURA!CU14,CODIFICACION!$F$2:$F$500,0))),"⚠"))</f>
        <v/>
      </c>
      <c r="BQ14" t="str">
        <f>IF(CAPTURA!CV14="","",IFERROR(IF(INDEX(CODIFICACION!$E$2:$E$500,MATCH("D10.36|"&amp;CAPTURA!CV14,CODIFICACION!$F$2:$F$500,0))="sin dato","",INDEX(CODIFICACION!$E$2:$E$500,MATCH("D10.36|"&amp;CAPTURA!CV14,CODIFICACION!$F$2:$F$500,0))),"⚠"))</f>
        <v/>
      </c>
      <c r="BR14" t="str">
        <f>IF(CAPTURA!CW14="","",IFERROR(IF(INDEX(CODIFICACION!$E$2:$E$500,MATCH("D10.37|"&amp;CAPTURA!CW14,CODIFICACION!$F$2:$F$500,0))="sin dato","",INDEX(CODIFICACION!$E$2:$E$500,MATCH("D10.37|"&amp;CAPTURA!CW14,CODIFICACION!$F$2:$F$500,0))),"⚠"))</f>
        <v/>
      </c>
      <c r="BS14" t="str">
        <f>IF(CAPTURA!CX14="","",IFERROR(IF(INDEX(CODIFICACION!$E$2:$E$500,MATCH("D10.36a|"&amp;CAPTURA!CX14,CODIFICACION!$F$2:$F$500,0))="sin dato","",INDEX(CODIFICACION!$E$2:$E$500,MATCH("D10.36a|"&amp;CAPTURA!CX14,CODIFICACION!$F$2:$F$500,0))),"⚠"))</f>
        <v/>
      </c>
      <c r="BT14" t="str">
        <f>IF(CAPTURA!CY14="","",IF(ISNUMBER(SEARCH("Ninguno",CAPTURA!CY14)),0,MIN(100,ROUND((LEN(CAPTURA!CY14)-LEN(SUBSTITUTE(CAPTURA!CY14,";",""))+1)/6*100,1))))</f>
        <v/>
      </c>
      <c r="BU14" t="str">
        <f>IF(CAPTURA!DA14="","",IFERROR(IF(INDEX(CODIFICACION!$E$2:$E$500,MATCH("D11.39a|"&amp;CAPTURA!DA14,CODIFICACION!$F$2:$F$500,0))="sin dato","",INDEX(CODIFICACION!$E$2:$E$500,MATCH("D11.39a|"&amp;CAPTURA!DA14,CODIFICACION!$F$2:$F$500,0))),"⚠"))</f>
        <v/>
      </c>
      <c r="BV14" t="str">
        <f>IF(CAPTURA!DB14="","",IFERROR(IF(INDEX(CODIFICACION!$E$2:$E$500,MATCH("D12.42|"&amp;CAPTURA!DB14,CODIFICACION!$F$2:$F$500,0))="sin dato","",INDEX(CODIFICACION!$E$2:$E$500,MATCH("D12.42|"&amp;CAPTURA!DB14,CODIFICACION!$F$2:$F$500,0))),"⚠"))</f>
        <v/>
      </c>
      <c r="BW14" t="str">
        <f>IF(CAPTURA!DC14="","",IFERROR(IF(INDEX(CODIFICACION!$E$2:$E$500,MATCH("D13.45|"&amp;CAPTURA!DC14,CODIFICACION!$F$2:$F$500,0))="sin dato","",INDEX(CODIFICACION!$E$2:$E$500,MATCH("D13.45|"&amp;CAPTURA!DC14,CODIFICACION!$F$2:$F$500,0))),"⚠"))</f>
        <v/>
      </c>
      <c r="BX14" t="str">
        <f>IF(CAPTURA!DD14="","",IFERROR(IF(INDEX(CODIFICACION!$E$2:$E$500,MATCH("D14.51|"&amp;CAPTURA!DD14,CODIFICACION!$F$2:$F$500,0))="sin dato","",INDEX(CODIFICACION!$E$2:$E$500,MATCH("D14.51|"&amp;CAPTURA!DD14,CODIFICACION!$F$2:$F$500,0))),"⚠"))</f>
        <v/>
      </c>
      <c r="BY14" t="str">
        <f>IF(CAPTURA!DE14="","",IFERROR(IF(INDEX(CODIFICACION!$E$2:$E$500,MATCH("D15.58|"&amp;CAPTURA!DE14,CODIFICACION!$F$2:$F$500,0))="sin dato","",INDEX(CODIFICACION!$E$2:$E$500,MATCH("D15.58|"&amp;CAPTURA!DE14,CODIFICACION!$F$2:$F$500,0))),"⚠"))</f>
        <v/>
      </c>
      <c r="BZ14" t="str">
        <f>IF(CAPTURA!DF14="","",IFERROR(IF(INDEX(CODIFICACION!$E$2:$E$500,MATCH("PP1|"&amp;CAPTURA!DF14,CODIFICACION!$F$2:$F$500,0))="sin dato","",INDEX(CODIFICACION!$E$2:$E$500,MATCH("PP1|"&amp;CAPTURA!DF14,CODIFICACION!$F$2:$F$500,0))),"⚠"))</f>
        <v/>
      </c>
      <c r="CA14" t="str">
        <f>IF(CAPTURA!DG14="","",IFERROR(IF(INDEX(CODIFICACION!$E$2:$E$500,MATCH("PP2|"&amp;CAPTURA!DG14,CODIFICACION!$F$2:$F$500,0))="sin dato","",INDEX(CODIFICACION!$E$2:$E$500,MATCH("PP2|"&amp;CAPTURA!DG14,CODIFICACION!$F$2:$F$500,0))),"⚠"))</f>
        <v/>
      </c>
      <c r="CB14" t="str">
        <f t="shared" si="0"/>
        <v/>
      </c>
      <c r="CC14" t="str">
        <f t="shared" si="1"/>
        <v/>
      </c>
      <c r="CD14" t="str">
        <f t="shared" si="2"/>
        <v/>
      </c>
      <c r="CE14" t="str">
        <f t="shared" si="3"/>
        <v/>
      </c>
      <c r="CF14" t="str">
        <f t="shared" si="4"/>
        <v/>
      </c>
      <c r="CG14" t="str">
        <f t="shared" si="5"/>
        <v/>
      </c>
      <c r="CH14" t="str">
        <f t="shared" si="6"/>
        <v/>
      </c>
      <c r="CI14" t="str">
        <f t="shared" si="7"/>
        <v/>
      </c>
      <c r="CJ14" t="str">
        <f t="shared" si="8"/>
        <v/>
      </c>
      <c r="CK14" t="str">
        <f t="shared" si="9"/>
        <v/>
      </c>
      <c r="CL14" t="str">
        <f t="shared" si="10"/>
        <v/>
      </c>
    </row>
    <row r="15" spans="1:90" x14ac:dyDescent="0.3">
      <c r="A15">
        <f>CAPTURA!A15</f>
        <v>20145484597</v>
      </c>
      <c r="B15">
        <f>CAPTURA!C15</f>
        <v>0</v>
      </c>
      <c r="C15" t="str">
        <f>IF(CAPTURA!M15="","",ROUND((ISNUMBER(SEARCH("Alemania",CAPTURA!M15))+ISNUMBER(SEARCH("Bélgica",CAPTURA!M15))+ISNUMBER(SEARCH("Países Bajos",CAPTURA!M15))+ISNUMBER(SEARCH("Francia",CAPTURA!M15))+ISNUMBER(SEARCH("Italia",CAPTURA!M15))+ISNUMBER(SEARCH("España",CAPTURA!M15))+ISNUMBER(SEARCH("Suecia",CAPTURA!M15))+ISNUMBER(SEARCH("Dinamarca",CAPTURA!M15)))/((LEN(CAPTURA!M15)-LEN(SUBSTITUTE(CAPTURA!M15,";","")))+1)*100,1))</f>
        <v/>
      </c>
      <c r="D15" t="str">
        <f>IF(CAPTURA!AE15="","",IFERROR(IF(INDEX(CODIFICACION!$E$2:$E$500,MATCH("P8|"&amp;CAPTURA!AE15,CODIFICACION!$F$2:$F$500,0))="sin dato","",INDEX(CODIFICACION!$E$2:$E$500,MATCH("P8|"&amp;CAPTURA!AE15,CODIFICACION!$F$2:$F$500,0))),"⚠"))</f>
        <v/>
      </c>
      <c r="E15" t="str">
        <f>IF(CAPTURA!AG15="","",IFERROR(IF(INDEX(CODIFICACION!$E$2:$E$500,MATCH("P10|"&amp;CAPTURA!AG15,CODIFICACION!$F$2:$F$500,0))="sin dato","",INDEX(CODIFICACION!$E$2:$E$500,MATCH("P10|"&amp;CAPTURA!AG15,CODIFICACION!$F$2:$F$500,0))),"⚠"))</f>
        <v/>
      </c>
      <c r="F15" t="str">
        <f>IF(CAPTURA!AJ15="","",IFERROR(IF(INDEX(CODIFICACION!$E$2:$E$500,MATCH("P13|"&amp;CAPTURA!AJ15,CODIFICACION!$F$2:$F$500,0))="sin dato","",INDEX(CODIFICACION!$E$2:$E$500,MATCH("P13|"&amp;CAPTURA!AJ15,CODIFICACION!$F$2:$F$500,0))),"⚠"))</f>
        <v/>
      </c>
      <c r="G15" t="str">
        <f>IF(CAPTURA!AK15="","",IFERROR(IF(INDEX(CODIFICACION!$E$2:$E$500,MATCH("P14|"&amp;CAPTURA!AK15,CODIFICACION!$F$2:$F$500,0))="sin dato","",INDEX(CODIFICACION!$E$2:$E$500,MATCH("P14|"&amp;CAPTURA!AK15,CODIFICACION!$F$2:$F$500,0))),"⚠"))</f>
        <v/>
      </c>
      <c r="H15" t="str">
        <f>IF(CAPTURA!AL15="","",IFERROR(IF(INDEX(CODIFICACION!$E$2:$E$500,MATCH("D1.1|"&amp;CAPTURA!AL15,CODIFICACION!$F$2:$F$500,0))="sin dato","",INDEX(CODIFICACION!$E$2:$E$500,MATCH("D1.1|"&amp;CAPTURA!AL15,CODIFICACION!$F$2:$F$500,0))),"⚠"))</f>
        <v/>
      </c>
      <c r="I15" t="str">
        <f>IF(CAPTURA!AN15="","",IFERROR(IF(INDEX(CODIFICACION!$E$2:$E$500,MATCH("D1.3|"&amp;CAPTURA!AN15,CODIFICACION!$F$2:$F$500,0))="sin dato","",INDEX(CODIFICACION!$E$2:$E$500,MATCH("D1.3|"&amp;CAPTURA!AN15,CODIFICACION!$F$2:$F$500,0))),"⚠"))</f>
        <v/>
      </c>
      <c r="J15" t="str">
        <f>IF(CAPTURA!AO15="","",IFERROR(IF(INDEX(CODIFICACION!$E$2:$E$500,MATCH("D1.4|"&amp;CAPTURA!AO15,CODIFICACION!$F$2:$F$500,0))="sin dato","",INDEX(CODIFICACION!$E$2:$E$500,MATCH("D1.4|"&amp;CAPTURA!AO15,CODIFICACION!$F$2:$F$500,0))),"⚠"))</f>
        <v/>
      </c>
      <c r="K15" t="str">
        <f>IF(CAPTURA!AP15="","",IFERROR(IF(INDEX(CODIFICACION!$E$2:$E$500,MATCH("D1.3a|"&amp;CAPTURA!AP15,CODIFICACION!$F$2:$F$500,0))="sin dato","",INDEX(CODIFICACION!$E$2:$E$500,MATCH("D1.3a|"&amp;CAPTURA!AP15,CODIFICACION!$F$2:$F$500,0))),"⚠"))</f>
        <v/>
      </c>
      <c r="L15" t="str">
        <f>IF(CAPTURA!AQ15="","",IF(AND(ISNUMBER(CAPTURA!AQ15),CAPTURA!AQ15&gt;=0,CAPTURA!AQ15&lt;=4),CAPTURA!AQ15*25,"⚠"))</f>
        <v/>
      </c>
      <c r="M15" t="str">
        <f>IF(CAPTURA!AR15="","",IF(ISNUMBER(CAPTURA!AR15),MAX(0,MIN(100,CAPTURA!AR15)),"⚠"))</f>
        <v/>
      </c>
      <c r="N15" t="str">
        <f>IF(CAPTURA!AS15="","",IF(AND(ISNUMBER(CAPTURA!AS15),CAPTURA!AS15&gt;=0,CAPTURA!AS15&lt;=4),CAPTURA!AS15*25,"⚠"))</f>
        <v/>
      </c>
      <c r="O15" t="str">
        <f>IF(CAPTURA!AT15="","",IFERROR(IF(INDEX(CODIFICACION!$E$2:$E$500,MATCH("D2.8|"&amp;CAPTURA!AT15,CODIFICACION!$F$2:$F$500,0))="sin dato","",INDEX(CODIFICACION!$E$2:$E$500,MATCH("D2.8|"&amp;CAPTURA!AT15,CODIFICACION!$F$2:$F$500,0))),"⚠"))</f>
        <v/>
      </c>
      <c r="P15" t="str">
        <f>IF(CAPTURA!AU15="","",IFERROR(IF(INDEX(CODIFICACION!$E$2:$E$500,MATCH("D2.9|"&amp;CAPTURA!AU15,CODIFICACION!$F$2:$F$500,0))="sin dato","",INDEX(CODIFICACION!$E$2:$E$500,MATCH("D2.9|"&amp;CAPTURA!AU15,CODIFICACION!$F$2:$F$500,0))),"⚠"))</f>
        <v/>
      </c>
      <c r="Q15" t="str">
        <f>IF(CAPTURA!AV15="","",IFERROR(IF(INDEX(CODIFICACION!$E$2:$E$500,MATCH("D2.10|"&amp;CAPTURA!AV15,CODIFICACION!$F$2:$F$500,0))="sin dato","",INDEX(CODIFICACION!$E$2:$E$500,MATCH("D2.10|"&amp;CAPTURA!AV15,CODIFICACION!$F$2:$F$500,0))),"⚠"))</f>
        <v/>
      </c>
      <c r="R15" t="str">
        <f>IF(CAPTURA!AW15="","",IFERROR(IF(INDEX(CODIFICACION!$E$2:$E$500,MATCH("D2.5a|"&amp;CAPTURA!AW15,CODIFICACION!$F$2:$F$500,0))="sin dato","",INDEX(CODIFICACION!$E$2:$E$500,MATCH("D2.5a|"&amp;CAPTURA!AW15,CODIFICACION!$F$2:$F$500,0))),"⚠"))</f>
        <v/>
      </c>
      <c r="S15" t="str">
        <f>IF(CAPTURA!AX15="","",IFERROR(IF(INDEX(CODIFICACION!$E$2:$E$500,MATCH("D2.5b|"&amp;CAPTURA!AX15,CODIFICACION!$F$2:$F$500,0))="sin dato","",INDEX(CODIFICACION!$E$2:$E$500,MATCH("D2.5b|"&amp;CAPTURA!AX15,CODIFICACION!$F$2:$F$500,0))),"⚠"))</f>
        <v/>
      </c>
      <c r="T15" t="str">
        <f>IF(CAPTURA!AY15="","",IF(ISNUMBER(CAPTURA!AY15),MAX(0,MIN(100,CAPTURA!AY15)),"⚠"))</f>
        <v/>
      </c>
      <c r="U15" t="str">
        <f>IF(CAPTURA!AZ15="","",IFERROR(IF(INDEX(CODIFICACION!$E$2:$E$500,MATCH("D3.12|"&amp;CAPTURA!AZ15,CODIFICACION!$F$2:$F$500,0))="sin dato","",INDEX(CODIFICACION!$E$2:$E$500,MATCH("D3.12|"&amp;CAPTURA!AZ15,CODIFICACION!$F$2:$F$500,0))),"⚠"))</f>
        <v/>
      </c>
      <c r="V15" t="str">
        <f>IF(CAPTURA!BA15="","",IF(AND(ISNUMBER(CAPTURA!BA15),CAPTURA!BA15&gt;=0,CAPTURA!BA15&lt;=4),CAPTURA!BA15*25,"⚠"))</f>
        <v/>
      </c>
      <c r="W15" t="str">
        <f>IF(CAPTURA!BB15="","",IFERROR(IF(INDEX(CODIFICACION!$E$2:$E$500,MATCH("D3.14|"&amp;CAPTURA!BB15,CODIFICACION!$F$2:$F$500,0))="sin dato","",INDEX(CODIFICACION!$E$2:$E$500,MATCH("D3.14|"&amp;CAPTURA!BB15,CODIFICACION!$F$2:$F$500,0))),"⚠"))</f>
        <v/>
      </c>
      <c r="X15" t="str">
        <f>IF(CAPTURA!BC15="","",IFERROR(IF(INDEX(CODIFICACION!$E$2:$E$500,MATCH("D3.14a|"&amp;CAPTURA!BC15,CODIFICACION!$F$2:$F$500,0))="sin dato","",INDEX(CODIFICACION!$E$2:$E$500,MATCH("D3.14a|"&amp;CAPTURA!BC15,CODIFICACION!$F$2:$F$500,0))),"⚠"))</f>
        <v/>
      </c>
      <c r="Y15" t="str">
        <f>IF(CAPTURA!BD15="","",IFERROR(IF(INDEX(CODIFICACION!$E$2:$E$500,MATCH("D3.14b|"&amp;CAPTURA!BD15,CODIFICACION!$F$2:$F$500,0))="sin dato","",INDEX(CODIFICACION!$E$2:$E$500,MATCH("D3.14b|"&amp;CAPTURA!BD15,CODIFICACION!$F$2:$F$500,0))),"⚠"))</f>
        <v/>
      </c>
      <c r="Z15" t="str">
        <f>IF(CAPTURA!BE15="","",IFERROR(IF(INDEX(CODIFICACION!$E$2:$E$500,MATCH("D3.14c|"&amp;CAPTURA!BE15,CODIFICACION!$F$2:$F$500,0))="sin dato","",INDEX(CODIFICACION!$E$2:$E$500,MATCH("D3.14c|"&amp;CAPTURA!BE15,CODIFICACION!$F$2:$F$500,0))),"⚠"))</f>
        <v/>
      </c>
      <c r="AA15" t="str">
        <f>IF(CAPTURA!BF15="","",IFERROR(IF(INDEX(CODIFICACION!$E$2:$E$500,MATCH("D3.14d|"&amp;CAPTURA!BF15,CODIFICACION!$F$2:$F$500,0))="sin dato","",INDEX(CODIFICACION!$E$2:$E$500,MATCH("D3.14d|"&amp;CAPTURA!BF15,CODIFICACION!$F$2:$F$500,0))),"⚠"))</f>
        <v/>
      </c>
      <c r="AB15" t="str">
        <f>IF(CAPTURA!BG15="","",IFERROR(IF(INDEX(CODIFICACION!$E$2:$E$500,MATCH("D3.14e|"&amp;CAPTURA!BG15,CODIFICACION!$F$2:$F$500,0))="sin dato","",INDEX(CODIFICACION!$E$2:$E$500,MATCH("D3.14e|"&amp;CAPTURA!BG15,CODIFICACION!$F$2:$F$500,0))),"⚠"))</f>
        <v/>
      </c>
      <c r="AC15" t="str">
        <f>IF(CAPTURA!BH15="","",IFERROR(IF(INDEX(CODIFICACION!$E$2:$E$500,MATCH("D3.14f|"&amp;CAPTURA!BH15,CODIFICACION!$F$2:$F$500,0))="sin dato","",INDEX(CODIFICACION!$E$2:$E$500,MATCH("D3.14f|"&amp;CAPTURA!BH15,CODIFICACION!$F$2:$F$500,0))),"⚠"))</f>
        <v/>
      </c>
      <c r="AD15" t="str">
        <f>IF(CAPTURA!BI15="","",IFERROR(IF(INDEX(CODIFICACION!$E$2:$E$500,MATCH("D3.14g|"&amp;CAPTURA!BI15,CODIFICACION!$F$2:$F$500,0))="sin dato","",INDEX(CODIFICACION!$E$2:$E$500,MATCH("D3.14g|"&amp;CAPTURA!BI15,CODIFICACION!$F$2:$F$500,0))),"⚠"))</f>
        <v/>
      </c>
      <c r="AE15" t="str">
        <f>IF(CAPTURA!BJ15="","",IFERROR(IF(INDEX(CODIFICACION!$E$2:$E$500,MATCH("D3.14h|"&amp;CAPTURA!BJ15,CODIFICACION!$F$2:$F$500,0))="sin dato","",INDEX(CODIFICACION!$E$2:$E$500,MATCH("D3.14h|"&amp;CAPTURA!BJ15,CODIFICACION!$F$2:$F$500,0))),"⚠"))</f>
        <v/>
      </c>
      <c r="AF15" t="str">
        <f>IF(CAPTURA!BK15="","",IFERROR(IF(INDEX(CODIFICACION!$E$2:$E$500,MATCH("D3.14i|"&amp;CAPTURA!BK15,CODIFICACION!$F$2:$F$500,0))="sin dato","",INDEX(CODIFICACION!$E$2:$E$500,MATCH("D3.14i|"&amp;CAPTURA!BK15,CODIFICACION!$F$2:$F$500,0))),"⚠"))</f>
        <v/>
      </c>
      <c r="AG15" t="str">
        <f>IF(CAPTURA!BL15="","",IFERROR(IF(INDEX(CODIFICACION!$E$2:$E$500,MATCH("D4.15|"&amp;CAPTURA!BL15,CODIFICACION!$F$2:$F$500,0))="sin dato","",INDEX(CODIFICACION!$E$2:$E$500,MATCH("D4.15|"&amp;CAPTURA!BL15,CODIFICACION!$F$2:$F$500,0))),"⚠"))</f>
        <v/>
      </c>
      <c r="AH15" t="str">
        <f>IF(CAPTURA!BM15="","",IF(AND(ISNUMBER(CAPTURA!BM15),CAPTURA!BM15&gt;=0,CAPTURA!BM15&lt;=4),CAPTURA!BM15*25,"⚠"))</f>
        <v/>
      </c>
      <c r="AI15" t="str">
        <f>IF(CAPTURA!BN15="","",IFERROR(IF(INDEX(CODIFICACION!$E$2:$E$500,MATCH("D4.17|"&amp;CAPTURA!BN15,CODIFICACION!$F$2:$F$500,0))="sin dato","",INDEX(CODIFICACION!$E$2:$E$500,MATCH("D4.17|"&amp;CAPTURA!BN15,CODIFICACION!$F$2:$F$500,0))),"⚠"))</f>
        <v/>
      </c>
      <c r="AJ15" t="str">
        <f>IF(CAPTURA!BO15="","",IFERROR(IF(INDEX(CODIFICACION!$E$2:$E$500,MATCH("D4.15a|"&amp;CAPTURA!BO15,CODIFICACION!$F$2:$F$500,0))="sin dato","",INDEX(CODIFICACION!$E$2:$E$500,MATCH("D4.15a|"&amp;CAPTURA!BO15,CODIFICACION!$F$2:$F$500,0))),"⚠"))</f>
        <v/>
      </c>
      <c r="AK15" t="str">
        <f>IF(CAPTURA!BP15="","",IF(AND(ISNUMBER(CAPTURA!BP15),CAPTURA!BP15&gt;=0,CAPTURA!BP15&lt;=4),CAPTURA!BP15*25,"⚠"))</f>
        <v/>
      </c>
      <c r="AL15" t="str">
        <f>IF(CAPTURA!BQ15="","",IF(AND(ISNUMBER(CAPTURA!BQ15),CAPTURA!BQ15&gt;=0,CAPTURA!BQ15&lt;=4),CAPTURA!BQ15*25,"⚠"))</f>
        <v/>
      </c>
      <c r="AM15" t="str">
        <f>IF(CAPTURA!BR15="","",IFERROR(IF(INDEX(CODIFICACION!$E$2:$E$500,MATCH("D5.18b|"&amp;CAPTURA!BR15,CODIFICACION!$F$2:$F$500,0))="sin dato","",INDEX(CODIFICACION!$E$2:$E$500,MATCH("D5.18b|"&amp;CAPTURA!BR15,CODIFICACION!$F$2:$F$500,0))),"⚠"))</f>
        <v/>
      </c>
      <c r="AN15" t="str">
        <f>IF(CAPTURA!BS15="","",IFERROR(IF(INDEX(CODIFICACION!$E$2:$E$500,MATCH("D5.19|"&amp;CAPTURA!BS15,CODIFICACION!$F$2:$F$500,0))="sin dato","",INDEX(CODIFICACION!$E$2:$E$500,MATCH("D5.19|"&amp;CAPTURA!BS15,CODIFICACION!$F$2:$F$500,0))),"⚠"))</f>
        <v/>
      </c>
      <c r="AO15" t="str">
        <f>IF(CAPTURA!BT15="","",MIN(100,ROUND((LEN(CAPTURA!BT15)-LEN(SUBSTITUTE(CAPTURA!BT15,";",""))+1)/7*100,1)))</f>
        <v/>
      </c>
      <c r="AP15" t="str">
        <f>IF(CAPTURA!BU15="","",IFERROR(IF(INDEX(CODIFICACION!$E$2:$E$500,MATCH("D5.20|"&amp;CAPTURA!BU15,CODIFICACION!$F$2:$F$500,0))="sin dato","",INDEX(CODIFICACION!$E$2:$E$500,MATCH("D5.20|"&amp;CAPTURA!BU15,CODIFICACION!$F$2:$F$500,0))),"⚠"))</f>
        <v/>
      </c>
      <c r="AQ15" t="str">
        <f>IF(CAPTURA!BV15="","",IFERROR(IF(INDEX(CODIFICACION!$E$2:$E$500,MATCH("D5.21|"&amp;CAPTURA!BV15,CODIFICACION!$F$2:$F$500,0))="sin dato","",INDEX(CODIFICACION!$E$2:$E$500,MATCH("D5.21|"&amp;CAPTURA!BV15,CODIFICACION!$F$2:$F$500,0))),"⚠"))</f>
        <v/>
      </c>
      <c r="AR15" t="str">
        <f>IF(CAPTURA!BW15="","",IFERROR(IF(INDEX(CODIFICACION!$E$2:$E$500,MATCH("D5.21a|"&amp;CAPTURA!BW15,CODIFICACION!$F$2:$F$500,0))="sin dato","",INDEX(CODIFICACION!$E$2:$E$500,MATCH("D5.21a|"&amp;CAPTURA!BW15,CODIFICACION!$F$2:$F$500,0))),"⚠"))</f>
        <v/>
      </c>
      <c r="AS15" t="str">
        <f>IF(CAPTURA!BX15="","",IFERROR(IF(INDEX(CODIFICACION!$E$2:$E$500,MATCH("D5.21b|"&amp;CAPTURA!BX15,CODIFICACION!$F$2:$F$500,0))="sin dato","",INDEX(CODIFICACION!$E$2:$E$500,MATCH("D5.21b|"&amp;CAPTURA!BX15,CODIFICACION!$F$2:$F$500,0))),"⚠"))</f>
        <v/>
      </c>
      <c r="AT15" t="str">
        <f>IF(CAPTURA!BY15="","",IFERROR(IF(INDEX(CODIFICACION!$E$2:$E$500,MATCH("D6.22|"&amp;CAPTURA!BY15,CODIFICACION!$F$2:$F$500,0))="sin dato","",INDEX(CODIFICACION!$E$2:$E$500,MATCH("D6.22|"&amp;CAPTURA!BY15,CODIFICACION!$F$2:$F$500,0))),"⚠"))</f>
        <v/>
      </c>
      <c r="AU15" t="str">
        <f>IF(CAPTURA!BZ15="","",IFERROR(IF(INDEX(CODIFICACION!$E$2:$E$500,MATCH("D6.22a|"&amp;CAPTURA!BZ15,CODIFICACION!$F$2:$F$500,0))="sin dato","",INDEX(CODIFICACION!$E$2:$E$500,MATCH("D6.22a|"&amp;CAPTURA!BZ15,CODIFICACION!$F$2:$F$500,0))),"⚠"))</f>
        <v/>
      </c>
      <c r="AV15" t="str">
        <f>IF(CAPTURA!CA15="","",IFERROR(IF(INDEX(CODIFICACION!$E$2:$E$500,MATCH("D6.22b|"&amp;CAPTURA!CA15,CODIFICACION!$F$2:$F$500,0))="sin dato","",INDEX(CODIFICACION!$E$2:$E$500,MATCH("D6.22b|"&amp;CAPTURA!CA15,CODIFICACION!$F$2:$F$500,0))),"⚠"))</f>
        <v/>
      </c>
      <c r="AW15" t="str">
        <f>IF(CAPTURA!CB15="","",IFERROR(IF(INDEX(CODIFICACION!$E$2:$E$500,MATCH("D6.23|"&amp;CAPTURA!CB15,CODIFICACION!$F$2:$F$500,0))="sin dato","",INDEX(CODIFICACION!$E$2:$E$500,MATCH("D6.23|"&amp;CAPTURA!CB15,CODIFICACION!$F$2:$F$500,0))),"⚠"))</f>
        <v/>
      </c>
      <c r="AX15" t="str">
        <f>IF(CAPTURA!CC15="","",IFERROR(IF(INDEX(CODIFICACION!$E$2:$E$500,MATCH("D6.24|"&amp;CAPTURA!CC15,CODIFICACION!$F$2:$F$500,0))="sin dato","",INDEX(CODIFICACION!$E$2:$E$500,MATCH("D6.24|"&amp;CAPTURA!CC15,CODIFICACION!$F$2:$F$500,0))),"⚠"))</f>
        <v/>
      </c>
      <c r="AY15" t="str">
        <f>IF(CAPTURA!CD15="","",IFERROR(IF(INDEX(CODIFICACION!$E$2:$E$500,MATCH("D6.25|"&amp;CAPTURA!CD15,CODIFICACION!$F$2:$F$500,0))="sin dato","",INDEX(CODIFICACION!$E$2:$E$500,MATCH("D6.25|"&amp;CAPTURA!CD15,CODIFICACION!$F$2:$F$500,0))),"⚠"))</f>
        <v/>
      </c>
      <c r="AZ15" t="str">
        <f>IF(CAPTURA!CE15="","",IFERROR(IF(INDEX(CODIFICACION!$E$2:$E$500,MATCH("D6.25a|"&amp;CAPTURA!CE15,CODIFICACION!$F$2:$F$500,0))="sin dato","",INDEX(CODIFICACION!$E$2:$E$500,MATCH("D6.25a|"&amp;CAPTURA!CE15,CODIFICACION!$F$2:$F$500,0))),"⚠"))</f>
        <v/>
      </c>
      <c r="BA15" t="str">
        <f>IF(CAPTURA!CF15="","",IFERROR(IF(INDEX(CODIFICACION!$E$2:$E$500,MATCH("D6.25b|"&amp;CAPTURA!CF15,CODIFICACION!$F$2:$F$500,0))="sin dato","",INDEX(CODIFICACION!$E$2:$E$500,MATCH("D6.25b|"&amp;CAPTURA!CF15,CODIFICACION!$F$2:$F$500,0))),"⚠"))</f>
        <v/>
      </c>
      <c r="BB15" t="str">
        <f>IF(CAPTURA!CG15="","",IFERROR(IF(INDEX(CODIFICACION!$E$2:$E$500,MATCH("D6.22c|"&amp;CAPTURA!CG15,CODIFICACION!$F$2:$F$500,0))="sin dato","",INDEX(CODIFICACION!$E$2:$E$500,MATCH("D6.22c|"&amp;CAPTURA!CG15,CODIFICACION!$F$2:$F$500,0))),"⚠"))</f>
        <v/>
      </c>
      <c r="BC15" t="str">
        <f>IF(CAPTURA!CH15="","",IFERROR(IF(INDEX(CODIFICACION!$E$2:$E$500,MATCH("D7.26|"&amp;CAPTURA!CH15,CODIFICACION!$F$2:$F$500,0))="sin dato","",INDEX(CODIFICACION!$E$2:$E$500,MATCH("D7.26|"&amp;CAPTURA!CH15,CODIFICACION!$F$2:$F$500,0))),"⚠"))</f>
        <v/>
      </c>
      <c r="BD15" t="str">
        <f>IF(CAPTURA!CI15="","",IFERROR(IF(INDEX(CODIFICACION!$E$2:$E$500,MATCH("D7.27|"&amp;CAPTURA!CI15,CODIFICACION!$F$2:$F$500,0))="sin dato","",INDEX(CODIFICACION!$E$2:$E$500,MATCH("D7.27|"&amp;CAPTURA!CI15,CODIFICACION!$F$2:$F$500,0))),"⚠"))</f>
        <v/>
      </c>
      <c r="BE15" t="str">
        <f>IF(CAPTURA!CJ15="","",IFERROR(IF(INDEX(CODIFICACION!$E$2:$E$500,MATCH("D7.28|"&amp;CAPTURA!CJ15,CODIFICACION!$F$2:$F$500,0))="sin dato","",INDEX(CODIFICACION!$E$2:$E$500,MATCH("D7.28|"&amp;CAPTURA!CJ15,CODIFICACION!$F$2:$F$500,0))),"⚠"))</f>
        <v/>
      </c>
      <c r="BF15" t="str">
        <f>IF(CAPTURA!CK15="","",IFERROR(IF(INDEX(CODIFICACION!$E$2:$E$500,MATCH("D7.28b|"&amp;CAPTURA!CK15,CODIFICACION!$F$2:$F$500,0))="sin dato","",INDEX(CODIFICACION!$E$2:$E$500,MATCH("D7.28b|"&amp;CAPTURA!CK15,CODIFICACION!$F$2:$F$500,0))),"⚠"))</f>
        <v/>
      </c>
      <c r="BG15" t="str">
        <f>IF(CAPTURA!CL15="","",MIN(100,ROUND((LEN(CAPTURA!CL15)-LEN(SUBSTITUTE(CAPTURA!CL15,";",""))+1)/8*100,1)))</f>
        <v/>
      </c>
      <c r="BH15" t="str">
        <f>IF(CAPTURA!CM15="","",IFERROR(IF(INDEX(CODIFICACION!$E$2:$E$500,MATCH("D7.26a|"&amp;CAPTURA!CM15,CODIFICACION!$F$2:$F$500,0))="sin dato","",INDEX(CODIFICACION!$E$2:$E$500,MATCH("D7.26a|"&amp;CAPTURA!CM15,CODIFICACION!$F$2:$F$500,0))),"⚠"))</f>
        <v/>
      </c>
      <c r="BI15" t="str">
        <f>IF(CAPTURA!CN15="","",IFERROR(IF(INDEX(CODIFICACION!$E$2:$E$500,MATCH("D7.26b|"&amp;CAPTURA!CN15,CODIFICACION!$F$2:$F$500,0))="sin dato","",INDEX(CODIFICACION!$E$2:$E$500,MATCH("D7.26b|"&amp;CAPTURA!CN15,CODIFICACION!$F$2:$F$500,0))),"⚠"))</f>
        <v/>
      </c>
      <c r="BJ15" t="str">
        <f>IF(CAPTURA!CO15="","",IF(AND(ISNUMBER(CAPTURA!CO15),CAPTURA!CO15&gt;=0,CAPTURA!CO15&lt;=4),CAPTURA!CO15*25,"⚠"))</f>
        <v/>
      </c>
      <c r="BK15" t="str">
        <f>IF(CAPTURA!CP15="","",IF(ISNUMBER(CAPTURA!CP15),MAX(0,MIN(100,CAPTURA!CP15)),"⚠"))</f>
        <v/>
      </c>
      <c r="BL15" t="str">
        <f>IF(CAPTURA!CQ15="","",IFERROR(IF(INDEX(CODIFICACION!$E$2:$E$500,MATCH("D8.31|"&amp;CAPTURA!CQ15,CODIFICACION!$F$2:$F$500,0))="sin dato","",INDEX(CODIFICACION!$E$2:$E$500,MATCH("D8.31|"&amp;CAPTURA!CQ15,CODIFICACION!$F$2:$F$500,0))),"⚠"))</f>
        <v/>
      </c>
      <c r="BM15" t="str">
        <f>IF(CAPTURA!CR15="","",IFERROR(IF(INDEX(CODIFICACION!$E$2:$E$500,MATCH("D8.32|"&amp;CAPTURA!CR15,CODIFICACION!$F$2:$F$500,0))="sin dato","",INDEX(CODIFICACION!$E$2:$E$500,MATCH("D8.32|"&amp;CAPTURA!CR15,CODIFICACION!$F$2:$F$500,0))),"⚠"))</f>
        <v/>
      </c>
      <c r="BN15" t="str">
        <f>IF(CAPTURA!CS15="","",IFERROR(IF(INDEX(CODIFICACION!$E$2:$E$500,MATCH("D9.33|"&amp;CAPTURA!CS15,CODIFICACION!$F$2:$F$500,0))="sin dato","",INDEX(CODIFICACION!$E$2:$E$500,MATCH("D9.33|"&amp;CAPTURA!CS15,CODIFICACION!$F$2:$F$500,0))),"⚠"))</f>
        <v/>
      </c>
      <c r="BO15" t="str">
        <f>IF(CAPTURA!CT15="","",IFERROR(IF(INDEX(CODIFICACION!$E$2:$E$500,MATCH("D9.34|"&amp;CAPTURA!CT15,CODIFICACION!$F$2:$F$500,0))="sin dato","",INDEX(CODIFICACION!$E$2:$E$500,MATCH("D9.34|"&amp;CAPTURA!CT15,CODIFICACION!$F$2:$F$500,0))),"⚠"))</f>
        <v/>
      </c>
      <c r="BP15" t="str">
        <f>IF(CAPTURA!CU15="","",IFERROR(IF(INDEX(CODIFICACION!$E$2:$E$500,MATCH("D9.35|"&amp;CAPTURA!CU15,CODIFICACION!$F$2:$F$500,0))="sin dato","",INDEX(CODIFICACION!$E$2:$E$500,MATCH("D9.35|"&amp;CAPTURA!CU15,CODIFICACION!$F$2:$F$500,0))),"⚠"))</f>
        <v/>
      </c>
      <c r="BQ15" t="str">
        <f>IF(CAPTURA!CV15="","",IFERROR(IF(INDEX(CODIFICACION!$E$2:$E$500,MATCH("D10.36|"&amp;CAPTURA!CV15,CODIFICACION!$F$2:$F$500,0))="sin dato","",INDEX(CODIFICACION!$E$2:$E$500,MATCH("D10.36|"&amp;CAPTURA!CV15,CODIFICACION!$F$2:$F$500,0))),"⚠"))</f>
        <v/>
      </c>
      <c r="BR15" t="str">
        <f>IF(CAPTURA!CW15="","",IFERROR(IF(INDEX(CODIFICACION!$E$2:$E$500,MATCH("D10.37|"&amp;CAPTURA!CW15,CODIFICACION!$F$2:$F$500,0))="sin dato","",INDEX(CODIFICACION!$E$2:$E$500,MATCH("D10.37|"&amp;CAPTURA!CW15,CODIFICACION!$F$2:$F$500,0))),"⚠"))</f>
        <v/>
      </c>
      <c r="BS15" t="str">
        <f>IF(CAPTURA!CX15="","",IFERROR(IF(INDEX(CODIFICACION!$E$2:$E$500,MATCH("D10.36a|"&amp;CAPTURA!CX15,CODIFICACION!$F$2:$F$500,0))="sin dato","",INDEX(CODIFICACION!$E$2:$E$500,MATCH("D10.36a|"&amp;CAPTURA!CX15,CODIFICACION!$F$2:$F$500,0))),"⚠"))</f>
        <v/>
      </c>
      <c r="BT15" t="str">
        <f>IF(CAPTURA!CY15="","",IF(ISNUMBER(SEARCH("Ninguno",CAPTURA!CY15)),0,MIN(100,ROUND((LEN(CAPTURA!CY15)-LEN(SUBSTITUTE(CAPTURA!CY15,";",""))+1)/6*100,1))))</f>
        <v/>
      </c>
      <c r="BU15" t="str">
        <f>IF(CAPTURA!DA15="","",IFERROR(IF(INDEX(CODIFICACION!$E$2:$E$500,MATCH("D11.39a|"&amp;CAPTURA!DA15,CODIFICACION!$F$2:$F$500,0))="sin dato","",INDEX(CODIFICACION!$E$2:$E$500,MATCH("D11.39a|"&amp;CAPTURA!DA15,CODIFICACION!$F$2:$F$500,0))),"⚠"))</f>
        <v/>
      </c>
      <c r="BV15" t="str">
        <f>IF(CAPTURA!DB15="","",IFERROR(IF(INDEX(CODIFICACION!$E$2:$E$500,MATCH("D12.42|"&amp;CAPTURA!DB15,CODIFICACION!$F$2:$F$500,0))="sin dato","",INDEX(CODIFICACION!$E$2:$E$500,MATCH("D12.42|"&amp;CAPTURA!DB15,CODIFICACION!$F$2:$F$500,0))),"⚠"))</f>
        <v/>
      </c>
      <c r="BW15" t="str">
        <f>IF(CAPTURA!DC15="","",IFERROR(IF(INDEX(CODIFICACION!$E$2:$E$500,MATCH("D13.45|"&amp;CAPTURA!DC15,CODIFICACION!$F$2:$F$500,0))="sin dato","",INDEX(CODIFICACION!$E$2:$E$500,MATCH("D13.45|"&amp;CAPTURA!DC15,CODIFICACION!$F$2:$F$500,0))),"⚠"))</f>
        <v/>
      </c>
      <c r="BX15" t="str">
        <f>IF(CAPTURA!DD15="","",IFERROR(IF(INDEX(CODIFICACION!$E$2:$E$500,MATCH("D14.51|"&amp;CAPTURA!DD15,CODIFICACION!$F$2:$F$500,0))="sin dato","",INDEX(CODIFICACION!$E$2:$E$500,MATCH("D14.51|"&amp;CAPTURA!DD15,CODIFICACION!$F$2:$F$500,0))),"⚠"))</f>
        <v/>
      </c>
      <c r="BY15" t="str">
        <f>IF(CAPTURA!DE15="","",IFERROR(IF(INDEX(CODIFICACION!$E$2:$E$500,MATCH("D15.58|"&amp;CAPTURA!DE15,CODIFICACION!$F$2:$F$500,0))="sin dato","",INDEX(CODIFICACION!$E$2:$E$500,MATCH("D15.58|"&amp;CAPTURA!DE15,CODIFICACION!$F$2:$F$500,0))),"⚠"))</f>
        <v/>
      </c>
      <c r="BZ15" t="str">
        <f>IF(CAPTURA!DF15="","",IFERROR(IF(INDEX(CODIFICACION!$E$2:$E$500,MATCH("PP1|"&amp;CAPTURA!DF15,CODIFICACION!$F$2:$F$500,0))="sin dato","",INDEX(CODIFICACION!$E$2:$E$500,MATCH("PP1|"&amp;CAPTURA!DF15,CODIFICACION!$F$2:$F$500,0))),"⚠"))</f>
        <v/>
      </c>
      <c r="CA15" t="str">
        <f>IF(CAPTURA!DG15="","",IFERROR(IF(INDEX(CODIFICACION!$E$2:$E$500,MATCH("PP2|"&amp;CAPTURA!DG15,CODIFICACION!$F$2:$F$500,0))="sin dato","",INDEX(CODIFICACION!$E$2:$E$500,MATCH("PP2|"&amp;CAPTURA!DG15,CODIFICACION!$F$2:$F$500,0))),"⚠"))</f>
        <v/>
      </c>
      <c r="CB15" t="str">
        <f t="shared" si="0"/>
        <v/>
      </c>
      <c r="CC15" t="str">
        <f t="shared" si="1"/>
        <v/>
      </c>
      <c r="CD15" t="str">
        <f t="shared" si="2"/>
        <v/>
      </c>
      <c r="CE15" t="str">
        <f t="shared" si="3"/>
        <v/>
      </c>
      <c r="CF15" t="str">
        <f t="shared" si="4"/>
        <v/>
      </c>
      <c r="CG15" t="str">
        <f t="shared" si="5"/>
        <v/>
      </c>
      <c r="CH15" t="str">
        <f t="shared" si="6"/>
        <v/>
      </c>
      <c r="CI15" t="str">
        <f t="shared" si="7"/>
        <v/>
      </c>
      <c r="CJ15" t="str">
        <f t="shared" si="8"/>
        <v/>
      </c>
      <c r="CK15" t="str">
        <f t="shared" si="9"/>
        <v/>
      </c>
      <c r="CL15" t="str">
        <f t="shared" si="10"/>
        <v/>
      </c>
    </row>
    <row r="16" spans="1:90" x14ac:dyDescent="0.3">
      <c r="A16">
        <f>CAPTURA!A16</f>
        <v>20146696041</v>
      </c>
      <c r="B16">
        <f>CAPTURA!C16</f>
        <v>0</v>
      </c>
      <c r="C16" t="str">
        <f>IF(CAPTURA!M16="","",ROUND((ISNUMBER(SEARCH("Alemania",CAPTURA!M16))+ISNUMBER(SEARCH("Bélgica",CAPTURA!M16))+ISNUMBER(SEARCH("Países Bajos",CAPTURA!M16))+ISNUMBER(SEARCH("Francia",CAPTURA!M16))+ISNUMBER(SEARCH("Italia",CAPTURA!M16))+ISNUMBER(SEARCH("España",CAPTURA!M16))+ISNUMBER(SEARCH("Suecia",CAPTURA!M16))+ISNUMBER(SEARCH("Dinamarca",CAPTURA!M16)))/((LEN(CAPTURA!M16)-LEN(SUBSTITUTE(CAPTURA!M16,";","")))+1)*100,1))</f>
        <v/>
      </c>
      <c r="D16" t="str">
        <f>IF(CAPTURA!AE16="","",IFERROR(IF(INDEX(CODIFICACION!$E$2:$E$500,MATCH("P8|"&amp;CAPTURA!AE16,CODIFICACION!$F$2:$F$500,0))="sin dato","",INDEX(CODIFICACION!$E$2:$E$500,MATCH("P8|"&amp;CAPTURA!AE16,CODIFICACION!$F$2:$F$500,0))),"⚠"))</f>
        <v/>
      </c>
      <c r="E16" t="str">
        <f>IF(CAPTURA!AG16="","",IFERROR(IF(INDEX(CODIFICACION!$E$2:$E$500,MATCH("P10|"&amp;CAPTURA!AG16,CODIFICACION!$F$2:$F$500,0))="sin dato","",INDEX(CODIFICACION!$E$2:$E$500,MATCH("P10|"&amp;CAPTURA!AG16,CODIFICACION!$F$2:$F$500,0))),"⚠"))</f>
        <v/>
      </c>
      <c r="F16" t="str">
        <f>IF(CAPTURA!AJ16="","",IFERROR(IF(INDEX(CODIFICACION!$E$2:$E$500,MATCH("P13|"&amp;CAPTURA!AJ16,CODIFICACION!$F$2:$F$500,0))="sin dato","",INDEX(CODIFICACION!$E$2:$E$500,MATCH("P13|"&amp;CAPTURA!AJ16,CODIFICACION!$F$2:$F$500,0))),"⚠"))</f>
        <v/>
      </c>
      <c r="G16" t="str">
        <f>IF(CAPTURA!AK16="","",IFERROR(IF(INDEX(CODIFICACION!$E$2:$E$500,MATCH("P14|"&amp;CAPTURA!AK16,CODIFICACION!$F$2:$F$500,0))="sin dato","",INDEX(CODIFICACION!$E$2:$E$500,MATCH("P14|"&amp;CAPTURA!AK16,CODIFICACION!$F$2:$F$500,0))),"⚠"))</f>
        <v/>
      </c>
      <c r="H16" t="str">
        <f>IF(CAPTURA!AL16="","",IFERROR(IF(INDEX(CODIFICACION!$E$2:$E$500,MATCH("D1.1|"&amp;CAPTURA!AL16,CODIFICACION!$F$2:$F$500,0))="sin dato","",INDEX(CODIFICACION!$E$2:$E$500,MATCH("D1.1|"&amp;CAPTURA!AL16,CODIFICACION!$F$2:$F$500,0))),"⚠"))</f>
        <v/>
      </c>
      <c r="I16" t="str">
        <f>IF(CAPTURA!AN16="","",IFERROR(IF(INDEX(CODIFICACION!$E$2:$E$500,MATCH("D1.3|"&amp;CAPTURA!AN16,CODIFICACION!$F$2:$F$500,0))="sin dato","",INDEX(CODIFICACION!$E$2:$E$500,MATCH("D1.3|"&amp;CAPTURA!AN16,CODIFICACION!$F$2:$F$500,0))),"⚠"))</f>
        <v/>
      </c>
      <c r="J16" t="str">
        <f>IF(CAPTURA!AO16="","",IFERROR(IF(INDEX(CODIFICACION!$E$2:$E$500,MATCH("D1.4|"&amp;CAPTURA!AO16,CODIFICACION!$F$2:$F$500,0))="sin dato","",INDEX(CODIFICACION!$E$2:$E$500,MATCH("D1.4|"&amp;CAPTURA!AO16,CODIFICACION!$F$2:$F$500,0))),"⚠"))</f>
        <v/>
      </c>
      <c r="K16" t="str">
        <f>IF(CAPTURA!AP16="","",IFERROR(IF(INDEX(CODIFICACION!$E$2:$E$500,MATCH("D1.3a|"&amp;CAPTURA!AP16,CODIFICACION!$F$2:$F$500,0))="sin dato","",INDEX(CODIFICACION!$E$2:$E$500,MATCH("D1.3a|"&amp;CAPTURA!AP16,CODIFICACION!$F$2:$F$500,0))),"⚠"))</f>
        <v/>
      </c>
      <c r="L16" t="str">
        <f>IF(CAPTURA!AQ16="","",IF(AND(ISNUMBER(CAPTURA!AQ16),CAPTURA!AQ16&gt;=0,CAPTURA!AQ16&lt;=4),CAPTURA!AQ16*25,"⚠"))</f>
        <v/>
      </c>
      <c r="M16" t="str">
        <f>IF(CAPTURA!AR16="","",IF(ISNUMBER(CAPTURA!AR16),MAX(0,MIN(100,CAPTURA!AR16)),"⚠"))</f>
        <v/>
      </c>
      <c r="N16" t="str">
        <f>IF(CAPTURA!AS16="","",IF(AND(ISNUMBER(CAPTURA!AS16),CAPTURA!AS16&gt;=0,CAPTURA!AS16&lt;=4),CAPTURA!AS16*25,"⚠"))</f>
        <v/>
      </c>
      <c r="O16" t="str">
        <f>IF(CAPTURA!AT16="","",IFERROR(IF(INDEX(CODIFICACION!$E$2:$E$500,MATCH("D2.8|"&amp;CAPTURA!AT16,CODIFICACION!$F$2:$F$500,0))="sin dato","",INDEX(CODIFICACION!$E$2:$E$500,MATCH("D2.8|"&amp;CAPTURA!AT16,CODIFICACION!$F$2:$F$500,0))),"⚠"))</f>
        <v/>
      </c>
      <c r="P16" t="str">
        <f>IF(CAPTURA!AU16="","",IFERROR(IF(INDEX(CODIFICACION!$E$2:$E$500,MATCH("D2.9|"&amp;CAPTURA!AU16,CODIFICACION!$F$2:$F$500,0))="sin dato","",INDEX(CODIFICACION!$E$2:$E$500,MATCH("D2.9|"&amp;CAPTURA!AU16,CODIFICACION!$F$2:$F$500,0))),"⚠"))</f>
        <v/>
      </c>
      <c r="Q16" t="str">
        <f>IF(CAPTURA!AV16="","",IFERROR(IF(INDEX(CODIFICACION!$E$2:$E$500,MATCH("D2.10|"&amp;CAPTURA!AV16,CODIFICACION!$F$2:$F$500,0))="sin dato","",INDEX(CODIFICACION!$E$2:$E$500,MATCH("D2.10|"&amp;CAPTURA!AV16,CODIFICACION!$F$2:$F$500,0))),"⚠"))</f>
        <v/>
      </c>
      <c r="R16" t="str">
        <f>IF(CAPTURA!AW16="","",IFERROR(IF(INDEX(CODIFICACION!$E$2:$E$500,MATCH("D2.5a|"&amp;CAPTURA!AW16,CODIFICACION!$F$2:$F$500,0))="sin dato","",INDEX(CODIFICACION!$E$2:$E$500,MATCH("D2.5a|"&amp;CAPTURA!AW16,CODIFICACION!$F$2:$F$500,0))),"⚠"))</f>
        <v/>
      </c>
      <c r="S16" t="str">
        <f>IF(CAPTURA!AX16="","",IFERROR(IF(INDEX(CODIFICACION!$E$2:$E$500,MATCH("D2.5b|"&amp;CAPTURA!AX16,CODIFICACION!$F$2:$F$500,0))="sin dato","",INDEX(CODIFICACION!$E$2:$E$500,MATCH("D2.5b|"&amp;CAPTURA!AX16,CODIFICACION!$F$2:$F$500,0))),"⚠"))</f>
        <v/>
      </c>
      <c r="T16" t="str">
        <f>IF(CAPTURA!AY16="","",IF(ISNUMBER(CAPTURA!AY16),MAX(0,MIN(100,CAPTURA!AY16)),"⚠"))</f>
        <v/>
      </c>
      <c r="U16" t="str">
        <f>IF(CAPTURA!AZ16="","",IFERROR(IF(INDEX(CODIFICACION!$E$2:$E$500,MATCH("D3.12|"&amp;CAPTURA!AZ16,CODIFICACION!$F$2:$F$500,0))="sin dato","",INDEX(CODIFICACION!$E$2:$E$500,MATCH("D3.12|"&amp;CAPTURA!AZ16,CODIFICACION!$F$2:$F$500,0))),"⚠"))</f>
        <v/>
      </c>
      <c r="V16" t="str">
        <f>IF(CAPTURA!BA16="","",IF(AND(ISNUMBER(CAPTURA!BA16),CAPTURA!BA16&gt;=0,CAPTURA!BA16&lt;=4),CAPTURA!BA16*25,"⚠"))</f>
        <v/>
      </c>
      <c r="W16" t="str">
        <f>IF(CAPTURA!BB16="","",IFERROR(IF(INDEX(CODIFICACION!$E$2:$E$500,MATCH("D3.14|"&amp;CAPTURA!BB16,CODIFICACION!$F$2:$F$500,0))="sin dato","",INDEX(CODIFICACION!$E$2:$E$500,MATCH("D3.14|"&amp;CAPTURA!BB16,CODIFICACION!$F$2:$F$500,0))),"⚠"))</f>
        <v/>
      </c>
      <c r="X16" t="str">
        <f>IF(CAPTURA!BC16="","",IFERROR(IF(INDEX(CODIFICACION!$E$2:$E$500,MATCH("D3.14a|"&amp;CAPTURA!BC16,CODIFICACION!$F$2:$F$500,0))="sin dato","",INDEX(CODIFICACION!$E$2:$E$500,MATCH("D3.14a|"&amp;CAPTURA!BC16,CODIFICACION!$F$2:$F$500,0))),"⚠"))</f>
        <v/>
      </c>
      <c r="Y16" t="str">
        <f>IF(CAPTURA!BD16="","",IFERROR(IF(INDEX(CODIFICACION!$E$2:$E$500,MATCH("D3.14b|"&amp;CAPTURA!BD16,CODIFICACION!$F$2:$F$500,0))="sin dato","",INDEX(CODIFICACION!$E$2:$E$500,MATCH("D3.14b|"&amp;CAPTURA!BD16,CODIFICACION!$F$2:$F$500,0))),"⚠"))</f>
        <v/>
      </c>
      <c r="Z16" t="str">
        <f>IF(CAPTURA!BE16="","",IFERROR(IF(INDEX(CODIFICACION!$E$2:$E$500,MATCH("D3.14c|"&amp;CAPTURA!BE16,CODIFICACION!$F$2:$F$500,0))="sin dato","",INDEX(CODIFICACION!$E$2:$E$500,MATCH("D3.14c|"&amp;CAPTURA!BE16,CODIFICACION!$F$2:$F$500,0))),"⚠"))</f>
        <v/>
      </c>
      <c r="AA16" t="str">
        <f>IF(CAPTURA!BF16="","",IFERROR(IF(INDEX(CODIFICACION!$E$2:$E$500,MATCH("D3.14d|"&amp;CAPTURA!BF16,CODIFICACION!$F$2:$F$500,0))="sin dato","",INDEX(CODIFICACION!$E$2:$E$500,MATCH("D3.14d|"&amp;CAPTURA!BF16,CODIFICACION!$F$2:$F$500,0))),"⚠"))</f>
        <v/>
      </c>
      <c r="AB16" t="str">
        <f>IF(CAPTURA!BG16="","",IFERROR(IF(INDEX(CODIFICACION!$E$2:$E$500,MATCH("D3.14e|"&amp;CAPTURA!BG16,CODIFICACION!$F$2:$F$500,0))="sin dato","",INDEX(CODIFICACION!$E$2:$E$500,MATCH("D3.14e|"&amp;CAPTURA!BG16,CODIFICACION!$F$2:$F$500,0))),"⚠"))</f>
        <v/>
      </c>
      <c r="AC16" t="str">
        <f>IF(CAPTURA!BH16="","",IFERROR(IF(INDEX(CODIFICACION!$E$2:$E$500,MATCH("D3.14f|"&amp;CAPTURA!BH16,CODIFICACION!$F$2:$F$500,0))="sin dato","",INDEX(CODIFICACION!$E$2:$E$500,MATCH("D3.14f|"&amp;CAPTURA!BH16,CODIFICACION!$F$2:$F$500,0))),"⚠"))</f>
        <v/>
      </c>
      <c r="AD16" t="str">
        <f>IF(CAPTURA!BI16="","",IFERROR(IF(INDEX(CODIFICACION!$E$2:$E$500,MATCH("D3.14g|"&amp;CAPTURA!BI16,CODIFICACION!$F$2:$F$500,0))="sin dato","",INDEX(CODIFICACION!$E$2:$E$500,MATCH("D3.14g|"&amp;CAPTURA!BI16,CODIFICACION!$F$2:$F$500,0))),"⚠"))</f>
        <v/>
      </c>
      <c r="AE16" t="str">
        <f>IF(CAPTURA!BJ16="","",IFERROR(IF(INDEX(CODIFICACION!$E$2:$E$500,MATCH("D3.14h|"&amp;CAPTURA!BJ16,CODIFICACION!$F$2:$F$500,0))="sin dato","",INDEX(CODIFICACION!$E$2:$E$500,MATCH("D3.14h|"&amp;CAPTURA!BJ16,CODIFICACION!$F$2:$F$500,0))),"⚠"))</f>
        <v/>
      </c>
      <c r="AF16" t="str">
        <f>IF(CAPTURA!BK16="","",IFERROR(IF(INDEX(CODIFICACION!$E$2:$E$500,MATCH("D3.14i|"&amp;CAPTURA!BK16,CODIFICACION!$F$2:$F$500,0))="sin dato","",INDEX(CODIFICACION!$E$2:$E$500,MATCH("D3.14i|"&amp;CAPTURA!BK16,CODIFICACION!$F$2:$F$500,0))),"⚠"))</f>
        <v/>
      </c>
      <c r="AG16" t="str">
        <f>IF(CAPTURA!BL16="","",IFERROR(IF(INDEX(CODIFICACION!$E$2:$E$500,MATCH("D4.15|"&amp;CAPTURA!BL16,CODIFICACION!$F$2:$F$500,0))="sin dato","",INDEX(CODIFICACION!$E$2:$E$500,MATCH("D4.15|"&amp;CAPTURA!BL16,CODIFICACION!$F$2:$F$500,0))),"⚠"))</f>
        <v/>
      </c>
      <c r="AH16" t="str">
        <f>IF(CAPTURA!BM16="","",IF(AND(ISNUMBER(CAPTURA!BM16),CAPTURA!BM16&gt;=0,CAPTURA!BM16&lt;=4),CAPTURA!BM16*25,"⚠"))</f>
        <v/>
      </c>
      <c r="AI16" t="str">
        <f>IF(CAPTURA!BN16="","",IFERROR(IF(INDEX(CODIFICACION!$E$2:$E$500,MATCH("D4.17|"&amp;CAPTURA!BN16,CODIFICACION!$F$2:$F$500,0))="sin dato","",INDEX(CODIFICACION!$E$2:$E$500,MATCH("D4.17|"&amp;CAPTURA!BN16,CODIFICACION!$F$2:$F$500,0))),"⚠"))</f>
        <v/>
      </c>
      <c r="AJ16" t="str">
        <f>IF(CAPTURA!BO16="","",IFERROR(IF(INDEX(CODIFICACION!$E$2:$E$500,MATCH("D4.15a|"&amp;CAPTURA!BO16,CODIFICACION!$F$2:$F$500,0))="sin dato","",INDEX(CODIFICACION!$E$2:$E$500,MATCH("D4.15a|"&amp;CAPTURA!BO16,CODIFICACION!$F$2:$F$500,0))),"⚠"))</f>
        <v/>
      </c>
      <c r="AK16" t="str">
        <f>IF(CAPTURA!BP16="","",IF(AND(ISNUMBER(CAPTURA!BP16),CAPTURA!BP16&gt;=0,CAPTURA!BP16&lt;=4),CAPTURA!BP16*25,"⚠"))</f>
        <v/>
      </c>
      <c r="AL16" t="str">
        <f>IF(CAPTURA!BQ16="","",IF(AND(ISNUMBER(CAPTURA!BQ16),CAPTURA!BQ16&gt;=0,CAPTURA!BQ16&lt;=4),CAPTURA!BQ16*25,"⚠"))</f>
        <v/>
      </c>
      <c r="AM16" t="str">
        <f>IF(CAPTURA!BR16="","",IFERROR(IF(INDEX(CODIFICACION!$E$2:$E$500,MATCH("D5.18b|"&amp;CAPTURA!BR16,CODIFICACION!$F$2:$F$500,0))="sin dato","",INDEX(CODIFICACION!$E$2:$E$500,MATCH("D5.18b|"&amp;CAPTURA!BR16,CODIFICACION!$F$2:$F$500,0))),"⚠"))</f>
        <v/>
      </c>
      <c r="AN16" t="str">
        <f>IF(CAPTURA!BS16="","",IFERROR(IF(INDEX(CODIFICACION!$E$2:$E$500,MATCH("D5.19|"&amp;CAPTURA!BS16,CODIFICACION!$F$2:$F$500,0))="sin dato","",INDEX(CODIFICACION!$E$2:$E$500,MATCH("D5.19|"&amp;CAPTURA!BS16,CODIFICACION!$F$2:$F$500,0))),"⚠"))</f>
        <v/>
      </c>
      <c r="AO16" t="str">
        <f>IF(CAPTURA!BT16="","",MIN(100,ROUND((LEN(CAPTURA!BT16)-LEN(SUBSTITUTE(CAPTURA!BT16,";",""))+1)/7*100,1)))</f>
        <v/>
      </c>
      <c r="AP16" t="str">
        <f>IF(CAPTURA!BU16="","",IFERROR(IF(INDEX(CODIFICACION!$E$2:$E$500,MATCH("D5.20|"&amp;CAPTURA!BU16,CODIFICACION!$F$2:$F$500,0))="sin dato","",INDEX(CODIFICACION!$E$2:$E$500,MATCH("D5.20|"&amp;CAPTURA!BU16,CODIFICACION!$F$2:$F$500,0))),"⚠"))</f>
        <v/>
      </c>
      <c r="AQ16" t="str">
        <f>IF(CAPTURA!BV16="","",IFERROR(IF(INDEX(CODIFICACION!$E$2:$E$500,MATCH("D5.21|"&amp;CAPTURA!BV16,CODIFICACION!$F$2:$F$500,0))="sin dato","",INDEX(CODIFICACION!$E$2:$E$500,MATCH("D5.21|"&amp;CAPTURA!BV16,CODIFICACION!$F$2:$F$500,0))),"⚠"))</f>
        <v/>
      </c>
      <c r="AR16" t="str">
        <f>IF(CAPTURA!BW16="","",IFERROR(IF(INDEX(CODIFICACION!$E$2:$E$500,MATCH("D5.21a|"&amp;CAPTURA!BW16,CODIFICACION!$F$2:$F$500,0))="sin dato","",INDEX(CODIFICACION!$E$2:$E$500,MATCH("D5.21a|"&amp;CAPTURA!BW16,CODIFICACION!$F$2:$F$500,0))),"⚠"))</f>
        <v/>
      </c>
      <c r="AS16" t="str">
        <f>IF(CAPTURA!BX16="","",IFERROR(IF(INDEX(CODIFICACION!$E$2:$E$500,MATCH("D5.21b|"&amp;CAPTURA!BX16,CODIFICACION!$F$2:$F$500,0))="sin dato","",INDEX(CODIFICACION!$E$2:$E$500,MATCH("D5.21b|"&amp;CAPTURA!BX16,CODIFICACION!$F$2:$F$500,0))),"⚠"))</f>
        <v/>
      </c>
      <c r="AT16" t="str">
        <f>IF(CAPTURA!BY16="","",IFERROR(IF(INDEX(CODIFICACION!$E$2:$E$500,MATCH("D6.22|"&amp;CAPTURA!BY16,CODIFICACION!$F$2:$F$500,0))="sin dato","",INDEX(CODIFICACION!$E$2:$E$500,MATCH("D6.22|"&amp;CAPTURA!BY16,CODIFICACION!$F$2:$F$500,0))),"⚠"))</f>
        <v/>
      </c>
      <c r="AU16" t="str">
        <f>IF(CAPTURA!BZ16="","",IFERROR(IF(INDEX(CODIFICACION!$E$2:$E$500,MATCH("D6.22a|"&amp;CAPTURA!BZ16,CODIFICACION!$F$2:$F$500,0))="sin dato","",INDEX(CODIFICACION!$E$2:$E$500,MATCH("D6.22a|"&amp;CAPTURA!BZ16,CODIFICACION!$F$2:$F$500,0))),"⚠"))</f>
        <v/>
      </c>
      <c r="AV16" t="str">
        <f>IF(CAPTURA!CA16="","",IFERROR(IF(INDEX(CODIFICACION!$E$2:$E$500,MATCH("D6.22b|"&amp;CAPTURA!CA16,CODIFICACION!$F$2:$F$500,0))="sin dato","",INDEX(CODIFICACION!$E$2:$E$500,MATCH("D6.22b|"&amp;CAPTURA!CA16,CODIFICACION!$F$2:$F$500,0))),"⚠"))</f>
        <v/>
      </c>
      <c r="AW16" t="str">
        <f>IF(CAPTURA!CB16="","",IFERROR(IF(INDEX(CODIFICACION!$E$2:$E$500,MATCH("D6.23|"&amp;CAPTURA!CB16,CODIFICACION!$F$2:$F$500,0))="sin dato","",INDEX(CODIFICACION!$E$2:$E$500,MATCH("D6.23|"&amp;CAPTURA!CB16,CODIFICACION!$F$2:$F$500,0))),"⚠"))</f>
        <v/>
      </c>
      <c r="AX16" t="str">
        <f>IF(CAPTURA!CC16="","",IFERROR(IF(INDEX(CODIFICACION!$E$2:$E$500,MATCH("D6.24|"&amp;CAPTURA!CC16,CODIFICACION!$F$2:$F$500,0))="sin dato","",INDEX(CODIFICACION!$E$2:$E$500,MATCH("D6.24|"&amp;CAPTURA!CC16,CODIFICACION!$F$2:$F$500,0))),"⚠"))</f>
        <v/>
      </c>
      <c r="AY16" t="str">
        <f>IF(CAPTURA!CD16="","",IFERROR(IF(INDEX(CODIFICACION!$E$2:$E$500,MATCH("D6.25|"&amp;CAPTURA!CD16,CODIFICACION!$F$2:$F$500,0))="sin dato","",INDEX(CODIFICACION!$E$2:$E$500,MATCH("D6.25|"&amp;CAPTURA!CD16,CODIFICACION!$F$2:$F$500,0))),"⚠"))</f>
        <v/>
      </c>
      <c r="AZ16" t="str">
        <f>IF(CAPTURA!CE16="","",IFERROR(IF(INDEX(CODIFICACION!$E$2:$E$500,MATCH("D6.25a|"&amp;CAPTURA!CE16,CODIFICACION!$F$2:$F$500,0))="sin dato","",INDEX(CODIFICACION!$E$2:$E$500,MATCH("D6.25a|"&amp;CAPTURA!CE16,CODIFICACION!$F$2:$F$500,0))),"⚠"))</f>
        <v/>
      </c>
      <c r="BA16" t="str">
        <f>IF(CAPTURA!CF16="","",IFERROR(IF(INDEX(CODIFICACION!$E$2:$E$500,MATCH("D6.25b|"&amp;CAPTURA!CF16,CODIFICACION!$F$2:$F$500,0))="sin dato","",INDEX(CODIFICACION!$E$2:$E$500,MATCH("D6.25b|"&amp;CAPTURA!CF16,CODIFICACION!$F$2:$F$500,0))),"⚠"))</f>
        <v/>
      </c>
      <c r="BB16" t="str">
        <f>IF(CAPTURA!CG16="","",IFERROR(IF(INDEX(CODIFICACION!$E$2:$E$500,MATCH("D6.22c|"&amp;CAPTURA!CG16,CODIFICACION!$F$2:$F$500,0))="sin dato","",INDEX(CODIFICACION!$E$2:$E$500,MATCH("D6.22c|"&amp;CAPTURA!CG16,CODIFICACION!$F$2:$F$500,0))),"⚠"))</f>
        <v/>
      </c>
      <c r="BC16" t="str">
        <f>IF(CAPTURA!CH16="","",IFERROR(IF(INDEX(CODIFICACION!$E$2:$E$500,MATCH("D7.26|"&amp;CAPTURA!CH16,CODIFICACION!$F$2:$F$500,0))="sin dato","",INDEX(CODIFICACION!$E$2:$E$500,MATCH("D7.26|"&amp;CAPTURA!CH16,CODIFICACION!$F$2:$F$500,0))),"⚠"))</f>
        <v/>
      </c>
      <c r="BD16" t="str">
        <f>IF(CAPTURA!CI16="","",IFERROR(IF(INDEX(CODIFICACION!$E$2:$E$500,MATCH("D7.27|"&amp;CAPTURA!CI16,CODIFICACION!$F$2:$F$500,0))="sin dato","",INDEX(CODIFICACION!$E$2:$E$500,MATCH("D7.27|"&amp;CAPTURA!CI16,CODIFICACION!$F$2:$F$500,0))),"⚠"))</f>
        <v/>
      </c>
      <c r="BE16" t="str">
        <f>IF(CAPTURA!CJ16="","",IFERROR(IF(INDEX(CODIFICACION!$E$2:$E$500,MATCH("D7.28|"&amp;CAPTURA!CJ16,CODIFICACION!$F$2:$F$500,0))="sin dato","",INDEX(CODIFICACION!$E$2:$E$500,MATCH("D7.28|"&amp;CAPTURA!CJ16,CODIFICACION!$F$2:$F$500,0))),"⚠"))</f>
        <v/>
      </c>
      <c r="BF16" t="str">
        <f>IF(CAPTURA!CK16="","",IFERROR(IF(INDEX(CODIFICACION!$E$2:$E$500,MATCH("D7.28b|"&amp;CAPTURA!CK16,CODIFICACION!$F$2:$F$500,0))="sin dato","",INDEX(CODIFICACION!$E$2:$E$500,MATCH("D7.28b|"&amp;CAPTURA!CK16,CODIFICACION!$F$2:$F$500,0))),"⚠"))</f>
        <v/>
      </c>
      <c r="BG16" t="str">
        <f>IF(CAPTURA!CL16="","",MIN(100,ROUND((LEN(CAPTURA!CL16)-LEN(SUBSTITUTE(CAPTURA!CL16,";",""))+1)/8*100,1)))</f>
        <v/>
      </c>
      <c r="BH16" t="str">
        <f>IF(CAPTURA!CM16="","",IFERROR(IF(INDEX(CODIFICACION!$E$2:$E$500,MATCH("D7.26a|"&amp;CAPTURA!CM16,CODIFICACION!$F$2:$F$500,0))="sin dato","",INDEX(CODIFICACION!$E$2:$E$500,MATCH("D7.26a|"&amp;CAPTURA!CM16,CODIFICACION!$F$2:$F$500,0))),"⚠"))</f>
        <v/>
      </c>
      <c r="BI16" t="str">
        <f>IF(CAPTURA!CN16="","",IFERROR(IF(INDEX(CODIFICACION!$E$2:$E$500,MATCH("D7.26b|"&amp;CAPTURA!CN16,CODIFICACION!$F$2:$F$500,0))="sin dato","",INDEX(CODIFICACION!$E$2:$E$500,MATCH("D7.26b|"&amp;CAPTURA!CN16,CODIFICACION!$F$2:$F$500,0))),"⚠"))</f>
        <v/>
      </c>
      <c r="BJ16" t="str">
        <f>IF(CAPTURA!CO16="","",IF(AND(ISNUMBER(CAPTURA!CO16),CAPTURA!CO16&gt;=0,CAPTURA!CO16&lt;=4),CAPTURA!CO16*25,"⚠"))</f>
        <v/>
      </c>
      <c r="BK16" t="str">
        <f>IF(CAPTURA!CP16="","",IF(ISNUMBER(CAPTURA!CP16),MAX(0,MIN(100,CAPTURA!CP16)),"⚠"))</f>
        <v/>
      </c>
      <c r="BL16" t="str">
        <f>IF(CAPTURA!CQ16="","",IFERROR(IF(INDEX(CODIFICACION!$E$2:$E$500,MATCH("D8.31|"&amp;CAPTURA!CQ16,CODIFICACION!$F$2:$F$500,0))="sin dato","",INDEX(CODIFICACION!$E$2:$E$500,MATCH("D8.31|"&amp;CAPTURA!CQ16,CODIFICACION!$F$2:$F$500,0))),"⚠"))</f>
        <v/>
      </c>
      <c r="BM16" t="str">
        <f>IF(CAPTURA!CR16="","",IFERROR(IF(INDEX(CODIFICACION!$E$2:$E$500,MATCH("D8.32|"&amp;CAPTURA!CR16,CODIFICACION!$F$2:$F$500,0))="sin dato","",INDEX(CODIFICACION!$E$2:$E$500,MATCH("D8.32|"&amp;CAPTURA!CR16,CODIFICACION!$F$2:$F$500,0))),"⚠"))</f>
        <v/>
      </c>
      <c r="BN16" t="str">
        <f>IF(CAPTURA!CS16="","",IFERROR(IF(INDEX(CODIFICACION!$E$2:$E$500,MATCH("D9.33|"&amp;CAPTURA!CS16,CODIFICACION!$F$2:$F$500,0))="sin dato","",INDEX(CODIFICACION!$E$2:$E$500,MATCH("D9.33|"&amp;CAPTURA!CS16,CODIFICACION!$F$2:$F$500,0))),"⚠"))</f>
        <v/>
      </c>
      <c r="BO16" t="str">
        <f>IF(CAPTURA!CT16="","",IFERROR(IF(INDEX(CODIFICACION!$E$2:$E$500,MATCH("D9.34|"&amp;CAPTURA!CT16,CODIFICACION!$F$2:$F$500,0))="sin dato","",INDEX(CODIFICACION!$E$2:$E$500,MATCH("D9.34|"&amp;CAPTURA!CT16,CODIFICACION!$F$2:$F$500,0))),"⚠"))</f>
        <v/>
      </c>
      <c r="BP16" t="str">
        <f>IF(CAPTURA!CU16="","",IFERROR(IF(INDEX(CODIFICACION!$E$2:$E$500,MATCH("D9.35|"&amp;CAPTURA!CU16,CODIFICACION!$F$2:$F$500,0))="sin dato","",INDEX(CODIFICACION!$E$2:$E$500,MATCH("D9.35|"&amp;CAPTURA!CU16,CODIFICACION!$F$2:$F$500,0))),"⚠"))</f>
        <v/>
      </c>
      <c r="BQ16" t="str">
        <f>IF(CAPTURA!CV16="","",IFERROR(IF(INDEX(CODIFICACION!$E$2:$E$500,MATCH("D10.36|"&amp;CAPTURA!CV16,CODIFICACION!$F$2:$F$500,0))="sin dato","",INDEX(CODIFICACION!$E$2:$E$500,MATCH("D10.36|"&amp;CAPTURA!CV16,CODIFICACION!$F$2:$F$500,0))),"⚠"))</f>
        <v/>
      </c>
      <c r="BR16" t="str">
        <f>IF(CAPTURA!CW16="","",IFERROR(IF(INDEX(CODIFICACION!$E$2:$E$500,MATCH("D10.37|"&amp;CAPTURA!CW16,CODIFICACION!$F$2:$F$500,0))="sin dato","",INDEX(CODIFICACION!$E$2:$E$500,MATCH("D10.37|"&amp;CAPTURA!CW16,CODIFICACION!$F$2:$F$500,0))),"⚠"))</f>
        <v/>
      </c>
      <c r="BS16" t="str">
        <f>IF(CAPTURA!CX16="","",IFERROR(IF(INDEX(CODIFICACION!$E$2:$E$500,MATCH("D10.36a|"&amp;CAPTURA!CX16,CODIFICACION!$F$2:$F$500,0))="sin dato","",INDEX(CODIFICACION!$E$2:$E$500,MATCH("D10.36a|"&amp;CAPTURA!CX16,CODIFICACION!$F$2:$F$500,0))),"⚠"))</f>
        <v/>
      </c>
      <c r="BT16" t="str">
        <f>IF(CAPTURA!CY16="","",IF(ISNUMBER(SEARCH("Ninguno",CAPTURA!CY16)),0,MIN(100,ROUND((LEN(CAPTURA!CY16)-LEN(SUBSTITUTE(CAPTURA!CY16,";",""))+1)/6*100,1))))</f>
        <v/>
      </c>
      <c r="BU16" t="str">
        <f>IF(CAPTURA!DA16="","",IFERROR(IF(INDEX(CODIFICACION!$E$2:$E$500,MATCH("D11.39a|"&amp;CAPTURA!DA16,CODIFICACION!$F$2:$F$500,0))="sin dato","",INDEX(CODIFICACION!$E$2:$E$500,MATCH("D11.39a|"&amp;CAPTURA!DA16,CODIFICACION!$F$2:$F$500,0))),"⚠"))</f>
        <v/>
      </c>
      <c r="BV16" t="str">
        <f>IF(CAPTURA!DB16="","",IFERROR(IF(INDEX(CODIFICACION!$E$2:$E$500,MATCH("D12.42|"&amp;CAPTURA!DB16,CODIFICACION!$F$2:$F$500,0))="sin dato","",INDEX(CODIFICACION!$E$2:$E$500,MATCH("D12.42|"&amp;CAPTURA!DB16,CODIFICACION!$F$2:$F$500,0))),"⚠"))</f>
        <v/>
      </c>
      <c r="BW16" t="str">
        <f>IF(CAPTURA!DC16="","",IFERROR(IF(INDEX(CODIFICACION!$E$2:$E$500,MATCH("D13.45|"&amp;CAPTURA!DC16,CODIFICACION!$F$2:$F$500,0))="sin dato","",INDEX(CODIFICACION!$E$2:$E$500,MATCH("D13.45|"&amp;CAPTURA!DC16,CODIFICACION!$F$2:$F$500,0))),"⚠"))</f>
        <v/>
      </c>
      <c r="BX16" t="str">
        <f>IF(CAPTURA!DD16="","",IFERROR(IF(INDEX(CODIFICACION!$E$2:$E$500,MATCH("D14.51|"&amp;CAPTURA!DD16,CODIFICACION!$F$2:$F$500,0))="sin dato","",INDEX(CODIFICACION!$E$2:$E$500,MATCH("D14.51|"&amp;CAPTURA!DD16,CODIFICACION!$F$2:$F$500,0))),"⚠"))</f>
        <v/>
      </c>
      <c r="BY16" t="str">
        <f>IF(CAPTURA!DE16="","",IFERROR(IF(INDEX(CODIFICACION!$E$2:$E$500,MATCH("D15.58|"&amp;CAPTURA!DE16,CODIFICACION!$F$2:$F$500,0))="sin dato","",INDEX(CODIFICACION!$E$2:$E$500,MATCH("D15.58|"&amp;CAPTURA!DE16,CODIFICACION!$F$2:$F$500,0))),"⚠"))</f>
        <v/>
      </c>
      <c r="BZ16" t="str">
        <f>IF(CAPTURA!DF16="","",IFERROR(IF(INDEX(CODIFICACION!$E$2:$E$500,MATCH("PP1|"&amp;CAPTURA!DF16,CODIFICACION!$F$2:$F$500,0))="sin dato","",INDEX(CODIFICACION!$E$2:$E$500,MATCH("PP1|"&amp;CAPTURA!DF16,CODIFICACION!$F$2:$F$500,0))),"⚠"))</f>
        <v/>
      </c>
      <c r="CA16" t="str">
        <f>IF(CAPTURA!DG16="","",IFERROR(IF(INDEX(CODIFICACION!$E$2:$E$500,MATCH("PP2|"&amp;CAPTURA!DG16,CODIFICACION!$F$2:$F$500,0))="sin dato","",INDEX(CODIFICACION!$E$2:$E$500,MATCH("PP2|"&amp;CAPTURA!DG16,CODIFICACION!$F$2:$F$500,0))),"⚠"))</f>
        <v/>
      </c>
      <c r="CB16" t="str">
        <f t="shared" si="0"/>
        <v/>
      </c>
      <c r="CC16" t="str">
        <f t="shared" si="1"/>
        <v/>
      </c>
      <c r="CD16" t="str">
        <f t="shared" si="2"/>
        <v/>
      </c>
      <c r="CE16" t="str">
        <f t="shared" si="3"/>
        <v/>
      </c>
      <c r="CF16" t="str">
        <f t="shared" si="4"/>
        <v/>
      </c>
      <c r="CG16" t="str">
        <f t="shared" si="5"/>
        <v/>
      </c>
      <c r="CH16" t="str">
        <f t="shared" si="6"/>
        <v/>
      </c>
      <c r="CI16" t="str">
        <f t="shared" si="7"/>
        <v/>
      </c>
      <c r="CJ16" t="str">
        <f t="shared" si="8"/>
        <v/>
      </c>
      <c r="CK16" t="str">
        <f t="shared" si="9"/>
        <v/>
      </c>
      <c r="CL16" t="str">
        <f t="shared" si="10"/>
        <v/>
      </c>
    </row>
    <row r="17" spans="1:90" x14ac:dyDescent="0.3">
      <c r="A17">
        <f>CAPTURA!A17</f>
        <v>20147443120</v>
      </c>
      <c r="B17">
        <f>CAPTURA!C17</f>
        <v>0</v>
      </c>
      <c r="C17" t="str">
        <f>IF(CAPTURA!M17="","",ROUND((ISNUMBER(SEARCH("Alemania",CAPTURA!M17))+ISNUMBER(SEARCH("Bélgica",CAPTURA!M17))+ISNUMBER(SEARCH("Países Bajos",CAPTURA!M17))+ISNUMBER(SEARCH("Francia",CAPTURA!M17))+ISNUMBER(SEARCH("Italia",CAPTURA!M17))+ISNUMBER(SEARCH("España",CAPTURA!M17))+ISNUMBER(SEARCH("Suecia",CAPTURA!M17))+ISNUMBER(SEARCH("Dinamarca",CAPTURA!M17)))/((LEN(CAPTURA!M17)-LEN(SUBSTITUTE(CAPTURA!M17,";","")))+1)*100,1))</f>
        <v/>
      </c>
      <c r="D17" t="str">
        <f>IF(CAPTURA!AE17="","",IFERROR(IF(INDEX(CODIFICACION!$E$2:$E$500,MATCH("P8|"&amp;CAPTURA!AE17,CODIFICACION!$F$2:$F$500,0))="sin dato","",INDEX(CODIFICACION!$E$2:$E$500,MATCH("P8|"&amp;CAPTURA!AE17,CODIFICACION!$F$2:$F$500,0))),"⚠"))</f>
        <v/>
      </c>
      <c r="E17" t="str">
        <f>IF(CAPTURA!AG17="","",IFERROR(IF(INDEX(CODIFICACION!$E$2:$E$500,MATCH("P10|"&amp;CAPTURA!AG17,CODIFICACION!$F$2:$F$500,0))="sin dato","",INDEX(CODIFICACION!$E$2:$E$500,MATCH("P10|"&amp;CAPTURA!AG17,CODIFICACION!$F$2:$F$500,0))),"⚠"))</f>
        <v/>
      </c>
      <c r="F17" t="str">
        <f>IF(CAPTURA!AJ17="","",IFERROR(IF(INDEX(CODIFICACION!$E$2:$E$500,MATCH("P13|"&amp;CAPTURA!AJ17,CODIFICACION!$F$2:$F$500,0))="sin dato","",INDEX(CODIFICACION!$E$2:$E$500,MATCH("P13|"&amp;CAPTURA!AJ17,CODIFICACION!$F$2:$F$500,0))),"⚠"))</f>
        <v/>
      </c>
      <c r="G17" t="str">
        <f>IF(CAPTURA!AK17="","",IFERROR(IF(INDEX(CODIFICACION!$E$2:$E$500,MATCH("P14|"&amp;CAPTURA!AK17,CODIFICACION!$F$2:$F$500,0))="sin dato","",INDEX(CODIFICACION!$E$2:$E$500,MATCH("P14|"&amp;CAPTURA!AK17,CODIFICACION!$F$2:$F$500,0))),"⚠"))</f>
        <v/>
      </c>
      <c r="H17" t="str">
        <f>IF(CAPTURA!AL17="","",IFERROR(IF(INDEX(CODIFICACION!$E$2:$E$500,MATCH("D1.1|"&amp;CAPTURA!AL17,CODIFICACION!$F$2:$F$500,0))="sin dato","",INDEX(CODIFICACION!$E$2:$E$500,MATCH("D1.1|"&amp;CAPTURA!AL17,CODIFICACION!$F$2:$F$500,0))),"⚠"))</f>
        <v/>
      </c>
      <c r="I17" t="str">
        <f>IF(CAPTURA!AN17="","",IFERROR(IF(INDEX(CODIFICACION!$E$2:$E$500,MATCH("D1.3|"&amp;CAPTURA!AN17,CODIFICACION!$F$2:$F$500,0))="sin dato","",INDEX(CODIFICACION!$E$2:$E$500,MATCH("D1.3|"&amp;CAPTURA!AN17,CODIFICACION!$F$2:$F$500,0))),"⚠"))</f>
        <v/>
      </c>
      <c r="J17" t="str">
        <f>IF(CAPTURA!AO17="","",IFERROR(IF(INDEX(CODIFICACION!$E$2:$E$500,MATCH("D1.4|"&amp;CAPTURA!AO17,CODIFICACION!$F$2:$F$500,0))="sin dato","",INDEX(CODIFICACION!$E$2:$E$500,MATCH("D1.4|"&amp;CAPTURA!AO17,CODIFICACION!$F$2:$F$500,0))),"⚠"))</f>
        <v/>
      </c>
      <c r="K17" t="str">
        <f>IF(CAPTURA!AP17="","",IFERROR(IF(INDEX(CODIFICACION!$E$2:$E$500,MATCH("D1.3a|"&amp;CAPTURA!AP17,CODIFICACION!$F$2:$F$500,0))="sin dato","",INDEX(CODIFICACION!$E$2:$E$500,MATCH("D1.3a|"&amp;CAPTURA!AP17,CODIFICACION!$F$2:$F$500,0))),"⚠"))</f>
        <v/>
      </c>
      <c r="L17" t="str">
        <f>IF(CAPTURA!AQ17="","",IF(AND(ISNUMBER(CAPTURA!AQ17),CAPTURA!AQ17&gt;=0,CAPTURA!AQ17&lt;=4),CAPTURA!AQ17*25,"⚠"))</f>
        <v/>
      </c>
      <c r="M17" t="str">
        <f>IF(CAPTURA!AR17="","",IF(ISNUMBER(CAPTURA!AR17),MAX(0,MIN(100,CAPTURA!AR17)),"⚠"))</f>
        <v/>
      </c>
      <c r="N17" t="str">
        <f>IF(CAPTURA!AS17="","",IF(AND(ISNUMBER(CAPTURA!AS17),CAPTURA!AS17&gt;=0,CAPTURA!AS17&lt;=4),CAPTURA!AS17*25,"⚠"))</f>
        <v/>
      </c>
      <c r="O17" t="str">
        <f>IF(CAPTURA!AT17="","",IFERROR(IF(INDEX(CODIFICACION!$E$2:$E$500,MATCH("D2.8|"&amp;CAPTURA!AT17,CODIFICACION!$F$2:$F$500,0))="sin dato","",INDEX(CODIFICACION!$E$2:$E$500,MATCH("D2.8|"&amp;CAPTURA!AT17,CODIFICACION!$F$2:$F$500,0))),"⚠"))</f>
        <v/>
      </c>
      <c r="P17" t="str">
        <f>IF(CAPTURA!AU17="","",IFERROR(IF(INDEX(CODIFICACION!$E$2:$E$500,MATCH("D2.9|"&amp;CAPTURA!AU17,CODIFICACION!$F$2:$F$500,0))="sin dato","",INDEX(CODIFICACION!$E$2:$E$500,MATCH("D2.9|"&amp;CAPTURA!AU17,CODIFICACION!$F$2:$F$500,0))),"⚠"))</f>
        <v/>
      </c>
      <c r="Q17" t="str">
        <f>IF(CAPTURA!AV17="","",IFERROR(IF(INDEX(CODIFICACION!$E$2:$E$500,MATCH("D2.10|"&amp;CAPTURA!AV17,CODIFICACION!$F$2:$F$500,0))="sin dato","",INDEX(CODIFICACION!$E$2:$E$500,MATCH("D2.10|"&amp;CAPTURA!AV17,CODIFICACION!$F$2:$F$500,0))),"⚠"))</f>
        <v/>
      </c>
      <c r="R17" t="str">
        <f>IF(CAPTURA!AW17="","",IFERROR(IF(INDEX(CODIFICACION!$E$2:$E$500,MATCH("D2.5a|"&amp;CAPTURA!AW17,CODIFICACION!$F$2:$F$500,0))="sin dato","",INDEX(CODIFICACION!$E$2:$E$500,MATCH("D2.5a|"&amp;CAPTURA!AW17,CODIFICACION!$F$2:$F$500,0))),"⚠"))</f>
        <v/>
      </c>
      <c r="S17" t="str">
        <f>IF(CAPTURA!AX17="","",IFERROR(IF(INDEX(CODIFICACION!$E$2:$E$500,MATCH("D2.5b|"&amp;CAPTURA!AX17,CODIFICACION!$F$2:$F$500,0))="sin dato","",INDEX(CODIFICACION!$E$2:$E$500,MATCH("D2.5b|"&amp;CAPTURA!AX17,CODIFICACION!$F$2:$F$500,0))),"⚠"))</f>
        <v/>
      </c>
      <c r="T17" t="str">
        <f>IF(CAPTURA!AY17="","",IF(ISNUMBER(CAPTURA!AY17),MAX(0,MIN(100,CAPTURA!AY17)),"⚠"))</f>
        <v/>
      </c>
      <c r="U17" t="str">
        <f>IF(CAPTURA!AZ17="","",IFERROR(IF(INDEX(CODIFICACION!$E$2:$E$500,MATCH("D3.12|"&amp;CAPTURA!AZ17,CODIFICACION!$F$2:$F$500,0))="sin dato","",INDEX(CODIFICACION!$E$2:$E$500,MATCH("D3.12|"&amp;CAPTURA!AZ17,CODIFICACION!$F$2:$F$500,0))),"⚠"))</f>
        <v/>
      </c>
      <c r="V17" t="str">
        <f>IF(CAPTURA!BA17="","",IF(AND(ISNUMBER(CAPTURA!BA17),CAPTURA!BA17&gt;=0,CAPTURA!BA17&lt;=4),CAPTURA!BA17*25,"⚠"))</f>
        <v/>
      </c>
      <c r="W17" t="str">
        <f>IF(CAPTURA!BB17="","",IFERROR(IF(INDEX(CODIFICACION!$E$2:$E$500,MATCH("D3.14|"&amp;CAPTURA!BB17,CODIFICACION!$F$2:$F$500,0))="sin dato","",INDEX(CODIFICACION!$E$2:$E$500,MATCH("D3.14|"&amp;CAPTURA!BB17,CODIFICACION!$F$2:$F$500,0))),"⚠"))</f>
        <v/>
      </c>
      <c r="X17" t="str">
        <f>IF(CAPTURA!BC17="","",IFERROR(IF(INDEX(CODIFICACION!$E$2:$E$500,MATCH("D3.14a|"&amp;CAPTURA!BC17,CODIFICACION!$F$2:$F$500,0))="sin dato","",INDEX(CODIFICACION!$E$2:$E$500,MATCH("D3.14a|"&amp;CAPTURA!BC17,CODIFICACION!$F$2:$F$500,0))),"⚠"))</f>
        <v/>
      </c>
      <c r="Y17" t="str">
        <f>IF(CAPTURA!BD17="","",IFERROR(IF(INDEX(CODIFICACION!$E$2:$E$500,MATCH("D3.14b|"&amp;CAPTURA!BD17,CODIFICACION!$F$2:$F$500,0))="sin dato","",INDEX(CODIFICACION!$E$2:$E$500,MATCH("D3.14b|"&amp;CAPTURA!BD17,CODIFICACION!$F$2:$F$500,0))),"⚠"))</f>
        <v/>
      </c>
      <c r="Z17" t="str">
        <f>IF(CAPTURA!BE17="","",IFERROR(IF(INDEX(CODIFICACION!$E$2:$E$500,MATCH("D3.14c|"&amp;CAPTURA!BE17,CODIFICACION!$F$2:$F$500,0))="sin dato","",INDEX(CODIFICACION!$E$2:$E$500,MATCH("D3.14c|"&amp;CAPTURA!BE17,CODIFICACION!$F$2:$F$500,0))),"⚠"))</f>
        <v/>
      </c>
      <c r="AA17" t="str">
        <f>IF(CAPTURA!BF17="","",IFERROR(IF(INDEX(CODIFICACION!$E$2:$E$500,MATCH("D3.14d|"&amp;CAPTURA!BF17,CODIFICACION!$F$2:$F$500,0))="sin dato","",INDEX(CODIFICACION!$E$2:$E$500,MATCH("D3.14d|"&amp;CAPTURA!BF17,CODIFICACION!$F$2:$F$500,0))),"⚠"))</f>
        <v/>
      </c>
      <c r="AB17" t="str">
        <f>IF(CAPTURA!BG17="","",IFERROR(IF(INDEX(CODIFICACION!$E$2:$E$500,MATCH("D3.14e|"&amp;CAPTURA!BG17,CODIFICACION!$F$2:$F$500,0))="sin dato","",INDEX(CODIFICACION!$E$2:$E$500,MATCH("D3.14e|"&amp;CAPTURA!BG17,CODIFICACION!$F$2:$F$500,0))),"⚠"))</f>
        <v/>
      </c>
      <c r="AC17" t="str">
        <f>IF(CAPTURA!BH17="","",IFERROR(IF(INDEX(CODIFICACION!$E$2:$E$500,MATCH("D3.14f|"&amp;CAPTURA!BH17,CODIFICACION!$F$2:$F$500,0))="sin dato","",INDEX(CODIFICACION!$E$2:$E$500,MATCH("D3.14f|"&amp;CAPTURA!BH17,CODIFICACION!$F$2:$F$500,0))),"⚠"))</f>
        <v/>
      </c>
      <c r="AD17" t="str">
        <f>IF(CAPTURA!BI17="","",IFERROR(IF(INDEX(CODIFICACION!$E$2:$E$500,MATCH("D3.14g|"&amp;CAPTURA!BI17,CODIFICACION!$F$2:$F$500,0))="sin dato","",INDEX(CODIFICACION!$E$2:$E$500,MATCH("D3.14g|"&amp;CAPTURA!BI17,CODIFICACION!$F$2:$F$500,0))),"⚠"))</f>
        <v/>
      </c>
      <c r="AE17" t="str">
        <f>IF(CAPTURA!BJ17="","",IFERROR(IF(INDEX(CODIFICACION!$E$2:$E$500,MATCH("D3.14h|"&amp;CAPTURA!BJ17,CODIFICACION!$F$2:$F$500,0))="sin dato","",INDEX(CODIFICACION!$E$2:$E$500,MATCH("D3.14h|"&amp;CAPTURA!BJ17,CODIFICACION!$F$2:$F$500,0))),"⚠"))</f>
        <v/>
      </c>
      <c r="AF17" t="str">
        <f>IF(CAPTURA!BK17="","",IFERROR(IF(INDEX(CODIFICACION!$E$2:$E$500,MATCH("D3.14i|"&amp;CAPTURA!BK17,CODIFICACION!$F$2:$F$500,0))="sin dato","",INDEX(CODIFICACION!$E$2:$E$500,MATCH("D3.14i|"&amp;CAPTURA!BK17,CODIFICACION!$F$2:$F$500,0))),"⚠"))</f>
        <v/>
      </c>
      <c r="AG17" t="str">
        <f>IF(CAPTURA!BL17="","",IFERROR(IF(INDEX(CODIFICACION!$E$2:$E$500,MATCH("D4.15|"&amp;CAPTURA!BL17,CODIFICACION!$F$2:$F$500,0))="sin dato","",INDEX(CODIFICACION!$E$2:$E$500,MATCH("D4.15|"&amp;CAPTURA!BL17,CODIFICACION!$F$2:$F$500,0))),"⚠"))</f>
        <v/>
      </c>
      <c r="AH17" t="str">
        <f>IF(CAPTURA!BM17="","",IF(AND(ISNUMBER(CAPTURA!BM17),CAPTURA!BM17&gt;=0,CAPTURA!BM17&lt;=4),CAPTURA!BM17*25,"⚠"))</f>
        <v/>
      </c>
      <c r="AI17" t="str">
        <f>IF(CAPTURA!BN17="","",IFERROR(IF(INDEX(CODIFICACION!$E$2:$E$500,MATCH("D4.17|"&amp;CAPTURA!BN17,CODIFICACION!$F$2:$F$500,0))="sin dato","",INDEX(CODIFICACION!$E$2:$E$500,MATCH("D4.17|"&amp;CAPTURA!BN17,CODIFICACION!$F$2:$F$500,0))),"⚠"))</f>
        <v/>
      </c>
      <c r="AJ17" t="str">
        <f>IF(CAPTURA!BO17="","",IFERROR(IF(INDEX(CODIFICACION!$E$2:$E$500,MATCH("D4.15a|"&amp;CAPTURA!BO17,CODIFICACION!$F$2:$F$500,0))="sin dato","",INDEX(CODIFICACION!$E$2:$E$500,MATCH("D4.15a|"&amp;CAPTURA!BO17,CODIFICACION!$F$2:$F$500,0))),"⚠"))</f>
        <v/>
      </c>
      <c r="AK17" t="str">
        <f>IF(CAPTURA!BP17="","",IF(AND(ISNUMBER(CAPTURA!BP17),CAPTURA!BP17&gt;=0,CAPTURA!BP17&lt;=4),CAPTURA!BP17*25,"⚠"))</f>
        <v/>
      </c>
      <c r="AL17" t="str">
        <f>IF(CAPTURA!BQ17="","",IF(AND(ISNUMBER(CAPTURA!BQ17),CAPTURA!BQ17&gt;=0,CAPTURA!BQ17&lt;=4),CAPTURA!BQ17*25,"⚠"))</f>
        <v/>
      </c>
      <c r="AM17" t="str">
        <f>IF(CAPTURA!BR17="","",IFERROR(IF(INDEX(CODIFICACION!$E$2:$E$500,MATCH("D5.18b|"&amp;CAPTURA!BR17,CODIFICACION!$F$2:$F$500,0))="sin dato","",INDEX(CODIFICACION!$E$2:$E$500,MATCH("D5.18b|"&amp;CAPTURA!BR17,CODIFICACION!$F$2:$F$500,0))),"⚠"))</f>
        <v/>
      </c>
      <c r="AN17" t="str">
        <f>IF(CAPTURA!BS17="","",IFERROR(IF(INDEX(CODIFICACION!$E$2:$E$500,MATCH("D5.19|"&amp;CAPTURA!BS17,CODIFICACION!$F$2:$F$500,0))="sin dato","",INDEX(CODIFICACION!$E$2:$E$500,MATCH("D5.19|"&amp;CAPTURA!BS17,CODIFICACION!$F$2:$F$500,0))),"⚠"))</f>
        <v/>
      </c>
      <c r="AO17" t="str">
        <f>IF(CAPTURA!BT17="","",MIN(100,ROUND((LEN(CAPTURA!BT17)-LEN(SUBSTITUTE(CAPTURA!BT17,";",""))+1)/7*100,1)))</f>
        <v/>
      </c>
      <c r="AP17" t="str">
        <f>IF(CAPTURA!BU17="","",IFERROR(IF(INDEX(CODIFICACION!$E$2:$E$500,MATCH("D5.20|"&amp;CAPTURA!BU17,CODIFICACION!$F$2:$F$500,0))="sin dato","",INDEX(CODIFICACION!$E$2:$E$500,MATCH("D5.20|"&amp;CAPTURA!BU17,CODIFICACION!$F$2:$F$500,0))),"⚠"))</f>
        <v/>
      </c>
      <c r="AQ17" t="str">
        <f>IF(CAPTURA!BV17="","",IFERROR(IF(INDEX(CODIFICACION!$E$2:$E$500,MATCH("D5.21|"&amp;CAPTURA!BV17,CODIFICACION!$F$2:$F$500,0))="sin dato","",INDEX(CODIFICACION!$E$2:$E$500,MATCH("D5.21|"&amp;CAPTURA!BV17,CODIFICACION!$F$2:$F$500,0))),"⚠"))</f>
        <v/>
      </c>
      <c r="AR17" t="str">
        <f>IF(CAPTURA!BW17="","",IFERROR(IF(INDEX(CODIFICACION!$E$2:$E$500,MATCH("D5.21a|"&amp;CAPTURA!BW17,CODIFICACION!$F$2:$F$500,0))="sin dato","",INDEX(CODIFICACION!$E$2:$E$500,MATCH("D5.21a|"&amp;CAPTURA!BW17,CODIFICACION!$F$2:$F$500,0))),"⚠"))</f>
        <v/>
      </c>
      <c r="AS17" t="str">
        <f>IF(CAPTURA!BX17="","",IFERROR(IF(INDEX(CODIFICACION!$E$2:$E$500,MATCH("D5.21b|"&amp;CAPTURA!BX17,CODIFICACION!$F$2:$F$500,0))="sin dato","",INDEX(CODIFICACION!$E$2:$E$500,MATCH("D5.21b|"&amp;CAPTURA!BX17,CODIFICACION!$F$2:$F$500,0))),"⚠"))</f>
        <v/>
      </c>
      <c r="AT17" t="str">
        <f>IF(CAPTURA!BY17="","",IFERROR(IF(INDEX(CODIFICACION!$E$2:$E$500,MATCH("D6.22|"&amp;CAPTURA!BY17,CODIFICACION!$F$2:$F$500,0))="sin dato","",INDEX(CODIFICACION!$E$2:$E$500,MATCH("D6.22|"&amp;CAPTURA!BY17,CODIFICACION!$F$2:$F$500,0))),"⚠"))</f>
        <v/>
      </c>
      <c r="AU17" t="str">
        <f>IF(CAPTURA!BZ17="","",IFERROR(IF(INDEX(CODIFICACION!$E$2:$E$500,MATCH("D6.22a|"&amp;CAPTURA!BZ17,CODIFICACION!$F$2:$F$500,0))="sin dato","",INDEX(CODIFICACION!$E$2:$E$500,MATCH("D6.22a|"&amp;CAPTURA!BZ17,CODIFICACION!$F$2:$F$500,0))),"⚠"))</f>
        <v/>
      </c>
      <c r="AV17" t="str">
        <f>IF(CAPTURA!CA17="","",IFERROR(IF(INDEX(CODIFICACION!$E$2:$E$500,MATCH("D6.22b|"&amp;CAPTURA!CA17,CODIFICACION!$F$2:$F$500,0))="sin dato","",INDEX(CODIFICACION!$E$2:$E$500,MATCH("D6.22b|"&amp;CAPTURA!CA17,CODIFICACION!$F$2:$F$500,0))),"⚠"))</f>
        <v/>
      </c>
      <c r="AW17" t="str">
        <f>IF(CAPTURA!CB17="","",IFERROR(IF(INDEX(CODIFICACION!$E$2:$E$500,MATCH("D6.23|"&amp;CAPTURA!CB17,CODIFICACION!$F$2:$F$500,0))="sin dato","",INDEX(CODIFICACION!$E$2:$E$500,MATCH("D6.23|"&amp;CAPTURA!CB17,CODIFICACION!$F$2:$F$500,0))),"⚠"))</f>
        <v/>
      </c>
      <c r="AX17" t="str">
        <f>IF(CAPTURA!CC17="","",IFERROR(IF(INDEX(CODIFICACION!$E$2:$E$500,MATCH("D6.24|"&amp;CAPTURA!CC17,CODIFICACION!$F$2:$F$500,0))="sin dato","",INDEX(CODIFICACION!$E$2:$E$500,MATCH("D6.24|"&amp;CAPTURA!CC17,CODIFICACION!$F$2:$F$500,0))),"⚠"))</f>
        <v/>
      </c>
      <c r="AY17" t="str">
        <f>IF(CAPTURA!CD17="","",IFERROR(IF(INDEX(CODIFICACION!$E$2:$E$500,MATCH("D6.25|"&amp;CAPTURA!CD17,CODIFICACION!$F$2:$F$500,0))="sin dato","",INDEX(CODIFICACION!$E$2:$E$500,MATCH("D6.25|"&amp;CAPTURA!CD17,CODIFICACION!$F$2:$F$500,0))),"⚠"))</f>
        <v/>
      </c>
      <c r="AZ17" t="str">
        <f>IF(CAPTURA!CE17="","",IFERROR(IF(INDEX(CODIFICACION!$E$2:$E$500,MATCH("D6.25a|"&amp;CAPTURA!CE17,CODIFICACION!$F$2:$F$500,0))="sin dato","",INDEX(CODIFICACION!$E$2:$E$500,MATCH("D6.25a|"&amp;CAPTURA!CE17,CODIFICACION!$F$2:$F$500,0))),"⚠"))</f>
        <v/>
      </c>
      <c r="BA17" t="str">
        <f>IF(CAPTURA!CF17="","",IFERROR(IF(INDEX(CODIFICACION!$E$2:$E$500,MATCH("D6.25b|"&amp;CAPTURA!CF17,CODIFICACION!$F$2:$F$500,0))="sin dato","",INDEX(CODIFICACION!$E$2:$E$500,MATCH("D6.25b|"&amp;CAPTURA!CF17,CODIFICACION!$F$2:$F$500,0))),"⚠"))</f>
        <v/>
      </c>
      <c r="BB17" t="str">
        <f>IF(CAPTURA!CG17="","",IFERROR(IF(INDEX(CODIFICACION!$E$2:$E$500,MATCH("D6.22c|"&amp;CAPTURA!CG17,CODIFICACION!$F$2:$F$500,0))="sin dato","",INDEX(CODIFICACION!$E$2:$E$500,MATCH("D6.22c|"&amp;CAPTURA!CG17,CODIFICACION!$F$2:$F$500,0))),"⚠"))</f>
        <v/>
      </c>
      <c r="BC17" t="str">
        <f>IF(CAPTURA!CH17="","",IFERROR(IF(INDEX(CODIFICACION!$E$2:$E$500,MATCH("D7.26|"&amp;CAPTURA!CH17,CODIFICACION!$F$2:$F$500,0))="sin dato","",INDEX(CODIFICACION!$E$2:$E$500,MATCH("D7.26|"&amp;CAPTURA!CH17,CODIFICACION!$F$2:$F$500,0))),"⚠"))</f>
        <v/>
      </c>
      <c r="BD17" t="str">
        <f>IF(CAPTURA!CI17="","",IFERROR(IF(INDEX(CODIFICACION!$E$2:$E$500,MATCH("D7.27|"&amp;CAPTURA!CI17,CODIFICACION!$F$2:$F$500,0))="sin dato","",INDEX(CODIFICACION!$E$2:$E$500,MATCH("D7.27|"&amp;CAPTURA!CI17,CODIFICACION!$F$2:$F$500,0))),"⚠"))</f>
        <v/>
      </c>
      <c r="BE17" t="str">
        <f>IF(CAPTURA!CJ17="","",IFERROR(IF(INDEX(CODIFICACION!$E$2:$E$500,MATCH("D7.28|"&amp;CAPTURA!CJ17,CODIFICACION!$F$2:$F$500,0))="sin dato","",INDEX(CODIFICACION!$E$2:$E$500,MATCH("D7.28|"&amp;CAPTURA!CJ17,CODIFICACION!$F$2:$F$500,0))),"⚠"))</f>
        <v/>
      </c>
      <c r="BF17" t="str">
        <f>IF(CAPTURA!CK17="","",IFERROR(IF(INDEX(CODIFICACION!$E$2:$E$500,MATCH("D7.28b|"&amp;CAPTURA!CK17,CODIFICACION!$F$2:$F$500,0))="sin dato","",INDEX(CODIFICACION!$E$2:$E$500,MATCH("D7.28b|"&amp;CAPTURA!CK17,CODIFICACION!$F$2:$F$500,0))),"⚠"))</f>
        <v/>
      </c>
      <c r="BG17" t="str">
        <f>IF(CAPTURA!CL17="","",MIN(100,ROUND((LEN(CAPTURA!CL17)-LEN(SUBSTITUTE(CAPTURA!CL17,";",""))+1)/8*100,1)))</f>
        <v/>
      </c>
      <c r="BH17" t="str">
        <f>IF(CAPTURA!CM17="","",IFERROR(IF(INDEX(CODIFICACION!$E$2:$E$500,MATCH("D7.26a|"&amp;CAPTURA!CM17,CODIFICACION!$F$2:$F$500,0))="sin dato","",INDEX(CODIFICACION!$E$2:$E$500,MATCH("D7.26a|"&amp;CAPTURA!CM17,CODIFICACION!$F$2:$F$500,0))),"⚠"))</f>
        <v/>
      </c>
      <c r="BI17" t="str">
        <f>IF(CAPTURA!CN17="","",IFERROR(IF(INDEX(CODIFICACION!$E$2:$E$500,MATCH("D7.26b|"&amp;CAPTURA!CN17,CODIFICACION!$F$2:$F$500,0))="sin dato","",INDEX(CODIFICACION!$E$2:$E$500,MATCH("D7.26b|"&amp;CAPTURA!CN17,CODIFICACION!$F$2:$F$500,0))),"⚠"))</f>
        <v/>
      </c>
      <c r="BJ17" t="str">
        <f>IF(CAPTURA!CO17="","",IF(AND(ISNUMBER(CAPTURA!CO17),CAPTURA!CO17&gt;=0,CAPTURA!CO17&lt;=4),CAPTURA!CO17*25,"⚠"))</f>
        <v/>
      </c>
      <c r="BK17" t="str">
        <f>IF(CAPTURA!CP17="","",IF(ISNUMBER(CAPTURA!CP17),MAX(0,MIN(100,CAPTURA!CP17)),"⚠"))</f>
        <v/>
      </c>
      <c r="BL17" t="str">
        <f>IF(CAPTURA!CQ17="","",IFERROR(IF(INDEX(CODIFICACION!$E$2:$E$500,MATCH("D8.31|"&amp;CAPTURA!CQ17,CODIFICACION!$F$2:$F$500,0))="sin dato","",INDEX(CODIFICACION!$E$2:$E$500,MATCH("D8.31|"&amp;CAPTURA!CQ17,CODIFICACION!$F$2:$F$500,0))),"⚠"))</f>
        <v/>
      </c>
      <c r="BM17" t="str">
        <f>IF(CAPTURA!CR17="","",IFERROR(IF(INDEX(CODIFICACION!$E$2:$E$500,MATCH("D8.32|"&amp;CAPTURA!CR17,CODIFICACION!$F$2:$F$500,0))="sin dato","",INDEX(CODIFICACION!$E$2:$E$500,MATCH("D8.32|"&amp;CAPTURA!CR17,CODIFICACION!$F$2:$F$500,0))),"⚠"))</f>
        <v/>
      </c>
      <c r="BN17" t="str">
        <f>IF(CAPTURA!CS17="","",IFERROR(IF(INDEX(CODIFICACION!$E$2:$E$500,MATCH("D9.33|"&amp;CAPTURA!CS17,CODIFICACION!$F$2:$F$500,0))="sin dato","",INDEX(CODIFICACION!$E$2:$E$500,MATCH("D9.33|"&amp;CAPTURA!CS17,CODIFICACION!$F$2:$F$500,0))),"⚠"))</f>
        <v/>
      </c>
      <c r="BO17" t="str">
        <f>IF(CAPTURA!CT17="","",IFERROR(IF(INDEX(CODIFICACION!$E$2:$E$500,MATCH("D9.34|"&amp;CAPTURA!CT17,CODIFICACION!$F$2:$F$500,0))="sin dato","",INDEX(CODIFICACION!$E$2:$E$500,MATCH("D9.34|"&amp;CAPTURA!CT17,CODIFICACION!$F$2:$F$500,0))),"⚠"))</f>
        <v/>
      </c>
      <c r="BP17" t="str">
        <f>IF(CAPTURA!CU17="","",IFERROR(IF(INDEX(CODIFICACION!$E$2:$E$500,MATCH("D9.35|"&amp;CAPTURA!CU17,CODIFICACION!$F$2:$F$500,0))="sin dato","",INDEX(CODIFICACION!$E$2:$E$500,MATCH("D9.35|"&amp;CAPTURA!CU17,CODIFICACION!$F$2:$F$500,0))),"⚠"))</f>
        <v/>
      </c>
      <c r="BQ17" t="str">
        <f>IF(CAPTURA!CV17="","",IFERROR(IF(INDEX(CODIFICACION!$E$2:$E$500,MATCH("D10.36|"&amp;CAPTURA!CV17,CODIFICACION!$F$2:$F$500,0))="sin dato","",INDEX(CODIFICACION!$E$2:$E$500,MATCH("D10.36|"&amp;CAPTURA!CV17,CODIFICACION!$F$2:$F$500,0))),"⚠"))</f>
        <v/>
      </c>
      <c r="BR17" t="str">
        <f>IF(CAPTURA!CW17="","",IFERROR(IF(INDEX(CODIFICACION!$E$2:$E$500,MATCH("D10.37|"&amp;CAPTURA!CW17,CODIFICACION!$F$2:$F$500,0))="sin dato","",INDEX(CODIFICACION!$E$2:$E$500,MATCH("D10.37|"&amp;CAPTURA!CW17,CODIFICACION!$F$2:$F$500,0))),"⚠"))</f>
        <v/>
      </c>
      <c r="BS17" t="str">
        <f>IF(CAPTURA!CX17="","",IFERROR(IF(INDEX(CODIFICACION!$E$2:$E$500,MATCH("D10.36a|"&amp;CAPTURA!CX17,CODIFICACION!$F$2:$F$500,0))="sin dato","",INDEX(CODIFICACION!$E$2:$E$500,MATCH("D10.36a|"&amp;CAPTURA!CX17,CODIFICACION!$F$2:$F$500,0))),"⚠"))</f>
        <v/>
      </c>
      <c r="BT17" t="str">
        <f>IF(CAPTURA!CY17="","",IF(ISNUMBER(SEARCH("Ninguno",CAPTURA!CY17)),0,MIN(100,ROUND((LEN(CAPTURA!CY17)-LEN(SUBSTITUTE(CAPTURA!CY17,";",""))+1)/6*100,1))))</f>
        <v/>
      </c>
      <c r="BU17" t="str">
        <f>IF(CAPTURA!DA17="","",IFERROR(IF(INDEX(CODIFICACION!$E$2:$E$500,MATCH("D11.39a|"&amp;CAPTURA!DA17,CODIFICACION!$F$2:$F$500,0))="sin dato","",INDEX(CODIFICACION!$E$2:$E$500,MATCH("D11.39a|"&amp;CAPTURA!DA17,CODIFICACION!$F$2:$F$500,0))),"⚠"))</f>
        <v/>
      </c>
      <c r="BV17" t="str">
        <f>IF(CAPTURA!DB17="","",IFERROR(IF(INDEX(CODIFICACION!$E$2:$E$500,MATCH("D12.42|"&amp;CAPTURA!DB17,CODIFICACION!$F$2:$F$500,0))="sin dato","",INDEX(CODIFICACION!$E$2:$E$500,MATCH("D12.42|"&amp;CAPTURA!DB17,CODIFICACION!$F$2:$F$500,0))),"⚠"))</f>
        <v/>
      </c>
      <c r="BW17" t="str">
        <f>IF(CAPTURA!DC17="","",IFERROR(IF(INDEX(CODIFICACION!$E$2:$E$500,MATCH("D13.45|"&amp;CAPTURA!DC17,CODIFICACION!$F$2:$F$500,0))="sin dato","",INDEX(CODIFICACION!$E$2:$E$500,MATCH("D13.45|"&amp;CAPTURA!DC17,CODIFICACION!$F$2:$F$500,0))),"⚠"))</f>
        <v/>
      </c>
      <c r="BX17" t="str">
        <f>IF(CAPTURA!DD17="","",IFERROR(IF(INDEX(CODIFICACION!$E$2:$E$500,MATCH("D14.51|"&amp;CAPTURA!DD17,CODIFICACION!$F$2:$F$500,0))="sin dato","",INDEX(CODIFICACION!$E$2:$E$500,MATCH("D14.51|"&amp;CAPTURA!DD17,CODIFICACION!$F$2:$F$500,0))),"⚠"))</f>
        <v/>
      </c>
      <c r="BY17" t="str">
        <f>IF(CAPTURA!DE17="","",IFERROR(IF(INDEX(CODIFICACION!$E$2:$E$500,MATCH("D15.58|"&amp;CAPTURA!DE17,CODIFICACION!$F$2:$F$500,0))="sin dato","",INDEX(CODIFICACION!$E$2:$E$500,MATCH("D15.58|"&amp;CAPTURA!DE17,CODIFICACION!$F$2:$F$500,0))),"⚠"))</f>
        <v/>
      </c>
      <c r="BZ17" t="str">
        <f>IF(CAPTURA!DF17="","",IFERROR(IF(INDEX(CODIFICACION!$E$2:$E$500,MATCH("PP1|"&amp;CAPTURA!DF17,CODIFICACION!$F$2:$F$500,0))="sin dato","",INDEX(CODIFICACION!$E$2:$E$500,MATCH("PP1|"&amp;CAPTURA!DF17,CODIFICACION!$F$2:$F$500,0))),"⚠"))</f>
        <v/>
      </c>
      <c r="CA17" t="str">
        <f>IF(CAPTURA!DG17="","",IFERROR(IF(INDEX(CODIFICACION!$E$2:$E$500,MATCH("PP2|"&amp;CAPTURA!DG17,CODIFICACION!$F$2:$F$500,0))="sin dato","",INDEX(CODIFICACION!$E$2:$E$500,MATCH("PP2|"&amp;CAPTURA!DG17,CODIFICACION!$F$2:$F$500,0))),"⚠"))</f>
        <v/>
      </c>
      <c r="CB17" t="str">
        <f t="shared" si="0"/>
        <v/>
      </c>
      <c r="CC17" t="str">
        <f t="shared" si="1"/>
        <v/>
      </c>
      <c r="CD17" t="str">
        <f t="shared" si="2"/>
        <v/>
      </c>
      <c r="CE17" t="str">
        <f t="shared" si="3"/>
        <v/>
      </c>
      <c r="CF17" t="str">
        <f t="shared" si="4"/>
        <v/>
      </c>
      <c r="CG17" t="str">
        <f t="shared" si="5"/>
        <v/>
      </c>
      <c r="CH17" t="str">
        <f t="shared" si="6"/>
        <v/>
      </c>
      <c r="CI17" t="str">
        <f t="shared" si="7"/>
        <v/>
      </c>
      <c r="CJ17" t="str">
        <f t="shared" si="8"/>
        <v/>
      </c>
      <c r="CK17" t="str">
        <f t="shared" si="9"/>
        <v/>
      </c>
      <c r="CL17" t="str">
        <f t="shared" si="10"/>
        <v/>
      </c>
    </row>
    <row r="18" spans="1:90" x14ac:dyDescent="0.3">
      <c r="A18">
        <f>CAPTURA!A18</f>
        <v>20166786861</v>
      </c>
      <c r="B18">
        <f>CAPTURA!C18</f>
        <v>0</v>
      </c>
      <c r="C18" t="str">
        <f>IF(CAPTURA!M18="","",ROUND((ISNUMBER(SEARCH("Alemania",CAPTURA!M18))+ISNUMBER(SEARCH("Bélgica",CAPTURA!M18))+ISNUMBER(SEARCH("Países Bajos",CAPTURA!M18))+ISNUMBER(SEARCH("Francia",CAPTURA!M18))+ISNUMBER(SEARCH("Italia",CAPTURA!M18))+ISNUMBER(SEARCH("España",CAPTURA!M18))+ISNUMBER(SEARCH("Suecia",CAPTURA!M18))+ISNUMBER(SEARCH("Dinamarca",CAPTURA!M18)))/((LEN(CAPTURA!M18)-LEN(SUBSTITUTE(CAPTURA!M18,";","")))+1)*100,1))</f>
        <v/>
      </c>
      <c r="D18" t="str">
        <f>IF(CAPTURA!AE18="","",IFERROR(IF(INDEX(CODIFICACION!$E$2:$E$500,MATCH("P8|"&amp;CAPTURA!AE18,CODIFICACION!$F$2:$F$500,0))="sin dato","",INDEX(CODIFICACION!$E$2:$E$500,MATCH("P8|"&amp;CAPTURA!AE18,CODIFICACION!$F$2:$F$500,0))),"⚠"))</f>
        <v/>
      </c>
      <c r="E18" t="str">
        <f>IF(CAPTURA!AG18="","",IFERROR(IF(INDEX(CODIFICACION!$E$2:$E$500,MATCH("P10|"&amp;CAPTURA!AG18,CODIFICACION!$F$2:$F$500,0))="sin dato","",INDEX(CODIFICACION!$E$2:$E$500,MATCH("P10|"&amp;CAPTURA!AG18,CODIFICACION!$F$2:$F$500,0))),"⚠"))</f>
        <v/>
      </c>
      <c r="F18" t="str">
        <f>IF(CAPTURA!AJ18="","",IFERROR(IF(INDEX(CODIFICACION!$E$2:$E$500,MATCH("P13|"&amp;CAPTURA!AJ18,CODIFICACION!$F$2:$F$500,0))="sin dato","",INDEX(CODIFICACION!$E$2:$E$500,MATCH("P13|"&amp;CAPTURA!AJ18,CODIFICACION!$F$2:$F$500,0))),"⚠"))</f>
        <v/>
      </c>
      <c r="G18" t="str">
        <f>IF(CAPTURA!AK18="","",IFERROR(IF(INDEX(CODIFICACION!$E$2:$E$500,MATCH("P14|"&amp;CAPTURA!AK18,CODIFICACION!$F$2:$F$500,0))="sin dato","",INDEX(CODIFICACION!$E$2:$E$500,MATCH("P14|"&amp;CAPTURA!AK18,CODIFICACION!$F$2:$F$500,0))),"⚠"))</f>
        <v/>
      </c>
      <c r="H18" t="str">
        <f>IF(CAPTURA!AL18="","",IFERROR(IF(INDEX(CODIFICACION!$E$2:$E$500,MATCH("D1.1|"&amp;CAPTURA!AL18,CODIFICACION!$F$2:$F$500,0))="sin dato","",INDEX(CODIFICACION!$E$2:$E$500,MATCH("D1.1|"&amp;CAPTURA!AL18,CODIFICACION!$F$2:$F$500,0))),"⚠"))</f>
        <v/>
      </c>
      <c r="I18" t="str">
        <f>IF(CAPTURA!AN18="","",IFERROR(IF(INDEX(CODIFICACION!$E$2:$E$500,MATCH("D1.3|"&amp;CAPTURA!AN18,CODIFICACION!$F$2:$F$500,0))="sin dato","",INDEX(CODIFICACION!$E$2:$E$500,MATCH("D1.3|"&amp;CAPTURA!AN18,CODIFICACION!$F$2:$F$500,0))),"⚠"))</f>
        <v/>
      </c>
      <c r="J18" t="str">
        <f>IF(CAPTURA!AO18="","",IFERROR(IF(INDEX(CODIFICACION!$E$2:$E$500,MATCH("D1.4|"&amp;CAPTURA!AO18,CODIFICACION!$F$2:$F$500,0))="sin dato","",INDEX(CODIFICACION!$E$2:$E$500,MATCH("D1.4|"&amp;CAPTURA!AO18,CODIFICACION!$F$2:$F$500,0))),"⚠"))</f>
        <v/>
      </c>
      <c r="K18" t="str">
        <f>IF(CAPTURA!AP18="","",IFERROR(IF(INDEX(CODIFICACION!$E$2:$E$500,MATCH("D1.3a|"&amp;CAPTURA!AP18,CODIFICACION!$F$2:$F$500,0))="sin dato","",INDEX(CODIFICACION!$E$2:$E$500,MATCH("D1.3a|"&amp;CAPTURA!AP18,CODIFICACION!$F$2:$F$500,0))),"⚠"))</f>
        <v/>
      </c>
      <c r="L18" t="str">
        <f>IF(CAPTURA!AQ18="","",IF(AND(ISNUMBER(CAPTURA!AQ18),CAPTURA!AQ18&gt;=0,CAPTURA!AQ18&lt;=4),CAPTURA!AQ18*25,"⚠"))</f>
        <v/>
      </c>
      <c r="M18" t="str">
        <f>IF(CAPTURA!AR18="","",IF(ISNUMBER(CAPTURA!AR18),MAX(0,MIN(100,CAPTURA!AR18)),"⚠"))</f>
        <v/>
      </c>
      <c r="N18" t="str">
        <f>IF(CAPTURA!AS18="","",IF(AND(ISNUMBER(CAPTURA!AS18),CAPTURA!AS18&gt;=0,CAPTURA!AS18&lt;=4),CAPTURA!AS18*25,"⚠"))</f>
        <v/>
      </c>
      <c r="O18" t="str">
        <f>IF(CAPTURA!AT18="","",IFERROR(IF(INDEX(CODIFICACION!$E$2:$E$500,MATCH("D2.8|"&amp;CAPTURA!AT18,CODIFICACION!$F$2:$F$500,0))="sin dato","",INDEX(CODIFICACION!$E$2:$E$500,MATCH("D2.8|"&amp;CAPTURA!AT18,CODIFICACION!$F$2:$F$500,0))),"⚠"))</f>
        <v/>
      </c>
      <c r="P18" t="str">
        <f>IF(CAPTURA!AU18="","",IFERROR(IF(INDEX(CODIFICACION!$E$2:$E$500,MATCH("D2.9|"&amp;CAPTURA!AU18,CODIFICACION!$F$2:$F$500,0))="sin dato","",INDEX(CODIFICACION!$E$2:$E$500,MATCH("D2.9|"&amp;CAPTURA!AU18,CODIFICACION!$F$2:$F$500,0))),"⚠"))</f>
        <v/>
      </c>
      <c r="Q18" t="str">
        <f>IF(CAPTURA!AV18="","",IFERROR(IF(INDEX(CODIFICACION!$E$2:$E$500,MATCH("D2.10|"&amp;CAPTURA!AV18,CODIFICACION!$F$2:$F$500,0))="sin dato","",INDEX(CODIFICACION!$E$2:$E$500,MATCH("D2.10|"&amp;CAPTURA!AV18,CODIFICACION!$F$2:$F$500,0))),"⚠"))</f>
        <v/>
      </c>
      <c r="R18" t="str">
        <f>IF(CAPTURA!AW18="","",IFERROR(IF(INDEX(CODIFICACION!$E$2:$E$500,MATCH("D2.5a|"&amp;CAPTURA!AW18,CODIFICACION!$F$2:$F$500,0))="sin dato","",INDEX(CODIFICACION!$E$2:$E$500,MATCH("D2.5a|"&amp;CAPTURA!AW18,CODIFICACION!$F$2:$F$500,0))),"⚠"))</f>
        <v/>
      </c>
      <c r="S18" t="str">
        <f>IF(CAPTURA!AX18="","",IFERROR(IF(INDEX(CODIFICACION!$E$2:$E$500,MATCH("D2.5b|"&amp;CAPTURA!AX18,CODIFICACION!$F$2:$F$500,0))="sin dato","",INDEX(CODIFICACION!$E$2:$E$500,MATCH("D2.5b|"&amp;CAPTURA!AX18,CODIFICACION!$F$2:$F$500,0))),"⚠"))</f>
        <v/>
      </c>
      <c r="T18" t="str">
        <f>IF(CAPTURA!AY18="","",IF(ISNUMBER(CAPTURA!AY18),MAX(0,MIN(100,CAPTURA!AY18)),"⚠"))</f>
        <v/>
      </c>
      <c r="U18" t="str">
        <f>IF(CAPTURA!AZ18="","",IFERROR(IF(INDEX(CODIFICACION!$E$2:$E$500,MATCH("D3.12|"&amp;CAPTURA!AZ18,CODIFICACION!$F$2:$F$500,0))="sin dato","",INDEX(CODIFICACION!$E$2:$E$500,MATCH("D3.12|"&amp;CAPTURA!AZ18,CODIFICACION!$F$2:$F$500,0))),"⚠"))</f>
        <v/>
      </c>
      <c r="V18" t="str">
        <f>IF(CAPTURA!BA18="","",IF(AND(ISNUMBER(CAPTURA!BA18),CAPTURA!BA18&gt;=0,CAPTURA!BA18&lt;=4),CAPTURA!BA18*25,"⚠"))</f>
        <v/>
      </c>
      <c r="W18" t="str">
        <f>IF(CAPTURA!BB18="","",IFERROR(IF(INDEX(CODIFICACION!$E$2:$E$500,MATCH("D3.14|"&amp;CAPTURA!BB18,CODIFICACION!$F$2:$F$500,0))="sin dato","",INDEX(CODIFICACION!$E$2:$E$500,MATCH("D3.14|"&amp;CAPTURA!BB18,CODIFICACION!$F$2:$F$500,0))),"⚠"))</f>
        <v/>
      </c>
      <c r="X18" t="str">
        <f>IF(CAPTURA!BC18="","",IFERROR(IF(INDEX(CODIFICACION!$E$2:$E$500,MATCH("D3.14a|"&amp;CAPTURA!BC18,CODIFICACION!$F$2:$F$500,0))="sin dato","",INDEX(CODIFICACION!$E$2:$E$500,MATCH("D3.14a|"&amp;CAPTURA!BC18,CODIFICACION!$F$2:$F$500,0))),"⚠"))</f>
        <v/>
      </c>
      <c r="Y18" t="str">
        <f>IF(CAPTURA!BD18="","",IFERROR(IF(INDEX(CODIFICACION!$E$2:$E$500,MATCH("D3.14b|"&amp;CAPTURA!BD18,CODIFICACION!$F$2:$F$500,0))="sin dato","",INDEX(CODIFICACION!$E$2:$E$500,MATCH("D3.14b|"&amp;CAPTURA!BD18,CODIFICACION!$F$2:$F$500,0))),"⚠"))</f>
        <v/>
      </c>
      <c r="Z18" t="str">
        <f>IF(CAPTURA!BE18="","",IFERROR(IF(INDEX(CODIFICACION!$E$2:$E$500,MATCH("D3.14c|"&amp;CAPTURA!BE18,CODIFICACION!$F$2:$F$500,0))="sin dato","",INDEX(CODIFICACION!$E$2:$E$500,MATCH("D3.14c|"&amp;CAPTURA!BE18,CODIFICACION!$F$2:$F$500,0))),"⚠"))</f>
        <v/>
      </c>
      <c r="AA18" t="str">
        <f>IF(CAPTURA!BF18="","",IFERROR(IF(INDEX(CODIFICACION!$E$2:$E$500,MATCH("D3.14d|"&amp;CAPTURA!BF18,CODIFICACION!$F$2:$F$500,0))="sin dato","",INDEX(CODIFICACION!$E$2:$E$500,MATCH("D3.14d|"&amp;CAPTURA!BF18,CODIFICACION!$F$2:$F$500,0))),"⚠"))</f>
        <v/>
      </c>
      <c r="AB18" t="str">
        <f>IF(CAPTURA!BG18="","",IFERROR(IF(INDEX(CODIFICACION!$E$2:$E$500,MATCH("D3.14e|"&amp;CAPTURA!BG18,CODIFICACION!$F$2:$F$500,0))="sin dato","",INDEX(CODIFICACION!$E$2:$E$500,MATCH("D3.14e|"&amp;CAPTURA!BG18,CODIFICACION!$F$2:$F$500,0))),"⚠"))</f>
        <v/>
      </c>
      <c r="AC18" t="str">
        <f>IF(CAPTURA!BH18="","",IFERROR(IF(INDEX(CODIFICACION!$E$2:$E$500,MATCH("D3.14f|"&amp;CAPTURA!BH18,CODIFICACION!$F$2:$F$500,0))="sin dato","",INDEX(CODIFICACION!$E$2:$E$500,MATCH("D3.14f|"&amp;CAPTURA!BH18,CODIFICACION!$F$2:$F$500,0))),"⚠"))</f>
        <v/>
      </c>
      <c r="AD18" t="str">
        <f>IF(CAPTURA!BI18="","",IFERROR(IF(INDEX(CODIFICACION!$E$2:$E$500,MATCH("D3.14g|"&amp;CAPTURA!BI18,CODIFICACION!$F$2:$F$500,0))="sin dato","",INDEX(CODIFICACION!$E$2:$E$500,MATCH("D3.14g|"&amp;CAPTURA!BI18,CODIFICACION!$F$2:$F$500,0))),"⚠"))</f>
        <v/>
      </c>
      <c r="AE18" t="str">
        <f>IF(CAPTURA!BJ18="","",IFERROR(IF(INDEX(CODIFICACION!$E$2:$E$500,MATCH("D3.14h|"&amp;CAPTURA!BJ18,CODIFICACION!$F$2:$F$500,0))="sin dato","",INDEX(CODIFICACION!$E$2:$E$500,MATCH("D3.14h|"&amp;CAPTURA!BJ18,CODIFICACION!$F$2:$F$500,0))),"⚠"))</f>
        <v/>
      </c>
      <c r="AF18" t="str">
        <f>IF(CAPTURA!BK18="","",IFERROR(IF(INDEX(CODIFICACION!$E$2:$E$500,MATCH("D3.14i|"&amp;CAPTURA!BK18,CODIFICACION!$F$2:$F$500,0))="sin dato","",INDEX(CODIFICACION!$E$2:$E$500,MATCH("D3.14i|"&amp;CAPTURA!BK18,CODIFICACION!$F$2:$F$500,0))),"⚠"))</f>
        <v/>
      </c>
      <c r="AG18" t="str">
        <f>IF(CAPTURA!BL18="","",IFERROR(IF(INDEX(CODIFICACION!$E$2:$E$500,MATCH("D4.15|"&amp;CAPTURA!BL18,CODIFICACION!$F$2:$F$500,0))="sin dato","",INDEX(CODIFICACION!$E$2:$E$500,MATCH("D4.15|"&amp;CAPTURA!BL18,CODIFICACION!$F$2:$F$500,0))),"⚠"))</f>
        <v/>
      </c>
      <c r="AH18" t="str">
        <f>IF(CAPTURA!BM18="","",IF(AND(ISNUMBER(CAPTURA!BM18),CAPTURA!BM18&gt;=0,CAPTURA!BM18&lt;=4),CAPTURA!BM18*25,"⚠"))</f>
        <v/>
      </c>
      <c r="AI18" t="str">
        <f>IF(CAPTURA!BN18="","",IFERROR(IF(INDEX(CODIFICACION!$E$2:$E$500,MATCH("D4.17|"&amp;CAPTURA!BN18,CODIFICACION!$F$2:$F$500,0))="sin dato","",INDEX(CODIFICACION!$E$2:$E$500,MATCH("D4.17|"&amp;CAPTURA!BN18,CODIFICACION!$F$2:$F$500,0))),"⚠"))</f>
        <v/>
      </c>
      <c r="AJ18" t="str">
        <f>IF(CAPTURA!BO18="","",IFERROR(IF(INDEX(CODIFICACION!$E$2:$E$500,MATCH("D4.15a|"&amp;CAPTURA!BO18,CODIFICACION!$F$2:$F$500,0))="sin dato","",INDEX(CODIFICACION!$E$2:$E$500,MATCH("D4.15a|"&amp;CAPTURA!BO18,CODIFICACION!$F$2:$F$500,0))),"⚠"))</f>
        <v/>
      </c>
      <c r="AK18" t="str">
        <f>IF(CAPTURA!BP18="","",IF(AND(ISNUMBER(CAPTURA!BP18),CAPTURA!BP18&gt;=0,CAPTURA!BP18&lt;=4),CAPTURA!BP18*25,"⚠"))</f>
        <v/>
      </c>
      <c r="AL18" t="str">
        <f>IF(CAPTURA!BQ18="","",IF(AND(ISNUMBER(CAPTURA!BQ18),CAPTURA!BQ18&gt;=0,CAPTURA!BQ18&lt;=4),CAPTURA!BQ18*25,"⚠"))</f>
        <v/>
      </c>
      <c r="AM18" t="str">
        <f>IF(CAPTURA!BR18="","",IFERROR(IF(INDEX(CODIFICACION!$E$2:$E$500,MATCH("D5.18b|"&amp;CAPTURA!BR18,CODIFICACION!$F$2:$F$500,0))="sin dato","",INDEX(CODIFICACION!$E$2:$E$500,MATCH("D5.18b|"&amp;CAPTURA!BR18,CODIFICACION!$F$2:$F$500,0))),"⚠"))</f>
        <v/>
      </c>
      <c r="AN18" t="str">
        <f>IF(CAPTURA!BS18="","",IFERROR(IF(INDEX(CODIFICACION!$E$2:$E$500,MATCH("D5.19|"&amp;CAPTURA!BS18,CODIFICACION!$F$2:$F$500,0))="sin dato","",INDEX(CODIFICACION!$E$2:$E$500,MATCH("D5.19|"&amp;CAPTURA!BS18,CODIFICACION!$F$2:$F$500,0))),"⚠"))</f>
        <v/>
      </c>
      <c r="AO18" t="str">
        <f>IF(CAPTURA!BT18="","",MIN(100,ROUND((LEN(CAPTURA!BT18)-LEN(SUBSTITUTE(CAPTURA!BT18,";",""))+1)/7*100,1)))</f>
        <v/>
      </c>
      <c r="AP18" t="str">
        <f>IF(CAPTURA!BU18="","",IFERROR(IF(INDEX(CODIFICACION!$E$2:$E$500,MATCH("D5.20|"&amp;CAPTURA!BU18,CODIFICACION!$F$2:$F$500,0))="sin dato","",INDEX(CODIFICACION!$E$2:$E$500,MATCH("D5.20|"&amp;CAPTURA!BU18,CODIFICACION!$F$2:$F$500,0))),"⚠"))</f>
        <v/>
      </c>
      <c r="AQ18" t="str">
        <f>IF(CAPTURA!BV18="","",IFERROR(IF(INDEX(CODIFICACION!$E$2:$E$500,MATCH("D5.21|"&amp;CAPTURA!BV18,CODIFICACION!$F$2:$F$500,0))="sin dato","",INDEX(CODIFICACION!$E$2:$E$500,MATCH("D5.21|"&amp;CAPTURA!BV18,CODIFICACION!$F$2:$F$500,0))),"⚠"))</f>
        <v/>
      </c>
      <c r="AR18" t="str">
        <f>IF(CAPTURA!BW18="","",IFERROR(IF(INDEX(CODIFICACION!$E$2:$E$500,MATCH("D5.21a|"&amp;CAPTURA!BW18,CODIFICACION!$F$2:$F$500,0))="sin dato","",INDEX(CODIFICACION!$E$2:$E$500,MATCH("D5.21a|"&amp;CAPTURA!BW18,CODIFICACION!$F$2:$F$500,0))),"⚠"))</f>
        <v/>
      </c>
      <c r="AS18" t="str">
        <f>IF(CAPTURA!BX18="","",IFERROR(IF(INDEX(CODIFICACION!$E$2:$E$500,MATCH("D5.21b|"&amp;CAPTURA!BX18,CODIFICACION!$F$2:$F$500,0))="sin dato","",INDEX(CODIFICACION!$E$2:$E$500,MATCH("D5.21b|"&amp;CAPTURA!BX18,CODIFICACION!$F$2:$F$500,0))),"⚠"))</f>
        <v/>
      </c>
      <c r="AT18" t="str">
        <f>IF(CAPTURA!BY18="","",IFERROR(IF(INDEX(CODIFICACION!$E$2:$E$500,MATCH("D6.22|"&amp;CAPTURA!BY18,CODIFICACION!$F$2:$F$500,0))="sin dato","",INDEX(CODIFICACION!$E$2:$E$500,MATCH("D6.22|"&amp;CAPTURA!BY18,CODIFICACION!$F$2:$F$500,0))),"⚠"))</f>
        <v/>
      </c>
      <c r="AU18" t="str">
        <f>IF(CAPTURA!BZ18="","",IFERROR(IF(INDEX(CODIFICACION!$E$2:$E$500,MATCH("D6.22a|"&amp;CAPTURA!BZ18,CODIFICACION!$F$2:$F$500,0))="sin dato","",INDEX(CODIFICACION!$E$2:$E$500,MATCH("D6.22a|"&amp;CAPTURA!BZ18,CODIFICACION!$F$2:$F$500,0))),"⚠"))</f>
        <v/>
      </c>
      <c r="AV18" t="str">
        <f>IF(CAPTURA!CA18="","",IFERROR(IF(INDEX(CODIFICACION!$E$2:$E$500,MATCH("D6.22b|"&amp;CAPTURA!CA18,CODIFICACION!$F$2:$F$500,0))="sin dato","",INDEX(CODIFICACION!$E$2:$E$500,MATCH("D6.22b|"&amp;CAPTURA!CA18,CODIFICACION!$F$2:$F$500,0))),"⚠"))</f>
        <v/>
      </c>
      <c r="AW18" t="str">
        <f>IF(CAPTURA!CB18="","",IFERROR(IF(INDEX(CODIFICACION!$E$2:$E$500,MATCH("D6.23|"&amp;CAPTURA!CB18,CODIFICACION!$F$2:$F$500,0))="sin dato","",INDEX(CODIFICACION!$E$2:$E$500,MATCH("D6.23|"&amp;CAPTURA!CB18,CODIFICACION!$F$2:$F$500,0))),"⚠"))</f>
        <v/>
      </c>
      <c r="AX18" t="str">
        <f>IF(CAPTURA!CC18="","",IFERROR(IF(INDEX(CODIFICACION!$E$2:$E$500,MATCH("D6.24|"&amp;CAPTURA!CC18,CODIFICACION!$F$2:$F$500,0))="sin dato","",INDEX(CODIFICACION!$E$2:$E$500,MATCH("D6.24|"&amp;CAPTURA!CC18,CODIFICACION!$F$2:$F$500,0))),"⚠"))</f>
        <v/>
      </c>
      <c r="AY18" t="str">
        <f>IF(CAPTURA!CD18="","",IFERROR(IF(INDEX(CODIFICACION!$E$2:$E$500,MATCH("D6.25|"&amp;CAPTURA!CD18,CODIFICACION!$F$2:$F$500,0))="sin dato","",INDEX(CODIFICACION!$E$2:$E$500,MATCH("D6.25|"&amp;CAPTURA!CD18,CODIFICACION!$F$2:$F$500,0))),"⚠"))</f>
        <v/>
      </c>
      <c r="AZ18" t="str">
        <f>IF(CAPTURA!CE18="","",IFERROR(IF(INDEX(CODIFICACION!$E$2:$E$500,MATCH("D6.25a|"&amp;CAPTURA!CE18,CODIFICACION!$F$2:$F$500,0))="sin dato","",INDEX(CODIFICACION!$E$2:$E$500,MATCH("D6.25a|"&amp;CAPTURA!CE18,CODIFICACION!$F$2:$F$500,0))),"⚠"))</f>
        <v/>
      </c>
      <c r="BA18" t="str">
        <f>IF(CAPTURA!CF18="","",IFERROR(IF(INDEX(CODIFICACION!$E$2:$E$500,MATCH("D6.25b|"&amp;CAPTURA!CF18,CODIFICACION!$F$2:$F$500,0))="sin dato","",INDEX(CODIFICACION!$E$2:$E$500,MATCH("D6.25b|"&amp;CAPTURA!CF18,CODIFICACION!$F$2:$F$500,0))),"⚠"))</f>
        <v/>
      </c>
      <c r="BB18" t="str">
        <f>IF(CAPTURA!CG18="","",IFERROR(IF(INDEX(CODIFICACION!$E$2:$E$500,MATCH("D6.22c|"&amp;CAPTURA!CG18,CODIFICACION!$F$2:$F$500,0))="sin dato","",INDEX(CODIFICACION!$E$2:$E$500,MATCH("D6.22c|"&amp;CAPTURA!CG18,CODIFICACION!$F$2:$F$500,0))),"⚠"))</f>
        <v/>
      </c>
      <c r="BC18" t="str">
        <f>IF(CAPTURA!CH18="","",IFERROR(IF(INDEX(CODIFICACION!$E$2:$E$500,MATCH("D7.26|"&amp;CAPTURA!CH18,CODIFICACION!$F$2:$F$500,0))="sin dato","",INDEX(CODIFICACION!$E$2:$E$500,MATCH("D7.26|"&amp;CAPTURA!CH18,CODIFICACION!$F$2:$F$500,0))),"⚠"))</f>
        <v/>
      </c>
      <c r="BD18" t="str">
        <f>IF(CAPTURA!CI18="","",IFERROR(IF(INDEX(CODIFICACION!$E$2:$E$500,MATCH("D7.27|"&amp;CAPTURA!CI18,CODIFICACION!$F$2:$F$500,0))="sin dato","",INDEX(CODIFICACION!$E$2:$E$500,MATCH("D7.27|"&amp;CAPTURA!CI18,CODIFICACION!$F$2:$F$500,0))),"⚠"))</f>
        <v/>
      </c>
      <c r="BE18" t="str">
        <f>IF(CAPTURA!CJ18="","",IFERROR(IF(INDEX(CODIFICACION!$E$2:$E$500,MATCH("D7.28|"&amp;CAPTURA!CJ18,CODIFICACION!$F$2:$F$500,0))="sin dato","",INDEX(CODIFICACION!$E$2:$E$500,MATCH("D7.28|"&amp;CAPTURA!CJ18,CODIFICACION!$F$2:$F$500,0))),"⚠"))</f>
        <v/>
      </c>
      <c r="BF18" t="str">
        <f>IF(CAPTURA!CK18="","",IFERROR(IF(INDEX(CODIFICACION!$E$2:$E$500,MATCH("D7.28b|"&amp;CAPTURA!CK18,CODIFICACION!$F$2:$F$500,0))="sin dato","",INDEX(CODIFICACION!$E$2:$E$500,MATCH("D7.28b|"&amp;CAPTURA!CK18,CODIFICACION!$F$2:$F$500,0))),"⚠"))</f>
        <v/>
      </c>
      <c r="BG18" t="str">
        <f>IF(CAPTURA!CL18="","",MIN(100,ROUND((LEN(CAPTURA!CL18)-LEN(SUBSTITUTE(CAPTURA!CL18,";",""))+1)/8*100,1)))</f>
        <v/>
      </c>
      <c r="BH18" t="str">
        <f>IF(CAPTURA!CM18="","",IFERROR(IF(INDEX(CODIFICACION!$E$2:$E$500,MATCH("D7.26a|"&amp;CAPTURA!CM18,CODIFICACION!$F$2:$F$500,0))="sin dato","",INDEX(CODIFICACION!$E$2:$E$500,MATCH("D7.26a|"&amp;CAPTURA!CM18,CODIFICACION!$F$2:$F$500,0))),"⚠"))</f>
        <v/>
      </c>
      <c r="BI18" t="str">
        <f>IF(CAPTURA!CN18="","",IFERROR(IF(INDEX(CODIFICACION!$E$2:$E$500,MATCH("D7.26b|"&amp;CAPTURA!CN18,CODIFICACION!$F$2:$F$500,0))="sin dato","",INDEX(CODIFICACION!$E$2:$E$500,MATCH("D7.26b|"&amp;CAPTURA!CN18,CODIFICACION!$F$2:$F$500,0))),"⚠"))</f>
        <v/>
      </c>
      <c r="BJ18" t="str">
        <f>IF(CAPTURA!CO18="","",IF(AND(ISNUMBER(CAPTURA!CO18),CAPTURA!CO18&gt;=0,CAPTURA!CO18&lt;=4),CAPTURA!CO18*25,"⚠"))</f>
        <v/>
      </c>
      <c r="BK18" t="str">
        <f>IF(CAPTURA!CP18="","",IF(ISNUMBER(CAPTURA!CP18),MAX(0,MIN(100,CAPTURA!CP18)),"⚠"))</f>
        <v/>
      </c>
      <c r="BL18" t="str">
        <f>IF(CAPTURA!CQ18="","",IFERROR(IF(INDEX(CODIFICACION!$E$2:$E$500,MATCH("D8.31|"&amp;CAPTURA!CQ18,CODIFICACION!$F$2:$F$500,0))="sin dato","",INDEX(CODIFICACION!$E$2:$E$500,MATCH("D8.31|"&amp;CAPTURA!CQ18,CODIFICACION!$F$2:$F$500,0))),"⚠"))</f>
        <v/>
      </c>
      <c r="BM18" t="str">
        <f>IF(CAPTURA!CR18="","",IFERROR(IF(INDEX(CODIFICACION!$E$2:$E$500,MATCH("D8.32|"&amp;CAPTURA!CR18,CODIFICACION!$F$2:$F$500,0))="sin dato","",INDEX(CODIFICACION!$E$2:$E$500,MATCH("D8.32|"&amp;CAPTURA!CR18,CODIFICACION!$F$2:$F$500,0))),"⚠"))</f>
        <v/>
      </c>
      <c r="BN18" t="str">
        <f>IF(CAPTURA!CS18="","",IFERROR(IF(INDEX(CODIFICACION!$E$2:$E$500,MATCH("D9.33|"&amp;CAPTURA!CS18,CODIFICACION!$F$2:$F$500,0))="sin dato","",INDEX(CODIFICACION!$E$2:$E$500,MATCH("D9.33|"&amp;CAPTURA!CS18,CODIFICACION!$F$2:$F$500,0))),"⚠"))</f>
        <v/>
      </c>
      <c r="BO18" t="str">
        <f>IF(CAPTURA!CT18="","",IFERROR(IF(INDEX(CODIFICACION!$E$2:$E$500,MATCH("D9.34|"&amp;CAPTURA!CT18,CODIFICACION!$F$2:$F$500,0))="sin dato","",INDEX(CODIFICACION!$E$2:$E$500,MATCH("D9.34|"&amp;CAPTURA!CT18,CODIFICACION!$F$2:$F$500,0))),"⚠"))</f>
        <v/>
      </c>
      <c r="BP18" t="str">
        <f>IF(CAPTURA!CU18="","",IFERROR(IF(INDEX(CODIFICACION!$E$2:$E$500,MATCH("D9.35|"&amp;CAPTURA!CU18,CODIFICACION!$F$2:$F$500,0))="sin dato","",INDEX(CODIFICACION!$E$2:$E$500,MATCH("D9.35|"&amp;CAPTURA!CU18,CODIFICACION!$F$2:$F$500,0))),"⚠"))</f>
        <v/>
      </c>
      <c r="BQ18" t="str">
        <f>IF(CAPTURA!CV18="","",IFERROR(IF(INDEX(CODIFICACION!$E$2:$E$500,MATCH("D10.36|"&amp;CAPTURA!CV18,CODIFICACION!$F$2:$F$500,0))="sin dato","",INDEX(CODIFICACION!$E$2:$E$500,MATCH("D10.36|"&amp;CAPTURA!CV18,CODIFICACION!$F$2:$F$500,0))),"⚠"))</f>
        <v/>
      </c>
      <c r="BR18" t="str">
        <f>IF(CAPTURA!CW18="","",IFERROR(IF(INDEX(CODIFICACION!$E$2:$E$500,MATCH("D10.37|"&amp;CAPTURA!CW18,CODIFICACION!$F$2:$F$500,0))="sin dato","",INDEX(CODIFICACION!$E$2:$E$500,MATCH("D10.37|"&amp;CAPTURA!CW18,CODIFICACION!$F$2:$F$500,0))),"⚠"))</f>
        <v/>
      </c>
      <c r="BS18" t="str">
        <f>IF(CAPTURA!CX18="","",IFERROR(IF(INDEX(CODIFICACION!$E$2:$E$500,MATCH("D10.36a|"&amp;CAPTURA!CX18,CODIFICACION!$F$2:$F$500,0))="sin dato","",INDEX(CODIFICACION!$E$2:$E$500,MATCH("D10.36a|"&amp;CAPTURA!CX18,CODIFICACION!$F$2:$F$500,0))),"⚠"))</f>
        <v/>
      </c>
      <c r="BT18" t="str">
        <f>IF(CAPTURA!CY18="","",IF(ISNUMBER(SEARCH("Ninguno",CAPTURA!CY18)),0,MIN(100,ROUND((LEN(CAPTURA!CY18)-LEN(SUBSTITUTE(CAPTURA!CY18,";",""))+1)/6*100,1))))</f>
        <v/>
      </c>
      <c r="BU18" t="str">
        <f>IF(CAPTURA!DA18="","",IFERROR(IF(INDEX(CODIFICACION!$E$2:$E$500,MATCH("D11.39a|"&amp;CAPTURA!DA18,CODIFICACION!$F$2:$F$500,0))="sin dato","",INDEX(CODIFICACION!$E$2:$E$500,MATCH("D11.39a|"&amp;CAPTURA!DA18,CODIFICACION!$F$2:$F$500,0))),"⚠"))</f>
        <v/>
      </c>
      <c r="BV18" t="str">
        <f>IF(CAPTURA!DB18="","",IFERROR(IF(INDEX(CODIFICACION!$E$2:$E$500,MATCH("D12.42|"&amp;CAPTURA!DB18,CODIFICACION!$F$2:$F$500,0))="sin dato","",INDEX(CODIFICACION!$E$2:$E$500,MATCH("D12.42|"&amp;CAPTURA!DB18,CODIFICACION!$F$2:$F$500,0))),"⚠"))</f>
        <v/>
      </c>
      <c r="BW18" t="str">
        <f>IF(CAPTURA!DC18="","",IFERROR(IF(INDEX(CODIFICACION!$E$2:$E$500,MATCH("D13.45|"&amp;CAPTURA!DC18,CODIFICACION!$F$2:$F$500,0))="sin dato","",INDEX(CODIFICACION!$E$2:$E$500,MATCH("D13.45|"&amp;CAPTURA!DC18,CODIFICACION!$F$2:$F$500,0))),"⚠"))</f>
        <v/>
      </c>
      <c r="BX18" t="str">
        <f>IF(CAPTURA!DD18="","",IFERROR(IF(INDEX(CODIFICACION!$E$2:$E$500,MATCH("D14.51|"&amp;CAPTURA!DD18,CODIFICACION!$F$2:$F$500,0))="sin dato","",INDEX(CODIFICACION!$E$2:$E$500,MATCH("D14.51|"&amp;CAPTURA!DD18,CODIFICACION!$F$2:$F$500,0))),"⚠"))</f>
        <v/>
      </c>
      <c r="BY18" t="str">
        <f>IF(CAPTURA!DE18="","",IFERROR(IF(INDEX(CODIFICACION!$E$2:$E$500,MATCH("D15.58|"&amp;CAPTURA!DE18,CODIFICACION!$F$2:$F$500,0))="sin dato","",INDEX(CODIFICACION!$E$2:$E$500,MATCH("D15.58|"&amp;CAPTURA!DE18,CODIFICACION!$F$2:$F$500,0))),"⚠"))</f>
        <v/>
      </c>
      <c r="BZ18" t="str">
        <f>IF(CAPTURA!DF18="","",IFERROR(IF(INDEX(CODIFICACION!$E$2:$E$500,MATCH("PP1|"&amp;CAPTURA!DF18,CODIFICACION!$F$2:$F$500,0))="sin dato","",INDEX(CODIFICACION!$E$2:$E$500,MATCH("PP1|"&amp;CAPTURA!DF18,CODIFICACION!$F$2:$F$500,0))),"⚠"))</f>
        <v/>
      </c>
      <c r="CA18" t="str">
        <f>IF(CAPTURA!DG18="","",IFERROR(IF(INDEX(CODIFICACION!$E$2:$E$500,MATCH("PP2|"&amp;CAPTURA!DG18,CODIFICACION!$F$2:$F$500,0))="sin dato","",INDEX(CODIFICACION!$E$2:$E$500,MATCH("PP2|"&amp;CAPTURA!DG18,CODIFICACION!$F$2:$F$500,0))),"⚠"))</f>
        <v/>
      </c>
      <c r="CB18" t="str">
        <f t="shared" si="0"/>
        <v/>
      </c>
      <c r="CC18" t="str">
        <f t="shared" si="1"/>
        <v/>
      </c>
      <c r="CD18" t="str">
        <f t="shared" si="2"/>
        <v/>
      </c>
      <c r="CE18" t="str">
        <f t="shared" si="3"/>
        <v/>
      </c>
      <c r="CF18" t="str">
        <f t="shared" si="4"/>
        <v/>
      </c>
      <c r="CG18" t="str">
        <f t="shared" si="5"/>
        <v/>
      </c>
      <c r="CH18" t="str">
        <f t="shared" si="6"/>
        <v/>
      </c>
      <c r="CI18" t="str">
        <f t="shared" si="7"/>
        <v/>
      </c>
      <c r="CJ18" t="str">
        <f t="shared" si="8"/>
        <v/>
      </c>
      <c r="CK18" t="str">
        <f t="shared" si="9"/>
        <v/>
      </c>
      <c r="CL18" t="str">
        <f t="shared" si="10"/>
        <v/>
      </c>
    </row>
    <row r="19" spans="1:90" x14ac:dyDescent="0.3">
      <c r="A19">
        <f>CAPTURA!A19</f>
        <v>20170142773</v>
      </c>
      <c r="B19">
        <f>CAPTURA!C19</f>
        <v>0</v>
      </c>
      <c r="C19" t="str">
        <f>IF(CAPTURA!M19="","",ROUND((ISNUMBER(SEARCH("Alemania",CAPTURA!M19))+ISNUMBER(SEARCH("Bélgica",CAPTURA!M19))+ISNUMBER(SEARCH("Países Bajos",CAPTURA!M19))+ISNUMBER(SEARCH("Francia",CAPTURA!M19))+ISNUMBER(SEARCH("Italia",CAPTURA!M19))+ISNUMBER(SEARCH("España",CAPTURA!M19))+ISNUMBER(SEARCH("Suecia",CAPTURA!M19))+ISNUMBER(SEARCH("Dinamarca",CAPTURA!M19)))/((LEN(CAPTURA!M19)-LEN(SUBSTITUTE(CAPTURA!M19,";","")))+1)*100,1))</f>
        <v/>
      </c>
      <c r="D19" t="str">
        <f>IF(CAPTURA!AE19="","",IFERROR(IF(INDEX(CODIFICACION!$E$2:$E$500,MATCH("P8|"&amp;CAPTURA!AE19,CODIFICACION!$F$2:$F$500,0))="sin dato","",INDEX(CODIFICACION!$E$2:$E$500,MATCH("P8|"&amp;CAPTURA!AE19,CODIFICACION!$F$2:$F$500,0))),"⚠"))</f>
        <v/>
      </c>
      <c r="E19" t="str">
        <f>IF(CAPTURA!AG19="","",IFERROR(IF(INDEX(CODIFICACION!$E$2:$E$500,MATCH("P10|"&amp;CAPTURA!AG19,CODIFICACION!$F$2:$F$500,0))="sin dato","",INDEX(CODIFICACION!$E$2:$E$500,MATCH("P10|"&amp;CAPTURA!AG19,CODIFICACION!$F$2:$F$500,0))),"⚠"))</f>
        <v/>
      </c>
      <c r="F19" t="str">
        <f>IF(CAPTURA!AJ19="","",IFERROR(IF(INDEX(CODIFICACION!$E$2:$E$500,MATCH("P13|"&amp;CAPTURA!AJ19,CODIFICACION!$F$2:$F$500,0))="sin dato","",INDEX(CODIFICACION!$E$2:$E$500,MATCH("P13|"&amp;CAPTURA!AJ19,CODIFICACION!$F$2:$F$500,0))),"⚠"))</f>
        <v/>
      </c>
      <c r="G19" t="str">
        <f>IF(CAPTURA!AK19="","",IFERROR(IF(INDEX(CODIFICACION!$E$2:$E$500,MATCH("P14|"&amp;CAPTURA!AK19,CODIFICACION!$F$2:$F$500,0))="sin dato","",INDEX(CODIFICACION!$E$2:$E$500,MATCH("P14|"&amp;CAPTURA!AK19,CODIFICACION!$F$2:$F$500,0))),"⚠"))</f>
        <v/>
      </c>
      <c r="H19" t="str">
        <f>IF(CAPTURA!AL19="","",IFERROR(IF(INDEX(CODIFICACION!$E$2:$E$500,MATCH("D1.1|"&amp;CAPTURA!AL19,CODIFICACION!$F$2:$F$500,0))="sin dato","",INDEX(CODIFICACION!$E$2:$E$500,MATCH("D1.1|"&amp;CAPTURA!AL19,CODIFICACION!$F$2:$F$500,0))),"⚠"))</f>
        <v/>
      </c>
      <c r="I19" t="str">
        <f>IF(CAPTURA!AN19="","",IFERROR(IF(INDEX(CODIFICACION!$E$2:$E$500,MATCH("D1.3|"&amp;CAPTURA!AN19,CODIFICACION!$F$2:$F$500,0))="sin dato","",INDEX(CODIFICACION!$E$2:$E$500,MATCH("D1.3|"&amp;CAPTURA!AN19,CODIFICACION!$F$2:$F$500,0))),"⚠"))</f>
        <v/>
      </c>
      <c r="J19" t="str">
        <f>IF(CAPTURA!AO19="","",IFERROR(IF(INDEX(CODIFICACION!$E$2:$E$500,MATCH("D1.4|"&amp;CAPTURA!AO19,CODIFICACION!$F$2:$F$500,0))="sin dato","",INDEX(CODIFICACION!$E$2:$E$500,MATCH("D1.4|"&amp;CAPTURA!AO19,CODIFICACION!$F$2:$F$500,0))),"⚠"))</f>
        <v/>
      </c>
      <c r="K19" t="str">
        <f>IF(CAPTURA!AP19="","",IFERROR(IF(INDEX(CODIFICACION!$E$2:$E$500,MATCH("D1.3a|"&amp;CAPTURA!AP19,CODIFICACION!$F$2:$F$500,0))="sin dato","",INDEX(CODIFICACION!$E$2:$E$500,MATCH("D1.3a|"&amp;CAPTURA!AP19,CODIFICACION!$F$2:$F$500,0))),"⚠"))</f>
        <v/>
      </c>
      <c r="L19" t="str">
        <f>IF(CAPTURA!AQ19="","",IF(AND(ISNUMBER(CAPTURA!AQ19),CAPTURA!AQ19&gt;=0,CAPTURA!AQ19&lt;=4),CAPTURA!AQ19*25,"⚠"))</f>
        <v/>
      </c>
      <c r="M19" t="str">
        <f>IF(CAPTURA!AR19="","",IF(ISNUMBER(CAPTURA!AR19),MAX(0,MIN(100,CAPTURA!AR19)),"⚠"))</f>
        <v/>
      </c>
      <c r="N19" t="str">
        <f>IF(CAPTURA!AS19="","",IF(AND(ISNUMBER(CAPTURA!AS19),CAPTURA!AS19&gt;=0,CAPTURA!AS19&lt;=4),CAPTURA!AS19*25,"⚠"))</f>
        <v/>
      </c>
      <c r="O19" t="str">
        <f>IF(CAPTURA!AT19="","",IFERROR(IF(INDEX(CODIFICACION!$E$2:$E$500,MATCH("D2.8|"&amp;CAPTURA!AT19,CODIFICACION!$F$2:$F$500,0))="sin dato","",INDEX(CODIFICACION!$E$2:$E$500,MATCH("D2.8|"&amp;CAPTURA!AT19,CODIFICACION!$F$2:$F$500,0))),"⚠"))</f>
        <v/>
      </c>
      <c r="P19" t="str">
        <f>IF(CAPTURA!AU19="","",IFERROR(IF(INDEX(CODIFICACION!$E$2:$E$500,MATCH("D2.9|"&amp;CAPTURA!AU19,CODIFICACION!$F$2:$F$500,0))="sin dato","",INDEX(CODIFICACION!$E$2:$E$500,MATCH("D2.9|"&amp;CAPTURA!AU19,CODIFICACION!$F$2:$F$500,0))),"⚠"))</f>
        <v/>
      </c>
      <c r="Q19" t="str">
        <f>IF(CAPTURA!AV19="","",IFERROR(IF(INDEX(CODIFICACION!$E$2:$E$500,MATCH("D2.10|"&amp;CAPTURA!AV19,CODIFICACION!$F$2:$F$500,0))="sin dato","",INDEX(CODIFICACION!$E$2:$E$500,MATCH("D2.10|"&amp;CAPTURA!AV19,CODIFICACION!$F$2:$F$500,0))),"⚠"))</f>
        <v/>
      </c>
      <c r="R19" t="str">
        <f>IF(CAPTURA!AW19="","",IFERROR(IF(INDEX(CODIFICACION!$E$2:$E$500,MATCH("D2.5a|"&amp;CAPTURA!AW19,CODIFICACION!$F$2:$F$500,0))="sin dato","",INDEX(CODIFICACION!$E$2:$E$500,MATCH("D2.5a|"&amp;CAPTURA!AW19,CODIFICACION!$F$2:$F$500,0))),"⚠"))</f>
        <v/>
      </c>
      <c r="S19" t="str">
        <f>IF(CAPTURA!AX19="","",IFERROR(IF(INDEX(CODIFICACION!$E$2:$E$500,MATCH("D2.5b|"&amp;CAPTURA!AX19,CODIFICACION!$F$2:$F$500,0))="sin dato","",INDEX(CODIFICACION!$E$2:$E$500,MATCH("D2.5b|"&amp;CAPTURA!AX19,CODIFICACION!$F$2:$F$500,0))),"⚠"))</f>
        <v/>
      </c>
      <c r="T19" t="str">
        <f>IF(CAPTURA!AY19="","",IF(ISNUMBER(CAPTURA!AY19),MAX(0,MIN(100,CAPTURA!AY19)),"⚠"))</f>
        <v/>
      </c>
      <c r="U19" t="str">
        <f>IF(CAPTURA!AZ19="","",IFERROR(IF(INDEX(CODIFICACION!$E$2:$E$500,MATCH("D3.12|"&amp;CAPTURA!AZ19,CODIFICACION!$F$2:$F$500,0))="sin dato","",INDEX(CODIFICACION!$E$2:$E$500,MATCH("D3.12|"&amp;CAPTURA!AZ19,CODIFICACION!$F$2:$F$500,0))),"⚠"))</f>
        <v/>
      </c>
      <c r="V19" t="str">
        <f>IF(CAPTURA!BA19="","",IF(AND(ISNUMBER(CAPTURA!BA19),CAPTURA!BA19&gt;=0,CAPTURA!BA19&lt;=4),CAPTURA!BA19*25,"⚠"))</f>
        <v/>
      </c>
      <c r="W19" t="str">
        <f>IF(CAPTURA!BB19="","",IFERROR(IF(INDEX(CODIFICACION!$E$2:$E$500,MATCH("D3.14|"&amp;CAPTURA!BB19,CODIFICACION!$F$2:$F$500,0))="sin dato","",INDEX(CODIFICACION!$E$2:$E$500,MATCH("D3.14|"&amp;CAPTURA!BB19,CODIFICACION!$F$2:$F$500,0))),"⚠"))</f>
        <v/>
      </c>
      <c r="X19" t="str">
        <f>IF(CAPTURA!BC19="","",IFERROR(IF(INDEX(CODIFICACION!$E$2:$E$500,MATCH("D3.14a|"&amp;CAPTURA!BC19,CODIFICACION!$F$2:$F$500,0))="sin dato","",INDEX(CODIFICACION!$E$2:$E$500,MATCH("D3.14a|"&amp;CAPTURA!BC19,CODIFICACION!$F$2:$F$500,0))),"⚠"))</f>
        <v/>
      </c>
      <c r="Y19" t="str">
        <f>IF(CAPTURA!BD19="","",IFERROR(IF(INDEX(CODIFICACION!$E$2:$E$500,MATCH("D3.14b|"&amp;CAPTURA!BD19,CODIFICACION!$F$2:$F$500,0))="sin dato","",INDEX(CODIFICACION!$E$2:$E$500,MATCH("D3.14b|"&amp;CAPTURA!BD19,CODIFICACION!$F$2:$F$500,0))),"⚠"))</f>
        <v/>
      </c>
      <c r="Z19" t="str">
        <f>IF(CAPTURA!BE19="","",IFERROR(IF(INDEX(CODIFICACION!$E$2:$E$500,MATCH("D3.14c|"&amp;CAPTURA!BE19,CODIFICACION!$F$2:$F$500,0))="sin dato","",INDEX(CODIFICACION!$E$2:$E$500,MATCH("D3.14c|"&amp;CAPTURA!BE19,CODIFICACION!$F$2:$F$500,0))),"⚠"))</f>
        <v/>
      </c>
      <c r="AA19" t="str">
        <f>IF(CAPTURA!BF19="","",IFERROR(IF(INDEX(CODIFICACION!$E$2:$E$500,MATCH("D3.14d|"&amp;CAPTURA!BF19,CODIFICACION!$F$2:$F$500,0))="sin dato","",INDEX(CODIFICACION!$E$2:$E$500,MATCH("D3.14d|"&amp;CAPTURA!BF19,CODIFICACION!$F$2:$F$500,0))),"⚠"))</f>
        <v/>
      </c>
      <c r="AB19" t="str">
        <f>IF(CAPTURA!BG19="","",IFERROR(IF(INDEX(CODIFICACION!$E$2:$E$500,MATCH("D3.14e|"&amp;CAPTURA!BG19,CODIFICACION!$F$2:$F$500,0))="sin dato","",INDEX(CODIFICACION!$E$2:$E$500,MATCH("D3.14e|"&amp;CAPTURA!BG19,CODIFICACION!$F$2:$F$500,0))),"⚠"))</f>
        <v/>
      </c>
      <c r="AC19" t="str">
        <f>IF(CAPTURA!BH19="","",IFERROR(IF(INDEX(CODIFICACION!$E$2:$E$500,MATCH("D3.14f|"&amp;CAPTURA!BH19,CODIFICACION!$F$2:$F$500,0))="sin dato","",INDEX(CODIFICACION!$E$2:$E$500,MATCH("D3.14f|"&amp;CAPTURA!BH19,CODIFICACION!$F$2:$F$500,0))),"⚠"))</f>
        <v/>
      </c>
      <c r="AD19" t="str">
        <f>IF(CAPTURA!BI19="","",IFERROR(IF(INDEX(CODIFICACION!$E$2:$E$500,MATCH("D3.14g|"&amp;CAPTURA!BI19,CODIFICACION!$F$2:$F$500,0))="sin dato","",INDEX(CODIFICACION!$E$2:$E$500,MATCH("D3.14g|"&amp;CAPTURA!BI19,CODIFICACION!$F$2:$F$500,0))),"⚠"))</f>
        <v/>
      </c>
      <c r="AE19" t="str">
        <f>IF(CAPTURA!BJ19="","",IFERROR(IF(INDEX(CODIFICACION!$E$2:$E$500,MATCH("D3.14h|"&amp;CAPTURA!BJ19,CODIFICACION!$F$2:$F$500,0))="sin dato","",INDEX(CODIFICACION!$E$2:$E$500,MATCH("D3.14h|"&amp;CAPTURA!BJ19,CODIFICACION!$F$2:$F$500,0))),"⚠"))</f>
        <v/>
      </c>
      <c r="AF19" t="str">
        <f>IF(CAPTURA!BK19="","",IFERROR(IF(INDEX(CODIFICACION!$E$2:$E$500,MATCH("D3.14i|"&amp;CAPTURA!BK19,CODIFICACION!$F$2:$F$500,0))="sin dato","",INDEX(CODIFICACION!$E$2:$E$500,MATCH("D3.14i|"&amp;CAPTURA!BK19,CODIFICACION!$F$2:$F$500,0))),"⚠"))</f>
        <v/>
      </c>
      <c r="AG19" t="str">
        <f>IF(CAPTURA!BL19="","",IFERROR(IF(INDEX(CODIFICACION!$E$2:$E$500,MATCH("D4.15|"&amp;CAPTURA!BL19,CODIFICACION!$F$2:$F$500,0))="sin dato","",INDEX(CODIFICACION!$E$2:$E$500,MATCH("D4.15|"&amp;CAPTURA!BL19,CODIFICACION!$F$2:$F$500,0))),"⚠"))</f>
        <v/>
      </c>
      <c r="AH19" t="str">
        <f>IF(CAPTURA!BM19="","",IF(AND(ISNUMBER(CAPTURA!BM19),CAPTURA!BM19&gt;=0,CAPTURA!BM19&lt;=4),CAPTURA!BM19*25,"⚠"))</f>
        <v/>
      </c>
      <c r="AI19" t="str">
        <f>IF(CAPTURA!BN19="","",IFERROR(IF(INDEX(CODIFICACION!$E$2:$E$500,MATCH("D4.17|"&amp;CAPTURA!BN19,CODIFICACION!$F$2:$F$500,0))="sin dato","",INDEX(CODIFICACION!$E$2:$E$500,MATCH("D4.17|"&amp;CAPTURA!BN19,CODIFICACION!$F$2:$F$500,0))),"⚠"))</f>
        <v/>
      </c>
      <c r="AJ19" t="str">
        <f>IF(CAPTURA!BO19="","",IFERROR(IF(INDEX(CODIFICACION!$E$2:$E$500,MATCH("D4.15a|"&amp;CAPTURA!BO19,CODIFICACION!$F$2:$F$500,0))="sin dato","",INDEX(CODIFICACION!$E$2:$E$500,MATCH("D4.15a|"&amp;CAPTURA!BO19,CODIFICACION!$F$2:$F$500,0))),"⚠"))</f>
        <v/>
      </c>
      <c r="AK19" t="str">
        <f>IF(CAPTURA!BP19="","",IF(AND(ISNUMBER(CAPTURA!BP19),CAPTURA!BP19&gt;=0,CAPTURA!BP19&lt;=4),CAPTURA!BP19*25,"⚠"))</f>
        <v/>
      </c>
      <c r="AL19" t="str">
        <f>IF(CAPTURA!BQ19="","",IF(AND(ISNUMBER(CAPTURA!BQ19),CAPTURA!BQ19&gt;=0,CAPTURA!BQ19&lt;=4),CAPTURA!BQ19*25,"⚠"))</f>
        <v/>
      </c>
      <c r="AM19" t="str">
        <f>IF(CAPTURA!BR19="","",IFERROR(IF(INDEX(CODIFICACION!$E$2:$E$500,MATCH("D5.18b|"&amp;CAPTURA!BR19,CODIFICACION!$F$2:$F$500,0))="sin dato","",INDEX(CODIFICACION!$E$2:$E$500,MATCH("D5.18b|"&amp;CAPTURA!BR19,CODIFICACION!$F$2:$F$500,0))),"⚠"))</f>
        <v/>
      </c>
      <c r="AN19" t="str">
        <f>IF(CAPTURA!BS19="","",IFERROR(IF(INDEX(CODIFICACION!$E$2:$E$500,MATCH("D5.19|"&amp;CAPTURA!BS19,CODIFICACION!$F$2:$F$500,0))="sin dato","",INDEX(CODIFICACION!$E$2:$E$500,MATCH("D5.19|"&amp;CAPTURA!BS19,CODIFICACION!$F$2:$F$500,0))),"⚠"))</f>
        <v/>
      </c>
      <c r="AO19" t="str">
        <f>IF(CAPTURA!BT19="","",MIN(100,ROUND((LEN(CAPTURA!BT19)-LEN(SUBSTITUTE(CAPTURA!BT19,";",""))+1)/7*100,1)))</f>
        <v/>
      </c>
      <c r="AP19" t="str">
        <f>IF(CAPTURA!BU19="","",IFERROR(IF(INDEX(CODIFICACION!$E$2:$E$500,MATCH("D5.20|"&amp;CAPTURA!BU19,CODIFICACION!$F$2:$F$500,0))="sin dato","",INDEX(CODIFICACION!$E$2:$E$500,MATCH("D5.20|"&amp;CAPTURA!BU19,CODIFICACION!$F$2:$F$500,0))),"⚠"))</f>
        <v/>
      </c>
      <c r="AQ19" t="str">
        <f>IF(CAPTURA!BV19="","",IFERROR(IF(INDEX(CODIFICACION!$E$2:$E$500,MATCH("D5.21|"&amp;CAPTURA!BV19,CODIFICACION!$F$2:$F$500,0))="sin dato","",INDEX(CODIFICACION!$E$2:$E$500,MATCH("D5.21|"&amp;CAPTURA!BV19,CODIFICACION!$F$2:$F$500,0))),"⚠"))</f>
        <v/>
      </c>
      <c r="AR19" t="str">
        <f>IF(CAPTURA!BW19="","",IFERROR(IF(INDEX(CODIFICACION!$E$2:$E$500,MATCH("D5.21a|"&amp;CAPTURA!BW19,CODIFICACION!$F$2:$F$500,0))="sin dato","",INDEX(CODIFICACION!$E$2:$E$500,MATCH("D5.21a|"&amp;CAPTURA!BW19,CODIFICACION!$F$2:$F$500,0))),"⚠"))</f>
        <v/>
      </c>
      <c r="AS19" t="str">
        <f>IF(CAPTURA!BX19="","",IFERROR(IF(INDEX(CODIFICACION!$E$2:$E$500,MATCH("D5.21b|"&amp;CAPTURA!BX19,CODIFICACION!$F$2:$F$500,0))="sin dato","",INDEX(CODIFICACION!$E$2:$E$500,MATCH("D5.21b|"&amp;CAPTURA!BX19,CODIFICACION!$F$2:$F$500,0))),"⚠"))</f>
        <v/>
      </c>
      <c r="AT19" t="str">
        <f>IF(CAPTURA!BY19="","",IFERROR(IF(INDEX(CODIFICACION!$E$2:$E$500,MATCH("D6.22|"&amp;CAPTURA!BY19,CODIFICACION!$F$2:$F$500,0))="sin dato","",INDEX(CODIFICACION!$E$2:$E$500,MATCH("D6.22|"&amp;CAPTURA!BY19,CODIFICACION!$F$2:$F$500,0))),"⚠"))</f>
        <v/>
      </c>
      <c r="AU19" t="str">
        <f>IF(CAPTURA!BZ19="","",IFERROR(IF(INDEX(CODIFICACION!$E$2:$E$500,MATCH("D6.22a|"&amp;CAPTURA!BZ19,CODIFICACION!$F$2:$F$500,0))="sin dato","",INDEX(CODIFICACION!$E$2:$E$500,MATCH("D6.22a|"&amp;CAPTURA!BZ19,CODIFICACION!$F$2:$F$500,0))),"⚠"))</f>
        <v/>
      </c>
      <c r="AV19" t="str">
        <f>IF(CAPTURA!CA19="","",IFERROR(IF(INDEX(CODIFICACION!$E$2:$E$500,MATCH("D6.22b|"&amp;CAPTURA!CA19,CODIFICACION!$F$2:$F$500,0))="sin dato","",INDEX(CODIFICACION!$E$2:$E$500,MATCH("D6.22b|"&amp;CAPTURA!CA19,CODIFICACION!$F$2:$F$500,0))),"⚠"))</f>
        <v/>
      </c>
      <c r="AW19" t="str">
        <f>IF(CAPTURA!CB19="","",IFERROR(IF(INDEX(CODIFICACION!$E$2:$E$500,MATCH("D6.23|"&amp;CAPTURA!CB19,CODIFICACION!$F$2:$F$500,0))="sin dato","",INDEX(CODIFICACION!$E$2:$E$500,MATCH("D6.23|"&amp;CAPTURA!CB19,CODIFICACION!$F$2:$F$500,0))),"⚠"))</f>
        <v/>
      </c>
      <c r="AX19" t="str">
        <f>IF(CAPTURA!CC19="","",IFERROR(IF(INDEX(CODIFICACION!$E$2:$E$500,MATCH("D6.24|"&amp;CAPTURA!CC19,CODIFICACION!$F$2:$F$500,0))="sin dato","",INDEX(CODIFICACION!$E$2:$E$500,MATCH("D6.24|"&amp;CAPTURA!CC19,CODIFICACION!$F$2:$F$500,0))),"⚠"))</f>
        <v/>
      </c>
      <c r="AY19" t="str">
        <f>IF(CAPTURA!CD19="","",IFERROR(IF(INDEX(CODIFICACION!$E$2:$E$500,MATCH("D6.25|"&amp;CAPTURA!CD19,CODIFICACION!$F$2:$F$500,0))="sin dato","",INDEX(CODIFICACION!$E$2:$E$500,MATCH("D6.25|"&amp;CAPTURA!CD19,CODIFICACION!$F$2:$F$500,0))),"⚠"))</f>
        <v/>
      </c>
      <c r="AZ19" t="str">
        <f>IF(CAPTURA!CE19="","",IFERROR(IF(INDEX(CODIFICACION!$E$2:$E$500,MATCH("D6.25a|"&amp;CAPTURA!CE19,CODIFICACION!$F$2:$F$500,0))="sin dato","",INDEX(CODIFICACION!$E$2:$E$500,MATCH("D6.25a|"&amp;CAPTURA!CE19,CODIFICACION!$F$2:$F$500,0))),"⚠"))</f>
        <v/>
      </c>
      <c r="BA19" t="str">
        <f>IF(CAPTURA!CF19="","",IFERROR(IF(INDEX(CODIFICACION!$E$2:$E$500,MATCH("D6.25b|"&amp;CAPTURA!CF19,CODIFICACION!$F$2:$F$500,0))="sin dato","",INDEX(CODIFICACION!$E$2:$E$500,MATCH("D6.25b|"&amp;CAPTURA!CF19,CODIFICACION!$F$2:$F$500,0))),"⚠"))</f>
        <v/>
      </c>
      <c r="BB19" t="str">
        <f>IF(CAPTURA!CG19="","",IFERROR(IF(INDEX(CODIFICACION!$E$2:$E$500,MATCH("D6.22c|"&amp;CAPTURA!CG19,CODIFICACION!$F$2:$F$500,0))="sin dato","",INDEX(CODIFICACION!$E$2:$E$500,MATCH("D6.22c|"&amp;CAPTURA!CG19,CODIFICACION!$F$2:$F$500,0))),"⚠"))</f>
        <v/>
      </c>
      <c r="BC19" t="str">
        <f>IF(CAPTURA!CH19="","",IFERROR(IF(INDEX(CODIFICACION!$E$2:$E$500,MATCH("D7.26|"&amp;CAPTURA!CH19,CODIFICACION!$F$2:$F$500,0))="sin dato","",INDEX(CODIFICACION!$E$2:$E$500,MATCH("D7.26|"&amp;CAPTURA!CH19,CODIFICACION!$F$2:$F$500,0))),"⚠"))</f>
        <v/>
      </c>
      <c r="BD19" t="str">
        <f>IF(CAPTURA!CI19="","",IFERROR(IF(INDEX(CODIFICACION!$E$2:$E$500,MATCH("D7.27|"&amp;CAPTURA!CI19,CODIFICACION!$F$2:$F$500,0))="sin dato","",INDEX(CODIFICACION!$E$2:$E$500,MATCH("D7.27|"&amp;CAPTURA!CI19,CODIFICACION!$F$2:$F$500,0))),"⚠"))</f>
        <v/>
      </c>
      <c r="BE19" t="str">
        <f>IF(CAPTURA!CJ19="","",IFERROR(IF(INDEX(CODIFICACION!$E$2:$E$500,MATCH("D7.28|"&amp;CAPTURA!CJ19,CODIFICACION!$F$2:$F$500,0))="sin dato","",INDEX(CODIFICACION!$E$2:$E$500,MATCH("D7.28|"&amp;CAPTURA!CJ19,CODIFICACION!$F$2:$F$500,0))),"⚠"))</f>
        <v/>
      </c>
      <c r="BF19" t="str">
        <f>IF(CAPTURA!CK19="","",IFERROR(IF(INDEX(CODIFICACION!$E$2:$E$500,MATCH("D7.28b|"&amp;CAPTURA!CK19,CODIFICACION!$F$2:$F$500,0))="sin dato","",INDEX(CODIFICACION!$E$2:$E$500,MATCH("D7.28b|"&amp;CAPTURA!CK19,CODIFICACION!$F$2:$F$500,0))),"⚠"))</f>
        <v/>
      </c>
      <c r="BG19" t="str">
        <f>IF(CAPTURA!CL19="","",MIN(100,ROUND((LEN(CAPTURA!CL19)-LEN(SUBSTITUTE(CAPTURA!CL19,";",""))+1)/8*100,1)))</f>
        <v/>
      </c>
      <c r="BH19" t="str">
        <f>IF(CAPTURA!CM19="","",IFERROR(IF(INDEX(CODIFICACION!$E$2:$E$500,MATCH("D7.26a|"&amp;CAPTURA!CM19,CODIFICACION!$F$2:$F$500,0))="sin dato","",INDEX(CODIFICACION!$E$2:$E$500,MATCH("D7.26a|"&amp;CAPTURA!CM19,CODIFICACION!$F$2:$F$500,0))),"⚠"))</f>
        <v/>
      </c>
      <c r="BI19" t="str">
        <f>IF(CAPTURA!CN19="","",IFERROR(IF(INDEX(CODIFICACION!$E$2:$E$500,MATCH("D7.26b|"&amp;CAPTURA!CN19,CODIFICACION!$F$2:$F$500,0))="sin dato","",INDEX(CODIFICACION!$E$2:$E$500,MATCH("D7.26b|"&amp;CAPTURA!CN19,CODIFICACION!$F$2:$F$500,0))),"⚠"))</f>
        <v/>
      </c>
      <c r="BJ19" t="str">
        <f>IF(CAPTURA!CO19="","",IF(AND(ISNUMBER(CAPTURA!CO19),CAPTURA!CO19&gt;=0,CAPTURA!CO19&lt;=4),CAPTURA!CO19*25,"⚠"))</f>
        <v/>
      </c>
      <c r="BK19" t="str">
        <f>IF(CAPTURA!CP19="","",IF(ISNUMBER(CAPTURA!CP19),MAX(0,MIN(100,CAPTURA!CP19)),"⚠"))</f>
        <v/>
      </c>
      <c r="BL19" t="str">
        <f>IF(CAPTURA!CQ19="","",IFERROR(IF(INDEX(CODIFICACION!$E$2:$E$500,MATCH("D8.31|"&amp;CAPTURA!CQ19,CODIFICACION!$F$2:$F$500,0))="sin dato","",INDEX(CODIFICACION!$E$2:$E$500,MATCH("D8.31|"&amp;CAPTURA!CQ19,CODIFICACION!$F$2:$F$500,0))),"⚠"))</f>
        <v/>
      </c>
      <c r="BM19" t="str">
        <f>IF(CAPTURA!CR19="","",IFERROR(IF(INDEX(CODIFICACION!$E$2:$E$500,MATCH("D8.32|"&amp;CAPTURA!CR19,CODIFICACION!$F$2:$F$500,0))="sin dato","",INDEX(CODIFICACION!$E$2:$E$500,MATCH("D8.32|"&amp;CAPTURA!CR19,CODIFICACION!$F$2:$F$500,0))),"⚠"))</f>
        <v/>
      </c>
      <c r="BN19" t="str">
        <f>IF(CAPTURA!CS19="","",IFERROR(IF(INDEX(CODIFICACION!$E$2:$E$500,MATCH("D9.33|"&amp;CAPTURA!CS19,CODIFICACION!$F$2:$F$500,0))="sin dato","",INDEX(CODIFICACION!$E$2:$E$500,MATCH("D9.33|"&amp;CAPTURA!CS19,CODIFICACION!$F$2:$F$500,0))),"⚠"))</f>
        <v/>
      </c>
      <c r="BO19" t="str">
        <f>IF(CAPTURA!CT19="","",IFERROR(IF(INDEX(CODIFICACION!$E$2:$E$500,MATCH("D9.34|"&amp;CAPTURA!CT19,CODIFICACION!$F$2:$F$500,0))="sin dato","",INDEX(CODIFICACION!$E$2:$E$500,MATCH("D9.34|"&amp;CAPTURA!CT19,CODIFICACION!$F$2:$F$500,0))),"⚠"))</f>
        <v/>
      </c>
      <c r="BP19" t="str">
        <f>IF(CAPTURA!CU19="","",IFERROR(IF(INDEX(CODIFICACION!$E$2:$E$500,MATCH("D9.35|"&amp;CAPTURA!CU19,CODIFICACION!$F$2:$F$500,0))="sin dato","",INDEX(CODIFICACION!$E$2:$E$500,MATCH("D9.35|"&amp;CAPTURA!CU19,CODIFICACION!$F$2:$F$500,0))),"⚠"))</f>
        <v/>
      </c>
      <c r="BQ19" t="str">
        <f>IF(CAPTURA!CV19="","",IFERROR(IF(INDEX(CODIFICACION!$E$2:$E$500,MATCH("D10.36|"&amp;CAPTURA!CV19,CODIFICACION!$F$2:$F$500,0))="sin dato","",INDEX(CODIFICACION!$E$2:$E$500,MATCH("D10.36|"&amp;CAPTURA!CV19,CODIFICACION!$F$2:$F$500,0))),"⚠"))</f>
        <v/>
      </c>
      <c r="BR19" t="str">
        <f>IF(CAPTURA!CW19="","",IFERROR(IF(INDEX(CODIFICACION!$E$2:$E$500,MATCH("D10.37|"&amp;CAPTURA!CW19,CODIFICACION!$F$2:$F$500,0))="sin dato","",INDEX(CODIFICACION!$E$2:$E$500,MATCH("D10.37|"&amp;CAPTURA!CW19,CODIFICACION!$F$2:$F$500,0))),"⚠"))</f>
        <v/>
      </c>
      <c r="BS19" t="str">
        <f>IF(CAPTURA!CX19="","",IFERROR(IF(INDEX(CODIFICACION!$E$2:$E$500,MATCH("D10.36a|"&amp;CAPTURA!CX19,CODIFICACION!$F$2:$F$500,0))="sin dato","",INDEX(CODIFICACION!$E$2:$E$500,MATCH("D10.36a|"&amp;CAPTURA!CX19,CODIFICACION!$F$2:$F$500,0))),"⚠"))</f>
        <v/>
      </c>
      <c r="BT19" t="str">
        <f>IF(CAPTURA!CY19="","",IF(ISNUMBER(SEARCH("Ninguno",CAPTURA!CY19)),0,MIN(100,ROUND((LEN(CAPTURA!CY19)-LEN(SUBSTITUTE(CAPTURA!CY19,";",""))+1)/6*100,1))))</f>
        <v/>
      </c>
      <c r="BU19" t="str">
        <f>IF(CAPTURA!DA19="","",IFERROR(IF(INDEX(CODIFICACION!$E$2:$E$500,MATCH("D11.39a|"&amp;CAPTURA!DA19,CODIFICACION!$F$2:$F$500,0))="sin dato","",INDEX(CODIFICACION!$E$2:$E$500,MATCH("D11.39a|"&amp;CAPTURA!DA19,CODIFICACION!$F$2:$F$500,0))),"⚠"))</f>
        <v/>
      </c>
      <c r="BV19" t="str">
        <f>IF(CAPTURA!DB19="","",IFERROR(IF(INDEX(CODIFICACION!$E$2:$E$500,MATCH("D12.42|"&amp;CAPTURA!DB19,CODIFICACION!$F$2:$F$500,0))="sin dato","",INDEX(CODIFICACION!$E$2:$E$500,MATCH("D12.42|"&amp;CAPTURA!DB19,CODIFICACION!$F$2:$F$500,0))),"⚠"))</f>
        <v/>
      </c>
      <c r="BW19" t="str">
        <f>IF(CAPTURA!DC19="","",IFERROR(IF(INDEX(CODIFICACION!$E$2:$E$500,MATCH("D13.45|"&amp;CAPTURA!DC19,CODIFICACION!$F$2:$F$500,0))="sin dato","",INDEX(CODIFICACION!$E$2:$E$500,MATCH("D13.45|"&amp;CAPTURA!DC19,CODIFICACION!$F$2:$F$500,0))),"⚠"))</f>
        <v/>
      </c>
      <c r="BX19" t="str">
        <f>IF(CAPTURA!DD19="","",IFERROR(IF(INDEX(CODIFICACION!$E$2:$E$500,MATCH("D14.51|"&amp;CAPTURA!DD19,CODIFICACION!$F$2:$F$500,0))="sin dato","",INDEX(CODIFICACION!$E$2:$E$500,MATCH("D14.51|"&amp;CAPTURA!DD19,CODIFICACION!$F$2:$F$500,0))),"⚠"))</f>
        <v/>
      </c>
      <c r="BY19" t="str">
        <f>IF(CAPTURA!DE19="","",IFERROR(IF(INDEX(CODIFICACION!$E$2:$E$500,MATCH("D15.58|"&amp;CAPTURA!DE19,CODIFICACION!$F$2:$F$500,0))="sin dato","",INDEX(CODIFICACION!$E$2:$E$500,MATCH("D15.58|"&amp;CAPTURA!DE19,CODIFICACION!$F$2:$F$500,0))),"⚠"))</f>
        <v/>
      </c>
      <c r="BZ19" t="str">
        <f>IF(CAPTURA!DF19="","",IFERROR(IF(INDEX(CODIFICACION!$E$2:$E$500,MATCH("PP1|"&amp;CAPTURA!DF19,CODIFICACION!$F$2:$F$500,0))="sin dato","",INDEX(CODIFICACION!$E$2:$E$500,MATCH("PP1|"&amp;CAPTURA!DF19,CODIFICACION!$F$2:$F$500,0))),"⚠"))</f>
        <v/>
      </c>
      <c r="CA19" t="str">
        <f>IF(CAPTURA!DG19="","",IFERROR(IF(INDEX(CODIFICACION!$E$2:$E$500,MATCH("PP2|"&amp;CAPTURA!DG19,CODIFICACION!$F$2:$F$500,0))="sin dato","",INDEX(CODIFICACION!$E$2:$E$500,MATCH("PP2|"&amp;CAPTURA!DG19,CODIFICACION!$F$2:$F$500,0))),"⚠"))</f>
        <v/>
      </c>
      <c r="CB19" t="str">
        <f t="shared" si="0"/>
        <v/>
      </c>
      <c r="CC19" t="str">
        <f t="shared" si="1"/>
        <v/>
      </c>
      <c r="CD19" t="str">
        <f t="shared" si="2"/>
        <v/>
      </c>
      <c r="CE19" t="str">
        <f t="shared" si="3"/>
        <v/>
      </c>
      <c r="CF19" t="str">
        <f t="shared" si="4"/>
        <v/>
      </c>
      <c r="CG19" t="str">
        <f t="shared" si="5"/>
        <v/>
      </c>
      <c r="CH19" t="str">
        <f t="shared" si="6"/>
        <v/>
      </c>
      <c r="CI19" t="str">
        <f t="shared" si="7"/>
        <v/>
      </c>
      <c r="CJ19" t="str">
        <f t="shared" si="8"/>
        <v/>
      </c>
      <c r="CK19" t="str">
        <f t="shared" si="9"/>
        <v/>
      </c>
      <c r="CL19" t="str">
        <f t="shared" si="10"/>
        <v/>
      </c>
    </row>
    <row r="20" spans="1:90" x14ac:dyDescent="0.3">
      <c r="A20">
        <f>CAPTURA!A20</f>
        <v>20200880448</v>
      </c>
      <c r="B20">
        <f>CAPTURA!C20</f>
        <v>0</v>
      </c>
      <c r="C20" t="str">
        <f>IF(CAPTURA!M20="","",ROUND((ISNUMBER(SEARCH("Alemania",CAPTURA!M20))+ISNUMBER(SEARCH("Bélgica",CAPTURA!M20))+ISNUMBER(SEARCH("Países Bajos",CAPTURA!M20))+ISNUMBER(SEARCH("Francia",CAPTURA!M20))+ISNUMBER(SEARCH("Italia",CAPTURA!M20))+ISNUMBER(SEARCH("España",CAPTURA!M20))+ISNUMBER(SEARCH("Suecia",CAPTURA!M20))+ISNUMBER(SEARCH("Dinamarca",CAPTURA!M20)))/((LEN(CAPTURA!M20)-LEN(SUBSTITUTE(CAPTURA!M20,";","")))+1)*100,1))</f>
        <v/>
      </c>
      <c r="D20" t="str">
        <f>IF(CAPTURA!AE20="","",IFERROR(IF(INDEX(CODIFICACION!$E$2:$E$500,MATCH("P8|"&amp;CAPTURA!AE20,CODIFICACION!$F$2:$F$500,0))="sin dato","",INDEX(CODIFICACION!$E$2:$E$500,MATCH("P8|"&amp;CAPTURA!AE20,CODIFICACION!$F$2:$F$500,0))),"⚠"))</f>
        <v/>
      </c>
      <c r="E20" t="str">
        <f>IF(CAPTURA!AG20="","",IFERROR(IF(INDEX(CODIFICACION!$E$2:$E$500,MATCH("P10|"&amp;CAPTURA!AG20,CODIFICACION!$F$2:$F$500,0))="sin dato","",INDEX(CODIFICACION!$E$2:$E$500,MATCH("P10|"&amp;CAPTURA!AG20,CODIFICACION!$F$2:$F$500,0))),"⚠"))</f>
        <v/>
      </c>
      <c r="F20" t="str">
        <f>IF(CAPTURA!AJ20="","",IFERROR(IF(INDEX(CODIFICACION!$E$2:$E$500,MATCH("P13|"&amp;CAPTURA!AJ20,CODIFICACION!$F$2:$F$500,0))="sin dato","",INDEX(CODIFICACION!$E$2:$E$500,MATCH("P13|"&amp;CAPTURA!AJ20,CODIFICACION!$F$2:$F$500,0))),"⚠"))</f>
        <v/>
      </c>
      <c r="G20" t="str">
        <f>IF(CAPTURA!AK20="","",IFERROR(IF(INDEX(CODIFICACION!$E$2:$E$500,MATCH("P14|"&amp;CAPTURA!AK20,CODIFICACION!$F$2:$F$500,0))="sin dato","",INDEX(CODIFICACION!$E$2:$E$500,MATCH("P14|"&amp;CAPTURA!AK20,CODIFICACION!$F$2:$F$500,0))),"⚠"))</f>
        <v/>
      </c>
      <c r="H20" t="str">
        <f>IF(CAPTURA!AL20="","",IFERROR(IF(INDEX(CODIFICACION!$E$2:$E$500,MATCH("D1.1|"&amp;CAPTURA!AL20,CODIFICACION!$F$2:$F$500,0))="sin dato","",INDEX(CODIFICACION!$E$2:$E$500,MATCH("D1.1|"&amp;CAPTURA!AL20,CODIFICACION!$F$2:$F$500,0))),"⚠"))</f>
        <v/>
      </c>
      <c r="I20" t="str">
        <f>IF(CAPTURA!AN20="","",IFERROR(IF(INDEX(CODIFICACION!$E$2:$E$500,MATCH("D1.3|"&amp;CAPTURA!AN20,CODIFICACION!$F$2:$F$500,0))="sin dato","",INDEX(CODIFICACION!$E$2:$E$500,MATCH("D1.3|"&amp;CAPTURA!AN20,CODIFICACION!$F$2:$F$500,0))),"⚠"))</f>
        <v/>
      </c>
      <c r="J20" t="str">
        <f>IF(CAPTURA!AO20="","",IFERROR(IF(INDEX(CODIFICACION!$E$2:$E$500,MATCH("D1.4|"&amp;CAPTURA!AO20,CODIFICACION!$F$2:$F$500,0))="sin dato","",INDEX(CODIFICACION!$E$2:$E$500,MATCH("D1.4|"&amp;CAPTURA!AO20,CODIFICACION!$F$2:$F$500,0))),"⚠"))</f>
        <v/>
      </c>
      <c r="K20" t="str">
        <f>IF(CAPTURA!AP20="","",IFERROR(IF(INDEX(CODIFICACION!$E$2:$E$500,MATCH("D1.3a|"&amp;CAPTURA!AP20,CODIFICACION!$F$2:$F$500,0))="sin dato","",INDEX(CODIFICACION!$E$2:$E$500,MATCH("D1.3a|"&amp;CAPTURA!AP20,CODIFICACION!$F$2:$F$500,0))),"⚠"))</f>
        <v/>
      </c>
      <c r="L20" t="str">
        <f>IF(CAPTURA!AQ20="","",IF(AND(ISNUMBER(CAPTURA!AQ20),CAPTURA!AQ20&gt;=0,CAPTURA!AQ20&lt;=4),CAPTURA!AQ20*25,"⚠"))</f>
        <v/>
      </c>
      <c r="M20" t="str">
        <f>IF(CAPTURA!AR20="","",IF(ISNUMBER(CAPTURA!AR20),MAX(0,MIN(100,CAPTURA!AR20)),"⚠"))</f>
        <v/>
      </c>
      <c r="N20" t="str">
        <f>IF(CAPTURA!AS20="","",IF(AND(ISNUMBER(CAPTURA!AS20),CAPTURA!AS20&gt;=0,CAPTURA!AS20&lt;=4),CAPTURA!AS20*25,"⚠"))</f>
        <v/>
      </c>
      <c r="O20" t="str">
        <f>IF(CAPTURA!AT20="","",IFERROR(IF(INDEX(CODIFICACION!$E$2:$E$500,MATCH("D2.8|"&amp;CAPTURA!AT20,CODIFICACION!$F$2:$F$500,0))="sin dato","",INDEX(CODIFICACION!$E$2:$E$500,MATCH("D2.8|"&amp;CAPTURA!AT20,CODIFICACION!$F$2:$F$500,0))),"⚠"))</f>
        <v/>
      </c>
      <c r="P20" t="str">
        <f>IF(CAPTURA!AU20="","",IFERROR(IF(INDEX(CODIFICACION!$E$2:$E$500,MATCH("D2.9|"&amp;CAPTURA!AU20,CODIFICACION!$F$2:$F$500,0))="sin dato","",INDEX(CODIFICACION!$E$2:$E$500,MATCH("D2.9|"&amp;CAPTURA!AU20,CODIFICACION!$F$2:$F$500,0))),"⚠"))</f>
        <v/>
      </c>
      <c r="Q20" t="str">
        <f>IF(CAPTURA!AV20="","",IFERROR(IF(INDEX(CODIFICACION!$E$2:$E$500,MATCH("D2.10|"&amp;CAPTURA!AV20,CODIFICACION!$F$2:$F$500,0))="sin dato","",INDEX(CODIFICACION!$E$2:$E$500,MATCH("D2.10|"&amp;CAPTURA!AV20,CODIFICACION!$F$2:$F$500,0))),"⚠"))</f>
        <v/>
      </c>
      <c r="R20" t="str">
        <f>IF(CAPTURA!AW20="","",IFERROR(IF(INDEX(CODIFICACION!$E$2:$E$500,MATCH("D2.5a|"&amp;CAPTURA!AW20,CODIFICACION!$F$2:$F$500,0))="sin dato","",INDEX(CODIFICACION!$E$2:$E$500,MATCH("D2.5a|"&amp;CAPTURA!AW20,CODIFICACION!$F$2:$F$500,0))),"⚠"))</f>
        <v/>
      </c>
      <c r="S20" t="str">
        <f>IF(CAPTURA!AX20="","",IFERROR(IF(INDEX(CODIFICACION!$E$2:$E$500,MATCH("D2.5b|"&amp;CAPTURA!AX20,CODIFICACION!$F$2:$F$500,0))="sin dato","",INDEX(CODIFICACION!$E$2:$E$500,MATCH("D2.5b|"&amp;CAPTURA!AX20,CODIFICACION!$F$2:$F$500,0))),"⚠"))</f>
        <v/>
      </c>
      <c r="T20" t="str">
        <f>IF(CAPTURA!AY20="","",IF(ISNUMBER(CAPTURA!AY20),MAX(0,MIN(100,CAPTURA!AY20)),"⚠"))</f>
        <v/>
      </c>
      <c r="U20" t="str">
        <f>IF(CAPTURA!AZ20="","",IFERROR(IF(INDEX(CODIFICACION!$E$2:$E$500,MATCH("D3.12|"&amp;CAPTURA!AZ20,CODIFICACION!$F$2:$F$500,0))="sin dato","",INDEX(CODIFICACION!$E$2:$E$500,MATCH("D3.12|"&amp;CAPTURA!AZ20,CODIFICACION!$F$2:$F$500,0))),"⚠"))</f>
        <v/>
      </c>
      <c r="V20" t="str">
        <f>IF(CAPTURA!BA20="","",IF(AND(ISNUMBER(CAPTURA!BA20),CAPTURA!BA20&gt;=0,CAPTURA!BA20&lt;=4),CAPTURA!BA20*25,"⚠"))</f>
        <v/>
      </c>
      <c r="W20" t="str">
        <f>IF(CAPTURA!BB20="","",IFERROR(IF(INDEX(CODIFICACION!$E$2:$E$500,MATCH("D3.14|"&amp;CAPTURA!BB20,CODIFICACION!$F$2:$F$500,0))="sin dato","",INDEX(CODIFICACION!$E$2:$E$500,MATCH("D3.14|"&amp;CAPTURA!BB20,CODIFICACION!$F$2:$F$500,0))),"⚠"))</f>
        <v/>
      </c>
      <c r="X20" t="str">
        <f>IF(CAPTURA!BC20="","",IFERROR(IF(INDEX(CODIFICACION!$E$2:$E$500,MATCH("D3.14a|"&amp;CAPTURA!BC20,CODIFICACION!$F$2:$F$500,0))="sin dato","",INDEX(CODIFICACION!$E$2:$E$500,MATCH("D3.14a|"&amp;CAPTURA!BC20,CODIFICACION!$F$2:$F$500,0))),"⚠"))</f>
        <v/>
      </c>
      <c r="Y20" t="str">
        <f>IF(CAPTURA!BD20="","",IFERROR(IF(INDEX(CODIFICACION!$E$2:$E$500,MATCH("D3.14b|"&amp;CAPTURA!BD20,CODIFICACION!$F$2:$F$500,0))="sin dato","",INDEX(CODIFICACION!$E$2:$E$500,MATCH("D3.14b|"&amp;CAPTURA!BD20,CODIFICACION!$F$2:$F$500,0))),"⚠"))</f>
        <v/>
      </c>
      <c r="Z20" t="str">
        <f>IF(CAPTURA!BE20="","",IFERROR(IF(INDEX(CODIFICACION!$E$2:$E$500,MATCH("D3.14c|"&amp;CAPTURA!BE20,CODIFICACION!$F$2:$F$500,0))="sin dato","",INDEX(CODIFICACION!$E$2:$E$500,MATCH("D3.14c|"&amp;CAPTURA!BE20,CODIFICACION!$F$2:$F$500,0))),"⚠"))</f>
        <v/>
      </c>
      <c r="AA20" t="str">
        <f>IF(CAPTURA!BF20="","",IFERROR(IF(INDEX(CODIFICACION!$E$2:$E$500,MATCH("D3.14d|"&amp;CAPTURA!BF20,CODIFICACION!$F$2:$F$500,0))="sin dato","",INDEX(CODIFICACION!$E$2:$E$500,MATCH("D3.14d|"&amp;CAPTURA!BF20,CODIFICACION!$F$2:$F$500,0))),"⚠"))</f>
        <v/>
      </c>
      <c r="AB20" t="str">
        <f>IF(CAPTURA!BG20="","",IFERROR(IF(INDEX(CODIFICACION!$E$2:$E$500,MATCH("D3.14e|"&amp;CAPTURA!BG20,CODIFICACION!$F$2:$F$500,0))="sin dato","",INDEX(CODIFICACION!$E$2:$E$500,MATCH("D3.14e|"&amp;CAPTURA!BG20,CODIFICACION!$F$2:$F$500,0))),"⚠"))</f>
        <v/>
      </c>
      <c r="AC20" t="str">
        <f>IF(CAPTURA!BH20="","",IFERROR(IF(INDEX(CODIFICACION!$E$2:$E$500,MATCH("D3.14f|"&amp;CAPTURA!BH20,CODIFICACION!$F$2:$F$500,0))="sin dato","",INDEX(CODIFICACION!$E$2:$E$500,MATCH("D3.14f|"&amp;CAPTURA!BH20,CODIFICACION!$F$2:$F$500,0))),"⚠"))</f>
        <v/>
      </c>
      <c r="AD20" t="str">
        <f>IF(CAPTURA!BI20="","",IFERROR(IF(INDEX(CODIFICACION!$E$2:$E$500,MATCH("D3.14g|"&amp;CAPTURA!BI20,CODIFICACION!$F$2:$F$500,0))="sin dato","",INDEX(CODIFICACION!$E$2:$E$500,MATCH("D3.14g|"&amp;CAPTURA!BI20,CODIFICACION!$F$2:$F$500,0))),"⚠"))</f>
        <v/>
      </c>
      <c r="AE20" t="str">
        <f>IF(CAPTURA!BJ20="","",IFERROR(IF(INDEX(CODIFICACION!$E$2:$E$500,MATCH("D3.14h|"&amp;CAPTURA!BJ20,CODIFICACION!$F$2:$F$500,0))="sin dato","",INDEX(CODIFICACION!$E$2:$E$500,MATCH("D3.14h|"&amp;CAPTURA!BJ20,CODIFICACION!$F$2:$F$500,0))),"⚠"))</f>
        <v/>
      </c>
      <c r="AF20" t="str">
        <f>IF(CAPTURA!BK20="","",IFERROR(IF(INDEX(CODIFICACION!$E$2:$E$500,MATCH("D3.14i|"&amp;CAPTURA!BK20,CODIFICACION!$F$2:$F$500,0))="sin dato","",INDEX(CODIFICACION!$E$2:$E$500,MATCH("D3.14i|"&amp;CAPTURA!BK20,CODIFICACION!$F$2:$F$500,0))),"⚠"))</f>
        <v/>
      </c>
      <c r="AG20" t="str">
        <f>IF(CAPTURA!BL20="","",IFERROR(IF(INDEX(CODIFICACION!$E$2:$E$500,MATCH("D4.15|"&amp;CAPTURA!BL20,CODIFICACION!$F$2:$F$500,0))="sin dato","",INDEX(CODIFICACION!$E$2:$E$500,MATCH("D4.15|"&amp;CAPTURA!BL20,CODIFICACION!$F$2:$F$500,0))),"⚠"))</f>
        <v/>
      </c>
      <c r="AH20" t="str">
        <f>IF(CAPTURA!BM20="","",IF(AND(ISNUMBER(CAPTURA!BM20),CAPTURA!BM20&gt;=0,CAPTURA!BM20&lt;=4),CAPTURA!BM20*25,"⚠"))</f>
        <v/>
      </c>
      <c r="AI20" t="str">
        <f>IF(CAPTURA!BN20="","",IFERROR(IF(INDEX(CODIFICACION!$E$2:$E$500,MATCH("D4.17|"&amp;CAPTURA!BN20,CODIFICACION!$F$2:$F$500,0))="sin dato","",INDEX(CODIFICACION!$E$2:$E$500,MATCH("D4.17|"&amp;CAPTURA!BN20,CODIFICACION!$F$2:$F$500,0))),"⚠"))</f>
        <v/>
      </c>
      <c r="AJ20" t="str">
        <f>IF(CAPTURA!BO20="","",IFERROR(IF(INDEX(CODIFICACION!$E$2:$E$500,MATCH("D4.15a|"&amp;CAPTURA!BO20,CODIFICACION!$F$2:$F$500,0))="sin dato","",INDEX(CODIFICACION!$E$2:$E$500,MATCH("D4.15a|"&amp;CAPTURA!BO20,CODIFICACION!$F$2:$F$500,0))),"⚠"))</f>
        <v/>
      </c>
      <c r="AK20" t="str">
        <f>IF(CAPTURA!BP20="","",IF(AND(ISNUMBER(CAPTURA!BP20),CAPTURA!BP20&gt;=0,CAPTURA!BP20&lt;=4),CAPTURA!BP20*25,"⚠"))</f>
        <v/>
      </c>
      <c r="AL20" t="str">
        <f>IF(CAPTURA!BQ20="","",IF(AND(ISNUMBER(CAPTURA!BQ20),CAPTURA!BQ20&gt;=0,CAPTURA!BQ20&lt;=4),CAPTURA!BQ20*25,"⚠"))</f>
        <v/>
      </c>
      <c r="AM20" t="str">
        <f>IF(CAPTURA!BR20="","",IFERROR(IF(INDEX(CODIFICACION!$E$2:$E$500,MATCH("D5.18b|"&amp;CAPTURA!BR20,CODIFICACION!$F$2:$F$500,0))="sin dato","",INDEX(CODIFICACION!$E$2:$E$500,MATCH("D5.18b|"&amp;CAPTURA!BR20,CODIFICACION!$F$2:$F$500,0))),"⚠"))</f>
        <v/>
      </c>
      <c r="AN20" t="str">
        <f>IF(CAPTURA!BS20="","",IFERROR(IF(INDEX(CODIFICACION!$E$2:$E$500,MATCH("D5.19|"&amp;CAPTURA!BS20,CODIFICACION!$F$2:$F$500,0))="sin dato","",INDEX(CODIFICACION!$E$2:$E$500,MATCH("D5.19|"&amp;CAPTURA!BS20,CODIFICACION!$F$2:$F$500,0))),"⚠"))</f>
        <v/>
      </c>
      <c r="AO20" t="str">
        <f>IF(CAPTURA!BT20="","",MIN(100,ROUND((LEN(CAPTURA!BT20)-LEN(SUBSTITUTE(CAPTURA!BT20,";",""))+1)/7*100,1)))</f>
        <v/>
      </c>
      <c r="AP20" t="str">
        <f>IF(CAPTURA!BU20="","",IFERROR(IF(INDEX(CODIFICACION!$E$2:$E$500,MATCH("D5.20|"&amp;CAPTURA!BU20,CODIFICACION!$F$2:$F$500,0))="sin dato","",INDEX(CODIFICACION!$E$2:$E$500,MATCH("D5.20|"&amp;CAPTURA!BU20,CODIFICACION!$F$2:$F$500,0))),"⚠"))</f>
        <v/>
      </c>
      <c r="AQ20" t="str">
        <f>IF(CAPTURA!BV20="","",IFERROR(IF(INDEX(CODIFICACION!$E$2:$E$500,MATCH("D5.21|"&amp;CAPTURA!BV20,CODIFICACION!$F$2:$F$500,0))="sin dato","",INDEX(CODIFICACION!$E$2:$E$500,MATCH("D5.21|"&amp;CAPTURA!BV20,CODIFICACION!$F$2:$F$500,0))),"⚠"))</f>
        <v/>
      </c>
      <c r="AR20" t="str">
        <f>IF(CAPTURA!BW20="","",IFERROR(IF(INDEX(CODIFICACION!$E$2:$E$500,MATCH("D5.21a|"&amp;CAPTURA!BW20,CODIFICACION!$F$2:$F$500,0))="sin dato","",INDEX(CODIFICACION!$E$2:$E$500,MATCH("D5.21a|"&amp;CAPTURA!BW20,CODIFICACION!$F$2:$F$500,0))),"⚠"))</f>
        <v/>
      </c>
      <c r="AS20" t="str">
        <f>IF(CAPTURA!BX20="","",IFERROR(IF(INDEX(CODIFICACION!$E$2:$E$500,MATCH("D5.21b|"&amp;CAPTURA!BX20,CODIFICACION!$F$2:$F$500,0))="sin dato","",INDEX(CODIFICACION!$E$2:$E$500,MATCH("D5.21b|"&amp;CAPTURA!BX20,CODIFICACION!$F$2:$F$500,0))),"⚠"))</f>
        <v/>
      </c>
      <c r="AT20" t="str">
        <f>IF(CAPTURA!BY20="","",IFERROR(IF(INDEX(CODIFICACION!$E$2:$E$500,MATCH("D6.22|"&amp;CAPTURA!BY20,CODIFICACION!$F$2:$F$500,0))="sin dato","",INDEX(CODIFICACION!$E$2:$E$500,MATCH("D6.22|"&amp;CAPTURA!BY20,CODIFICACION!$F$2:$F$500,0))),"⚠"))</f>
        <v/>
      </c>
      <c r="AU20" t="str">
        <f>IF(CAPTURA!BZ20="","",IFERROR(IF(INDEX(CODIFICACION!$E$2:$E$500,MATCH("D6.22a|"&amp;CAPTURA!BZ20,CODIFICACION!$F$2:$F$500,0))="sin dato","",INDEX(CODIFICACION!$E$2:$E$500,MATCH("D6.22a|"&amp;CAPTURA!BZ20,CODIFICACION!$F$2:$F$500,0))),"⚠"))</f>
        <v/>
      </c>
      <c r="AV20" t="str">
        <f>IF(CAPTURA!CA20="","",IFERROR(IF(INDEX(CODIFICACION!$E$2:$E$500,MATCH("D6.22b|"&amp;CAPTURA!CA20,CODIFICACION!$F$2:$F$500,0))="sin dato","",INDEX(CODIFICACION!$E$2:$E$500,MATCH("D6.22b|"&amp;CAPTURA!CA20,CODIFICACION!$F$2:$F$500,0))),"⚠"))</f>
        <v/>
      </c>
      <c r="AW20" t="str">
        <f>IF(CAPTURA!CB20="","",IFERROR(IF(INDEX(CODIFICACION!$E$2:$E$500,MATCH("D6.23|"&amp;CAPTURA!CB20,CODIFICACION!$F$2:$F$500,0))="sin dato","",INDEX(CODIFICACION!$E$2:$E$500,MATCH("D6.23|"&amp;CAPTURA!CB20,CODIFICACION!$F$2:$F$500,0))),"⚠"))</f>
        <v/>
      </c>
      <c r="AX20" t="str">
        <f>IF(CAPTURA!CC20="","",IFERROR(IF(INDEX(CODIFICACION!$E$2:$E$500,MATCH("D6.24|"&amp;CAPTURA!CC20,CODIFICACION!$F$2:$F$500,0))="sin dato","",INDEX(CODIFICACION!$E$2:$E$500,MATCH("D6.24|"&amp;CAPTURA!CC20,CODIFICACION!$F$2:$F$500,0))),"⚠"))</f>
        <v/>
      </c>
      <c r="AY20" t="str">
        <f>IF(CAPTURA!CD20="","",IFERROR(IF(INDEX(CODIFICACION!$E$2:$E$500,MATCH("D6.25|"&amp;CAPTURA!CD20,CODIFICACION!$F$2:$F$500,0))="sin dato","",INDEX(CODIFICACION!$E$2:$E$500,MATCH("D6.25|"&amp;CAPTURA!CD20,CODIFICACION!$F$2:$F$500,0))),"⚠"))</f>
        <v/>
      </c>
      <c r="AZ20" t="str">
        <f>IF(CAPTURA!CE20="","",IFERROR(IF(INDEX(CODIFICACION!$E$2:$E$500,MATCH("D6.25a|"&amp;CAPTURA!CE20,CODIFICACION!$F$2:$F$500,0))="sin dato","",INDEX(CODIFICACION!$E$2:$E$500,MATCH("D6.25a|"&amp;CAPTURA!CE20,CODIFICACION!$F$2:$F$500,0))),"⚠"))</f>
        <v/>
      </c>
      <c r="BA20" t="str">
        <f>IF(CAPTURA!CF20="","",IFERROR(IF(INDEX(CODIFICACION!$E$2:$E$500,MATCH("D6.25b|"&amp;CAPTURA!CF20,CODIFICACION!$F$2:$F$500,0))="sin dato","",INDEX(CODIFICACION!$E$2:$E$500,MATCH("D6.25b|"&amp;CAPTURA!CF20,CODIFICACION!$F$2:$F$500,0))),"⚠"))</f>
        <v/>
      </c>
      <c r="BB20" t="str">
        <f>IF(CAPTURA!CG20="","",IFERROR(IF(INDEX(CODIFICACION!$E$2:$E$500,MATCH("D6.22c|"&amp;CAPTURA!CG20,CODIFICACION!$F$2:$F$500,0))="sin dato","",INDEX(CODIFICACION!$E$2:$E$500,MATCH("D6.22c|"&amp;CAPTURA!CG20,CODIFICACION!$F$2:$F$500,0))),"⚠"))</f>
        <v/>
      </c>
      <c r="BC20" t="str">
        <f>IF(CAPTURA!CH20="","",IFERROR(IF(INDEX(CODIFICACION!$E$2:$E$500,MATCH("D7.26|"&amp;CAPTURA!CH20,CODIFICACION!$F$2:$F$500,0))="sin dato","",INDEX(CODIFICACION!$E$2:$E$500,MATCH("D7.26|"&amp;CAPTURA!CH20,CODIFICACION!$F$2:$F$500,0))),"⚠"))</f>
        <v/>
      </c>
      <c r="BD20" t="str">
        <f>IF(CAPTURA!CI20="","",IFERROR(IF(INDEX(CODIFICACION!$E$2:$E$500,MATCH("D7.27|"&amp;CAPTURA!CI20,CODIFICACION!$F$2:$F$500,0))="sin dato","",INDEX(CODIFICACION!$E$2:$E$500,MATCH("D7.27|"&amp;CAPTURA!CI20,CODIFICACION!$F$2:$F$500,0))),"⚠"))</f>
        <v/>
      </c>
      <c r="BE20" t="str">
        <f>IF(CAPTURA!CJ20="","",IFERROR(IF(INDEX(CODIFICACION!$E$2:$E$500,MATCH("D7.28|"&amp;CAPTURA!CJ20,CODIFICACION!$F$2:$F$500,0))="sin dato","",INDEX(CODIFICACION!$E$2:$E$500,MATCH("D7.28|"&amp;CAPTURA!CJ20,CODIFICACION!$F$2:$F$500,0))),"⚠"))</f>
        <v/>
      </c>
      <c r="BF20" t="str">
        <f>IF(CAPTURA!CK20="","",IFERROR(IF(INDEX(CODIFICACION!$E$2:$E$500,MATCH("D7.28b|"&amp;CAPTURA!CK20,CODIFICACION!$F$2:$F$500,0))="sin dato","",INDEX(CODIFICACION!$E$2:$E$500,MATCH("D7.28b|"&amp;CAPTURA!CK20,CODIFICACION!$F$2:$F$500,0))),"⚠"))</f>
        <v/>
      </c>
      <c r="BG20" t="str">
        <f>IF(CAPTURA!CL20="","",MIN(100,ROUND((LEN(CAPTURA!CL20)-LEN(SUBSTITUTE(CAPTURA!CL20,";",""))+1)/8*100,1)))</f>
        <v/>
      </c>
      <c r="BH20" t="str">
        <f>IF(CAPTURA!CM20="","",IFERROR(IF(INDEX(CODIFICACION!$E$2:$E$500,MATCH("D7.26a|"&amp;CAPTURA!CM20,CODIFICACION!$F$2:$F$500,0))="sin dato","",INDEX(CODIFICACION!$E$2:$E$500,MATCH("D7.26a|"&amp;CAPTURA!CM20,CODIFICACION!$F$2:$F$500,0))),"⚠"))</f>
        <v/>
      </c>
      <c r="BI20" t="str">
        <f>IF(CAPTURA!CN20="","",IFERROR(IF(INDEX(CODIFICACION!$E$2:$E$500,MATCH("D7.26b|"&amp;CAPTURA!CN20,CODIFICACION!$F$2:$F$500,0))="sin dato","",INDEX(CODIFICACION!$E$2:$E$500,MATCH("D7.26b|"&amp;CAPTURA!CN20,CODIFICACION!$F$2:$F$500,0))),"⚠"))</f>
        <v/>
      </c>
      <c r="BJ20" t="str">
        <f>IF(CAPTURA!CO20="","",IF(AND(ISNUMBER(CAPTURA!CO20),CAPTURA!CO20&gt;=0,CAPTURA!CO20&lt;=4),CAPTURA!CO20*25,"⚠"))</f>
        <v/>
      </c>
      <c r="BK20" t="str">
        <f>IF(CAPTURA!CP20="","",IF(ISNUMBER(CAPTURA!CP20),MAX(0,MIN(100,CAPTURA!CP20)),"⚠"))</f>
        <v/>
      </c>
      <c r="BL20" t="str">
        <f>IF(CAPTURA!CQ20="","",IFERROR(IF(INDEX(CODIFICACION!$E$2:$E$500,MATCH("D8.31|"&amp;CAPTURA!CQ20,CODIFICACION!$F$2:$F$500,0))="sin dato","",INDEX(CODIFICACION!$E$2:$E$500,MATCH("D8.31|"&amp;CAPTURA!CQ20,CODIFICACION!$F$2:$F$500,0))),"⚠"))</f>
        <v/>
      </c>
      <c r="BM20" t="str">
        <f>IF(CAPTURA!CR20="","",IFERROR(IF(INDEX(CODIFICACION!$E$2:$E$500,MATCH("D8.32|"&amp;CAPTURA!CR20,CODIFICACION!$F$2:$F$500,0))="sin dato","",INDEX(CODIFICACION!$E$2:$E$500,MATCH("D8.32|"&amp;CAPTURA!CR20,CODIFICACION!$F$2:$F$500,0))),"⚠"))</f>
        <v/>
      </c>
      <c r="BN20" t="str">
        <f>IF(CAPTURA!CS20="","",IFERROR(IF(INDEX(CODIFICACION!$E$2:$E$500,MATCH("D9.33|"&amp;CAPTURA!CS20,CODIFICACION!$F$2:$F$500,0))="sin dato","",INDEX(CODIFICACION!$E$2:$E$500,MATCH("D9.33|"&amp;CAPTURA!CS20,CODIFICACION!$F$2:$F$500,0))),"⚠"))</f>
        <v/>
      </c>
      <c r="BO20" t="str">
        <f>IF(CAPTURA!CT20="","",IFERROR(IF(INDEX(CODIFICACION!$E$2:$E$500,MATCH("D9.34|"&amp;CAPTURA!CT20,CODIFICACION!$F$2:$F$500,0))="sin dato","",INDEX(CODIFICACION!$E$2:$E$500,MATCH("D9.34|"&amp;CAPTURA!CT20,CODIFICACION!$F$2:$F$500,0))),"⚠"))</f>
        <v/>
      </c>
      <c r="BP20" t="str">
        <f>IF(CAPTURA!CU20="","",IFERROR(IF(INDEX(CODIFICACION!$E$2:$E$500,MATCH("D9.35|"&amp;CAPTURA!CU20,CODIFICACION!$F$2:$F$500,0))="sin dato","",INDEX(CODIFICACION!$E$2:$E$500,MATCH("D9.35|"&amp;CAPTURA!CU20,CODIFICACION!$F$2:$F$500,0))),"⚠"))</f>
        <v/>
      </c>
      <c r="BQ20" t="str">
        <f>IF(CAPTURA!CV20="","",IFERROR(IF(INDEX(CODIFICACION!$E$2:$E$500,MATCH("D10.36|"&amp;CAPTURA!CV20,CODIFICACION!$F$2:$F$500,0))="sin dato","",INDEX(CODIFICACION!$E$2:$E$500,MATCH("D10.36|"&amp;CAPTURA!CV20,CODIFICACION!$F$2:$F$500,0))),"⚠"))</f>
        <v/>
      </c>
      <c r="BR20" t="str">
        <f>IF(CAPTURA!CW20="","",IFERROR(IF(INDEX(CODIFICACION!$E$2:$E$500,MATCH("D10.37|"&amp;CAPTURA!CW20,CODIFICACION!$F$2:$F$500,0))="sin dato","",INDEX(CODIFICACION!$E$2:$E$500,MATCH("D10.37|"&amp;CAPTURA!CW20,CODIFICACION!$F$2:$F$500,0))),"⚠"))</f>
        <v/>
      </c>
      <c r="BS20" t="str">
        <f>IF(CAPTURA!CX20="","",IFERROR(IF(INDEX(CODIFICACION!$E$2:$E$500,MATCH("D10.36a|"&amp;CAPTURA!CX20,CODIFICACION!$F$2:$F$500,0))="sin dato","",INDEX(CODIFICACION!$E$2:$E$500,MATCH("D10.36a|"&amp;CAPTURA!CX20,CODIFICACION!$F$2:$F$500,0))),"⚠"))</f>
        <v/>
      </c>
      <c r="BT20" t="str">
        <f>IF(CAPTURA!CY20="","",IF(ISNUMBER(SEARCH("Ninguno",CAPTURA!CY20)),0,MIN(100,ROUND((LEN(CAPTURA!CY20)-LEN(SUBSTITUTE(CAPTURA!CY20,";",""))+1)/6*100,1))))</f>
        <v/>
      </c>
      <c r="BU20" t="str">
        <f>IF(CAPTURA!DA20="","",IFERROR(IF(INDEX(CODIFICACION!$E$2:$E$500,MATCH("D11.39a|"&amp;CAPTURA!DA20,CODIFICACION!$F$2:$F$500,0))="sin dato","",INDEX(CODIFICACION!$E$2:$E$500,MATCH("D11.39a|"&amp;CAPTURA!DA20,CODIFICACION!$F$2:$F$500,0))),"⚠"))</f>
        <v/>
      </c>
      <c r="BV20" t="str">
        <f>IF(CAPTURA!DB20="","",IFERROR(IF(INDEX(CODIFICACION!$E$2:$E$500,MATCH("D12.42|"&amp;CAPTURA!DB20,CODIFICACION!$F$2:$F$500,0))="sin dato","",INDEX(CODIFICACION!$E$2:$E$500,MATCH("D12.42|"&amp;CAPTURA!DB20,CODIFICACION!$F$2:$F$500,0))),"⚠"))</f>
        <v/>
      </c>
      <c r="BW20" t="str">
        <f>IF(CAPTURA!DC20="","",IFERROR(IF(INDEX(CODIFICACION!$E$2:$E$500,MATCH("D13.45|"&amp;CAPTURA!DC20,CODIFICACION!$F$2:$F$500,0))="sin dato","",INDEX(CODIFICACION!$E$2:$E$500,MATCH("D13.45|"&amp;CAPTURA!DC20,CODIFICACION!$F$2:$F$500,0))),"⚠"))</f>
        <v/>
      </c>
      <c r="BX20" t="str">
        <f>IF(CAPTURA!DD20="","",IFERROR(IF(INDEX(CODIFICACION!$E$2:$E$500,MATCH("D14.51|"&amp;CAPTURA!DD20,CODIFICACION!$F$2:$F$500,0))="sin dato","",INDEX(CODIFICACION!$E$2:$E$500,MATCH("D14.51|"&amp;CAPTURA!DD20,CODIFICACION!$F$2:$F$500,0))),"⚠"))</f>
        <v/>
      </c>
      <c r="BY20" t="str">
        <f>IF(CAPTURA!DE20="","",IFERROR(IF(INDEX(CODIFICACION!$E$2:$E$500,MATCH("D15.58|"&amp;CAPTURA!DE20,CODIFICACION!$F$2:$F$500,0))="sin dato","",INDEX(CODIFICACION!$E$2:$E$500,MATCH("D15.58|"&amp;CAPTURA!DE20,CODIFICACION!$F$2:$F$500,0))),"⚠"))</f>
        <v/>
      </c>
      <c r="BZ20" t="str">
        <f>IF(CAPTURA!DF20="","",IFERROR(IF(INDEX(CODIFICACION!$E$2:$E$500,MATCH("PP1|"&amp;CAPTURA!DF20,CODIFICACION!$F$2:$F$500,0))="sin dato","",INDEX(CODIFICACION!$E$2:$E$500,MATCH("PP1|"&amp;CAPTURA!DF20,CODIFICACION!$F$2:$F$500,0))),"⚠"))</f>
        <v/>
      </c>
      <c r="CA20" t="str">
        <f>IF(CAPTURA!DG20="","",IFERROR(IF(INDEX(CODIFICACION!$E$2:$E$500,MATCH("PP2|"&amp;CAPTURA!DG20,CODIFICACION!$F$2:$F$500,0))="sin dato","",INDEX(CODIFICACION!$E$2:$E$500,MATCH("PP2|"&amp;CAPTURA!DG20,CODIFICACION!$F$2:$F$500,0))),"⚠"))</f>
        <v/>
      </c>
      <c r="CB20" t="str">
        <f t="shared" si="0"/>
        <v/>
      </c>
      <c r="CC20" t="str">
        <f t="shared" si="1"/>
        <v/>
      </c>
      <c r="CD20" t="str">
        <f t="shared" si="2"/>
        <v/>
      </c>
      <c r="CE20" t="str">
        <f t="shared" si="3"/>
        <v/>
      </c>
      <c r="CF20" t="str">
        <f t="shared" si="4"/>
        <v/>
      </c>
      <c r="CG20" t="str">
        <f t="shared" si="5"/>
        <v/>
      </c>
      <c r="CH20" t="str">
        <f t="shared" si="6"/>
        <v/>
      </c>
      <c r="CI20" t="str">
        <f t="shared" si="7"/>
        <v/>
      </c>
      <c r="CJ20" t="str">
        <f t="shared" si="8"/>
        <v/>
      </c>
      <c r="CK20" t="str">
        <f t="shared" si="9"/>
        <v/>
      </c>
      <c r="CL20" t="str">
        <f t="shared" si="10"/>
        <v/>
      </c>
    </row>
    <row r="21" spans="1:90" x14ac:dyDescent="0.3">
      <c r="A21">
        <f>CAPTURA!A21</f>
        <v>20352417018</v>
      </c>
      <c r="B21">
        <f>CAPTURA!C21</f>
        <v>0</v>
      </c>
      <c r="C21" t="str">
        <f>IF(CAPTURA!M21="","",ROUND((ISNUMBER(SEARCH("Alemania",CAPTURA!M21))+ISNUMBER(SEARCH("Bélgica",CAPTURA!M21))+ISNUMBER(SEARCH("Países Bajos",CAPTURA!M21))+ISNUMBER(SEARCH("Francia",CAPTURA!M21))+ISNUMBER(SEARCH("Italia",CAPTURA!M21))+ISNUMBER(SEARCH("España",CAPTURA!M21))+ISNUMBER(SEARCH("Suecia",CAPTURA!M21))+ISNUMBER(SEARCH("Dinamarca",CAPTURA!M21)))/((LEN(CAPTURA!M21)-LEN(SUBSTITUTE(CAPTURA!M21,";","")))+1)*100,1))</f>
        <v/>
      </c>
      <c r="D21" t="str">
        <f>IF(CAPTURA!AE21="","",IFERROR(IF(INDEX(CODIFICACION!$E$2:$E$500,MATCH("P8|"&amp;CAPTURA!AE21,CODIFICACION!$F$2:$F$500,0))="sin dato","",INDEX(CODIFICACION!$E$2:$E$500,MATCH("P8|"&amp;CAPTURA!AE21,CODIFICACION!$F$2:$F$500,0))),"⚠"))</f>
        <v/>
      </c>
      <c r="E21" t="str">
        <f>IF(CAPTURA!AG21="","",IFERROR(IF(INDEX(CODIFICACION!$E$2:$E$500,MATCH("P10|"&amp;CAPTURA!AG21,CODIFICACION!$F$2:$F$500,0))="sin dato","",INDEX(CODIFICACION!$E$2:$E$500,MATCH("P10|"&amp;CAPTURA!AG21,CODIFICACION!$F$2:$F$500,0))),"⚠"))</f>
        <v/>
      </c>
      <c r="F21" t="str">
        <f>IF(CAPTURA!AJ21="","",IFERROR(IF(INDEX(CODIFICACION!$E$2:$E$500,MATCH("P13|"&amp;CAPTURA!AJ21,CODIFICACION!$F$2:$F$500,0))="sin dato","",INDEX(CODIFICACION!$E$2:$E$500,MATCH("P13|"&amp;CAPTURA!AJ21,CODIFICACION!$F$2:$F$500,0))),"⚠"))</f>
        <v/>
      </c>
      <c r="G21" t="str">
        <f>IF(CAPTURA!AK21="","",IFERROR(IF(INDEX(CODIFICACION!$E$2:$E$500,MATCH("P14|"&amp;CAPTURA!AK21,CODIFICACION!$F$2:$F$500,0))="sin dato","",INDEX(CODIFICACION!$E$2:$E$500,MATCH("P14|"&amp;CAPTURA!AK21,CODIFICACION!$F$2:$F$500,0))),"⚠"))</f>
        <v/>
      </c>
      <c r="H21" t="str">
        <f>IF(CAPTURA!AL21="","",IFERROR(IF(INDEX(CODIFICACION!$E$2:$E$500,MATCH("D1.1|"&amp;CAPTURA!AL21,CODIFICACION!$F$2:$F$500,0))="sin dato","",INDEX(CODIFICACION!$E$2:$E$500,MATCH("D1.1|"&amp;CAPTURA!AL21,CODIFICACION!$F$2:$F$500,0))),"⚠"))</f>
        <v/>
      </c>
      <c r="I21" t="str">
        <f>IF(CAPTURA!AN21="","",IFERROR(IF(INDEX(CODIFICACION!$E$2:$E$500,MATCH("D1.3|"&amp;CAPTURA!AN21,CODIFICACION!$F$2:$F$500,0))="sin dato","",INDEX(CODIFICACION!$E$2:$E$500,MATCH("D1.3|"&amp;CAPTURA!AN21,CODIFICACION!$F$2:$F$500,0))),"⚠"))</f>
        <v/>
      </c>
      <c r="J21" t="str">
        <f>IF(CAPTURA!AO21="","",IFERROR(IF(INDEX(CODIFICACION!$E$2:$E$500,MATCH("D1.4|"&amp;CAPTURA!AO21,CODIFICACION!$F$2:$F$500,0))="sin dato","",INDEX(CODIFICACION!$E$2:$E$500,MATCH("D1.4|"&amp;CAPTURA!AO21,CODIFICACION!$F$2:$F$500,0))),"⚠"))</f>
        <v/>
      </c>
      <c r="K21" t="str">
        <f>IF(CAPTURA!AP21="","",IFERROR(IF(INDEX(CODIFICACION!$E$2:$E$500,MATCH("D1.3a|"&amp;CAPTURA!AP21,CODIFICACION!$F$2:$F$500,0))="sin dato","",INDEX(CODIFICACION!$E$2:$E$500,MATCH("D1.3a|"&amp;CAPTURA!AP21,CODIFICACION!$F$2:$F$500,0))),"⚠"))</f>
        <v/>
      </c>
      <c r="L21" t="str">
        <f>IF(CAPTURA!AQ21="","",IF(AND(ISNUMBER(CAPTURA!AQ21),CAPTURA!AQ21&gt;=0,CAPTURA!AQ21&lt;=4),CAPTURA!AQ21*25,"⚠"))</f>
        <v/>
      </c>
      <c r="M21" t="str">
        <f>IF(CAPTURA!AR21="","",IF(ISNUMBER(CAPTURA!AR21),MAX(0,MIN(100,CAPTURA!AR21)),"⚠"))</f>
        <v/>
      </c>
      <c r="N21" t="str">
        <f>IF(CAPTURA!AS21="","",IF(AND(ISNUMBER(CAPTURA!AS21),CAPTURA!AS21&gt;=0,CAPTURA!AS21&lt;=4),CAPTURA!AS21*25,"⚠"))</f>
        <v/>
      </c>
      <c r="O21" t="str">
        <f>IF(CAPTURA!AT21="","",IFERROR(IF(INDEX(CODIFICACION!$E$2:$E$500,MATCH("D2.8|"&amp;CAPTURA!AT21,CODIFICACION!$F$2:$F$500,0))="sin dato","",INDEX(CODIFICACION!$E$2:$E$500,MATCH("D2.8|"&amp;CAPTURA!AT21,CODIFICACION!$F$2:$F$500,0))),"⚠"))</f>
        <v/>
      </c>
      <c r="P21" t="str">
        <f>IF(CAPTURA!AU21="","",IFERROR(IF(INDEX(CODIFICACION!$E$2:$E$500,MATCH("D2.9|"&amp;CAPTURA!AU21,CODIFICACION!$F$2:$F$500,0))="sin dato","",INDEX(CODIFICACION!$E$2:$E$500,MATCH("D2.9|"&amp;CAPTURA!AU21,CODIFICACION!$F$2:$F$500,0))),"⚠"))</f>
        <v/>
      </c>
      <c r="Q21" t="str">
        <f>IF(CAPTURA!AV21="","",IFERROR(IF(INDEX(CODIFICACION!$E$2:$E$500,MATCH("D2.10|"&amp;CAPTURA!AV21,CODIFICACION!$F$2:$F$500,0))="sin dato","",INDEX(CODIFICACION!$E$2:$E$500,MATCH("D2.10|"&amp;CAPTURA!AV21,CODIFICACION!$F$2:$F$500,0))),"⚠"))</f>
        <v/>
      </c>
      <c r="R21" t="str">
        <f>IF(CAPTURA!AW21="","",IFERROR(IF(INDEX(CODIFICACION!$E$2:$E$500,MATCH("D2.5a|"&amp;CAPTURA!AW21,CODIFICACION!$F$2:$F$500,0))="sin dato","",INDEX(CODIFICACION!$E$2:$E$500,MATCH("D2.5a|"&amp;CAPTURA!AW21,CODIFICACION!$F$2:$F$500,0))),"⚠"))</f>
        <v/>
      </c>
      <c r="S21" t="str">
        <f>IF(CAPTURA!AX21="","",IFERROR(IF(INDEX(CODIFICACION!$E$2:$E$500,MATCH("D2.5b|"&amp;CAPTURA!AX21,CODIFICACION!$F$2:$F$500,0))="sin dato","",INDEX(CODIFICACION!$E$2:$E$500,MATCH("D2.5b|"&amp;CAPTURA!AX21,CODIFICACION!$F$2:$F$500,0))),"⚠"))</f>
        <v/>
      </c>
      <c r="T21" t="str">
        <f>IF(CAPTURA!AY21="","",IF(ISNUMBER(CAPTURA!AY21),MAX(0,MIN(100,CAPTURA!AY21)),"⚠"))</f>
        <v/>
      </c>
      <c r="U21" t="str">
        <f>IF(CAPTURA!AZ21="","",IFERROR(IF(INDEX(CODIFICACION!$E$2:$E$500,MATCH("D3.12|"&amp;CAPTURA!AZ21,CODIFICACION!$F$2:$F$500,0))="sin dato","",INDEX(CODIFICACION!$E$2:$E$500,MATCH("D3.12|"&amp;CAPTURA!AZ21,CODIFICACION!$F$2:$F$500,0))),"⚠"))</f>
        <v/>
      </c>
      <c r="V21" t="str">
        <f>IF(CAPTURA!BA21="","",IF(AND(ISNUMBER(CAPTURA!BA21),CAPTURA!BA21&gt;=0,CAPTURA!BA21&lt;=4),CAPTURA!BA21*25,"⚠"))</f>
        <v/>
      </c>
      <c r="W21" t="str">
        <f>IF(CAPTURA!BB21="","",IFERROR(IF(INDEX(CODIFICACION!$E$2:$E$500,MATCH("D3.14|"&amp;CAPTURA!BB21,CODIFICACION!$F$2:$F$500,0))="sin dato","",INDEX(CODIFICACION!$E$2:$E$500,MATCH("D3.14|"&amp;CAPTURA!BB21,CODIFICACION!$F$2:$F$500,0))),"⚠"))</f>
        <v/>
      </c>
      <c r="X21" t="str">
        <f>IF(CAPTURA!BC21="","",IFERROR(IF(INDEX(CODIFICACION!$E$2:$E$500,MATCH("D3.14a|"&amp;CAPTURA!BC21,CODIFICACION!$F$2:$F$500,0))="sin dato","",INDEX(CODIFICACION!$E$2:$E$500,MATCH("D3.14a|"&amp;CAPTURA!BC21,CODIFICACION!$F$2:$F$500,0))),"⚠"))</f>
        <v/>
      </c>
      <c r="Y21" t="str">
        <f>IF(CAPTURA!BD21="","",IFERROR(IF(INDEX(CODIFICACION!$E$2:$E$500,MATCH("D3.14b|"&amp;CAPTURA!BD21,CODIFICACION!$F$2:$F$500,0))="sin dato","",INDEX(CODIFICACION!$E$2:$E$500,MATCH("D3.14b|"&amp;CAPTURA!BD21,CODIFICACION!$F$2:$F$500,0))),"⚠"))</f>
        <v/>
      </c>
      <c r="Z21" t="str">
        <f>IF(CAPTURA!BE21="","",IFERROR(IF(INDEX(CODIFICACION!$E$2:$E$500,MATCH("D3.14c|"&amp;CAPTURA!BE21,CODIFICACION!$F$2:$F$500,0))="sin dato","",INDEX(CODIFICACION!$E$2:$E$500,MATCH("D3.14c|"&amp;CAPTURA!BE21,CODIFICACION!$F$2:$F$500,0))),"⚠"))</f>
        <v/>
      </c>
      <c r="AA21" t="str">
        <f>IF(CAPTURA!BF21="","",IFERROR(IF(INDEX(CODIFICACION!$E$2:$E$500,MATCH("D3.14d|"&amp;CAPTURA!BF21,CODIFICACION!$F$2:$F$500,0))="sin dato","",INDEX(CODIFICACION!$E$2:$E$500,MATCH("D3.14d|"&amp;CAPTURA!BF21,CODIFICACION!$F$2:$F$500,0))),"⚠"))</f>
        <v/>
      </c>
      <c r="AB21" t="str">
        <f>IF(CAPTURA!BG21="","",IFERROR(IF(INDEX(CODIFICACION!$E$2:$E$500,MATCH("D3.14e|"&amp;CAPTURA!BG21,CODIFICACION!$F$2:$F$500,0))="sin dato","",INDEX(CODIFICACION!$E$2:$E$500,MATCH("D3.14e|"&amp;CAPTURA!BG21,CODIFICACION!$F$2:$F$500,0))),"⚠"))</f>
        <v/>
      </c>
      <c r="AC21" t="str">
        <f>IF(CAPTURA!BH21="","",IFERROR(IF(INDEX(CODIFICACION!$E$2:$E$500,MATCH("D3.14f|"&amp;CAPTURA!BH21,CODIFICACION!$F$2:$F$500,0))="sin dato","",INDEX(CODIFICACION!$E$2:$E$500,MATCH("D3.14f|"&amp;CAPTURA!BH21,CODIFICACION!$F$2:$F$500,0))),"⚠"))</f>
        <v/>
      </c>
      <c r="AD21" t="str">
        <f>IF(CAPTURA!BI21="","",IFERROR(IF(INDEX(CODIFICACION!$E$2:$E$500,MATCH("D3.14g|"&amp;CAPTURA!BI21,CODIFICACION!$F$2:$F$500,0))="sin dato","",INDEX(CODIFICACION!$E$2:$E$500,MATCH("D3.14g|"&amp;CAPTURA!BI21,CODIFICACION!$F$2:$F$500,0))),"⚠"))</f>
        <v/>
      </c>
      <c r="AE21" t="str">
        <f>IF(CAPTURA!BJ21="","",IFERROR(IF(INDEX(CODIFICACION!$E$2:$E$500,MATCH("D3.14h|"&amp;CAPTURA!BJ21,CODIFICACION!$F$2:$F$500,0))="sin dato","",INDEX(CODIFICACION!$E$2:$E$500,MATCH("D3.14h|"&amp;CAPTURA!BJ21,CODIFICACION!$F$2:$F$500,0))),"⚠"))</f>
        <v/>
      </c>
      <c r="AF21" t="str">
        <f>IF(CAPTURA!BK21="","",IFERROR(IF(INDEX(CODIFICACION!$E$2:$E$500,MATCH("D3.14i|"&amp;CAPTURA!BK21,CODIFICACION!$F$2:$F$500,0))="sin dato","",INDEX(CODIFICACION!$E$2:$E$500,MATCH("D3.14i|"&amp;CAPTURA!BK21,CODIFICACION!$F$2:$F$500,0))),"⚠"))</f>
        <v/>
      </c>
      <c r="AG21" t="str">
        <f>IF(CAPTURA!BL21="","",IFERROR(IF(INDEX(CODIFICACION!$E$2:$E$500,MATCH("D4.15|"&amp;CAPTURA!BL21,CODIFICACION!$F$2:$F$500,0))="sin dato","",INDEX(CODIFICACION!$E$2:$E$500,MATCH("D4.15|"&amp;CAPTURA!BL21,CODIFICACION!$F$2:$F$500,0))),"⚠"))</f>
        <v/>
      </c>
      <c r="AH21" t="str">
        <f>IF(CAPTURA!BM21="","",IF(AND(ISNUMBER(CAPTURA!BM21),CAPTURA!BM21&gt;=0,CAPTURA!BM21&lt;=4),CAPTURA!BM21*25,"⚠"))</f>
        <v/>
      </c>
      <c r="AI21" t="str">
        <f>IF(CAPTURA!BN21="","",IFERROR(IF(INDEX(CODIFICACION!$E$2:$E$500,MATCH("D4.17|"&amp;CAPTURA!BN21,CODIFICACION!$F$2:$F$500,0))="sin dato","",INDEX(CODIFICACION!$E$2:$E$500,MATCH("D4.17|"&amp;CAPTURA!BN21,CODIFICACION!$F$2:$F$500,0))),"⚠"))</f>
        <v/>
      </c>
      <c r="AJ21" t="str">
        <f>IF(CAPTURA!BO21="","",IFERROR(IF(INDEX(CODIFICACION!$E$2:$E$500,MATCH("D4.15a|"&amp;CAPTURA!BO21,CODIFICACION!$F$2:$F$500,0))="sin dato","",INDEX(CODIFICACION!$E$2:$E$500,MATCH("D4.15a|"&amp;CAPTURA!BO21,CODIFICACION!$F$2:$F$500,0))),"⚠"))</f>
        <v/>
      </c>
      <c r="AK21" t="str">
        <f>IF(CAPTURA!BP21="","",IF(AND(ISNUMBER(CAPTURA!BP21),CAPTURA!BP21&gt;=0,CAPTURA!BP21&lt;=4),CAPTURA!BP21*25,"⚠"))</f>
        <v/>
      </c>
      <c r="AL21" t="str">
        <f>IF(CAPTURA!BQ21="","",IF(AND(ISNUMBER(CAPTURA!BQ21),CAPTURA!BQ21&gt;=0,CAPTURA!BQ21&lt;=4),CAPTURA!BQ21*25,"⚠"))</f>
        <v/>
      </c>
      <c r="AM21" t="str">
        <f>IF(CAPTURA!BR21="","",IFERROR(IF(INDEX(CODIFICACION!$E$2:$E$500,MATCH("D5.18b|"&amp;CAPTURA!BR21,CODIFICACION!$F$2:$F$500,0))="sin dato","",INDEX(CODIFICACION!$E$2:$E$500,MATCH("D5.18b|"&amp;CAPTURA!BR21,CODIFICACION!$F$2:$F$500,0))),"⚠"))</f>
        <v/>
      </c>
      <c r="AN21" t="str">
        <f>IF(CAPTURA!BS21="","",IFERROR(IF(INDEX(CODIFICACION!$E$2:$E$500,MATCH("D5.19|"&amp;CAPTURA!BS21,CODIFICACION!$F$2:$F$500,0))="sin dato","",INDEX(CODIFICACION!$E$2:$E$500,MATCH("D5.19|"&amp;CAPTURA!BS21,CODIFICACION!$F$2:$F$500,0))),"⚠"))</f>
        <v/>
      </c>
      <c r="AO21" t="str">
        <f>IF(CAPTURA!BT21="","",MIN(100,ROUND((LEN(CAPTURA!BT21)-LEN(SUBSTITUTE(CAPTURA!BT21,";",""))+1)/7*100,1)))</f>
        <v/>
      </c>
      <c r="AP21" t="str">
        <f>IF(CAPTURA!BU21="","",IFERROR(IF(INDEX(CODIFICACION!$E$2:$E$500,MATCH("D5.20|"&amp;CAPTURA!BU21,CODIFICACION!$F$2:$F$500,0))="sin dato","",INDEX(CODIFICACION!$E$2:$E$500,MATCH("D5.20|"&amp;CAPTURA!BU21,CODIFICACION!$F$2:$F$500,0))),"⚠"))</f>
        <v/>
      </c>
      <c r="AQ21" t="str">
        <f>IF(CAPTURA!BV21="","",IFERROR(IF(INDEX(CODIFICACION!$E$2:$E$500,MATCH("D5.21|"&amp;CAPTURA!BV21,CODIFICACION!$F$2:$F$500,0))="sin dato","",INDEX(CODIFICACION!$E$2:$E$500,MATCH("D5.21|"&amp;CAPTURA!BV21,CODIFICACION!$F$2:$F$500,0))),"⚠"))</f>
        <v/>
      </c>
      <c r="AR21" t="str">
        <f>IF(CAPTURA!BW21="","",IFERROR(IF(INDEX(CODIFICACION!$E$2:$E$500,MATCH("D5.21a|"&amp;CAPTURA!BW21,CODIFICACION!$F$2:$F$500,0))="sin dato","",INDEX(CODIFICACION!$E$2:$E$500,MATCH("D5.21a|"&amp;CAPTURA!BW21,CODIFICACION!$F$2:$F$500,0))),"⚠"))</f>
        <v/>
      </c>
      <c r="AS21" t="str">
        <f>IF(CAPTURA!BX21="","",IFERROR(IF(INDEX(CODIFICACION!$E$2:$E$500,MATCH("D5.21b|"&amp;CAPTURA!BX21,CODIFICACION!$F$2:$F$500,0))="sin dato","",INDEX(CODIFICACION!$E$2:$E$500,MATCH("D5.21b|"&amp;CAPTURA!BX21,CODIFICACION!$F$2:$F$500,0))),"⚠"))</f>
        <v/>
      </c>
      <c r="AT21" t="str">
        <f>IF(CAPTURA!BY21="","",IFERROR(IF(INDEX(CODIFICACION!$E$2:$E$500,MATCH("D6.22|"&amp;CAPTURA!BY21,CODIFICACION!$F$2:$F$500,0))="sin dato","",INDEX(CODIFICACION!$E$2:$E$500,MATCH("D6.22|"&amp;CAPTURA!BY21,CODIFICACION!$F$2:$F$500,0))),"⚠"))</f>
        <v/>
      </c>
      <c r="AU21" t="str">
        <f>IF(CAPTURA!BZ21="","",IFERROR(IF(INDEX(CODIFICACION!$E$2:$E$500,MATCH("D6.22a|"&amp;CAPTURA!BZ21,CODIFICACION!$F$2:$F$500,0))="sin dato","",INDEX(CODIFICACION!$E$2:$E$500,MATCH("D6.22a|"&amp;CAPTURA!BZ21,CODIFICACION!$F$2:$F$500,0))),"⚠"))</f>
        <v/>
      </c>
      <c r="AV21" t="str">
        <f>IF(CAPTURA!CA21="","",IFERROR(IF(INDEX(CODIFICACION!$E$2:$E$500,MATCH("D6.22b|"&amp;CAPTURA!CA21,CODIFICACION!$F$2:$F$500,0))="sin dato","",INDEX(CODIFICACION!$E$2:$E$500,MATCH("D6.22b|"&amp;CAPTURA!CA21,CODIFICACION!$F$2:$F$500,0))),"⚠"))</f>
        <v/>
      </c>
      <c r="AW21" t="str">
        <f>IF(CAPTURA!CB21="","",IFERROR(IF(INDEX(CODIFICACION!$E$2:$E$500,MATCH("D6.23|"&amp;CAPTURA!CB21,CODIFICACION!$F$2:$F$500,0))="sin dato","",INDEX(CODIFICACION!$E$2:$E$500,MATCH("D6.23|"&amp;CAPTURA!CB21,CODIFICACION!$F$2:$F$500,0))),"⚠"))</f>
        <v/>
      </c>
      <c r="AX21" t="str">
        <f>IF(CAPTURA!CC21="","",IFERROR(IF(INDEX(CODIFICACION!$E$2:$E$500,MATCH("D6.24|"&amp;CAPTURA!CC21,CODIFICACION!$F$2:$F$500,0))="sin dato","",INDEX(CODIFICACION!$E$2:$E$500,MATCH("D6.24|"&amp;CAPTURA!CC21,CODIFICACION!$F$2:$F$500,0))),"⚠"))</f>
        <v/>
      </c>
      <c r="AY21" t="str">
        <f>IF(CAPTURA!CD21="","",IFERROR(IF(INDEX(CODIFICACION!$E$2:$E$500,MATCH("D6.25|"&amp;CAPTURA!CD21,CODIFICACION!$F$2:$F$500,0))="sin dato","",INDEX(CODIFICACION!$E$2:$E$500,MATCH("D6.25|"&amp;CAPTURA!CD21,CODIFICACION!$F$2:$F$500,0))),"⚠"))</f>
        <v/>
      </c>
      <c r="AZ21" t="str">
        <f>IF(CAPTURA!CE21="","",IFERROR(IF(INDEX(CODIFICACION!$E$2:$E$500,MATCH("D6.25a|"&amp;CAPTURA!CE21,CODIFICACION!$F$2:$F$500,0))="sin dato","",INDEX(CODIFICACION!$E$2:$E$500,MATCH("D6.25a|"&amp;CAPTURA!CE21,CODIFICACION!$F$2:$F$500,0))),"⚠"))</f>
        <v/>
      </c>
      <c r="BA21" t="str">
        <f>IF(CAPTURA!CF21="","",IFERROR(IF(INDEX(CODIFICACION!$E$2:$E$500,MATCH("D6.25b|"&amp;CAPTURA!CF21,CODIFICACION!$F$2:$F$500,0))="sin dato","",INDEX(CODIFICACION!$E$2:$E$500,MATCH("D6.25b|"&amp;CAPTURA!CF21,CODIFICACION!$F$2:$F$500,0))),"⚠"))</f>
        <v/>
      </c>
      <c r="BB21" t="str">
        <f>IF(CAPTURA!CG21="","",IFERROR(IF(INDEX(CODIFICACION!$E$2:$E$500,MATCH("D6.22c|"&amp;CAPTURA!CG21,CODIFICACION!$F$2:$F$500,0))="sin dato","",INDEX(CODIFICACION!$E$2:$E$500,MATCH("D6.22c|"&amp;CAPTURA!CG21,CODIFICACION!$F$2:$F$500,0))),"⚠"))</f>
        <v/>
      </c>
      <c r="BC21" t="str">
        <f>IF(CAPTURA!CH21="","",IFERROR(IF(INDEX(CODIFICACION!$E$2:$E$500,MATCH("D7.26|"&amp;CAPTURA!CH21,CODIFICACION!$F$2:$F$500,0))="sin dato","",INDEX(CODIFICACION!$E$2:$E$500,MATCH("D7.26|"&amp;CAPTURA!CH21,CODIFICACION!$F$2:$F$500,0))),"⚠"))</f>
        <v/>
      </c>
      <c r="BD21" t="str">
        <f>IF(CAPTURA!CI21="","",IFERROR(IF(INDEX(CODIFICACION!$E$2:$E$500,MATCH("D7.27|"&amp;CAPTURA!CI21,CODIFICACION!$F$2:$F$500,0))="sin dato","",INDEX(CODIFICACION!$E$2:$E$500,MATCH("D7.27|"&amp;CAPTURA!CI21,CODIFICACION!$F$2:$F$500,0))),"⚠"))</f>
        <v/>
      </c>
      <c r="BE21" t="str">
        <f>IF(CAPTURA!CJ21="","",IFERROR(IF(INDEX(CODIFICACION!$E$2:$E$500,MATCH("D7.28|"&amp;CAPTURA!CJ21,CODIFICACION!$F$2:$F$500,0))="sin dato","",INDEX(CODIFICACION!$E$2:$E$500,MATCH("D7.28|"&amp;CAPTURA!CJ21,CODIFICACION!$F$2:$F$500,0))),"⚠"))</f>
        <v/>
      </c>
      <c r="BF21" t="str">
        <f>IF(CAPTURA!CK21="","",IFERROR(IF(INDEX(CODIFICACION!$E$2:$E$500,MATCH("D7.28b|"&amp;CAPTURA!CK21,CODIFICACION!$F$2:$F$500,0))="sin dato","",INDEX(CODIFICACION!$E$2:$E$500,MATCH("D7.28b|"&amp;CAPTURA!CK21,CODIFICACION!$F$2:$F$500,0))),"⚠"))</f>
        <v/>
      </c>
      <c r="BG21" t="str">
        <f>IF(CAPTURA!CL21="","",MIN(100,ROUND((LEN(CAPTURA!CL21)-LEN(SUBSTITUTE(CAPTURA!CL21,";",""))+1)/8*100,1)))</f>
        <v/>
      </c>
      <c r="BH21" t="str">
        <f>IF(CAPTURA!CM21="","",IFERROR(IF(INDEX(CODIFICACION!$E$2:$E$500,MATCH("D7.26a|"&amp;CAPTURA!CM21,CODIFICACION!$F$2:$F$500,0))="sin dato","",INDEX(CODIFICACION!$E$2:$E$500,MATCH("D7.26a|"&amp;CAPTURA!CM21,CODIFICACION!$F$2:$F$500,0))),"⚠"))</f>
        <v/>
      </c>
      <c r="BI21" t="str">
        <f>IF(CAPTURA!CN21="","",IFERROR(IF(INDEX(CODIFICACION!$E$2:$E$500,MATCH("D7.26b|"&amp;CAPTURA!CN21,CODIFICACION!$F$2:$F$500,0))="sin dato","",INDEX(CODIFICACION!$E$2:$E$500,MATCH("D7.26b|"&amp;CAPTURA!CN21,CODIFICACION!$F$2:$F$500,0))),"⚠"))</f>
        <v/>
      </c>
      <c r="BJ21" t="str">
        <f>IF(CAPTURA!CO21="","",IF(AND(ISNUMBER(CAPTURA!CO21),CAPTURA!CO21&gt;=0,CAPTURA!CO21&lt;=4),CAPTURA!CO21*25,"⚠"))</f>
        <v/>
      </c>
      <c r="BK21" t="str">
        <f>IF(CAPTURA!CP21="","",IF(ISNUMBER(CAPTURA!CP21),MAX(0,MIN(100,CAPTURA!CP21)),"⚠"))</f>
        <v/>
      </c>
      <c r="BL21" t="str">
        <f>IF(CAPTURA!CQ21="","",IFERROR(IF(INDEX(CODIFICACION!$E$2:$E$500,MATCH("D8.31|"&amp;CAPTURA!CQ21,CODIFICACION!$F$2:$F$500,0))="sin dato","",INDEX(CODIFICACION!$E$2:$E$500,MATCH("D8.31|"&amp;CAPTURA!CQ21,CODIFICACION!$F$2:$F$500,0))),"⚠"))</f>
        <v/>
      </c>
      <c r="BM21" t="str">
        <f>IF(CAPTURA!CR21="","",IFERROR(IF(INDEX(CODIFICACION!$E$2:$E$500,MATCH("D8.32|"&amp;CAPTURA!CR21,CODIFICACION!$F$2:$F$500,0))="sin dato","",INDEX(CODIFICACION!$E$2:$E$500,MATCH("D8.32|"&amp;CAPTURA!CR21,CODIFICACION!$F$2:$F$500,0))),"⚠"))</f>
        <v/>
      </c>
      <c r="BN21" t="str">
        <f>IF(CAPTURA!CS21="","",IFERROR(IF(INDEX(CODIFICACION!$E$2:$E$500,MATCH("D9.33|"&amp;CAPTURA!CS21,CODIFICACION!$F$2:$F$500,0))="sin dato","",INDEX(CODIFICACION!$E$2:$E$500,MATCH("D9.33|"&amp;CAPTURA!CS21,CODIFICACION!$F$2:$F$500,0))),"⚠"))</f>
        <v/>
      </c>
      <c r="BO21" t="str">
        <f>IF(CAPTURA!CT21="","",IFERROR(IF(INDEX(CODIFICACION!$E$2:$E$500,MATCH("D9.34|"&amp;CAPTURA!CT21,CODIFICACION!$F$2:$F$500,0))="sin dato","",INDEX(CODIFICACION!$E$2:$E$500,MATCH("D9.34|"&amp;CAPTURA!CT21,CODIFICACION!$F$2:$F$500,0))),"⚠"))</f>
        <v/>
      </c>
      <c r="BP21" t="str">
        <f>IF(CAPTURA!CU21="","",IFERROR(IF(INDEX(CODIFICACION!$E$2:$E$500,MATCH("D9.35|"&amp;CAPTURA!CU21,CODIFICACION!$F$2:$F$500,0))="sin dato","",INDEX(CODIFICACION!$E$2:$E$500,MATCH("D9.35|"&amp;CAPTURA!CU21,CODIFICACION!$F$2:$F$500,0))),"⚠"))</f>
        <v/>
      </c>
      <c r="BQ21" t="str">
        <f>IF(CAPTURA!CV21="","",IFERROR(IF(INDEX(CODIFICACION!$E$2:$E$500,MATCH("D10.36|"&amp;CAPTURA!CV21,CODIFICACION!$F$2:$F$500,0))="sin dato","",INDEX(CODIFICACION!$E$2:$E$500,MATCH("D10.36|"&amp;CAPTURA!CV21,CODIFICACION!$F$2:$F$500,0))),"⚠"))</f>
        <v/>
      </c>
      <c r="BR21" t="str">
        <f>IF(CAPTURA!CW21="","",IFERROR(IF(INDEX(CODIFICACION!$E$2:$E$500,MATCH("D10.37|"&amp;CAPTURA!CW21,CODIFICACION!$F$2:$F$500,0))="sin dato","",INDEX(CODIFICACION!$E$2:$E$500,MATCH("D10.37|"&amp;CAPTURA!CW21,CODIFICACION!$F$2:$F$500,0))),"⚠"))</f>
        <v/>
      </c>
      <c r="BS21" t="str">
        <f>IF(CAPTURA!CX21="","",IFERROR(IF(INDEX(CODIFICACION!$E$2:$E$500,MATCH("D10.36a|"&amp;CAPTURA!CX21,CODIFICACION!$F$2:$F$500,0))="sin dato","",INDEX(CODIFICACION!$E$2:$E$500,MATCH("D10.36a|"&amp;CAPTURA!CX21,CODIFICACION!$F$2:$F$500,0))),"⚠"))</f>
        <v/>
      </c>
      <c r="BT21" t="str">
        <f>IF(CAPTURA!CY21="","",IF(ISNUMBER(SEARCH("Ninguno",CAPTURA!CY21)),0,MIN(100,ROUND((LEN(CAPTURA!CY21)-LEN(SUBSTITUTE(CAPTURA!CY21,";",""))+1)/6*100,1))))</f>
        <v/>
      </c>
      <c r="BU21" t="str">
        <f>IF(CAPTURA!DA21="","",IFERROR(IF(INDEX(CODIFICACION!$E$2:$E$500,MATCH("D11.39a|"&amp;CAPTURA!DA21,CODIFICACION!$F$2:$F$500,0))="sin dato","",INDEX(CODIFICACION!$E$2:$E$500,MATCH("D11.39a|"&amp;CAPTURA!DA21,CODIFICACION!$F$2:$F$500,0))),"⚠"))</f>
        <v/>
      </c>
      <c r="BV21" t="str">
        <f>IF(CAPTURA!DB21="","",IFERROR(IF(INDEX(CODIFICACION!$E$2:$E$500,MATCH("D12.42|"&amp;CAPTURA!DB21,CODIFICACION!$F$2:$F$500,0))="sin dato","",INDEX(CODIFICACION!$E$2:$E$500,MATCH("D12.42|"&amp;CAPTURA!DB21,CODIFICACION!$F$2:$F$500,0))),"⚠"))</f>
        <v/>
      </c>
      <c r="BW21" t="str">
        <f>IF(CAPTURA!DC21="","",IFERROR(IF(INDEX(CODIFICACION!$E$2:$E$500,MATCH("D13.45|"&amp;CAPTURA!DC21,CODIFICACION!$F$2:$F$500,0))="sin dato","",INDEX(CODIFICACION!$E$2:$E$500,MATCH("D13.45|"&amp;CAPTURA!DC21,CODIFICACION!$F$2:$F$500,0))),"⚠"))</f>
        <v/>
      </c>
      <c r="BX21" t="str">
        <f>IF(CAPTURA!DD21="","",IFERROR(IF(INDEX(CODIFICACION!$E$2:$E$500,MATCH("D14.51|"&amp;CAPTURA!DD21,CODIFICACION!$F$2:$F$500,0))="sin dato","",INDEX(CODIFICACION!$E$2:$E$500,MATCH("D14.51|"&amp;CAPTURA!DD21,CODIFICACION!$F$2:$F$500,0))),"⚠"))</f>
        <v/>
      </c>
      <c r="BY21" t="str">
        <f>IF(CAPTURA!DE21="","",IFERROR(IF(INDEX(CODIFICACION!$E$2:$E$500,MATCH("D15.58|"&amp;CAPTURA!DE21,CODIFICACION!$F$2:$F$500,0))="sin dato","",INDEX(CODIFICACION!$E$2:$E$500,MATCH("D15.58|"&amp;CAPTURA!DE21,CODIFICACION!$F$2:$F$500,0))),"⚠"))</f>
        <v/>
      </c>
      <c r="BZ21" t="str">
        <f>IF(CAPTURA!DF21="","",IFERROR(IF(INDEX(CODIFICACION!$E$2:$E$500,MATCH("PP1|"&amp;CAPTURA!DF21,CODIFICACION!$F$2:$F$500,0))="sin dato","",INDEX(CODIFICACION!$E$2:$E$500,MATCH("PP1|"&amp;CAPTURA!DF21,CODIFICACION!$F$2:$F$500,0))),"⚠"))</f>
        <v/>
      </c>
      <c r="CA21" t="str">
        <f>IF(CAPTURA!DG21="","",IFERROR(IF(INDEX(CODIFICACION!$E$2:$E$500,MATCH("PP2|"&amp;CAPTURA!DG21,CODIFICACION!$F$2:$F$500,0))="sin dato","",INDEX(CODIFICACION!$E$2:$E$500,MATCH("PP2|"&amp;CAPTURA!DG21,CODIFICACION!$F$2:$F$500,0))),"⚠"))</f>
        <v/>
      </c>
      <c r="CB21" t="str">
        <f t="shared" si="0"/>
        <v/>
      </c>
      <c r="CC21" t="str">
        <f t="shared" si="1"/>
        <v/>
      </c>
      <c r="CD21" t="str">
        <f t="shared" si="2"/>
        <v/>
      </c>
      <c r="CE21" t="str">
        <f t="shared" si="3"/>
        <v/>
      </c>
      <c r="CF21" t="str">
        <f t="shared" si="4"/>
        <v/>
      </c>
      <c r="CG21" t="str">
        <f t="shared" si="5"/>
        <v/>
      </c>
      <c r="CH21" t="str">
        <f t="shared" si="6"/>
        <v/>
      </c>
      <c r="CI21" t="str">
        <f t="shared" si="7"/>
        <v/>
      </c>
      <c r="CJ21" t="str">
        <f t="shared" si="8"/>
        <v/>
      </c>
      <c r="CK21" t="str">
        <f t="shared" si="9"/>
        <v/>
      </c>
      <c r="CL21" t="str">
        <f t="shared" si="10"/>
        <v/>
      </c>
    </row>
    <row r="22" spans="1:90" x14ac:dyDescent="0.3">
      <c r="A22">
        <f>CAPTURA!A22</f>
        <v>20352423921</v>
      </c>
      <c r="B22">
        <f>CAPTURA!C22</f>
        <v>0</v>
      </c>
      <c r="C22" t="str">
        <f>IF(CAPTURA!M22="","",ROUND((ISNUMBER(SEARCH("Alemania",CAPTURA!M22))+ISNUMBER(SEARCH("Bélgica",CAPTURA!M22))+ISNUMBER(SEARCH("Países Bajos",CAPTURA!M22))+ISNUMBER(SEARCH("Francia",CAPTURA!M22))+ISNUMBER(SEARCH("Italia",CAPTURA!M22))+ISNUMBER(SEARCH("España",CAPTURA!M22))+ISNUMBER(SEARCH("Suecia",CAPTURA!M22))+ISNUMBER(SEARCH("Dinamarca",CAPTURA!M22)))/((LEN(CAPTURA!M22)-LEN(SUBSTITUTE(CAPTURA!M22,";","")))+1)*100,1))</f>
        <v/>
      </c>
      <c r="D22" t="str">
        <f>IF(CAPTURA!AE22="","",IFERROR(IF(INDEX(CODIFICACION!$E$2:$E$500,MATCH("P8|"&amp;CAPTURA!AE22,CODIFICACION!$F$2:$F$500,0))="sin dato","",INDEX(CODIFICACION!$E$2:$E$500,MATCH("P8|"&amp;CAPTURA!AE22,CODIFICACION!$F$2:$F$500,0))),"⚠"))</f>
        <v/>
      </c>
      <c r="E22" t="str">
        <f>IF(CAPTURA!AG22="","",IFERROR(IF(INDEX(CODIFICACION!$E$2:$E$500,MATCH("P10|"&amp;CAPTURA!AG22,CODIFICACION!$F$2:$F$500,0))="sin dato","",INDEX(CODIFICACION!$E$2:$E$500,MATCH("P10|"&amp;CAPTURA!AG22,CODIFICACION!$F$2:$F$500,0))),"⚠"))</f>
        <v/>
      </c>
      <c r="F22" t="str">
        <f>IF(CAPTURA!AJ22="","",IFERROR(IF(INDEX(CODIFICACION!$E$2:$E$500,MATCH("P13|"&amp;CAPTURA!AJ22,CODIFICACION!$F$2:$F$500,0))="sin dato","",INDEX(CODIFICACION!$E$2:$E$500,MATCH("P13|"&amp;CAPTURA!AJ22,CODIFICACION!$F$2:$F$500,0))),"⚠"))</f>
        <v/>
      </c>
      <c r="G22" t="str">
        <f>IF(CAPTURA!AK22="","",IFERROR(IF(INDEX(CODIFICACION!$E$2:$E$500,MATCH("P14|"&amp;CAPTURA!AK22,CODIFICACION!$F$2:$F$500,0))="sin dato","",INDEX(CODIFICACION!$E$2:$E$500,MATCH("P14|"&amp;CAPTURA!AK22,CODIFICACION!$F$2:$F$500,0))),"⚠"))</f>
        <v/>
      </c>
      <c r="H22" t="str">
        <f>IF(CAPTURA!AL22="","",IFERROR(IF(INDEX(CODIFICACION!$E$2:$E$500,MATCH("D1.1|"&amp;CAPTURA!AL22,CODIFICACION!$F$2:$F$500,0))="sin dato","",INDEX(CODIFICACION!$E$2:$E$500,MATCH("D1.1|"&amp;CAPTURA!AL22,CODIFICACION!$F$2:$F$500,0))),"⚠"))</f>
        <v/>
      </c>
      <c r="I22" t="str">
        <f>IF(CAPTURA!AN22="","",IFERROR(IF(INDEX(CODIFICACION!$E$2:$E$500,MATCH("D1.3|"&amp;CAPTURA!AN22,CODIFICACION!$F$2:$F$500,0))="sin dato","",INDEX(CODIFICACION!$E$2:$E$500,MATCH("D1.3|"&amp;CAPTURA!AN22,CODIFICACION!$F$2:$F$500,0))),"⚠"))</f>
        <v/>
      </c>
      <c r="J22" t="str">
        <f>IF(CAPTURA!AO22="","",IFERROR(IF(INDEX(CODIFICACION!$E$2:$E$500,MATCH("D1.4|"&amp;CAPTURA!AO22,CODIFICACION!$F$2:$F$500,0))="sin dato","",INDEX(CODIFICACION!$E$2:$E$500,MATCH("D1.4|"&amp;CAPTURA!AO22,CODIFICACION!$F$2:$F$500,0))),"⚠"))</f>
        <v/>
      </c>
      <c r="K22" t="str">
        <f>IF(CAPTURA!AP22="","",IFERROR(IF(INDEX(CODIFICACION!$E$2:$E$500,MATCH("D1.3a|"&amp;CAPTURA!AP22,CODIFICACION!$F$2:$F$500,0))="sin dato","",INDEX(CODIFICACION!$E$2:$E$500,MATCH("D1.3a|"&amp;CAPTURA!AP22,CODIFICACION!$F$2:$F$500,0))),"⚠"))</f>
        <v/>
      </c>
      <c r="L22" t="str">
        <f>IF(CAPTURA!AQ22="","",IF(AND(ISNUMBER(CAPTURA!AQ22),CAPTURA!AQ22&gt;=0,CAPTURA!AQ22&lt;=4),CAPTURA!AQ22*25,"⚠"))</f>
        <v/>
      </c>
      <c r="M22" t="str">
        <f>IF(CAPTURA!AR22="","",IF(ISNUMBER(CAPTURA!AR22),MAX(0,MIN(100,CAPTURA!AR22)),"⚠"))</f>
        <v/>
      </c>
      <c r="N22" t="str">
        <f>IF(CAPTURA!AS22="","",IF(AND(ISNUMBER(CAPTURA!AS22),CAPTURA!AS22&gt;=0,CAPTURA!AS22&lt;=4),CAPTURA!AS22*25,"⚠"))</f>
        <v/>
      </c>
      <c r="O22" t="str">
        <f>IF(CAPTURA!AT22="","",IFERROR(IF(INDEX(CODIFICACION!$E$2:$E$500,MATCH("D2.8|"&amp;CAPTURA!AT22,CODIFICACION!$F$2:$F$500,0))="sin dato","",INDEX(CODIFICACION!$E$2:$E$500,MATCH("D2.8|"&amp;CAPTURA!AT22,CODIFICACION!$F$2:$F$500,0))),"⚠"))</f>
        <v/>
      </c>
      <c r="P22" t="str">
        <f>IF(CAPTURA!AU22="","",IFERROR(IF(INDEX(CODIFICACION!$E$2:$E$500,MATCH("D2.9|"&amp;CAPTURA!AU22,CODIFICACION!$F$2:$F$500,0))="sin dato","",INDEX(CODIFICACION!$E$2:$E$500,MATCH("D2.9|"&amp;CAPTURA!AU22,CODIFICACION!$F$2:$F$500,0))),"⚠"))</f>
        <v/>
      </c>
      <c r="Q22" t="str">
        <f>IF(CAPTURA!AV22="","",IFERROR(IF(INDEX(CODIFICACION!$E$2:$E$500,MATCH("D2.10|"&amp;CAPTURA!AV22,CODIFICACION!$F$2:$F$500,0))="sin dato","",INDEX(CODIFICACION!$E$2:$E$500,MATCH("D2.10|"&amp;CAPTURA!AV22,CODIFICACION!$F$2:$F$500,0))),"⚠"))</f>
        <v/>
      </c>
      <c r="R22" t="str">
        <f>IF(CAPTURA!AW22="","",IFERROR(IF(INDEX(CODIFICACION!$E$2:$E$500,MATCH("D2.5a|"&amp;CAPTURA!AW22,CODIFICACION!$F$2:$F$500,0))="sin dato","",INDEX(CODIFICACION!$E$2:$E$500,MATCH("D2.5a|"&amp;CAPTURA!AW22,CODIFICACION!$F$2:$F$500,0))),"⚠"))</f>
        <v/>
      </c>
      <c r="S22" t="str">
        <f>IF(CAPTURA!AX22="","",IFERROR(IF(INDEX(CODIFICACION!$E$2:$E$500,MATCH("D2.5b|"&amp;CAPTURA!AX22,CODIFICACION!$F$2:$F$500,0))="sin dato","",INDEX(CODIFICACION!$E$2:$E$500,MATCH("D2.5b|"&amp;CAPTURA!AX22,CODIFICACION!$F$2:$F$500,0))),"⚠"))</f>
        <v/>
      </c>
      <c r="T22" t="str">
        <f>IF(CAPTURA!AY22="","",IF(ISNUMBER(CAPTURA!AY22),MAX(0,MIN(100,CAPTURA!AY22)),"⚠"))</f>
        <v/>
      </c>
      <c r="U22" t="str">
        <f>IF(CAPTURA!AZ22="","",IFERROR(IF(INDEX(CODIFICACION!$E$2:$E$500,MATCH("D3.12|"&amp;CAPTURA!AZ22,CODIFICACION!$F$2:$F$500,0))="sin dato","",INDEX(CODIFICACION!$E$2:$E$500,MATCH("D3.12|"&amp;CAPTURA!AZ22,CODIFICACION!$F$2:$F$500,0))),"⚠"))</f>
        <v/>
      </c>
      <c r="V22" t="str">
        <f>IF(CAPTURA!BA22="","",IF(AND(ISNUMBER(CAPTURA!BA22),CAPTURA!BA22&gt;=0,CAPTURA!BA22&lt;=4),CAPTURA!BA22*25,"⚠"))</f>
        <v/>
      </c>
      <c r="W22" t="str">
        <f>IF(CAPTURA!BB22="","",IFERROR(IF(INDEX(CODIFICACION!$E$2:$E$500,MATCH("D3.14|"&amp;CAPTURA!BB22,CODIFICACION!$F$2:$F$500,0))="sin dato","",INDEX(CODIFICACION!$E$2:$E$500,MATCH("D3.14|"&amp;CAPTURA!BB22,CODIFICACION!$F$2:$F$500,0))),"⚠"))</f>
        <v/>
      </c>
      <c r="X22" t="str">
        <f>IF(CAPTURA!BC22="","",IFERROR(IF(INDEX(CODIFICACION!$E$2:$E$500,MATCH("D3.14a|"&amp;CAPTURA!BC22,CODIFICACION!$F$2:$F$500,0))="sin dato","",INDEX(CODIFICACION!$E$2:$E$500,MATCH("D3.14a|"&amp;CAPTURA!BC22,CODIFICACION!$F$2:$F$500,0))),"⚠"))</f>
        <v/>
      </c>
      <c r="Y22" t="str">
        <f>IF(CAPTURA!BD22="","",IFERROR(IF(INDEX(CODIFICACION!$E$2:$E$500,MATCH("D3.14b|"&amp;CAPTURA!BD22,CODIFICACION!$F$2:$F$500,0))="sin dato","",INDEX(CODIFICACION!$E$2:$E$500,MATCH("D3.14b|"&amp;CAPTURA!BD22,CODIFICACION!$F$2:$F$500,0))),"⚠"))</f>
        <v/>
      </c>
      <c r="Z22" t="str">
        <f>IF(CAPTURA!BE22="","",IFERROR(IF(INDEX(CODIFICACION!$E$2:$E$500,MATCH("D3.14c|"&amp;CAPTURA!BE22,CODIFICACION!$F$2:$F$500,0))="sin dato","",INDEX(CODIFICACION!$E$2:$E$500,MATCH("D3.14c|"&amp;CAPTURA!BE22,CODIFICACION!$F$2:$F$500,0))),"⚠"))</f>
        <v/>
      </c>
      <c r="AA22" t="str">
        <f>IF(CAPTURA!BF22="","",IFERROR(IF(INDEX(CODIFICACION!$E$2:$E$500,MATCH("D3.14d|"&amp;CAPTURA!BF22,CODIFICACION!$F$2:$F$500,0))="sin dato","",INDEX(CODIFICACION!$E$2:$E$500,MATCH("D3.14d|"&amp;CAPTURA!BF22,CODIFICACION!$F$2:$F$500,0))),"⚠"))</f>
        <v/>
      </c>
      <c r="AB22" t="str">
        <f>IF(CAPTURA!BG22="","",IFERROR(IF(INDEX(CODIFICACION!$E$2:$E$500,MATCH("D3.14e|"&amp;CAPTURA!BG22,CODIFICACION!$F$2:$F$500,0))="sin dato","",INDEX(CODIFICACION!$E$2:$E$500,MATCH("D3.14e|"&amp;CAPTURA!BG22,CODIFICACION!$F$2:$F$500,0))),"⚠"))</f>
        <v/>
      </c>
      <c r="AC22" t="str">
        <f>IF(CAPTURA!BH22="","",IFERROR(IF(INDEX(CODIFICACION!$E$2:$E$500,MATCH("D3.14f|"&amp;CAPTURA!BH22,CODIFICACION!$F$2:$F$500,0))="sin dato","",INDEX(CODIFICACION!$E$2:$E$500,MATCH("D3.14f|"&amp;CAPTURA!BH22,CODIFICACION!$F$2:$F$500,0))),"⚠"))</f>
        <v/>
      </c>
      <c r="AD22" t="str">
        <f>IF(CAPTURA!BI22="","",IFERROR(IF(INDEX(CODIFICACION!$E$2:$E$500,MATCH("D3.14g|"&amp;CAPTURA!BI22,CODIFICACION!$F$2:$F$500,0))="sin dato","",INDEX(CODIFICACION!$E$2:$E$500,MATCH("D3.14g|"&amp;CAPTURA!BI22,CODIFICACION!$F$2:$F$500,0))),"⚠"))</f>
        <v/>
      </c>
      <c r="AE22" t="str">
        <f>IF(CAPTURA!BJ22="","",IFERROR(IF(INDEX(CODIFICACION!$E$2:$E$500,MATCH("D3.14h|"&amp;CAPTURA!BJ22,CODIFICACION!$F$2:$F$500,0))="sin dato","",INDEX(CODIFICACION!$E$2:$E$500,MATCH("D3.14h|"&amp;CAPTURA!BJ22,CODIFICACION!$F$2:$F$500,0))),"⚠"))</f>
        <v/>
      </c>
      <c r="AF22" t="str">
        <f>IF(CAPTURA!BK22="","",IFERROR(IF(INDEX(CODIFICACION!$E$2:$E$500,MATCH("D3.14i|"&amp;CAPTURA!BK22,CODIFICACION!$F$2:$F$500,0))="sin dato","",INDEX(CODIFICACION!$E$2:$E$500,MATCH("D3.14i|"&amp;CAPTURA!BK22,CODIFICACION!$F$2:$F$500,0))),"⚠"))</f>
        <v/>
      </c>
      <c r="AG22" t="str">
        <f>IF(CAPTURA!BL22="","",IFERROR(IF(INDEX(CODIFICACION!$E$2:$E$500,MATCH("D4.15|"&amp;CAPTURA!BL22,CODIFICACION!$F$2:$F$500,0))="sin dato","",INDEX(CODIFICACION!$E$2:$E$500,MATCH("D4.15|"&amp;CAPTURA!BL22,CODIFICACION!$F$2:$F$500,0))),"⚠"))</f>
        <v/>
      </c>
      <c r="AH22" t="str">
        <f>IF(CAPTURA!BM22="","",IF(AND(ISNUMBER(CAPTURA!BM22),CAPTURA!BM22&gt;=0,CAPTURA!BM22&lt;=4),CAPTURA!BM22*25,"⚠"))</f>
        <v/>
      </c>
      <c r="AI22" t="str">
        <f>IF(CAPTURA!BN22="","",IFERROR(IF(INDEX(CODIFICACION!$E$2:$E$500,MATCH("D4.17|"&amp;CAPTURA!BN22,CODIFICACION!$F$2:$F$500,0))="sin dato","",INDEX(CODIFICACION!$E$2:$E$500,MATCH("D4.17|"&amp;CAPTURA!BN22,CODIFICACION!$F$2:$F$500,0))),"⚠"))</f>
        <v/>
      </c>
      <c r="AJ22" t="str">
        <f>IF(CAPTURA!BO22="","",IFERROR(IF(INDEX(CODIFICACION!$E$2:$E$500,MATCH("D4.15a|"&amp;CAPTURA!BO22,CODIFICACION!$F$2:$F$500,0))="sin dato","",INDEX(CODIFICACION!$E$2:$E$500,MATCH("D4.15a|"&amp;CAPTURA!BO22,CODIFICACION!$F$2:$F$500,0))),"⚠"))</f>
        <v/>
      </c>
      <c r="AK22" t="str">
        <f>IF(CAPTURA!BP22="","",IF(AND(ISNUMBER(CAPTURA!BP22),CAPTURA!BP22&gt;=0,CAPTURA!BP22&lt;=4),CAPTURA!BP22*25,"⚠"))</f>
        <v/>
      </c>
      <c r="AL22" t="str">
        <f>IF(CAPTURA!BQ22="","",IF(AND(ISNUMBER(CAPTURA!BQ22),CAPTURA!BQ22&gt;=0,CAPTURA!BQ22&lt;=4),CAPTURA!BQ22*25,"⚠"))</f>
        <v/>
      </c>
      <c r="AM22" t="str">
        <f>IF(CAPTURA!BR22="","",IFERROR(IF(INDEX(CODIFICACION!$E$2:$E$500,MATCH("D5.18b|"&amp;CAPTURA!BR22,CODIFICACION!$F$2:$F$500,0))="sin dato","",INDEX(CODIFICACION!$E$2:$E$500,MATCH("D5.18b|"&amp;CAPTURA!BR22,CODIFICACION!$F$2:$F$500,0))),"⚠"))</f>
        <v/>
      </c>
      <c r="AN22" t="str">
        <f>IF(CAPTURA!BS22="","",IFERROR(IF(INDEX(CODIFICACION!$E$2:$E$500,MATCH("D5.19|"&amp;CAPTURA!BS22,CODIFICACION!$F$2:$F$500,0))="sin dato","",INDEX(CODIFICACION!$E$2:$E$500,MATCH("D5.19|"&amp;CAPTURA!BS22,CODIFICACION!$F$2:$F$500,0))),"⚠"))</f>
        <v/>
      </c>
      <c r="AO22" t="str">
        <f>IF(CAPTURA!BT22="","",MIN(100,ROUND((LEN(CAPTURA!BT22)-LEN(SUBSTITUTE(CAPTURA!BT22,";",""))+1)/7*100,1)))</f>
        <v/>
      </c>
      <c r="AP22" t="str">
        <f>IF(CAPTURA!BU22="","",IFERROR(IF(INDEX(CODIFICACION!$E$2:$E$500,MATCH("D5.20|"&amp;CAPTURA!BU22,CODIFICACION!$F$2:$F$500,0))="sin dato","",INDEX(CODIFICACION!$E$2:$E$500,MATCH("D5.20|"&amp;CAPTURA!BU22,CODIFICACION!$F$2:$F$500,0))),"⚠"))</f>
        <v/>
      </c>
      <c r="AQ22" t="str">
        <f>IF(CAPTURA!BV22="","",IFERROR(IF(INDEX(CODIFICACION!$E$2:$E$500,MATCH("D5.21|"&amp;CAPTURA!BV22,CODIFICACION!$F$2:$F$500,0))="sin dato","",INDEX(CODIFICACION!$E$2:$E$500,MATCH("D5.21|"&amp;CAPTURA!BV22,CODIFICACION!$F$2:$F$500,0))),"⚠"))</f>
        <v/>
      </c>
      <c r="AR22" t="str">
        <f>IF(CAPTURA!BW22="","",IFERROR(IF(INDEX(CODIFICACION!$E$2:$E$500,MATCH("D5.21a|"&amp;CAPTURA!BW22,CODIFICACION!$F$2:$F$500,0))="sin dato","",INDEX(CODIFICACION!$E$2:$E$500,MATCH("D5.21a|"&amp;CAPTURA!BW22,CODIFICACION!$F$2:$F$500,0))),"⚠"))</f>
        <v/>
      </c>
      <c r="AS22" t="str">
        <f>IF(CAPTURA!BX22="","",IFERROR(IF(INDEX(CODIFICACION!$E$2:$E$500,MATCH("D5.21b|"&amp;CAPTURA!BX22,CODIFICACION!$F$2:$F$500,0))="sin dato","",INDEX(CODIFICACION!$E$2:$E$500,MATCH("D5.21b|"&amp;CAPTURA!BX22,CODIFICACION!$F$2:$F$500,0))),"⚠"))</f>
        <v/>
      </c>
      <c r="AT22" t="str">
        <f>IF(CAPTURA!BY22="","",IFERROR(IF(INDEX(CODIFICACION!$E$2:$E$500,MATCH("D6.22|"&amp;CAPTURA!BY22,CODIFICACION!$F$2:$F$500,0))="sin dato","",INDEX(CODIFICACION!$E$2:$E$500,MATCH("D6.22|"&amp;CAPTURA!BY22,CODIFICACION!$F$2:$F$500,0))),"⚠"))</f>
        <v/>
      </c>
      <c r="AU22" t="str">
        <f>IF(CAPTURA!BZ22="","",IFERROR(IF(INDEX(CODIFICACION!$E$2:$E$500,MATCH("D6.22a|"&amp;CAPTURA!BZ22,CODIFICACION!$F$2:$F$500,0))="sin dato","",INDEX(CODIFICACION!$E$2:$E$500,MATCH("D6.22a|"&amp;CAPTURA!BZ22,CODIFICACION!$F$2:$F$500,0))),"⚠"))</f>
        <v/>
      </c>
      <c r="AV22" t="str">
        <f>IF(CAPTURA!CA22="","",IFERROR(IF(INDEX(CODIFICACION!$E$2:$E$500,MATCH("D6.22b|"&amp;CAPTURA!CA22,CODIFICACION!$F$2:$F$500,0))="sin dato","",INDEX(CODIFICACION!$E$2:$E$500,MATCH("D6.22b|"&amp;CAPTURA!CA22,CODIFICACION!$F$2:$F$500,0))),"⚠"))</f>
        <v/>
      </c>
      <c r="AW22" t="str">
        <f>IF(CAPTURA!CB22="","",IFERROR(IF(INDEX(CODIFICACION!$E$2:$E$500,MATCH("D6.23|"&amp;CAPTURA!CB22,CODIFICACION!$F$2:$F$500,0))="sin dato","",INDEX(CODIFICACION!$E$2:$E$500,MATCH("D6.23|"&amp;CAPTURA!CB22,CODIFICACION!$F$2:$F$500,0))),"⚠"))</f>
        <v/>
      </c>
      <c r="AX22" t="str">
        <f>IF(CAPTURA!CC22="","",IFERROR(IF(INDEX(CODIFICACION!$E$2:$E$500,MATCH("D6.24|"&amp;CAPTURA!CC22,CODIFICACION!$F$2:$F$500,0))="sin dato","",INDEX(CODIFICACION!$E$2:$E$500,MATCH("D6.24|"&amp;CAPTURA!CC22,CODIFICACION!$F$2:$F$500,0))),"⚠"))</f>
        <v/>
      </c>
      <c r="AY22" t="str">
        <f>IF(CAPTURA!CD22="","",IFERROR(IF(INDEX(CODIFICACION!$E$2:$E$500,MATCH("D6.25|"&amp;CAPTURA!CD22,CODIFICACION!$F$2:$F$500,0))="sin dato","",INDEX(CODIFICACION!$E$2:$E$500,MATCH("D6.25|"&amp;CAPTURA!CD22,CODIFICACION!$F$2:$F$500,0))),"⚠"))</f>
        <v/>
      </c>
      <c r="AZ22" t="str">
        <f>IF(CAPTURA!CE22="","",IFERROR(IF(INDEX(CODIFICACION!$E$2:$E$500,MATCH("D6.25a|"&amp;CAPTURA!CE22,CODIFICACION!$F$2:$F$500,0))="sin dato","",INDEX(CODIFICACION!$E$2:$E$500,MATCH("D6.25a|"&amp;CAPTURA!CE22,CODIFICACION!$F$2:$F$500,0))),"⚠"))</f>
        <v/>
      </c>
      <c r="BA22" t="str">
        <f>IF(CAPTURA!CF22="","",IFERROR(IF(INDEX(CODIFICACION!$E$2:$E$500,MATCH("D6.25b|"&amp;CAPTURA!CF22,CODIFICACION!$F$2:$F$500,0))="sin dato","",INDEX(CODIFICACION!$E$2:$E$500,MATCH("D6.25b|"&amp;CAPTURA!CF22,CODIFICACION!$F$2:$F$500,0))),"⚠"))</f>
        <v/>
      </c>
      <c r="BB22" t="str">
        <f>IF(CAPTURA!CG22="","",IFERROR(IF(INDEX(CODIFICACION!$E$2:$E$500,MATCH("D6.22c|"&amp;CAPTURA!CG22,CODIFICACION!$F$2:$F$500,0))="sin dato","",INDEX(CODIFICACION!$E$2:$E$500,MATCH("D6.22c|"&amp;CAPTURA!CG22,CODIFICACION!$F$2:$F$500,0))),"⚠"))</f>
        <v/>
      </c>
      <c r="BC22" t="str">
        <f>IF(CAPTURA!CH22="","",IFERROR(IF(INDEX(CODIFICACION!$E$2:$E$500,MATCH("D7.26|"&amp;CAPTURA!CH22,CODIFICACION!$F$2:$F$500,0))="sin dato","",INDEX(CODIFICACION!$E$2:$E$500,MATCH("D7.26|"&amp;CAPTURA!CH22,CODIFICACION!$F$2:$F$500,0))),"⚠"))</f>
        <v/>
      </c>
      <c r="BD22" t="str">
        <f>IF(CAPTURA!CI22="","",IFERROR(IF(INDEX(CODIFICACION!$E$2:$E$500,MATCH("D7.27|"&amp;CAPTURA!CI22,CODIFICACION!$F$2:$F$500,0))="sin dato","",INDEX(CODIFICACION!$E$2:$E$500,MATCH("D7.27|"&amp;CAPTURA!CI22,CODIFICACION!$F$2:$F$500,0))),"⚠"))</f>
        <v/>
      </c>
      <c r="BE22" t="str">
        <f>IF(CAPTURA!CJ22="","",IFERROR(IF(INDEX(CODIFICACION!$E$2:$E$500,MATCH("D7.28|"&amp;CAPTURA!CJ22,CODIFICACION!$F$2:$F$500,0))="sin dato","",INDEX(CODIFICACION!$E$2:$E$500,MATCH("D7.28|"&amp;CAPTURA!CJ22,CODIFICACION!$F$2:$F$500,0))),"⚠"))</f>
        <v/>
      </c>
      <c r="BF22" t="str">
        <f>IF(CAPTURA!CK22="","",IFERROR(IF(INDEX(CODIFICACION!$E$2:$E$500,MATCH("D7.28b|"&amp;CAPTURA!CK22,CODIFICACION!$F$2:$F$500,0))="sin dato","",INDEX(CODIFICACION!$E$2:$E$500,MATCH("D7.28b|"&amp;CAPTURA!CK22,CODIFICACION!$F$2:$F$500,0))),"⚠"))</f>
        <v/>
      </c>
      <c r="BG22" t="str">
        <f>IF(CAPTURA!CL22="","",MIN(100,ROUND((LEN(CAPTURA!CL22)-LEN(SUBSTITUTE(CAPTURA!CL22,";",""))+1)/8*100,1)))</f>
        <v/>
      </c>
      <c r="BH22" t="str">
        <f>IF(CAPTURA!CM22="","",IFERROR(IF(INDEX(CODIFICACION!$E$2:$E$500,MATCH("D7.26a|"&amp;CAPTURA!CM22,CODIFICACION!$F$2:$F$500,0))="sin dato","",INDEX(CODIFICACION!$E$2:$E$500,MATCH("D7.26a|"&amp;CAPTURA!CM22,CODIFICACION!$F$2:$F$500,0))),"⚠"))</f>
        <v/>
      </c>
      <c r="BI22" t="str">
        <f>IF(CAPTURA!CN22="","",IFERROR(IF(INDEX(CODIFICACION!$E$2:$E$500,MATCH("D7.26b|"&amp;CAPTURA!CN22,CODIFICACION!$F$2:$F$500,0))="sin dato","",INDEX(CODIFICACION!$E$2:$E$500,MATCH("D7.26b|"&amp;CAPTURA!CN22,CODIFICACION!$F$2:$F$500,0))),"⚠"))</f>
        <v/>
      </c>
      <c r="BJ22" t="str">
        <f>IF(CAPTURA!CO22="","",IF(AND(ISNUMBER(CAPTURA!CO22),CAPTURA!CO22&gt;=0,CAPTURA!CO22&lt;=4),CAPTURA!CO22*25,"⚠"))</f>
        <v/>
      </c>
      <c r="BK22" t="str">
        <f>IF(CAPTURA!CP22="","",IF(ISNUMBER(CAPTURA!CP22),MAX(0,MIN(100,CAPTURA!CP22)),"⚠"))</f>
        <v/>
      </c>
      <c r="BL22" t="str">
        <f>IF(CAPTURA!CQ22="","",IFERROR(IF(INDEX(CODIFICACION!$E$2:$E$500,MATCH("D8.31|"&amp;CAPTURA!CQ22,CODIFICACION!$F$2:$F$500,0))="sin dato","",INDEX(CODIFICACION!$E$2:$E$500,MATCH("D8.31|"&amp;CAPTURA!CQ22,CODIFICACION!$F$2:$F$500,0))),"⚠"))</f>
        <v/>
      </c>
      <c r="BM22" t="str">
        <f>IF(CAPTURA!CR22="","",IFERROR(IF(INDEX(CODIFICACION!$E$2:$E$500,MATCH("D8.32|"&amp;CAPTURA!CR22,CODIFICACION!$F$2:$F$500,0))="sin dato","",INDEX(CODIFICACION!$E$2:$E$500,MATCH("D8.32|"&amp;CAPTURA!CR22,CODIFICACION!$F$2:$F$500,0))),"⚠"))</f>
        <v/>
      </c>
      <c r="BN22" t="str">
        <f>IF(CAPTURA!CS22="","",IFERROR(IF(INDEX(CODIFICACION!$E$2:$E$500,MATCH("D9.33|"&amp;CAPTURA!CS22,CODIFICACION!$F$2:$F$500,0))="sin dato","",INDEX(CODIFICACION!$E$2:$E$500,MATCH("D9.33|"&amp;CAPTURA!CS22,CODIFICACION!$F$2:$F$500,0))),"⚠"))</f>
        <v/>
      </c>
      <c r="BO22" t="str">
        <f>IF(CAPTURA!CT22="","",IFERROR(IF(INDEX(CODIFICACION!$E$2:$E$500,MATCH("D9.34|"&amp;CAPTURA!CT22,CODIFICACION!$F$2:$F$500,0))="sin dato","",INDEX(CODIFICACION!$E$2:$E$500,MATCH("D9.34|"&amp;CAPTURA!CT22,CODIFICACION!$F$2:$F$500,0))),"⚠"))</f>
        <v/>
      </c>
      <c r="BP22" t="str">
        <f>IF(CAPTURA!CU22="","",IFERROR(IF(INDEX(CODIFICACION!$E$2:$E$500,MATCH("D9.35|"&amp;CAPTURA!CU22,CODIFICACION!$F$2:$F$500,0))="sin dato","",INDEX(CODIFICACION!$E$2:$E$500,MATCH("D9.35|"&amp;CAPTURA!CU22,CODIFICACION!$F$2:$F$500,0))),"⚠"))</f>
        <v/>
      </c>
      <c r="BQ22" t="str">
        <f>IF(CAPTURA!CV22="","",IFERROR(IF(INDEX(CODIFICACION!$E$2:$E$500,MATCH("D10.36|"&amp;CAPTURA!CV22,CODIFICACION!$F$2:$F$500,0))="sin dato","",INDEX(CODIFICACION!$E$2:$E$500,MATCH("D10.36|"&amp;CAPTURA!CV22,CODIFICACION!$F$2:$F$500,0))),"⚠"))</f>
        <v/>
      </c>
      <c r="BR22" t="str">
        <f>IF(CAPTURA!CW22="","",IFERROR(IF(INDEX(CODIFICACION!$E$2:$E$500,MATCH("D10.37|"&amp;CAPTURA!CW22,CODIFICACION!$F$2:$F$500,0))="sin dato","",INDEX(CODIFICACION!$E$2:$E$500,MATCH("D10.37|"&amp;CAPTURA!CW22,CODIFICACION!$F$2:$F$500,0))),"⚠"))</f>
        <v/>
      </c>
      <c r="BS22" t="str">
        <f>IF(CAPTURA!CX22="","",IFERROR(IF(INDEX(CODIFICACION!$E$2:$E$500,MATCH("D10.36a|"&amp;CAPTURA!CX22,CODIFICACION!$F$2:$F$500,0))="sin dato","",INDEX(CODIFICACION!$E$2:$E$500,MATCH("D10.36a|"&amp;CAPTURA!CX22,CODIFICACION!$F$2:$F$500,0))),"⚠"))</f>
        <v/>
      </c>
      <c r="BT22" t="str">
        <f>IF(CAPTURA!CY22="","",IF(ISNUMBER(SEARCH("Ninguno",CAPTURA!CY22)),0,MIN(100,ROUND((LEN(CAPTURA!CY22)-LEN(SUBSTITUTE(CAPTURA!CY22,";",""))+1)/6*100,1))))</f>
        <v/>
      </c>
      <c r="BU22" t="str">
        <f>IF(CAPTURA!DA22="","",IFERROR(IF(INDEX(CODIFICACION!$E$2:$E$500,MATCH("D11.39a|"&amp;CAPTURA!DA22,CODIFICACION!$F$2:$F$500,0))="sin dato","",INDEX(CODIFICACION!$E$2:$E$500,MATCH("D11.39a|"&amp;CAPTURA!DA22,CODIFICACION!$F$2:$F$500,0))),"⚠"))</f>
        <v/>
      </c>
      <c r="BV22" t="str">
        <f>IF(CAPTURA!DB22="","",IFERROR(IF(INDEX(CODIFICACION!$E$2:$E$500,MATCH("D12.42|"&amp;CAPTURA!DB22,CODIFICACION!$F$2:$F$500,0))="sin dato","",INDEX(CODIFICACION!$E$2:$E$500,MATCH("D12.42|"&amp;CAPTURA!DB22,CODIFICACION!$F$2:$F$500,0))),"⚠"))</f>
        <v/>
      </c>
      <c r="BW22" t="str">
        <f>IF(CAPTURA!DC22="","",IFERROR(IF(INDEX(CODIFICACION!$E$2:$E$500,MATCH("D13.45|"&amp;CAPTURA!DC22,CODIFICACION!$F$2:$F$500,0))="sin dato","",INDEX(CODIFICACION!$E$2:$E$500,MATCH("D13.45|"&amp;CAPTURA!DC22,CODIFICACION!$F$2:$F$500,0))),"⚠"))</f>
        <v/>
      </c>
      <c r="BX22" t="str">
        <f>IF(CAPTURA!DD22="","",IFERROR(IF(INDEX(CODIFICACION!$E$2:$E$500,MATCH("D14.51|"&amp;CAPTURA!DD22,CODIFICACION!$F$2:$F$500,0))="sin dato","",INDEX(CODIFICACION!$E$2:$E$500,MATCH("D14.51|"&amp;CAPTURA!DD22,CODIFICACION!$F$2:$F$500,0))),"⚠"))</f>
        <v/>
      </c>
      <c r="BY22" t="str">
        <f>IF(CAPTURA!DE22="","",IFERROR(IF(INDEX(CODIFICACION!$E$2:$E$500,MATCH("D15.58|"&amp;CAPTURA!DE22,CODIFICACION!$F$2:$F$500,0))="sin dato","",INDEX(CODIFICACION!$E$2:$E$500,MATCH("D15.58|"&amp;CAPTURA!DE22,CODIFICACION!$F$2:$F$500,0))),"⚠"))</f>
        <v/>
      </c>
      <c r="BZ22" t="str">
        <f>IF(CAPTURA!DF22="","",IFERROR(IF(INDEX(CODIFICACION!$E$2:$E$500,MATCH("PP1|"&amp;CAPTURA!DF22,CODIFICACION!$F$2:$F$500,0))="sin dato","",INDEX(CODIFICACION!$E$2:$E$500,MATCH("PP1|"&amp;CAPTURA!DF22,CODIFICACION!$F$2:$F$500,0))),"⚠"))</f>
        <v/>
      </c>
      <c r="CA22" t="str">
        <f>IF(CAPTURA!DG22="","",IFERROR(IF(INDEX(CODIFICACION!$E$2:$E$500,MATCH("PP2|"&amp;CAPTURA!DG22,CODIFICACION!$F$2:$F$500,0))="sin dato","",INDEX(CODIFICACION!$E$2:$E$500,MATCH("PP2|"&amp;CAPTURA!DG22,CODIFICACION!$F$2:$F$500,0))),"⚠"))</f>
        <v/>
      </c>
      <c r="CB22" t="str">
        <f t="shared" si="0"/>
        <v/>
      </c>
      <c r="CC22" t="str">
        <f t="shared" si="1"/>
        <v/>
      </c>
      <c r="CD22" t="str">
        <f t="shared" si="2"/>
        <v/>
      </c>
      <c r="CE22" t="str">
        <f t="shared" si="3"/>
        <v/>
      </c>
      <c r="CF22" t="str">
        <f t="shared" si="4"/>
        <v/>
      </c>
      <c r="CG22" t="str">
        <f t="shared" si="5"/>
        <v/>
      </c>
      <c r="CH22" t="str">
        <f t="shared" si="6"/>
        <v/>
      </c>
      <c r="CI22" t="str">
        <f t="shared" si="7"/>
        <v/>
      </c>
      <c r="CJ22" t="str">
        <f t="shared" si="8"/>
        <v/>
      </c>
      <c r="CK22" t="str">
        <f t="shared" si="9"/>
        <v/>
      </c>
      <c r="CL22" t="str">
        <f t="shared" si="10"/>
        <v/>
      </c>
    </row>
    <row r="23" spans="1:90" x14ac:dyDescent="0.3">
      <c r="A23">
        <f>CAPTURA!A23</f>
        <v>20393152207</v>
      </c>
      <c r="B23">
        <f>CAPTURA!C23</f>
        <v>0</v>
      </c>
      <c r="C23" t="str">
        <f>IF(CAPTURA!M23="","",ROUND((ISNUMBER(SEARCH("Alemania",CAPTURA!M23))+ISNUMBER(SEARCH("Bélgica",CAPTURA!M23))+ISNUMBER(SEARCH("Países Bajos",CAPTURA!M23))+ISNUMBER(SEARCH("Francia",CAPTURA!M23))+ISNUMBER(SEARCH("Italia",CAPTURA!M23))+ISNUMBER(SEARCH("España",CAPTURA!M23))+ISNUMBER(SEARCH("Suecia",CAPTURA!M23))+ISNUMBER(SEARCH("Dinamarca",CAPTURA!M23)))/((LEN(CAPTURA!M23)-LEN(SUBSTITUTE(CAPTURA!M23,";","")))+1)*100,1))</f>
        <v/>
      </c>
      <c r="D23" t="str">
        <f>IF(CAPTURA!AE23="","",IFERROR(IF(INDEX(CODIFICACION!$E$2:$E$500,MATCH("P8|"&amp;CAPTURA!AE23,CODIFICACION!$F$2:$F$500,0))="sin dato","",INDEX(CODIFICACION!$E$2:$E$500,MATCH("P8|"&amp;CAPTURA!AE23,CODIFICACION!$F$2:$F$500,0))),"⚠"))</f>
        <v/>
      </c>
      <c r="E23" t="str">
        <f>IF(CAPTURA!AG23="","",IFERROR(IF(INDEX(CODIFICACION!$E$2:$E$500,MATCH("P10|"&amp;CAPTURA!AG23,CODIFICACION!$F$2:$F$500,0))="sin dato","",INDEX(CODIFICACION!$E$2:$E$500,MATCH("P10|"&amp;CAPTURA!AG23,CODIFICACION!$F$2:$F$500,0))),"⚠"))</f>
        <v/>
      </c>
      <c r="F23" t="str">
        <f>IF(CAPTURA!AJ23="","",IFERROR(IF(INDEX(CODIFICACION!$E$2:$E$500,MATCH("P13|"&amp;CAPTURA!AJ23,CODIFICACION!$F$2:$F$500,0))="sin dato","",INDEX(CODIFICACION!$E$2:$E$500,MATCH("P13|"&amp;CAPTURA!AJ23,CODIFICACION!$F$2:$F$500,0))),"⚠"))</f>
        <v/>
      </c>
      <c r="G23" t="str">
        <f>IF(CAPTURA!AK23="","",IFERROR(IF(INDEX(CODIFICACION!$E$2:$E$500,MATCH("P14|"&amp;CAPTURA!AK23,CODIFICACION!$F$2:$F$500,0))="sin dato","",INDEX(CODIFICACION!$E$2:$E$500,MATCH("P14|"&amp;CAPTURA!AK23,CODIFICACION!$F$2:$F$500,0))),"⚠"))</f>
        <v/>
      </c>
      <c r="H23" t="str">
        <f>IF(CAPTURA!AL23="","",IFERROR(IF(INDEX(CODIFICACION!$E$2:$E$500,MATCH("D1.1|"&amp;CAPTURA!AL23,CODIFICACION!$F$2:$F$500,0))="sin dato","",INDEX(CODIFICACION!$E$2:$E$500,MATCH("D1.1|"&amp;CAPTURA!AL23,CODIFICACION!$F$2:$F$500,0))),"⚠"))</f>
        <v/>
      </c>
      <c r="I23" t="str">
        <f>IF(CAPTURA!AN23="","",IFERROR(IF(INDEX(CODIFICACION!$E$2:$E$500,MATCH("D1.3|"&amp;CAPTURA!AN23,CODIFICACION!$F$2:$F$500,0))="sin dato","",INDEX(CODIFICACION!$E$2:$E$500,MATCH("D1.3|"&amp;CAPTURA!AN23,CODIFICACION!$F$2:$F$500,0))),"⚠"))</f>
        <v/>
      </c>
      <c r="J23" t="str">
        <f>IF(CAPTURA!AO23="","",IFERROR(IF(INDEX(CODIFICACION!$E$2:$E$500,MATCH("D1.4|"&amp;CAPTURA!AO23,CODIFICACION!$F$2:$F$500,0))="sin dato","",INDEX(CODIFICACION!$E$2:$E$500,MATCH("D1.4|"&amp;CAPTURA!AO23,CODIFICACION!$F$2:$F$500,0))),"⚠"))</f>
        <v/>
      </c>
      <c r="K23" t="str">
        <f>IF(CAPTURA!AP23="","",IFERROR(IF(INDEX(CODIFICACION!$E$2:$E$500,MATCH("D1.3a|"&amp;CAPTURA!AP23,CODIFICACION!$F$2:$F$500,0))="sin dato","",INDEX(CODIFICACION!$E$2:$E$500,MATCH("D1.3a|"&amp;CAPTURA!AP23,CODIFICACION!$F$2:$F$500,0))),"⚠"))</f>
        <v/>
      </c>
      <c r="L23" t="str">
        <f>IF(CAPTURA!AQ23="","",IF(AND(ISNUMBER(CAPTURA!AQ23),CAPTURA!AQ23&gt;=0,CAPTURA!AQ23&lt;=4),CAPTURA!AQ23*25,"⚠"))</f>
        <v/>
      </c>
      <c r="M23" t="str">
        <f>IF(CAPTURA!AR23="","",IF(ISNUMBER(CAPTURA!AR23),MAX(0,MIN(100,CAPTURA!AR23)),"⚠"))</f>
        <v/>
      </c>
      <c r="N23" t="str">
        <f>IF(CAPTURA!AS23="","",IF(AND(ISNUMBER(CAPTURA!AS23),CAPTURA!AS23&gt;=0,CAPTURA!AS23&lt;=4),CAPTURA!AS23*25,"⚠"))</f>
        <v/>
      </c>
      <c r="O23" t="str">
        <f>IF(CAPTURA!AT23="","",IFERROR(IF(INDEX(CODIFICACION!$E$2:$E$500,MATCH("D2.8|"&amp;CAPTURA!AT23,CODIFICACION!$F$2:$F$500,0))="sin dato","",INDEX(CODIFICACION!$E$2:$E$500,MATCH("D2.8|"&amp;CAPTURA!AT23,CODIFICACION!$F$2:$F$500,0))),"⚠"))</f>
        <v/>
      </c>
      <c r="P23" t="str">
        <f>IF(CAPTURA!AU23="","",IFERROR(IF(INDEX(CODIFICACION!$E$2:$E$500,MATCH("D2.9|"&amp;CAPTURA!AU23,CODIFICACION!$F$2:$F$500,0))="sin dato","",INDEX(CODIFICACION!$E$2:$E$500,MATCH("D2.9|"&amp;CAPTURA!AU23,CODIFICACION!$F$2:$F$500,0))),"⚠"))</f>
        <v/>
      </c>
      <c r="Q23" t="str">
        <f>IF(CAPTURA!AV23="","",IFERROR(IF(INDEX(CODIFICACION!$E$2:$E$500,MATCH("D2.10|"&amp;CAPTURA!AV23,CODIFICACION!$F$2:$F$500,0))="sin dato","",INDEX(CODIFICACION!$E$2:$E$500,MATCH("D2.10|"&amp;CAPTURA!AV23,CODIFICACION!$F$2:$F$500,0))),"⚠"))</f>
        <v/>
      </c>
      <c r="R23" t="str">
        <f>IF(CAPTURA!AW23="","",IFERROR(IF(INDEX(CODIFICACION!$E$2:$E$500,MATCH("D2.5a|"&amp;CAPTURA!AW23,CODIFICACION!$F$2:$F$500,0))="sin dato","",INDEX(CODIFICACION!$E$2:$E$500,MATCH("D2.5a|"&amp;CAPTURA!AW23,CODIFICACION!$F$2:$F$500,0))),"⚠"))</f>
        <v/>
      </c>
      <c r="S23" t="str">
        <f>IF(CAPTURA!AX23="","",IFERROR(IF(INDEX(CODIFICACION!$E$2:$E$500,MATCH("D2.5b|"&amp;CAPTURA!AX23,CODIFICACION!$F$2:$F$500,0))="sin dato","",INDEX(CODIFICACION!$E$2:$E$500,MATCH("D2.5b|"&amp;CAPTURA!AX23,CODIFICACION!$F$2:$F$500,0))),"⚠"))</f>
        <v/>
      </c>
      <c r="T23" t="str">
        <f>IF(CAPTURA!AY23="","",IF(ISNUMBER(CAPTURA!AY23),MAX(0,MIN(100,CAPTURA!AY23)),"⚠"))</f>
        <v/>
      </c>
      <c r="U23" t="str">
        <f>IF(CAPTURA!AZ23="","",IFERROR(IF(INDEX(CODIFICACION!$E$2:$E$500,MATCH("D3.12|"&amp;CAPTURA!AZ23,CODIFICACION!$F$2:$F$500,0))="sin dato","",INDEX(CODIFICACION!$E$2:$E$500,MATCH("D3.12|"&amp;CAPTURA!AZ23,CODIFICACION!$F$2:$F$500,0))),"⚠"))</f>
        <v/>
      </c>
      <c r="V23" t="str">
        <f>IF(CAPTURA!BA23="","",IF(AND(ISNUMBER(CAPTURA!BA23),CAPTURA!BA23&gt;=0,CAPTURA!BA23&lt;=4),CAPTURA!BA23*25,"⚠"))</f>
        <v/>
      </c>
      <c r="W23" t="str">
        <f>IF(CAPTURA!BB23="","",IFERROR(IF(INDEX(CODIFICACION!$E$2:$E$500,MATCH("D3.14|"&amp;CAPTURA!BB23,CODIFICACION!$F$2:$F$500,0))="sin dato","",INDEX(CODIFICACION!$E$2:$E$500,MATCH("D3.14|"&amp;CAPTURA!BB23,CODIFICACION!$F$2:$F$500,0))),"⚠"))</f>
        <v/>
      </c>
      <c r="X23" t="str">
        <f>IF(CAPTURA!BC23="","",IFERROR(IF(INDEX(CODIFICACION!$E$2:$E$500,MATCH("D3.14a|"&amp;CAPTURA!BC23,CODIFICACION!$F$2:$F$500,0))="sin dato","",INDEX(CODIFICACION!$E$2:$E$500,MATCH("D3.14a|"&amp;CAPTURA!BC23,CODIFICACION!$F$2:$F$500,0))),"⚠"))</f>
        <v/>
      </c>
      <c r="Y23" t="str">
        <f>IF(CAPTURA!BD23="","",IFERROR(IF(INDEX(CODIFICACION!$E$2:$E$500,MATCH("D3.14b|"&amp;CAPTURA!BD23,CODIFICACION!$F$2:$F$500,0))="sin dato","",INDEX(CODIFICACION!$E$2:$E$500,MATCH("D3.14b|"&amp;CAPTURA!BD23,CODIFICACION!$F$2:$F$500,0))),"⚠"))</f>
        <v/>
      </c>
      <c r="Z23" t="str">
        <f>IF(CAPTURA!BE23="","",IFERROR(IF(INDEX(CODIFICACION!$E$2:$E$500,MATCH("D3.14c|"&amp;CAPTURA!BE23,CODIFICACION!$F$2:$F$500,0))="sin dato","",INDEX(CODIFICACION!$E$2:$E$500,MATCH("D3.14c|"&amp;CAPTURA!BE23,CODIFICACION!$F$2:$F$500,0))),"⚠"))</f>
        <v/>
      </c>
      <c r="AA23" t="str">
        <f>IF(CAPTURA!BF23="","",IFERROR(IF(INDEX(CODIFICACION!$E$2:$E$500,MATCH("D3.14d|"&amp;CAPTURA!BF23,CODIFICACION!$F$2:$F$500,0))="sin dato","",INDEX(CODIFICACION!$E$2:$E$500,MATCH("D3.14d|"&amp;CAPTURA!BF23,CODIFICACION!$F$2:$F$500,0))),"⚠"))</f>
        <v/>
      </c>
      <c r="AB23" t="str">
        <f>IF(CAPTURA!BG23="","",IFERROR(IF(INDEX(CODIFICACION!$E$2:$E$500,MATCH("D3.14e|"&amp;CAPTURA!BG23,CODIFICACION!$F$2:$F$500,0))="sin dato","",INDEX(CODIFICACION!$E$2:$E$500,MATCH("D3.14e|"&amp;CAPTURA!BG23,CODIFICACION!$F$2:$F$500,0))),"⚠"))</f>
        <v/>
      </c>
      <c r="AC23" t="str">
        <f>IF(CAPTURA!BH23="","",IFERROR(IF(INDEX(CODIFICACION!$E$2:$E$500,MATCH("D3.14f|"&amp;CAPTURA!BH23,CODIFICACION!$F$2:$F$500,0))="sin dato","",INDEX(CODIFICACION!$E$2:$E$500,MATCH("D3.14f|"&amp;CAPTURA!BH23,CODIFICACION!$F$2:$F$500,0))),"⚠"))</f>
        <v/>
      </c>
      <c r="AD23" t="str">
        <f>IF(CAPTURA!BI23="","",IFERROR(IF(INDEX(CODIFICACION!$E$2:$E$500,MATCH("D3.14g|"&amp;CAPTURA!BI23,CODIFICACION!$F$2:$F$500,0))="sin dato","",INDEX(CODIFICACION!$E$2:$E$500,MATCH("D3.14g|"&amp;CAPTURA!BI23,CODIFICACION!$F$2:$F$500,0))),"⚠"))</f>
        <v/>
      </c>
      <c r="AE23" t="str">
        <f>IF(CAPTURA!BJ23="","",IFERROR(IF(INDEX(CODIFICACION!$E$2:$E$500,MATCH("D3.14h|"&amp;CAPTURA!BJ23,CODIFICACION!$F$2:$F$500,0))="sin dato","",INDEX(CODIFICACION!$E$2:$E$500,MATCH("D3.14h|"&amp;CAPTURA!BJ23,CODIFICACION!$F$2:$F$500,0))),"⚠"))</f>
        <v/>
      </c>
      <c r="AF23" t="str">
        <f>IF(CAPTURA!BK23="","",IFERROR(IF(INDEX(CODIFICACION!$E$2:$E$500,MATCH("D3.14i|"&amp;CAPTURA!BK23,CODIFICACION!$F$2:$F$500,0))="sin dato","",INDEX(CODIFICACION!$E$2:$E$500,MATCH("D3.14i|"&amp;CAPTURA!BK23,CODIFICACION!$F$2:$F$500,0))),"⚠"))</f>
        <v/>
      </c>
      <c r="AG23" t="str">
        <f>IF(CAPTURA!BL23="","",IFERROR(IF(INDEX(CODIFICACION!$E$2:$E$500,MATCH("D4.15|"&amp;CAPTURA!BL23,CODIFICACION!$F$2:$F$500,0))="sin dato","",INDEX(CODIFICACION!$E$2:$E$500,MATCH("D4.15|"&amp;CAPTURA!BL23,CODIFICACION!$F$2:$F$500,0))),"⚠"))</f>
        <v/>
      </c>
      <c r="AH23" t="str">
        <f>IF(CAPTURA!BM23="","",IF(AND(ISNUMBER(CAPTURA!BM23),CAPTURA!BM23&gt;=0,CAPTURA!BM23&lt;=4),CAPTURA!BM23*25,"⚠"))</f>
        <v/>
      </c>
      <c r="AI23" t="str">
        <f>IF(CAPTURA!BN23="","",IFERROR(IF(INDEX(CODIFICACION!$E$2:$E$500,MATCH("D4.17|"&amp;CAPTURA!BN23,CODIFICACION!$F$2:$F$500,0))="sin dato","",INDEX(CODIFICACION!$E$2:$E$500,MATCH("D4.17|"&amp;CAPTURA!BN23,CODIFICACION!$F$2:$F$500,0))),"⚠"))</f>
        <v/>
      </c>
      <c r="AJ23" t="str">
        <f>IF(CAPTURA!BO23="","",IFERROR(IF(INDEX(CODIFICACION!$E$2:$E$500,MATCH("D4.15a|"&amp;CAPTURA!BO23,CODIFICACION!$F$2:$F$500,0))="sin dato","",INDEX(CODIFICACION!$E$2:$E$500,MATCH("D4.15a|"&amp;CAPTURA!BO23,CODIFICACION!$F$2:$F$500,0))),"⚠"))</f>
        <v/>
      </c>
      <c r="AK23" t="str">
        <f>IF(CAPTURA!BP23="","",IF(AND(ISNUMBER(CAPTURA!BP23),CAPTURA!BP23&gt;=0,CAPTURA!BP23&lt;=4),CAPTURA!BP23*25,"⚠"))</f>
        <v/>
      </c>
      <c r="AL23" t="str">
        <f>IF(CAPTURA!BQ23="","",IF(AND(ISNUMBER(CAPTURA!BQ23),CAPTURA!BQ23&gt;=0,CAPTURA!BQ23&lt;=4),CAPTURA!BQ23*25,"⚠"))</f>
        <v/>
      </c>
      <c r="AM23" t="str">
        <f>IF(CAPTURA!BR23="","",IFERROR(IF(INDEX(CODIFICACION!$E$2:$E$500,MATCH("D5.18b|"&amp;CAPTURA!BR23,CODIFICACION!$F$2:$F$500,0))="sin dato","",INDEX(CODIFICACION!$E$2:$E$500,MATCH("D5.18b|"&amp;CAPTURA!BR23,CODIFICACION!$F$2:$F$500,0))),"⚠"))</f>
        <v/>
      </c>
      <c r="AN23" t="str">
        <f>IF(CAPTURA!BS23="","",IFERROR(IF(INDEX(CODIFICACION!$E$2:$E$500,MATCH("D5.19|"&amp;CAPTURA!BS23,CODIFICACION!$F$2:$F$500,0))="sin dato","",INDEX(CODIFICACION!$E$2:$E$500,MATCH("D5.19|"&amp;CAPTURA!BS23,CODIFICACION!$F$2:$F$500,0))),"⚠"))</f>
        <v/>
      </c>
      <c r="AO23" t="str">
        <f>IF(CAPTURA!BT23="","",MIN(100,ROUND((LEN(CAPTURA!BT23)-LEN(SUBSTITUTE(CAPTURA!BT23,";",""))+1)/7*100,1)))</f>
        <v/>
      </c>
      <c r="AP23" t="str">
        <f>IF(CAPTURA!BU23="","",IFERROR(IF(INDEX(CODIFICACION!$E$2:$E$500,MATCH("D5.20|"&amp;CAPTURA!BU23,CODIFICACION!$F$2:$F$500,0))="sin dato","",INDEX(CODIFICACION!$E$2:$E$500,MATCH("D5.20|"&amp;CAPTURA!BU23,CODIFICACION!$F$2:$F$500,0))),"⚠"))</f>
        <v/>
      </c>
      <c r="AQ23" t="str">
        <f>IF(CAPTURA!BV23="","",IFERROR(IF(INDEX(CODIFICACION!$E$2:$E$500,MATCH("D5.21|"&amp;CAPTURA!BV23,CODIFICACION!$F$2:$F$500,0))="sin dato","",INDEX(CODIFICACION!$E$2:$E$500,MATCH("D5.21|"&amp;CAPTURA!BV23,CODIFICACION!$F$2:$F$500,0))),"⚠"))</f>
        <v/>
      </c>
      <c r="AR23" t="str">
        <f>IF(CAPTURA!BW23="","",IFERROR(IF(INDEX(CODIFICACION!$E$2:$E$500,MATCH("D5.21a|"&amp;CAPTURA!BW23,CODIFICACION!$F$2:$F$500,0))="sin dato","",INDEX(CODIFICACION!$E$2:$E$500,MATCH("D5.21a|"&amp;CAPTURA!BW23,CODIFICACION!$F$2:$F$500,0))),"⚠"))</f>
        <v/>
      </c>
      <c r="AS23" t="str">
        <f>IF(CAPTURA!BX23="","",IFERROR(IF(INDEX(CODIFICACION!$E$2:$E$500,MATCH("D5.21b|"&amp;CAPTURA!BX23,CODIFICACION!$F$2:$F$500,0))="sin dato","",INDEX(CODIFICACION!$E$2:$E$500,MATCH("D5.21b|"&amp;CAPTURA!BX23,CODIFICACION!$F$2:$F$500,0))),"⚠"))</f>
        <v/>
      </c>
      <c r="AT23" t="str">
        <f>IF(CAPTURA!BY23="","",IFERROR(IF(INDEX(CODIFICACION!$E$2:$E$500,MATCH("D6.22|"&amp;CAPTURA!BY23,CODIFICACION!$F$2:$F$500,0))="sin dato","",INDEX(CODIFICACION!$E$2:$E$500,MATCH("D6.22|"&amp;CAPTURA!BY23,CODIFICACION!$F$2:$F$500,0))),"⚠"))</f>
        <v/>
      </c>
      <c r="AU23" t="str">
        <f>IF(CAPTURA!BZ23="","",IFERROR(IF(INDEX(CODIFICACION!$E$2:$E$500,MATCH("D6.22a|"&amp;CAPTURA!BZ23,CODIFICACION!$F$2:$F$500,0))="sin dato","",INDEX(CODIFICACION!$E$2:$E$500,MATCH("D6.22a|"&amp;CAPTURA!BZ23,CODIFICACION!$F$2:$F$500,0))),"⚠"))</f>
        <v/>
      </c>
      <c r="AV23" t="str">
        <f>IF(CAPTURA!CA23="","",IFERROR(IF(INDEX(CODIFICACION!$E$2:$E$500,MATCH("D6.22b|"&amp;CAPTURA!CA23,CODIFICACION!$F$2:$F$500,0))="sin dato","",INDEX(CODIFICACION!$E$2:$E$500,MATCH("D6.22b|"&amp;CAPTURA!CA23,CODIFICACION!$F$2:$F$500,0))),"⚠"))</f>
        <v/>
      </c>
      <c r="AW23" t="str">
        <f>IF(CAPTURA!CB23="","",IFERROR(IF(INDEX(CODIFICACION!$E$2:$E$500,MATCH("D6.23|"&amp;CAPTURA!CB23,CODIFICACION!$F$2:$F$500,0))="sin dato","",INDEX(CODIFICACION!$E$2:$E$500,MATCH("D6.23|"&amp;CAPTURA!CB23,CODIFICACION!$F$2:$F$500,0))),"⚠"))</f>
        <v/>
      </c>
      <c r="AX23" t="str">
        <f>IF(CAPTURA!CC23="","",IFERROR(IF(INDEX(CODIFICACION!$E$2:$E$500,MATCH("D6.24|"&amp;CAPTURA!CC23,CODIFICACION!$F$2:$F$500,0))="sin dato","",INDEX(CODIFICACION!$E$2:$E$500,MATCH("D6.24|"&amp;CAPTURA!CC23,CODIFICACION!$F$2:$F$500,0))),"⚠"))</f>
        <v/>
      </c>
      <c r="AY23" t="str">
        <f>IF(CAPTURA!CD23="","",IFERROR(IF(INDEX(CODIFICACION!$E$2:$E$500,MATCH("D6.25|"&amp;CAPTURA!CD23,CODIFICACION!$F$2:$F$500,0))="sin dato","",INDEX(CODIFICACION!$E$2:$E$500,MATCH("D6.25|"&amp;CAPTURA!CD23,CODIFICACION!$F$2:$F$500,0))),"⚠"))</f>
        <v/>
      </c>
      <c r="AZ23" t="str">
        <f>IF(CAPTURA!CE23="","",IFERROR(IF(INDEX(CODIFICACION!$E$2:$E$500,MATCH("D6.25a|"&amp;CAPTURA!CE23,CODIFICACION!$F$2:$F$500,0))="sin dato","",INDEX(CODIFICACION!$E$2:$E$500,MATCH("D6.25a|"&amp;CAPTURA!CE23,CODIFICACION!$F$2:$F$500,0))),"⚠"))</f>
        <v/>
      </c>
      <c r="BA23" t="str">
        <f>IF(CAPTURA!CF23="","",IFERROR(IF(INDEX(CODIFICACION!$E$2:$E$500,MATCH("D6.25b|"&amp;CAPTURA!CF23,CODIFICACION!$F$2:$F$500,0))="sin dato","",INDEX(CODIFICACION!$E$2:$E$500,MATCH("D6.25b|"&amp;CAPTURA!CF23,CODIFICACION!$F$2:$F$500,0))),"⚠"))</f>
        <v/>
      </c>
      <c r="BB23" t="str">
        <f>IF(CAPTURA!CG23="","",IFERROR(IF(INDEX(CODIFICACION!$E$2:$E$500,MATCH("D6.22c|"&amp;CAPTURA!CG23,CODIFICACION!$F$2:$F$500,0))="sin dato","",INDEX(CODIFICACION!$E$2:$E$500,MATCH("D6.22c|"&amp;CAPTURA!CG23,CODIFICACION!$F$2:$F$500,0))),"⚠"))</f>
        <v/>
      </c>
      <c r="BC23" t="str">
        <f>IF(CAPTURA!CH23="","",IFERROR(IF(INDEX(CODIFICACION!$E$2:$E$500,MATCH("D7.26|"&amp;CAPTURA!CH23,CODIFICACION!$F$2:$F$500,0))="sin dato","",INDEX(CODIFICACION!$E$2:$E$500,MATCH("D7.26|"&amp;CAPTURA!CH23,CODIFICACION!$F$2:$F$500,0))),"⚠"))</f>
        <v/>
      </c>
      <c r="BD23" t="str">
        <f>IF(CAPTURA!CI23="","",IFERROR(IF(INDEX(CODIFICACION!$E$2:$E$500,MATCH("D7.27|"&amp;CAPTURA!CI23,CODIFICACION!$F$2:$F$500,0))="sin dato","",INDEX(CODIFICACION!$E$2:$E$500,MATCH("D7.27|"&amp;CAPTURA!CI23,CODIFICACION!$F$2:$F$500,0))),"⚠"))</f>
        <v/>
      </c>
      <c r="BE23" t="str">
        <f>IF(CAPTURA!CJ23="","",IFERROR(IF(INDEX(CODIFICACION!$E$2:$E$500,MATCH("D7.28|"&amp;CAPTURA!CJ23,CODIFICACION!$F$2:$F$500,0))="sin dato","",INDEX(CODIFICACION!$E$2:$E$500,MATCH("D7.28|"&amp;CAPTURA!CJ23,CODIFICACION!$F$2:$F$500,0))),"⚠"))</f>
        <v/>
      </c>
      <c r="BF23" t="str">
        <f>IF(CAPTURA!CK23="","",IFERROR(IF(INDEX(CODIFICACION!$E$2:$E$500,MATCH("D7.28b|"&amp;CAPTURA!CK23,CODIFICACION!$F$2:$F$500,0))="sin dato","",INDEX(CODIFICACION!$E$2:$E$500,MATCH("D7.28b|"&amp;CAPTURA!CK23,CODIFICACION!$F$2:$F$500,0))),"⚠"))</f>
        <v/>
      </c>
      <c r="BG23" t="str">
        <f>IF(CAPTURA!CL23="","",MIN(100,ROUND((LEN(CAPTURA!CL23)-LEN(SUBSTITUTE(CAPTURA!CL23,";",""))+1)/8*100,1)))</f>
        <v/>
      </c>
      <c r="BH23" t="str">
        <f>IF(CAPTURA!CM23="","",IFERROR(IF(INDEX(CODIFICACION!$E$2:$E$500,MATCH("D7.26a|"&amp;CAPTURA!CM23,CODIFICACION!$F$2:$F$500,0))="sin dato","",INDEX(CODIFICACION!$E$2:$E$500,MATCH("D7.26a|"&amp;CAPTURA!CM23,CODIFICACION!$F$2:$F$500,0))),"⚠"))</f>
        <v/>
      </c>
      <c r="BI23" t="str">
        <f>IF(CAPTURA!CN23="","",IFERROR(IF(INDEX(CODIFICACION!$E$2:$E$500,MATCH("D7.26b|"&amp;CAPTURA!CN23,CODIFICACION!$F$2:$F$500,0))="sin dato","",INDEX(CODIFICACION!$E$2:$E$500,MATCH("D7.26b|"&amp;CAPTURA!CN23,CODIFICACION!$F$2:$F$500,0))),"⚠"))</f>
        <v/>
      </c>
      <c r="BJ23" t="str">
        <f>IF(CAPTURA!CO23="","",IF(AND(ISNUMBER(CAPTURA!CO23),CAPTURA!CO23&gt;=0,CAPTURA!CO23&lt;=4),CAPTURA!CO23*25,"⚠"))</f>
        <v/>
      </c>
      <c r="BK23" t="str">
        <f>IF(CAPTURA!CP23="","",IF(ISNUMBER(CAPTURA!CP23),MAX(0,MIN(100,CAPTURA!CP23)),"⚠"))</f>
        <v/>
      </c>
      <c r="BL23" t="str">
        <f>IF(CAPTURA!CQ23="","",IFERROR(IF(INDEX(CODIFICACION!$E$2:$E$500,MATCH("D8.31|"&amp;CAPTURA!CQ23,CODIFICACION!$F$2:$F$500,0))="sin dato","",INDEX(CODIFICACION!$E$2:$E$500,MATCH("D8.31|"&amp;CAPTURA!CQ23,CODIFICACION!$F$2:$F$500,0))),"⚠"))</f>
        <v/>
      </c>
      <c r="BM23" t="str">
        <f>IF(CAPTURA!CR23="","",IFERROR(IF(INDEX(CODIFICACION!$E$2:$E$500,MATCH("D8.32|"&amp;CAPTURA!CR23,CODIFICACION!$F$2:$F$500,0))="sin dato","",INDEX(CODIFICACION!$E$2:$E$500,MATCH("D8.32|"&amp;CAPTURA!CR23,CODIFICACION!$F$2:$F$500,0))),"⚠"))</f>
        <v/>
      </c>
      <c r="BN23" t="str">
        <f>IF(CAPTURA!CS23="","",IFERROR(IF(INDEX(CODIFICACION!$E$2:$E$500,MATCH("D9.33|"&amp;CAPTURA!CS23,CODIFICACION!$F$2:$F$500,0))="sin dato","",INDEX(CODIFICACION!$E$2:$E$500,MATCH("D9.33|"&amp;CAPTURA!CS23,CODIFICACION!$F$2:$F$500,0))),"⚠"))</f>
        <v/>
      </c>
      <c r="BO23" t="str">
        <f>IF(CAPTURA!CT23="","",IFERROR(IF(INDEX(CODIFICACION!$E$2:$E$500,MATCH("D9.34|"&amp;CAPTURA!CT23,CODIFICACION!$F$2:$F$500,0))="sin dato","",INDEX(CODIFICACION!$E$2:$E$500,MATCH("D9.34|"&amp;CAPTURA!CT23,CODIFICACION!$F$2:$F$500,0))),"⚠"))</f>
        <v/>
      </c>
      <c r="BP23" t="str">
        <f>IF(CAPTURA!CU23="","",IFERROR(IF(INDEX(CODIFICACION!$E$2:$E$500,MATCH("D9.35|"&amp;CAPTURA!CU23,CODIFICACION!$F$2:$F$500,0))="sin dato","",INDEX(CODIFICACION!$E$2:$E$500,MATCH("D9.35|"&amp;CAPTURA!CU23,CODIFICACION!$F$2:$F$500,0))),"⚠"))</f>
        <v/>
      </c>
      <c r="BQ23" t="str">
        <f>IF(CAPTURA!CV23="","",IFERROR(IF(INDEX(CODIFICACION!$E$2:$E$500,MATCH("D10.36|"&amp;CAPTURA!CV23,CODIFICACION!$F$2:$F$500,0))="sin dato","",INDEX(CODIFICACION!$E$2:$E$500,MATCH("D10.36|"&amp;CAPTURA!CV23,CODIFICACION!$F$2:$F$500,0))),"⚠"))</f>
        <v/>
      </c>
      <c r="BR23" t="str">
        <f>IF(CAPTURA!CW23="","",IFERROR(IF(INDEX(CODIFICACION!$E$2:$E$500,MATCH("D10.37|"&amp;CAPTURA!CW23,CODIFICACION!$F$2:$F$500,0))="sin dato","",INDEX(CODIFICACION!$E$2:$E$500,MATCH("D10.37|"&amp;CAPTURA!CW23,CODIFICACION!$F$2:$F$500,0))),"⚠"))</f>
        <v/>
      </c>
      <c r="BS23" t="str">
        <f>IF(CAPTURA!CX23="","",IFERROR(IF(INDEX(CODIFICACION!$E$2:$E$500,MATCH("D10.36a|"&amp;CAPTURA!CX23,CODIFICACION!$F$2:$F$500,0))="sin dato","",INDEX(CODIFICACION!$E$2:$E$500,MATCH("D10.36a|"&amp;CAPTURA!CX23,CODIFICACION!$F$2:$F$500,0))),"⚠"))</f>
        <v/>
      </c>
      <c r="BT23" t="str">
        <f>IF(CAPTURA!CY23="","",IF(ISNUMBER(SEARCH("Ninguno",CAPTURA!CY23)),0,MIN(100,ROUND((LEN(CAPTURA!CY23)-LEN(SUBSTITUTE(CAPTURA!CY23,";",""))+1)/6*100,1))))</f>
        <v/>
      </c>
      <c r="BU23" t="str">
        <f>IF(CAPTURA!DA23="","",IFERROR(IF(INDEX(CODIFICACION!$E$2:$E$500,MATCH("D11.39a|"&amp;CAPTURA!DA23,CODIFICACION!$F$2:$F$500,0))="sin dato","",INDEX(CODIFICACION!$E$2:$E$500,MATCH("D11.39a|"&amp;CAPTURA!DA23,CODIFICACION!$F$2:$F$500,0))),"⚠"))</f>
        <v/>
      </c>
      <c r="BV23" t="str">
        <f>IF(CAPTURA!DB23="","",IFERROR(IF(INDEX(CODIFICACION!$E$2:$E$500,MATCH("D12.42|"&amp;CAPTURA!DB23,CODIFICACION!$F$2:$F$500,0))="sin dato","",INDEX(CODIFICACION!$E$2:$E$500,MATCH("D12.42|"&amp;CAPTURA!DB23,CODIFICACION!$F$2:$F$500,0))),"⚠"))</f>
        <v/>
      </c>
      <c r="BW23" t="str">
        <f>IF(CAPTURA!DC23="","",IFERROR(IF(INDEX(CODIFICACION!$E$2:$E$500,MATCH("D13.45|"&amp;CAPTURA!DC23,CODIFICACION!$F$2:$F$500,0))="sin dato","",INDEX(CODIFICACION!$E$2:$E$500,MATCH("D13.45|"&amp;CAPTURA!DC23,CODIFICACION!$F$2:$F$500,0))),"⚠"))</f>
        <v/>
      </c>
      <c r="BX23" t="str">
        <f>IF(CAPTURA!DD23="","",IFERROR(IF(INDEX(CODIFICACION!$E$2:$E$500,MATCH("D14.51|"&amp;CAPTURA!DD23,CODIFICACION!$F$2:$F$500,0))="sin dato","",INDEX(CODIFICACION!$E$2:$E$500,MATCH("D14.51|"&amp;CAPTURA!DD23,CODIFICACION!$F$2:$F$500,0))),"⚠"))</f>
        <v/>
      </c>
      <c r="BY23" t="str">
        <f>IF(CAPTURA!DE23="","",IFERROR(IF(INDEX(CODIFICACION!$E$2:$E$500,MATCH("D15.58|"&amp;CAPTURA!DE23,CODIFICACION!$F$2:$F$500,0))="sin dato","",INDEX(CODIFICACION!$E$2:$E$500,MATCH("D15.58|"&amp;CAPTURA!DE23,CODIFICACION!$F$2:$F$500,0))),"⚠"))</f>
        <v/>
      </c>
      <c r="BZ23" t="str">
        <f>IF(CAPTURA!DF23="","",IFERROR(IF(INDEX(CODIFICACION!$E$2:$E$500,MATCH("PP1|"&amp;CAPTURA!DF23,CODIFICACION!$F$2:$F$500,0))="sin dato","",INDEX(CODIFICACION!$E$2:$E$500,MATCH("PP1|"&amp;CAPTURA!DF23,CODIFICACION!$F$2:$F$500,0))),"⚠"))</f>
        <v/>
      </c>
      <c r="CA23" t="str">
        <f>IF(CAPTURA!DG23="","",IFERROR(IF(INDEX(CODIFICACION!$E$2:$E$500,MATCH("PP2|"&amp;CAPTURA!DG23,CODIFICACION!$F$2:$F$500,0))="sin dato","",INDEX(CODIFICACION!$E$2:$E$500,MATCH("PP2|"&amp;CAPTURA!DG23,CODIFICACION!$F$2:$F$500,0))),"⚠"))</f>
        <v/>
      </c>
      <c r="CB23" t="str">
        <f t="shared" si="0"/>
        <v/>
      </c>
      <c r="CC23" t="str">
        <f t="shared" si="1"/>
        <v/>
      </c>
      <c r="CD23" t="str">
        <f t="shared" si="2"/>
        <v/>
      </c>
      <c r="CE23" t="str">
        <f t="shared" si="3"/>
        <v/>
      </c>
      <c r="CF23" t="str">
        <f t="shared" si="4"/>
        <v/>
      </c>
      <c r="CG23" t="str">
        <f t="shared" si="5"/>
        <v/>
      </c>
      <c r="CH23" t="str">
        <f t="shared" si="6"/>
        <v/>
      </c>
      <c r="CI23" t="str">
        <f t="shared" si="7"/>
        <v/>
      </c>
      <c r="CJ23" t="str">
        <f t="shared" si="8"/>
        <v/>
      </c>
      <c r="CK23" t="str">
        <f t="shared" si="9"/>
        <v/>
      </c>
      <c r="CL23" t="str">
        <f t="shared" si="10"/>
        <v/>
      </c>
    </row>
    <row r="24" spans="1:90" x14ac:dyDescent="0.3">
      <c r="A24">
        <f>CAPTURA!A24</f>
        <v>20393593670</v>
      </c>
      <c r="B24">
        <f>CAPTURA!C24</f>
        <v>0</v>
      </c>
      <c r="C24" t="str">
        <f>IF(CAPTURA!M24="","",ROUND((ISNUMBER(SEARCH("Alemania",CAPTURA!M24))+ISNUMBER(SEARCH("Bélgica",CAPTURA!M24))+ISNUMBER(SEARCH("Países Bajos",CAPTURA!M24))+ISNUMBER(SEARCH("Francia",CAPTURA!M24))+ISNUMBER(SEARCH("Italia",CAPTURA!M24))+ISNUMBER(SEARCH("España",CAPTURA!M24))+ISNUMBER(SEARCH("Suecia",CAPTURA!M24))+ISNUMBER(SEARCH("Dinamarca",CAPTURA!M24)))/((LEN(CAPTURA!M24)-LEN(SUBSTITUTE(CAPTURA!M24,";","")))+1)*100,1))</f>
        <v/>
      </c>
      <c r="D24" t="str">
        <f>IF(CAPTURA!AE24="","",IFERROR(IF(INDEX(CODIFICACION!$E$2:$E$500,MATCH("P8|"&amp;CAPTURA!AE24,CODIFICACION!$F$2:$F$500,0))="sin dato","",INDEX(CODIFICACION!$E$2:$E$500,MATCH("P8|"&amp;CAPTURA!AE24,CODIFICACION!$F$2:$F$500,0))),"⚠"))</f>
        <v/>
      </c>
      <c r="E24" t="str">
        <f>IF(CAPTURA!AG24="","",IFERROR(IF(INDEX(CODIFICACION!$E$2:$E$500,MATCH("P10|"&amp;CAPTURA!AG24,CODIFICACION!$F$2:$F$500,0))="sin dato","",INDEX(CODIFICACION!$E$2:$E$500,MATCH("P10|"&amp;CAPTURA!AG24,CODIFICACION!$F$2:$F$500,0))),"⚠"))</f>
        <v/>
      </c>
      <c r="F24" t="str">
        <f>IF(CAPTURA!AJ24="","",IFERROR(IF(INDEX(CODIFICACION!$E$2:$E$500,MATCH("P13|"&amp;CAPTURA!AJ24,CODIFICACION!$F$2:$F$500,0))="sin dato","",INDEX(CODIFICACION!$E$2:$E$500,MATCH("P13|"&amp;CAPTURA!AJ24,CODIFICACION!$F$2:$F$500,0))),"⚠"))</f>
        <v/>
      </c>
      <c r="G24" t="str">
        <f>IF(CAPTURA!AK24="","",IFERROR(IF(INDEX(CODIFICACION!$E$2:$E$500,MATCH("P14|"&amp;CAPTURA!AK24,CODIFICACION!$F$2:$F$500,0))="sin dato","",INDEX(CODIFICACION!$E$2:$E$500,MATCH("P14|"&amp;CAPTURA!AK24,CODIFICACION!$F$2:$F$500,0))),"⚠"))</f>
        <v/>
      </c>
      <c r="H24" t="str">
        <f>IF(CAPTURA!AL24="","",IFERROR(IF(INDEX(CODIFICACION!$E$2:$E$500,MATCH("D1.1|"&amp;CAPTURA!AL24,CODIFICACION!$F$2:$F$500,0))="sin dato","",INDEX(CODIFICACION!$E$2:$E$500,MATCH("D1.1|"&amp;CAPTURA!AL24,CODIFICACION!$F$2:$F$500,0))),"⚠"))</f>
        <v/>
      </c>
      <c r="I24" t="str">
        <f>IF(CAPTURA!AN24="","",IFERROR(IF(INDEX(CODIFICACION!$E$2:$E$500,MATCH("D1.3|"&amp;CAPTURA!AN24,CODIFICACION!$F$2:$F$500,0))="sin dato","",INDEX(CODIFICACION!$E$2:$E$500,MATCH("D1.3|"&amp;CAPTURA!AN24,CODIFICACION!$F$2:$F$500,0))),"⚠"))</f>
        <v/>
      </c>
      <c r="J24" t="str">
        <f>IF(CAPTURA!AO24="","",IFERROR(IF(INDEX(CODIFICACION!$E$2:$E$500,MATCH("D1.4|"&amp;CAPTURA!AO24,CODIFICACION!$F$2:$F$500,0))="sin dato","",INDEX(CODIFICACION!$E$2:$E$500,MATCH("D1.4|"&amp;CAPTURA!AO24,CODIFICACION!$F$2:$F$500,0))),"⚠"))</f>
        <v/>
      </c>
      <c r="K24" t="str">
        <f>IF(CAPTURA!AP24="","",IFERROR(IF(INDEX(CODIFICACION!$E$2:$E$500,MATCH("D1.3a|"&amp;CAPTURA!AP24,CODIFICACION!$F$2:$F$500,0))="sin dato","",INDEX(CODIFICACION!$E$2:$E$500,MATCH("D1.3a|"&amp;CAPTURA!AP24,CODIFICACION!$F$2:$F$500,0))),"⚠"))</f>
        <v/>
      </c>
      <c r="L24" t="str">
        <f>IF(CAPTURA!AQ24="","",IF(AND(ISNUMBER(CAPTURA!AQ24),CAPTURA!AQ24&gt;=0,CAPTURA!AQ24&lt;=4),CAPTURA!AQ24*25,"⚠"))</f>
        <v/>
      </c>
      <c r="M24" t="str">
        <f>IF(CAPTURA!AR24="","",IF(ISNUMBER(CAPTURA!AR24),MAX(0,MIN(100,CAPTURA!AR24)),"⚠"))</f>
        <v/>
      </c>
      <c r="N24" t="str">
        <f>IF(CAPTURA!AS24="","",IF(AND(ISNUMBER(CAPTURA!AS24),CAPTURA!AS24&gt;=0,CAPTURA!AS24&lt;=4),CAPTURA!AS24*25,"⚠"))</f>
        <v/>
      </c>
      <c r="O24" t="str">
        <f>IF(CAPTURA!AT24="","",IFERROR(IF(INDEX(CODIFICACION!$E$2:$E$500,MATCH("D2.8|"&amp;CAPTURA!AT24,CODIFICACION!$F$2:$F$500,0))="sin dato","",INDEX(CODIFICACION!$E$2:$E$500,MATCH("D2.8|"&amp;CAPTURA!AT24,CODIFICACION!$F$2:$F$500,0))),"⚠"))</f>
        <v/>
      </c>
      <c r="P24" t="str">
        <f>IF(CAPTURA!AU24="","",IFERROR(IF(INDEX(CODIFICACION!$E$2:$E$500,MATCH("D2.9|"&amp;CAPTURA!AU24,CODIFICACION!$F$2:$F$500,0))="sin dato","",INDEX(CODIFICACION!$E$2:$E$500,MATCH("D2.9|"&amp;CAPTURA!AU24,CODIFICACION!$F$2:$F$500,0))),"⚠"))</f>
        <v/>
      </c>
      <c r="Q24" t="str">
        <f>IF(CAPTURA!AV24="","",IFERROR(IF(INDEX(CODIFICACION!$E$2:$E$500,MATCH("D2.10|"&amp;CAPTURA!AV24,CODIFICACION!$F$2:$F$500,0))="sin dato","",INDEX(CODIFICACION!$E$2:$E$500,MATCH("D2.10|"&amp;CAPTURA!AV24,CODIFICACION!$F$2:$F$500,0))),"⚠"))</f>
        <v/>
      </c>
      <c r="R24" t="str">
        <f>IF(CAPTURA!AW24="","",IFERROR(IF(INDEX(CODIFICACION!$E$2:$E$500,MATCH("D2.5a|"&amp;CAPTURA!AW24,CODIFICACION!$F$2:$F$500,0))="sin dato","",INDEX(CODIFICACION!$E$2:$E$500,MATCH("D2.5a|"&amp;CAPTURA!AW24,CODIFICACION!$F$2:$F$500,0))),"⚠"))</f>
        <v/>
      </c>
      <c r="S24" t="str">
        <f>IF(CAPTURA!AX24="","",IFERROR(IF(INDEX(CODIFICACION!$E$2:$E$500,MATCH("D2.5b|"&amp;CAPTURA!AX24,CODIFICACION!$F$2:$F$500,0))="sin dato","",INDEX(CODIFICACION!$E$2:$E$500,MATCH("D2.5b|"&amp;CAPTURA!AX24,CODIFICACION!$F$2:$F$500,0))),"⚠"))</f>
        <v/>
      </c>
      <c r="T24" t="str">
        <f>IF(CAPTURA!AY24="","",IF(ISNUMBER(CAPTURA!AY24),MAX(0,MIN(100,CAPTURA!AY24)),"⚠"))</f>
        <v/>
      </c>
      <c r="U24" t="str">
        <f>IF(CAPTURA!AZ24="","",IFERROR(IF(INDEX(CODIFICACION!$E$2:$E$500,MATCH("D3.12|"&amp;CAPTURA!AZ24,CODIFICACION!$F$2:$F$500,0))="sin dato","",INDEX(CODIFICACION!$E$2:$E$500,MATCH("D3.12|"&amp;CAPTURA!AZ24,CODIFICACION!$F$2:$F$500,0))),"⚠"))</f>
        <v/>
      </c>
      <c r="V24" t="str">
        <f>IF(CAPTURA!BA24="","",IF(AND(ISNUMBER(CAPTURA!BA24),CAPTURA!BA24&gt;=0,CAPTURA!BA24&lt;=4),CAPTURA!BA24*25,"⚠"))</f>
        <v/>
      </c>
      <c r="W24" t="str">
        <f>IF(CAPTURA!BB24="","",IFERROR(IF(INDEX(CODIFICACION!$E$2:$E$500,MATCH("D3.14|"&amp;CAPTURA!BB24,CODIFICACION!$F$2:$F$500,0))="sin dato","",INDEX(CODIFICACION!$E$2:$E$500,MATCH("D3.14|"&amp;CAPTURA!BB24,CODIFICACION!$F$2:$F$500,0))),"⚠"))</f>
        <v/>
      </c>
      <c r="X24" t="str">
        <f>IF(CAPTURA!BC24="","",IFERROR(IF(INDEX(CODIFICACION!$E$2:$E$500,MATCH("D3.14a|"&amp;CAPTURA!BC24,CODIFICACION!$F$2:$F$500,0))="sin dato","",INDEX(CODIFICACION!$E$2:$E$500,MATCH("D3.14a|"&amp;CAPTURA!BC24,CODIFICACION!$F$2:$F$500,0))),"⚠"))</f>
        <v/>
      </c>
      <c r="Y24" t="str">
        <f>IF(CAPTURA!BD24="","",IFERROR(IF(INDEX(CODIFICACION!$E$2:$E$500,MATCH("D3.14b|"&amp;CAPTURA!BD24,CODIFICACION!$F$2:$F$500,0))="sin dato","",INDEX(CODIFICACION!$E$2:$E$500,MATCH("D3.14b|"&amp;CAPTURA!BD24,CODIFICACION!$F$2:$F$500,0))),"⚠"))</f>
        <v/>
      </c>
      <c r="Z24" t="str">
        <f>IF(CAPTURA!BE24="","",IFERROR(IF(INDEX(CODIFICACION!$E$2:$E$500,MATCH("D3.14c|"&amp;CAPTURA!BE24,CODIFICACION!$F$2:$F$500,0))="sin dato","",INDEX(CODIFICACION!$E$2:$E$500,MATCH("D3.14c|"&amp;CAPTURA!BE24,CODIFICACION!$F$2:$F$500,0))),"⚠"))</f>
        <v/>
      </c>
      <c r="AA24" t="str">
        <f>IF(CAPTURA!BF24="","",IFERROR(IF(INDEX(CODIFICACION!$E$2:$E$500,MATCH("D3.14d|"&amp;CAPTURA!BF24,CODIFICACION!$F$2:$F$500,0))="sin dato","",INDEX(CODIFICACION!$E$2:$E$500,MATCH("D3.14d|"&amp;CAPTURA!BF24,CODIFICACION!$F$2:$F$500,0))),"⚠"))</f>
        <v/>
      </c>
      <c r="AB24" t="str">
        <f>IF(CAPTURA!BG24="","",IFERROR(IF(INDEX(CODIFICACION!$E$2:$E$500,MATCH("D3.14e|"&amp;CAPTURA!BG24,CODIFICACION!$F$2:$F$500,0))="sin dato","",INDEX(CODIFICACION!$E$2:$E$500,MATCH("D3.14e|"&amp;CAPTURA!BG24,CODIFICACION!$F$2:$F$500,0))),"⚠"))</f>
        <v/>
      </c>
      <c r="AC24" t="str">
        <f>IF(CAPTURA!BH24="","",IFERROR(IF(INDEX(CODIFICACION!$E$2:$E$500,MATCH("D3.14f|"&amp;CAPTURA!BH24,CODIFICACION!$F$2:$F$500,0))="sin dato","",INDEX(CODIFICACION!$E$2:$E$500,MATCH("D3.14f|"&amp;CAPTURA!BH24,CODIFICACION!$F$2:$F$500,0))),"⚠"))</f>
        <v/>
      </c>
      <c r="AD24" t="str">
        <f>IF(CAPTURA!BI24="","",IFERROR(IF(INDEX(CODIFICACION!$E$2:$E$500,MATCH("D3.14g|"&amp;CAPTURA!BI24,CODIFICACION!$F$2:$F$500,0))="sin dato","",INDEX(CODIFICACION!$E$2:$E$500,MATCH("D3.14g|"&amp;CAPTURA!BI24,CODIFICACION!$F$2:$F$500,0))),"⚠"))</f>
        <v/>
      </c>
      <c r="AE24" t="str">
        <f>IF(CAPTURA!BJ24="","",IFERROR(IF(INDEX(CODIFICACION!$E$2:$E$500,MATCH("D3.14h|"&amp;CAPTURA!BJ24,CODIFICACION!$F$2:$F$500,0))="sin dato","",INDEX(CODIFICACION!$E$2:$E$500,MATCH("D3.14h|"&amp;CAPTURA!BJ24,CODIFICACION!$F$2:$F$500,0))),"⚠"))</f>
        <v/>
      </c>
      <c r="AF24" t="str">
        <f>IF(CAPTURA!BK24="","",IFERROR(IF(INDEX(CODIFICACION!$E$2:$E$500,MATCH("D3.14i|"&amp;CAPTURA!BK24,CODIFICACION!$F$2:$F$500,0))="sin dato","",INDEX(CODIFICACION!$E$2:$E$500,MATCH("D3.14i|"&amp;CAPTURA!BK24,CODIFICACION!$F$2:$F$500,0))),"⚠"))</f>
        <v/>
      </c>
      <c r="AG24" t="str">
        <f>IF(CAPTURA!BL24="","",IFERROR(IF(INDEX(CODIFICACION!$E$2:$E$500,MATCH("D4.15|"&amp;CAPTURA!BL24,CODIFICACION!$F$2:$F$500,0))="sin dato","",INDEX(CODIFICACION!$E$2:$E$500,MATCH("D4.15|"&amp;CAPTURA!BL24,CODIFICACION!$F$2:$F$500,0))),"⚠"))</f>
        <v/>
      </c>
      <c r="AH24" t="str">
        <f>IF(CAPTURA!BM24="","",IF(AND(ISNUMBER(CAPTURA!BM24),CAPTURA!BM24&gt;=0,CAPTURA!BM24&lt;=4),CAPTURA!BM24*25,"⚠"))</f>
        <v/>
      </c>
      <c r="AI24" t="str">
        <f>IF(CAPTURA!BN24="","",IFERROR(IF(INDEX(CODIFICACION!$E$2:$E$500,MATCH("D4.17|"&amp;CAPTURA!BN24,CODIFICACION!$F$2:$F$500,0))="sin dato","",INDEX(CODIFICACION!$E$2:$E$500,MATCH("D4.17|"&amp;CAPTURA!BN24,CODIFICACION!$F$2:$F$500,0))),"⚠"))</f>
        <v/>
      </c>
      <c r="AJ24" t="str">
        <f>IF(CAPTURA!BO24="","",IFERROR(IF(INDEX(CODIFICACION!$E$2:$E$500,MATCH("D4.15a|"&amp;CAPTURA!BO24,CODIFICACION!$F$2:$F$500,0))="sin dato","",INDEX(CODIFICACION!$E$2:$E$500,MATCH("D4.15a|"&amp;CAPTURA!BO24,CODIFICACION!$F$2:$F$500,0))),"⚠"))</f>
        <v/>
      </c>
      <c r="AK24" t="str">
        <f>IF(CAPTURA!BP24="","",IF(AND(ISNUMBER(CAPTURA!BP24),CAPTURA!BP24&gt;=0,CAPTURA!BP24&lt;=4),CAPTURA!BP24*25,"⚠"))</f>
        <v/>
      </c>
      <c r="AL24" t="str">
        <f>IF(CAPTURA!BQ24="","",IF(AND(ISNUMBER(CAPTURA!BQ24),CAPTURA!BQ24&gt;=0,CAPTURA!BQ24&lt;=4),CAPTURA!BQ24*25,"⚠"))</f>
        <v/>
      </c>
      <c r="AM24" t="str">
        <f>IF(CAPTURA!BR24="","",IFERROR(IF(INDEX(CODIFICACION!$E$2:$E$500,MATCH("D5.18b|"&amp;CAPTURA!BR24,CODIFICACION!$F$2:$F$500,0))="sin dato","",INDEX(CODIFICACION!$E$2:$E$500,MATCH("D5.18b|"&amp;CAPTURA!BR24,CODIFICACION!$F$2:$F$500,0))),"⚠"))</f>
        <v/>
      </c>
      <c r="AN24" t="str">
        <f>IF(CAPTURA!BS24="","",IFERROR(IF(INDEX(CODIFICACION!$E$2:$E$500,MATCH("D5.19|"&amp;CAPTURA!BS24,CODIFICACION!$F$2:$F$500,0))="sin dato","",INDEX(CODIFICACION!$E$2:$E$500,MATCH("D5.19|"&amp;CAPTURA!BS24,CODIFICACION!$F$2:$F$500,0))),"⚠"))</f>
        <v/>
      </c>
      <c r="AO24" t="str">
        <f>IF(CAPTURA!BT24="","",MIN(100,ROUND((LEN(CAPTURA!BT24)-LEN(SUBSTITUTE(CAPTURA!BT24,";",""))+1)/7*100,1)))</f>
        <v/>
      </c>
      <c r="AP24" t="str">
        <f>IF(CAPTURA!BU24="","",IFERROR(IF(INDEX(CODIFICACION!$E$2:$E$500,MATCH("D5.20|"&amp;CAPTURA!BU24,CODIFICACION!$F$2:$F$500,0))="sin dato","",INDEX(CODIFICACION!$E$2:$E$500,MATCH("D5.20|"&amp;CAPTURA!BU24,CODIFICACION!$F$2:$F$500,0))),"⚠"))</f>
        <v/>
      </c>
      <c r="AQ24" t="str">
        <f>IF(CAPTURA!BV24="","",IFERROR(IF(INDEX(CODIFICACION!$E$2:$E$500,MATCH("D5.21|"&amp;CAPTURA!BV24,CODIFICACION!$F$2:$F$500,0))="sin dato","",INDEX(CODIFICACION!$E$2:$E$500,MATCH("D5.21|"&amp;CAPTURA!BV24,CODIFICACION!$F$2:$F$500,0))),"⚠"))</f>
        <v/>
      </c>
      <c r="AR24" t="str">
        <f>IF(CAPTURA!BW24="","",IFERROR(IF(INDEX(CODIFICACION!$E$2:$E$500,MATCH("D5.21a|"&amp;CAPTURA!BW24,CODIFICACION!$F$2:$F$500,0))="sin dato","",INDEX(CODIFICACION!$E$2:$E$500,MATCH("D5.21a|"&amp;CAPTURA!BW24,CODIFICACION!$F$2:$F$500,0))),"⚠"))</f>
        <v/>
      </c>
      <c r="AS24" t="str">
        <f>IF(CAPTURA!BX24="","",IFERROR(IF(INDEX(CODIFICACION!$E$2:$E$500,MATCH("D5.21b|"&amp;CAPTURA!BX24,CODIFICACION!$F$2:$F$500,0))="sin dato","",INDEX(CODIFICACION!$E$2:$E$500,MATCH("D5.21b|"&amp;CAPTURA!BX24,CODIFICACION!$F$2:$F$500,0))),"⚠"))</f>
        <v/>
      </c>
      <c r="AT24" t="str">
        <f>IF(CAPTURA!BY24="","",IFERROR(IF(INDEX(CODIFICACION!$E$2:$E$500,MATCH("D6.22|"&amp;CAPTURA!BY24,CODIFICACION!$F$2:$F$500,0))="sin dato","",INDEX(CODIFICACION!$E$2:$E$500,MATCH("D6.22|"&amp;CAPTURA!BY24,CODIFICACION!$F$2:$F$500,0))),"⚠"))</f>
        <v/>
      </c>
      <c r="AU24" t="str">
        <f>IF(CAPTURA!BZ24="","",IFERROR(IF(INDEX(CODIFICACION!$E$2:$E$500,MATCH("D6.22a|"&amp;CAPTURA!BZ24,CODIFICACION!$F$2:$F$500,0))="sin dato","",INDEX(CODIFICACION!$E$2:$E$500,MATCH("D6.22a|"&amp;CAPTURA!BZ24,CODIFICACION!$F$2:$F$500,0))),"⚠"))</f>
        <v/>
      </c>
      <c r="AV24" t="str">
        <f>IF(CAPTURA!CA24="","",IFERROR(IF(INDEX(CODIFICACION!$E$2:$E$500,MATCH("D6.22b|"&amp;CAPTURA!CA24,CODIFICACION!$F$2:$F$500,0))="sin dato","",INDEX(CODIFICACION!$E$2:$E$500,MATCH("D6.22b|"&amp;CAPTURA!CA24,CODIFICACION!$F$2:$F$500,0))),"⚠"))</f>
        <v/>
      </c>
      <c r="AW24" t="str">
        <f>IF(CAPTURA!CB24="","",IFERROR(IF(INDEX(CODIFICACION!$E$2:$E$500,MATCH("D6.23|"&amp;CAPTURA!CB24,CODIFICACION!$F$2:$F$500,0))="sin dato","",INDEX(CODIFICACION!$E$2:$E$500,MATCH("D6.23|"&amp;CAPTURA!CB24,CODIFICACION!$F$2:$F$500,0))),"⚠"))</f>
        <v/>
      </c>
      <c r="AX24" t="str">
        <f>IF(CAPTURA!CC24="","",IFERROR(IF(INDEX(CODIFICACION!$E$2:$E$500,MATCH("D6.24|"&amp;CAPTURA!CC24,CODIFICACION!$F$2:$F$500,0))="sin dato","",INDEX(CODIFICACION!$E$2:$E$500,MATCH("D6.24|"&amp;CAPTURA!CC24,CODIFICACION!$F$2:$F$500,0))),"⚠"))</f>
        <v/>
      </c>
      <c r="AY24" t="str">
        <f>IF(CAPTURA!CD24="","",IFERROR(IF(INDEX(CODIFICACION!$E$2:$E$500,MATCH("D6.25|"&amp;CAPTURA!CD24,CODIFICACION!$F$2:$F$500,0))="sin dato","",INDEX(CODIFICACION!$E$2:$E$500,MATCH("D6.25|"&amp;CAPTURA!CD24,CODIFICACION!$F$2:$F$500,0))),"⚠"))</f>
        <v/>
      </c>
      <c r="AZ24" t="str">
        <f>IF(CAPTURA!CE24="","",IFERROR(IF(INDEX(CODIFICACION!$E$2:$E$500,MATCH("D6.25a|"&amp;CAPTURA!CE24,CODIFICACION!$F$2:$F$500,0))="sin dato","",INDEX(CODIFICACION!$E$2:$E$500,MATCH("D6.25a|"&amp;CAPTURA!CE24,CODIFICACION!$F$2:$F$500,0))),"⚠"))</f>
        <v/>
      </c>
      <c r="BA24" t="str">
        <f>IF(CAPTURA!CF24="","",IFERROR(IF(INDEX(CODIFICACION!$E$2:$E$500,MATCH("D6.25b|"&amp;CAPTURA!CF24,CODIFICACION!$F$2:$F$500,0))="sin dato","",INDEX(CODIFICACION!$E$2:$E$500,MATCH("D6.25b|"&amp;CAPTURA!CF24,CODIFICACION!$F$2:$F$500,0))),"⚠"))</f>
        <v/>
      </c>
      <c r="BB24" t="str">
        <f>IF(CAPTURA!CG24="","",IFERROR(IF(INDEX(CODIFICACION!$E$2:$E$500,MATCH("D6.22c|"&amp;CAPTURA!CG24,CODIFICACION!$F$2:$F$500,0))="sin dato","",INDEX(CODIFICACION!$E$2:$E$500,MATCH("D6.22c|"&amp;CAPTURA!CG24,CODIFICACION!$F$2:$F$500,0))),"⚠"))</f>
        <v/>
      </c>
      <c r="BC24" t="str">
        <f>IF(CAPTURA!CH24="","",IFERROR(IF(INDEX(CODIFICACION!$E$2:$E$500,MATCH("D7.26|"&amp;CAPTURA!CH24,CODIFICACION!$F$2:$F$500,0))="sin dato","",INDEX(CODIFICACION!$E$2:$E$500,MATCH("D7.26|"&amp;CAPTURA!CH24,CODIFICACION!$F$2:$F$500,0))),"⚠"))</f>
        <v/>
      </c>
      <c r="BD24" t="str">
        <f>IF(CAPTURA!CI24="","",IFERROR(IF(INDEX(CODIFICACION!$E$2:$E$500,MATCH("D7.27|"&amp;CAPTURA!CI24,CODIFICACION!$F$2:$F$500,0))="sin dato","",INDEX(CODIFICACION!$E$2:$E$500,MATCH("D7.27|"&amp;CAPTURA!CI24,CODIFICACION!$F$2:$F$500,0))),"⚠"))</f>
        <v/>
      </c>
      <c r="BE24" t="str">
        <f>IF(CAPTURA!CJ24="","",IFERROR(IF(INDEX(CODIFICACION!$E$2:$E$500,MATCH("D7.28|"&amp;CAPTURA!CJ24,CODIFICACION!$F$2:$F$500,0))="sin dato","",INDEX(CODIFICACION!$E$2:$E$500,MATCH("D7.28|"&amp;CAPTURA!CJ24,CODIFICACION!$F$2:$F$500,0))),"⚠"))</f>
        <v/>
      </c>
      <c r="BF24" t="str">
        <f>IF(CAPTURA!CK24="","",IFERROR(IF(INDEX(CODIFICACION!$E$2:$E$500,MATCH("D7.28b|"&amp;CAPTURA!CK24,CODIFICACION!$F$2:$F$500,0))="sin dato","",INDEX(CODIFICACION!$E$2:$E$500,MATCH("D7.28b|"&amp;CAPTURA!CK24,CODIFICACION!$F$2:$F$500,0))),"⚠"))</f>
        <v/>
      </c>
      <c r="BG24" t="str">
        <f>IF(CAPTURA!CL24="","",MIN(100,ROUND((LEN(CAPTURA!CL24)-LEN(SUBSTITUTE(CAPTURA!CL24,";",""))+1)/8*100,1)))</f>
        <v/>
      </c>
      <c r="BH24" t="str">
        <f>IF(CAPTURA!CM24="","",IFERROR(IF(INDEX(CODIFICACION!$E$2:$E$500,MATCH("D7.26a|"&amp;CAPTURA!CM24,CODIFICACION!$F$2:$F$500,0))="sin dato","",INDEX(CODIFICACION!$E$2:$E$500,MATCH("D7.26a|"&amp;CAPTURA!CM24,CODIFICACION!$F$2:$F$500,0))),"⚠"))</f>
        <v/>
      </c>
      <c r="BI24" t="str">
        <f>IF(CAPTURA!CN24="","",IFERROR(IF(INDEX(CODIFICACION!$E$2:$E$500,MATCH("D7.26b|"&amp;CAPTURA!CN24,CODIFICACION!$F$2:$F$500,0))="sin dato","",INDEX(CODIFICACION!$E$2:$E$500,MATCH("D7.26b|"&amp;CAPTURA!CN24,CODIFICACION!$F$2:$F$500,0))),"⚠"))</f>
        <v/>
      </c>
      <c r="BJ24" t="str">
        <f>IF(CAPTURA!CO24="","",IF(AND(ISNUMBER(CAPTURA!CO24),CAPTURA!CO24&gt;=0,CAPTURA!CO24&lt;=4),CAPTURA!CO24*25,"⚠"))</f>
        <v/>
      </c>
      <c r="BK24" t="str">
        <f>IF(CAPTURA!CP24="","",IF(ISNUMBER(CAPTURA!CP24),MAX(0,MIN(100,CAPTURA!CP24)),"⚠"))</f>
        <v/>
      </c>
      <c r="BL24" t="str">
        <f>IF(CAPTURA!CQ24="","",IFERROR(IF(INDEX(CODIFICACION!$E$2:$E$500,MATCH("D8.31|"&amp;CAPTURA!CQ24,CODIFICACION!$F$2:$F$500,0))="sin dato","",INDEX(CODIFICACION!$E$2:$E$500,MATCH("D8.31|"&amp;CAPTURA!CQ24,CODIFICACION!$F$2:$F$500,0))),"⚠"))</f>
        <v/>
      </c>
      <c r="BM24" t="str">
        <f>IF(CAPTURA!CR24="","",IFERROR(IF(INDEX(CODIFICACION!$E$2:$E$500,MATCH("D8.32|"&amp;CAPTURA!CR24,CODIFICACION!$F$2:$F$500,0))="sin dato","",INDEX(CODIFICACION!$E$2:$E$500,MATCH("D8.32|"&amp;CAPTURA!CR24,CODIFICACION!$F$2:$F$500,0))),"⚠"))</f>
        <v/>
      </c>
      <c r="BN24" t="str">
        <f>IF(CAPTURA!CS24="","",IFERROR(IF(INDEX(CODIFICACION!$E$2:$E$500,MATCH("D9.33|"&amp;CAPTURA!CS24,CODIFICACION!$F$2:$F$500,0))="sin dato","",INDEX(CODIFICACION!$E$2:$E$500,MATCH("D9.33|"&amp;CAPTURA!CS24,CODIFICACION!$F$2:$F$500,0))),"⚠"))</f>
        <v/>
      </c>
      <c r="BO24" t="str">
        <f>IF(CAPTURA!CT24="","",IFERROR(IF(INDEX(CODIFICACION!$E$2:$E$500,MATCH("D9.34|"&amp;CAPTURA!CT24,CODIFICACION!$F$2:$F$500,0))="sin dato","",INDEX(CODIFICACION!$E$2:$E$500,MATCH("D9.34|"&amp;CAPTURA!CT24,CODIFICACION!$F$2:$F$500,0))),"⚠"))</f>
        <v/>
      </c>
      <c r="BP24" t="str">
        <f>IF(CAPTURA!CU24="","",IFERROR(IF(INDEX(CODIFICACION!$E$2:$E$500,MATCH("D9.35|"&amp;CAPTURA!CU24,CODIFICACION!$F$2:$F$500,0))="sin dato","",INDEX(CODIFICACION!$E$2:$E$500,MATCH("D9.35|"&amp;CAPTURA!CU24,CODIFICACION!$F$2:$F$500,0))),"⚠"))</f>
        <v/>
      </c>
      <c r="BQ24" t="str">
        <f>IF(CAPTURA!CV24="","",IFERROR(IF(INDEX(CODIFICACION!$E$2:$E$500,MATCH("D10.36|"&amp;CAPTURA!CV24,CODIFICACION!$F$2:$F$500,0))="sin dato","",INDEX(CODIFICACION!$E$2:$E$500,MATCH("D10.36|"&amp;CAPTURA!CV24,CODIFICACION!$F$2:$F$500,0))),"⚠"))</f>
        <v/>
      </c>
      <c r="BR24" t="str">
        <f>IF(CAPTURA!CW24="","",IFERROR(IF(INDEX(CODIFICACION!$E$2:$E$500,MATCH("D10.37|"&amp;CAPTURA!CW24,CODIFICACION!$F$2:$F$500,0))="sin dato","",INDEX(CODIFICACION!$E$2:$E$500,MATCH("D10.37|"&amp;CAPTURA!CW24,CODIFICACION!$F$2:$F$500,0))),"⚠"))</f>
        <v/>
      </c>
      <c r="BS24" t="str">
        <f>IF(CAPTURA!CX24="","",IFERROR(IF(INDEX(CODIFICACION!$E$2:$E$500,MATCH("D10.36a|"&amp;CAPTURA!CX24,CODIFICACION!$F$2:$F$500,0))="sin dato","",INDEX(CODIFICACION!$E$2:$E$500,MATCH("D10.36a|"&amp;CAPTURA!CX24,CODIFICACION!$F$2:$F$500,0))),"⚠"))</f>
        <v/>
      </c>
      <c r="BT24" t="str">
        <f>IF(CAPTURA!CY24="","",IF(ISNUMBER(SEARCH("Ninguno",CAPTURA!CY24)),0,MIN(100,ROUND((LEN(CAPTURA!CY24)-LEN(SUBSTITUTE(CAPTURA!CY24,";",""))+1)/6*100,1))))</f>
        <v/>
      </c>
      <c r="BU24" t="str">
        <f>IF(CAPTURA!DA24="","",IFERROR(IF(INDEX(CODIFICACION!$E$2:$E$500,MATCH("D11.39a|"&amp;CAPTURA!DA24,CODIFICACION!$F$2:$F$500,0))="sin dato","",INDEX(CODIFICACION!$E$2:$E$500,MATCH("D11.39a|"&amp;CAPTURA!DA24,CODIFICACION!$F$2:$F$500,0))),"⚠"))</f>
        <v/>
      </c>
      <c r="BV24" t="str">
        <f>IF(CAPTURA!DB24="","",IFERROR(IF(INDEX(CODIFICACION!$E$2:$E$500,MATCH("D12.42|"&amp;CAPTURA!DB24,CODIFICACION!$F$2:$F$500,0))="sin dato","",INDEX(CODIFICACION!$E$2:$E$500,MATCH("D12.42|"&amp;CAPTURA!DB24,CODIFICACION!$F$2:$F$500,0))),"⚠"))</f>
        <v/>
      </c>
      <c r="BW24" t="str">
        <f>IF(CAPTURA!DC24="","",IFERROR(IF(INDEX(CODIFICACION!$E$2:$E$500,MATCH("D13.45|"&amp;CAPTURA!DC24,CODIFICACION!$F$2:$F$500,0))="sin dato","",INDEX(CODIFICACION!$E$2:$E$500,MATCH("D13.45|"&amp;CAPTURA!DC24,CODIFICACION!$F$2:$F$500,0))),"⚠"))</f>
        <v/>
      </c>
      <c r="BX24" t="str">
        <f>IF(CAPTURA!DD24="","",IFERROR(IF(INDEX(CODIFICACION!$E$2:$E$500,MATCH("D14.51|"&amp;CAPTURA!DD24,CODIFICACION!$F$2:$F$500,0))="sin dato","",INDEX(CODIFICACION!$E$2:$E$500,MATCH("D14.51|"&amp;CAPTURA!DD24,CODIFICACION!$F$2:$F$500,0))),"⚠"))</f>
        <v/>
      </c>
      <c r="BY24" t="str">
        <f>IF(CAPTURA!DE24="","",IFERROR(IF(INDEX(CODIFICACION!$E$2:$E$500,MATCH("D15.58|"&amp;CAPTURA!DE24,CODIFICACION!$F$2:$F$500,0))="sin dato","",INDEX(CODIFICACION!$E$2:$E$500,MATCH("D15.58|"&amp;CAPTURA!DE24,CODIFICACION!$F$2:$F$500,0))),"⚠"))</f>
        <v/>
      </c>
      <c r="BZ24" t="str">
        <f>IF(CAPTURA!DF24="","",IFERROR(IF(INDEX(CODIFICACION!$E$2:$E$500,MATCH("PP1|"&amp;CAPTURA!DF24,CODIFICACION!$F$2:$F$500,0))="sin dato","",INDEX(CODIFICACION!$E$2:$E$500,MATCH("PP1|"&amp;CAPTURA!DF24,CODIFICACION!$F$2:$F$500,0))),"⚠"))</f>
        <v/>
      </c>
      <c r="CA24" t="str">
        <f>IF(CAPTURA!DG24="","",IFERROR(IF(INDEX(CODIFICACION!$E$2:$E$500,MATCH("PP2|"&amp;CAPTURA!DG24,CODIFICACION!$F$2:$F$500,0))="sin dato","",INDEX(CODIFICACION!$E$2:$E$500,MATCH("PP2|"&amp;CAPTURA!DG24,CODIFICACION!$F$2:$F$500,0))),"⚠"))</f>
        <v/>
      </c>
      <c r="CB24" t="str">
        <f t="shared" si="0"/>
        <v/>
      </c>
      <c r="CC24" t="str">
        <f t="shared" si="1"/>
        <v/>
      </c>
      <c r="CD24" t="str">
        <f t="shared" si="2"/>
        <v/>
      </c>
      <c r="CE24" t="str">
        <f t="shared" si="3"/>
        <v/>
      </c>
      <c r="CF24" t="str">
        <f t="shared" si="4"/>
        <v/>
      </c>
      <c r="CG24" t="str">
        <f t="shared" si="5"/>
        <v/>
      </c>
      <c r="CH24" t="str">
        <f t="shared" si="6"/>
        <v/>
      </c>
      <c r="CI24" t="str">
        <f t="shared" si="7"/>
        <v/>
      </c>
      <c r="CJ24" t="str">
        <f t="shared" si="8"/>
        <v/>
      </c>
      <c r="CK24" t="str">
        <f t="shared" si="9"/>
        <v/>
      </c>
      <c r="CL24" t="str">
        <f t="shared" si="10"/>
        <v/>
      </c>
    </row>
    <row r="25" spans="1:90" x14ac:dyDescent="0.3">
      <c r="A25">
        <f>CAPTURA!A25</f>
        <v>20393692228</v>
      </c>
      <c r="B25">
        <f>CAPTURA!C25</f>
        <v>0</v>
      </c>
      <c r="C25" t="str">
        <f>IF(CAPTURA!M25="","",ROUND((ISNUMBER(SEARCH("Alemania",CAPTURA!M25))+ISNUMBER(SEARCH("Bélgica",CAPTURA!M25))+ISNUMBER(SEARCH("Países Bajos",CAPTURA!M25))+ISNUMBER(SEARCH("Francia",CAPTURA!M25))+ISNUMBER(SEARCH("Italia",CAPTURA!M25))+ISNUMBER(SEARCH("España",CAPTURA!M25))+ISNUMBER(SEARCH("Suecia",CAPTURA!M25))+ISNUMBER(SEARCH("Dinamarca",CAPTURA!M25)))/((LEN(CAPTURA!M25)-LEN(SUBSTITUTE(CAPTURA!M25,";","")))+1)*100,1))</f>
        <v/>
      </c>
      <c r="D25" t="str">
        <f>IF(CAPTURA!AE25="","",IFERROR(IF(INDEX(CODIFICACION!$E$2:$E$500,MATCH("P8|"&amp;CAPTURA!AE25,CODIFICACION!$F$2:$F$500,0))="sin dato","",INDEX(CODIFICACION!$E$2:$E$500,MATCH("P8|"&amp;CAPTURA!AE25,CODIFICACION!$F$2:$F$500,0))),"⚠"))</f>
        <v/>
      </c>
      <c r="E25" t="str">
        <f>IF(CAPTURA!AG25="","",IFERROR(IF(INDEX(CODIFICACION!$E$2:$E$500,MATCH("P10|"&amp;CAPTURA!AG25,CODIFICACION!$F$2:$F$500,0))="sin dato","",INDEX(CODIFICACION!$E$2:$E$500,MATCH("P10|"&amp;CAPTURA!AG25,CODIFICACION!$F$2:$F$500,0))),"⚠"))</f>
        <v/>
      </c>
      <c r="F25" t="str">
        <f>IF(CAPTURA!AJ25="","",IFERROR(IF(INDEX(CODIFICACION!$E$2:$E$500,MATCH("P13|"&amp;CAPTURA!AJ25,CODIFICACION!$F$2:$F$500,0))="sin dato","",INDEX(CODIFICACION!$E$2:$E$500,MATCH("P13|"&amp;CAPTURA!AJ25,CODIFICACION!$F$2:$F$500,0))),"⚠"))</f>
        <v/>
      </c>
      <c r="G25" t="str">
        <f>IF(CAPTURA!AK25="","",IFERROR(IF(INDEX(CODIFICACION!$E$2:$E$500,MATCH("P14|"&amp;CAPTURA!AK25,CODIFICACION!$F$2:$F$500,0))="sin dato","",INDEX(CODIFICACION!$E$2:$E$500,MATCH("P14|"&amp;CAPTURA!AK25,CODIFICACION!$F$2:$F$500,0))),"⚠"))</f>
        <v/>
      </c>
      <c r="H25" t="str">
        <f>IF(CAPTURA!AL25="","",IFERROR(IF(INDEX(CODIFICACION!$E$2:$E$500,MATCH("D1.1|"&amp;CAPTURA!AL25,CODIFICACION!$F$2:$F$500,0))="sin dato","",INDEX(CODIFICACION!$E$2:$E$500,MATCH("D1.1|"&amp;CAPTURA!AL25,CODIFICACION!$F$2:$F$500,0))),"⚠"))</f>
        <v/>
      </c>
      <c r="I25" t="str">
        <f>IF(CAPTURA!AN25="","",IFERROR(IF(INDEX(CODIFICACION!$E$2:$E$500,MATCH("D1.3|"&amp;CAPTURA!AN25,CODIFICACION!$F$2:$F$500,0))="sin dato","",INDEX(CODIFICACION!$E$2:$E$500,MATCH("D1.3|"&amp;CAPTURA!AN25,CODIFICACION!$F$2:$F$500,0))),"⚠"))</f>
        <v/>
      </c>
      <c r="J25" t="str">
        <f>IF(CAPTURA!AO25="","",IFERROR(IF(INDEX(CODIFICACION!$E$2:$E$500,MATCH("D1.4|"&amp;CAPTURA!AO25,CODIFICACION!$F$2:$F$500,0))="sin dato","",INDEX(CODIFICACION!$E$2:$E$500,MATCH("D1.4|"&amp;CAPTURA!AO25,CODIFICACION!$F$2:$F$500,0))),"⚠"))</f>
        <v/>
      </c>
      <c r="K25" t="str">
        <f>IF(CAPTURA!AP25="","",IFERROR(IF(INDEX(CODIFICACION!$E$2:$E$500,MATCH("D1.3a|"&amp;CAPTURA!AP25,CODIFICACION!$F$2:$F$500,0))="sin dato","",INDEX(CODIFICACION!$E$2:$E$500,MATCH("D1.3a|"&amp;CAPTURA!AP25,CODIFICACION!$F$2:$F$500,0))),"⚠"))</f>
        <v/>
      </c>
      <c r="L25" t="str">
        <f>IF(CAPTURA!AQ25="","",IF(AND(ISNUMBER(CAPTURA!AQ25),CAPTURA!AQ25&gt;=0,CAPTURA!AQ25&lt;=4),CAPTURA!AQ25*25,"⚠"))</f>
        <v/>
      </c>
      <c r="M25" t="str">
        <f>IF(CAPTURA!AR25="","",IF(ISNUMBER(CAPTURA!AR25),MAX(0,MIN(100,CAPTURA!AR25)),"⚠"))</f>
        <v/>
      </c>
      <c r="N25" t="str">
        <f>IF(CAPTURA!AS25="","",IF(AND(ISNUMBER(CAPTURA!AS25),CAPTURA!AS25&gt;=0,CAPTURA!AS25&lt;=4),CAPTURA!AS25*25,"⚠"))</f>
        <v/>
      </c>
      <c r="O25" t="str">
        <f>IF(CAPTURA!AT25="","",IFERROR(IF(INDEX(CODIFICACION!$E$2:$E$500,MATCH("D2.8|"&amp;CAPTURA!AT25,CODIFICACION!$F$2:$F$500,0))="sin dato","",INDEX(CODIFICACION!$E$2:$E$500,MATCH("D2.8|"&amp;CAPTURA!AT25,CODIFICACION!$F$2:$F$500,0))),"⚠"))</f>
        <v/>
      </c>
      <c r="P25" t="str">
        <f>IF(CAPTURA!AU25="","",IFERROR(IF(INDEX(CODIFICACION!$E$2:$E$500,MATCH("D2.9|"&amp;CAPTURA!AU25,CODIFICACION!$F$2:$F$500,0))="sin dato","",INDEX(CODIFICACION!$E$2:$E$500,MATCH("D2.9|"&amp;CAPTURA!AU25,CODIFICACION!$F$2:$F$500,0))),"⚠"))</f>
        <v/>
      </c>
      <c r="Q25" t="str">
        <f>IF(CAPTURA!AV25="","",IFERROR(IF(INDEX(CODIFICACION!$E$2:$E$500,MATCH("D2.10|"&amp;CAPTURA!AV25,CODIFICACION!$F$2:$F$500,0))="sin dato","",INDEX(CODIFICACION!$E$2:$E$500,MATCH("D2.10|"&amp;CAPTURA!AV25,CODIFICACION!$F$2:$F$500,0))),"⚠"))</f>
        <v/>
      </c>
      <c r="R25" t="str">
        <f>IF(CAPTURA!AW25="","",IFERROR(IF(INDEX(CODIFICACION!$E$2:$E$500,MATCH("D2.5a|"&amp;CAPTURA!AW25,CODIFICACION!$F$2:$F$500,0))="sin dato","",INDEX(CODIFICACION!$E$2:$E$500,MATCH("D2.5a|"&amp;CAPTURA!AW25,CODIFICACION!$F$2:$F$500,0))),"⚠"))</f>
        <v/>
      </c>
      <c r="S25" t="str">
        <f>IF(CAPTURA!AX25="","",IFERROR(IF(INDEX(CODIFICACION!$E$2:$E$500,MATCH("D2.5b|"&amp;CAPTURA!AX25,CODIFICACION!$F$2:$F$500,0))="sin dato","",INDEX(CODIFICACION!$E$2:$E$500,MATCH("D2.5b|"&amp;CAPTURA!AX25,CODIFICACION!$F$2:$F$500,0))),"⚠"))</f>
        <v/>
      </c>
      <c r="T25" t="str">
        <f>IF(CAPTURA!AY25="","",IF(ISNUMBER(CAPTURA!AY25),MAX(0,MIN(100,CAPTURA!AY25)),"⚠"))</f>
        <v/>
      </c>
      <c r="U25" t="str">
        <f>IF(CAPTURA!AZ25="","",IFERROR(IF(INDEX(CODIFICACION!$E$2:$E$500,MATCH("D3.12|"&amp;CAPTURA!AZ25,CODIFICACION!$F$2:$F$500,0))="sin dato","",INDEX(CODIFICACION!$E$2:$E$500,MATCH("D3.12|"&amp;CAPTURA!AZ25,CODIFICACION!$F$2:$F$500,0))),"⚠"))</f>
        <v/>
      </c>
      <c r="V25" t="str">
        <f>IF(CAPTURA!BA25="","",IF(AND(ISNUMBER(CAPTURA!BA25),CAPTURA!BA25&gt;=0,CAPTURA!BA25&lt;=4),CAPTURA!BA25*25,"⚠"))</f>
        <v/>
      </c>
      <c r="W25" t="str">
        <f>IF(CAPTURA!BB25="","",IFERROR(IF(INDEX(CODIFICACION!$E$2:$E$500,MATCH("D3.14|"&amp;CAPTURA!BB25,CODIFICACION!$F$2:$F$500,0))="sin dato","",INDEX(CODIFICACION!$E$2:$E$500,MATCH("D3.14|"&amp;CAPTURA!BB25,CODIFICACION!$F$2:$F$500,0))),"⚠"))</f>
        <v/>
      </c>
      <c r="X25" t="str">
        <f>IF(CAPTURA!BC25="","",IFERROR(IF(INDEX(CODIFICACION!$E$2:$E$500,MATCH("D3.14a|"&amp;CAPTURA!BC25,CODIFICACION!$F$2:$F$500,0))="sin dato","",INDEX(CODIFICACION!$E$2:$E$500,MATCH("D3.14a|"&amp;CAPTURA!BC25,CODIFICACION!$F$2:$F$500,0))),"⚠"))</f>
        <v/>
      </c>
      <c r="Y25" t="str">
        <f>IF(CAPTURA!BD25="","",IFERROR(IF(INDEX(CODIFICACION!$E$2:$E$500,MATCH("D3.14b|"&amp;CAPTURA!BD25,CODIFICACION!$F$2:$F$500,0))="sin dato","",INDEX(CODIFICACION!$E$2:$E$500,MATCH("D3.14b|"&amp;CAPTURA!BD25,CODIFICACION!$F$2:$F$500,0))),"⚠"))</f>
        <v/>
      </c>
      <c r="Z25" t="str">
        <f>IF(CAPTURA!BE25="","",IFERROR(IF(INDEX(CODIFICACION!$E$2:$E$500,MATCH("D3.14c|"&amp;CAPTURA!BE25,CODIFICACION!$F$2:$F$500,0))="sin dato","",INDEX(CODIFICACION!$E$2:$E$500,MATCH("D3.14c|"&amp;CAPTURA!BE25,CODIFICACION!$F$2:$F$500,0))),"⚠"))</f>
        <v/>
      </c>
      <c r="AA25" t="str">
        <f>IF(CAPTURA!BF25="","",IFERROR(IF(INDEX(CODIFICACION!$E$2:$E$500,MATCH("D3.14d|"&amp;CAPTURA!BF25,CODIFICACION!$F$2:$F$500,0))="sin dato","",INDEX(CODIFICACION!$E$2:$E$500,MATCH("D3.14d|"&amp;CAPTURA!BF25,CODIFICACION!$F$2:$F$500,0))),"⚠"))</f>
        <v/>
      </c>
      <c r="AB25" t="str">
        <f>IF(CAPTURA!BG25="","",IFERROR(IF(INDEX(CODIFICACION!$E$2:$E$500,MATCH("D3.14e|"&amp;CAPTURA!BG25,CODIFICACION!$F$2:$F$500,0))="sin dato","",INDEX(CODIFICACION!$E$2:$E$500,MATCH("D3.14e|"&amp;CAPTURA!BG25,CODIFICACION!$F$2:$F$500,0))),"⚠"))</f>
        <v/>
      </c>
      <c r="AC25" t="str">
        <f>IF(CAPTURA!BH25="","",IFERROR(IF(INDEX(CODIFICACION!$E$2:$E$500,MATCH("D3.14f|"&amp;CAPTURA!BH25,CODIFICACION!$F$2:$F$500,0))="sin dato","",INDEX(CODIFICACION!$E$2:$E$500,MATCH("D3.14f|"&amp;CAPTURA!BH25,CODIFICACION!$F$2:$F$500,0))),"⚠"))</f>
        <v/>
      </c>
      <c r="AD25" t="str">
        <f>IF(CAPTURA!BI25="","",IFERROR(IF(INDEX(CODIFICACION!$E$2:$E$500,MATCH("D3.14g|"&amp;CAPTURA!BI25,CODIFICACION!$F$2:$F$500,0))="sin dato","",INDEX(CODIFICACION!$E$2:$E$500,MATCH("D3.14g|"&amp;CAPTURA!BI25,CODIFICACION!$F$2:$F$500,0))),"⚠"))</f>
        <v/>
      </c>
      <c r="AE25" t="str">
        <f>IF(CAPTURA!BJ25="","",IFERROR(IF(INDEX(CODIFICACION!$E$2:$E$500,MATCH("D3.14h|"&amp;CAPTURA!BJ25,CODIFICACION!$F$2:$F$500,0))="sin dato","",INDEX(CODIFICACION!$E$2:$E$500,MATCH("D3.14h|"&amp;CAPTURA!BJ25,CODIFICACION!$F$2:$F$500,0))),"⚠"))</f>
        <v/>
      </c>
      <c r="AF25" t="str">
        <f>IF(CAPTURA!BK25="","",IFERROR(IF(INDEX(CODIFICACION!$E$2:$E$500,MATCH("D3.14i|"&amp;CAPTURA!BK25,CODIFICACION!$F$2:$F$500,0))="sin dato","",INDEX(CODIFICACION!$E$2:$E$500,MATCH("D3.14i|"&amp;CAPTURA!BK25,CODIFICACION!$F$2:$F$500,0))),"⚠"))</f>
        <v/>
      </c>
      <c r="AG25" t="str">
        <f>IF(CAPTURA!BL25="","",IFERROR(IF(INDEX(CODIFICACION!$E$2:$E$500,MATCH("D4.15|"&amp;CAPTURA!BL25,CODIFICACION!$F$2:$F$500,0))="sin dato","",INDEX(CODIFICACION!$E$2:$E$500,MATCH("D4.15|"&amp;CAPTURA!BL25,CODIFICACION!$F$2:$F$500,0))),"⚠"))</f>
        <v/>
      </c>
      <c r="AH25" t="str">
        <f>IF(CAPTURA!BM25="","",IF(AND(ISNUMBER(CAPTURA!BM25),CAPTURA!BM25&gt;=0,CAPTURA!BM25&lt;=4),CAPTURA!BM25*25,"⚠"))</f>
        <v/>
      </c>
      <c r="AI25" t="str">
        <f>IF(CAPTURA!BN25="","",IFERROR(IF(INDEX(CODIFICACION!$E$2:$E$500,MATCH("D4.17|"&amp;CAPTURA!BN25,CODIFICACION!$F$2:$F$500,0))="sin dato","",INDEX(CODIFICACION!$E$2:$E$500,MATCH("D4.17|"&amp;CAPTURA!BN25,CODIFICACION!$F$2:$F$500,0))),"⚠"))</f>
        <v/>
      </c>
      <c r="AJ25" t="str">
        <f>IF(CAPTURA!BO25="","",IFERROR(IF(INDEX(CODIFICACION!$E$2:$E$500,MATCH("D4.15a|"&amp;CAPTURA!BO25,CODIFICACION!$F$2:$F$500,0))="sin dato","",INDEX(CODIFICACION!$E$2:$E$500,MATCH("D4.15a|"&amp;CAPTURA!BO25,CODIFICACION!$F$2:$F$500,0))),"⚠"))</f>
        <v/>
      </c>
      <c r="AK25" t="str">
        <f>IF(CAPTURA!BP25="","",IF(AND(ISNUMBER(CAPTURA!BP25),CAPTURA!BP25&gt;=0,CAPTURA!BP25&lt;=4),CAPTURA!BP25*25,"⚠"))</f>
        <v/>
      </c>
      <c r="AL25" t="str">
        <f>IF(CAPTURA!BQ25="","",IF(AND(ISNUMBER(CAPTURA!BQ25),CAPTURA!BQ25&gt;=0,CAPTURA!BQ25&lt;=4),CAPTURA!BQ25*25,"⚠"))</f>
        <v/>
      </c>
      <c r="AM25" t="str">
        <f>IF(CAPTURA!BR25="","",IFERROR(IF(INDEX(CODIFICACION!$E$2:$E$500,MATCH("D5.18b|"&amp;CAPTURA!BR25,CODIFICACION!$F$2:$F$500,0))="sin dato","",INDEX(CODIFICACION!$E$2:$E$500,MATCH("D5.18b|"&amp;CAPTURA!BR25,CODIFICACION!$F$2:$F$500,0))),"⚠"))</f>
        <v/>
      </c>
      <c r="AN25" t="str">
        <f>IF(CAPTURA!BS25="","",IFERROR(IF(INDEX(CODIFICACION!$E$2:$E$500,MATCH("D5.19|"&amp;CAPTURA!BS25,CODIFICACION!$F$2:$F$500,0))="sin dato","",INDEX(CODIFICACION!$E$2:$E$500,MATCH("D5.19|"&amp;CAPTURA!BS25,CODIFICACION!$F$2:$F$500,0))),"⚠"))</f>
        <v/>
      </c>
      <c r="AO25" t="str">
        <f>IF(CAPTURA!BT25="","",MIN(100,ROUND((LEN(CAPTURA!BT25)-LEN(SUBSTITUTE(CAPTURA!BT25,";",""))+1)/7*100,1)))</f>
        <v/>
      </c>
      <c r="AP25" t="str">
        <f>IF(CAPTURA!BU25="","",IFERROR(IF(INDEX(CODIFICACION!$E$2:$E$500,MATCH("D5.20|"&amp;CAPTURA!BU25,CODIFICACION!$F$2:$F$500,0))="sin dato","",INDEX(CODIFICACION!$E$2:$E$500,MATCH("D5.20|"&amp;CAPTURA!BU25,CODIFICACION!$F$2:$F$500,0))),"⚠"))</f>
        <v/>
      </c>
      <c r="AQ25" t="str">
        <f>IF(CAPTURA!BV25="","",IFERROR(IF(INDEX(CODIFICACION!$E$2:$E$500,MATCH("D5.21|"&amp;CAPTURA!BV25,CODIFICACION!$F$2:$F$500,0))="sin dato","",INDEX(CODIFICACION!$E$2:$E$500,MATCH("D5.21|"&amp;CAPTURA!BV25,CODIFICACION!$F$2:$F$500,0))),"⚠"))</f>
        <v/>
      </c>
      <c r="AR25" t="str">
        <f>IF(CAPTURA!BW25="","",IFERROR(IF(INDEX(CODIFICACION!$E$2:$E$500,MATCH("D5.21a|"&amp;CAPTURA!BW25,CODIFICACION!$F$2:$F$500,0))="sin dato","",INDEX(CODIFICACION!$E$2:$E$500,MATCH("D5.21a|"&amp;CAPTURA!BW25,CODIFICACION!$F$2:$F$500,0))),"⚠"))</f>
        <v/>
      </c>
      <c r="AS25" t="str">
        <f>IF(CAPTURA!BX25="","",IFERROR(IF(INDEX(CODIFICACION!$E$2:$E$500,MATCH("D5.21b|"&amp;CAPTURA!BX25,CODIFICACION!$F$2:$F$500,0))="sin dato","",INDEX(CODIFICACION!$E$2:$E$500,MATCH("D5.21b|"&amp;CAPTURA!BX25,CODIFICACION!$F$2:$F$500,0))),"⚠"))</f>
        <v/>
      </c>
      <c r="AT25" t="str">
        <f>IF(CAPTURA!BY25="","",IFERROR(IF(INDEX(CODIFICACION!$E$2:$E$500,MATCH("D6.22|"&amp;CAPTURA!BY25,CODIFICACION!$F$2:$F$500,0))="sin dato","",INDEX(CODIFICACION!$E$2:$E$500,MATCH("D6.22|"&amp;CAPTURA!BY25,CODIFICACION!$F$2:$F$500,0))),"⚠"))</f>
        <v/>
      </c>
      <c r="AU25" t="str">
        <f>IF(CAPTURA!BZ25="","",IFERROR(IF(INDEX(CODIFICACION!$E$2:$E$500,MATCH("D6.22a|"&amp;CAPTURA!BZ25,CODIFICACION!$F$2:$F$500,0))="sin dato","",INDEX(CODIFICACION!$E$2:$E$500,MATCH("D6.22a|"&amp;CAPTURA!BZ25,CODIFICACION!$F$2:$F$500,0))),"⚠"))</f>
        <v/>
      </c>
      <c r="AV25" t="str">
        <f>IF(CAPTURA!CA25="","",IFERROR(IF(INDEX(CODIFICACION!$E$2:$E$500,MATCH("D6.22b|"&amp;CAPTURA!CA25,CODIFICACION!$F$2:$F$500,0))="sin dato","",INDEX(CODIFICACION!$E$2:$E$500,MATCH("D6.22b|"&amp;CAPTURA!CA25,CODIFICACION!$F$2:$F$500,0))),"⚠"))</f>
        <v/>
      </c>
      <c r="AW25" t="str">
        <f>IF(CAPTURA!CB25="","",IFERROR(IF(INDEX(CODIFICACION!$E$2:$E$500,MATCH("D6.23|"&amp;CAPTURA!CB25,CODIFICACION!$F$2:$F$500,0))="sin dato","",INDEX(CODIFICACION!$E$2:$E$500,MATCH("D6.23|"&amp;CAPTURA!CB25,CODIFICACION!$F$2:$F$500,0))),"⚠"))</f>
        <v/>
      </c>
      <c r="AX25" t="str">
        <f>IF(CAPTURA!CC25="","",IFERROR(IF(INDEX(CODIFICACION!$E$2:$E$500,MATCH("D6.24|"&amp;CAPTURA!CC25,CODIFICACION!$F$2:$F$500,0))="sin dato","",INDEX(CODIFICACION!$E$2:$E$500,MATCH("D6.24|"&amp;CAPTURA!CC25,CODIFICACION!$F$2:$F$500,0))),"⚠"))</f>
        <v/>
      </c>
      <c r="AY25" t="str">
        <f>IF(CAPTURA!CD25="","",IFERROR(IF(INDEX(CODIFICACION!$E$2:$E$500,MATCH("D6.25|"&amp;CAPTURA!CD25,CODIFICACION!$F$2:$F$500,0))="sin dato","",INDEX(CODIFICACION!$E$2:$E$500,MATCH("D6.25|"&amp;CAPTURA!CD25,CODIFICACION!$F$2:$F$500,0))),"⚠"))</f>
        <v/>
      </c>
      <c r="AZ25" t="str">
        <f>IF(CAPTURA!CE25="","",IFERROR(IF(INDEX(CODIFICACION!$E$2:$E$500,MATCH("D6.25a|"&amp;CAPTURA!CE25,CODIFICACION!$F$2:$F$500,0))="sin dato","",INDEX(CODIFICACION!$E$2:$E$500,MATCH("D6.25a|"&amp;CAPTURA!CE25,CODIFICACION!$F$2:$F$500,0))),"⚠"))</f>
        <v/>
      </c>
      <c r="BA25" t="str">
        <f>IF(CAPTURA!CF25="","",IFERROR(IF(INDEX(CODIFICACION!$E$2:$E$500,MATCH("D6.25b|"&amp;CAPTURA!CF25,CODIFICACION!$F$2:$F$500,0))="sin dato","",INDEX(CODIFICACION!$E$2:$E$500,MATCH("D6.25b|"&amp;CAPTURA!CF25,CODIFICACION!$F$2:$F$500,0))),"⚠"))</f>
        <v/>
      </c>
      <c r="BB25" t="str">
        <f>IF(CAPTURA!CG25="","",IFERROR(IF(INDEX(CODIFICACION!$E$2:$E$500,MATCH("D6.22c|"&amp;CAPTURA!CG25,CODIFICACION!$F$2:$F$500,0))="sin dato","",INDEX(CODIFICACION!$E$2:$E$500,MATCH("D6.22c|"&amp;CAPTURA!CG25,CODIFICACION!$F$2:$F$500,0))),"⚠"))</f>
        <v/>
      </c>
      <c r="BC25" t="str">
        <f>IF(CAPTURA!CH25="","",IFERROR(IF(INDEX(CODIFICACION!$E$2:$E$500,MATCH("D7.26|"&amp;CAPTURA!CH25,CODIFICACION!$F$2:$F$500,0))="sin dato","",INDEX(CODIFICACION!$E$2:$E$500,MATCH("D7.26|"&amp;CAPTURA!CH25,CODIFICACION!$F$2:$F$500,0))),"⚠"))</f>
        <v/>
      </c>
      <c r="BD25" t="str">
        <f>IF(CAPTURA!CI25="","",IFERROR(IF(INDEX(CODIFICACION!$E$2:$E$500,MATCH("D7.27|"&amp;CAPTURA!CI25,CODIFICACION!$F$2:$F$500,0))="sin dato","",INDEX(CODIFICACION!$E$2:$E$500,MATCH("D7.27|"&amp;CAPTURA!CI25,CODIFICACION!$F$2:$F$500,0))),"⚠"))</f>
        <v/>
      </c>
      <c r="BE25" t="str">
        <f>IF(CAPTURA!CJ25="","",IFERROR(IF(INDEX(CODIFICACION!$E$2:$E$500,MATCH("D7.28|"&amp;CAPTURA!CJ25,CODIFICACION!$F$2:$F$500,0))="sin dato","",INDEX(CODIFICACION!$E$2:$E$500,MATCH("D7.28|"&amp;CAPTURA!CJ25,CODIFICACION!$F$2:$F$500,0))),"⚠"))</f>
        <v/>
      </c>
      <c r="BF25" t="str">
        <f>IF(CAPTURA!CK25="","",IFERROR(IF(INDEX(CODIFICACION!$E$2:$E$500,MATCH("D7.28b|"&amp;CAPTURA!CK25,CODIFICACION!$F$2:$F$500,0))="sin dato","",INDEX(CODIFICACION!$E$2:$E$500,MATCH("D7.28b|"&amp;CAPTURA!CK25,CODIFICACION!$F$2:$F$500,0))),"⚠"))</f>
        <v/>
      </c>
      <c r="BG25" t="str">
        <f>IF(CAPTURA!CL25="","",MIN(100,ROUND((LEN(CAPTURA!CL25)-LEN(SUBSTITUTE(CAPTURA!CL25,";",""))+1)/8*100,1)))</f>
        <v/>
      </c>
      <c r="BH25" t="str">
        <f>IF(CAPTURA!CM25="","",IFERROR(IF(INDEX(CODIFICACION!$E$2:$E$500,MATCH("D7.26a|"&amp;CAPTURA!CM25,CODIFICACION!$F$2:$F$500,0))="sin dato","",INDEX(CODIFICACION!$E$2:$E$500,MATCH("D7.26a|"&amp;CAPTURA!CM25,CODIFICACION!$F$2:$F$500,0))),"⚠"))</f>
        <v/>
      </c>
      <c r="BI25" t="str">
        <f>IF(CAPTURA!CN25="","",IFERROR(IF(INDEX(CODIFICACION!$E$2:$E$500,MATCH("D7.26b|"&amp;CAPTURA!CN25,CODIFICACION!$F$2:$F$500,0))="sin dato","",INDEX(CODIFICACION!$E$2:$E$500,MATCH("D7.26b|"&amp;CAPTURA!CN25,CODIFICACION!$F$2:$F$500,0))),"⚠"))</f>
        <v/>
      </c>
      <c r="BJ25" t="str">
        <f>IF(CAPTURA!CO25="","",IF(AND(ISNUMBER(CAPTURA!CO25),CAPTURA!CO25&gt;=0,CAPTURA!CO25&lt;=4),CAPTURA!CO25*25,"⚠"))</f>
        <v/>
      </c>
      <c r="BK25" t="str">
        <f>IF(CAPTURA!CP25="","",IF(ISNUMBER(CAPTURA!CP25),MAX(0,MIN(100,CAPTURA!CP25)),"⚠"))</f>
        <v/>
      </c>
      <c r="BL25" t="str">
        <f>IF(CAPTURA!CQ25="","",IFERROR(IF(INDEX(CODIFICACION!$E$2:$E$500,MATCH("D8.31|"&amp;CAPTURA!CQ25,CODIFICACION!$F$2:$F$500,0))="sin dato","",INDEX(CODIFICACION!$E$2:$E$500,MATCH("D8.31|"&amp;CAPTURA!CQ25,CODIFICACION!$F$2:$F$500,0))),"⚠"))</f>
        <v/>
      </c>
      <c r="BM25" t="str">
        <f>IF(CAPTURA!CR25="","",IFERROR(IF(INDEX(CODIFICACION!$E$2:$E$500,MATCH("D8.32|"&amp;CAPTURA!CR25,CODIFICACION!$F$2:$F$500,0))="sin dato","",INDEX(CODIFICACION!$E$2:$E$500,MATCH("D8.32|"&amp;CAPTURA!CR25,CODIFICACION!$F$2:$F$500,0))),"⚠"))</f>
        <v/>
      </c>
      <c r="BN25" t="str">
        <f>IF(CAPTURA!CS25="","",IFERROR(IF(INDEX(CODIFICACION!$E$2:$E$500,MATCH("D9.33|"&amp;CAPTURA!CS25,CODIFICACION!$F$2:$F$500,0))="sin dato","",INDEX(CODIFICACION!$E$2:$E$500,MATCH("D9.33|"&amp;CAPTURA!CS25,CODIFICACION!$F$2:$F$500,0))),"⚠"))</f>
        <v/>
      </c>
      <c r="BO25" t="str">
        <f>IF(CAPTURA!CT25="","",IFERROR(IF(INDEX(CODIFICACION!$E$2:$E$500,MATCH("D9.34|"&amp;CAPTURA!CT25,CODIFICACION!$F$2:$F$500,0))="sin dato","",INDEX(CODIFICACION!$E$2:$E$500,MATCH("D9.34|"&amp;CAPTURA!CT25,CODIFICACION!$F$2:$F$500,0))),"⚠"))</f>
        <v/>
      </c>
      <c r="BP25" t="str">
        <f>IF(CAPTURA!CU25="","",IFERROR(IF(INDEX(CODIFICACION!$E$2:$E$500,MATCH("D9.35|"&amp;CAPTURA!CU25,CODIFICACION!$F$2:$F$500,0))="sin dato","",INDEX(CODIFICACION!$E$2:$E$500,MATCH("D9.35|"&amp;CAPTURA!CU25,CODIFICACION!$F$2:$F$500,0))),"⚠"))</f>
        <v/>
      </c>
      <c r="BQ25" t="str">
        <f>IF(CAPTURA!CV25="","",IFERROR(IF(INDEX(CODIFICACION!$E$2:$E$500,MATCH("D10.36|"&amp;CAPTURA!CV25,CODIFICACION!$F$2:$F$500,0))="sin dato","",INDEX(CODIFICACION!$E$2:$E$500,MATCH("D10.36|"&amp;CAPTURA!CV25,CODIFICACION!$F$2:$F$500,0))),"⚠"))</f>
        <v/>
      </c>
      <c r="BR25" t="str">
        <f>IF(CAPTURA!CW25="","",IFERROR(IF(INDEX(CODIFICACION!$E$2:$E$500,MATCH("D10.37|"&amp;CAPTURA!CW25,CODIFICACION!$F$2:$F$500,0))="sin dato","",INDEX(CODIFICACION!$E$2:$E$500,MATCH("D10.37|"&amp;CAPTURA!CW25,CODIFICACION!$F$2:$F$500,0))),"⚠"))</f>
        <v/>
      </c>
      <c r="BS25" t="str">
        <f>IF(CAPTURA!CX25="","",IFERROR(IF(INDEX(CODIFICACION!$E$2:$E$500,MATCH("D10.36a|"&amp;CAPTURA!CX25,CODIFICACION!$F$2:$F$500,0))="sin dato","",INDEX(CODIFICACION!$E$2:$E$500,MATCH("D10.36a|"&amp;CAPTURA!CX25,CODIFICACION!$F$2:$F$500,0))),"⚠"))</f>
        <v/>
      </c>
      <c r="BT25" t="str">
        <f>IF(CAPTURA!CY25="","",IF(ISNUMBER(SEARCH("Ninguno",CAPTURA!CY25)),0,MIN(100,ROUND((LEN(CAPTURA!CY25)-LEN(SUBSTITUTE(CAPTURA!CY25,";",""))+1)/6*100,1))))</f>
        <v/>
      </c>
      <c r="BU25" t="str">
        <f>IF(CAPTURA!DA25="","",IFERROR(IF(INDEX(CODIFICACION!$E$2:$E$500,MATCH("D11.39a|"&amp;CAPTURA!DA25,CODIFICACION!$F$2:$F$500,0))="sin dato","",INDEX(CODIFICACION!$E$2:$E$500,MATCH("D11.39a|"&amp;CAPTURA!DA25,CODIFICACION!$F$2:$F$500,0))),"⚠"))</f>
        <v/>
      </c>
      <c r="BV25" t="str">
        <f>IF(CAPTURA!DB25="","",IFERROR(IF(INDEX(CODIFICACION!$E$2:$E$500,MATCH("D12.42|"&amp;CAPTURA!DB25,CODIFICACION!$F$2:$F$500,0))="sin dato","",INDEX(CODIFICACION!$E$2:$E$500,MATCH("D12.42|"&amp;CAPTURA!DB25,CODIFICACION!$F$2:$F$500,0))),"⚠"))</f>
        <v/>
      </c>
      <c r="BW25" t="str">
        <f>IF(CAPTURA!DC25="","",IFERROR(IF(INDEX(CODIFICACION!$E$2:$E$500,MATCH("D13.45|"&amp;CAPTURA!DC25,CODIFICACION!$F$2:$F$500,0))="sin dato","",INDEX(CODIFICACION!$E$2:$E$500,MATCH("D13.45|"&amp;CAPTURA!DC25,CODIFICACION!$F$2:$F$500,0))),"⚠"))</f>
        <v/>
      </c>
      <c r="BX25" t="str">
        <f>IF(CAPTURA!DD25="","",IFERROR(IF(INDEX(CODIFICACION!$E$2:$E$500,MATCH("D14.51|"&amp;CAPTURA!DD25,CODIFICACION!$F$2:$F$500,0))="sin dato","",INDEX(CODIFICACION!$E$2:$E$500,MATCH("D14.51|"&amp;CAPTURA!DD25,CODIFICACION!$F$2:$F$500,0))),"⚠"))</f>
        <v/>
      </c>
      <c r="BY25" t="str">
        <f>IF(CAPTURA!DE25="","",IFERROR(IF(INDEX(CODIFICACION!$E$2:$E$500,MATCH("D15.58|"&amp;CAPTURA!DE25,CODIFICACION!$F$2:$F$500,0))="sin dato","",INDEX(CODIFICACION!$E$2:$E$500,MATCH("D15.58|"&amp;CAPTURA!DE25,CODIFICACION!$F$2:$F$500,0))),"⚠"))</f>
        <v/>
      </c>
      <c r="BZ25" t="str">
        <f>IF(CAPTURA!DF25="","",IFERROR(IF(INDEX(CODIFICACION!$E$2:$E$500,MATCH("PP1|"&amp;CAPTURA!DF25,CODIFICACION!$F$2:$F$500,0))="sin dato","",INDEX(CODIFICACION!$E$2:$E$500,MATCH("PP1|"&amp;CAPTURA!DF25,CODIFICACION!$F$2:$F$500,0))),"⚠"))</f>
        <v/>
      </c>
      <c r="CA25" t="str">
        <f>IF(CAPTURA!DG25="","",IFERROR(IF(INDEX(CODIFICACION!$E$2:$E$500,MATCH("PP2|"&amp;CAPTURA!DG25,CODIFICACION!$F$2:$F$500,0))="sin dato","",INDEX(CODIFICACION!$E$2:$E$500,MATCH("PP2|"&amp;CAPTURA!DG25,CODIFICACION!$F$2:$F$500,0))),"⚠"))</f>
        <v/>
      </c>
      <c r="CB25" t="str">
        <f t="shared" si="0"/>
        <v/>
      </c>
      <c r="CC25" t="str">
        <f t="shared" si="1"/>
        <v/>
      </c>
      <c r="CD25" t="str">
        <f t="shared" si="2"/>
        <v/>
      </c>
      <c r="CE25" t="str">
        <f t="shared" si="3"/>
        <v/>
      </c>
      <c r="CF25" t="str">
        <f t="shared" si="4"/>
        <v/>
      </c>
      <c r="CG25" t="str">
        <f t="shared" si="5"/>
        <v/>
      </c>
      <c r="CH25" t="str">
        <f t="shared" si="6"/>
        <v/>
      </c>
      <c r="CI25" t="str">
        <f t="shared" si="7"/>
        <v/>
      </c>
      <c r="CJ25" t="str">
        <f t="shared" si="8"/>
        <v/>
      </c>
      <c r="CK25" t="str">
        <f t="shared" si="9"/>
        <v/>
      </c>
      <c r="CL25" t="str">
        <f t="shared" si="10"/>
        <v/>
      </c>
    </row>
    <row r="26" spans="1:90" x14ac:dyDescent="0.3">
      <c r="A26">
        <f>CAPTURA!A26</f>
        <v>20393786044</v>
      </c>
      <c r="B26">
        <f>CAPTURA!C26</f>
        <v>0</v>
      </c>
      <c r="C26" t="str">
        <f>IF(CAPTURA!M26="","",ROUND((ISNUMBER(SEARCH("Alemania",CAPTURA!M26))+ISNUMBER(SEARCH("Bélgica",CAPTURA!M26))+ISNUMBER(SEARCH("Países Bajos",CAPTURA!M26))+ISNUMBER(SEARCH("Francia",CAPTURA!M26))+ISNUMBER(SEARCH("Italia",CAPTURA!M26))+ISNUMBER(SEARCH("España",CAPTURA!M26))+ISNUMBER(SEARCH("Suecia",CAPTURA!M26))+ISNUMBER(SEARCH("Dinamarca",CAPTURA!M26)))/((LEN(CAPTURA!M26)-LEN(SUBSTITUTE(CAPTURA!M26,";","")))+1)*100,1))</f>
        <v/>
      </c>
      <c r="D26" t="str">
        <f>IF(CAPTURA!AE26="","",IFERROR(IF(INDEX(CODIFICACION!$E$2:$E$500,MATCH("P8|"&amp;CAPTURA!AE26,CODIFICACION!$F$2:$F$500,0))="sin dato","",INDEX(CODIFICACION!$E$2:$E$500,MATCH("P8|"&amp;CAPTURA!AE26,CODIFICACION!$F$2:$F$500,0))),"⚠"))</f>
        <v/>
      </c>
      <c r="E26" t="str">
        <f>IF(CAPTURA!AG26="","",IFERROR(IF(INDEX(CODIFICACION!$E$2:$E$500,MATCH("P10|"&amp;CAPTURA!AG26,CODIFICACION!$F$2:$F$500,0))="sin dato","",INDEX(CODIFICACION!$E$2:$E$500,MATCH("P10|"&amp;CAPTURA!AG26,CODIFICACION!$F$2:$F$500,0))),"⚠"))</f>
        <v/>
      </c>
      <c r="F26" t="str">
        <f>IF(CAPTURA!AJ26="","",IFERROR(IF(INDEX(CODIFICACION!$E$2:$E$500,MATCH("P13|"&amp;CAPTURA!AJ26,CODIFICACION!$F$2:$F$500,0))="sin dato","",INDEX(CODIFICACION!$E$2:$E$500,MATCH("P13|"&amp;CAPTURA!AJ26,CODIFICACION!$F$2:$F$500,0))),"⚠"))</f>
        <v/>
      </c>
      <c r="G26" t="str">
        <f>IF(CAPTURA!AK26="","",IFERROR(IF(INDEX(CODIFICACION!$E$2:$E$500,MATCH("P14|"&amp;CAPTURA!AK26,CODIFICACION!$F$2:$F$500,0))="sin dato","",INDEX(CODIFICACION!$E$2:$E$500,MATCH("P14|"&amp;CAPTURA!AK26,CODIFICACION!$F$2:$F$500,0))),"⚠"))</f>
        <v/>
      </c>
      <c r="H26" t="str">
        <f>IF(CAPTURA!AL26="","",IFERROR(IF(INDEX(CODIFICACION!$E$2:$E$500,MATCH("D1.1|"&amp;CAPTURA!AL26,CODIFICACION!$F$2:$F$500,0))="sin dato","",INDEX(CODIFICACION!$E$2:$E$500,MATCH("D1.1|"&amp;CAPTURA!AL26,CODIFICACION!$F$2:$F$500,0))),"⚠"))</f>
        <v/>
      </c>
      <c r="I26" t="str">
        <f>IF(CAPTURA!AN26="","",IFERROR(IF(INDEX(CODIFICACION!$E$2:$E$500,MATCH("D1.3|"&amp;CAPTURA!AN26,CODIFICACION!$F$2:$F$500,0))="sin dato","",INDEX(CODIFICACION!$E$2:$E$500,MATCH("D1.3|"&amp;CAPTURA!AN26,CODIFICACION!$F$2:$F$500,0))),"⚠"))</f>
        <v/>
      </c>
      <c r="J26" t="str">
        <f>IF(CAPTURA!AO26="","",IFERROR(IF(INDEX(CODIFICACION!$E$2:$E$500,MATCH("D1.4|"&amp;CAPTURA!AO26,CODIFICACION!$F$2:$F$500,0))="sin dato","",INDEX(CODIFICACION!$E$2:$E$500,MATCH("D1.4|"&amp;CAPTURA!AO26,CODIFICACION!$F$2:$F$500,0))),"⚠"))</f>
        <v/>
      </c>
      <c r="K26" t="str">
        <f>IF(CAPTURA!AP26="","",IFERROR(IF(INDEX(CODIFICACION!$E$2:$E$500,MATCH("D1.3a|"&amp;CAPTURA!AP26,CODIFICACION!$F$2:$F$500,0))="sin dato","",INDEX(CODIFICACION!$E$2:$E$500,MATCH("D1.3a|"&amp;CAPTURA!AP26,CODIFICACION!$F$2:$F$500,0))),"⚠"))</f>
        <v/>
      </c>
      <c r="L26" t="str">
        <f>IF(CAPTURA!AQ26="","",IF(AND(ISNUMBER(CAPTURA!AQ26),CAPTURA!AQ26&gt;=0,CAPTURA!AQ26&lt;=4),CAPTURA!AQ26*25,"⚠"))</f>
        <v/>
      </c>
      <c r="M26" t="str">
        <f>IF(CAPTURA!AR26="","",IF(ISNUMBER(CAPTURA!AR26),MAX(0,MIN(100,CAPTURA!AR26)),"⚠"))</f>
        <v/>
      </c>
      <c r="N26" t="str">
        <f>IF(CAPTURA!AS26="","",IF(AND(ISNUMBER(CAPTURA!AS26),CAPTURA!AS26&gt;=0,CAPTURA!AS26&lt;=4),CAPTURA!AS26*25,"⚠"))</f>
        <v/>
      </c>
      <c r="O26" t="str">
        <f>IF(CAPTURA!AT26="","",IFERROR(IF(INDEX(CODIFICACION!$E$2:$E$500,MATCH("D2.8|"&amp;CAPTURA!AT26,CODIFICACION!$F$2:$F$500,0))="sin dato","",INDEX(CODIFICACION!$E$2:$E$500,MATCH("D2.8|"&amp;CAPTURA!AT26,CODIFICACION!$F$2:$F$500,0))),"⚠"))</f>
        <v/>
      </c>
      <c r="P26" t="str">
        <f>IF(CAPTURA!AU26="","",IFERROR(IF(INDEX(CODIFICACION!$E$2:$E$500,MATCH("D2.9|"&amp;CAPTURA!AU26,CODIFICACION!$F$2:$F$500,0))="sin dato","",INDEX(CODIFICACION!$E$2:$E$500,MATCH("D2.9|"&amp;CAPTURA!AU26,CODIFICACION!$F$2:$F$500,0))),"⚠"))</f>
        <v/>
      </c>
      <c r="Q26" t="str">
        <f>IF(CAPTURA!AV26="","",IFERROR(IF(INDEX(CODIFICACION!$E$2:$E$500,MATCH("D2.10|"&amp;CAPTURA!AV26,CODIFICACION!$F$2:$F$500,0))="sin dato","",INDEX(CODIFICACION!$E$2:$E$500,MATCH("D2.10|"&amp;CAPTURA!AV26,CODIFICACION!$F$2:$F$500,0))),"⚠"))</f>
        <v/>
      </c>
      <c r="R26" t="str">
        <f>IF(CAPTURA!AW26="","",IFERROR(IF(INDEX(CODIFICACION!$E$2:$E$500,MATCH("D2.5a|"&amp;CAPTURA!AW26,CODIFICACION!$F$2:$F$500,0))="sin dato","",INDEX(CODIFICACION!$E$2:$E$500,MATCH("D2.5a|"&amp;CAPTURA!AW26,CODIFICACION!$F$2:$F$500,0))),"⚠"))</f>
        <v/>
      </c>
      <c r="S26" t="str">
        <f>IF(CAPTURA!AX26="","",IFERROR(IF(INDEX(CODIFICACION!$E$2:$E$500,MATCH("D2.5b|"&amp;CAPTURA!AX26,CODIFICACION!$F$2:$F$500,0))="sin dato","",INDEX(CODIFICACION!$E$2:$E$500,MATCH("D2.5b|"&amp;CAPTURA!AX26,CODIFICACION!$F$2:$F$500,0))),"⚠"))</f>
        <v/>
      </c>
      <c r="T26" t="str">
        <f>IF(CAPTURA!AY26="","",IF(ISNUMBER(CAPTURA!AY26),MAX(0,MIN(100,CAPTURA!AY26)),"⚠"))</f>
        <v/>
      </c>
      <c r="U26" t="str">
        <f>IF(CAPTURA!AZ26="","",IFERROR(IF(INDEX(CODIFICACION!$E$2:$E$500,MATCH("D3.12|"&amp;CAPTURA!AZ26,CODIFICACION!$F$2:$F$500,0))="sin dato","",INDEX(CODIFICACION!$E$2:$E$500,MATCH("D3.12|"&amp;CAPTURA!AZ26,CODIFICACION!$F$2:$F$500,0))),"⚠"))</f>
        <v/>
      </c>
      <c r="V26" t="str">
        <f>IF(CAPTURA!BA26="","",IF(AND(ISNUMBER(CAPTURA!BA26),CAPTURA!BA26&gt;=0,CAPTURA!BA26&lt;=4),CAPTURA!BA26*25,"⚠"))</f>
        <v/>
      </c>
      <c r="W26" t="str">
        <f>IF(CAPTURA!BB26="","",IFERROR(IF(INDEX(CODIFICACION!$E$2:$E$500,MATCH("D3.14|"&amp;CAPTURA!BB26,CODIFICACION!$F$2:$F$500,0))="sin dato","",INDEX(CODIFICACION!$E$2:$E$500,MATCH("D3.14|"&amp;CAPTURA!BB26,CODIFICACION!$F$2:$F$500,0))),"⚠"))</f>
        <v/>
      </c>
      <c r="X26" t="str">
        <f>IF(CAPTURA!BC26="","",IFERROR(IF(INDEX(CODIFICACION!$E$2:$E$500,MATCH("D3.14a|"&amp;CAPTURA!BC26,CODIFICACION!$F$2:$F$500,0))="sin dato","",INDEX(CODIFICACION!$E$2:$E$500,MATCH("D3.14a|"&amp;CAPTURA!BC26,CODIFICACION!$F$2:$F$500,0))),"⚠"))</f>
        <v/>
      </c>
      <c r="Y26" t="str">
        <f>IF(CAPTURA!BD26="","",IFERROR(IF(INDEX(CODIFICACION!$E$2:$E$500,MATCH("D3.14b|"&amp;CAPTURA!BD26,CODIFICACION!$F$2:$F$500,0))="sin dato","",INDEX(CODIFICACION!$E$2:$E$500,MATCH("D3.14b|"&amp;CAPTURA!BD26,CODIFICACION!$F$2:$F$500,0))),"⚠"))</f>
        <v/>
      </c>
      <c r="Z26" t="str">
        <f>IF(CAPTURA!BE26="","",IFERROR(IF(INDEX(CODIFICACION!$E$2:$E$500,MATCH("D3.14c|"&amp;CAPTURA!BE26,CODIFICACION!$F$2:$F$500,0))="sin dato","",INDEX(CODIFICACION!$E$2:$E$500,MATCH("D3.14c|"&amp;CAPTURA!BE26,CODIFICACION!$F$2:$F$500,0))),"⚠"))</f>
        <v/>
      </c>
      <c r="AA26" t="str">
        <f>IF(CAPTURA!BF26="","",IFERROR(IF(INDEX(CODIFICACION!$E$2:$E$500,MATCH("D3.14d|"&amp;CAPTURA!BF26,CODIFICACION!$F$2:$F$500,0))="sin dato","",INDEX(CODIFICACION!$E$2:$E$500,MATCH("D3.14d|"&amp;CAPTURA!BF26,CODIFICACION!$F$2:$F$500,0))),"⚠"))</f>
        <v/>
      </c>
      <c r="AB26" t="str">
        <f>IF(CAPTURA!BG26="","",IFERROR(IF(INDEX(CODIFICACION!$E$2:$E$500,MATCH("D3.14e|"&amp;CAPTURA!BG26,CODIFICACION!$F$2:$F$500,0))="sin dato","",INDEX(CODIFICACION!$E$2:$E$500,MATCH("D3.14e|"&amp;CAPTURA!BG26,CODIFICACION!$F$2:$F$500,0))),"⚠"))</f>
        <v/>
      </c>
      <c r="AC26" t="str">
        <f>IF(CAPTURA!BH26="","",IFERROR(IF(INDEX(CODIFICACION!$E$2:$E$500,MATCH("D3.14f|"&amp;CAPTURA!BH26,CODIFICACION!$F$2:$F$500,0))="sin dato","",INDEX(CODIFICACION!$E$2:$E$500,MATCH("D3.14f|"&amp;CAPTURA!BH26,CODIFICACION!$F$2:$F$500,0))),"⚠"))</f>
        <v/>
      </c>
      <c r="AD26" t="str">
        <f>IF(CAPTURA!BI26="","",IFERROR(IF(INDEX(CODIFICACION!$E$2:$E$500,MATCH("D3.14g|"&amp;CAPTURA!BI26,CODIFICACION!$F$2:$F$500,0))="sin dato","",INDEX(CODIFICACION!$E$2:$E$500,MATCH("D3.14g|"&amp;CAPTURA!BI26,CODIFICACION!$F$2:$F$500,0))),"⚠"))</f>
        <v/>
      </c>
      <c r="AE26" t="str">
        <f>IF(CAPTURA!BJ26="","",IFERROR(IF(INDEX(CODIFICACION!$E$2:$E$500,MATCH("D3.14h|"&amp;CAPTURA!BJ26,CODIFICACION!$F$2:$F$500,0))="sin dato","",INDEX(CODIFICACION!$E$2:$E$500,MATCH("D3.14h|"&amp;CAPTURA!BJ26,CODIFICACION!$F$2:$F$500,0))),"⚠"))</f>
        <v/>
      </c>
      <c r="AF26" t="str">
        <f>IF(CAPTURA!BK26="","",IFERROR(IF(INDEX(CODIFICACION!$E$2:$E$500,MATCH("D3.14i|"&amp;CAPTURA!BK26,CODIFICACION!$F$2:$F$500,0))="sin dato","",INDEX(CODIFICACION!$E$2:$E$500,MATCH("D3.14i|"&amp;CAPTURA!BK26,CODIFICACION!$F$2:$F$500,0))),"⚠"))</f>
        <v/>
      </c>
      <c r="AG26" t="str">
        <f>IF(CAPTURA!BL26="","",IFERROR(IF(INDEX(CODIFICACION!$E$2:$E$500,MATCH("D4.15|"&amp;CAPTURA!BL26,CODIFICACION!$F$2:$F$500,0))="sin dato","",INDEX(CODIFICACION!$E$2:$E$500,MATCH("D4.15|"&amp;CAPTURA!BL26,CODIFICACION!$F$2:$F$500,0))),"⚠"))</f>
        <v/>
      </c>
      <c r="AH26" t="str">
        <f>IF(CAPTURA!BM26="","",IF(AND(ISNUMBER(CAPTURA!BM26),CAPTURA!BM26&gt;=0,CAPTURA!BM26&lt;=4),CAPTURA!BM26*25,"⚠"))</f>
        <v/>
      </c>
      <c r="AI26" t="str">
        <f>IF(CAPTURA!BN26="","",IFERROR(IF(INDEX(CODIFICACION!$E$2:$E$500,MATCH("D4.17|"&amp;CAPTURA!BN26,CODIFICACION!$F$2:$F$500,0))="sin dato","",INDEX(CODIFICACION!$E$2:$E$500,MATCH("D4.17|"&amp;CAPTURA!BN26,CODIFICACION!$F$2:$F$500,0))),"⚠"))</f>
        <v/>
      </c>
      <c r="AJ26" t="str">
        <f>IF(CAPTURA!BO26="","",IFERROR(IF(INDEX(CODIFICACION!$E$2:$E$500,MATCH("D4.15a|"&amp;CAPTURA!BO26,CODIFICACION!$F$2:$F$500,0))="sin dato","",INDEX(CODIFICACION!$E$2:$E$500,MATCH("D4.15a|"&amp;CAPTURA!BO26,CODIFICACION!$F$2:$F$500,0))),"⚠"))</f>
        <v/>
      </c>
      <c r="AK26" t="str">
        <f>IF(CAPTURA!BP26="","",IF(AND(ISNUMBER(CAPTURA!BP26),CAPTURA!BP26&gt;=0,CAPTURA!BP26&lt;=4),CAPTURA!BP26*25,"⚠"))</f>
        <v/>
      </c>
      <c r="AL26" t="str">
        <f>IF(CAPTURA!BQ26="","",IF(AND(ISNUMBER(CAPTURA!BQ26),CAPTURA!BQ26&gt;=0,CAPTURA!BQ26&lt;=4),CAPTURA!BQ26*25,"⚠"))</f>
        <v/>
      </c>
      <c r="AM26" t="str">
        <f>IF(CAPTURA!BR26="","",IFERROR(IF(INDEX(CODIFICACION!$E$2:$E$500,MATCH("D5.18b|"&amp;CAPTURA!BR26,CODIFICACION!$F$2:$F$500,0))="sin dato","",INDEX(CODIFICACION!$E$2:$E$500,MATCH("D5.18b|"&amp;CAPTURA!BR26,CODIFICACION!$F$2:$F$500,0))),"⚠"))</f>
        <v/>
      </c>
      <c r="AN26" t="str">
        <f>IF(CAPTURA!BS26="","",IFERROR(IF(INDEX(CODIFICACION!$E$2:$E$500,MATCH("D5.19|"&amp;CAPTURA!BS26,CODIFICACION!$F$2:$F$500,0))="sin dato","",INDEX(CODIFICACION!$E$2:$E$500,MATCH("D5.19|"&amp;CAPTURA!BS26,CODIFICACION!$F$2:$F$500,0))),"⚠"))</f>
        <v/>
      </c>
      <c r="AO26" t="str">
        <f>IF(CAPTURA!BT26="","",MIN(100,ROUND((LEN(CAPTURA!BT26)-LEN(SUBSTITUTE(CAPTURA!BT26,";",""))+1)/7*100,1)))</f>
        <v/>
      </c>
      <c r="AP26" t="str">
        <f>IF(CAPTURA!BU26="","",IFERROR(IF(INDEX(CODIFICACION!$E$2:$E$500,MATCH("D5.20|"&amp;CAPTURA!BU26,CODIFICACION!$F$2:$F$500,0))="sin dato","",INDEX(CODIFICACION!$E$2:$E$500,MATCH("D5.20|"&amp;CAPTURA!BU26,CODIFICACION!$F$2:$F$500,0))),"⚠"))</f>
        <v/>
      </c>
      <c r="AQ26" t="str">
        <f>IF(CAPTURA!BV26="","",IFERROR(IF(INDEX(CODIFICACION!$E$2:$E$500,MATCH("D5.21|"&amp;CAPTURA!BV26,CODIFICACION!$F$2:$F$500,0))="sin dato","",INDEX(CODIFICACION!$E$2:$E$500,MATCH("D5.21|"&amp;CAPTURA!BV26,CODIFICACION!$F$2:$F$500,0))),"⚠"))</f>
        <v/>
      </c>
      <c r="AR26" t="str">
        <f>IF(CAPTURA!BW26="","",IFERROR(IF(INDEX(CODIFICACION!$E$2:$E$500,MATCH("D5.21a|"&amp;CAPTURA!BW26,CODIFICACION!$F$2:$F$500,0))="sin dato","",INDEX(CODIFICACION!$E$2:$E$500,MATCH("D5.21a|"&amp;CAPTURA!BW26,CODIFICACION!$F$2:$F$500,0))),"⚠"))</f>
        <v/>
      </c>
      <c r="AS26" t="str">
        <f>IF(CAPTURA!BX26="","",IFERROR(IF(INDEX(CODIFICACION!$E$2:$E$500,MATCH("D5.21b|"&amp;CAPTURA!BX26,CODIFICACION!$F$2:$F$500,0))="sin dato","",INDEX(CODIFICACION!$E$2:$E$500,MATCH("D5.21b|"&amp;CAPTURA!BX26,CODIFICACION!$F$2:$F$500,0))),"⚠"))</f>
        <v/>
      </c>
      <c r="AT26" t="str">
        <f>IF(CAPTURA!BY26="","",IFERROR(IF(INDEX(CODIFICACION!$E$2:$E$500,MATCH("D6.22|"&amp;CAPTURA!BY26,CODIFICACION!$F$2:$F$500,0))="sin dato","",INDEX(CODIFICACION!$E$2:$E$500,MATCH("D6.22|"&amp;CAPTURA!BY26,CODIFICACION!$F$2:$F$500,0))),"⚠"))</f>
        <v/>
      </c>
      <c r="AU26" t="str">
        <f>IF(CAPTURA!BZ26="","",IFERROR(IF(INDEX(CODIFICACION!$E$2:$E$500,MATCH("D6.22a|"&amp;CAPTURA!BZ26,CODIFICACION!$F$2:$F$500,0))="sin dato","",INDEX(CODIFICACION!$E$2:$E$500,MATCH("D6.22a|"&amp;CAPTURA!BZ26,CODIFICACION!$F$2:$F$500,0))),"⚠"))</f>
        <v/>
      </c>
      <c r="AV26" t="str">
        <f>IF(CAPTURA!CA26="","",IFERROR(IF(INDEX(CODIFICACION!$E$2:$E$500,MATCH("D6.22b|"&amp;CAPTURA!CA26,CODIFICACION!$F$2:$F$500,0))="sin dato","",INDEX(CODIFICACION!$E$2:$E$500,MATCH("D6.22b|"&amp;CAPTURA!CA26,CODIFICACION!$F$2:$F$500,0))),"⚠"))</f>
        <v/>
      </c>
      <c r="AW26" t="str">
        <f>IF(CAPTURA!CB26="","",IFERROR(IF(INDEX(CODIFICACION!$E$2:$E$500,MATCH("D6.23|"&amp;CAPTURA!CB26,CODIFICACION!$F$2:$F$500,0))="sin dato","",INDEX(CODIFICACION!$E$2:$E$500,MATCH("D6.23|"&amp;CAPTURA!CB26,CODIFICACION!$F$2:$F$500,0))),"⚠"))</f>
        <v/>
      </c>
      <c r="AX26" t="str">
        <f>IF(CAPTURA!CC26="","",IFERROR(IF(INDEX(CODIFICACION!$E$2:$E$500,MATCH("D6.24|"&amp;CAPTURA!CC26,CODIFICACION!$F$2:$F$500,0))="sin dato","",INDEX(CODIFICACION!$E$2:$E$500,MATCH("D6.24|"&amp;CAPTURA!CC26,CODIFICACION!$F$2:$F$500,0))),"⚠"))</f>
        <v/>
      </c>
      <c r="AY26" t="str">
        <f>IF(CAPTURA!CD26="","",IFERROR(IF(INDEX(CODIFICACION!$E$2:$E$500,MATCH("D6.25|"&amp;CAPTURA!CD26,CODIFICACION!$F$2:$F$500,0))="sin dato","",INDEX(CODIFICACION!$E$2:$E$500,MATCH("D6.25|"&amp;CAPTURA!CD26,CODIFICACION!$F$2:$F$500,0))),"⚠"))</f>
        <v/>
      </c>
      <c r="AZ26" t="str">
        <f>IF(CAPTURA!CE26="","",IFERROR(IF(INDEX(CODIFICACION!$E$2:$E$500,MATCH("D6.25a|"&amp;CAPTURA!CE26,CODIFICACION!$F$2:$F$500,0))="sin dato","",INDEX(CODIFICACION!$E$2:$E$500,MATCH("D6.25a|"&amp;CAPTURA!CE26,CODIFICACION!$F$2:$F$500,0))),"⚠"))</f>
        <v/>
      </c>
      <c r="BA26" t="str">
        <f>IF(CAPTURA!CF26="","",IFERROR(IF(INDEX(CODIFICACION!$E$2:$E$500,MATCH("D6.25b|"&amp;CAPTURA!CF26,CODIFICACION!$F$2:$F$500,0))="sin dato","",INDEX(CODIFICACION!$E$2:$E$500,MATCH("D6.25b|"&amp;CAPTURA!CF26,CODIFICACION!$F$2:$F$500,0))),"⚠"))</f>
        <v/>
      </c>
      <c r="BB26" t="str">
        <f>IF(CAPTURA!CG26="","",IFERROR(IF(INDEX(CODIFICACION!$E$2:$E$500,MATCH("D6.22c|"&amp;CAPTURA!CG26,CODIFICACION!$F$2:$F$500,0))="sin dato","",INDEX(CODIFICACION!$E$2:$E$500,MATCH("D6.22c|"&amp;CAPTURA!CG26,CODIFICACION!$F$2:$F$500,0))),"⚠"))</f>
        <v/>
      </c>
      <c r="BC26" t="str">
        <f>IF(CAPTURA!CH26="","",IFERROR(IF(INDEX(CODIFICACION!$E$2:$E$500,MATCH("D7.26|"&amp;CAPTURA!CH26,CODIFICACION!$F$2:$F$500,0))="sin dato","",INDEX(CODIFICACION!$E$2:$E$500,MATCH("D7.26|"&amp;CAPTURA!CH26,CODIFICACION!$F$2:$F$500,0))),"⚠"))</f>
        <v/>
      </c>
      <c r="BD26" t="str">
        <f>IF(CAPTURA!CI26="","",IFERROR(IF(INDEX(CODIFICACION!$E$2:$E$500,MATCH("D7.27|"&amp;CAPTURA!CI26,CODIFICACION!$F$2:$F$500,0))="sin dato","",INDEX(CODIFICACION!$E$2:$E$500,MATCH("D7.27|"&amp;CAPTURA!CI26,CODIFICACION!$F$2:$F$500,0))),"⚠"))</f>
        <v/>
      </c>
      <c r="BE26" t="str">
        <f>IF(CAPTURA!CJ26="","",IFERROR(IF(INDEX(CODIFICACION!$E$2:$E$500,MATCH("D7.28|"&amp;CAPTURA!CJ26,CODIFICACION!$F$2:$F$500,0))="sin dato","",INDEX(CODIFICACION!$E$2:$E$500,MATCH("D7.28|"&amp;CAPTURA!CJ26,CODIFICACION!$F$2:$F$500,0))),"⚠"))</f>
        <v/>
      </c>
      <c r="BF26" t="str">
        <f>IF(CAPTURA!CK26="","",IFERROR(IF(INDEX(CODIFICACION!$E$2:$E$500,MATCH("D7.28b|"&amp;CAPTURA!CK26,CODIFICACION!$F$2:$F$500,0))="sin dato","",INDEX(CODIFICACION!$E$2:$E$500,MATCH("D7.28b|"&amp;CAPTURA!CK26,CODIFICACION!$F$2:$F$500,0))),"⚠"))</f>
        <v/>
      </c>
      <c r="BG26" t="str">
        <f>IF(CAPTURA!CL26="","",MIN(100,ROUND((LEN(CAPTURA!CL26)-LEN(SUBSTITUTE(CAPTURA!CL26,";",""))+1)/8*100,1)))</f>
        <v/>
      </c>
      <c r="BH26" t="str">
        <f>IF(CAPTURA!CM26="","",IFERROR(IF(INDEX(CODIFICACION!$E$2:$E$500,MATCH("D7.26a|"&amp;CAPTURA!CM26,CODIFICACION!$F$2:$F$500,0))="sin dato","",INDEX(CODIFICACION!$E$2:$E$500,MATCH("D7.26a|"&amp;CAPTURA!CM26,CODIFICACION!$F$2:$F$500,0))),"⚠"))</f>
        <v/>
      </c>
      <c r="BI26" t="str">
        <f>IF(CAPTURA!CN26="","",IFERROR(IF(INDEX(CODIFICACION!$E$2:$E$500,MATCH("D7.26b|"&amp;CAPTURA!CN26,CODIFICACION!$F$2:$F$500,0))="sin dato","",INDEX(CODIFICACION!$E$2:$E$500,MATCH("D7.26b|"&amp;CAPTURA!CN26,CODIFICACION!$F$2:$F$500,0))),"⚠"))</f>
        <v/>
      </c>
      <c r="BJ26" t="str">
        <f>IF(CAPTURA!CO26="","",IF(AND(ISNUMBER(CAPTURA!CO26),CAPTURA!CO26&gt;=0,CAPTURA!CO26&lt;=4),CAPTURA!CO26*25,"⚠"))</f>
        <v/>
      </c>
      <c r="BK26" t="str">
        <f>IF(CAPTURA!CP26="","",IF(ISNUMBER(CAPTURA!CP26),MAX(0,MIN(100,CAPTURA!CP26)),"⚠"))</f>
        <v/>
      </c>
      <c r="BL26" t="str">
        <f>IF(CAPTURA!CQ26="","",IFERROR(IF(INDEX(CODIFICACION!$E$2:$E$500,MATCH("D8.31|"&amp;CAPTURA!CQ26,CODIFICACION!$F$2:$F$500,0))="sin dato","",INDEX(CODIFICACION!$E$2:$E$500,MATCH("D8.31|"&amp;CAPTURA!CQ26,CODIFICACION!$F$2:$F$500,0))),"⚠"))</f>
        <v/>
      </c>
      <c r="BM26" t="str">
        <f>IF(CAPTURA!CR26="","",IFERROR(IF(INDEX(CODIFICACION!$E$2:$E$500,MATCH("D8.32|"&amp;CAPTURA!CR26,CODIFICACION!$F$2:$F$500,0))="sin dato","",INDEX(CODIFICACION!$E$2:$E$500,MATCH("D8.32|"&amp;CAPTURA!CR26,CODIFICACION!$F$2:$F$500,0))),"⚠"))</f>
        <v/>
      </c>
      <c r="BN26" t="str">
        <f>IF(CAPTURA!CS26="","",IFERROR(IF(INDEX(CODIFICACION!$E$2:$E$500,MATCH("D9.33|"&amp;CAPTURA!CS26,CODIFICACION!$F$2:$F$500,0))="sin dato","",INDEX(CODIFICACION!$E$2:$E$500,MATCH("D9.33|"&amp;CAPTURA!CS26,CODIFICACION!$F$2:$F$500,0))),"⚠"))</f>
        <v/>
      </c>
      <c r="BO26" t="str">
        <f>IF(CAPTURA!CT26="","",IFERROR(IF(INDEX(CODIFICACION!$E$2:$E$500,MATCH("D9.34|"&amp;CAPTURA!CT26,CODIFICACION!$F$2:$F$500,0))="sin dato","",INDEX(CODIFICACION!$E$2:$E$500,MATCH("D9.34|"&amp;CAPTURA!CT26,CODIFICACION!$F$2:$F$500,0))),"⚠"))</f>
        <v/>
      </c>
      <c r="BP26" t="str">
        <f>IF(CAPTURA!CU26="","",IFERROR(IF(INDEX(CODIFICACION!$E$2:$E$500,MATCH("D9.35|"&amp;CAPTURA!CU26,CODIFICACION!$F$2:$F$500,0))="sin dato","",INDEX(CODIFICACION!$E$2:$E$500,MATCH("D9.35|"&amp;CAPTURA!CU26,CODIFICACION!$F$2:$F$500,0))),"⚠"))</f>
        <v/>
      </c>
      <c r="BQ26" t="str">
        <f>IF(CAPTURA!CV26="","",IFERROR(IF(INDEX(CODIFICACION!$E$2:$E$500,MATCH("D10.36|"&amp;CAPTURA!CV26,CODIFICACION!$F$2:$F$500,0))="sin dato","",INDEX(CODIFICACION!$E$2:$E$500,MATCH("D10.36|"&amp;CAPTURA!CV26,CODIFICACION!$F$2:$F$500,0))),"⚠"))</f>
        <v/>
      </c>
      <c r="BR26" t="str">
        <f>IF(CAPTURA!CW26="","",IFERROR(IF(INDEX(CODIFICACION!$E$2:$E$500,MATCH("D10.37|"&amp;CAPTURA!CW26,CODIFICACION!$F$2:$F$500,0))="sin dato","",INDEX(CODIFICACION!$E$2:$E$500,MATCH("D10.37|"&amp;CAPTURA!CW26,CODIFICACION!$F$2:$F$500,0))),"⚠"))</f>
        <v/>
      </c>
      <c r="BS26" t="str">
        <f>IF(CAPTURA!CX26="","",IFERROR(IF(INDEX(CODIFICACION!$E$2:$E$500,MATCH("D10.36a|"&amp;CAPTURA!CX26,CODIFICACION!$F$2:$F$500,0))="sin dato","",INDEX(CODIFICACION!$E$2:$E$500,MATCH("D10.36a|"&amp;CAPTURA!CX26,CODIFICACION!$F$2:$F$500,0))),"⚠"))</f>
        <v/>
      </c>
      <c r="BT26" t="str">
        <f>IF(CAPTURA!CY26="","",IF(ISNUMBER(SEARCH("Ninguno",CAPTURA!CY26)),0,MIN(100,ROUND((LEN(CAPTURA!CY26)-LEN(SUBSTITUTE(CAPTURA!CY26,";",""))+1)/6*100,1))))</f>
        <v/>
      </c>
      <c r="BU26" t="str">
        <f>IF(CAPTURA!DA26="","",IFERROR(IF(INDEX(CODIFICACION!$E$2:$E$500,MATCH("D11.39a|"&amp;CAPTURA!DA26,CODIFICACION!$F$2:$F$500,0))="sin dato","",INDEX(CODIFICACION!$E$2:$E$500,MATCH("D11.39a|"&amp;CAPTURA!DA26,CODIFICACION!$F$2:$F$500,0))),"⚠"))</f>
        <v/>
      </c>
      <c r="BV26" t="str">
        <f>IF(CAPTURA!DB26="","",IFERROR(IF(INDEX(CODIFICACION!$E$2:$E$500,MATCH("D12.42|"&amp;CAPTURA!DB26,CODIFICACION!$F$2:$F$500,0))="sin dato","",INDEX(CODIFICACION!$E$2:$E$500,MATCH("D12.42|"&amp;CAPTURA!DB26,CODIFICACION!$F$2:$F$500,0))),"⚠"))</f>
        <v/>
      </c>
      <c r="BW26" t="str">
        <f>IF(CAPTURA!DC26="","",IFERROR(IF(INDEX(CODIFICACION!$E$2:$E$500,MATCH("D13.45|"&amp;CAPTURA!DC26,CODIFICACION!$F$2:$F$500,0))="sin dato","",INDEX(CODIFICACION!$E$2:$E$500,MATCH("D13.45|"&amp;CAPTURA!DC26,CODIFICACION!$F$2:$F$500,0))),"⚠"))</f>
        <v/>
      </c>
      <c r="BX26" t="str">
        <f>IF(CAPTURA!DD26="","",IFERROR(IF(INDEX(CODIFICACION!$E$2:$E$500,MATCH("D14.51|"&amp;CAPTURA!DD26,CODIFICACION!$F$2:$F$500,0))="sin dato","",INDEX(CODIFICACION!$E$2:$E$500,MATCH("D14.51|"&amp;CAPTURA!DD26,CODIFICACION!$F$2:$F$500,0))),"⚠"))</f>
        <v/>
      </c>
      <c r="BY26" t="str">
        <f>IF(CAPTURA!DE26="","",IFERROR(IF(INDEX(CODIFICACION!$E$2:$E$500,MATCH("D15.58|"&amp;CAPTURA!DE26,CODIFICACION!$F$2:$F$500,0))="sin dato","",INDEX(CODIFICACION!$E$2:$E$500,MATCH("D15.58|"&amp;CAPTURA!DE26,CODIFICACION!$F$2:$F$500,0))),"⚠"))</f>
        <v/>
      </c>
      <c r="BZ26" t="str">
        <f>IF(CAPTURA!DF26="","",IFERROR(IF(INDEX(CODIFICACION!$E$2:$E$500,MATCH("PP1|"&amp;CAPTURA!DF26,CODIFICACION!$F$2:$F$500,0))="sin dato","",INDEX(CODIFICACION!$E$2:$E$500,MATCH("PP1|"&amp;CAPTURA!DF26,CODIFICACION!$F$2:$F$500,0))),"⚠"))</f>
        <v/>
      </c>
      <c r="CA26" t="str">
        <f>IF(CAPTURA!DG26="","",IFERROR(IF(INDEX(CODIFICACION!$E$2:$E$500,MATCH("PP2|"&amp;CAPTURA!DG26,CODIFICACION!$F$2:$F$500,0))="sin dato","",INDEX(CODIFICACION!$E$2:$E$500,MATCH("PP2|"&amp;CAPTURA!DG26,CODIFICACION!$F$2:$F$500,0))),"⚠"))</f>
        <v/>
      </c>
      <c r="CB26" t="str">
        <f t="shared" si="0"/>
        <v/>
      </c>
      <c r="CC26" t="str">
        <f t="shared" si="1"/>
        <v/>
      </c>
      <c r="CD26" t="str">
        <f t="shared" si="2"/>
        <v/>
      </c>
      <c r="CE26" t="str">
        <f t="shared" si="3"/>
        <v/>
      </c>
      <c r="CF26" t="str">
        <f t="shared" si="4"/>
        <v/>
      </c>
      <c r="CG26" t="str">
        <f t="shared" si="5"/>
        <v/>
      </c>
      <c r="CH26" t="str">
        <f t="shared" si="6"/>
        <v/>
      </c>
      <c r="CI26" t="str">
        <f t="shared" si="7"/>
        <v/>
      </c>
      <c r="CJ26" t="str">
        <f t="shared" si="8"/>
        <v/>
      </c>
      <c r="CK26" t="str">
        <f t="shared" si="9"/>
        <v/>
      </c>
      <c r="CL26" t="str">
        <f t="shared" si="10"/>
        <v/>
      </c>
    </row>
    <row r="27" spans="1:90" x14ac:dyDescent="0.3">
      <c r="A27">
        <f>CAPTURA!A27</f>
        <v>20393816211</v>
      </c>
      <c r="B27">
        <f>CAPTURA!C27</f>
        <v>0</v>
      </c>
      <c r="C27" t="str">
        <f>IF(CAPTURA!M27="","",ROUND((ISNUMBER(SEARCH("Alemania",CAPTURA!M27))+ISNUMBER(SEARCH("Bélgica",CAPTURA!M27))+ISNUMBER(SEARCH("Países Bajos",CAPTURA!M27))+ISNUMBER(SEARCH("Francia",CAPTURA!M27))+ISNUMBER(SEARCH("Italia",CAPTURA!M27))+ISNUMBER(SEARCH("España",CAPTURA!M27))+ISNUMBER(SEARCH("Suecia",CAPTURA!M27))+ISNUMBER(SEARCH("Dinamarca",CAPTURA!M27)))/((LEN(CAPTURA!M27)-LEN(SUBSTITUTE(CAPTURA!M27,";","")))+1)*100,1))</f>
        <v/>
      </c>
      <c r="D27" t="str">
        <f>IF(CAPTURA!AE27="","",IFERROR(IF(INDEX(CODIFICACION!$E$2:$E$500,MATCH("P8|"&amp;CAPTURA!AE27,CODIFICACION!$F$2:$F$500,0))="sin dato","",INDEX(CODIFICACION!$E$2:$E$500,MATCH("P8|"&amp;CAPTURA!AE27,CODIFICACION!$F$2:$F$500,0))),"⚠"))</f>
        <v/>
      </c>
      <c r="E27" t="str">
        <f>IF(CAPTURA!AG27="","",IFERROR(IF(INDEX(CODIFICACION!$E$2:$E$500,MATCH("P10|"&amp;CAPTURA!AG27,CODIFICACION!$F$2:$F$500,0))="sin dato","",INDEX(CODIFICACION!$E$2:$E$500,MATCH("P10|"&amp;CAPTURA!AG27,CODIFICACION!$F$2:$F$500,0))),"⚠"))</f>
        <v/>
      </c>
      <c r="F27" t="str">
        <f>IF(CAPTURA!AJ27="","",IFERROR(IF(INDEX(CODIFICACION!$E$2:$E$500,MATCH("P13|"&amp;CAPTURA!AJ27,CODIFICACION!$F$2:$F$500,0))="sin dato","",INDEX(CODIFICACION!$E$2:$E$500,MATCH("P13|"&amp;CAPTURA!AJ27,CODIFICACION!$F$2:$F$500,0))),"⚠"))</f>
        <v/>
      </c>
      <c r="G27" t="str">
        <f>IF(CAPTURA!AK27="","",IFERROR(IF(INDEX(CODIFICACION!$E$2:$E$500,MATCH("P14|"&amp;CAPTURA!AK27,CODIFICACION!$F$2:$F$500,0))="sin dato","",INDEX(CODIFICACION!$E$2:$E$500,MATCH("P14|"&amp;CAPTURA!AK27,CODIFICACION!$F$2:$F$500,0))),"⚠"))</f>
        <v/>
      </c>
      <c r="H27" t="str">
        <f>IF(CAPTURA!AL27="","",IFERROR(IF(INDEX(CODIFICACION!$E$2:$E$500,MATCH("D1.1|"&amp;CAPTURA!AL27,CODIFICACION!$F$2:$F$500,0))="sin dato","",INDEX(CODIFICACION!$E$2:$E$500,MATCH("D1.1|"&amp;CAPTURA!AL27,CODIFICACION!$F$2:$F$500,0))),"⚠"))</f>
        <v/>
      </c>
      <c r="I27" t="str">
        <f>IF(CAPTURA!AN27="","",IFERROR(IF(INDEX(CODIFICACION!$E$2:$E$500,MATCH("D1.3|"&amp;CAPTURA!AN27,CODIFICACION!$F$2:$F$500,0))="sin dato","",INDEX(CODIFICACION!$E$2:$E$500,MATCH("D1.3|"&amp;CAPTURA!AN27,CODIFICACION!$F$2:$F$500,0))),"⚠"))</f>
        <v/>
      </c>
      <c r="J27" t="str">
        <f>IF(CAPTURA!AO27="","",IFERROR(IF(INDEX(CODIFICACION!$E$2:$E$500,MATCH("D1.4|"&amp;CAPTURA!AO27,CODIFICACION!$F$2:$F$500,0))="sin dato","",INDEX(CODIFICACION!$E$2:$E$500,MATCH("D1.4|"&amp;CAPTURA!AO27,CODIFICACION!$F$2:$F$500,0))),"⚠"))</f>
        <v/>
      </c>
      <c r="K27" t="str">
        <f>IF(CAPTURA!AP27="","",IFERROR(IF(INDEX(CODIFICACION!$E$2:$E$500,MATCH("D1.3a|"&amp;CAPTURA!AP27,CODIFICACION!$F$2:$F$500,0))="sin dato","",INDEX(CODIFICACION!$E$2:$E$500,MATCH("D1.3a|"&amp;CAPTURA!AP27,CODIFICACION!$F$2:$F$500,0))),"⚠"))</f>
        <v/>
      </c>
      <c r="L27" t="str">
        <f>IF(CAPTURA!AQ27="","",IF(AND(ISNUMBER(CAPTURA!AQ27),CAPTURA!AQ27&gt;=0,CAPTURA!AQ27&lt;=4),CAPTURA!AQ27*25,"⚠"))</f>
        <v/>
      </c>
      <c r="M27" t="str">
        <f>IF(CAPTURA!AR27="","",IF(ISNUMBER(CAPTURA!AR27),MAX(0,MIN(100,CAPTURA!AR27)),"⚠"))</f>
        <v/>
      </c>
      <c r="N27" t="str">
        <f>IF(CAPTURA!AS27="","",IF(AND(ISNUMBER(CAPTURA!AS27),CAPTURA!AS27&gt;=0,CAPTURA!AS27&lt;=4),CAPTURA!AS27*25,"⚠"))</f>
        <v/>
      </c>
      <c r="O27" t="str">
        <f>IF(CAPTURA!AT27="","",IFERROR(IF(INDEX(CODIFICACION!$E$2:$E$500,MATCH("D2.8|"&amp;CAPTURA!AT27,CODIFICACION!$F$2:$F$500,0))="sin dato","",INDEX(CODIFICACION!$E$2:$E$500,MATCH("D2.8|"&amp;CAPTURA!AT27,CODIFICACION!$F$2:$F$500,0))),"⚠"))</f>
        <v/>
      </c>
      <c r="P27" t="str">
        <f>IF(CAPTURA!AU27="","",IFERROR(IF(INDEX(CODIFICACION!$E$2:$E$500,MATCH("D2.9|"&amp;CAPTURA!AU27,CODIFICACION!$F$2:$F$500,0))="sin dato","",INDEX(CODIFICACION!$E$2:$E$500,MATCH("D2.9|"&amp;CAPTURA!AU27,CODIFICACION!$F$2:$F$500,0))),"⚠"))</f>
        <v/>
      </c>
      <c r="Q27" t="str">
        <f>IF(CAPTURA!AV27="","",IFERROR(IF(INDEX(CODIFICACION!$E$2:$E$500,MATCH("D2.10|"&amp;CAPTURA!AV27,CODIFICACION!$F$2:$F$500,0))="sin dato","",INDEX(CODIFICACION!$E$2:$E$500,MATCH("D2.10|"&amp;CAPTURA!AV27,CODIFICACION!$F$2:$F$500,0))),"⚠"))</f>
        <v/>
      </c>
      <c r="R27" t="str">
        <f>IF(CAPTURA!AW27="","",IFERROR(IF(INDEX(CODIFICACION!$E$2:$E$500,MATCH("D2.5a|"&amp;CAPTURA!AW27,CODIFICACION!$F$2:$F$500,0))="sin dato","",INDEX(CODIFICACION!$E$2:$E$500,MATCH("D2.5a|"&amp;CAPTURA!AW27,CODIFICACION!$F$2:$F$500,0))),"⚠"))</f>
        <v/>
      </c>
      <c r="S27" t="str">
        <f>IF(CAPTURA!AX27="","",IFERROR(IF(INDEX(CODIFICACION!$E$2:$E$500,MATCH("D2.5b|"&amp;CAPTURA!AX27,CODIFICACION!$F$2:$F$500,0))="sin dato","",INDEX(CODIFICACION!$E$2:$E$500,MATCH("D2.5b|"&amp;CAPTURA!AX27,CODIFICACION!$F$2:$F$500,0))),"⚠"))</f>
        <v/>
      </c>
      <c r="T27" t="str">
        <f>IF(CAPTURA!AY27="","",IF(ISNUMBER(CAPTURA!AY27),MAX(0,MIN(100,CAPTURA!AY27)),"⚠"))</f>
        <v/>
      </c>
      <c r="U27" t="str">
        <f>IF(CAPTURA!AZ27="","",IFERROR(IF(INDEX(CODIFICACION!$E$2:$E$500,MATCH("D3.12|"&amp;CAPTURA!AZ27,CODIFICACION!$F$2:$F$500,0))="sin dato","",INDEX(CODIFICACION!$E$2:$E$500,MATCH("D3.12|"&amp;CAPTURA!AZ27,CODIFICACION!$F$2:$F$500,0))),"⚠"))</f>
        <v/>
      </c>
      <c r="V27" t="str">
        <f>IF(CAPTURA!BA27="","",IF(AND(ISNUMBER(CAPTURA!BA27),CAPTURA!BA27&gt;=0,CAPTURA!BA27&lt;=4),CAPTURA!BA27*25,"⚠"))</f>
        <v/>
      </c>
      <c r="W27" t="str">
        <f>IF(CAPTURA!BB27="","",IFERROR(IF(INDEX(CODIFICACION!$E$2:$E$500,MATCH("D3.14|"&amp;CAPTURA!BB27,CODIFICACION!$F$2:$F$500,0))="sin dato","",INDEX(CODIFICACION!$E$2:$E$500,MATCH("D3.14|"&amp;CAPTURA!BB27,CODIFICACION!$F$2:$F$500,0))),"⚠"))</f>
        <v/>
      </c>
      <c r="X27" t="str">
        <f>IF(CAPTURA!BC27="","",IFERROR(IF(INDEX(CODIFICACION!$E$2:$E$500,MATCH("D3.14a|"&amp;CAPTURA!BC27,CODIFICACION!$F$2:$F$500,0))="sin dato","",INDEX(CODIFICACION!$E$2:$E$500,MATCH("D3.14a|"&amp;CAPTURA!BC27,CODIFICACION!$F$2:$F$500,0))),"⚠"))</f>
        <v/>
      </c>
      <c r="Y27" t="str">
        <f>IF(CAPTURA!BD27="","",IFERROR(IF(INDEX(CODIFICACION!$E$2:$E$500,MATCH("D3.14b|"&amp;CAPTURA!BD27,CODIFICACION!$F$2:$F$500,0))="sin dato","",INDEX(CODIFICACION!$E$2:$E$500,MATCH("D3.14b|"&amp;CAPTURA!BD27,CODIFICACION!$F$2:$F$500,0))),"⚠"))</f>
        <v/>
      </c>
      <c r="Z27" t="str">
        <f>IF(CAPTURA!BE27="","",IFERROR(IF(INDEX(CODIFICACION!$E$2:$E$500,MATCH("D3.14c|"&amp;CAPTURA!BE27,CODIFICACION!$F$2:$F$500,0))="sin dato","",INDEX(CODIFICACION!$E$2:$E$500,MATCH("D3.14c|"&amp;CAPTURA!BE27,CODIFICACION!$F$2:$F$500,0))),"⚠"))</f>
        <v/>
      </c>
      <c r="AA27" t="str">
        <f>IF(CAPTURA!BF27="","",IFERROR(IF(INDEX(CODIFICACION!$E$2:$E$500,MATCH("D3.14d|"&amp;CAPTURA!BF27,CODIFICACION!$F$2:$F$500,0))="sin dato","",INDEX(CODIFICACION!$E$2:$E$500,MATCH("D3.14d|"&amp;CAPTURA!BF27,CODIFICACION!$F$2:$F$500,0))),"⚠"))</f>
        <v/>
      </c>
      <c r="AB27" t="str">
        <f>IF(CAPTURA!BG27="","",IFERROR(IF(INDEX(CODIFICACION!$E$2:$E$500,MATCH("D3.14e|"&amp;CAPTURA!BG27,CODIFICACION!$F$2:$F$500,0))="sin dato","",INDEX(CODIFICACION!$E$2:$E$500,MATCH("D3.14e|"&amp;CAPTURA!BG27,CODIFICACION!$F$2:$F$500,0))),"⚠"))</f>
        <v/>
      </c>
      <c r="AC27" t="str">
        <f>IF(CAPTURA!BH27="","",IFERROR(IF(INDEX(CODIFICACION!$E$2:$E$500,MATCH("D3.14f|"&amp;CAPTURA!BH27,CODIFICACION!$F$2:$F$500,0))="sin dato","",INDEX(CODIFICACION!$E$2:$E$500,MATCH("D3.14f|"&amp;CAPTURA!BH27,CODIFICACION!$F$2:$F$500,0))),"⚠"))</f>
        <v/>
      </c>
      <c r="AD27" t="str">
        <f>IF(CAPTURA!BI27="","",IFERROR(IF(INDEX(CODIFICACION!$E$2:$E$500,MATCH("D3.14g|"&amp;CAPTURA!BI27,CODIFICACION!$F$2:$F$500,0))="sin dato","",INDEX(CODIFICACION!$E$2:$E$500,MATCH("D3.14g|"&amp;CAPTURA!BI27,CODIFICACION!$F$2:$F$500,0))),"⚠"))</f>
        <v/>
      </c>
      <c r="AE27" t="str">
        <f>IF(CAPTURA!BJ27="","",IFERROR(IF(INDEX(CODIFICACION!$E$2:$E$500,MATCH("D3.14h|"&amp;CAPTURA!BJ27,CODIFICACION!$F$2:$F$500,0))="sin dato","",INDEX(CODIFICACION!$E$2:$E$500,MATCH("D3.14h|"&amp;CAPTURA!BJ27,CODIFICACION!$F$2:$F$500,0))),"⚠"))</f>
        <v/>
      </c>
      <c r="AF27" t="str">
        <f>IF(CAPTURA!BK27="","",IFERROR(IF(INDEX(CODIFICACION!$E$2:$E$500,MATCH("D3.14i|"&amp;CAPTURA!BK27,CODIFICACION!$F$2:$F$500,0))="sin dato","",INDEX(CODIFICACION!$E$2:$E$500,MATCH("D3.14i|"&amp;CAPTURA!BK27,CODIFICACION!$F$2:$F$500,0))),"⚠"))</f>
        <v/>
      </c>
      <c r="AG27" t="str">
        <f>IF(CAPTURA!BL27="","",IFERROR(IF(INDEX(CODIFICACION!$E$2:$E$500,MATCH("D4.15|"&amp;CAPTURA!BL27,CODIFICACION!$F$2:$F$500,0))="sin dato","",INDEX(CODIFICACION!$E$2:$E$500,MATCH("D4.15|"&amp;CAPTURA!BL27,CODIFICACION!$F$2:$F$500,0))),"⚠"))</f>
        <v/>
      </c>
      <c r="AH27" t="str">
        <f>IF(CAPTURA!BM27="","",IF(AND(ISNUMBER(CAPTURA!BM27),CAPTURA!BM27&gt;=0,CAPTURA!BM27&lt;=4),CAPTURA!BM27*25,"⚠"))</f>
        <v/>
      </c>
      <c r="AI27" t="str">
        <f>IF(CAPTURA!BN27="","",IFERROR(IF(INDEX(CODIFICACION!$E$2:$E$500,MATCH("D4.17|"&amp;CAPTURA!BN27,CODIFICACION!$F$2:$F$500,0))="sin dato","",INDEX(CODIFICACION!$E$2:$E$500,MATCH("D4.17|"&amp;CAPTURA!BN27,CODIFICACION!$F$2:$F$500,0))),"⚠"))</f>
        <v/>
      </c>
      <c r="AJ27" t="str">
        <f>IF(CAPTURA!BO27="","",IFERROR(IF(INDEX(CODIFICACION!$E$2:$E$500,MATCH("D4.15a|"&amp;CAPTURA!BO27,CODIFICACION!$F$2:$F$500,0))="sin dato","",INDEX(CODIFICACION!$E$2:$E$500,MATCH("D4.15a|"&amp;CAPTURA!BO27,CODIFICACION!$F$2:$F$500,0))),"⚠"))</f>
        <v/>
      </c>
      <c r="AK27" t="str">
        <f>IF(CAPTURA!BP27="","",IF(AND(ISNUMBER(CAPTURA!BP27),CAPTURA!BP27&gt;=0,CAPTURA!BP27&lt;=4),CAPTURA!BP27*25,"⚠"))</f>
        <v/>
      </c>
      <c r="AL27" t="str">
        <f>IF(CAPTURA!BQ27="","",IF(AND(ISNUMBER(CAPTURA!BQ27),CAPTURA!BQ27&gt;=0,CAPTURA!BQ27&lt;=4),CAPTURA!BQ27*25,"⚠"))</f>
        <v/>
      </c>
      <c r="AM27" t="str">
        <f>IF(CAPTURA!BR27="","",IFERROR(IF(INDEX(CODIFICACION!$E$2:$E$500,MATCH("D5.18b|"&amp;CAPTURA!BR27,CODIFICACION!$F$2:$F$500,0))="sin dato","",INDEX(CODIFICACION!$E$2:$E$500,MATCH("D5.18b|"&amp;CAPTURA!BR27,CODIFICACION!$F$2:$F$500,0))),"⚠"))</f>
        <v/>
      </c>
      <c r="AN27" t="str">
        <f>IF(CAPTURA!BS27="","",IFERROR(IF(INDEX(CODIFICACION!$E$2:$E$500,MATCH("D5.19|"&amp;CAPTURA!BS27,CODIFICACION!$F$2:$F$500,0))="sin dato","",INDEX(CODIFICACION!$E$2:$E$500,MATCH("D5.19|"&amp;CAPTURA!BS27,CODIFICACION!$F$2:$F$500,0))),"⚠"))</f>
        <v/>
      </c>
      <c r="AO27" t="str">
        <f>IF(CAPTURA!BT27="","",MIN(100,ROUND((LEN(CAPTURA!BT27)-LEN(SUBSTITUTE(CAPTURA!BT27,";",""))+1)/7*100,1)))</f>
        <v/>
      </c>
      <c r="AP27" t="str">
        <f>IF(CAPTURA!BU27="","",IFERROR(IF(INDEX(CODIFICACION!$E$2:$E$500,MATCH("D5.20|"&amp;CAPTURA!BU27,CODIFICACION!$F$2:$F$500,0))="sin dato","",INDEX(CODIFICACION!$E$2:$E$500,MATCH("D5.20|"&amp;CAPTURA!BU27,CODIFICACION!$F$2:$F$500,0))),"⚠"))</f>
        <v/>
      </c>
      <c r="AQ27" t="str">
        <f>IF(CAPTURA!BV27="","",IFERROR(IF(INDEX(CODIFICACION!$E$2:$E$500,MATCH("D5.21|"&amp;CAPTURA!BV27,CODIFICACION!$F$2:$F$500,0))="sin dato","",INDEX(CODIFICACION!$E$2:$E$500,MATCH("D5.21|"&amp;CAPTURA!BV27,CODIFICACION!$F$2:$F$500,0))),"⚠"))</f>
        <v/>
      </c>
      <c r="AR27" t="str">
        <f>IF(CAPTURA!BW27="","",IFERROR(IF(INDEX(CODIFICACION!$E$2:$E$500,MATCH("D5.21a|"&amp;CAPTURA!BW27,CODIFICACION!$F$2:$F$500,0))="sin dato","",INDEX(CODIFICACION!$E$2:$E$500,MATCH("D5.21a|"&amp;CAPTURA!BW27,CODIFICACION!$F$2:$F$500,0))),"⚠"))</f>
        <v/>
      </c>
      <c r="AS27" t="str">
        <f>IF(CAPTURA!BX27="","",IFERROR(IF(INDEX(CODIFICACION!$E$2:$E$500,MATCH("D5.21b|"&amp;CAPTURA!BX27,CODIFICACION!$F$2:$F$500,0))="sin dato","",INDEX(CODIFICACION!$E$2:$E$500,MATCH("D5.21b|"&amp;CAPTURA!BX27,CODIFICACION!$F$2:$F$500,0))),"⚠"))</f>
        <v/>
      </c>
      <c r="AT27" t="str">
        <f>IF(CAPTURA!BY27="","",IFERROR(IF(INDEX(CODIFICACION!$E$2:$E$500,MATCH("D6.22|"&amp;CAPTURA!BY27,CODIFICACION!$F$2:$F$500,0))="sin dato","",INDEX(CODIFICACION!$E$2:$E$500,MATCH("D6.22|"&amp;CAPTURA!BY27,CODIFICACION!$F$2:$F$500,0))),"⚠"))</f>
        <v/>
      </c>
      <c r="AU27" t="str">
        <f>IF(CAPTURA!BZ27="","",IFERROR(IF(INDEX(CODIFICACION!$E$2:$E$500,MATCH("D6.22a|"&amp;CAPTURA!BZ27,CODIFICACION!$F$2:$F$500,0))="sin dato","",INDEX(CODIFICACION!$E$2:$E$500,MATCH("D6.22a|"&amp;CAPTURA!BZ27,CODIFICACION!$F$2:$F$500,0))),"⚠"))</f>
        <v/>
      </c>
      <c r="AV27" t="str">
        <f>IF(CAPTURA!CA27="","",IFERROR(IF(INDEX(CODIFICACION!$E$2:$E$500,MATCH("D6.22b|"&amp;CAPTURA!CA27,CODIFICACION!$F$2:$F$500,0))="sin dato","",INDEX(CODIFICACION!$E$2:$E$500,MATCH("D6.22b|"&amp;CAPTURA!CA27,CODIFICACION!$F$2:$F$500,0))),"⚠"))</f>
        <v/>
      </c>
      <c r="AW27" t="str">
        <f>IF(CAPTURA!CB27="","",IFERROR(IF(INDEX(CODIFICACION!$E$2:$E$500,MATCH("D6.23|"&amp;CAPTURA!CB27,CODIFICACION!$F$2:$F$500,0))="sin dato","",INDEX(CODIFICACION!$E$2:$E$500,MATCH("D6.23|"&amp;CAPTURA!CB27,CODIFICACION!$F$2:$F$500,0))),"⚠"))</f>
        <v/>
      </c>
      <c r="AX27" t="str">
        <f>IF(CAPTURA!CC27="","",IFERROR(IF(INDEX(CODIFICACION!$E$2:$E$500,MATCH("D6.24|"&amp;CAPTURA!CC27,CODIFICACION!$F$2:$F$500,0))="sin dato","",INDEX(CODIFICACION!$E$2:$E$500,MATCH("D6.24|"&amp;CAPTURA!CC27,CODIFICACION!$F$2:$F$500,0))),"⚠"))</f>
        <v/>
      </c>
      <c r="AY27" t="str">
        <f>IF(CAPTURA!CD27="","",IFERROR(IF(INDEX(CODIFICACION!$E$2:$E$500,MATCH("D6.25|"&amp;CAPTURA!CD27,CODIFICACION!$F$2:$F$500,0))="sin dato","",INDEX(CODIFICACION!$E$2:$E$500,MATCH("D6.25|"&amp;CAPTURA!CD27,CODIFICACION!$F$2:$F$500,0))),"⚠"))</f>
        <v/>
      </c>
      <c r="AZ27" t="str">
        <f>IF(CAPTURA!CE27="","",IFERROR(IF(INDEX(CODIFICACION!$E$2:$E$500,MATCH("D6.25a|"&amp;CAPTURA!CE27,CODIFICACION!$F$2:$F$500,0))="sin dato","",INDEX(CODIFICACION!$E$2:$E$500,MATCH("D6.25a|"&amp;CAPTURA!CE27,CODIFICACION!$F$2:$F$500,0))),"⚠"))</f>
        <v/>
      </c>
      <c r="BA27" t="str">
        <f>IF(CAPTURA!CF27="","",IFERROR(IF(INDEX(CODIFICACION!$E$2:$E$500,MATCH("D6.25b|"&amp;CAPTURA!CF27,CODIFICACION!$F$2:$F$500,0))="sin dato","",INDEX(CODIFICACION!$E$2:$E$500,MATCH("D6.25b|"&amp;CAPTURA!CF27,CODIFICACION!$F$2:$F$500,0))),"⚠"))</f>
        <v/>
      </c>
      <c r="BB27" t="str">
        <f>IF(CAPTURA!CG27="","",IFERROR(IF(INDEX(CODIFICACION!$E$2:$E$500,MATCH("D6.22c|"&amp;CAPTURA!CG27,CODIFICACION!$F$2:$F$500,0))="sin dato","",INDEX(CODIFICACION!$E$2:$E$500,MATCH("D6.22c|"&amp;CAPTURA!CG27,CODIFICACION!$F$2:$F$500,0))),"⚠"))</f>
        <v/>
      </c>
      <c r="BC27" t="str">
        <f>IF(CAPTURA!CH27="","",IFERROR(IF(INDEX(CODIFICACION!$E$2:$E$500,MATCH("D7.26|"&amp;CAPTURA!CH27,CODIFICACION!$F$2:$F$500,0))="sin dato","",INDEX(CODIFICACION!$E$2:$E$500,MATCH("D7.26|"&amp;CAPTURA!CH27,CODIFICACION!$F$2:$F$500,0))),"⚠"))</f>
        <v/>
      </c>
      <c r="BD27" t="str">
        <f>IF(CAPTURA!CI27="","",IFERROR(IF(INDEX(CODIFICACION!$E$2:$E$500,MATCH("D7.27|"&amp;CAPTURA!CI27,CODIFICACION!$F$2:$F$500,0))="sin dato","",INDEX(CODIFICACION!$E$2:$E$500,MATCH("D7.27|"&amp;CAPTURA!CI27,CODIFICACION!$F$2:$F$500,0))),"⚠"))</f>
        <v/>
      </c>
      <c r="BE27" t="str">
        <f>IF(CAPTURA!CJ27="","",IFERROR(IF(INDEX(CODIFICACION!$E$2:$E$500,MATCH("D7.28|"&amp;CAPTURA!CJ27,CODIFICACION!$F$2:$F$500,0))="sin dato","",INDEX(CODIFICACION!$E$2:$E$500,MATCH("D7.28|"&amp;CAPTURA!CJ27,CODIFICACION!$F$2:$F$500,0))),"⚠"))</f>
        <v/>
      </c>
      <c r="BF27" t="str">
        <f>IF(CAPTURA!CK27="","",IFERROR(IF(INDEX(CODIFICACION!$E$2:$E$500,MATCH("D7.28b|"&amp;CAPTURA!CK27,CODIFICACION!$F$2:$F$500,0))="sin dato","",INDEX(CODIFICACION!$E$2:$E$500,MATCH("D7.28b|"&amp;CAPTURA!CK27,CODIFICACION!$F$2:$F$500,0))),"⚠"))</f>
        <v/>
      </c>
      <c r="BG27" t="str">
        <f>IF(CAPTURA!CL27="","",MIN(100,ROUND((LEN(CAPTURA!CL27)-LEN(SUBSTITUTE(CAPTURA!CL27,";",""))+1)/8*100,1)))</f>
        <v/>
      </c>
      <c r="BH27" t="str">
        <f>IF(CAPTURA!CM27="","",IFERROR(IF(INDEX(CODIFICACION!$E$2:$E$500,MATCH("D7.26a|"&amp;CAPTURA!CM27,CODIFICACION!$F$2:$F$500,0))="sin dato","",INDEX(CODIFICACION!$E$2:$E$500,MATCH("D7.26a|"&amp;CAPTURA!CM27,CODIFICACION!$F$2:$F$500,0))),"⚠"))</f>
        <v/>
      </c>
      <c r="BI27" t="str">
        <f>IF(CAPTURA!CN27="","",IFERROR(IF(INDEX(CODIFICACION!$E$2:$E$500,MATCH("D7.26b|"&amp;CAPTURA!CN27,CODIFICACION!$F$2:$F$500,0))="sin dato","",INDEX(CODIFICACION!$E$2:$E$500,MATCH("D7.26b|"&amp;CAPTURA!CN27,CODIFICACION!$F$2:$F$500,0))),"⚠"))</f>
        <v/>
      </c>
      <c r="BJ27" t="str">
        <f>IF(CAPTURA!CO27="","",IF(AND(ISNUMBER(CAPTURA!CO27),CAPTURA!CO27&gt;=0,CAPTURA!CO27&lt;=4),CAPTURA!CO27*25,"⚠"))</f>
        <v/>
      </c>
      <c r="BK27" t="str">
        <f>IF(CAPTURA!CP27="","",IF(ISNUMBER(CAPTURA!CP27),MAX(0,MIN(100,CAPTURA!CP27)),"⚠"))</f>
        <v/>
      </c>
      <c r="BL27" t="str">
        <f>IF(CAPTURA!CQ27="","",IFERROR(IF(INDEX(CODIFICACION!$E$2:$E$500,MATCH("D8.31|"&amp;CAPTURA!CQ27,CODIFICACION!$F$2:$F$500,0))="sin dato","",INDEX(CODIFICACION!$E$2:$E$500,MATCH("D8.31|"&amp;CAPTURA!CQ27,CODIFICACION!$F$2:$F$500,0))),"⚠"))</f>
        <v/>
      </c>
      <c r="BM27" t="str">
        <f>IF(CAPTURA!CR27="","",IFERROR(IF(INDEX(CODIFICACION!$E$2:$E$500,MATCH("D8.32|"&amp;CAPTURA!CR27,CODIFICACION!$F$2:$F$500,0))="sin dato","",INDEX(CODIFICACION!$E$2:$E$500,MATCH("D8.32|"&amp;CAPTURA!CR27,CODIFICACION!$F$2:$F$500,0))),"⚠"))</f>
        <v/>
      </c>
      <c r="BN27" t="str">
        <f>IF(CAPTURA!CS27="","",IFERROR(IF(INDEX(CODIFICACION!$E$2:$E$500,MATCH("D9.33|"&amp;CAPTURA!CS27,CODIFICACION!$F$2:$F$500,0))="sin dato","",INDEX(CODIFICACION!$E$2:$E$500,MATCH("D9.33|"&amp;CAPTURA!CS27,CODIFICACION!$F$2:$F$500,0))),"⚠"))</f>
        <v/>
      </c>
      <c r="BO27" t="str">
        <f>IF(CAPTURA!CT27="","",IFERROR(IF(INDEX(CODIFICACION!$E$2:$E$500,MATCH("D9.34|"&amp;CAPTURA!CT27,CODIFICACION!$F$2:$F$500,0))="sin dato","",INDEX(CODIFICACION!$E$2:$E$500,MATCH("D9.34|"&amp;CAPTURA!CT27,CODIFICACION!$F$2:$F$500,0))),"⚠"))</f>
        <v/>
      </c>
      <c r="BP27" t="str">
        <f>IF(CAPTURA!CU27="","",IFERROR(IF(INDEX(CODIFICACION!$E$2:$E$500,MATCH("D9.35|"&amp;CAPTURA!CU27,CODIFICACION!$F$2:$F$500,0))="sin dato","",INDEX(CODIFICACION!$E$2:$E$500,MATCH("D9.35|"&amp;CAPTURA!CU27,CODIFICACION!$F$2:$F$500,0))),"⚠"))</f>
        <v/>
      </c>
      <c r="BQ27" t="str">
        <f>IF(CAPTURA!CV27="","",IFERROR(IF(INDEX(CODIFICACION!$E$2:$E$500,MATCH("D10.36|"&amp;CAPTURA!CV27,CODIFICACION!$F$2:$F$500,0))="sin dato","",INDEX(CODIFICACION!$E$2:$E$500,MATCH("D10.36|"&amp;CAPTURA!CV27,CODIFICACION!$F$2:$F$500,0))),"⚠"))</f>
        <v/>
      </c>
      <c r="BR27" t="str">
        <f>IF(CAPTURA!CW27="","",IFERROR(IF(INDEX(CODIFICACION!$E$2:$E$500,MATCH("D10.37|"&amp;CAPTURA!CW27,CODIFICACION!$F$2:$F$500,0))="sin dato","",INDEX(CODIFICACION!$E$2:$E$500,MATCH("D10.37|"&amp;CAPTURA!CW27,CODIFICACION!$F$2:$F$500,0))),"⚠"))</f>
        <v/>
      </c>
      <c r="BS27" t="str">
        <f>IF(CAPTURA!CX27="","",IFERROR(IF(INDEX(CODIFICACION!$E$2:$E$500,MATCH("D10.36a|"&amp;CAPTURA!CX27,CODIFICACION!$F$2:$F$500,0))="sin dato","",INDEX(CODIFICACION!$E$2:$E$500,MATCH("D10.36a|"&amp;CAPTURA!CX27,CODIFICACION!$F$2:$F$500,0))),"⚠"))</f>
        <v/>
      </c>
      <c r="BT27" t="str">
        <f>IF(CAPTURA!CY27="","",IF(ISNUMBER(SEARCH("Ninguno",CAPTURA!CY27)),0,MIN(100,ROUND((LEN(CAPTURA!CY27)-LEN(SUBSTITUTE(CAPTURA!CY27,";",""))+1)/6*100,1))))</f>
        <v/>
      </c>
      <c r="BU27" t="str">
        <f>IF(CAPTURA!DA27="","",IFERROR(IF(INDEX(CODIFICACION!$E$2:$E$500,MATCH("D11.39a|"&amp;CAPTURA!DA27,CODIFICACION!$F$2:$F$500,0))="sin dato","",INDEX(CODIFICACION!$E$2:$E$500,MATCH("D11.39a|"&amp;CAPTURA!DA27,CODIFICACION!$F$2:$F$500,0))),"⚠"))</f>
        <v/>
      </c>
      <c r="BV27" t="str">
        <f>IF(CAPTURA!DB27="","",IFERROR(IF(INDEX(CODIFICACION!$E$2:$E$500,MATCH("D12.42|"&amp;CAPTURA!DB27,CODIFICACION!$F$2:$F$500,0))="sin dato","",INDEX(CODIFICACION!$E$2:$E$500,MATCH("D12.42|"&amp;CAPTURA!DB27,CODIFICACION!$F$2:$F$500,0))),"⚠"))</f>
        <v/>
      </c>
      <c r="BW27" t="str">
        <f>IF(CAPTURA!DC27="","",IFERROR(IF(INDEX(CODIFICACION!$E$2:$E$500,MATCH("D13.45|"&amp;CAPTURA!DC27,CODIFICACION!$F$2:$F$500,0))="sin dato","",INDEX(CODIFICACION!$E$2:$E$500,MATCH("D13.45|"&amp;CAPTURA!DC27,CODIFICACION!$F$2:$F$500,0))),"⚠"))</f>
        <v/>
      </c>
      <c r="BX27" t="str">
        <f>IF(CAPTURA!DD27="","",IFERROR(IF(INDEX(CODIFICACION!$E$2:$E$500,MATCH("D14.51|"&amp;CAPTURA!DD27,CODIFICACION!$F$2:$F$500,0))="sin dato","",INDEX(CODIFICACION!$E$2:$E$500,MATCH("D14.51|"&amp;CAPTURA!DD27,CODIFICACION!$F$2:$F$500,0))),"⚠"))</f>
        <v/>
      </c>
      <c r="BY27" t="str">
        <f>IF(CAPTURA!DE27="","",IFERROR(IF(INDEX(CODIFICACION!$E$2:$E$500,MATCH("D15.58|"&amp;CAPTURA!DE27,CODIFICACION!$F$2:$F$500,0))="sin dato","",INDEX(CODIFICACION!$E$2:$E$500,MATCH("D15.58|"&amp;CAPTURA!DE27,CODIFICACION!$F$2:$F$500,0))),"⚠"))</f>
        <v/>
      </c>
      <c r="BZ27" t="str">
        <f>IF(CAPTURA!DF27="","",IFERROR(IF(INDEX(CODIFICACION!$E$2:$E$500,MATCH("PP1|"&amp;CAPTURA!DF27,CODIFICACION!$F$2:$F$500,0))="sin dato","",INDEX(CODIFICACION!$E$2:$E$500,MATCH("PP1|"&amp;CAPTURA!DF27,CODIFICACION!$F$2:$F$500,0))),"⚠"))</f>
        <v/>
      </c>
      <c r="CA27" t="str">
        <f>IF(CAPTURA!DG27="","",IFERROR(IF(INDEX(CODIFICACION!$E$2:$E$500,MATCH("PP2|"&amp;CAPTURA!DG27,CODIFICACION!$F$2:$F$500,0))="sin dato","",INDEX(CODIFICACION!$E$2:$E$500,MATCH("PP2|"&amp;CAPTURA!DG27,CODIFICACION!$F$2:$F$500,0))),"⚠"))</f>
        <v/>
      </c>
      <c r="CB27" t="str">
        <f t="shared" si="0"/>
        <v/>
      </c>
      <c r="CC27" t="str">
        <f t="shared" si="1"/>
        <v/>
      </c>
      <c r="CD27" t="str">
        <f t="shared" si="2"/>
        <v/>
      </c>
      <c r="CE27" t="str">
        <f t="shared" si="3"/>
        <v/>
      </c>
      <c r="CF27" t="str">
        <f t="shared" si="4"/>
        <v/>
      </c>
      <c r="CG27" t="str">
        <f t="shared" si="5"/>
        <v/>
      </c>
      <c r="CH27" t="str">
        <f t="shared" si="6"/>
        <v/>
      </c>
      <c r="CI27" t="str">
        <f t="shared" si="7"/>
        <v/>
      </c>
      <c r="CJ27" t="str">
        <f t="shared" si="8"/>
        <v/>
      </c>
      <c r="CK27" t="str">
        <f t="shared" si="9"/>
        <v/>
      </c>
      <c r="CL27" t="str">
        <f t="shared" si="10"/>
        <v/>
      </c>
    </row>
    <row r="28" spans="1:90" x14ac:dyDescent="0.3">
      <c r="A28">
        <f>CAPTURA!A28</f>
        <v>20393882868</v>
      </c>
      <c r="B28">
        <f>CAPTURA!C28</f>
        <v>0</v>
      </c>
      <c r="C28" t="str">
        <f>IF(CAPTURA!M28="","",ROUND((ISNUMBER(SEARCH("Alemania",CAPTURA!M28))+ISNUMBER(SEARCH("Bélgica",CAPTURA!M28))+ISNUMBER(SEARCH("Países Bajos",CAPTURA!M28))+ISNUMBER(SEARCH("Francia",CAPTURA!M28))+ISNUMBER(SEARCH("Italia",CAPTURA!M28))+ISNUMBER(SEARCH("España",CAPTURA!M28))+ISNUMBER(SEARCH("Suecia",CAPTURA!M28))+ISNUMBER(SEARCH("Dinamarca",CAPTURA!M28)))/((LEN(CAPTURA!M28)-LEN(SUBSTITUTE(CAPTURA!M28,";","")))+1)*100,1))</f>
        <v/>
      </c>
      <c r="D28" t="str">
        <f>IF(CAPTURA!AE28="","",IFERROR(IF(INDEX(CODIFICACION!$E$2:$E$500,MATCH("P8|"&amp;CAPTURA!AE28,CODIFICACION!$F$2:$F$500,0))="sin dato","",INDEX(CODIFICACION!$E$2:$E$500,MATCH("P8|"&amp;CAPTURA!AE28,CODIFICACION!$F$2:$F$500,0))),"⚠"))</f>
        <v/>
      </c>
      <c r="E28" t="str">
        <f>IF(CAPTURA!AG28="","",IFERROR(IF(INDEX(CODIFICACION!$E$2:$E$500,MATCH("P10|"&amp;CAPTURA!AG28,CODIFICACION!$F$2:$F$500,0))="sin dato","",INDEX(CODIFICACION!$E$2:$E$500,MATCH("P10|"&amp;CAPTURA!AG28,CODIFICACION!$F$2:$F$500,0))),"⚠"))</f>
        <v/>
      </c>
      <c r="F28" t="str">
        <f>IF(CAPTURA!AJ28="","",IFERROR(IF(INDEX(CODIFICACION!$E$2:$E$500,MATCH("P13|"&amp;CAPTURA!AJ28,CODIFICACION!$F$2:$F$500,0))="sin dato","",INDEX(CODIFICACION!$E$2:$E$500,MATCH("P13|"&amp;CAPTURA!AJ28,CODIFICACION!$F$2:$F$500,0))),"⚠"))</f>
        <v/>
      </c>
      <c r="G28" t="str">
        <f>IF(CAPTURA!AK28="","",IFERROR(IF(INDEX(CODIFICACION!$E$2:$E$500,MATCH("P14|"&amp;CAPTURA!AK28,CODIFICACION!$F$2:$F$500,0))="sin dato","",INDEX(CODIFICACION!$E$2:$E$500,MATCH("P14|"&amp;CAPTURA!AK28,CODIFICACION!$F$2:$F$500,0))),"⚠"))</f>
        <v/>
      </c>
      <c r="H28" t="str">
        <f>IF(CAPTURA!AL28="","",IFERROR(IF(INDEX(CODIFICACION!$E$2:$E$500,MATCH("D1.1|"&amp;CAPTURA!AL28,CODIFICACION!$F$2:$F$500,0))="sin dato","",INDEX(CODIFICACION!$E$2:$E$500,MATCH("D1.1|"&amp;CAPTURA!AL28,CODIFICACION!$F$2:$F$500,0))),"⚠"))</f>
        <v/>
      </c>
      <c r="I28" t="str">
        <f>IF(CAPTURA!AN28="","",IFERROR(IF(INDEX(CODIFICACION!$E$2:$E$500,MATCH("D1.3|"&amp;CAPTURA!AN28,CODIFICACION!$F$2:$F$500,0))="sin dato","",INDEX(CODIFICACION!$E$2:$E$500,MATCH("D1.3|"&amp;CAPTURA!AN28,CODIFICACION!$F$2:$F$500,0))),"⚠"))</f>
        <v/>
      </c>
      <c r="J28" t="str">
        <f>IF(CAPTURA!AO28="","",IFERROR(IF(INDEX(CODIFICACION!$E$2:$E$500,MATCH("D1.4|"&amp;CAPTURA!AO28,CODIFICACION!$F$2:$F$500,0))="sin dato","",INDEX(CODIFICACION!$E$2:$E$500,MATCH("D1.4|"&amp;CAPTURA!AO28,CODIFICACION!$F$2:$F$500,0))),"⚠"))</f>
        <v/>
      </c>
      <c r="K28" t="str">
        <f>IF(CAPTURA!AP28="","",IFERROR(IF(INDEX(CODIFICACION!$E$2:$E$500,MATCH("D1.3a|"&amp;CAPTURA!AP28,CODIFICACION!$F$2:$F$500,0))="sin dato","",INDEX(CODIFICACION!$E$2:$E$500,MATCH("D1.3a|"&amp;CAPTURA!AP28,CODIFICACION!$F$2:$F$500,0))),"⚠"))</f>
        <v/>
      </c>
      <c r="L28" t="str">
        <f>IF(CAPTURA!AQ28="","",IF(AND(ISNUMBER(CAPTURA!AQ28),CAPTURA!AQ28&gt;=0,CAPTURA!AQ28&lt;=4),CAPTURA!AQ28*25,"⚠"))</f>
        <v/>
      </c>
      <c r="M28" t="str">
        <f>IF(CAPTURA!AR28="","",IF(ISNUMBER(CAPTURA!AR28),MAX(0,MIN(100,CAPTURA!AR28)),"⚠"))</f>
        <v/>
      </c>
      <c r="N28" t="str">
        <f>IF(CAPTURA!AS28="","",IF(AND(ISNUMBER(CAPTURA!AS28),CAPTURA!AS28&gt;=0,CAPTURA!AS28&lt;=4),CAPTURA!AS28*25,"⚠"))</f>
        <v/>
      </c>
      <c r="O28" t="str">
        <f>IF(CAPTURA!AT28="","",IFERROR(IF(INDEX(CODIFICACION!$E$2:$E$500,MATCH("D2.8|"&amp;CAPTURA!AT28,CODIFICACION!$F$2:$F$500,0))="sin dato","",INDEX(CODIFICACION!$E$2:$E$500,MATCH("D2.8|"&amp;CAPTURA!AT28,CODIFICACION!$F$2:$F$500,0))),"⚠"))</f>
        <v/>
      </c>
      <c r="P28" t="str">
        <f>IF(CAPTURA!AU28="","",IFERROR(IF(INDEX(CODIFICACION!$E$2:$E$500,MATCH("D2.9|"&amp;CAPTURA!AU28,CODIFICACION!$F$2:$F$500,0))="sin dato","",INDEX(CODIFICACION!$E$2:$E$500,MATCH("D2.9|"&amp;CAPTURA!AU28,CODIFICACION!$F$2:$F$500,0))),"⚠"))</f>
        <v/>
      </c>
      <c r="Q28" t="str">
        <f>IF(CAPTURA!AV28="","",IFERROR(IF(INDEX(CODIFICACION!$E$2:$E$500,MATCH("D2.10|"&amp;CAPTURA!AV28,CODIFICACION!$F$2:$F$500,0))="sin dato","",INDEX(CODIFICACION!$E$2:$E$500,MATCH("D2.10|"&amp;CAPTURA!AV28,CODIFICACION!$F$2:$F$500,0))),"⚠"))</f>
        <v/>
      </c>
      <c r="R28" t="str">
        <f>IF(CAPTURA!AW28="","",IFERROR(IF(INDEX(CODIFICACION!$E$2:$E$500,MATCH("D2.5a|"&amp;CAPTURA!AW28,CODIFICACION!$F$2:$F$500,0))="sin dato","",INDEX(CODIFICACION!$E$2:$E$500,MATCH("D2.5a|"&amp;CAPTURA!AW28,CODIFICACION!$F$2:$F$500,0))),"⚠"))</f>
        <v/>
      </c>
      <c r="S28" t="str">
        <f>IF(CAPTURA!AX28="","",IFERROR(IF(INDEX(CODIFICACION!$E$2:$E$500,MATCH("D2.5b|"&amp;CAPTURA!AX28,CODIFICACION!$F$2:$F$500,0))="sin dato","",INDEX(CODIFICACION!$E$2:$E$500,MATCH("D2.5b|"&amp;CAPTURA!AX28,CODIFICACION!$F$2:$F$500,0))),"⚠"))</f>
        <v/>
      </c>
      <c r="T28" t="str">
        <f>IF(CAPTURA!AY28="","",IF(ISNUMBER(CAPTURA!AY28),MAX(0,MIN(100,CAPTURA!AY28)),"⚠"))</f>
        <v/>
      </c>
      <c r="U28" t="str">
        <f>IF(CAPTURA!AZ28="","",IFERROR(IF(INDEX(CODIFICACION!$E$2:$E$500,MATCH("D3.12|"&amp;CAPTURA!AZ28,CODIFICACION!$F$2:$F$500,0))="sin dato","",INDEX(CODIFICACION!$E$2:$E$500,MATCH("D3.12|"&amp;CAPTURA!AZ28,CODIFICACION!$F$2:$F$500,0))),"⚠"))</f>
        <v/>
      </c>
      <c r="V28" t="str">
        <f>IF(CAPTURA!BA28="","",IF(AND(ISNUMBER(CAPTURA!BA28),CAPTURA!BA28&gt;=0,CAPTURA!BA28&lt;=4),CAPTURA!BA28*25,"⚠"))</f>
        <v/>
      </c>
      <c r="W28" t="str">
        <f>IF(CAPTURA!BB28="","",IFERROR(IF(INDEX(CODIFICACION!$E$2:$E$500,MATCH("D3.14|"&amp;CAPTURA!BB28,CODIFICACION!$F$2:$F$500,0))="sin dato","",INDEX(CODIFICACION!$E$2:$E$500,MATCH("D3.14|"&amp;CAPTURA!BB28,CODIFICACION!$F$2:$F$500,0))),"⚠"))</f>
        <v/>
      </c>
      <c r="X28" t="str">
        <f>IF(CAPTURA!BC28="","",IFERROR(IF(INDEX(CODIFICACION!$E$2:$E$500,MATCH("D3.14a|"&amp;CAPTURA!BC28,CODIFICACION!$F$2:$F$500,0))="sin dato","",INDEX(CODIFICACION!$E$2:$E$500,MATCH("D3.14a|"&amp;CAPTURA!BC28,CODIFICACION!$F$2:$F$500,0))),"⚠"))</f>
        <v/>
      </c>
      <c r="Y28" t="str">
        <f>IF(CAPTURA!BD28="","",IFERROR(IF(INDEX(CODIFICACION!$E$2:$E$500,MATCH("D3.14b|"&amp;CAPTURA!BD28,CODIFICACION!$F$2:$F$500,0))="sin dato","",INDEX(CODIFICACION!$E$2:$E$500,MATCH("D3.14b|"&amp;CAPTURA!BD28,CODIFICACION!$F$2:$F$500,0))),"⚠"))</f>
        <v/>
      </c>
      <c r="Z28" t="str">
        <f>IF(CAPTURA!BE28="","",IFERROR(IF(INDEX(CODIFICACION!$E$2:$E$500,MATCH("D3.14c|"&amp;CAPTURA!BE28,CODIFICACION!$F$2:$F$500,0))="sin dato","",INDEX(CODIFICACION!$E$2:$E$500,MATCH("D3.14c|"&amp;CAPTURA!BE28,CODIFICACION!$F$2:$F$500,0))),"⚠"))</f>
        <v/>
      </c>
      <c r="AA28" t="str">
        <f>IF(CAPTURA!BF28="","",IFERROR(IF(INDEX(CODIFICACION!$E$2:$E$500,MATCH("D3.14d|"&amp;CAPTURA!BF28,CODIFICACION!$F$2:$F$500,0))="sin dato","",INDEX(CODIFICACION!$E$2:$E$500,MATCH("D3.14d|"&amp;CAPTURA!BF28,CODIFICACION!$F$2:$F$500,0))),"⚠"))</f>
        <v/>
      </c>
      <c r="AB28" t="str">
        <f>IF(CAPTURA!BG28="","",IFERROR(IF(INDEX(CODIFICACION!$E$2:$E$500,MATCH("D3.14e|"&amp;CAPTURA!BG28,CODIFICACION!$F$2:$F$500,0))="sin dato","",INDEX(CODIFICACION!$E$2:$E$500,MATCH("D3.14e|"&amp;CAPTURA!BG28,CODIFICACION!$F$2:$F$500,0))),"⚠"))</f>
        <v/>
      </c>
      <c r="AC28" t="str">
        <f>IF(CAPTURA!BH28="","",IFERROR(IF(INDEX(CODIFICACION!$E$2:$E$500,MATCH("D3.14f|"&amp;CAPTURA!BH28,CODIFICACION!$F$2:$F$500,0))="sin dato","",INDEX(CODIFICACION!$E$2:$E$500,MATCH("D3.14f|"&amp;CAPTURA!BH28,CODIFICACION!$F$2:$F$500,0))),"⚠"))</f>
        <v/>
      </c>
      <c r="AD28" t="str">
        <f>IF(CAPTURA!BI28="","",IFERROR(IF(INDEX(CODIFICACION!$E$2:$E$500,MATCH("D3.14g|"&amp;CAPTURA!BI28,CODIFICACION!$F$2:$F$500,0))="sin dato","",INDEX(CODIFICACION!$E$2:$E$500,MATCH("D3.14g|"&amp;CAPTURA!BI28,CODIFICACION!$F$2:$F$500,0))),"⚠"))</f>
        <v/>
      </c>
      <c r="AE28" t="str">
        <f>IF(CAPTURA!BJ28="","",IFERROR(IF(INDEX(CODIFICACION!$E$2:$E$500,MATCH("D3.14h|"&amp;CAPTURA!BJ28,CODIFICACION!$F$2:$F$500,0))="sin dato","",INDEX(CODIFICACION!$E$2:$E$500,MATCH("D3.14h|"&amp;CAPTURA!BJ28,CODIFICACION!$F$2:$F$500,0))),"⚠"))</f>
        <v/>
      </c>
      <c r="AF28" t="str">
        <f>IF(CAPTURA!BK28="","",IFERROR(IF(INDEX(CODIFICACION!$E$2:$E$500,MATCH("D3.14i|"&amp;CAPTURA!BK28,CODIFICACION!$F$2:$F$500,0))="sin dato","",INDEX(CODIFICACION!$E$2:$E$500,MATCH("D3.14i|"&amp;CAPTURA!BK28,CODIFICACION!$F$2:$F$500,0))),"⚠"))</f>
        <v/>
      </c>
      <c r="AG28" t="str">
        <f>IF(CAPTURA!BL28="","",IFERROR(IF(INDEX(CODIFICACION!$E$2:$E$500,MATCH("D4.15|"&amp;CAPTURA!BL28,CODIFICACION!$F$2:$F$500,0))="sin dato","",INDEX(CODIFICACION!$E$2:$E$500,MATCH("D4.15|"&amp;CAPTURA!BL28,CODIFICACION!$F$2:$F$500,0))),"⚠"))</f>
        <v/>
      </c>
      <c r="AH28" t="str">
        <f>IF(CAPTURA!BM28="","",IF(AND(ISNUMBER(CAPTURA!BM28),CAPTURA!BM28&gt;=0,CAPTURA!BM28&lt;=4),CAPTURA!BM28*25,"⚠"))</f>
        <v/>
      </c>
      <c r="AI28" t="str">
        <f>IF(CAPTURA!BN28="","",IFERROR(IF(INDEX(CODIFICACION!$E$2:$E$500,MATCH("D4.17|"&amp;CAPTURA!BN28,CODIFICACION!$F$2:$F$500,0))="sin dato","",INDEX(CODIFICACION!$E$2:$E$500,MATCH("D4.17|"&amp;CAPTURA!BN28,CODIFICACION!$F$2:$F$500,0))),"⚠"))</f>
        <v/>
      </c>
      <c r="AJ28" t="str">
        <f>IF(CAPTURA!BO28="","",IFERROR(IF(INDEX(CODIFICACION!$E$2:$E$500,MATCH("D4.15a|"&amp;CAPTURA!BO28,CODIFICACION!$F$2:$F$500,0))="sin dato","",INDEX(CODIFICACION!$E$2:$E$500,MATCH("D4.15a|"&amp;CAPTURA!BO28,CODIFICACION!$F$2:$F$500,0))),"⚠"))</f>
        <v/>
      </c>
      <c r="AK28" t="str">
        <f>IF(CAPTURA!BP28="","",IF(AND(ISNUMBER(CAPTURA!BP28),CAPTURA!BP28&gt;=0,CAPTURA!BP28&lt;=4),CAPTURA!BP28*25,"⚠"))</f>
        <v/>
      </c>
      <c r="AL28" t="str">
        <f>IF(CAPTURA!BQ28="","",IF(AND(ISNUMBER(CAPTURA!BQ28),CAPTURA!BQ28&gt;=0,CAPTURA!BQ28&lt;=4),CAPTURA!BQ28*25,"⚠"))</f>
        <v/>
      </c>
      <c r="AM28" t="str">
        <f>IF(CAPTURA!BR28="","",IFERROR(IF(INDEX(CODIFICACION!$E$2:$E$500,MATCH("D5.18b|"&amp;CAPTURA!BR28,CODIFICACION!$F$2:$F$500,0))="sin dato","",INDEX(CODIFICACION!$E$2:$E$500,MATCH("D5.18b|"&amp;CAPTURA!BR28,CODIFICACION!$F$2:$F$500,0))),"⚠"))</f>
        <v/>
      </c>
      <c r="AN28" t="str">
        <f>IF(CAPTURA!BS28="","",IFERROR(IF(INDEX(CODIFICACION!$E$2:$E$500,MATCH("D5.19|"&amp;CAPTURA!BS28,CODIFICACION!$F$2:$F$500,0))="sin dato","",INDEX(CODIFICACION!$E$2:$E$500,MATCH("D5.19|"&amp;CAPTURA!BS28,CODIFICACION!$F$2:$F$500,0))),"⚠"))</f>
        <v/>
      </c>
      <c r="AO28" t="str">
        <f>IF(CAPTURA!BT28="","",MIN(100,ROUND((LEN(CAPTURA!BT28)-LEN(SUBSTITUTE(CAPTURA!BT28,";",""))+1)/7*100,1)))</f>
        <v/>
      </c>
      <c r="AP28" t="str">
        <f>IF(CAPTURA!BU28="","",IFERROR(IF(INDEX(CODIFICACION!$E$2:$E$500,MATCH("D5.20|"&amp;CAPTURA!BU28,CODIFICACION!$F$2:$F$500,0))="sin dato","",INDEX(CODIFICACION!$E$2:$E$500,MATCH("D5.20|"&amp;CAPTURA!BU28,CODIFICACION!$F$2:$F$500,0))),"⚠"))</f>
        <v/>
      </c>
      <c r="AQ28" t="str">
        <f>IF(CAPTURA!BV28="","",IFERROR(IF(INDEX(CODIFICACION!$E$2:$E$500,MATCH("D5.21|"&amp;CAPTURA!BV28,CODIFICACION!$F$2:$F$500,0))="sin dato","",INDEX(CODIFICACION!$E$2:$E$500,MATCH("D5.21|"&amp;CAPTURA!BV28,CODIFICACION!$F$2:$F$500,0))),"⚠"))</f>
        <v/>
      </c>
      <c r="AR28" t="str">
        <f>IF(CAPTURA!BW28="","",IFERROR(IF(INDEX(CODIFICACION!$E$2:$E$500,MATCH("D5.21a|"&amp;CAPTURA!BW28,CODIFICACION!$F$2:$F$500,0))="sin dato","",INDEX(CODIFICACION!$E$2:$E$500,MATCH("D5.21a|"&amp;CAPTURA!BW28,CODIFICACION!$F$2:$F$500,0))),"⚠"))</f>
        <v/>
      </c>
      <c r="AS28" t="str">
        <f>IF(CAPTURA!BX28="","",IFERROR(IF(INDEX(CODIFICACION!$E$2:$E$500,MATCH("D5.21b|"&amp;CAPTURA!BX28,CODIFICACION!$F$2:$F$500,0))="sin dato","",INDEX(CODIFICACION!$E$2:$E$500,MATCH("D5.21b|"&amp;CAPTURA!BX28,CODIFICACION!$F$2:$F$500,0))),"⚠"))</f>
        <v/>
      </c>
      <c r="AT28" t="str">
        <f>IF(CAPTURA!BY28="","",IFERROR(IF(INDEX(CODIFICACION!$E$2:$E$500,MATCH("D6.22|"&amp;CAPTURA!BY28,CODIFICACION!$F$2:$F$500,0))="sin dato","",INDEX(CODIFICACION!$E$2:$E$500,MATCH("D6.22|"&amp;CAPTURA!BY28,CODIFICACION!$F$2:$F$500,0))),"⚠"))</f>
        <v/>
      </c>
      <c r="AU28" t="str">
        <f>IF(CAPTURA!BZ28="","",IFERROR(IF(INDEX(CODIFICACION!$E$2:$E$500,MATCH("D6.22a|"&amp;CAPTURA!BZ28,CODIFICACION!$F$2:$F$500,0))="sin dato","",INDEX(CODIFICACION!$E$2:$E$500,MATCH("D6.22a|"&amp;CAPTURA!BZ28,CODIFICACION!$F$2:$F$500,0))),"⚠"))</f>
        <v/>
      </c>
      <c r="AV28" t="str">
        <f>IF(CAPTURA!CA28="","",IFERROR(IF(INDEX(CODIFICACION!$E$2:$E$500,MATCH("D6.22b|"&amp;CAPTURA!CA28,CODIFICACION!$F$2:$F$500,0))="sin dato","",INDEX(CODIFICACION!$E$2:$E$500,MATCH("D6.22b|"&amp;CAPTURA!CA28,CODIFICACION!$F$2:$F$500,0))),"⚠"))</f>
        <v/>
      </c>
      <c r="AW28" t="str">
        <f>IF(CAPTURA!CB28="","",IFERROR(IF(INDEX(CODIFICACION!$E$2:$E$500,MATCH("D6.23|"&amp;CAPTURA!CB28,CODIFICACION!$F$2:$F$500,0))="sin dato","",INDEX(CODIFICACION!$E$2:$E$500,MATCH("D6.23|"&amp;CAPTURA!CB28,CODIFICACION!$F$2:$F$500,0))),"⚠"))</f>
        <v/>
      </c>
      <c r="AX28" t="str">
        <f>IF(CAPTURA!CC28="","",IFERROR(IF(INDEX(CODIFICACION!$E$2:$E$500,MATCH("D6.24|"&amp;CAPTURA!CC28,CODIFICACION!$F$2:$F$500,0))="sin dato","",INDEX(CODIFICACION!$E$2:$E$500,MATCH("D6.24|"&amp;CAPTURA!CC28,CODIFICACION!$F$2:$F$500,0))),"⚠"))</f>
        <v/>
      </c>
      <c r="AY28" t="str">
        <f>IF(CAPTURA!CD28="","",IFERROR(IF(INDEX(CODIFICACION!$E$2:$E$500,MATCH("D6.25|"&amp;CAPTURA!CD28,CODIFICACION!$F$2:$F$500,0))="sin dato","",INDEX(CODIFICACION!$E$2:$E$500,MATCH("D6.25|"&amp;CAPTURA!CD28,CODIFICACION!$F$2:$F$500,0))),"⚠"))</f>
        <v/>
      </c>
      <c r="AZ28" t="str">
        <f>IF(CAPTURA!CE28="","",IFERROR(IF(INDEX(CODIFICACION!$E$2:$E$500,MATCH("D6.25a|"&amp;CAPTURA!CE28,CODIFICACION!$F$2:$F$500,0))="sin dato","",INDEX(CODIFICACION!$E$2:$E$500,MATCH("D6.25a|"&amp;CAPTURA!CE28,CODIFICACION!$F$2:$F$500,0))),"⚠"))</f>
        <v/>
      </c>
      <c r="BA28" t="str">
        <f>IF(CAPTURA!CF28="","",IFERROR(IF(INDEX(CODIFICACION!$E$2:$E$500,MATCH("D6.25b|"&amp;CAPTURA!CF28,CODIFICACION!$F$2:$F$500,0))="sin dato","",INDEX(CODIFICACION!$E$2:$E$500,MATCH("D6.25b|"&amp;CAPTURA!CF28,CODIFICACION!$F$2:$F$500,0))),"⚠"))</f>
        <v/>
      </c>
      <c r="BB28" t="str">
        <f>IF(CAPTURA!CG28="","",IFERROR(IF(INDEX(CODIFICACION!$E$2:$E$500,MATCH("D6.22c|"&amp;CAPTURA!CG28,CODIFICACION!$F$2:$F$500,0))="sin dato","",INDEX(CODIFICACION!$E$2:$E$500,MATCH("D6.22c|"&amp;CAPTURA!CG28,CODIFICACION!$F$2:$F$500,0))),"⚠"))</f>
        <v/>
      </c>
      <c r="BC28" t="str">
        <f>IF(CAPTURA!CH28="","",IFERROR(IF(INDEX(CODIFICACION!$E$2:$E$500,MATCH("D7.26|"&amp;CAPTURA!CH28,CODIFICACION!$F$2:$F$500,0))="sin dato","",INDEX(CODIFICACION!$E$2:$E$500,MATCH("D7.26|"&amp;CAPTURA!CH28,CODIFICACION!$F$2:$F$500,0))),"⚠"))</f>
        <v/>
      </c>
      <c r="BD28" t="str">
        <f>IF(CAPTURA!CI28="","",IFERROR(IF(INDEX(CODIFICACION!$E$2:$E$500,MATCH("D7.27|"&amp;CAPTURA!CI28,CODIFICACION!$F$2:$F$500,0))="sin dato","",INDEX(CODIFICACION!$E$2:$E$500,MATCH("D7.27|"&amp;CAPTURA!CI28,CODIFICACION!$F$2:$F$500,0))),"⚠"))</f>
        <v/>
      </c>
      <c r="BE28" t="str">
        <f>IF(CAPTURA!CJ28="","",IFERROR(IF(INDEX(CODIFICACION!$E$2:$E$500,MATCH("D7.28|"&amp;CAPTURA!CJ28,CODIFICACION!$F$2:$F$500,0))="sin dato","",INDEX(CODIFICACION!$E$2:$E$500,MATCH("D7.28|"&amp;CAPTURA!CJ28,CODIFICACION!$F$2:$F$500,0))),"⚠"))</f>
        <v/>
      </c>
      <c r="BF28" t="str">
        <f>IF(CAPTURA!CK28="","",IFERROR(IF(INDEX(CODIFICACION!$E$2:$E$500,MATCH("D7.28b|"&amp;CAPTURA!CK28,CODIFICACION!$F$2:$F$500,0))="sin dato","",INDEX(CODIFICACION!$E$2:$E$500,MATCH("D7.28b|"&amp;CAPTURA!CK28,CODIFICACION!$F$2:$F$500,0))),"⚠"))</f>
        <v/>
      </c>
      <c r="BG28" t="str">
        <f>IF(CAPTURA!CL28="","",MIN(100,ROUND((LEN(CAPTURA!CL28)-LEN(SUBSTITUTE(CAPTURA!CL28,";",""))+1)/8*100,1)))</f>
        <v/>
      </c>
      <c r="BH28" t="str">
        <f>IF(CAPTURA!CM28="","",IFERROR(IF(INDEX(CODIFICACION!$E$2:$E$500,MATCH("D7.26a|"&amp;CAPTURA!CM28,CODIFICACION!$F$2:$F$500,0))="sin dato","",INDEX(CODIFICACION!$E$2:$E$500,MATCH("D7.26a|"&amp;CAPTURA!CM28,CODIFICACION!$F$2:$F$500,0))),"⚠"))</f>
        <v/>
      </c>
      <c r="BI28" t="str">
        <f>IF(CAPTURA!CN28="","",IFERROR(IF(INDEX(CODIFICACION!$E$2:$E$500,MATCH("D7.26b|"&amp;CAPTURA!CN28,CODIFICACION!$F$2:$F$500,0))="sin dato","",INDEX(CODIFICACION!$E$2:$E$500,MATCH("D7.26b|"&amp;CAPTURA!CN28,CODIFICACION!$F$2:$F$500,0))),"⚠"))</f>
        <v/>
      </c>
      <c r="BJ28" t="str">
        <f>IF(CAPTURA!CO28="","",IF(AND(ISNUMBER(CAPTURA!CO28),CAPTURA!CO28&gt;=0,CAPTURA!CO28&lt;=4),CAPTURA!CO28*25,"⚠"))</f>
        <v/>
      </c>
      <c r="BK28" t="str">
        <f>IF(CAPTURA!CP28="","",IF(ISNUMBER(CAPTURA!CP28),MAX(0,MIN(100,CAPTURA!CP28)),"⚠"))</f>
        <v/>
      </c>
      <c r="BL28" t="str">
        <f>IF(CAPTURA!CQ28="","",IFERROR(IF(INDEX(CODIFICACION!$E$2:$E$500,MATCH("D8.31|"&amp;CAPTURA!CQ28,CODIFICACION!$F$2:$F$500,0))="sin dato","",INDEX(CODIFICACION!$E$2:$E$500,MATCH("D8.31|"&amp;CAPTURA!CQ28,CODIFICACION!$F$2:$F$500,0))),"⚠"))</f>
        <v/>
      </c>
      <c r="BM28" t="str">
        <f>IF(CAPTURA!CR28="","",IFERROR(IF(INDEX(CODIFICACION!$E$2:$E$500,MATCH("D8.32|"&amp;CAPTURA!CR28,CODIFICACION!$F$2:$F$500,0))="sin dato","",INDEX(CODIFICACION!$E$2:$E$500,MATCH("D8.32|"&amp;CAPTURA!CR28,CODIFICACION!$F$2:$F$500,0))),"⚠"))</f>
        <v/>
      </c>
      <c r="BN28" t="str">
        <f>IF(CAPTURA!CS28="","",IFERROR(IF(INDEX(CODIFICACION!$E$2:$E$500,MATCH("D9.33|"&amp;CAPTURA!CS28,CODIFICACION!$F$2:$F$500,0))="sin dato","",INDEX(CODIFICACION!$E$2:$E$500,MATCH("D9.33|"&amp;CAPTURA!CS28,CODIFICACION!$F$2:$F$500,0))),"⚠"))</f>
        <v/>
      </c>
      <c r="BO28" t="str">
        <f>IF(CAPTURA!CT28="","",IFERROR(IF(INDEX(CODIFICACION!$E$2:$E$500,MATCH("D9.34|"&amp;CAPTURA!CT28,CODIFICACION!$F$2:$F$500,0))="sin dato","",INDEX(CODIFICACION!$E$2:$E$500,MATCH("D9.34|"&amp;CAPTURA!CT28,CODIFICACION!$F$2:$F$500,0))),"⚠"))</f>
        <v/>
      </c>
      <c r="BP28" t="str">
        <f>IF(CAPTURA!CU28="","",IFERROR(IF(INDEX(CODIFICACION!$E$2:$E$500,MATCH("D9.35|"&amp;CAPTURA!CU28,CODIFICACION!$F$2:$F$500,0))="sin dato","",INDEX(CODIFICACION!$E$2:$E$500,MATCH("D9.35|"&amp;CAPTURA!CU28,CODIFICACION!$F$2:$F$500,0))),"⚠"))</f>
        <v/>
      </c>
      <c r="BQ28" t="str">
        <f>IF(CAPTURA!CV28="","",IFERROR(IF(INDEX(CODIFICACION!$E$2:$E$500,MATCH("D10.36|"&amp;CAPTURA!CV28,CODIFICACION!$F$2:$F$500,0))="sin dato","",INDEX(CODIFICACION!$E$2:$E$500,MATCH("D10.36|"&amp;CAPTURA!CV28,CODIFICACION!$F$2:$F$500,0))),"⚠"))</f>
        <v/>
      </c>
      <c r="BR28" t="str">
        <f>IF(CAPTURA!CW28="","",IFERROR(IF(INDEX(CODIFICACION!$E$2:$E$500,MATCH("D10.37|"&amp;CAPTURA!CW28,CODIFICACION!$F$2:$F$500,0))="sin dato","",INDEX(CODIFICACION!$E$2:$E$500,MATCH("D10.37|"&amp;CAPTURA!CW28,CODIFICACION!$F$2:$F$500,0))),"⚠"))</f>
        <v/>
      </c>
      <c r="BS28" t="str">
        <f>IF(CAPTURA!CX28="","",IFERROR(IF(INDEX(CODIFICACION!$E$2:$E$500,MATCH("D10.36a|"&amp;CAPTURA!CX28,CODIFICACION!$F$2:$F$500,0))="sin dato","",INDEX(CODIFICACION!$E$2:$E$500,MATCH("D10.36a|"&amp;CAPTURA!CX28,CODIFICACION!$F$2:$F$500,0))),"⚠"))</f>
        <v/>
      </c>
      <c r="BT28" t="str">
        <f>IF(CAPTURA!CY28="","",IF(ISNUMBER(SEARCH("Ninguno",CAPTURA!CY28)),0,MIN(100,ROUND((LEN(CAPTURA!CY28)-LEN(SUBSTITUTE(CAPTURA!CY28,";",""))+1)/6*100,1))))</f>
        <v/>
      </c>
      <c r="BU28" t="str">
        <f>IF(CAPTURA!DA28="","",IFERROR(IF(INDEX(CODIFICACION!$E$2:$E$500,MATCH("D11.39a|"&amp;CAPTURA!DA28,CODIFICACION!$F$2:$F$500,0))="sin dato","",INDEX(CODIFICACION!$E$2:$E$500,MATCH("D11.39a|"&amp;CAPTURA!DA28,CODIFICACION!$F$2:$F$500,0))),"⚠"))</f>
        <v/>
      </c>
      <c r="BV28" t="str">
        <f>IF(CAPTURA!DB28="","",IFERROR(IF(INDEX(CODIFICACION!$E$2:$E$500,MATCH("D12.42|"&amp;CAPTURA!DB28,CODIFICACION!$F$2:$F$500,0))="sin dato","",INDEX(CODIFICACION!$E$2:$E$500,MATCH("D12.42|"&amp;CAPTURA!DB28,CODIFICACION!$F$2:$F$500,0))),"⚠"))</f>
        <v/>
      </c>
      <c r="BW28" t="str">
        <f>IF(CAPTURA!DC28="","",IFERROR(IF(INDEX(CODIFICACION!$E$2:$E$500,MATCH("D13.45|"&amp;CAPTURA!DC28,CODIFICACION!$F$2:$F$500,0))="sin dato","",INDEX(CODIFICACION!$E$2:$E$500,MATCH("D13.45|"&amp;CAPTURA!DC28,CODIFICACION!$F$2:$F$500,0))),"⚠"))</f>
        <v/>
      </c>
      <c r="BX28" t="str">
        <f>IF(CAPTURA!DD28="","",IFERROR(IF(INDEX(CODIFICACION!$E$2:$E$500,MATCH("D14.51|"&amp;CAPTURA!DD28,CODIFICACION!$F$2:$F$500,0))="sin dato","",INDEX(CODIFICACION!$E$2:$E$500,MATCH("D14.51|"&amp;CAPTURA!DD28,CODIFICACION!$F$2:$F$500,0))),"⚠"))</f>
        <v/>
      </c>
      <c r="BY28" t="str">
        <f>IF(CAPTURA!DE28="","",IFERROR(IF(INDEX(CODIFICACION!$E$2:$E$500,MATCH("D15.58|"&amp;CAPTURA!DE28,CODIFICACION!$F$2:$F$500,0))="sin dato","",INDEX(CODIFICACION!$E$2:$E$500,MATCH("D15.58|"&amp;CAPTURA!DE28,CODIFICACION!$F$2:$F$500,0))),"⚠"))</f>
        <v/>
      </c>
      <c r="BZ28" t="str">
        <f>IF(CAPTURA!DF28="","",IFERROR(IF(INDEX(CODIFICACION!$E$2:$E$500,MATCH("PP1|"&amp;CAPTURA!DF28,CODIFICACION!$F$2:$F$500,0))="sin dato","",INDEX(CODIFICACION!$E$2:$E$500,MATCH("PP1|"&amp;CAPTURA!DF28,CODIFICACION!$F$2:$F$500,0))),"⚠"))</f>
        <v/>
      </c>
      <c r="CA28" t="str">
        <f>IF(CAPTURA!DG28="","",IFERROR(IF(INDEX(CODIFICACION!$E$2:$E$500,MATCH("PP2|"&amp;CAPTURA!DG28,CODIFICACION!$F$2:$F$500,0))="sin dato","",INDEX(CODIFICACION!$E$2:$E$500,MATCH("PP2|"&amp;CAPTURA!DG28,CODIFICACION!$F$2:$F$500,0))),"⚠"))</f>
        <v/>
      </c>
      <c r="CB28" t="str">
        <f t="shared" si="0"/>
        <v/>
      </c>
      <c r="CC28" t="str">
        <f t="shared" si="1"/>
        <v/>
      </c>
      <c r="CD28" t="str">
        <f t="shared" si="2"/>
        <v/>
      </c>
      <c r="CE28" t="str">
        <f t="shared" si="3"/>
        <v/>
      </c>
      <c r="CF28" t="str">
        <f t="shared" si="4"/>
        <v/>
      </c>
      <c r="CG28" t="str">
        <f t="shared" si="5"/>
        <v/>
      </c>
      <c r="CH28" t="str">
        <f t="shared" si="6"/>
        <v/>
      </c>
      <c r="CI28" t="str">
        <f t="shared" si="7"/>
        <v/>
      </c>
      <c r="CJ28" t="str">
        <f t="shared" si="8"/>
        <v/>
      </c>
      <c r="CK28" t="str">
        <f t="shared" si="9"/>
        <v/>
      </c>
      <c r="CL28" t="str">
        <f t="shared" si="10"/>
        <v/>
      </c>
    </row>
    <row r="29" spans="1:90" x14ac:dyDescent="0.3">
      <c r="A29">
        <f>CAPTURA!A29</f>
        <v>20393972000</v>
      </c>
      <c r="B29">
        <f>CAPTURA!C29</f>
        <v>0</v>
      </c>
      <c r="C29" t="str">
        <f>IF(CAPTURA!M29="","",ROUND((ISNUMBER(SEARCH("Alemania",CAPTURA!M29))+ISNUMBER(SEARCH("Bélgica",CAPTURA!M29))+ISNUMBER(SEARCH("Países Bajos",CAPTURA!M29))+ISNUMBER(SEARCH("Francia",CAPTURA!M29))+ISNUMBER(SEARCH("Italia",CAPTURA!M29))+ISNUMBER(SEARCH("España",CAPTURA!M29))+ISNUMBER(SEARCH("Suecia",CAPTURA!M29))+ISNUMBER(SEARCH("Dinamarca",CAPTURA!M29)))/((LEN(CAPTURA!M29)-LEN(SUBSTITUTE(CAPTURA!M29,";","")))+1)*100,1))</f>
        <v/>
      </c>
      <c r="D29" t="str">
        <f>IF(CAPTURA!AE29="","",IFERROR(IF(INDEX(CODIFICACION!$E$2:$E$500,MATCH("P8|"&amp;CAPTURA!AE29,CODIFICACION!$F$2:$F$500,0))="sin dato","",INDEX(CODIFICACION!$E$2:$E$500,MATCH("P8|"&amp;CAPTURA!AE29,CODIFICACION!$F$2:$F$500,0))),"⚠"))</f>
        <v/>
      </c>
      <c r="E29" t="str">
        <f>IF(CAPTURA!AG29="","",IFERROR(IF(INDEX(CODIFICACION!$E$2:$E$500,MATCH("P10|"&amp;CAPTURA!AG29,CODIFICACION!$F$2:$F$500,0))="sin dato","",INDEX(CODIFICACION!$E$2:$E$500,MATCH("P10|"&amp;CAPTURA!AG29,CODIFICACION!$F$2:$F$500,0))),"⚠"))</f>
        <v/>
      </c>
      <c r="F29" t="str">
        <f>IF(CAPTURA!AJ29="","",IFERROR(IF(INDEX(CODIFICACION!$E$2:$E$500,MATCH("P13|"&amp;CAPTURA!AJ29,CODIFICACION!$F$2:$F$500,0))="sin dato","",INDEX(CODIFICACION!$E$2:$E$500,MATCH("P13|"&amp;CAPTURA!AJ29,CODIFICACION!$F$2:$F$500,0))),"⚠"))</f>
        <v/>
      </c>
      <c r="G29" t="str">
        <f>IF(CAPTURA!AK29="","",IFERROR(IF(INDEX(CODIFICACION!$E$2:$E$500,MATCH("P14|"&amp;CAPTURA!AK29,CODIFICACION!$F$2:$F$500,0))="sin dato","",INDEX(CODIFICACION!$E$2:$E$500,MATCH("P14|"&amp;CAPTURA!AK29,CODIFICACION!$F$2:$F$500,0))),"⚠"))</f>
        <v/>
      </c>
      <c r="H29" t="str">
        <f>IF(CAPTURA!AL29="","",IFERROR(IF(INDEX(CODIFICACION!$E$2:$E$500,MATCH("D1.1|"&amp;CAPTURA!AL29,CODIFICACION!$F$2:$F$500,0))="sin dato","",INDEX(CODIFICACION!$E$2:$E$500,MATCH("D1.1|"&amp;CAPTURA!AL29,CODIFICACION!$F$2:$F$500,0))),"⚠"))</f>
        <v/>
      </c>
      <c r="I29" t="str">
        <f>IF(CAPTURA!AN29="","",IFERROR(IF(INDEX(CODIFICACION!$E$2:$E$500,MATCH("D1.3|"&amp;CAPTURA!AN29,CODIFICACION!$F$2:$F$500,0))="sin dato","",INDEX(CODIFICACION!$E$2:$E$500,MATCH("D1.3|"&amp;CAPTURA!AN29,CODIFICACION!$F$2:$F$500,0))),"⚠"))</f>
        <v/>
      </c>
      <c r="J29" t="str">
        <f>IF(CAPTURA!AO29="","",IFERROR(IF(INDEX(CODIFICACION!$E$2:$E$500,MATCH("D1.4|"&amp;CAPTURA!AO29,CODIFICACION!$F$2:$F$500,0))="sin dato","",INDEX(CODIFICACION!$E$2:$E$500,MATCH("D1.4|"&amp;CAPTURA!AO29,CODIFICACION!$F$2:$F$500,0))),"⚠"))</f>
        <v/>
      </c>
      <c r="K29" t="str">
        <f>IF(CAPTURA!AP29="","",IFERROR(IF(INDEX(CODIFICACION!$E$2:$E$500,MATCH("D1.3a|"&amp;CAPTURA!AP29,CODIFICACION!$F$2:$F$500,0))="sin dato","",INDEX(CODIFICACION!$E$2:$E$500,MATCH("D1.3a|"&amp;CAPTURA!AP29,CODIFICACION!$F$2:$F$500,0))),"⚠"))</f>
        <v/>
      </c>
      <c r="L29" t="str">
        <f>IF(CAPTURA!AQ29="","",IF(AND(ISNUMBER(CAPTURA!AQ29),CAPTURA!AQ29&gt;=0,CAPTURA!AQ29&lt;=4),CAPTURA!AQ29*25,"⚠"))</f>
        <v/>
      </c>
      <c r="M29" t="str">
        <f>IF(CAPTURA!AR29="","",IF(ISNUMBER(CAPTURA!AR29),MAX(0,MIN(100,CAPTURA!AR29)),"⚠"))</f>
        <v/>
      </c>
      <c r="N29" t="str">
        <f>IF(CAPTURA!AS29="","",IF(AND(ISNUMBER(CAPTURA!AS29),CAPTURA!AS29&gt;=0,CAPTURA!AS29&lt;=4),CAPTURA!AS29*25,"⚠"))</f>
        <v/>
      </c>
      <c r="O29" t="str">
        <f>IF(CAPTURA!AT29="","",IFERROR(IF(INDEX(CODIFICACION!$E$2:$E$500,MATCH("D2.8|"&amp;CAPTURA!AT29,CODIFICACION!$F$2:$F$500,0))="sin dato","",INDEX(CODIFICACION!$E$2:$E$500,MATCH("D2.8|"&amp;CAPTURA!AT29,CODIFICACION!$F$2:$F$500,0))),"⚠"))</f>
        <v/>
      </c>
      <c r="P29" t="str">
        <f>IF(CAPTURA!AU29="","",IFERROR(IF(INDEX(CODIFICACION!$E$2:$E$500,MATCH("D2.9|"&amp;CAPTURA!AU29,CODIFICACION!$F$2:$F$500,0))="sin dato","",INDEX(CODIFICACION!$E$2:$E$500,MATCH("D2.9|"&amp;CAPTURA!AU29,CODIFICACION!$F$2:$F$500,0))),"⚠"))</f>
        <v/>
      </c>
      <c r="Q29" t="str">
        <f>IF(CAPTURA!AV29="","",IFERROR(IF(INDEX(CODIFICACION!$E$2:$E$500,MATCH("D2.10|"&amp;CAPTURA!AV29,CODIFICACION!$F$2:$F$500,0))="sin dato","",INDEX(CODIFICACION!$E$2:$E$500,MATCH("D2.10|"&amp;CAPTURA!AV29,CODIFICACION!$F$2:$F$500,0))),"⚠"))</f>
        <v/>
      </c>
      <c r="R29" t="str">
        <f>IF(CAPTURA!AW29="","",IFERROR(IF(INDEX(CODIFICACION!$E$2:$E$500,MATCH("D2.5a|"&amp;CAPTURA!AW29,CODIFICACION!$F$2:$F$500,0))="sin dato","",INDEX(CODIFICACION!$E$2:$E$500,MATCH("D2.5a|"&amp;CAPTURA!AW29,CODIFICACION!$F$2:$F$500,0))),"⚠"))</f>
        <v/>
      </c>
      <c r="S29" t="str">
        <f>IF(CAPTURA!AX29="","",IFERROR(IF(INDEX(CODIFICACION!$E$2:$E$500,MATCH("D2.5b|"&amp;CAPTURA!AX29,CODIFICACION!$F$2:$F$500,0))="sin dato","",INDEX(CODIFICACION!$E$2:$E$500,MATCH("D2.5b|"&amp;CAPTURA!AX29,CODIFICACION!$F$2:$F$500,0))),"⚠"))</f>
        <v/>
      </c>
      <c r="T29" t="str">
        <f>IF(CAPTURA!AY29="","",IF(ISNUMBER(CAPTURA!AY29),MAX(0,MIN(100,CAPTURA!AY29)),"⚠"))</f>
        <v/>
      </c>
      <c r="U29" t="str">
        <f>IF(CAPTURA!AZ29="","",IFERROR(IF(INDEX(CODIFICACION!$E$2:$E$500,MATCH("D3.12|"&amp;CAPTURA!AZ29,CODIFICACION!$F$2:$F$500,0))="sin dato","",INDEX(CODIFICACION!$E$2:$E$500,MATCH("D3.12|"&amp;CAPTURA!AZ29,CODIFICACION!$F$2:$F$500,0))),"⚠"))</f>
        <v/>
      </c>
      <c r="V29" t="str">
        <f>IF(CAPTURA!BA29="","",IF(AND(ISNUMBER(CAPTURA!BA29),CAPTURA!BA29&gt;=0,CAPTURA!BA29&lt;=4),CAPTURA!BA29*25,"⚠"))</f>
        <v/>
      </c>
      <c r="W29" t="str">
        <f>IF(CAPTURA!BB29="","",IFERROR(IF(INDEX(CODIFICACION!$E$2:$E$500,MATCH("D3.14|"&amp;CAPTURA!BB29,CODIFICACION!$F$2:$F$500,0))="sin dato","",INDEX(CODIFICACION!$E$2:$E$500,MATCH("D3.14|"&amp;CAPTURA!BB29,CODIFICACION!$F$2:$F$500,0))),"⚠"))</f>
        <v/>
      </c>
      <c r="X29" t="str">
        <f>IF(CAPTURA!BC29="","",IFERROR(IF(INDEX(CODIFICACION!$E$2:$E$500,MATCH("D3.14a|"&amp;CAPTURA!BC29,CODIFICACION!$F$2:$F$500,0))="sin dato","",INDEX(CODIFICACION!$E$2:$E$500,MATCH("D3.14a|"&amp;CAPTURA!BC29,CODIFICACION!$F$2:$F$500,0))),"⚠"))</f>
        <v/>
      </c>
      <c r="Y29" t="str">
        <f>IF(CAPTURA!BD29="","",IFERROR(IF(INDEX(CODIFICACION!$E$2:$E$500,MATCH("D3.14b|"&amp;CAPTURA!BD29,CODIFICACION!$F$2:$F$500,0))="sin dato","",INDEX(CODIFICACION!$E$2:$E$500,MATCH("D3.14b|"&amp;CAPTURA!BD29,CODIFICACION!$F$2:$F$500,0))),"⚠"))</f>
        <v/>
      </c>
      <c r="Z29" t="str">
        <f>IF(CAPTURA!BE29="","",IFERROR(IF(INDEX(CODIFICACION!$E$2:$E$500,MATCH("D3.14c|"&amp;CAPTURA!BE29,CODIFICACION!$F$2:$F$500,0))="sin dato","",INDEX(CODIFICACION!$E$2:$E$500,MATCH("D3.14c|"&amp;CAPTURA!BE29,CODIFICACION!$F$2:$F$500,0))),"⚠"))</f>
        <v/>
      </c>
      <c r="AA29" t="str">
        <f>IF(CAPTURA!BF29="","",IFERROR(IF(INDEX(CODIFICACION!$E$2:$E$500,MATCH("D3.14d|"&amp;CAPTURA!BF29,CODIFICACION!$F$2:$F$500,0))="sin dato","",INDEX(CODIFICACION!$E$2:$E$500,MATCH("D3.14d|"&amp;CAPTURA!BF29,CODIFICACION!$F$2:$F$500,0))),"⚠"))</f>
        <v/>
      </c>
      <c r="AB29" t="str">
        <f>IF(CAPTURA!BG29="","",IFERROR(IF(INDEX(CODIFICACION!$E$2:$E$500,MATCH("D3.14e|"&amp;CAPTURA!BG29,CODIFICACION!$F$2:$F$500,0))="sin dato","",INDEX(CODIFICACION!$E$2:$E$500,MATCH("D3.14e|"&amp;CAPTURA!BG29,CODIFICACION!$F$2:$F$500,0))),"⚠"))</f>
        <v/>
      </c>
      <c r="AC29" t="str">
        <f>IF(CAPTURA!BH29="","",IFERROR(IF(INDEX(CODIFICACION!$E$2:$E$500,MATCH("D3.14f|"&amp;CAPTURA!BH29,CODIFICACION!$F$2:$F$500,0))="sin dato","",INDEX(CODIFICACION!$E$2:$E$500,MATCH("D3.14f|"&amp;CAPTURA!BH29,CODIFICACION!$F$2:$F$500,0))),"⚠"))</f>
        <v/>
      </c>
      <c r="AD29" t="str">
        <f>IF(CAPTURA!BI29="","",IFERROR(IF(INDEX(CODIFICACION!$E$2:$E$500,MATCH("D3.14g|"&amp;CAPTURA!BI29,CODIFICACION!$F$2:$F$500,0))="sin dato","",INDEX(CODIFICACION!$E$2:$E$500,MATCH("D3.14g|"&amp;CAPTURA!BI29,CODIFICACION!$F$2:$F$500,0))),"⚠"))</f>
        <v/>
      </c>
      <c r="AE29" t="str">
        <f>IF(CAPTURA!BJ29="","",IFERROR(IF(INDEX(CODIFICACION!$E$2:$E$500,MATCH("D3.14h|"&amp;CAPTURA!BJ29,CODIFICACION!$F$2:$F$500,0))="sin dato","",INDEX(CODIFICACION!$E$2:$E$500,MATCH("D3.14h|"&amp;CAPTURA!BJ29,CODIFICACION!$F$2:$F$500,0))),"⚠"))</f>
        <v/>
      </c>
      <c r="AF29" t="str">
        <f>IF(CAPTURA!BK29="","",IFERROR(IF(INDEX(CODIFICACION!$E$2:$E$500,MATCH("D3.14i|"&amp;CAPTURA!BK29,CODIFICACION!$F$2:$F$500,0))="sin dato","",INDEX(CODIFICACION!$E$2:$E$500,MATCH("D3.14i|"&amp;CAPTURA!BK29,CODIFICACION!$F$2:$F$500,0))),"⚠"))</f>
        <v/>
      </c>
      <c r="AG29" t="str">
        <f>IF(CAPTURA!BL29="","",IFERROR(IF(INDEX(CODIFICACION!$E$2:$E$500,MATCH("D4.15|"&amp;CAPTURA!BL29,CODIFICACION!$F$2:$F$500,0))="sin dato","",INDEX(CODIFICACION!$E$2:$E$500,MATCH("D4.15|"&amp;CAPTURA!BL29,CODIFICACION!$F$2:$F$500,0))),"⚠"))</f>
        <v/>
      </c>
      <c r="AH29" t="str">
        <f>IF(CAPTURA!BM29="","",IF(AND(ISNUMBER(CAPTURA!BM29),CAPTURA!BM29&gt;=0,CAPTURA!BM29&lt;=4),CAPTURA!BM29*25,"⚠"))</f>
        <v/>
      </c>
      <c r="AI29" t="str">
        <f>IF(CAPTURA!BN29="","",IFERROR(IF(INDEX(CODIFICACION!$E$2:$E$500,MATCH("D4.17|"&amp;CAPTURA!BN29,CODIFICACION!$F$2:$F$500,0))="sin dato","",INDEX(CODIFICACION!$E$2:$E$500,MATCH("D4.17|"&amp;CAPTURA!BN29,CODIFICACION!$F$2:$F$500,0))),"⚠"))</f>
        <v/>
      </c>
      <c r="AJ29" t="str">
        <f>IF(CAPTURA!BO29="","",IFERROR(IF(INDEX(CODIFICACION!$E$2:$E$500,MATCH("D4.15a|"&amp;CAPTURA!BO29,CODIFICACION!$F$2:$F$500,0))="sin dato","",INDEX(CODIFICACION!$E$2:$E$500,MATCH("D4.15a|"&amp;CAPTURA!BO29,CODIFICACION!$F$2:$F$500,0))),"⚠"))</f>
        <v/>
      </c>
      <c r="AK29" t="str">
        <f>IF(CAPTURA!BP29="","",IF(AND(ISNUMBER(CAPTURA!BP29),CAPTURA!BP29&gt;=0,CAPTURA!BP29&lt;=4),CAPTURA!BP29*25,"⚠"))</f>
        <v/>
      </c>
      <c r="AL29" t="str">
        <f>IF(CAPTURA!BQ29="","",IF(AND(ISNUMBER(CAPTURA!BQ29),CAPTURA!BQ29&gt;=0,CAPTURA!BQ29&lt;=4),CAPTURA!BQ29*25,"⚠"))</f>
        <v/>
      </c>
      <c r="AM29" t="str">
        <f>IF(CAPTURA!BR29="","",IFERROR(IF(INDEX(CODIFICACION!$E$2:$E$500,MATCH("D5.18b|"&amp;CAPTURA!BR29,CODIFICACION!$F$2:$F$500,0))="sin dato","",INDEX(CODIFICACION!$E$2:$E$500,MATCH("D5.18b|"&amp;CAPTURA!BR29,CODIFICACION!$F$2:$F$500,0))),"⚠"))</f>
        <v/>
      </c>
      <c r="AN29" t="str">
        <f>IF(CAPTURA!BS29="","",IFERROR(IF(INDEX(CODIFICACION!$E$2:$E$500,MATCH("D5.19|"&amp;CAPTURA!BS29,CODIFICACION!$F$2:$F$500,0))="sin dato","",INDEX(CODIFICACION!$E$2:$E$500,MATCH("D5.19|"&amp;CAPTURA!BS29,CODIFICACION!$F$2:$F$500,0))),"⚠"))</f>
        <v/>
      </c>
      <c r="AO29" t="str">
        <f>IF(CAPTURA!BT29="","",MIN(100,ROUND((LEN(CAPTURA!BT29)-LEN(SUBSTITUTE(CAPTURA!BT29,";",""))+1)/7*100,1)))</f>
        <v/>
      </c>
      <c r="AP29" t="str">
        <f>IF(CAPTURA!BU29="","",IFERROR(IF(INDEX(CODIFICACION!$E$2:$E$500,MATCH("D5.20|"&amp;CAPTURA!BU29,CODIFICACION!$F$2:$F$500,0))="sin dato","",INDEX(CODIFICACION!$E$2:$E$500,MATCH("D5.20|"&amp;CAPTURA!BU29,CODIFICACION!$F$2:$F$500,0))),"⚠"))</f>
        <v/>
      </c>
      <c r="AQ29" t="str">
        <f>IF(CAPTURA!BV29="","",IFERROR(IF(INDEX(CODIFICACION!$E$2:$E$500,MATCH("D5.21|"&amp;CAPTURA!BV29,CODIFICACION!$F$2:$F$500,0))="sin dato","",INDEX(CODIFICACION!$E$2:$E$500,MATCH("D5.21|"&amp;CAPTURA!BV29,CODIFICACION!$F$2:$F$500,0))),"⚠"))</f>
        <v/>
      </c>
      <c r="AR29" t="str">
        <f>IF(CAPTURA!BW29="","",IFERROR(IF(INDEX(CODIFICACION!$E$2:$E$500,MATCH("D5.21a|"&amp;CAPTURA!BW29,CODIFICACION!$F$2:$F$500,0))="sin dato","",INDEX(CODIFICACION!$E$2:$E$500,MATCH("D5.21a|"&amp;CAPTURA!BW29,CODIFICACION!$F$2:$F$500,0))),"⚠"))</f>
        <v/>
      </c>
      <c r="AS29" t="str">
        <f>IF(CAPTURA!BX29="","",IFERROR(IF(INDEX(CODIFICACION!$E$2:$E$500,MATCH("D5.21b|"&amp;CAPTURA!BX29,CODIFICACION!$F$2:$F$500,0))="sin dato","",INDEX(CODIFICACION!$E$2:$E$500,MATCH("D5.21b|"&amp;CAPTURA!BX29,CODIFICACION!$F$2:$F$500,0))),"⚠"))</f>
        <v/>
      </c>
      <c r="AT29" t="str">
        <f>IF(CAPTURA!BY29="","",IFERROR(IF(INDEX(CODIFICACION!$E$2:$E$500,MATCH("D6.22|"&amp;CAPTURA!BY29,CODIFICACION!$F$2:$F$500,0))="sin dato","",INDEX(CODIFICACION!$E$2:$E$500,MATCH("D6.22|"&amp;CAPTURA!BY29,CODIFICACION!$F$2:$F$500,0))),"⚠"))</f>
        <v/>
      </c>
      <c r="AU29" t="str">
        <f>IF(CAPTURA!BZ29="","",IFERROR(IF(INDEX(CODIFICACION!$E$2:$E$500,MATCH("D6.22a|"&amp;CAPTURA!BZ29,CODIFICACION!$F$2:$F$500,0))="sin dato","",INDEX(CODIFICACION!$E$2:$E$500,MATCH("D6.22a|"&amp;CAPTURA!BZ29,CODIFICACION!$F$2:$F$500,0))),"⚠"))</f>
        <v/>
      </c>
      <c r="AV29" t="str">
        <f>IF(CAPTURA!CA29="","",IFERROR(IF(INDEX(CODIFICACION!$E$2:$E$500,MATCH("D6.22b|"&amp;CAPTURA!CA29,CODIFICACION!$F$2:$F$500,0))="sin dato","",INDEX(CODIFICACION!$E$2:$E$500,MATCH("D6.22b|"&amp;CAPTURA!CA29,CODIFICACION!$F$2:$F$500,0))),"⚠"))</f>
        <v/>
      </c>
      <c r="AW29" t="str">
        <f>IF(CAPTURA!CB29="","",IFERROR(IF(INDEX(CODIFICACION!$E$2:$E$500,MATCH("D6.23|"&amp;CAPTURA!CB29,CODIFICACION!$F$2:$F$500,0))="sin dato","",INDEX(CODIFICACION!$E$2:$E$500,MATCH("D6.23|"&amp;CAPTURA!CB29,CODIFICACION!$F$2:$F$500,0))),"⚠"))</f>
        <v/>
      </c>
      <c r="AX29" t="str">
        <f>IF(CAPTURA!CC29="","",IFERROR(IF(INDEX(CODIFICACION!$E$2:$E$500,MATCH("D6.24|"&amp;CAPTURA!CC29,CODIFICACION!$F$2:$F$500,0))="sin dato","",INDEX(CODIFICACION!$E$2:$E$500,MATCH("D6.24|"&amp;CAPTURA!CC29,CODIFICACION!$F$2:$F$500,0))),"⚠"))</f>
        <v/>
      </c>
      <c r="AY29" t="str">
        <f>IF(CAPTURA!CD29="","",IFERROR(IF(INDEX(CODIFICACION!$E$2:$E$500,MATCH("D6.25|"&amp;CAPTURA!CD29,CODIFICACION!$F$2:$F$500,0))="sin dato","",INDEX(CODIFICACION!$E$2:$E$500,MATCH("D6.25|"&amp;CAPTURA!CD29,CODIFICACION!$F$2:$F$500,0))),"⚠"))</f>
        <v/>
      </c>
      <c r="AZ29" t="str">
        <f>IF(CAPTURA!CE29="","",IFERROR(IF(INDEX(CODIFICACION!$E$2:$E$500,MATCH("D6.25a|"&amp;CAPTURA!CE29,CODIFICACION!$F$2:$F$500,0))="sin dato","",INDEX(CODIFICACION!$E$2:$E$500,MATCH("D6.25a|"&amp;CAPTURA!CE29,CODIFICACION!$F$2:$F$500,0))),"⚠"))</f>
        <v/>
      </c>
      <c r="BA29" t="str">
        <f>IF(CAPTURA!CF29="","",IFERROR(IF(INDEX(CODIFICACION!$E$2:$E$500,MATCH("D6.25b|"&amp;CAPTURA!CF29,CODIFICACION!$F$2:$F$500,0))="sin dato","",INDEX(CODIFICACION!$E$2:$E$500,MATCH("D6.25b|"&amp;CAPTURA!CF29,CODIFICACION!$F$2:$F$500,0))),"⚠"))</f>
        <v/>
      </c>
      <c r="BB29" t="str">
        <f>IF(CAPTURA!CG29="","",IFERROR(IF(INDEX(CODIFICACION!$E$2:$E$500,MATCH("D6.22c|"&amp;CAPTURA!CG29,CODIFICACION!$F$2:$F$500,0))="sin dato","",INDEX(CODIFICACION!$E$2:$E$500,MATCH("D6.22c|"&amp;CAPTURA!CG29,CODIFICACION!$F$2:$F$500,0))),"⚠"))</f>
        <v/>
      </c>
      <c r="BC29" t="str">
        <f>IF(CAPTURA!CH29="","",IFERROR(IF(INDEX(CODIFICACION!$E$2:$E$500,MATCH("D7.26|"&amp;CAPTURA!CH29,CODIFICACION!$F$2:$F$500,0))="sin dato","",INDEX(CODIFICACION!$E$2:$E$500,MATCH("D7.26|"&amp;CAPTURA!CH29,CODIFICACION!$F$2:$F$500,0))),"⚠"))</f>
        <v/>
      </c>
      <c r="BD29" t="str">
        <f>IF(CAPTURA!CI29="","",IFERROR(IF(INDEX(CODIFICACION!$E$2:$E$500,MATCH("D7.27|"&amp;CAPTURA!CI29,CODIFICACION!$F$2:$F$500,0))="sin dato","",INDEX(CODIFICACION!$E$2:$E$500,MATCH("D7.27|"&amp;CAPTURA!CI29,CODIFICACION!$F$2:$F$500,0))),"⚠"))</f>
        <v/>
      </c>
      <c r="BE29" t="str">
        <f>IF(CAPTURA!CJ29="","",IFERROR(IF(INDEX(CODIFICACION!$E$2:$E$500,MATCH("D7.28|"&amp;CAPTURA!CJ29,CODIFICACION!$F$2:$F$500,0))="sin dato","",INDEX(CODIFICACION!$E$2:$E$500,MATCH("D7.28|"&amp;CAPTURA!CJ29,CODIFICACION!$F$2:$F$500,0))),"⚠"))</f>
        <v/>
      </c>
      <c r="BF29" t="str">
        <f>IF(CAPTURA!CK29="","",IFERROR(IF(INDEX(CODIFICACION!$E$2:$E$500,MATCH("D7.28b|"&amp;CAPTURA!CK29,CODIFICACION!$F$2:$F$500,0))="sin dato","",INDEX(CODIFICACION!$E$2:$E$500,MATCH("D7.28b|"&amp;CAPTURA!CK29,CODIFICACION!$F$2:$F$500,0))),"⚠"))</f>
        <v/>
      </c>
      <c r="BG29" t="str">
        <f>IF(CAPTURA!CL29="","",MIN(100,ROUND((LEN(CAPTURA!CL29)-LEN(SUBSTITUTE(CAPTURA!CL29,";",""))+1)/8*100,1)))</f>
        <v/>
      </c>
      <c r="BH29" t="str">
        <f>IF(CAPTURA!CM29="","",IFERROR(IF(INDEX(CODIFICACION!$E$2:$E$500,MATCH("D7.26a|"&amp;CAPTURA!CM29,CODIFICACION!$F$2:$F$500,0))="sin dato","",INDEX(CODIFICACION!$E$2:$E$500,MATCH("D7.26a|"&amp;CAPTURA!CM29,CODIFICACION!$F$2:$F$500,0))),"⚠"))</f>
        <v/>
      </c>
      <c r="BI29" t="str">
        <f>IF(CAPTURA!CN29="","",IFERROR(IF(INDEX(CODIFICACION!$E$2:$E$500,MATCH("D7.26b|"&amp;CAPTURA!CN29,CODIFICACION!$F$2:$F$500,0))="sin dato","",INDEX(CODIFICACION!$E$2:$E$500,MATCH("D7.26b|"&amp;CAPTURA!CN29,CODIFICACION!$F$2:$F$500,0))),"⚠"))</f>
        <v/>
      </c>
      <c r="BJ29" t="str">
        <f>IF(CAPTURA!CO29="","",IF(AND(ISNUMBER(CAPTURA!CO29),CAPTURA!CO29&gt;=0,CAPTURA!CO29&lt;=4),CAPTURA!CO29*25,"⚠"))</f>
        <v/>
      </c>
      <c r="BK29" t="str">
        <f>IF(CAPTURA!CP29="","",IF(ISNUMBER(CAPTURA!CP29),MAX(0,MIN(100,CAPTURA!CP29)),"⚠"))</f>
        <v/>
      </c>
      <c r="BL29" t="str">
        <f>IF(CAPTURA!CQ29="","",IFERROR(IF(INDEX(CODIFICACION!$E$2:$E$500,MATCH("D8.31|"&amp;CAPTURA!CQ29,CODIFICACION!$F$2:$F$500,0))="sin dato","",INDEX(CODIFICACION!$E$2:$E$500,MATCH("D8.31|"&amp;CAPTURA!CQ29,CODIFICACION!$F$2:$F$500,0))),"⚠"))</f>
        <v/>
      </c>
      <c r="BM29" t="str">
        <f>IF(CAPTURA!CR29="","",IFERROR(IF(INDEX(CODIFICACION!$E$2:$E$500,MATCH("D8.32|"&amp;CAPTURA!CR29,CODIFICACION!$F$2:$F$500,0))="sin dato","",INDEX(CODIFICACION!$E$2:$E$500,MATCH("D8.32|"&amp;CAPTURA!CR29,CODIFICACION!$F$2:$F$500,0))),"⚠"))</f>
        <v/>
      </c>
      <c r="BN29" t="str">
        <f>IF(CAPTURA!CS29="","",IFERROR(IF(INDEX(CODIFICACION!$E$2:$E$500,MATCH("D9.33|"&amp;CAPTURA!CS29,CODIFICACION!$F$2:$F$500,0))="sin dato","",INDEX(CODIFICACION!$E$2:$E$500,MATCH("D9.33|"&amp;CAPTURA!CS29,CODIFICACION!$F$2:$F$500,0))),"⚠"))</f>
        <v/>
      </c>
      <c r="BO29" t="str">
        <f>IF(CAPTURA!CT29="","",IFERROR(IF(INDEX(CODIFICACION!$E$2:$E$500,MATCH("D9.34|"&amp;CAPTURA!CT29,CODIFICACION!$F$2:$F$500,0))="sin dato","",INDEX(CODIFICACION!$E$2:$E$500,MATCH("D9.34|"&amp;CAPTURA!CT29,CODIFICACION!$F$2:$F$500,0))),"⚠"))</f>
        <v/>
      </c>
      <c r="BP29" t="str">
        <f>IF(CAPTURA!CU29="","",IFERROR(IF(INDEX(CODIFICACION!$E$2:$E$500,MATCH("D9.35|"&amp;CAPTURA!CU29,CODIFICACION!$F$2:$F$500,0))="sin dato","",INDEX(CODIFICACION!$E$2:$E$500,MATCH("D9.35|"&amp;CAPTURA!CU29,CODIFICACION!$F$2:$F$500,0))),"⚠"))</f>
        <v/>
      </c>
      <c r="BQ29" t="str">
        <f>IF(CAPTURA!CV29="","",IFERROR(IF(INDEX(CODIFICACION!$E$2:$E$500,MATCH("D10.36|"&amp;CAPTURA!CV29,CODIFICACION!$F$2:$F$500,0))="sin dato","",INDEX(CODIFICACION!$E$2:$E$500,MATCH("D10.36|"&amp;CAPTURA!CV29,CODIFICACION!$F$2:$F$500,0))),"⚠"))</f>
        <v/>
      </c>
      <c r="BR29" t="str">
        <f>IF(CAPTURA!CW29="","",IFERROR(IF(INDEX(CODIFICACION!$E$2:$E$500,MATCH("D10.37|"&amp;CAPTURA!CW29,CODIFICACION!$F$2:$F$500,0))="sin dato","",INDEX(CODIFICACION!$E$2:$E$500,MATCH("D10.37|"&amp;CAPTURA!CW29,CODIFICACION!$F$2:$F$500,0))),"⚠"))</f>
        <v/>
      </c>
      <c r="BS29" t="str">
        <f>IF(CAPTURA!CX29="","",IFERROR(IF(INDEX(CODIFICACION!$E$2:$E$500,MATCH("D10.36a|"&amp;CAPTURA!CX29,CODIFICACION!$F$2:$F$500,0))="sin dato","",INDEX(CODIFICACION!$E$2:$E$500,MATCH("D10.36a|"&amp;CAPTURA!CX29,CODIFICACION!$F$2:$F$500,0))),"⚠"))</f>
        <v/>
      </c>
      <c r="BT29" t="str">
        <f>IF(CAPTURA!CY29="","",IF(ISNUMBER(SEARCH("Ninguno",CAPTURA!CY29)),0,MIN(100,ROUND((LEN(CAPTURA!CY29)-LEN(SUBSTITUTE(CAPTURA!CY29,";",""))+1)/6*100,1))))</f>
        <v/>
      </c>
      <c r="BU29" t="str">
        <f>IF(CAPTURA!DA29="","",IFERROR(IF(INDEX(CODIFICACION!$E$2:$E$500,MATCH("D11.39a|"&amp;CAPTURA!DA29,CODIFICACION!$F$2:$F$500,0))="sin dato","",INDEX(CODIFICACION!$E$2:$E$500,MATCH("D11.39a|"&amp;CAPTURA!DA29,CODIFICACION!$F$2:$F$500,0))),"⚠"))</f>
        <v/>
      </c>
      <c r="BV29" t="str">
        <f>IF(CAPTURA!DB29="","",IFERROR(IF(INDEX(CODIFICACION!$E$2:$E$500,MATCH("D12.42|"&amp;CAPTURA!DB29,CODIFICACION!$F$2:$F$500,0))="sin dato","",INDEX(CODIFICACION!$E$2:$E$500,MATCH("D12.42|"&amp;CAPTURA!DB29,CODIFICACION!$F$2:$F$500,0))),"⚠"))</f>
        <v/>
      </c>
      <c r="BW29" t="str">
        <f>IF(CAPTURA!DC29="","",IFERROR(IF(INDEX(CODIFICACION!$E$2:$E$500,MATCH("D13.45|"&amp;CAPTURA!DC29,CODIFICACION!$F$2:$F$500,0))="sin dato","",INDEX(CODIFICACION!$E$2:$E$500,MATCH("D13.45|"&amp;CAPTURA!DC29,CODIFICACION!$F$2:$F$500,0))),"⚠"))</f>
        <v/>
      </c>
      <c r="BX29" t="str">
        <f>IF(CAPTURA!DD29="","",IFERROR(IF(INDEX(CODIFICACION!$E$2:$E$500,MATCH("D14.51|"&amp;CAPTURA!DD29,CODIFICACION!$F$2:$F$500,0))="sin dato","",INDEX(CODIFICACION!$E$2:$E$500,MATCH("D14.51|"&amp;CAPTURA!DD29,CODIFICACION!$F$2:$F$500,0))),"⚠"))</f>
        <v/>
      </c>
      <c r="BY29" t="str">
        <f>IF(CAPTURA!DE29="","",IFERROR(IF(INDEX(CODIFICACION!$E$2:$E$500,MATCH("D15.58|"&amp;CAPTURA!DE29,CODIFICACION!$F$2:$F$500,0))="sin dato","",INDEX(CODIFICACION!$E$2:$E$500,MATCH("D15.58|"&amp;CAPTURA!DE29,CODIFICACION!$F$2:$F$500,0))),"⚠"))</f>
        <v/>
      </c>
      <c r="BZ29" t="str">
        <f>IF(CAPTURA!DF29="","",IFERROR(IF(INDEX(CODIFICACION!$E$2:$E$500,MATCH("PP1|"&amp;CAPTURA!DF29,CODIFICACION!$F$2:$F$500,0))="sin dato","",INDEX(CODIFICACION!$E$2:$E$500,MATCH("PP1|"&amp;CAPTURA!DF29,CODIFICACION!$F$2:$F$500,0))),"⚠"))</f>
        <v/>
      </c>
      <c r="CA29" t="str">
        <f>IF(CAPTURA!DG29="","",IFERROR(IF(INDEX(CODIFICACION!$E$2:$E$500,MATCH("PP2|"&amp;CAPTURA!DG29,CODIFICACION!$F$2:$F$500,0))="sin dato","",INDEX(CODIFICACION!$E$2:$E$500,MATCH("PP2|"&amp;CAPTURA!DG29,CODIFICACION!$F$2:$F$500,0))),"⚠"))</f>
        <v/>
      </c>
      <c r="CB29" t="str">
        <f t="shared" si="0"/>
        <v/>
      </c>
      <c r="CC29" t="str">
        <f t="shared" si="1"/>
        <v/>
      </c>
      <c r="CD29" t="str">
        <f t="shared" si="2"/>
        <v/>
      </c>
      <c r="CE29" t="str">
        <f t="shared" si="3"/>
        <v/>
      </c>
      <c r="CF29" t="str">
        <f t="shared" si="4"/>
        <v/>
      </c>
      <c r="CG29" t="str">
        <f t="shared" si="5"/>
        <v/>
      </c>
      <c r="CH29" t="str">
        <f t="shared" si="6"/>
        <v/>
      </c>
      <c r="CI29" t="str">
        <f t="shared" si="7"/>
        <v/>
      </c>
      <c r="CJ29" t="str">
        <f t="shared" si="8"/>
        <v/>
      </c>
      <c r="CK29" t="str">
        <f t="shared" si="9"/>
        <v/>
      </c>
      <c r="CL29" t="str">
        <f t="shared" si="10"/>
        <v/>
      </c>
    </row>
    <row r="30" spans="1:90" x14ac:dyDescent="0.3">
      <c r="A30">
        <f>CAPTURA!A30</f>
        <v>20447888701</v>
      </c>
      <c r="B30">
        <f>CAPTURA!C30</f>
        <v>0</v>
      </c>
      <c r="C30" t="str">
        <f>IF(CAPTURA!M30="","",ROUND((ISNUMBER(SEARCH("Alemania",CAPTURA!M30))+ISNUMBER(SEARCH("Bélgica",CAPTURA!M30))+ISNUMBER(SEARCH("Países Bajos",CAPTURA!M30))+ISNUMBER(SEARCH("Francia",CAPTURA!M30))+ISNUMBER(SEARCH("Italia",CAPTURA!M30))+ISNUMBER(SEARCH("España",CAPTURA!M30))+ISNUMBER(SEARCH("Suecia",CAPTURA!M30))+ISNUMBER(SEARCH("Dinamarca",CAPTURA!M30)))/((LEN(CAPTURA!M30)-LEN(SUBSTITUTE(CAPTURA!M30,";","")))+1)*100,1))</f>
        <v/>
      </c>
      <c r="D30" t="str">
        <f>IF(CAPTURA!AE30="","",IFERROR(IF(INDEX(CODIFICACION!$E$2:$E$500,MATCH("P8|"&amp;CAPTURA!AE30,CODIFICACION!$F$2:$F$500,0))="sin dato","",INDEX(CODIFICACION!$E$2:$E$500,MATCH("P8|"&amp;CAPTURA!AE30,CODIFICACION!$F$2:$F$500,0))),"⚠"))</f>
        <v/>
      </c>
      <c r="E30" t="str">
        <f>IF(CAPTURA!AG30="","",IFERROR(IF(INDEX(CODIFICACION!$E$2:$E$500,MATCH("P10|"&amp;CAPTURA!AG30,CODIFICACION!$F$2:$F$500,0))="sin dato","",INDEX(CODIFICACION!$E$2:$E$500,MATCH("P10|"&amp;CAPTURA!AG30,CODIFICACION!$F$2:$F$500,0))),"⚠"))</f>
        <v/>
      </c>
      <c r="F30" t="str">
        <f>IF(CAPTURA!AJ30="","",IFERROR(IF(INDEX(CODIFICACION!$E$2:$E$500,MATCH("P13|"&amp;CAPTURA!AJ30,CODIFICACION!$F$2:$F$500,0))="sin dato","",INDEX(CODIFICACION!$E$2:$E$500,MATCH("P13|"&amp;CAPTURA!AJ30,CODIFICACION!$F$2:$F$500,0))),"⚠"))</f>
        <v/>
      </c>
      <c r="G30" t="str">
        <f>IF(CAPTURA!AK30="","",IFERROR(IF(INDEX(CODIFICACION!$E$2:$E$500,MATCH("P14|"&amp;CAPTURA!AK30,CODIFICACION!$F$2:$F$500,0))="sin dato","",INDEX(CODIFICACION!$E$2:$E$500,MATCH("P14|"&amp;CAPTURA!AK30,CODIFICACION!$F$2:$F$500,0))),"⚠"))</f>
        <v/>
      </c>
      <c r="H30" t="str">
        <f>IF(CAPTURA!AL30="","",IFERROR(IF(INDEX(CODIFICACION!$E$2:$E$500,MATCH("D1.1|"&amp;CAPTURA!AL30,CODIFICACION!$F$2:$F$500,0))="sin dato","",INDEX(CODIFICACION!$E$2:$E$500,MATCH("D1.1|"&amp;CAPTURA!AL30,CODIFICACION!$F$2:$F$500,0))),"⚠"))</f>
        <v/>
      </c>
      <c r="I30" t="str">
        <f>IF(CAPTURA!AN30="","",IFERROR(IF(INDEX(CODIFICACION!$E$2:$E$500,MATCH("D1.3|"&amp;CAPTURA!AN30,CODIFICACION!$F$2:$F$500,0))="sin dato","",INDEX(CODIFICACION!$E$2:$E$500,MATCH("D1.3|"&amp;CAPTURA!AN30,CODIFICACION!$F$2:$F$500,0))),"⚠"))</f>
        <v/>
      </c>
      <c r="J30" t="str">
        <f>IF(CAPTURA!AO30="","",IFERROR(IF(INDEX(CODIFICACION!$E$2:$E$500,MATCH("D1.4|"&amp;CAPTURA!AO30,CODIFICACION!$F$2:$F$500,0))="sin dato","",INDEX(CODIFICACION!$E$2:$E$500,MATCH("D1.4|"&amp;CAPTURA!AO30,CODIFICACION!$F$2:$F$500,0))),"⚠"))</f>
        <v/>
      </c>
      <c r="K30" t="str">
        <f>IF(CAPTURA!AP30="","",IFERROR(IF(INDEX(CODIFICACION!$E$2:$E$500,MATCH("D1.3a|"&amp;CAPTURA!AP30,CODIFICACION!$F$2:$F$500,0))="sin dato","",INDEX(CODIFICACION!$E$2:$E$500,MATCH("D1.3a|"&amp;CAPTURA!AP30,CODIFICACION!$F$2:$F$500,0))),"⚠"))</f>
        <v/>
      </c>
      <c r="L30" t="str">
        <f>IF(CAPTURA!AQ30="","",IF(AND(ISNUMBER(CAPTURA!AQ30),CAPTURA!AQ30&gt;=0,CAPTURA!AQ30&lt;=4),CAPTURA!AQ30*25,"⚠"))</f>
        <v/>
      </c>
      <c r="M30" t="str">
        <f>IF(CAPTURA!AR30="","",IF(ISNUMBER(CAPTURA!AR30),MAX(0,MIN(100,CAPTURA!AR30)),"⚠"))</f>
        <v/>
      </c>
      <c r="N30" t="str">
        <f>IF(CAPTURA!AS30="","",IF(AND(ISNUMBER(CAPTURA!AS30),CAPTURA!AS30&gt;=0,CAPTURA!AS30&lt;=4),CAPTURA!AS30*25,"⚠"))</f>
        <v/>
      </c>
      <c r="O30" t="str">
        <f>IF(CAPTURA!AT30="","",IFERROR(IF(INDEX(CODIFICACION!$E$2:$E$500,MATCH("D2.8|"&amp;CAPTURA!AT30,CODIFICACION!$F$2:$F$500,0))="sin dato","",INDEX(CODIFICACION!$E$2:$E$500,MATCH("D2.8|"&amp;CAPTURA!AT30,CODIFICACION!$F$2:$F$500,0))),"⚠"))</f>
        <v/>
      </c>
      <c r="P30" t="str">
        <f>IF(CAPTURA!AU30="","",IFERROR(IF(INDEX(CODIFICACION!$E$2:$E$500,MATCH("D2.9|"&amp;CAPTURA!AU30,CODIFICACION!$F$2:$F$500,0))="sin dato","",INDEX(CODIFICACION!$E$2:$E$500,MATCH("D2.9|"&amp;CAPTURA!AU30,CODIFICACION!$F$2:$F$500,0))),"⚠"))</f>
        <v/>
      </c>
      <c r="Q30" t="str">
        <f>IF(CAPTURA!AV30="","",IFERROR(IF(INDEX(CODIFICACION!$E$2:$E$500,MATCH("D2.10|"&amp;CAPTURA!AV30,CODIFICACION!$F$2:$F$500,0))="sin dato","",INDEX(CODIFICACION!$E$2:$E$500,MATCH("D2.10|"&amp;CAPTURA!AV30,CODIFICACION!$F$2:$F$500,0))),"⚠"))</f>
        <v/>
      </c>
      <c r="R30" t="str">
        <f>IF(CAPTURA!AW30="","",IFERROR(IF(INDEX(CODIFICACION!$E$2:$E$500,MATCH("D2.5a|"&amp;CAPTURA!AW30,CODIFICACION!$F$2:$F$500,0))="sin dato","",INDEX(CODIFICACION!$E$2:$E$500,MATCH("D2.5a|"&amp;CAPTURA!AW30,CODIFICACION!$F$2:$F$500,0))),"⚠"))</f>
        <v/>
      </c>
      <c r="S30" t="str">
        <f>IF(CAPTURA!AX30="","",IFERROR(IF(INDEX(CODIFICACION!$E$2:$E$500,MATCH("D2.5b|"&amp;CAPTURA!AX30,CODIFICACION!$F$2:$F$500,0))="sin dato","",INDEX(CODIFICACION!$E$2:$E$500,MATCH("D2.5b|"&amp;CAPTURA!AX30,CODIFICACION!$F$2:$F$500,0))),"⚠"))</f>
        <v/>
      </c>
      <c r="T30" t="str">
        <f>IF(CAPTURA!AY30="","",IF(ISNUMBER(CAPTURA!AY30),MAX(0,MIN(100,CAPTURA!AY30)),"⚠"))</f>
        <v/>
      </c>
      <c r="U30" t="str">
        <f>IF(CAPTURA!AZ30="","",IFERROR(IF(INDEX(CODIFICACION!$E$2:$E$500,MATCH("D3.12|"&amp;CAPTURA!AZ30,CODIFICACION!$F$2:$F$500,0))="sin dato","",INDEX(CODIFICACION!$E$2:$E$500,MATCH("D3.12|"&amp;CAPTURA!AZ30,CODIFICACION!$F$2:$F$500,0))),"⚠"))</f>
        <v/>
      </c>
      <c r="V30" t="str">
        <f>IF(CAPTURA!BA30="","",IF(AND(ISNUMBER(CAPTURA!BA30),CAPTURA!BA30&gt;=0,CAPTURA!BA30&lt;=4),CAPTURA!BA30*25,"⚠"))</f>
        <v/>
      </c>
      <c r="W30" t="str">
        <f>IF(CAPTURA!BB30="","",IFERROR(IF(INDEX(CODIFICACION!$E$2:$E$500,MATCH("D3.14|"&amp;CAPTURA!BB30,CODIFICACION!$F$2:$F$500,0))="sin dato","",INDEX(CODIFICACION!$E$2:$E$500,MATCH("D3.14|"&amp;CAPTURA!BB30,CODIFICACION!$F$2:$F$500,0))),"⚠"))</f>
        <v/>
      </c>
      <c r="X30" t="str">
        <f>IF(CAPTURA!BC30="","",IFERROR(IF(INDEX(CODIFICACION!$E$2:$E$500,MATCH("D3.14a|"&amp;CAPTURA!BC30,CODIFICACION!$F$2:$F$500,0))="sin dato","",INDEX(CODIFICACION!$E$2:$E$500,MATCH("D3.14a|"&amp;CAPTURA!BC30,CODIFICACION!$F$2:$F$500,0))),"⚠"))</f>
        <v/>
      </c>
      <c r="Y30" t="str">
        <f>IF(CAPTURA!BD30="","",IFERROR(IF(INDEX(CODIFICACION!$E$2:$E$500,MATCH("D3.14b|"&amp;CAPTURA!BD30,CODIFICACION!$F$2:$F$500,0))="sin dato","",INDEX(CODIFICACION!$E$2:$E$500,MATCH("D3.14b|"&amp;CAPTURA!BD30,CODIFICACION!$F$2:$F$500,0))),"⚠"))</f>
        <v/>
      </c>
      <c r="Z30" t="str">
        <f>IF(CAPTURA!BE30="","",IFERROR(IF(INDEX(CODIFICACION!$E$2:$E$500,MATCH("D3.14c|"&amp;CAPTURA!BE30,CODIFICACION!$F$2:$F$500,0))="sin dato","",INDEX(CODIFICACION!$E$2:$E$500,MATCH("D3.14c|"&amp;CAPTURA!BE30,CODIFICACION!$F$2:$F$500,0))),"⚠"))</f>
        <v/>
      </c>
      <c r="AA30" t="str">
        <f>IF(CAPTURA!BF30="","",IFERROR(IF(INDEX(CODIFICACION!$E$2:$E$500,MATCH("D3.14d|"&amp;CAPTURA!BF30,CODIFICACION!$F$2:$F$500,0))="sin dato","",INDEX(CODIFICACION!$E$2:$E$500,MATCH("D3.14d|"&amp;CAPTURA!BF30,CODIFICACION!$F$2:$F$500,0))),"⚠"))</f>
        <v/>
      </c>
      <c r="AB30" t="str">
        <f>IF(CAPTURA!BG30="","",IFERROR(IF(INDEX(CODIFICACION!$E$2:$E$500,MATCH("D3.14e|"&amp;CAPTURA!BG30,CODIFICACION!$F$2:$F$500,0))="sin dato","",INDEX(CODIFICACION!$E$2:$E$500,MATCH("D3.14e|"&amp;CAPTURA!BG30,CODIFICACION!$F$2:$F$500,0))),"⚠"))</f>
        <v/>
      </c>
      <c r="AC30" t="str">
        <f>IF(CAPTURA!BH30="","",IFERROR(IF(INDEX(CODIFICACION!$E$2:$E$500,MATCH("D3.14f|"&amp;CAPTURA!BH30,CODIFICACION!$F$2:$F$500,0))="sin dato","",INDEX(CODIFICACION!$E$2:$E$500,MATCH("D3.14f|"&amp;CAPTURA!BH30,CODIFICACION!$F$2:$F$500,0))),"⚠"))</f>
        <v/>
      </c>
      <c r="AD30" t="str">
        <f>IF(CAPTURA!BI30="","",IFERROR(IF(INDEX(CODIFICACION!$E$2:$E$500,MATCH("D3.14g|"&amp;CAPTURA!BI30,CODIFICACION!$F$2:$F$500,0))="sin dato","",INDEX(CODIFICACION!$E$2:$E$500,MATCH("D3.14g|"&amp;CAPTURA!BI30,CODIFICACION!$F$2:$F$500,0))),"⚠"))</f>
        <v/>
      </c>
      <c r="AE30" t="str">
        <f>IF(CAPTURA!BJ30="","",IFERROR(IF(INDEX(CODIFICACION!$E$2:$E$500,MATCH("D3.14h|"&amp;CAPTURA!BJ30,CODIFICACION!$F$2:$F$500,0))="sin dato","",INDEX(CODIFICACION!$E$2:$E$500,MATCH("D3.14h|"&amp;CAPTURA!BJ30,CODIFICACION!$F$2:$F$500,0))),"⚠"))</f>
        <v/>
      </c>
      <c r="AF30" t="str">
        <f>IF(CAPTURA!BK30="","",IFERROR(IF(INDEX(CODIFICACION!$E$2:$E$500,MATCH("D3.14i|"&amp;CAPTURA!BK30,CODIFICACION!$F$2:$F$500,0))="sin dato","",INDEX(CODIFICACION!$E$2:$E$500,MATCH("D3.14i|"&amp;CAPTURA!BK30,CODIFICACION!$F$2:$F$500,0))),"⚠"))</f>
        <v/>
      </c>
      <c r="AG30" t="str">
        <f>IF(CAPTURA!BL30="","",IFERROR(IF(INDEX(CODIFICACION!$E$2:$E$500,MATCH("D4.15|"&amp;CAPTURA!BL30,CODIFICACION!$F$2:$F$500,0))="sin dato","",INDEX(CODIFICACION!$E$2:$E$500,MATCH("D4.15|"&amp;CAPTURA!BL30,CODIFICACION!$F$2:$F$500,0))),"⚠"))</f>
        <v/>
      </c>
      <c r="AH30" t="str">
        <f>IF(CAPTURA!BM30="","",IF(AND(ISNUMBER(CAPTURA!BM30),CAPTURA!BM30&gt;=0,CAPTURA!BM30&lt;=4),CAPTURA!BM30*25,"⚠"))</f>
        <v/>
      </c>
      <c r="AI30" t="str">
        <f>IF(CAPTURA!BN30="","",IFERROR(IF(INDEX(CODIFICACION!$E$2:$E$500,MATCH("D4.17|"&amp;CAPTURA!BN30,CODIFICACION!$F$2:$F$500,0))="sin dato","",INDEX(CODIFICACION!$E$2:$E$500,MATCH("D4.17|"&amp;CAPTURA!BN30,CODIFICACION!$F$2:$F$500,0))),"⚠"))</f>
        <v/>
      </c>
      <c r="AJ30" t="str">
        <f>IF(CAPTURA!BO30="","",IFERROR(IF(INDEX(CODIFICACION!$E$2:$E$500,MATCH("D4.15a|"&amp;CAPTURA!BO30,CODIFICACION!$F$2:$F$500,0))="sin dato","",INDEX(CODIFICACION!$E$2:$E$500,MATCH("D4.15a|"&amp;CAPTURA!BO30,CODIFICACION!$F$2:$F$500,0))),"⚠"))</f>
        <v/>
      </c>
      <c r="AK30" t="str">
        <f>IF(CAPTURA!BP30="","",IF(AND(ISNUMBER(CAPTURA!BP30),CAPTURA!BP30&gt;=0,CAPTURA!BP30&lt;=4),CAPTURA!BP30*25,"⚠"))</f>
        <v/>
      </c>
      <c r="AL30" t="str">
        <f>IF(CAPTURA!BQ30="","",IF(AND(ISNUMBER(CAPTURA!BQ30),CAPTURA!BQ30&gt;=0,CAPTURA!BQ30&lt;=4),CAPTURA!BQ30*25,"⚠"))</f>
        <v/>
      </c>
      <c r="AM30" t="str">
        <f>IF(CAPTURA!BR30="","",IFERROR(IF(INDEX(CODIFICACION!$E$2:$E$500,MATCH("D5.18b|"&amp;CAPTURA!BR30,CODIFICACION!$F$2:$F$500,0))="sin dato","",INDEX(CODIFICACION!$E$2:$E$500,MATCH("D5.18b|"&amp;CAPTURA!BR30,CODIFICACION!$F$2:$F$500,0))),"⚠"))</f>
        <v/>
      </c>
      <c r="AN30" t="str">
        <f>IF(CAPTURA!BS30="","",IFERROR(IF(INDEX(CODIFICACION!$E$2:$E$500,MATCH("D5.19|"&amp;CAPTURA!BS30,CODIFICACION!$F$2:$F$500,0))="sin dato","",INDEX(CODIFICACION!$E$2:$E$500,MATCH("D5.19|"&amp;CAPTURA!BS30,CODIFICACION!$F$2:$F$500,0))),"⚠"))</f>
        <v/>
      </c>
      <c r="AO30" t="str">
        <f>IF(CAPTURA!BT30="","",MIN(100,ROUND((LEN(CAPTURA!BT30)-LEN(SUBSTITUTE(CAPTURA!BT30,";",""))+1)/7*100,1)))</f>
        <v/>
      </c>
      <c r="AP30" t="str">
        <f>IF(CAPTURA!BU30="","",IFERROR(IF(INDEX(CODIFICACION!$E$2:$E$500,MATCH("D5.20|"&amp;CAPTURA!BU30,CODIFICACION!$F$2:$F$500,0))="sin dato","",INDEX(CODIFICACION!$E$2:$E$500,MATCH("D5.20|"&amp;CAPTURA!BU30,CODIFICACION!$F$2:$F$500,0))),"⚠"))</f>
        <v/>
      </c>
      <c r="AQ30" t="str">
        <f>IF(CAPTURA!BV30="","",IFERROR(IF(INDEX(CODIFICACION!$E$2:$E$500,MATCH("D5.21|"&amp;CAPTURA!BV30,CODIFICACION!$F$2:$F$500,0))="sin dato","",INDEX(CODIFICACION!$E$2:$E$500,MATCH("D5.21|"&amp;CAPTURA!BV30,CODIFICACION!$F$2:$F$500,0))),"⚠"))</f>
        <v/>
      </c>
      <c r="AR30" t="str">
        <f>IF(CAPTURA!BW30="","",IFERROR(IF(INDEX(CODIFICACION!$E$2:$E$500,MATCH("D5.21a|"&amp;CAPTURA!BW30,CODIFICACION!$F$2:$F$500,0))="sin dato","",INDEX(CODIFICACION!$E$2:$E$500,MATCH("D5.21a|"&amp;CAPTURA!BW30,CODIFICACION!$F$2:$F$500,0))),"⚠"))</f>
        <v/>
      </c>
      <c r="AS30" t="str">
        <f>IF(CAPTURA!BX30="","",IFERROR(IF(INDEX(CODIFICACION!$E$2:$E$500,MATCH("D5.21b|"&amp;CAPTURA!BX30,CODIFICACION!$F$2:$F$500,0))="sin dato","",INDEX(CODIFICACION!$E$2:$E$500,MATCH("D5.21b|"&amp;CAPTURA!BX30,CODIFICACION!$F$2:$F$500,0))),"⚠"))</f>
        <v/>
      </c>
      <c r="AT30" t="str">
        <f>IF(CAPTURA!BY30="","",IFERROR(IF(INDEX(CODIFICACION!$E$2:$E$500,MATCH("D6.22|"&amp;CAPTURA!BY30,CODIFICACION!$F$2:$F$500,0))="sin dato","",INDEX(CODIFICACION!$E$2:$E$500,MATCH("D6.22|"&amp;CAPTURA!BY30,CODIFICACION!$F$2:$F$500,0))),"⚠"))</f>
        <v/>
      </c>
      <c r="AU30" t="str">
        <f>IF(CAPTURA!BZ30="","",IFERROR(IF(INDEX(CODIFICACION!$E$2:$E$500,MATCH("D6.22a|"&amp;CAPTURA!BZ30,CODIFICACION!$F$2:$F$500,0))="sin dato","",INDEX(CODIFICACION!$E$2:$E$500,MATCH("D6.22a|"&amp;CAPTURA!BZ30,CODIFICACION!$F$2:$F$500,0))),"⚠"))</f>
        <v/>
      </c>
      <c r="AV30" t="str">
        <f>IF(CAPTURA!CA30="","",IFERROR(IF(INDEX(CODIFICACION!$E$2:$E$500,MATCH("D6.22b|"&amp;CAPTURA!CA30,CODIFICACION!$F$2:$F$500,0))="sin dato","",INDEX(CODIFICACION!$E$2:$E$500,MATCH("D6.22b|"&amp;CAPTURA!CA30,CODIFICACION!$F$2:$F$500,0))),"⚠"))</f>
        <v/>
      </c>
      <c r="AW30" t="str">
        <f>IF(CAPTURA!CB30="","",IFERROR(IF(INDEX(CODIFICACION!$E$2:$E$500,MATCH("D6.23|"&amp;CAPTURA!CB30,CODIFICACION!$F$2:$F$500,0))="sin dato","",INDEX(CODIFICACION!$E$2:$E$500,MATCH("D6.23|"&amp;CAPTURA!CB30,CODIFICACION!$F$2:$F$500,0))),"⚠"))</f>
        <v/>
      </c>
      <c r="AX30" t="str">
        <f>IF(CAPTURA!CC30="","",IFERROR(IF(INDEX(CODIFICACION!$E$2:$E$500,MATCH("D6.24|"&amp;CAPTURA!CC30,CODIFICACION!$F$2:$F$500,0))="sin dato","",INDEX(CODIFICACION!$E$2:$E$500,MATCH("D6.24|"&amp;CAPTURA!CC30,CODIFICACION!$F$2:$F$500,0))),"⚠"))</f>
        <v/>
      </c>
      <c r="AY30" t="str">
        <f>IF(CAPTURA!CD30="","",IFERROR(IF(INDEX(CODIFICACION!$E$2:$E$500,MATCH("D6.25|"&amp;CAPTURA!CD30,CODIFICACION!$F$2:$F$500,0))="sin dato","",INDEX(CODIFICACION!$E$2:$E$500,MATCH("D6.25|"&amp;CAPTURA!CD30,CODIFICACION!$F$2:$F$500,0))),"⚠"))</f>
        <v/>
      </c>
      <c r="AZ30" t="str">
        <f>IF(CAPTURA!CE30="","",IFERROR(IF(INDEX(CODIFICACION!$E$2:$E$500,MATCH("D6.25a|"&amp;CAPTURA!CE30,CODIFICACION!$F$2:$F$500,0))="sin dato","",INDEX(CODIFICACION!$E$2:$E$500,MATCH("D6.25a|"&amp;CAPTURA!CE30,CODIFICACION!$F$2:$F$500,0))),"⚠"))</f>
        <v/>
      </c>
      <c r="BA30" t="str">
        <f>IF(CAPTURA!CF30="","",IFERROR(IF(INDEX(CODIFICACION!$E$2:$E$500,MATCH("D6.25b|"&amp;CAPTURA!CF30,CODIFICACION!$F$2:$F$500,0))="sin dato","",INDEX(CODIFICACION!$E$2:$E$500,MATCH("D6.25b|"&amp;CAPTURA!CF30,CODIFICACION!$F$2:$F$500,0))),"⚠"))</f>
        <v/>
      </c>
      <c r="BB30" t="str">
        <f>IF(CAPTURA!CG30="","",IFERROR(IF(INDEX(CODIFICACION!$E$2:$E$500,MATCH("D6.22c|"&amp;CAPTURA!CG30,CODIFICACION!$F$2:$F$500,0))="sin dato","",INDEX(CODIFICACION!$E$2:$E$500,MATCH("D6.22c|"&amp;CAPTURA!CG30,CODIFICACION!$F$2:$F$500,0))),"⚠"))</f>
        <v/>
      </c>
      <c r="BC30" t="str">
        <f>IF(CAPTURA!CH30="","",IFERROR(IF(INDEX(CODIFICACION!$E$2:$E$500,MATCH("D7.26|"&amp;CAPTURA!CH30,CODIFICACION!$F$2:$F$500,0))="sin dato","",INDEX(CODIFICACION!$E$2:$E$500,MATCH("D7.26|"&amp;CAPTURA!CH30,CODIFICACION!$F$2:$F$500,0))),"⚠"))</f>
        <v/>
      </c>
      <c r="BD30" t="str">
        <f>IF(CAPTURA!CI30="","",IFERROR(IF(INDEX(CODIFICACION!$E$2:$E$500,MATCH("D7.27|"&amp;CAPTURA!CI30,CODIFICACION!$F$2:$F$500,0))="sin dato","",INDEX(CODIFICACION!$E$2:$E$500,MATCH("D7.27|"&amp;CAPTURA!CI30,CODIFICACION!$F$2:$F$500,0))),"⚠"))</f>
        <v/>
      </c>
      <c r="BE30" t="str">
        <f>IF(CAPTURA!CJ30="","",IFERROR(IF(INDEX(CODIFICACION!$E$2:$E$500,MATCH("D7.28|"&amp;CAPTURA!CJ30,CODIFICACION!$F$2:$F$500,0))="sin dato","",INDEX(CODIFICACION!$E$2:$E$500,MATCH("D7.28|"&amp;CAPTURA!CJ30,CODIFICACION!$F$2:$F$500,0))),"⚠"))</f>
        <v/>
      </c>
      <c r="BF30" t="str">
        <f>IF(CAPTURA!CK30="","",IFERROR(IF(INDEX(CODIFICACION!$E$2:$E$500,MATCH("D7.28b|"&amp;CAPTURA!CK30,CODIFICACION!$F$2:$F$500,0))="sin dato","",INDEX(CODIFICACION!$E$2:$E$500,MATCH("D7.28b|"&amp;CAPTURA!CK30,CODIFICACION!$F$2:$F$500,0))),"⚠"))</f>
        <v/>
      </c>
      <c r="BG30" t="str">
        <f>IF(CAPTURA!CL30="","",MIN(100,ROUND((LEN(CAPTURA!CL30)-LEN(SUBSTITUTE(CAPTURA!CL30,";",""))+1)/8*100,1)))</f>
        <v/>
      </c>
      <c r="BH30" t="str">
        <f>IF(CAPTURA!CM30="","",IFERROR(IF(INDEX(CODIFICACION!$E$2:$E$500,MATCH("D7.26a|"&amp;CAPTURA!CM30,CODIFICACION!$F$2:$F$500,0))="sin dato","",INDEX(CODIFICACION!$E$2:$E$500,MATCH("D7.26a|"&amp;CAPTURA!CM30,CODIFICACION!$F$2:$F$500,0))),"⚠"))</f>
        <v/>
      </c>
      <c r="BI30" t="str">
        <f>IF(CAPTURA!CN30="","",IFERROR(IF(INDEX(CODIFICACION!$E$2:$E$500,MATCH("D7.26b|"&amp;CAPTURA!CN30,CODIFICACION!$F$2:$F$500,0))="sin dato","",INDEX(CODIFICACION!$E$2:$E$500,MATCH("D7.26b|"&amp;CAPTURA!CN30,CODIFICACION!$F$2:$F$500,0))),"⚠"))</f>
        <v/>
      </c>
      <c r="BJ30" t="str">
        <f>IF(CAPTURA!CO30="","",IF(AND(ISNUMBER(CAPTURA!CO30),CAPTURA!CO30&gt;=0,CAPTURA!CO30&lt;=4),CAPTURA!CO30*25,"⚠"))</f>
        <v/>
      </c>
      <c r="BK30" t="str">
        <f>IF(CAPTURA!CP30="","",IF(ISNUMBER(CAPTURA!CP30),MAX(0,MIN(100,CAPTURA!CP30)),"⚠"))</f>
        <v/>
      </c>
      <c r="BL30" t="str">
        <f>IF(CAPTURA!CQ30="","",IFERROR(IF(INDEX(CODIFICACION!$E$2:$E$500,MATCH("D8.31|"&amp;CAPTURA!CQ30,CODIFICACION!$F$2:$F$500,0))="sin dato","",INDEX(CODIFICACION!$E$2:$E$500,MATCH("D8.31|"&amp;CAPTURA!CQ30,CODIFICACION!$F$2:$F$500,0))),"⚠"))</f>
        <v/>
      </c>
      <c r="BM30" t="str">
        <f>IF(CAPTURA!CR30="","",IFERROR(IF(INDEX(CODIFICACION!$E$2:$E$500,MATCH("D8.32|"&amp;CAPTURA!CR30,CODIFICACION!$F$2:$F$500,0))="sin dato","",INDEX(CODIFICACION!$E$2:$E$500,MATCH("D8.32|"&amp;CAPTURA!CR30,CODIFICACION!$F$2:$F$500,0))),"⚠"))</f>
        <v/>
      </c>
      <c r="BN30" t="str">
        <f>IF(CAPTURA!CS30="","",IFERROR(IF(INDEX(CODIFICACION!$E$2:$E$500,MATCH("D9.33|"&amp;CAPTURA!CS30,CODIFICACION!$F$2:$F$500,0))="sin dato","",INDEX(CODIFICACION!$E$2:$E$500,MATCH("D9.33|"&amp;CAPTURA!CS30,CODIFICACION!$F$2:$F$500,0))),"⚠"))</f>
        <v/>
      </c>
      <c r="BO30" t="str">
        <f>IF(CAPTURA!CT30="","",IFERROR(IF(INDEX(CODIFICACION!$E$2:$E$500,MATCH("D9.34|"&amp;CAPTURA!CT30,CODIFICACION!$F$2:$F$500,0))="sin dato","",INDEX(CODIFICACION!$E$2:$E$500,MATCH("D9.34|"&amp;CAPTURA!CT30,CODIFICACION!$F$2:$F$500,0))),"⚠"))</f>
        <v/>
      </c>
      <c r="BP30" t="str">
        <f>IF(CAPTURA!CU30="","",IFERROR(IF(INDEX(CODIFICACION!$E$2:$E$500,MATCH("D9.35|"&amp;CAPTURA!CU30,CODIFICACION!$F$2:$F$500,0))="sin dato","",INDEX(CODIFICACION!$E$2:$E$500,MATCH("D9.35|"&amp;CAPTURA!CU30,CODIFICACION!$F$2:$F$500,0))),"⚠"))</f>
        <v/>
      </c>
      <c r="BQ30" t="str">
        <f>IF(CAPTURA!CV30="","",IFERROR(IF(INDEX(CODIFICACION!$E$2:$E$500,MATCH("D10.36|"&amp;CAPTURA!CV30,CODIFICACION!$F$2:$F$500,0))="sin dato","",INDEX(CODIFICACION!$E$2:$E$500,MATCH("D10.36|"&amp;CAPTURA!CV30,CODIFICACION!$F$2:$F$500,0))),"⚠"))</f>
        <v/>
      </c>
      <c r="BR30" t="str">
        <f>IF(CAPTURA!CW30="","",IFERROR(IF(INDEX(CODIFICACION!$E$2:$E$500,MATCH("D10.37|"&amp;CAPTURA!CW30,CODIFICACION!$F$2:$F$500,0))="sin dato","",INDEX(CODIFICACION!$E$2:$E$500,MATCH("D10.37|"&amp;CAPTURA!CW30,CODIFICACION!$F$2:$F$500,0))),"⚠"))</f>
        <v/>
      </c>
      <c r="BS30" t="str">
        <f>IF(CAPTURA!CX30="","",IFERROR(IF(INDEX(CODIFICACION!$E$2:$E$500,MATCH("D10.36a|"&amp;CAPTURA!CX30,CODIFICACION!$F$2:$F$500,0))="sin dato","",INDEX(CODIFICACION!$E$2:$E$500,MATCH("D10.36a|"&amp;CAPTURA!CX30,CODIFICACION!$F$2:$F$500,0))),"⚠"))</f>
        <v/>
      </c>
      <c r="BT30" t="str">
        <f>IF(CAPTURA!CY30="","",IF(ISNUMBER(SEARCH("Ninguno",CAPTURA!CY30)),0,MIN(100,ROUND((LEN(CAPTURA!CY30)-LEN(SUBSTITUTE(CAPTURA!CY30,";",""))+1)/6*100,1))))</f>
        <v/>
      </c>
      <c r="BU30" t="str">
        <f>IF(CAPTURA!DA30="","",IFERROR(IF(INDEX(CODIFICACION!$E$2:$E$500,MATCH("D11.39a|"&amp;CAPTURA!DA30,CODIFICACION!$F$2:$F$500,0))="sin dato","",INDEX(CODIFICACION!$E$2:$E$500,MATCH("D11.39a|"&amp;CAPTURA!DA30,CODIFICACION!$F$2:$F$500,0))),"⚠"))</f>
        <v/>
      </c>
      <c r="BV30" t="str">
        <f>IF(CAPTURA!DB30="","",IFERROR(IF(INDEX(CODIFICACION!$E$2:$E$500,MATCH("D12.42|"&amp;CAPTURA!DB30,CODIFICACION!$F$2:$F$500,0))="sin dato","",INDEX(CODIFICACION!$E$2:$E$500,MATCH("D12.42|"&amp;CAPTURA!DB30,CODIFICACION!$F$2:$F$500,0))),"⚠"))</f>
        <v/>
      </c>
      <c r="BW30" t="str">
        <f>IF(CAPTURA!DC30="","",IFERROR(IF(INDEX(CODIFICACION!$E$2:$E$500,MATCH("D13.45|"&amp;CAPTURA!DC30,CODIFICACION!$F$2:$F$500,0))="sin dato","",INDEX(CODIFICACION!$E$2:$E$500,MATCH("D13.45|"&amp;CAPTURA!DC30,CODIFICACION!$F$2:$F$500,0))),"⚠"))</f>
        <v/>
      </c>
      <c r="BX30" t="str">
        <f>IF(CAPTURA!DD30="","",IFERROR(IF(INDEX(CODIFICACION!$E$2:$E$500,MATCH("D14.51|"&amp;CAPTURA!DD30,CODIFICACION!$F$2:$F$500,0))="sin dato","",INDEX(CODIFICACION!$E$2:$E$500,MATCH("D14.51|"&amp;CAPTURA!DD30,CODIFICACION!$F$2:$F$500,0))),"⚠"))</f>
        <v/>
      </c>
      <c r="BY30" t="str">
        <f>IF(CAPTURA!DE30="","",IFERROR(IF(INDEX(CODIFICACION!$E$2:$E$500,MATCH("D15.58|"&amp;CAPTURA!DE30,CODIFICACION!$F$2:$F$500,0))="sin dato","",INDEX(CODIFICACION!$E$2:$E$500,MATCH("D15.58|"&amp;CAPTURA!DE30,CODIFICACION!$F$2:$F$500,0))),"⚠"))</f>
        <v/>
      </c>
      <c r="BZ30" t="str">
        <f>IF(CAPTURA!DF30="","",IFERROR(IF(INDEX(CODIFICACION!$E$2:$E$500,MATCH("PP1|"&amp;CAPTURA!DF30,CODIFICACION!$F$2:$F$500,0))="sin dato","",INDEX(CODIFICACION!$E$2:$E$500,MATCH("PP1|"&amp;CAPTURA!DF30,CODIFICACION!$F$2:$F$500,0))),"⚠"))</f>
        <v/>
      </c>
      <c r="CA30" t="str">
        <f>IF(CAPTURA!DG30="","",IFERROR(IF(INDEX(CODIFICACION!$E$2:$E$500,MATCH("PP2|"&amp;CAPTURA!DG30,CODIFICACION!$F$2:$F$500,0))="sin dato","",INDEX(CODIFICACION!$E$2:$E$500,MATCH("PP2|"&amp;CAPTURA!DG30,CODIFICACION!$F$2:$F$500,0))),"⚠"))</f>
        <v/>
      </c>
      <c r="CB30" t="str">
        <f t="shared" si="0"/>
        <v/>
      </c>
      <c r="CC30" t="str">
        <f t="shared" si="1"/>
        <v/>
      </c>
      <c r="CD30" t="str">
        <f t="shared" si="2"/>
        <v/>
      </c>
      <c r="CE30" t="str">
        <f t="shared" si="3"/>
        <v/>
      </c>
      <c r="CF30" t="str">
        <f t="shared" si="4"/>
        <v/>
      </c>
      <c r="CG30" t="str">
        <f t="shared" si="5"/>
        <v/>
      </c>
      <c r="CH30" t="str">
        <f t="shared" si="6"/>
        <v/>
      </c>
      <c r="CI30" t="str">
        <f t="shared" si="7"/>
        <v/>
      </c>
      <c r="CJ30" t="str">
        <f t="shared" si="8"/>
        <v/>
      </c>
      <c r="CK30" t="str">
        <f t="shared" si="9"/>
        <v/>
      </c>
      <c r="CL30" t="str">
        <f t="shared" si="10"/>
        <v/>
      </c>
    </row>
    <row r="31" spans="1:90" x14ac:dyDescent="0.3">
      <c r="A31">
        <f>CAPTURA!A31</f>
        <v>20450189201</v>
      </c>
      <c r="B31">
        <f>CAPTURA!C31</f>
        <v>0</v>
      </c>
      <c r="C31" t="str">
        <f>IF(CAPTURA!M31="","",ROUND((ISNUMBER(SEARCH("Alemania",CAPTURA!M31))+ISNUMBER(SEARCH("Bélgica",CAPTURA!M31))+ISNUMBER(SEARCH("Países Bajos",CAPTURA!M31))+ISNUMBER(SEARCH("Francia",CAPTURA!M31))+ISNUMBER(SEARCH("Italia",CAPTURA!M31))+ISNUMBER(SEARCH("España",CAPTURA!M31))+ISNUMBER(SEARCH("Suecia",CAPTURA!M31))+ISNUMBER(SEARCH("Dinamarca",CAPTURA!M31)))/((LEN(CAPTURA!M31)-LEN(SUBSTITUTE(CAPTURA!M31,";","")))+1)*100,1))</f>
        <v/>
      </c>
      <c r="D31" t="str">
        <f>IF(CAPTURA!AE31="","",IFERROR(IF(INDEX(CODIFICACION!$E$2:$E$500,MATCH("P8|"&amp;CAPTURA!AE31,CODIFICACION!$F$2:$F$500,0))="sin dato","",INDEX(CODIFICACION!$E$2:$E$500,MATCH("P8|"&amp;CAPTURA!AE31,CODIFICACION!$F$2:$F$500,0))),"⚠"))</f>
        <v/>
      </c>
      <c r="E31" t="str">
        <f>IF(CAPTURA!AG31="","",IFERROR(IF(INDEX(CODIFICACION!$E$2:$E$500,MATCH("P10|"&amp;CAPTURA!AG31,CODIFICACION!$F$2:$F$500,0))="sin dato","",INDEX(CODIFICACION!$E$2:$E$500,MATCH("P10|"&amp;CAPTURA!AG31,CODIFICACION!$F$2:$F$500,0))),"⚠"))</f>
        <v/>
      </c>
      <c r="F31" t="str">
        <f>IF(CAPTURA!AJ31="","",IFERROR(IF(INDEX(CODIFICACION!$E$2:$E$500,MATCH("P13|"&amp;CAPTURA!AJ31,CODIFICACION!$F$2:$F$500,0))="sin dato","",INDEX(CODIFICACION!$E$2:$E$500,MATCH("P13|"&amp;CAPTURA!AJ31,CODIFICACION!$F$2:$F$500,0))),"⚠"))</f>
        <v/>
      </c>
      <c r="G31" t="str">
        <f>IF(CAPTURA!AK31="","",IFERROR(IF(INDEX(CODIFICACION!$E$2:$E$500,MATCH("P14|"&amp;CAPTURA!AK31,CODIFICACION!$F$2:$F$500,0))="sin dato","",INDEX(CODIFICACION!$E$2:$E$500,MATCH("P14|"&amp;CAPTURA!AK31,CODIFICACION!$F$2:$F$500,0))),"⚠"))</f>
        <v/>
      </c>
      <c r="H31" t="str">
        <f>IF(CAPTURA!AL31="","",IFERROR(IF(INDEX(CODIFICACION!$E$2:$E$500,MATCH("D1.1|"&amp;CAPTURA!AL31,CODIFICACION!$F$2:$F$500,0))="sin dato","",INDEX(CODIFICACION!$E$2:$E$500,MATCH("D1.1|"&amp;CAPTURA!AL31,CODIFICACION!$F$2:$F$500,0))),"⚠"))</f>
        <v/>
      </c>
      <c r="I31" t="str">
        <f>IF(CAPTURA!AN31="","",IFERROR(IF(INDEX(CODIFICACION!$E$2:$E$500,MATCH("D1.3|"&amp;CAPTURA!AN31,CODIFICACION!$F$2:$F$500,0))="sin dato","",INDEX(CODIFICACION!$E$2:$E$500,MATCH("D1.3|"&amp;CAPTURA!AN31,CODIFICACION!$F$2:$F$500,0))),"⚠"))</f>
        <v/>
      </c>
      <c r="J31" t="str">
        <f>IF(CAPTURA!AO31="","",IFERROR(IF(INDEX(CODIFICACION!$E$2:$E$500,MATCH("D1.4|"&amp;CAPTURA!AO31,CODIFICACION!$F$2:$F$500,0))="sin dato","",INDEX(CODIFICACION!$E$2:$E$500,MATCH("D1.4|"&amp;CAPTURA!AO31,CODIFICACION!$F$2:$F$500,0))),"⚠"))</f>
        <v/>
      </c>
      <c r="K31" t="str">
        <f>IF(CAPTURA!AP31="","",IFERROR(IF(INDEX(CODIFICACION!$E$2:$E$500,MATCH("D1.3a|"&amp;CAPTURA!AP31,CODIFICACION!$F$2:$F$500,0))="sin dato","",INDEX(CODIFICACION!$E$2:$E$500,MATCH("D1.3a|"&amp;CAPTURA!AP31,CODIFICACION!$F$2:$F$500,0))),"⚠"))</f>
        <v/>
      </c>
      <c r="L31" t="str">
        <f>IF(CAPTURA!AQ31="","",IF(AND(ISNUMBER(CAPTURA!AQ31),CAPTURA!AQ31&gt;=0,CAPTURA!AQ31&lt;=4),CAPTURA!AQ31*25,"⚠"))</f>
        <v/>
      </c>
      <c r="M31" t="str">
        <f>IF(CAPTURA!AR31="","",IF(ISNUMBER(CAPTURA!AR31),MAX(0,MIN(100,CAPTURA!AR31)),"⚠"))</f>
        <v/>
      </c>
      <c r="N31" t="str">
        <f>IF(CAPTURA!AS31="","",IF(AND(ISNUMBER(CAPTURA!AS31),CAPTURA!AS31&gt;=0,CAPTURA!AS31&lt;=4),CAPTURA!AS31*25,"⚠"))</f>
        <v/>
      </c>
      <c r="O31" t="str">
        <f>IF(CAPTURA!AT31="","",IFERROR(IF(INDEX(CODIFICACION!$E$2:$E$500,MATCH("D2.8|"&amp;CAPTURA!AT31,CODIFICACION!$F$2:$F$500,0))="sin dato","",INDEX(CODIFICACION!$E$2:$E$500,MATCH("D2.8|"&amp;CAPTURA!AT31,CODIFICACION!$F$2:$F$500,0))),"⚠"))</f>
        <v/>
      </c>
      <c r="P31" t="str">
        <f>IF(CAPTURA!AU31="","",IFERROR(IF(INDEX(CODIFICACION!$E$2:$E$500,MATCH("D2.9|"&amp;CAPTURA!AU31,CODIFICACION!$F$2:$F$500,0))="sin dato","",INDEX(CODIFICACION!$E$2:$E$500,MATCH("D2.9|"&amp;CAPTURA!AU31,CODIFICACION!$F$2:$F$500,0))),"⚠"))</f>
        <v/>
      </c>
      <c r="Q31" t="str">
        <f>IF(CAPTURA!AV31="","",IFERROR(IF(INDEX(CODIFICACION!$E$2:$E$500,MATCH("D2.10|"&amp;CAPTURA!AV31,CODIFICACION!$F$2:$F$500,0))="sin dato","",INDEX(CODIFICACION!$E$2:$E$500,MATCH("D2.10|"&amp;CAPTURA!AV31,CODIFICACION!$F$2:$F$500,0))),"⚠"))</f>
        <v/>
      </c>
      <c r="R31" t="str">
        <f>IF(CAPTURA!AW31="","",IFERROR(IF(INDEX(CODIFICACION!$E$2:$E$500,MATCH("D2.5a|"&amp;CAPTURA!AW31,CODIFICACION!$F$2:$F$500,0))="sin dato","",INDEX(CODIFICACION!$E$2:$E$500,MATCH("D2.5a|"&amp;CAPTURA!AW31,CODIFICACION!$F$2:$F$500,0))),"⚠"))</f>
        <v/>
      </c>
      <c r="S31" t="str">
        <f>IF(CAPTURA!AX31="","",IFERROR(IF(INDEX(CODIFICACION!$E$2:$E$500,MATCH("D2.5b|"&amp;CAPTURA!AX31,CODIFICACION!$F$2:$F$500,0))="sin dato","",INDEX(CODIFICACION!$E$2:$E$500,MATCH("D2.5b|"&amp;CAPTURA!AX31,CODIFICACION!$F$2:$F$500,0))),"⚠"))</f>
        <v/>
      </c>
      <c r="T31" t="str">
        <f>IF(CAPTURA!AY31="","",IF(ISNUMBER(CAPTURA!AY31),MAX(0,MIN(100,CAPTURA!AY31)),"⚠"))</f>
        <v/>
      </c>
      <c r="U31" t="str">
        <f>IF(CAPTURA!AZ31="","",IFERROR(IF(INDEX(CODIFICACION!$E$2:$E$500,MATCH("D3.12|"&amp;CAPTURA!AZ31,CODIFICACION!$F$2:$F$500,0))="sin dato","",INDEX(CODIFICACION!$E$2:$E$500,MATCH("D3.12|"&amp;CAPTURA!AZ31,CODIFICACION!$F$2:$F$500,0))),"⚠"))</f>
        <v/>
      </c>
      <c r="V31" t="str">
        <f>IF(CAPTURA!BA31="","",IF(AND(ISNUMBER(CAPTURA!BA31),CAPTURA!BA31&gt;=0,CAPTURA!BA31&lt;=4),CAPTURA!BA31*25,"⚠"))</f>
        <v/>
      </c>
      <c r="W31" t="str">
        <f>IF(CAPTURA!BB31="","",IFERROR(IF(INDEX(CODIFICACION!$E$2:$E$500,MATCH("D3.14|"&amp;CAPTURA!BB31,CODIFICACION!$F$2:$F$500,0))="sin dato","",INDEX(CODIFICACION!$E$2:$E$500,MATCH("D3.14|"&amp;CAPTURA!BB31,CODIFICACION!$F$2:$F$500,0))),"⚠"))</f>
        <v/>
      </c>
      <c r="X31" t="str">
        <f>IF(CAPTURA!BC31="","",IFERROR(IF(INDEX(CODIFICACION!$E$2:$E$500,MATCH("D3.14a|"&amp;CAPTURA!BC31,CODIFICACION!$F$2:$F$500,0))="sin dato","",INDEX(CODIFICACION!$E$2:$E$500,MATCH("D3.14a|"&amp;CAPTURA!BC31,CODIFICACION!$F$2:$F$500,0))),"⚠"))</f>
        <v/>
      </c>
      <c r="Y31" t="str">
        <f>IF(CAPTURA!BD31="","",IFERROR(IF(INDEX(CODIFICACION!$E$2:$E$500,MATCH("D3.14b|"&amp;CAPTURA!BD31,CODIFICACION!$F$2:$F$500,0))="sin dato","",INDEX(CODIFICACION!$E$2:$E$500,MATCH("D3.14b|"&amp;CAPTURA!BD31,CODIFICACION!$F$2:$F$500,0))),"⚠"))</f>
        <v/>
      </c>
      <c r="Z31" t="str">
        <f>IF(CAPTURA!BE31="","",IFERROR(IF(INDEX(CODIFICACION!$E$2:$E$500,MATCH("D3.14c|"&amp;CAPTURA!BE31,CODIFICACION!$F$2:$F$500,0))="sin dato","",INDEX(CODIFICACION!$E$2:$E$500,MATCH("D3.14c|"&amp;CAPTURA!BE31,CODIFICACION!$F$2:$F$500,0))),"⚠"))</f>
        <v/>
      </c>
      <c r="AA31" t="str">
        <f>IF(CAPTURA!BF31="","",IFERROR(IF(INDEX(CODIFICACION!$E$2:$E$500,MATCH("D3.14d|"&amp;CAPTURA!BF31,CODIFICACION!$F$2:$F$500,0))="sin dato","",INDEX(CODIFICACION!$E$2:$E$500,MATCH("D3.14d|"&amp;CAPTURA!BF31,CODIFICACION!$F$2:$F$500,0))),"⚠"))</f>
        <v/>
      </c>
      <c r="AB31" t="str">
        <f>IF(CAPTURA!BG31="","",IFERROR(IF(INDEX(CODIFICACION!$E$2:$E$500,MATCH("D3.14e|"&amp;CAPTURA!BG31,CODIFICACION!$F$2:$F$500,0))="sin dato","",INDEX(CODIFICACION!$E$2:$E$500,MATCH("D3.14e|"&amp;CAPTURA!BG31,CODIFICACION!$F$2:$F$500,0))),"⚠"))</f>
        <v/>
      </c>
      <c r="AC31" t="str">
        <f>IF(CAPTURA!BH31="","",IFERROR(IF(INDEX(CODIFICACION!$E$2:$E$500,MATCH("D3.14f|"&amp;CAPTURA!BH31,CODIFICACION!$F$2:$F$500,0))="sin dato","",INDEX(CODIFICACION!$E$2:$E$500,MATCH("D3.14f|"&amp;CAPTURA!BH31,CODIFICACION!$F$2:$F$500,0))),"⚠"))</f>
        <v/>
      </c>
      <c r="AD31" t="str">
        <f>IF(CAPTURA!BI31="","",IFERROR(IF(INDEX(CODIFICACION!$E$2:$E$500,MATCH("D3.14g|"&amp;CAPTURA!BI31,CODIFICACION!$F$2:$F$500,0))="sin dato","",INDEX(CODIFICACION!$E$2:$E$500,MATCH("D3.14g|"&amp;CAPTURA!BI31,CODIFICACION!$F$2:$F$500,0))),"⚠"))</f>
        <v/>
      </c>
      <c r="AE31" t="str">
        <f>IF(CAPTURA!BJ31="","",IFERROR(IF(INDEX(CODIFICACION!$E$2:$E$500,MATCH("D3.14h|"&amp;CAPTURA!BJ31,CODIFICACION!$F$2:$F$500,0))="sin dato","",INDEX(CODIFICACION!$E$2:$E$500,MATCH("D3.14h|"&amp;CAPTURA!BJ31,CODIFICACION!$F$2:$F$500,0))),"⚠"))</f>
        <v/>
      </c>
      <c r="AF31" t="str">
        <f>IF(CAPTURA!BK31="","",IFERROR(IF(INDEX(CODIFICACION!$E$2:$E$500,MATCH("D3.14i|"&amp;CAPTURA!BK31,CODIFICACION!$F$2:$F$500,0))="sin dato","",INDEX(CODIFICACION!$E$2:$E$500,MATCH("D3.14i|"&amp;CAPTURA!BK31,CODIFICACION!$F$2:$F$500,0))),"⚠"))</f>
        <v/>
      </c>
      <c r="AG31" t="str">
        <f>IF(CAPTURA!BL31="","",IFERROR(IF(INDEX(CODIFICACION!$E$2:$E$500,MATCH("D4.15|"&amp;CAPTURA!BL31,CODIFICACION!$F$2:$F$500,0))="sin dato","",INDEX(CODIFICACION!$E$2:$E$500,MATCH("D4.15|"&amp;CAPTURA!BL31,CODIFICACION!$F$2:$F$500,0))),"⚠"))</f>
        <v/>
      </c>
      <c r="AH31" t="str">
        <f>IF(CAPTURA!BM31="","",IF(AND(ISNUMBER(CAPTURA!BM31),CAPTURA!BM31&gt;=0,CAPTURA!BM31&lt;=4),CAPTURA!BM31*25,"⚠"))</f>
        <v/>
      </c>
      <c r="AI31" t="str">
        <f>IF(CAPTURA!BN31="","",IFERROR(IF(INDEX(CODIFICACION!$E$2:$E$500,MATCH("D4.17|"&amp;CAPTURA!BN31,CODIFICACION!$F$2:$F$500,0))="sin dato","",INDEX(CODIFICACION!$E$2:$E$500,MATCH("D4.17|"&amp;CAPTURA!BN31,CODIFICACION!$F$2:$F$500,0))),"⚠"))</f>
        <v/>
      </c>
      <c r="AJ31" t="str">
        <f>IF(CAPTURA!BO31="","",IFERROR(IF(INDEX(CODIFICACION!$E$2:$E$500,MATCH("D4.15a|"&amp;CAPTURA!BO31,CODIFICACION!$F$2:$F$500,0))="sin dato","",INDEX(CODIFICACION!$E$2:$E$500,MATCH("D4.15a|"&amp;CAPTURA!BO31,CODIFICACION!$F$2:$F$500,0))),"⚠"))</f>
        <v/>
      </c>
      <c r="AK31" t="str">
        <f>IF(CAPTURA!BP31="","",IF(AND(ISNUMBER(CAPTURA!BP31),CAPTURA!BP31&gt;=0,CAPTURA!BP31&lt;=4),CAPTURA!BP31*25,"⚠"))</f>
        <v/>
      </c>
      <c r="AL31" t="str">
        <f>IF(CAPTURA!BQ31="","",IF(AND(ISNUMBER(CAPTURA!BQ31),CAPTURA!BQ31&gt;=0,CAPTURA!BQ31&lt;=4),CAPTURA!BQ31*25,"⚠"))</f>
        <v/>
      </c>
      <c r="AM31" t="str">
        <f>IF(CAPTURA!BR31="","",IFERROR(IF(INDEX(CODIFICACION!$E$2:$E$500,MATCH("D5.18b|"&amp;CAPTURA!BR31,CODIFICACION!$F$2:$F$500,0))="sin dato","",INDEX(CODIFICACION!$E$2:$E$500,MATCH("D5.18b|"&amp;CAPTURA!BR31,CODIFICACION!$F$2:$F$500,0))),"⚠"))</f>
        <v/>
      </c>
      <c r="AN31" t="str">
        <f>IF(CAPTURA!BS31="","",IFERROR(IF(INDEX(CODIFICACION!$E$2:$E$500,MATCH("D5.19|"&amp;CAPTURA!BS31,CODIFICACION!$F$2:$F$500,0))="sin dato","",INDEX(CODIFICACION!$E$2:$E$500,MATCH("D5.19|"&amp;CAPTURA!BS31,CODIFICACION!$F$2:$F$500,0))),"⚠"))</f>
        <v/>
      </c>
      <c r="AO31" t="str">
        <f>IF(CAPTURA!BT31="","",MIN(100,ROUND((LEN(CAPTURA!BT31)-LEN(SUBSTITUTE(CAPTURA!BT31,";",""))+1)/7*100,1)))</f>
        <v/>
      </c>
      <c r="AP31" t="str">
        <f>IF(CAPTURA!BU31="","",IFERROR(IF(INDEX(CODIFICACION!$E$2:$E$500,MATCH("D5.20|"&amp;CAPTURA!BU31,CODIFICACION!$F$2:$F$500,0))="sin dato","",INDEX(CODIFICACION!$E$2:$E$500,MATCH("D5.20|"&amp;CAPTURA!BU31,CODIFICACION!$F$2:$F$500,0))),"⚠"))</f>
        <v/>
      </c>
      <c r="AQ31" t="str">
        <f>IF(CAPTURA!BV31="","",IFERROR(IF(INDEX(CODIFICACION!$E$2:$E$500,MATCH("D5.21|"&amp;CAPTURA!BV31,CODIFICACION!$F$2:$F$500,0))="sin dato","",INDEX(CODIFICACION!$E$2:$E$500,MATCH("D5.21|"&amp;CAPTURA!BV31,CODIFICACION!$F$2:$F$500,0))),"⚠"))</f>
        <v/>
      </c>
      <c r="AR31" t="str">
        <f>IF(CAPTURA!BW31="","",IFERROR(IF(INDEX(CODIFICACION!$E$2:$E$500,MATCH("D5.21a|"&amp;CAPTURA!BW31,CODIFICACION!$F$2:$F$500,0))="sin dato","",INDEX(CODIFICACION!$E$2:$E$500,MATCH("D5.21a|"&amp;CAPTURA!BW31,CODIFICACION!$F$2:$F$500,0))),"⚠"))</f>
        <v/>
      </c>
      <c r="AS31" t="str">
        <f>IF(CAPTURA!BX31="","",IFERROR(IF(INDEX(CODIFICACION!$E$2:$E$500,MATCH("D5.21b|"&amp;CAPTURA!BX31,CODIFICACION!$F$2:$F$500,0))="sin dato","",INDEX(CODIFICACION!$E$2:$E$500,MATCH("D5.21b|"&amp;CAPTURA!BX31,CODIFICACION!$F$2:$F$500,0))),"⚠"))</f>
        <v/>
      </c>
      <c r="AT31" t="str">
        <f>IF(CAPTURA!BY31="","",IFERROR(IF(INDEX(CODIFICACION!$E$2:$E$500,MATCH("D6.22|"&amp;CAPTURA!BY31,CODIFICACION!$F$2:$F$500,0))="sin dato","",INDEX(CODIFICACION!$E$2:$E$500,MATCH("D6.22|"&amp;CAPTURA!BY31,CODIFICACION!$F$2:$F$500,0))),"⚠"))</f>
        <v/>
      </c>
      <c r="AU31" t="str">
        <f>IF(CAPTURA!BZ31="","",IFERROR(IF(INDEX(CODIFICACION!$E$2:$E$500,MATCH("D6.22a|"&amp;CAPTURA!BZ31,CODIFICACION!$F$2:$F$500,0))="sin dato","",INDEX(CODIFICACION!$E$2:$E$500,MATCH("D6.22a|"&amp;CAPTURA!BZ31,CODIFICACION!$F$2:$F$500,0))),"⚠"))</f>
        <v/>
      </c>
      <c r="AV31" t="str">
        <f>IF(CAPTURA!CA31="","",IFERROR(IF(INDEX(CODIFICACION!$E$2:$E$500,MATCH("D6.22b|"&amp;CAPTURA!CA31,CODIFICACION!$F$2:$F$500,0))="sin dato","",INDEX(CODIFICACION!$E$2:$E$500,MATCH("D6.22b|"&amp;CAPTURA!CA31,CODIFICACION!$F$2:$F$500,0))),"⚠"))</f>
        <v/>
      </c>
      <c r="AW31" t="str">
        <f>IF(CAPTURA!CB31="","",IFERROR(IF(INDEX(CODIFICACION!$E$2:$E$500,MATCH("D6.23|"&amp;CAPTURA!CB31,CODIFICACION!$F$2:$F$500,0))="sin dato","",INDEX(CODIFICACION!$E$2:$E$500,MATCH("D6.23|"&amp;CAPTURA!CB31,CODIFICACION!$F$2:$F$500,0))),"⚠"))</f>
        <v/>
      </c>
      <c r="AX31" t="str">
        <f>IF(CAPTURA!CC31="","",IFERROR(IF(INDEX(CODIFICACION!$E$2:$E$500,MATCH("D6.24|"&amp;CAPTURA!CC31,CODIFICACION!$F$2:$F$500,0))="sin dato","",INDEX(CODIFICACION!$E$2:$E$500,MATCH("D6.24|"&amp;CAPTURA!CC31,CODIFICACION!$F$2:$F$500,0))),"⚠"))</f>
        <v/>
      </c>
      <c r="AY31" t="str">
        <f>IF(CAPTURA!CD31="","",IFERROR(IF(INDEX(CODIFICACION!$E$2:$E$500,MATCH("D6.25|"&amp;CAPTURA!CD31,CODIFICACION!$F$2:$F$500,0))="sin dato","",INDEX(CODIFICACION!$E$2:$E$500,MATCH("D6.25|"&amp;CAPTURA!CD31,CODIFICACION!$F$2:$F$500,0))),"⚠"))</f>
        <v/>
      </c>
      <c r="AZ31" t="str">
        <f>IF(CAPTURA!CE31="","",IFERROR(IF(INDEX(CODIFICACION!$E$2:$E$500,MATCH("D6.25a|"&amp;CAPTURA!CE31,CODIFICACION!$F$2:$F$500,0))="sin dato","",INDEX(CODIFICACION!$E$2:$E$500,MATCH("D6.25a|"&amp;CAPTURA!CE31,CODIFICACION!$F$2:$F$500,0))),"⚠"))</f>
        <v/>
      </c>
      <c r="BA31" t="str">
        <f>IF(CAPTURA!CF31="","",IFERROR(IF(INDEX(CODIFICACION!$E$2:$E$500,MATCH("D6.25b|"&amp;CAPTURA!CF31,CODIFICACION!$F$2:$F$500,0))="sin dato","",INDEX(CODIFICACION!$E$2:$E$500,MATCH("D6.25b|"&amp;CAPTURA!CF31,CODIFICACION!$F$2:$F$500,0))),"⚠"))</f>
        <v/>
      </c>
      <c r="BB31" t="str">
        <f>IF(CAPTURA!CG31="","",IFERROR(IF(INDEX(CODIFICACION!$E$2:$E$500,MATCH("D6.22c|"&amp;CAPTURA!CG31,CODIFICACION!$F$2:$F$500,0))="sin dato","",INDEX(CODIFICACION!$E$2:$E$500,MATCH("D6.22c|"&amp;CAPTURA!CG31,CODIFICACION!$F$2:$F$500,0))),"⚠"))</f>
        <v/>
      </c>
      <c r="BC31" t="str">
        <f>IF(CAPTURA!CH31="","",IFERROR(IF(INDEX(CODIFICACION!$E$2:$E$500,MATCH("D7.26|"&amp;CAPTURA!CH31,CODIFICACION!$F$2:$F$500,0))="sin dato","",INDEX(CODIFICACION!$E$2:$E$500,MATCH("D7.26|"&amp;CAPTURA!CH31,CODIFICACION!$F$2:$F$500,0))),"⚠"))</f>
        <v/>
      </c>
      <c r="BD31" t="str">
        <f>IF(CAPTURA!CI31="","",IFERROR(IF(INDEX(CODIFICACION!$E$2:$E$500,MATCH("D7.27|"&amp;CAPTURA!CI31,CODIFICACION!$F$2:$F$500,0))="sin dato","",INDEX(CODIFICACION!$E$2:$E$500,MATCH("D7.27|"&amp;CAPTURA!CI31,CODIFICACION!$F$2:$F$500,0))),"⚠"))</f>
        <v/>
      </c>
      <c r="BE31" t="str">
        <f>IF(CAPTURA!CJ31="","",IFERROR(IF(INDEX(CODIFICACION!$E$2:$E$500,MATCH("D7.28|"&amp;CAPTURA!CJ31,CODIFICACION!$F$2:$F$500,0))="sin dato","",INDEX(CODIFICACION!$E$2:$E$500,MATCH("D7.28|"&amp;CAPTURA!CJ31,CODIFICACION!$F$2:$F$500,0))),"⚠"))</f>
        <v/>
      </c>
      <c r="BF31" t="str">
        <f>IF(CAPTURA!CK31="","",IFERROR(IF(INDEX(CODIFICACION!$E$2:$E$500,MATCH("D7.28b|"&amp;CAPTURA!CK31,CODIFICACION!$F$2:$F$500,0))="sin dato","",INDEX(CODIFICACION!$E$2:$E$500,MATCH("D7.28b|"&amp;CAPTURA!CK31,CODIFICACION!$F$2:$F$500,0))),"⚠"))</f>
        <v/>
      </c>
      <c r="BG31" t="str">
        <f>IF(CAPTURA!CL31="","",MIN(100,ROUND((LEN(CAPTURA!CL31)-LEN(SUBSTITUTE(CAPTURA!CL31,";",""))+1)/8*100,1)))</f>
        <v/>
      </c>
      <c r="BH31" t="str">
        <f>IF(CAPTURA!CM31="","",IFERROR(IF(INDEX(CODIFICACION!$E$2:$E$500,MATCH("D7.26a|"&amp;CAPTURA!CM31,CODIFICACION!$F$2:$F$500,0))="sin dato","",INDEX(CODIFICACION!$E$2:$E$500,MATCH("D7.26a|"&amp;CAPTURA!CM31,CODIFICACION!$F$2:$F$500,0))),"⚠"))</f>
        <v/>
      </c>
      <c r="BI31" t="str">
        <f>IF(CAPTURA!CN31="","",IFERROR(IF(INDEX(CODIFICACION!$E$2:$E$500,MATCH("D7.26b|"&amp;CAPTURA!CN31,CODIFICACION!$F$2:$F$500,0))="sin dato","",INDEX(CODIFICACION!$E$2:$E$500,MATCH("D7.26b|"&amp;CAPTURA!CN31,CODIFICACION!$F$2:$F$500,0))),"⚠"))</f>
        <v/>
      </c>
      <c r="BJ31" t="str">
        <f>IF(CAPTURA!CO31="","",IF(AND(ISNUMBER(CAPTURA!CO31),CAPTURA!CO31&gt;=0,CAPTURA!CO31&lt;=4),CAPTURA!CO31*25,"⚠"))</f>
        <v/>
      </c>
      <c r="BK31" t="str">
        <f>IF(CAPTURA!CP31="","",IF(ISNUMBER(CAPTURA!CP31),MAX(0,MIN(100,CAPTURA!CP31)),"⚠"))</f>
        <v/>
      </c>
      <c r="BL31" t="str">
        <f>IF(CAPTURA!CQ31="","",IFERROR(IF(INDEX(CODIFICACION!$E$2:$E$500,MATCH("D8.31|"&amp;CAPTURA!CQ31,CODIFICACION!$F$2:$F$500,0))="sin dato","",INDEX(CODIFICACION!$E$2:$E$500,MATCH("D8.31|"&amp;CAPTURA!CQ31,CODIFICACION!$F$2:$F$500,0))),"⚠"))</f>
        <v/>
      </c>
      <c r="BM31" t="str">
        <f>IF(CAPTURA!CR31="","",IFERROR(IF(INDEX(CODIFICACION!$E$2:$E$500,MATCH("D8.32|"&amp;CAPTURA!CR31,CODIFICACION!$F$2:$F$500,0))="sin dato","",INDEX(CODIFICACION!$E$2:$E$500,MATCH("D8.32|"&amp;CAPTURA!CR31,CODIFICACION!$F$2:$F$500,0))),"⚠"))</f>
        <v/>
      </c>
      <c r="BN31" t="str">
        <f>IF(CAPTURA!CS31="","",IFERROR(IF(INDEX(CODIFICACION!$E$2:$E$500,MATCH("D9.33|"&amp;CAPTURA!CS31,CODIFICACION!$F$2:$F$500,0))="sin dato","",INDEX(CODIFICACION!$E$2:$E$500,MATCH("D9.33|"&amp;CAPTURA!CS31,CODIFICACION!$F$2:$F$500,0))),"⚠"))</f>
        <v/>
      </c>
      <c r="BO31" t="str">
        <f>IF(CAPTURA!CT31="","",IFERROR(IF(INDEX(CODIFICACION!$E$2:$E$500,MATCH("D9.34|"&amp;CAPTURA!CT31,CODIFICACION!$F$2:$F$500,0))="sin dato","",INDEX(CODIFICACION!$E$2:$E$500,MATCH("D9.34|"&amp;CAPTURA!CT31,CODIFICACION!$F$2:$F$500,0))),"⚠"))</f>
        <v/>
      </c>
      <c r="BP31" t="str">
        <f>IF(CAPTURA!CU31="","",IFERROR(IF(INDEX(CODIFICACION!$E$2:$E$500,MATCH("D9.35|"&amp;CAPTURA!CU31,CODIFICACION!$F$2:$F$500,0))="sin dato","",INDEX(CODIFICACION!$E$2:$E$500,MATCH("D9.35|"&amp;CAPTURA!CU31,CODIFICACION!$F$2:$F$500,0))),"⚠"))</f>
        <v/>
      </c>
      <c r="BQ31" t="str">
        <f>IF(CAPTURA!CV31="","",IFERROR(IF(INDEX(CODIFICACION!$E$2:$E$500,MATCH("D10.36|"&amp;CAPTURA!CV31,CODIFICACION!$F$2:$F$500,0))="sin dato","",INDEX(CODIFICACION!$E$2:$E$500,MATCH("D10.36|"&amp;CAPTURA!CV31,CODIFICACION!$F$2:$F$500,0))),"⚠"))</f>
        <v/>
      </c>
      <c r="BR31" t="str">
        <f>IF(CAPTURA!CW31="","",IFERROR(IF(INDEX(CODIFICACION!$E$2:$E$500,MATCH("D10.37|"&amp;CAPTURA!CW31,CODIFICACION!$F$2:$F$500,0))="sin dato","",INDEX(CODIFICACION!$E$2:$E$500,MATCH("D10.37|"&amp;CAPTURA!CW31,CODIFICACION!$F$2:$F$500,0))),"⚠"))</f>
        <v/>
      </c>
      <c r="BS31" t="str">
        <f>IF(CAPTURA!CX31="","",IFERROR(IF(INDEX(CODIFICACION!$E$2:$E$500,MATCH("D10.36a|"&amp;CAPTURA!CX31,CODIFICACION!$F$2:$F$500,0))="sin dato","",INDEX(CODIFICACION!$E$2:$E$500,MATCH("D10.36a|"&amp;CAPTURA!CX31,CODIFICACION!$F$2:$F$500,0))),"⚠"))</f>
        <v/>
      </c>
      <c r="BT31" t="str">
        <f>IF(CAPTURA!CY31="","",IF(ISNUMBER(SEARCH("Ninguno",CAPTURA!CY31)),0,MIN(100,ROUND((LEN(CAPTURA!CY31)-LEN(SUBSTITUTE(CAPTURA!CY31,";",""))+1)/6*100,1))))</f>
        <v/>
      </c>
      <c r="BU31" t="str">
        <f>IF(CAPTURA!DA31="","",IFERROR(IF(INDEX(CODIFICACION!$E$2:$E$500,MATCH("D11.39a|"&amp;CAPTURA!DA31,CODIFICACION!$F$2:$F$500,0))="sin dato","",INDEX(CODIFICACION!$E$2:$E$500,MATCH("D11.39a|"&amp;CAPTURA!DA31,CODIFICACION!$F$2:$F$500,0))),"⚠"))</f>
        <v/>
      </c>
      <c r="BV31" t="str">
        <f>IF(CAPTURA!DB31="","",IFERROR(IF(INDEX(CODIFICACION!$E$2:$E$500,MATCH("D12.42|"&amp;CAPTURA!DB31,CODIFICACION!$F$2:$F$500,0))="sin dato","",INDEX(CODIFICACION!$E$2:$E$500,MATCH("D12.42|"&amp;CAPTURA!DB31,CODIFICACION!$F$2:$F$500,0))),"⚠"))</f>
        <v/>
      </c>
      <c r="BW31" t="str">
        <f>IF(CAPTURA!DC31="","",IFERROR(IF(INDEX(CODIFICACION!$E$2:$E$500,MATCH("D13.45|"&amp;CAPTURA!DC31,CODIFICACION!$F$2:$F$500,0))="sin dato","",INDEX(CODIFICACION!$E$2:$E$500,MATCH("D13.45|"&amp;CAPTURA!DC31,CODIFICACION!$F$2:$F$500,0))),"⚠"))</f>
        <v/>
      </c>
      <c r="BX31" t="str">
        <f>IF(CAPTURA!DD31="","",IFERROR(IF(INDEX(CODIFICACION!$E$2:$E$500,MATCH("D14.51|"&amp;CAPTURA!DD31,CODIFICACION!$F$2:$F$500,0))="sin dato","",INDEX(CODIFICACION!$E$2:$E$500,MATCH("D14.51|"&amp;CAPTURA!DD31,CODIFICACION!$F$2:$F$500,0))),"⚠"))</f>
        <v/>
      </c>
      <c r="BY31" t="str">
        <f>IF(CAPTURA!DE31="","",IFERROR(IF(INDEX(CODIFICACION!$E$2:$E$500,MATCH("D15.58|"&amp;CAPTURA!DE31,CODIFICACION!$F$2:$F$500,0))="sin dato","",INDEX(CODIFICACION!$E$2:$E$500,MATCH("D15.58|"&amp;CAPTURA!DE31,CODIFICACION!$F$2:$F$500,0))),"⚠"))</f>
        <v/>
      </c>
      <c r="BZ31" t="str">
        <f>IF(CAPTURA!DF31="","",IFERROR(IF(INDEX(CODIFICACION!$E$2:$E$500,MATCH("PP1|"&amp;CAPTURA!DF31,CODIFICACION!$F$2:$F$500,0))="sin dato","",INDEX(CODIFICACION!$E$2:$E$500,MATCH("PP1|"&amp;CAPTURA!DF31,CODIFICACION!$F$2:$F$500,0))),"⚠"))</f>
        <v/>
      </c>
      <c r="CA31" t="str">
        <f>IF(CAPTURA!DG31="","",IFERROR(IF(INDEX(CODIFICACION!$E$2:$E$500,MATCH("PP2|"&amp;CAPTURA!DG31,CODIFICACION!$F$2:$F$500,0))="sin dato","",INDEX(CODIFICACION!$E$2:$E$500,MATCH("PP2|"&amp;CAPTURA!DG31,CODIFICACION!$F$2:$F$500,0))),"⚠"))</f>
        <v/>
      </c>
      <c r="CB31" t="str">
        <f t="shared" si="0"/>
        <v/>
      </c>
      <c r="CC31" t="str">
        <f t="shared" si="1"/>
        <v/>
      </c>
      <c r="CD31" t="str">
        <f t="shared" si="2"/>
        <v/>
      </c>
      <c r="CE31" t="str">
        <f t="shared" si="3"/>
        <v/>
      </c>
      <c r="CF31" t="str">
        <f t="shared" si="4"/>
        <v/>
      </c>
      <c r="CG31" t="str">
        <f t="shared" si="5"/>
        <v/>
      </c>
      <c r="CH31" t="str">
        <f t="shared" si="6"/>
        <v/>
      </c>
      <c r="CI31" t="str">
        <f t="shared" si="7"/>
        <v/>
      </c>
      <c r="CJ31" t="str">
        <f t="shared" si="8"/>
        <v/>
      </c>
      <c r="CK31" t="str">
        <f t="shared" si="9"/>
        <v/>
      </c>
      <c r="CL31" t="str">
        <f t="shared" si="10"/>
        <v/>
      </c>
    </row>
    <row r="32" spans="1:90" x14ac:dyDescent="0.3">
      <c r="A32">
        <f>CAPTURA!A32</f>
        <v>20450207544</v>
      </c>
      <c r="B32">
        <f>CAPTURA!C32</f>
        <v>0</v>
      </c>
      <c r="C32" t="str">
        <f>IF(CAPTURA!M32="","",ROUND((ISNUMBER(SEARCH("Alemania",CAPTURA!M32))+ISNUMBER(SEARCH("Bélgica",CAPTURA!M32))+ISNUMBER(SEARCH("Países Bajos",CAPTURA!M32))+ISNUMBER(SEARCH("Francia",CAPTURA!M32))+ISNUMBER(SEARCH("Italia",CAPTURA!M32))+ISNUMBER(SEARCH("España",CAPTURA!M32))+ISNUMBER(SEARCH("Suecia",CAPTURA!M32))+ISNUMBER(SEARCH("Dinamarca",CAPTURA!M32)))/((LEN(CAPTURA!M32)-LEN(SUBSTITUTE(CAPTURA!M32,";","")))+1)*100,1))</f>
        <v/>
      </c>
      <c r="D32" t="str">
        <f>IF(CAPTURA!AE32="","",IFERROR(IF(INDEX(CODIFICACION!$E$2:$E$500,MATCH("P8|"&amp;CAPTURA!AE32,CODIFICACION!$F$2:$F$500,0))="sin dato","",INDEX(CODIFICACION!$E$2:$E$500,MATCH("P8|"&amp;CAPTURA!AE32,CODIFICACION!$F$2:$F$500,0))),"⚠"))</f>
        <v/>
      </c>
      <c r="E32" t="str">
        <f>IF(CAPTURA!AG32="","",IFERROR(IF(INDEX(CODIFICACION!$E$2:$E$500,MATCH("P10|"&amp;CAPTURA!AG32,CODIFICACION!$F$2:$F$500,0))="sin dato","",INDEX(CODIFICACION!$E$2:$E$500,MATCH("P10|"&amp;CAPTURA!AG32,CODIFICACION!$F$2:$F$500,0))),"⚠"))</f>
        <v/>
      </c>
      <c r="F32" t="str">
        <f>IF(CAPTURA!AJ32="","",IFERROR(IF(INDEX(CODIFICACION!$E$2:$E$500,MATCH("P13|"&amp;CAPTURA!AJ32,CODIFICACION!$F$2:$F$500,0))="sin dato","",INDEX(CODIFICACION!$E$2:$E$500,MATCH("P13|"&amp;CAPTURA!AJ32,CODIFICACION!$F$2:$F$500,0))),"⚠"))</f>
        <v/>
      </c>
      <c r="G32" t="str">
        <f>IF(CAPTURA!AK32="","",IFERROR(IF(INDEX(CODIFICACION!$E$2:$E$500,MATCH("P14|"&amp;CAPTURA!AK32,CODIFICACION!$F$2:$F$500,0))="sin dato","",INDEX(CODIFICACION!$E$2:$E$500,MATCH("P14|"&amp;CAPTURA!AK32,CODIFICACION!$F$2:$F$500,0))),"⚠"))</f>
        <v/>
      </c>
      <c r="H32" t="str">
        <f>IF(CAPTURA!AL32="","",IFERROR(IF(INDEX(CODIFICACION!$E$2:$E$500,MATCH("D1.1|"&amp;CAPTURA!AL32,CODIFICACION!$F$2:$F$500,0))="sin dato","",INDEX(CODIFICACION!$E$2:$E$500,MATCH("D1.1|"&amp;CAPTURA!AL32,CODIFICACION!$F$2:$F$500,0))),"⚠"))</f>
        <v/>
      </c>
      <c r="I32" t="str">
        <f>IF(CAPTURA!AN32="","",IFERROR(IF(INDEX(CODIFICACION!$E$2:$E$500,MATCH("D1.3|"&amp;CAPTURA!AN32,CODIFICACION!$F$2:$F$500,0))="sin dato","",INDEX(CODIFICACION!$E$2:$E$500,MATCH("D1.3|"&amp;CAPTURA!AN32,CODIFICACION!$F$2:$F$500,0))),"⚠"))</f>
        <v/>
      </c>
      <c r="J32" t="str">
        <f>IF(CAPTURA!AO32="","",IFERROR(IF(INDEX(CODIFICACION!$E$2:$E$500,MATCH("D1.4|"&amp;CAPTURA!AO32,CODIFICACION!$F$2:$F$500,0))="sin dato","",INDEX(CODIFICACION!$E$2:$E$500,MATCH("D1.4|"&amp;CAPTURA!AO32,CODIFICACION!$F$2:$F$500,0))),"⚠"))</f>
        <v/>
      </c>
      <c r="K32" t="str">
        <f>IF(CAPTURA!AP32="","",IFERROR(IF(INDEX(CODIFICACION!$E$2:$E$500,MATCH("D1.3a|"&amp;CAPTURA!AP32,CODIFICACION!$F$2:$F$500,0))="sin dato","",INDEX(CODIFICACION!$E$2:$E$500,MATCH("D1.3a|"&amp;CAPTURA!AP32,CODIFICACION!$F$2:$F$500,0))),"⚠"))</f>
        <v/>
      </c>
      <c r="L32" t="str">
        <f>IF(CAPTURA!AQ32="","",IF(AND(ISNUMBER(CAPTURA!AQ32),CAPTURA!AQ32&gt;=0,CAPTURA!AQ32&lt;=4),CAPTURA!AQ32*25,"⚠"))</f>
        <v/>
      </c>
      <c r="M32" t="str">
        <f>IF(CAPTURA!AR32="","",IF(ISNUMBER(CAPTURA!AR32),MAX(0,MIN(100,CAPTURA!AR32)),"⚠"))</f>
        <v/>
      </c>
      <c r="N32" t="str">
        <f>IF(CAPTURA!AS32="","",IF(AND(ISNUMBER(CAPTURA!AS32),CAPTURA!AS32&gt;=0,CAPTURA!AS32&lt;=4),CAPTURA!AS32*25,"⚠"))</f>
        <v/>
      </c>
      <c r="O32" t="str">
        <f>IF(CAPTURA!AT32="","",IFERROR(IF(INDEX(CODIFICACION!$E$2:$E$500,MATCH("D2.8|"&amp;CAPTURA!AT32,CODIFICACION!$F$2:$F$500,0))="sin dato","",INDEX(CODIFICACION!$E$2:$E$500,MATCH("D2.8|"&amp;CAPTURA!AT32,CODIFICACION!$F$2:$F$500,0))),"⚠"))</f>
        <v/>
      </c>
      <c r="P32" t="str">
        <f>IF(CAPTURA!AU32="","",IFERROR(IF(INDEX(CODIFICACION!$E$2:$E$500,MATCH("D2.9|"&amp;CAPTURA!AU32,CODIFICACION!$F$2:$F$500,0))="sin dato","",INDEX(CODIFICACION!$E$2:$E$500,MATCH("D2.9|"&amp;CAPTURA!AU32,CODIFICACION!$F$2:$F$500,0))),"⚠"))</f>
        <v/>
      </c>
      <c r="Q32" t="str">
        <f>IF(CAPTURA!AV32="","",IFERROR(IF(INDEX(CODIFICACION!$E$2:$E$500,MATCH("D2.10|"&amp;CAPTURA!AV32,CODIFICACION!$F$2:$F$500,0))="sin dato","",INDEX(CODIFICACION!$E$2:$E$500,MATCH("D2.10|"&amp;CAPTURA!AV32,CODIFICACION!$F$2:$F$500,0))),"⚠"))</f>
        <v/>
      </c>
      <c r="R32" t="str">
        <f>IF(CAPTURA!AW32="","",IFERROR(IF(INDEX(CODIFICACION!$E$2:$E$500,MATCH("D2.5a|"&amp;CAPTURA!AW32,CODIFICACION!$F$2:$F$500,0))="sin dato","",INDEX(CODIFICACION!$E$2:$E$500,MATCH("D2.5a|"&amp;CAPTURA!AW32,CODIFICACION!$F$2:$F$500,0))),"⚠"))</f>
        <v/>
      </c>
      <c r="S32" t="str">
        <f>IF(CAPTURA!AX32="","",IFERROR(IF(INDEX(CODIFICACION!$E$2:$E$500,MATCH("D2.5b|"&amp;CAPTURA!AX32,CODIFICACION!$F$2:$F$500,0))="sin dato","",INDEX(CODIFICACION!$E$2:$E$500,MATCH("D2.5b|"&amp;CAPTURA!AX32,CODIFICACION!$F$2:$F$500,0))),"⚠"))</f>
        <v/>
      </c>
      <c r="T32" t="str">
        <f>IF(CAPTURA!AY32="","",IF(ISNUMBER(CAPTURA!AY32),MAX(0,MIN(100,CAPTURA!AY32)),"⚠"))</f>
        <v/>
      </c>
      <c r="U32" t="str">
        <f>IF(CAPTURA!AZ32="","",IFERROR(IF(INDEX(CODIFICACION!$E$2:$E$500,MATCH("D3.12|"&amp;CAPTURA!AZ32,CODIFICACION!$F$2:$F$500,0))="sin dato","",INDEX(CODIFICACION!$E$2:$E$500,MATCH("D3.12|"&amp;CAPTURA!AZ32,CODIFICACION!$F$2:$F$500,0))),"⚠"))</f>
        <v/>
      </c>
      <c r="V32" t="str">
        <f>IF(CAPTURA!BA32="","",IF(AND(ISNUMBER(CAPTURA!BA32),CAPTURA!BA32&gt;=0,CAPTURA!BA32&lt;=4),CAPTURA!BA32*25,"⚠"))</f>
        <v/>
      </c>
      <c r="W32" t="str">
        <f>IF(CAPTURA!BB32="","",IFERROR(IF(INDEX(CODIFICACION!$E$2:$E$500,MATCH("D3.14|"&amp;CAPTURA!BB32,CODIFICACION!$F$2:$F$500,0))="sin dato","",INDEX(CODIFICACION!$E$2:$E$500,MATCH("D3.14|"&amp;CAPTURA!BB32,CODIFICACION!$F$2:$F$500,0))),"⚠"))</f>
        <v/>
      </c>
      <c r="X32" t="str">
        <f>IF(CAPTURA!BC32="","",IFERROR(IF(INDEX(CODIFICACION!$E$2:$E$500,MATCH("D3.14a|"&amp;CAPTURA!BC32,CODIFICACION!$F$2:$F$500,0))="sin dato","",INDEX(CODIFICACION!$E$2:$E$500,MATCH("D3.14a|"&amp;CAPTURA!BC32,CODIFICACION!$F$2:$F$500,0))),"⚠"))</f>
        <v/>
      </c>
      <c r="Y32" t="str">
        <f>IF(CAPTURA!BD32="","",IFERROR(IF(INDEX(CODIFICACION!$E$2:$E$500,MATCH("D3.14b|"&amp;CAPTURA!BD32,CODIFICACION!$F$2:$F$500,0))="sin dato","",INDEX(CODIFICACION!$E$2:$E$500,MATCH("D3.14b|"&amp;CAPTURA!BD32,CODIFICACION!$F$2:$F$500,0))),"⚠"))</f>
        <v/>
      </c>
      <c r="Z32" t="str">
        <f>IF(CAPTURA!BE32="","",IFERROR(IF(INDEX(CODIFICACION!$E$2:$E$500,MATCH("D3.14c|"&amp;CAPTURA!BE32,CODIFICACION!$F$2:$F$500,0))="sin dato","",INDEX(CODIFICACION!$E$2:$E$500,MATCH("D3.14c|"&amp;CAPTURA!BE32,CODIFICACION!$F$2:$F$500,0))),"⚠"))</f>
        <v/>
      </c>
      <c r="AA32" t="str">
        <f>IF(CAPTURA!BF32="","",IFERROR(IF(INDEX(CODIFICACION!$E$2:$E$500,MATCH("D3.14d|"&amp;CAPTURA!BF32,CODIFICACION!$F$2:$F$500,0))="sin dato","",INDEX(CODIFICACION!$E$2:$E$500,MATCH("D3.14d|"&amp;CAPTURA!BF32,CODIFICACION!$F$2:$F$500,0))),"⚠"))</f>
        <v/>
      </c>
      <c r="AB32" t="str">
        <f>IF(CAPTURA!BG32="","",IFERROR(IF(INDEX(CODIFICACION!$E$2:$E$500,MATCH("D3.14e|"&amp;CAPTURA!BG32,CODIFICACION!$F$2:$F$500,0))="sin dato","",INDEX(CODIFICACION!$E$2:$E$500,MATCH("D3.14e|"&amp;CAPTURA!BG32,CODIFICACION!$F$2:$F$500,0))),"⚠"))</f>
        <v/>
      </c>
      <c r="AC32" t="str">
        <f>IF(CAPTURA!BH32="","",IFERROR(IF(INDEX(CODIFICACION!$E$2:$E$500,MATCH("D3.14f|"&amp;CAPTURA!BH32,CODIFICACION!$F$2:$F$500,0))="sin dato","",INDEX(CODIFICACION!$E$2:$E$500,MATCH("D3.14f|"&amp;CAPTURA!BH32,CODIFICACION!$F$2:$F$500,0))),"⚠"))</f>
        <v/>
      </c>
      <c r="AD32" t="str">
        <f>IF(CAPTURA!BI32="","",IFERROR(IF(INDEX(CODIFICACION!$E$2:$E$500,MATCH("D3.14g|"&amp;CAPTURA!BI32,CODIFICACION!$F$2:$F$500,0))="sin dato","",INDEX(CODIFICACION!$E$2:$E$500,MATCH("D3.14g|"&amp;CAPTURA!BI32,CODIFICACION!$F$2:$F$500,0))),"⚠"))</f>
        <v/>
      </c>
      <c r="AE32" t="str">
        <f>IF(CAPTURA!BJ32="","",IFERROR(IF(INDEX(CODIFICACION!$E$2:$E$500,MATCH("D3.14h|"&amp;CAPTURA!BJ32,CODIFICACION!$F$2:$F$500,0))="sin dato","",INDEX(CODIFICACION!$E$2:$E$500,MATCH("D3.14h|"&amp;CAPTURA!BJ32,CODIFICACION!$F$2:$F$500,0))),"⚠"))</f>
        <v/>
      </c>
      <c r="AF32" t="str">
        <f>IF(CAPTURA!BK32="","",IFERROR(IF(INDEX(CODIFICACION!$E$2:$E$500,MATCH("D3.14i|"&amp;CAPTURA!BK32,CODIFICACION!$F$2:$F$500,0))="sin dato","",INDEX(CODIFICACION!$E$2:$E$500,MATCH("D3.14i|"&amp;CAPTURA!BK32,CODIFICACION!$F$2:$F$500,0))),"⚠"))</f>
        <v/>
      </c>
      <c r="AG32" t="str">
        <f>IF(CAPTURA!BL32="","",IFERROR(IF(INDEX(CODIFICACION!$E$2:$E$500,MATCH("D4.15|"&amp;CAPTURA!BL32,CODIFICACION!$F$2:$F$500,0))="sin dato","",INDEX(CODIFICACION!$E$2:$E$500,MATCH("D4.15|"&amp;CAPTURA!BL32,CODIFICACION!$F$2:$F$500,0))),"⚠"))</f>
        <v/>
      </c>
      <c r="AH32" t="str">
        <f>IF(CAPTURA!BM32="","",IF(AND(ISNUMBER(CAPTURA!BM32),CAPTURA!BM32&gt;=0,CAPTURA!BM32&lt;=4),CAPTURA!BM32*25,"⚠"))</f>
        <v/>
      </c>
      <c r="AI32" t="str">
        <f>IF(CAPTURA!BN32="","",IFERROR(IF(INDEX(CODIFICACION!$E$2:$E$500,MATCH("D4.17|"&amp;CAPTURA!BN32,CODIFICACION!$F$2:$F$500,0))="sin dato","",INDEX(CODIFICACION!$E$2:$E$500,MATCH("D4.17|"&amp;CAPTURA!BN32,CODIFICACION!$F$2:$F$500,0))),"⚠"))</f>
        <v/>
      </c>
      <c r="AJ32" t="str">
        <f>IF(CAPTURA!BO32="","",IFERROR(IF(INDEX(CODIFICACION!$E$2:$E$500,MATCH("D4.15a|"&amp;CAPTURA!BO32,CODIFICACION!$F$2:$F$500,0))="sin dato","",INDEX(CODIFICACION!$E$2:$E$500,MATCH("D4.15a|"&amp;CAPTURA!BO32,CODIFICACION!$F$2:$F$500,0))),"⚠"))</f>
        <v/>
      </c>
      <c r="AK32" t="str">
        <f>IF(CAPTURA!BP32="","",IF(AND(ISNUMBER(CAPTURA!BP32),CAPTURA!BP32&gt;=0,CAPTURA!BP32&lt;=4),CAPTURA!BP32*25,"⚠"))</f>
        <v/>
      </c>
      <c r="AL32" t="str">
        <f>IF(CAPTURA!BQ32="","",IF(AND(ISNUMBER(CAPTURA!BQ32),CAPTURA!BQ32&gt;=0,CAPTURA!BQ32&lt;=4),CAPTURA!BQ32*25,"⚠"))</f>
        <v/>
      </c>
      <c r="AM32" t="str">
        <f>IF(CAPTURA!BR32="","",IFERROR(IF(INDEX(CODIFICACION!$E$2:$E$500,MATCH("D5.18b|"&amp;CAPTURA!BR32,CODIFICACION!$F$2:$F$500,0))="sin dato","",INDEX(CODIFICACION!$E$2:$E$500,MATCH("D5.18b|"&amp;CAPTURA!BR32,CODIFICACION!$F$2:$F$500,0))),"⚠"))</f>
        <v/>
      </c>
      <c r="AN32" t="str">
        <f>IF(CAPTURA!BS32="","",IFERROR(IF(INDEX(CODIFICACION!$E$2:$E$500,MATCH("D5.19|"&amp;CAPTURA!BS32,CODIFICACION!$F$2:$F$500,0))="sin dato","",INDEX(CODIFICACION!$E$2:$E$500,MATCH("D5.19|"&amp;CAPTURA!BS32,CODIFICACION!$F$2:$F$500,0))),"⚠"))</f>
        <v/>
      </c>
      <c r="AO32" t="str">
        <f>IF(CAPTURA!BT32="","",MIN(100,ROUND((LEN(CAPTURA!BT32)-LEN(SUBSTITUTE(CAPTURA!BT32,";",""))+1)/7*100,1)))</f>
        <v/>
      </c>
      <c r="AP32" t="str">
        <f>IF(CAPTURA!BU32="","",IFERROR(IF(INDEX(CODIFICACION!$E$2:$E$500,MATCH("D5.20|"&amp;CAPTURA!BU32,CODIFICACION!$F$2:$F$500,0))="sin dato","",INDEX(CODIFICACION!$E$2:$E$500,MATCH("D5.20|"&amp;CAPTURA!BU32,CODIFICACION!$F$2:$F$500,0))),"⚠"))</f>
        <v/>
      </c>
      <c r="AQ32" t="str">
        <f>IF(CAPTURA!BV32="","",IFERROR(IF(INDEX(CODIFICACION!$E$2:$E$500,MATCH("D5.21|"&amp;CAPTURA!BV32,CODIFICACION!$F$2:$F$500,0))="sin dato","",INDEX(CODIFICACION!$E$2:$E$500,MATCH("D5.21|"&amp;CAPTURA!BV32,CODIFICACION!$F$2:$F$500,0))),"⚠"))</f>
        <v/>
      </c>
      <c r="AR32" t="str">
        <f>IF(CAPTURA!BW32="","",IFERROR(IF(INDEX(CODIFICACION!$E$2:$E$500,MATCH("D5.21a|"&amp;CAPTURA!BW32,CODIFICACION!$F$2:$F$500,0))="sin dato","",INDEX(CODIFICACION!$E$2:$E$500,MATCH("D5.21a|"&amp;CAPTURA!BW32,CODIFICACION!$F$2:$F$500,0))),"⚠"))</f>
        <v/>
      </c>
      <c r="AS32" t="str">
        <f>IF(CAPTURA!BX32="","",IFERROR(IF(INDEX(CODIFICACION!$E$2:$E$500,MATCH("D5.21b|"&amp;CAPTURA!BX32,CODIFICACION!$F$2:$F$500,0))="sin dato","",INDEX(CODIFICACION!$E$2:$E$500,MATCH("D5.21b|"&amp;CAPTURA!BX32,CODIFICACION!$F$2:$F$500,0))),"⚠"))</f>
        <v/>
      </c>
      <c r="AT32" t="str">
        <f>IF(CAPTURA!BY32="","",IFERROR(IF(INDEX(CODIFICACION!$E$2:$E$500,MATCH("D6.22|"&amp;CAPTURA!BY32,CODIFICACION!$F$2:$F$500,0))="sin dato","",INDEX(CODIFICACION!$E$2:$E$500,MATCH("D6.22|"&amp;CAPTURA!BY32,CODIFICACION!$F$2:$F$500,0))),"⚠"))</f>
        <v/>
      </c>
      <c r="AU32" t="str">
        <f>IF(CAPTURA!BZ32="","",IFERROR(IF(INDEX(CODIFICACION!$E$2:$E$500,MATCH("D6.22a|"&amp;CAPTURA!BZ32,CODIFICACION!$F$2:$F$500,0))="sin dato","",INDEX(CODIFICACION!$E$2:$E$500,MATCH("D6.22a|"&amp;CAPTURA!BZ32,CODIFICACION!$F$2:$F$500,0))),"⚠"))</f>
        <v/>
      </c>
      <c r="AV32" t="str">
        <f>IF(CAPTURA!CA32="","",IFERROR(IF(INDEX(CODIFICACION!$E$2:$E$500,MATCH("D6.22b|"&amp;CAPTURA!CA32,CODIFICACION!$F$2:$F$500,0))="sin dato","",INDEX(CODIFICACION!$E$2:$E$500,MATCH("D6.22b|"&amp;CAPTURA!CA32,CODIFICACION!$F$2:$F$500,0))),"⚠"))</f>
        <v/>
      </c>
      <c r="AW32" t="str">
        <f>IF(CAPTURA!CB32="","",IFERROR(IF(INDEX(CODIFICACION!$E$2:$E$500,MATCH("D6.23|"&amp;CAPTURA!CB32,CODIFICACION!$F$2:$F$500,0))="sin dato","",INDEX(CODIFICACION!$E$2:$E$500,MATCH("D6.23|"&amp;CAPTURA!CB32,CODIFICACION!$F$2:$F$500,0))),"⚠"))</f>
        <v/>
      </c>
      <c r="AX32" t="str">
        <f>IF(CAPTURA!CC32="","",IFERROR(IF(INDEX(CODIFICACION!$E$2:$E$500,MATCH("D6.24|"&amp;CAPTURA!CC32,CODIFICACION!$F$2:$F$500,0))="sin dato","",INDEX(CODIFICACION!$E$2:$E$500,MATCH("D6.24|"&amp;CAPTURA!CC32,CODIFICACION!$F$2:$F$500,0))),"⚠"))</f>
        <v/>
      </c>
      <c r="AY32" t="str">
        <f>IF(CAPTURA!CD32="","",IFERROR(IF(INDEX(CODIFICACION!$E$2:$E$500,MATCH("D6.25|"&amp;CAPTURA!CD32,CODIFICACION!$F$2:$F$500,0))="sin dato","",INDEX(CODIFICACION!$E$2:$E$500,MATCH("D6.25|"&amp;CAPTURA!CD32,CODIFICACION!$F$2:$F$500,0))),"⚠"))</f>
        <v/>
      </c>
      <c r="AZ32" t="str">
        <f>IF(CAPTURA!CE32="","",IFERROR(IF(INDEX(CODIFICACION!$E$2:$E$500,MATCH("D6.25a|"&amp;CAPTURA!CE32,CODIFICACION!$F$2:$F$500,0))="sin dato","",INDEX(CODIFICACION!$E$2:$E$500,MATCH("D6.25a|"&amp;CAPTURA!CE32,CODIFICACION!$F$2:$F$500,0))),"⚠"))</f>
        <v/>
      </c>
      <c r="BA32" t="str">
        <f>IF(CAPTURA!CF32="","",IFERROR(IF(INDEX(CODIFICACION!$E$2:$E$500,MATCH("D6.25b|"&amp;CAPTURA!CF32,CODIFICACION!$F$2:$F$500,0))="sin dato","",INDEX(CODIFICACION!$E$2:$E$500,MATCH("D6.25b|"&amp;CAPTURA!CF32,CODIFICACION!$F$2:$F$500,0))),"⚠"))</f>
        <v/>
      </c>
      <c r="BB32" t="str">
        <f>IF(CAPTURA!CG32="","",IFERROR(IF(INDEX(CODIFICACION!$E$2:$E$500,MATCH("D6.22c|"&amp;CAPTURA!CG32,CODIFICACION!$F$2:$F$500,0))="sin dato","",INDEX(CODIFICACION!$E$2:$E$500,MATCH("D6.22c|"&amp;CAPTURA!CG32,CODIFICACION!$F$2:$F$500,0))),"⚠"))</f>
        <v/>
      </c>
      <c r="BC32" t="str">
        <f>IF(CAPTURA!CH32="","",IFERROR(IF(INDEX(CODIFICACION!$E$2:$E$500,MATCH("D7.26|"&amp;CAPTURA!CH32,CODIFICACION!$F$2:$F$500,0))="sin dato","",INDEX(CODIFICACION!$E$2:$E$500,MATCH("D7.26|"&amp;CAPTURA!CH32,CODIFICACION!$F$2:$F$500,0))),"⚠"))</f>
        <v/>
      </c>
      <c r="BD32" t="str">
        <f>IF(CAPTURA!CI32="","",IFERROR(IF(INDEX(CODIFICACION!$E$2:$E$500,MATCH("D7.27|"&amp;CAPTURA!CI32,CODIFICACION!$F$2:$F$500,0))="sin dato","",INDEX(CODIFICACION!$E$2:$E$500,MATCH("D7.27|"&amp;CAPTURA!CI32,CODIFICACION!$F$2:$F$500,0))),"⚠"))</f>
        <v/>
      </c>
      <c r="BE32" t="str">
        <f>IF(CAPTURA!CJ32="","",IFERROR(IF(INDEX(CODIFICACION!$E$2:$E$500,MATCH("D7.28|"&amp;CAPTURA!CJ32,CODIFICACION!$F$2:$F$500,0))="sin dato","",INDEX(CODIFICACION!$E$2:$E$500,MATCH("D7.28|"&amp;CAPTURA!CJ32,CODIFICACION!$F$2:$F$500,0))),"⚠"))</f>
        <v/>
      </c>
      <c r="BF32" t="str">
        <f>IF(CAPTURA!CK32="","",IFERROR(IF(INDEX(CODIFICACION!$E$2:$E$500,MATCH("D7.28b|"&amp;CAPTURA!CK32,CODIFICACION!$F$2:$F$500,0))="sin dato","",INDEX(CODIFICACION!$E$2:$E$500,MATCH("D7.28b|"&amp;CAPTURA!CK32,CODIFICACION!$F$2:$F$500,0))),"⚠"))</f>
        <v/>
      </c>
      <c r="BG32" t="str">
        <f>IF(CAPTURA!CL32="","",MIN(100,ROUND((LEN(CAPTURA!CL32)-LEN(SUBSTITUTE(CAPTURA!CL32,";",""))+1)/8*100,1)))</f>
        <v/>
      </c>
      <c r="BH32" t="str">
        <f>IF(CAPTURA!CM32="","",IFERROR(IF(INDEX(CODIFICACION!$E$2:$E$500,MATCH("D7.26a|"&amp;CAPTURA!CM32,CODIFICACION!$F$2:$F$500,0))="sin dato","",INDEX(CODIFICACION!$E$2:$E$500,MATCH("D7.26a|"&amp;CAPTURA!CM32,CODIFICACION!$F$2:$F$500,0))),"⚠"))</f>
        <v/>
      </c>
      <c r="BI32" t="str">
        <f>IF(CAPTURA!CN32="","",IFERROR(IF(INDEX(CODIFICACION!$E$2:$E$500,MATCH("D7.26b|"&amp;CAPTURA!CN32,CODIFICACION!$F$2:$F$500,0))="sin dato","",INDEX(CODIFICACION!$E$2:$E$500,MATCH("D7.26b|"&amp;CAPTURA!CN32,CODIFICACION!$F$2:$F$500,0))),"⚠"))</f>
        <v/>
      </c>
      <c r="BJ32" t="str">
        <f>IF(CAPTURA!CO32="","",IF(AND(ISNUMBER(CAPTURA!CO32),CAPTURA!CO32&gt;=0,CAPTURA!CO32&lt;=4),CAPTURA!CO32*25,"⚠"))</f>
        <v/>
      </c>
      <c r="BK32" t="str">
        <f>IF(CAPTURA!CP32="","",IF(ISNUMBER(CAPTURA!CP32),MAX(0,MIN(100,CAPTURA!CP32)),"⚠"))</f>
        <v/>
      </c>
      <c r="BL32" t="str">
        <f>IF(CAPTURA!CQ32="","",IFERROR(IF(INDEX(CODIFICACION!$E$2:$E$500,MATCH("D8.31|"&amp;CAPTURA!CQ32,CODIFICACION!$F$2:$F$500,0))="sin dato","",INDEX(CODIFICACION!$E$2:$E$500,MATCH("D8.31|"&amp;CAPTURA!CQ32,CODIFICACION!$F$2:$F$500,0))),"⚠"))</f>
        <v/>
      </c>
      <c r="BM32" t="str">
        <f>IF(CAPTURA!CR32="","",IFERROR(IF(INDEX(CODIFICACION!$E$2:$E$500,MATCH("D8.32|"&amp;CAPTURA!CR32,CODIFICACION!$F$2:$F$500,0))="sin dato","",INDEX(CODIFICACION!$E$2:$E$500,MATCH("D8.32|"&amp;CAPTURA!CR32,CODIFICACION!$F$2:$F$500,0))),"⚠"))</f>
        <v/>
      </c>
      <c r="BN32" t="str">
        <f>IF(CAPTURA!CS32="","",IFERROR(IF(INDEX(CODIFICACION!$E$2:$E$500,MATCH("D9.33|"&amp;CAPTURA!CS32,CODIFICACION!$F$2:$F$500,0))="sin dato","",INDEX(CODIFICACION!$E$2:$E$500,MATCH("D9.33|"&amp;CAPTURA!CS32,CODIFICACION!$F$2:$F$500,0))),"⚠"))</f>
        <v/>
      </c>
      <c r="BO32" t="str">
        <f>IF(CAPTURA!CT32="","",IFERROR(IF(INDEX(CODIFICACION!$E$2:$E$500,MATCH("D9.34|"&amp;CAPTURA!CT32,CODIFICACION!$F$2:$F$500,0))="sin dato","",INDEX(CODIFICACION!$E$2:$E$500,MATCH("D9.34|"&amp;CAPTURA!CT32,CODIFICACION!$F$2:$F$500,0))),"⚠"))</f>
        <v/>
      </c>
      <c r="BP32" t="str">
        <f>IF(CAPTURA!CU32="","",IFERROR(IF(INDEX(CODIFICACION!$E$2:$E$500,MATCH("D9.35|"&amp;CAPTURA!CU32,CODIFICACION!$F$2:$F$500,0))="sin dato","",INDEX(CODIFICACION!$E$2:$E$500,MATCH("D9.35|"&amp;CAPTURA!CU32,CODIFICACION!$F$2:$F$500,0))),"⚠"))</f>
        <v/>
      </c>
      <c r="BQ32" t="str">
        <f>IF(CAPTURA!CV32="","",IFERROR(IF(INDEX(CODIFICACION!$E$2:$E$500,MATCH("D10.36|"&amp;CAPTURA!CV32,CODIFICACION!$F$2:$F$500,0))="sin dato","",INDEX(CODIFICACION!$E$2:$E$500,MATCH("D10.36|"&amp;CAPTURA!CV32,CODIFICACION!$F$2:$F$500,0))),"⚠"))</f>
        <v/>
      </c>
      <c r="BR32" t="str">
        <f>IF(CAPTURA!CW32="","",IFERROR(IF(INDEX(CODIFICACION!$E$2:$E$500,MATCH("D10.37|"&amp;CAPTURA!CW32,CODIFICACION!$F$2:$F$500,0))="sin dato","",INDEX(CODIFICACION!$E$2:$E$500,MATCH("D10.37|"&amp;CAPTURA!CW32,CODIFICACION!$F$2:$F$500,0))),"⚠"))</f>
        <v/>
      </c>
      <c r="BS32" t="str">
        <f>IF(CAPTURA!CX32="","",IFERROR(IF(INDEX(CODIFICACION!$E$2:$E$500,MATCH("D10.36a|"&amp;CAPTURA!CX32,CODIFICACION!$F$2:$F$500,0))="sin dato","",INDEX(CODIFICACION!$E$2:$E$500,MATCH("D10.36a|"&amp;CAPTURA!CX32,CODIFICACION!$F$2:$F$500,0))),"⚠"))</f>
        <v/>
      </c>
      <c r="BT32" t="str">
        <f>IF(CAPTURA!CY32="","",IF(ISNUMBER(SEARCH("Ninguno",CAPTURA!CY32)),0,MIN(100,ROUND((LEN(CAPTURA!CY32)-LEN(SUBSTITUTE(CAPTURA!CY32,";",""))+1)/6*100,1))))</f>
        <v/>
      </c>
      <c r="BU32" t="str">
        <f>IF(CAPTURA!DA32="","",IFERROR(IF(INDEX(CODIFICACION!$E$2:$E$500,MATCH("D11.39a|"&amp;CAPTURA!DA32,CODIFICACION!$F$2:$F$500,0))="sin dato","",INDEX(CODIFICACION!$E$2:$E$500,MATCH("D11.39a|"&amp;CAPTURA!DA32,CODIFICACION!$F$2:$F$500,0))),"⚠"))</f>
        <v/>
      </c>
      <c r="BV32" t="str">
        <f>IF(CAPTURA!DB32="","",IFERROR(IF(INDEX(CODIFICACION!$E$2:$E$500,MATCH("D12.42|"&amp;CAPTURA!DB32,CODIFICACION!$F$2:$F$500,0))="sin dato","",INDEX(CODIFICACION!$E$2:$E$500,MATCH("D12.42|"&amp;CAPTURA!DB32,CODIFICACION!$F$2:$F$500,0))),"⚠"))</f>
        <v/>
      </c>
      <c r="BW32" t="str">
        <f>IF(CAPTURA!DC32="","",IFERROR(IF(INDEX(CODIFICACION!$E$2:$E$500,MATCH("D13.45|"&amp;CAPTURA!DC32,CODIFICACION!$F$2:$F$500,0))="sin dato","",INDEX(CODIFICACION!$E$2:$E$500,MATCH("D13.45|"&amp;CAPTURA!DC32,CODIFICACION!$F$2:$F$500,0))),"⚠"))</f>
        <v/>
      </c>
      <c r="BX32" t="str">
        <f>IF(CAPTURA!DD32="","",IFERROR(IF(INDEX(CODIFICACION!$E$2:$E$500,MATCH("D14.51|"&amp;CAPTURA!DD32,CODIFICACION!$F$2:$F$500,0))="sin dato","",INDEX(CODIFICACION!$E$2:$E$500,MATCH("D14.51|"&amp;CAPTURA!DD32,CODIFICACION!$F$2:$F$500,0))),"⚠"))</f>
        <v/>
      </c>
      <c r="BY32" t="str">
        <f>IF(CAPTURA!DE32="","",IFERROR(IF(INDEX(CODIFICACION!$E$2:$E$500,MATCH("D15.58|"&amp;CAPTURA!DE32,CODIFICACION!$F$2:$F$500,0))="sin dato","",INDEX(CODIFICACION!$E$2:$E$500,MATCH("D15.58|"&amp;CAPTURA!DE32,CODIFICACION!$F$2:$F$500,0))),"⚠"))</f>
        <v/>
      </c>
      <c r="BZ32" t="str">
        <f>IF(CAPTURA!DF32="","",IFERROR(IF(INDEX(CODIFICACION!$E$2:$E$500,MATCH("PP1|"&amp;CAPTURA!DF32,CODIFICACION!$F$2:$F$500,0))="sin dato","",INDEX(CODIFICACION!$E$2:$E$500,MATCH("PP1|"&amp;CAPTURA!DF32,CODIFICACION!$F$2:$F$500,0))),"⚠"))</f>
        <v/>
      </c>
      <c r="CA32" t="str">
        <f>IF(CAPTURA!DG32="","",IFERROR(IF(INDEX(CODIFICACION!$E$2:$E$500,MATCH("PP2|"&amp;CAPTURA!DG32,CODIFICACION!$F$2:$F$500,0))="sin dato","",INDEX(CODIFICACION!$E$2:$E$500,MATCH("PP2|"&amp;CAPTURA!DG32,CODIFICACION!$F$2:$F$500,0))),"⚠"))</f>
        <v/>
      </c>
      <c r="CB32" t="str">
        <f t="shared" si="0"/>
        <v/>
      </c>
      <c r="CC32" t="str">
        <f t="shared" si="1"/>
        <v/>
      </c>
      <c r="CD32" t="str">
        <f t="shared" si="2"/>
        <v/>
      </c>
      <c r="CE32" t="str">
        <f t="shared" si="3"/>
        <v/>
      </c>
      <c r="CF32" t="str">
        <f t="shared" si="4"/>
        <v/>
      </c>
      <c r="CG32" t="str">
        <f t="shared" si="5"/>
        <v/>
      </c>
      <c r="CH32" t="str">
        <f t="shared" si="6"/>
        <v/>
      </c>
      <c r="CI32" t="str">
        <f t="shared" si="7"/>
        <v/>
      </c>
      <c r="CJ32" t="str">
        <f t="shared" si="8"/>
        <v/>
      </c>
      <c r="CK32" t="str">
        <f t="shared" si="9"/>
        <v/>
      </c>
      <c r="CL32" t="str">
        <f t="shared" si="10"/>
        <v/>
      </c>
    </row>
    <row r="33" spans="1:90" x14ac:dyDescent="0.3">
      <c r="A33">
        <f>CAPTURA!A33</f>
        <v>20450242021</v>
      </c>
      <c r="B33">
        <f>CAPTURA!C33</f>
        <v>0</v>
      </c>
      <c r="C33" t="str">
        <f>IF(CAPTURA!M33="","",ROUND((ISNUMBER(SEARCH("Alemania",CAPTURA!M33))+ISNUMBER(SEARCH("Bélgica",CAPTURA!M33))+ISNUMBER(SEARCH("Países Bajos",CAPTURA!M33))+ISNUMBER(SEARCH("Francia",CAPTURA!M33))+ISNUMBER(SEARCH("Italia",CAPTURA!M33))+ISNUMBER(SEARCH("España",CAPTURA!M33))+ISNUMBER(SEARCH("Suecia",CAPTURA!M33))+ISNUMBER(SEARCH("Dinamarca",CAPTURA!M33)))/((LEN(CAPTURA!M33)-LEN(SUBSTITUTE(CAPTURA!M33,";","")))+1)*100,1))</f>
        <v/>
      </c>
      <c r="D33" t="str">
        <f>IF(CAPTURA!AE33="","",IFERROR(IF(INDEX(CODIFICACION!$E$2:$E$500,MATCH("P8|"&amp;CAPTURA!AE33,CODIFICACION!$F$2:$F$500,0))="sin dato","",INDEX(CODIFICACION!$E$2:$E$500,MATCH("P8|"&amp;CAPTURA!AE33,CODIFICACION!$F$2:$F$500,0))),"⚠"))</f>
        <v/>
      </c>
      <c r="E33" t="str">
        <f>IF(CAPTURA!AG33="","",IFERROR(IF(INDEX(CODIFICACION!$E$2:$E$500,MATCH("P10|"&amp;CAPTURA!AG33,CODIFICACION!$F$2:$F$500,0))="sin dato","",INDEX(CODIFICACION!$E$2:$E$500,MATCH("P10|"&amp;CAPTURA!AG33,CODIFICACION!$F$2:$F$500,0))),"⚠"))</f>
        <v/>
      </c>
      <c r="F33" t="str">
        <f>IF(CAPTURA!AJ33="","",IFERROR(IF(INDEX(CODIFICACION!$E$2:$E$500,MATCH("P13|"&amp;CAPTURA!AJ33,CODIFICACION!$F$2:$F$500,0))="sin dato","",INDEX(CODIFICACION!$E$2:$E$500,MATCH("P13|"&amp;CAPTURA!AJ33,CODIFICACION!$F$2:$F$500,0))),"⚠"))</f>
        <v/>
      </c>
      <c r="G33" t="str">
        <f>IF(CAPTURA!AK33="","",IFERROR(IF(INDEX(CODIFICACION!$E$2:$E$500,MATCH("P14|"&amp;CAPTURA!AK33,CODIFICACION!$F$2:$F$500,0))="sin dato","",INDEX(CODIFICACION!$E$2:$E$500,MATCH("P14|"&amp;CAPTURA!AK33,CODIFICACION!$F$2:$F$500,0))),"⚠"))</f>
        <v/>
      </c>
      <c r="H33" t="str">
        <f>IF(CAPTURA!AL33="","",IFERROR(IF(INDEX(CODIFICACION!$E$2:$E$500,MATCH("D1.1|"&amp;CAPTURA!AL33,CODIFICACION!$F$2:$F$500,0))="sin dato","",INDEX(CODIFICACION!$E$2:$E$500,MATCH("D1.1|"&amp;CAPTURA!AL33,CODIFICACION!$F$2:$F$500,0))),"⚠"))</f>
        <v/>
      </c>
      <c r="I33" t="str">
        <f>IF(CAPTURA!AN33="","",IFERROR(IF(INDEX(CODIFICACION!$E$2:$E$500,MATCH("D1.3|"&amp;CAPTURA!AN33,CODIFICACION!$F$2:$F$500,0))="sin dato","",INDEX(CODIFICACION!$E$2:$E$500,MATCH("D1.3|"&amp;CAPTURA!AN33,CODIFICACION!$F$2:$F$500,0))),"⚠"))</f>
        <v/>
      </c>
      <c r="J33" t="str">
        <f>IF(CAPTURA!AO33="","",IFERROR(IF(INDEX(CODIFICACION!$E$2:$E$500,MATCH("D1.4|"&amp;CAPTURA!AO33,CODIFICACION!$F$2:$F$500,0))="sin dato","",INDEX(CODIFICACION!$E$2:$E$500,MATCH("D1.4|"&amp;CAPTURA!AO33,CODIFICACION!$F$2:$F$500,0))),"⚠"))</f>
        <v/>
      </c>
      <c r="K33" t="str">
        <f>IF(CAPTURA!AP33="","",IFERROR(IF(INDEX(CODIFICACION!$E$2:$E$500,MATCH("D1.3a|"&amp;CAPTURA!AP33,CODIFICACION!$F$2:$F$500,0))="sin dato","",INDEX(CODIFICACION!$E$2:$E$500,MATCH("D1.3a|"&amp;CAPTURA!AP33,CODIFICACION!$F$2:$F$500,0))),"⚠"))</f>
        <v/>
      </c>
      <c r="L33" t="str">
        <f>IF(CAPTURA!AQ33="","",IF(AND(ISNUMBER(CAPTURA!AQ33),CAPTURA!AQ33&gt;=0,CAPTURA!AQ33&lt;=4),CAPTURA!AQ33*25,"⚠"))</f>
        <v/>
      </c>
      <c r="M33" t="str">
        <f>IF(CAPTURA!AR33="","",IF(ISNUMBER(CAPTURA!AR33),MAX(0,MIN(100,CAPTURA!AR33)),"⚠"))</f>
        <v/>
      </c>
      <c r="N33" t="str">
        <f>IF(CAPTURA!AS33="","",IF(AND(ISNUMBER(CAPTURA!AS33),CAPTURA!AS33&gt;=0,CAPTURA!AS33&lt;=4),CAPTURA!AS33*25,"⚠"))</f>
        <v/>
      </c>
      <c r="O33" t="str">
        <f>IF(CAPTURA!AT33="","",IFERROR(IF(INDEX(CODIFICACION!$E$2:$E$500,MATCH("D2.8|"&amp;CAPTURA!AT33,CODIFICACION!$F$2:$F$500,0))="sin dato","",INDEX(CODIFICACION!$E$2:$E$500,MATCH("D2.8|"&amp;CAPTURA!AT33,CODIFICACION!$F$2:$F$500,0))),"⚠"))</f>
        <v/>
      </c>
      <c r="P33" t="str">
        <f>IF(CAPTURA!AU33="","",IFERROR(IF(INDEX(CODIFICACION!$E$2:$E$500,MATCH("D2.9|"&amp;CAPTURA!AU33,CODIFICACION!$F$2:$F$500,0))="sin dato","",INDEX(CODIFICACION!$E$2:$E$500,MATCH("D2.9|"&amp;CAPTURA!AU33,CODIFICACION!$F$2:$F$500,0))),"⚠"))</f>
        <v/>
      </c>
      <c r="Q33" t="str">
        <f>IF(CAPTURA!AV33="","",IFERROR(IF(INDEX(CODIFICACION!$E$2:$E$500,MATCH("D2.10|"&amp;CAPTURA!AV33,CODIFICACION!$F$2:$F$500,0))="sin dato","",INDEX(CODIFICACION!$E$2:$E$500,MATCH("D2.10|"&amp;CAPTURA!AV33,CODIFICACION!$F$2:$F$500,0))),"⚠"))</f>
        <v/>
      </c>
      <c r="R33" t="str">
        <f>IF(CAPTURA!AW33="","",IFERROR(IF(INDEX(CODIFICACION!$E$2:$E$500,MATCH("D2.5a|"&amp;CAPTURA!AW33,CODIFICACION!$F$2:$F$500,0))="sin dato","",INDEX(CODIFICACION!$E$2:$E$500,MATCH("D2.5a|"&amp;CAPTURA!AW33,CODIFICACION!$F$2:$F$500,0))),"⚠"))</f>
        <v/>
      </c>
      <c r="S33" t="str">
        <f>IF(CAPTURA!AX33="","",IFERROR(IF(INDEX(CODIFICACION!$E$2:$E$500,MATCH("D2.5b|"&amp;CAPTURA!AX33,CODIFICACION!$F$2:$F$500,0))="sin dato","",INDEX(CODIFICACION!$E$2:$E$500,MATCH("D2.5b|"&amp;CAPTURA!AX33,CODIFICACION!$F$2:$F$500,0))),"⚠"))</f>
        <v/>
      </c>
      <c r="T33" t="str">
        <f>IF(CAPTURA!AY33="","",IF(ISNUMBER(CAPTURA!AY33),MAX(0,MIN(100,CAPTURA!AY33)),"⚠"))</f>
        <v/>
      </c>
      <c r="U33" t="str">
        <f>IF(CAPTURA!AZ33="","",IFERROR(IF(INDEX(CODIFICACION!$E$2:$E$500,MATCH("D3.12|"&amp;CAPTURA!AZ33,CODIFICACION!$F$2:$F$500,0))="sin dato","",INDEX(CODIFICACION!$E$2:$E$500,MATCH("D3.12|"&amp;CAPTURA!AZ33,CODIFICACION!$F$2:$F$500,0))),"⚠"))</f>
        <v/>
      </c>
      <c r="V33" t="str">
        <f>IF(CAPTURA!BA33="","",IF(AND(ISNUMBER(CAPTURA!BA33),CAPTURA!BA33&gt;=0,CAPTURA!BA33&lt;=4),CAPTURA!BA33*25,"⚠"))</f>
        <v/>
      </c>
      <c r="W33" t="str">
        <f>IF(CAPTURA!BB33="","",IFERROR(IF(INDEX(CODIFICACION!$E$2:$E$500,MATCH("D3.14|"&amp;CAPTURA!BB33,CODIFICACION!$F$2:$F$500,0))="sin dato","",INDEX(CODIFICACION!$E$2:$E$500,MATCH("D3.14|"&amp;CAPTURA!BB33,CODIFICACION!$F$2:$F$500,0))),"⚠"))</f>
        <v/>
      </c>
      <c r="X33" t="str">
        <f>IF(CAPTURA!BC33="","",IFERROR(IF(INDEX(CODIFICACION!$E$2:$E$500,MATCH("D3.14a|"&amp;CAPTURA!BC33,CODIFICACION!$F$2:$F$500,0))="sin dato","",INDEX(CODIFICACION!$E$2:$E$500,MATCH("D3.14a|"&amp;CAPTURA!BC33,CODIFICACION!$F$2:$F$500,0))),"⚠"))</f>
        <v/>
      </c>
      <c r="Y33" t="str">
        <f>IF(CAPTURA!BD33="","",IFERROR(IF(INDEX(CODIFICACION!$E$2:$E$500,MATCH("D3.14b|"&amp;CAPTURA!BD33,CODIFICACION!$F$2:$F$500,0))="sin dato","",INDEX(CODIFICACION!$E$2:$E$500,MATCH("D3.14b|"&amp;CAPTURA!BD33,CODIFICACION!$F$2:$F$500,0))),"⚠"))</f>
        <v/>
      </c>
      <c r="Z33" t="str">
        <f>IF(CAPTURA!BE33="","",IFERROR(IF(INDEX(CODIFICACION!$E$2:$E$500,MATCH("D3.14c|"&amp;CAPTURA!BE33,CODIFICACION!$F$2:$F$500,0))="sin dato","",INDEX(CODIFICACION!$E$2:$E$500,MATCH("D3.14c|"&amp;CAPTURA!BE33,CODIFICACION!$F$2:$F$500,0))),"⚠"))</f>
        <v/>
      </c>
      <c r="AA33" t="str">
        <f>IF(CAPTURA!BF33="","",IFERROR(IF(INDEX(CODIFICACION!$E$2:$E$500,MATCH("D3.14d|"&amp;CAPTURA!BF33,CODIFICACION!$F$2:$F$500,0))="sin dato","",INDEX(CODIFICACION!$E$2:$E$500,MATCH("D3.14d|"&amp;CAPTURA!BF33,CODIFICACION!$F$2:$F$500,0))),"⚠"))</f>
        <v/>
      </c>
      <c r="AB33" t="str">
        <f>IF(CAPTURA!BG33="","",IFERROR(IF(INDEX(CODIFICACION!$E$2:$E$500,MATCH("D3.14e|"&amp;CAPTURA!BG33,CODIFICACION!$F$2:$F$500,0))="sin dato","",INDEX(CODIFICACION!$E$2:$E$500,MATCH("D3.14e|"&amp;CAPTURA!BG33,CODIFICACION!$F$2:$F$500,0))),"⚠"))</f>
        <v/>
      </c>
      <c r="AC33" t="str">
        <f>IF(CAPTURA!BH33="","",IFERROR(IF(INDEX(CODIFICACION!$E$2:$E$500,MATCH("D3.14f|"&amp;CAPTURA!BH33,CODIFICACION!$F$2:$F$500,0))="sin dato","",INDEX(CODIFICACION!$E$2:$E$500,MATCH("D3.14f|"&amp;CAPTURA!BH33,CODIFICACION!$F$2:$F$500,0))),"⚠"))</f>
        <v/>
      </c>
      <c r="AD33" t="str">
        <f>IF(CAPTURA!BI33="","",IFERROR(IF(INDEX(CODIFICACION!$E$2:$E$500,MATCH("D3.14g|"&amp;CAPTURA!BI33,CODIFICACION!$F$2:$F$500,0))="sin dato","",INDEX(CODIFICACION!$E$2:$E$500,MATCH("D3.14g|"&amp;CAPTURA!BI33,CODIFICACION!$F$2:$F$500,0))),"⚠"))</f>
        <v/>
      </c>
      <c r="AE33" t="str">
        <f>IF(CAPTURA!BJ33="","",IFERROR(IF(INDEX(CODIFICACION!$E$2:$E$500,MATCH("D3.14h|"&amp;CAPTURA!BJ33,CODIFICACION!$F$2:$F$500,0))="sin dato","",INDEX(CODIFICACION!$E$2:$E$500,MATCH("D3.14h|"&amp;CAPTURA!BJ33,CODIFICACION!$F$2:$F$500,0))),"⚠"))</f>
        <v/>
      </c>
      <c r="AF33" t="str">
        <f>IF(CAPTURA!BK33="","",IFERROR(IF(INDEX(CODIFICACION!$E$2:$E$500,MATCH("D3.14i|"&amp;CAPTURA!BK33,CODIFICACION!$F$2:$F$500,0))="sin dato","",INDEX(CODIFICACION!$E$2:$E$500,MATCH("D3.14i|"&amp;CAPTURA!BK33,CODIFICACION!$F$2:$F$500,0))),"⚠"))</f>
        <v/>
      </c>
      <c r="AG33" t="str">
        <f>IF(CAPTURA!BL33="","",IFERROR(IF(INDEX(CODIFICACION!$E$2:$E$500,MATCH("D4.15|"&amp;CAPTURA!BL33,CODIFICACION!$F$2:$F$500,0))="sin dato","",INDEX(CODIFICACION!$E$2:$E$500,MATCH("D4.15|"&amp;CAPTURA!BL33,CODIFICACION!$F$2:$F$500,0))),"⚠"))</f>
        <v/>
      </c>
      <c r="AH33" t="str">
        <f>IF(CAPTURA!BM33="","",IF(AND(ISNUMBER(CAPTURA!BM33),CAPTURA!BM33&gt;=0,CAPTURA!BM33&lt;=4),CAPTURA!BM33*25,"⚠"))</f>
        <v/>
      </c>
      <c r="AI33" t="str">
        <f>IF(CAPTURA!BN33="","",IFERROR(IF(INDEX(CODIFICACION!$E$2:$E$500,MATCH("D4.17|"&amp;CAPTURA!BN33,CODIFICACION!$F$2:$F$500,0))="sin dato","",INDEX(CODIFICACION!$E$2:$E$500,MATCH("D4.17|"&amp;CAPTURA!BN33,CODIFICACION!$F$2:$F$500,0))),"⚠"))</f>
        <v/>
      </c>
      <c r="AJ33" t="str">
        <f>IF(CAPTURA!BO33="","",IFERROR(IF(INDEX(CODIFICACION!$E$2:$E$500,MATCH("D4.15a|"&amp;CAPTURA!BO33,CODIFICACION!$F$2:$F$500,0))="sin dato","",INDEX(CODIFICACION!$E$2:$E$500,MATCH("D4.15a|"&amp;CAPTURA!BO33,CODIFICACION!$F$2:$F$500,0))),"⚠"))</f>
        <v/>
      </c>
      <c r="AK33" t="str">
        <f>IF(CAPTURA!BP33="","",IF(AND(ISNUMBER(CAPTURA!BP33),CAPTURA!BP33&gt;=0,CAPTURA!BP33&lt;=4),CAPTURA!BP33*25,"⚠"))</f>
        <v/>
      </c>
      <c r="AL33" t="str">
        <f>IF(CAPTURA!BQ33="","",IF(AND(ISNUMBER(CAPTURA!BQ33),CAPTURA!BQ33&gt;=0,CAPTURA!BQ33&lt;=4),CAPTURA!BQ33*25,"⚠"))</f>
        <v/>
      </c>
      <c r="AM33" t="str">
        <f>IF(CAPTURA!BR33="","",IFERROR(IF(INDEX(CODIFICACION!$E$2:$E$500,MATCH("D5.18b|"&amp;CAPTURA!BR33,CODIFICACION!$F$2:$F$500,0))="sin dato","",INDEX(CODIFICACION!$E$2:$E$500,MATCH("D5.18b|"&amp;CAPTURA!BR33,CODIFICACION!$F$2:$F$500,0))),"⚠"))</f>
        <v/>
      </c>
      <c r="AN33" t="str">
        <f>IF(CAPTURA!BS33="","",IFERROR(IF(INDEX(CODIFICACION!$E$2:$E$500,MATCH("D5.19|"&amp;CAPTURA!BS33,CODIFICACION!$F$2:$F$500,0))="sin dato","",INDEX(CODIFICACION!$E$2:$E$500,MATCH("D5.19|"&amp;CAPTURA!BS33,CODIFICACION!$F$2:$F$500,0))),"⚠"))</f>
        <v/>
      </c>
      <c r="AO33" t="str">
        <f>IF(CAPTURA!BT33="","",MIN(100,ROUND((LEN(CAPTURA!BT33)-LEN(SUBSTITUTE(CAPTURA!BT33,";",""))+1)/7*100,1)))</f>
        <v/>
      </c>
      <c r="AP33" t="str">
        <f>IF(CAPTURA!BU33="","",IFERROR(IF(INDEX(CODIFICACION!$E$2:$E$500,MATCH("D5.20|"&amp;CAPTURA!BU33,CODIFICACION!$F$2:$F$500,0))="sin dato","",INDEX(CODIFICACION!$E$2:$E$500,MATCH("D5.20|"&amp;CAPTURA!BU33,CODIFICACION!$F$2:$F$500,0))),"⚠"))</f>
        <v/>
      </c>
      <c r="AQ33" t="str">
        <f>IF(CAPTURA!BV33="","",IFERROR(IF(INDEX(CODIFICACION!$E$2:$E$500,MATCH("D5.21|"&amp;CAPTURA!BV33,CODIFICACION!$F$2:$F$500,0))="sin dato","",INDEX(CODIFICACION!$E$2:$E$500,MATCH("D5.21|"&amp;CAPTURA!BV33,CODIFICACION!$F$2:$F$500,0))),"⚠"))</f>
        <v/>
      </c>
      <c r="AR33" t="str">
        <f>IF(CAPTURA!BW33="","",IFERROR(IF(INDEX(CODIFICACION!$E$2:$E$500,MATCH("D5.21a|"&amp;CAPTURA!BW33,CODIFICACION!$F$2:$F$500,0))="sin dato","",INDEX(CODIFICACION!$E$2:$E$500,MATCH("D5.21a|"&amp;CAPTURA!BW33,CODIFICACION!$F$2:$F$500,0))),"⚠"))</f>
        <v/>
      </c>
      <c r="AS33" t="str">
        <f>IF(CAPTURA!BX33="","",IFERROR(IF(INDEX(CODIFICACION!$E$2:$E$500,MATCH("D5.21b|"&amp;CAPTURA!BX33,CODIFICACION!$F$2:$F$500,0))="sin dato","",INDEX(CODIFICACION!$E$2:$E$500,MATCH("D5.21b|"&amp;CAPTURA!BX33,CODIFICACION!$F$2:$F$500,0))),"⚠"))</f>
        <v/>
      </c>
      <c r="AT33" t="str">
        <f>IF(CAPTURA!BY33="","",IFERROR(IF(INDEX(CODIFICACION!$E$2:$E$500,MATCH("D6.22|"&amp;CAPTURA!BY33,CODIFICACION!$F$2:$F$500,0))="sin dato","",INDEX(CODIFICACION!$E$2:$E$500,MATCH("D6.22|"&amp;CAPTURA!BY33,CODIFICACION!$F$2:$F$500,0))),"⚠"))</f>
        <v/>
      </c>
      <c r="AU33" t="str">
        <f>IF(CAPTURA!BZ33="","",IFERROR(IF(INDEX(CODIFICACION!$E$2:$E$500,MATCH("D6.22a|"&amp;CAPTURA!BZ33,CODIFICACION!$F$2:$F$500,0))="sin dato","",INDEX(CODIFICACION!$E$2:$E$500,MATCH("D6.22a|"&amp;CAPTURA!BZ33,CODIFICACION!$F$2:$F$500,0))),"⚠"))</f>
        <v/>
      </c>
      <c r="AV33" t="str">
        <f>IF(CAPTURA!CA33="","",IFERROR(IF(INDEX(CODIFICACION!$E$2:$E$500,MATCH("D6.22b|"&amp;CAPTURA!CA33,CODIFICACION!$F$2:$F$500,0))="sin dato","",INDEX(CODIFICACION!$E$2:$E$500,MATCH("D6.22b|"&amp;CAPTURA!CA33,CODIFICACION!$F$2:$F$500,0))),"⚠"))</f>
        <v/>
      </c>
      <c r="AW33" t="str">
        <f>IF(CAPTURA!CB33="","",IFERROR(IF(INDEX(CODIFICACION!$E$2:$E$500,MATCH("D6.23|"&amp;CAPTURA!CB33,CODIFICACION!$F$2:$F$500,0))="sin dato","",INDEX(CODIFICACION!$E$2:$E$500,MATCH("D6.23|"&amp;CAPTURA!CB33,CODIFICACION!$F$2:$F$500,0))),"⚠"))</f>
        <v/>
      </c>
      <c r="AX33" t="str">
        <f>IF(CAPTURA!CC33="","",IFERROR(IF(INDEX(CODIFICACION!$E$2:$E$500,MATCH("D6.24|"&amp;CAPTURA!CC33,CODIFICACION!$F$2:$F$500,0))="sin dato","",INDEX(CODIFICACION!$E$2:$E$500,MATCH("D6.24|"&amp;CAPTURA!CC33,CODIFICACION!$F$2:$F$500,0))),"⚠"))</f>
        <v/>
      </c>
      <c r="AY33" t="str">
        <f>IF(CAPTURA!CD33="","",IFERROR(IF(INDEX(CODIFICACION!$E$2:$E$500,MATCH("D6.25|"&amp;CAPTURA!CD33,CODIFICACION!$F$2:$F$500,0))="sin dato","",INDEX(CODIFICACION!$E$2:$E$500,MATCH("D6.25|"&amp;CAPTURA!CD33,CODIFICACION!$F$2:$F$500,0))),"⚠"))</f>
        <v/>
      </c>
      <c r="AZ33" t="str">
        <f>IF(CAPTURA!CE33="","",IFERROR(IF(INDEX(CODIFICACION!$E$2:$E$500,MATCH("D6.25a|"&amp;CAPTURA!CE33,CODIFICACION!$F$2:$F$500,0))="sin dato","",INDEX(CODIFICACION!$E$2:$E$500,MATCH("D6.25a|"&amp;CAPTURA!CE33,CODIFICACION!$F$2:$F$500,0))),"⚠"))</f>
        <v/>
      </c>
      <c r="BA33" t="str">
        <f>IF(CAPTURA!CF33="","",IFERROR(IF(INDEX(CODIFICACION!$E$2:$E$500,MATCH("D6.25b|"&amp;CAPTURA!CF33,CODIFICACION!$F$2:$F$500,0))="sin dato","",INDEX(CODIFICACION!$E$2:$E$500,MATCH("D6.25b|"&amp;CAPTURA!CF33,CODIFICACION!$F$2:$F$500,0))),"⚠"))</f>
        <v/>
      </c>
      <c r="BB33" t="str">
        <f>IF(CAPTURA!CG33="","",IFERROR(IF(INDEX(CODIFICACION!$E$2:$E$500,MATCH("D6.22c|"&amp;CAPTURA!CG33,CODIFICACION!$F$2:$F$500,0))="sin dato","",INDEX(CODIFICACION!$E$2:$E$500,MATCH("D6.22c|"&amp;CAPTURA!CG33,CODIFICACION!$F$2:$F$500,0))),"⚠"))</f>
        <v/>
      </c>
      <c r="BC33" t="str">
        <f>IF(CAPTURA!CH33="","",IFERROR(IF(INDEX(CODIFICACION!$E$2:$E$500,MATCH("D7.26|"&amp;CAPTURA!CH33,CODIFICACION!$F$2:$F$500,0))="sin dato","",INDEX(CODIFICACION!$E$2:$E$500,MATCH("D7.26|"&amp;CAPTURA!CH33,CODIFICACION!$F$2:$F$500,0))),"⚠"))</f>
        <v/>
      </c>
      <c r="BD33" t="str">
        <f>IF(CAPTURA!CI33="","",IFERROR(IF(INDEX(CODIFICACION!$E$2:$E$500,MATCH("D7.27|"&amp;CAPTURA!CI33,CODIFICACION!$F$2:$F$500,0))="sin dato","",INDEX(CODIFICACION!$E$2:$E$500,MATCH("D7.27|"&amp;CAPTURA!CI33,CODIFICACION!$F$2:$F$500,0))),"⚠"))</f>
        <v/>
      </c>
      <c r="BE33" t="str">
        <f>IF(CAPTURA!CJ33="","",IFERROR(IF(INDEX(CODIFICACION!$E$2:$E$500,MATCH("D7.28|"&amp;CAPTURA!CJ33,CODIFICACION!$F$2:$F$500,0))="sin dato","",INDEX(CODIFICACION!$E$2:$E$500,MATCH("D7.28|"&amp;CAPTURA!CJ33,CODIFICACION!$F$2:$F$500,0))),"⚠"))</f>
        <v/>
      </c>
      <c r="BF33" t="str">
        <f>IF(CAPTURA!CK33="","",IFERROR(IF(INDEX(CODIFICACION!$E$2:$E$500,MATCH("D7.28b|"&amp;CAPTURA!CK33,CODIFICACION!$F$2:$F$500,0))="sin dato","",INDEX(CODIFICACION!$E$2:$E$500,MATCH("D7.28b|"&amp;CAPTURA!CK33,CODIFICACION!$F$2:$F$500,0))),"⚠"))</f>
        <v/>
      </c>
      <c r="BG33" t="str">
        <f>IF(CAPTURA!CL33="","",MIN(100,ROUND((LEN(CAPTURA!CL33)-LEN(SUBSTITUTE(CAPTURA!CL33,";",""))+1)/8*100,1)))</f>
        <v/>
      </c>
      <c r="BH33" t="str">
        <f>IF(CAPTURA!CM33="","",IFERROR(IF(INDEX(CODIFICACION!$E$2:$E$500,MATCH("D7.26a|"&amp;CAPTURA!CM33,CODIFICACION!$F$2:$F$500,0))="sin dato","",INDEX(CODIFICACION!$E$2:$E$500,MATCH("D7.26a|"&amp;CAPTURA!CM33,CODIFICACION!$F$2:$F$500,0))),"⚠"))</f>
        <v/>
      </c>
      <c r="BI33" t="str">
        <f>IF(CAPTURA!CN33="","",IFERROR(IF(INDEX(CODIFICACION!$E$2:$E$500,MATCH("D7.26b|"&amp;CAPTURA!CN33,CODIFICACION!$F$2:$F$500,0))="sin dato","",INDEX(CODIFICACION!$E$2:$E$500,MATCH("D7.26b|"&amp;CAPTURA!CN33,CODIFICACION!$F$2:$F$500,0))),"⚠"))</f>
        <v/>
      </c>
      <c r="BJ33" t="str">
        <f>IF(CAPTURA!CO33="","",IF(AND(ISNUMBER(CAPTURA!CO33),CAPTURA!CO33&gt;=0,CAPTURA!CO33&lt;=4),CAPTURA!CO33*25,"⚠"))</f>
        <v/>
      </c>
      <c r="BK33" t="str">
        <f>IF(CAPTURA!CP33="","",IF(ISNUMBER(CAPTURA!CP33),MAX(0,MIN(100,CAPTURA!CP33)),"⚠"))</f>
        <v/>
      </c>
      <c r="BL33" t="str">
        <f>IF(CAPTURA!CQ33="","",IFERROR(IF(INDEX(CODIFICACION!$E$2:$E$500,MATCH("D8.31|"&amp;CAPTURA!CQ33,CODIFICACION!$F$2:$F$500,0))="sin dato","",INDEX(CODIFICACION!$E$2:$E$500,MATCH("D8.31|"&amp;CAPTURA!CQ33,CODIFICACION!$F$2:$F$500,0))),"⚠"))</f>
        <v/>
      </c>
      <c r="BM33" t="str">
        <f>IF(CAPTURA!CR33="","",IFERROR(IF(INDEX(CODIFICACION!$E$2:$E$500,MATCH("D8.32|"&amp;CAPTURA!CR33,CODIFICACION!$F$2:$F$500,0))="sin dato","",INDEX(CODIFICACION!$E$2:$E$500,MATCH("D8.32|"&amp;CAPTURA!CR33,CODIFICACION!$F$2:$F$500,0))),"⚠"))</f>
        <v/>
      </c>
      <c r="BN33" t="str">
        <f>IF(CAPTURA!CS33="","",IFERROR(IF(INDEX(CODIFICACION!$E$2:$E$500,MATCH("D9.33|"&amp;CAPTURA!CS33,CODIFICACION!$F$2:$F$500,0))="sin dato","",INDEX(CODIFICACION!$E$2:$E$500,MATCH("D9.33|"&amp;CAPTURA!CS33,CODIFICACION!$F$2:$F$500,0))),"⚠"))</f>
        <v/>
      </c>
      <c r="BO33" t="str">
        <f>IF(CAPTURA!CT33="","",IFERROR(IF(INDEX(CODIFICACION!$E$2:$E$500,MATCH("D9.34|"&amp;CAPTURA!CT33,CODIFICACION!$F$2:$F$500,0))="sin dato","",INDEX(CODIFICACION!$E$2:$E$500,MATCH("D9.34|"&amp;CAPTURA!CT33,CODIFICACION!$F$2:$F$500,0))),"⚠"))</f>
        <v/>
      </c>
      <c r="BP33" t="str">
        <f>IF(CAPTURA!CU33="","",IFERROR(IF(INDEX(CODIFICACION!$E$2:$E$500,MATCH("D9.35|"&amp;CAPTURA!CU33,CODIFICACION!$F$2:$F$500,0))="sin dato","",INDEX(CODIFICACION!$E$2:$E$500,MATCH("D9.35|"&amp;CAPTURA!CU33,CODIFICACION!$F$2:$F$500,0))),"⚠"))</f>
        <v/>
      </c>
      <c r="BQ33" t="str">
        <f>IF(CAPTURA!CV33="","",IFERROR(IF(INDEX(CODIFICACION!$E$2:$E$500,MATCH("D10.36|"&amp;CAPTURA!CV33,CODIFICACION!$F$2:$F$500,0))="sin dato","",INDEX(CODIFICACION!$E$2:$E$500,MATCH("D10.36|"&amp;CAPTURA!CV33,CODIFICACION!$F$2:$F$500,0))),"⚠"))</f>
        <v/>
      </c>
      <c r="BR33" t="str">
        <f>IF(CAPTURA!CW33="","",IFERROR(IF(INDEX(CODIFICACION!$E$2:$E$500,MATCH("D10.37|"&amp;CAPTURA!CW33,CODIFICACION!$F$2:$F$500,0))="sin dato","",INDEX(CODIFICACION!$E$2:$E$500,MATCH("D10.37|"&amp;CAPTURA!CW33,CODIFICACION!$F$2:$F$500,0))),"⚠"))</f>
        <v/>
      </c>
      <c r="BS33" t="str">
        <f>IF(CAPTURA!CX33="","",IFERROR(IF(INDEX(CODIFICACION!$E$2:$E$500,MATCH("D10.36a|"&amp;CAPTURA!CX33,CODIFICACION!$F$2:$F$500,0))="sin dato","",INDEX(CODIFICACION!$E$2:$E$500,MATCH("D10.36a|"&amp;CAPTURA!CX33,CODIFICACION!$F$2:$F$500,0))),"⚠"))</f>
        <v/>
      </c>
      <c r="BT33" t="str">
        <f>IF(CAPTURA!CY33="","",IF(ISNUMBER(SEARCH("Ninguno",CAPTURA!CY33)),0,MIN(100,ROUND((LEN(CAPTURA!CY33)-LEN(SUBSTITUTE(CAPTURA!CY33,";",""))+1)/6*100,1))))</f>
        <v/>
      </c>
      <c r="BU33" t="str">
        <f>IF(CAPTURA!DA33="","",IFERROR(IF(INDEX(CODIFICACION!$E$2:$E$500,MATCH("D11.39a|"&amp;CAPTURA!DA33,CODIFICACION!$F$2:$F$500,0))="sin dato","",INDEX(CODIFICACION!$E$2:$E$500,MATCH("D11.39a|"&amp;CAPTURA!DA33,CODIFICACION!$F$2:$F$500,0))),"⚠"))</f>
        <v/>
      </c>
      <c r="BV33" t="str">
        <f>IF(CAPTURA!DB33="","",IFERROR(IF(INDEX(CODIFICACION!$E$2:$E$500,MATCH("D12.42|"&amp;CAPTURA!DB33,CODIFICACION!$F$2:$F$500,0))="sin dato","",INDEX(CODIFICACION!$E$2:$E$500,MATCH("D12.42|"&amp;CAPTURA!DB33,CODIFICACION!$F$2:$F$500,0))),"⚠"))</f>
        <v/>
      </c>
      <c r="BW33" t="str">
        <f>IF(CAPTURA!DC33="","",IFERROR(IF(INDEX(CODIFICACION!$E$2:$E$500,MATCH("D13.45|"&amp;CAPTURA!DC33,CODIFICACION!$F$2:$F$500,0))="sin dato","",INDEX(CODIFICACION!$E$2:$E$500,MATCH("D13.45|"&amp;CAPTURA!DC33,CODIFICACION!$F$2:$F$500,0))),"⚠"))</f>
        <v/>
      </c>
      <c r="BX33" t="str">
        <f>IF(CAPTURA!DD33="","",IFERROR(IF(INDEX(CODIFICACION!$E$2:$E$500,MATCH("D14.51|"&amp;CAPTURA!DD33,CODIFICACION!$F$2:$F$500,0))="sin dato","",INDEX(CODIFICACION!$E$2:$E$500,MATCH("D14.51|"&amp;CAPTURA!DD33,CODIFICACION!$F$2:$F$500,0))),"⚠"))</f>
        <v/>
      </c>
      <c r="BY33" t="str">
        <f>IF(CAPTURA!DE33="","",IFERROR(IF(INDEX(CODIFICACION!$E$2:$E$500,MATCH("D15.58|"&amp;CAPTURA!DE33,CODIFICACION!$F$2:$F$500,0))="sin dato","",INDEX(CODIFICACION!$E$2:$E$500,MATCH("D15.58|"&amp;CAPTURA!DE33,CODIFICACION!$F$2:$F$500,0))),"⚠"))</f>
        <v/>
      </c>
      <c r="BZ33" t="str">
        <f>IF(CAPTURA!DF33="","",IFERROR(IF(INDEX(CODIFICACION!$E$2:$E$500,MATCH("PP1|"&amp;CAPTURA!DF33,CODIFICACION!$F$2:$F$500,0))="sin dato","",INDEX(CODIFICACION!$E$2:$E$500,MATCH("PP1|"&amp;CAPTURA!DF33,CODIFICACION!$F$2:$F$500,0))),"⚠"))</f>
        <v/>
      </c>
      <c r="CA33" t="str">
        <f>IF(CAPTURA!DG33="","",IFERROR(IF(INDEX(CODIFICACION!$E$2:$E$500,MATCH("PP2|"&amp;CAPTURA!DG33,CODIFICACION!$F$2:$F$500,0))="sin dato","",INDEX(CODIFICACION!$E$2:$E$500,MATCH("PP2|"&amp;CAPTURA!DG33,CODIFICACION!$F$2:$F$500,0))),"⚠"))</f>
        <v/>
      </c>
      <c r="CB33" t="str">
        <f t="shared" si="0"/>
        <v/>
      </c>
      <c r="CC33" t="str">
        <f t="shared" si="1"/>
        <v/>
      </c>
      <c r="CD33" t="str">
        <f t="shared" si="2"/>
        <v/>
      </c>
      <c r="CE33" t="str">
        <f t="shared" si="3"/>
        <v/>
      </c>
      <c r="CF33" t="str">
        <f t="shared" si="4"/>
        <v/>
      </c>
      <c r="CG33" t="str">
        <f t="shared" si="5"/>
        <v/>
      </c>
      <c r="CH33" t="str">
        <f t="shared" si="6"/>
        <v/>
      </c>
      <c r="CI33" t="str">
        <f t="shared" si="7"/>
        <v/>
      </c>
      <c r="CJ33" t="str">
        <f t="shared" si="8"/>
        <v/>
      </c>
      <c r="CK33" t="str">
        <f t="shared" si="9"/>
        <v/>
      </c>
      <c r="CL33" t="str">
        <f t="shared" si="10"/>
        <v/>
      </c>
    </row>
    <row r="34" spans="1:90" x14ac:dyDescent="0.3">
      <c r="A34">
        <f>CAPTURA!A34</f>
        <v>20450319423</v>
      </c>
      <c r="B34">
        <f>CAPTURA!C34</f>
        <v>0</v>
      </c>
      <c r="C34" t="str">
        <f>IF(CAPTURA!M34="","",ROUND((ISNUMBER(SEARCH("Alemania",CAPTURA!M34))+ISNUMBER(SEARCH("Bélgica",CAPTURA!M34))+ISNUMBER(SEARCH("Países Bajos",CAPTURA!M34))+ISNUMBER(SEARCH("Francia",CAPTURA!M34))+ISNUMBER(SEARCH("Italia",CAPTURA!M34))+ISNUMBER(SEARCH("España",CAPTURA!M34))+ISNUMBER(SEARCH("Suecia",CAPTURA!M34))+ISNUMBER(SEARCH("Dinamarca",CAPTURA!M34)))/((LEN(CAPTURA!M34)-LEN(SUBSTITUTE(CAPTURA!M34,";","")))+1)*100,1))</f>
        <v/>
      </c>
      <c r="D34" t="str">
        <f>IF(CAPTURA!AE34="","",IFERROR(IF(INDEX(CODIFICACION!$E$2:$E$500,MATCH("P8|"&amp;CAPTURA!AE34,CODIFICACION!$F$2:$F$500,0))="sin dato","",INDEX(CODIFICACION!$E$2:$E$500,MATCH("P8|"&amp;CAPTURA!AE34,CODIFICACION!$F$2:$F$500,0))),"⚠"))</f>
        <v/>
      </c>
      <c r="E34" t="str">
        <f>IF(CAPTURA!AG34="","",IFERROR(IF(INDEX(CODIFICACION!$E$2:$E$500,MATCH("P10|"&amp;CAPTURA!AG34,CODIFICACION!$F$2:$F$500,0))="sin dato","",INDEX(CODIFICACION!$E$2:$E$500,MATCH("P10|"&amp;CAPTURA!AG34,CODIFICACION!$F$2:$F$500,0))),"⚠"))</f>
        <v/>
      </c>
      <c r="F34" t="str">
        <f>IF(CAPTURA!AJ34="","",IFERROR(IF(INDEX(CODIFICACION!$E$2:$E$500,MATCH("P13|"&amp;CAPTURA!AJ34,CODIFICACION!$F$2:$F$500,0))="sin dato","",INDEX(CODIFICACION!$E$2:$E$500,MATCH("P13|"&amp;CAPTURA!AJ34,CODIFICACION!$F$2:$F$500,0))),"⚠"))</f>
        <v/>
      </c>
      <c r="G34" t="str">
        <f>IF(CAPTURA!AK34="","",IFERROR(IF(INDEX(CODIFICACION!$E$2:$E$500,MATCH("P14|"&amp;CAPTURA!AK34,CODIFICACION!$F$2:$F$500,0))="sin dato","",INDEX(CODIFICACION!$E$2:$E$500,MATCH("P14|"&amp;CAPTURA!AK34,CODIFICACION!$F$2:$F$500,0))),"⚠"))</f>
        <v/>
      </c>
      <c r="H34" t="str">
        <f>IF(CAPTURA!AL34="","",IFERROR(IF(INDEX(CODIFICACION!$E$2:$E$500,MATCH("D1.1|"&amp;CAPTURA!AL34,CODIFICACION!$F$2:$F$500,0))="sin dato","",INDEX(CODIFICACION!$E$2:$E$500,MATCH("D1.1|"&amp;CAPTURA!AL34,CODIFICACION!$F$2:$F$500,0))),"⚠"))</f>
        <v/>
      </c>
      <c r="I34" t="str">
        <f>IF(CAPTURA!AN34="","",IFERROR(IF(INDEX(CODIFICACION!$E$2:$E$500,MATCH("D1.3|"&amp;CAPTURA!AN34,CODIFICACION!$F$2:$F$500,0))="sin dato","",INDEX(CODIFICACION!$E$2:$E$500,MATCH("D1.3|"&amp;CAPTURA!AN34,CODIFICACION!$F$2:$F$500,0))),"⚠"))</f>
        <v/>
      </c>
      <c r="J34" t="str">
        <f>IF(CAPTURA!AO34="","",IFERROR(IF(INDEX(CODIFICACION!$E$2:$E$500,MATCH("D1.4|"&amp;CAPTURA!AO34,CODIFICACION!$F$2:$F$500,0))="sin dato","",INDEX(CODIFICACION!$E$2:$E$500,MATCH("D1.4|"&amp;CAPTURA!AO34,CODIFICACION!$F$2:$F$500,0))),"⚠"))</f>
        <v/>
      </c>
      <c r="K34" t="str">
        <f>IF(CAPTURA!AP34="","",IFERROR(IF(INDEX(CODIFICACION!$E$2:$E$500,MATCH("D1.3a|"&amp;CAPTURA!AP34,CODIFICACION!$F$2:$F$500,0))="sin dato","",INDEX(CODIFICACION!$E$2:$E$500,MATCH("D1.3a|"&amp;CAPTURA!AP34,CODIFICACION!$F$2:$F$500,0))),"⚠"))</f>
        <v/>
      </c>
      <c r="L34" t="str">
        <f>IF(CAPTURA!AQ34="","",IF(AND(ISNUMBER(CAPTURA!AQ34),CAPTURA!AQ34&gt;=0,CAPTURA!AQ34&lt;=4),CAPTURA!AQ34*25,"⚠"))</f>
        <v/>
      </c>
      <c r="M34" t="str">
        <f>IF(CAPTURA!AR34="","",IF(ISNUMBER(CAPTURA!AR34),MAX(0,MIN(100,CAPTURA!AR34)),"⚠"))</f>
        <v/>
      </c>
      <c r="N34" t="str">
        <f>IF(CAPTURA!AS34="","",IF(AND(ISNUMBER(CAPTURA!AS34),CAPTURA!AS34&gt;=0,CAPTURA!AS34&lt;=4),CAPTURA!AS34*25,"⚠"))</f>
        <v/>
      </c>
      <c r="O34" t="str">
        <f>IF(CAPTURA!AT34="","",IFERROR(IF(INDEX(CODIFICACION!$E$2:$E$500,MATCH("D2.8|"&amp;CAPTURA!AT34,CODIFICACION!$F$2:$F$500,0))="sin dato","",INDEX(CODIFICACION!$E$2:$E$500,MATCH("D2.8|"&amp;CAPTURA!AT34,CODIFICACION!$F$2:$F$500,0))),"⚠"))</f>
        <v/>
      </c>
      <c r="P34" t="str">
        <f>IF(CAPTURA!AU34="","",IFERROR(IF(INDEX(CODIFICACION!$E$2:$E$500,MATCH("D2.9|"&amp;CAPTURA!AU34,CODIFICACION!$F$2:$F$500,0))="sin dato","",INDEX(CODIFICACION!$E$2:$E$500,MATCH("D2.9|"&amp;CAPTURA!AU34,CODIFICACION!$F$2:$F$500,0))),"⚠"))</f>
        <v/>
      </c>
      <c r="Q34" t="str">
        <f>IF(CAPTURA!AV34="","",IFERROR(IF(INDEX(CODIFICACION!$E$2:$E$500,MATCH("D2.10|"&amp;CAPTURA!AV34,CODIFICACION!$F$2:$F$500,0))="sin dato","",INDEX(CODIFICACION!$E$2:$E$500,MATCH("D2.10|"&amp;CAPTURA!AV34,CODIFICACION!$F$2:$F$500,0))),"⚠"))</f>
        <v/>
      </c>
      <c r="R34" t="str">
        <f>IF(CAPTURA!AW34="","",IFERROR(IF(INDEX(CODIFICACION!$E$2:$E$500,MATCH("D2.5a|"&amp;CAPTURA!AW34,CODIFICACION!$F$2:$F$500,0))="sin dato","",INDEX(CODIFICACION!$E$2:$E$500,MATCH("D2.5a|"&amp;CAPTURA!AW34,CODIFICACION!$F$2:$F$500,0))),"⚠"))</f>
        <v/>
      </c>
      <c r="S34" t="str">
        <f>IF(CAPTURA!AX34="","",IFERROR(IF(INDEX(CODIFICACION!$E$2:$E$500,MATCH("D2.5b|"&amp;CAPTURA!AX34,CODIFICACION!$F$2:$F$500,0))="sin dato","",INDEX(CODIFICACION!$E$2:$E$500,MATCH("D2.5b|"&amp;CAPTURA!AX34,CODIFICACION!$F$2:$F$500,0))),"⚠"))</f>
        <v/>
      </c>
      <c r="T34" t="str">
        <f>IF(CAPTURA!AY34="","",IF(ISNUMBER(CAPTURA!AY34),MAX(0,MIN(100,CAPTURA!AY34)),"⚠"))</f>
        <v/>
      </c>
      <c r="U34" t="str">
        <f>IF(CAPTURA!AZ34="","",IFERROR(IF(INDEX(CODIFICACION!$E$2:$E$500,MATCH("D3.12|"&amp;CAPTURA!AZ34,CODIFICACION!$F$2:$F$500,0))="sin dato","",INDEX(CODIFICACION!$E$2:$E$500,MATCH("D3.12|"&amp;CAPTURA!AZ34,CODIFICACION!$F$2:$F$500,0))),"⚠"))</f>
        <v/>
      </c>
      <c r="V34" t="str">
        <f>IF(CAPTURA!BA34="","",IF(AND(ISNUMBER(CAPTURA!BA34),CAPTURA!BA34&gt;=0,CAPTURA!BA34&lt;=4),CAPTURA!BA34*25,"⚠"))</f>
        <v/>
      </c>
      <c r="W34" t="str">
        <f>IF(CAPTURA!BB34="","",IFERROR(IF(INDEX(CODIFICACION!$E$2:$E$500,MATCH("D3.14|"&amp;CAPTURA!BB34,CODIFICACION!$F$2:$F$500,0))="sin dato","",INDEX(CODIFICACION!$E$2:$E$500,MATCH("D3.14|"&amp;CAPTURA!BB34,CODIFICACION!$F$2:$F$500,0))),"⚠"))</f>
        <v/>
      </c>
      <c r="X34" t="str">
        <f>IF(CAPTURA!BC34="","",IFERROR(IF(INDEX(CODIFICACION!$E$2:$E$500,MATCH("D3.14a|"&amp;CAPTURA!BC34,CODIFICACION!$F$2:$F$500,0))="sin dato","",INDEX(CODIFICACION!$E$2:$E$500,MATCH("D3.14a|"&amp;CAPTURA!BC34,CODIFICACION!$F$2:$F$500,0))),"⚠"))</f>
        <v/>
      </c>
      <c r="Y34" t="str">
        <f>IF(CAPTURA!BD34="","",IFERROR(IF(INDEX(CODIFICACION!$E$2:$E$500,MATCH("D3.14b|"&amp;CAPTURA!BD34,CODIFICACION!$F$2:$F$500,0))="sin dato","",INDEX(CODIFICACION!$E$2:$E$500,MATCH("D3.14b|"&amp;CAPTURA!BD34,CODIFICACION!$F$2:$F$500,0))),"⚠"))</f>
        <v/>
      </c>
      <c r="Z34" t="str">
        <f>IF(CAPTURA!BE34="","",IFERROR(IF(INDEX(CODIFICACION!$E$2:$E$500,MATCH("D3.14c|"&amp;CAPTURA!BE34,CODIFICACION!$F$2:$F$500,0))="sin dato","",INDEX(CODIFICACION!$E$2:$E$500,MATCH("D3.14c|"&amp;CAPTURA!BE34,CODIFICACION!$F$2:$F$500,0))),"⚠"))</f>
        <v/>
      </c>
      <c r="AA34" t="str">
        <f>IF(CAPTURA!BF34="","",IFERROR(IF(INDEX(CODIFICACION!$E$2:$E$500,MATCH("D3.14d|"&amp;CAPTURA!BF34,CODIFICACION!$F$2:$F$500,0))="sin dato","",INDEX(CODIFICACION!$E$2:$E$500,MATCH("D3.14d|"&amp;CAPTURA!BF34,CODIFICACION!$F$2:$F$500,0))),"⚠"))</f>
        <v/>
      </c>
      <c r="AB34" t="str">
        <f>IF(CAPTURA!BG34="","",IFERROR(IF(INDEX(CODIFICACION!$E$2:$E$500,MATCH("D3.14e|"&amp;CAPTURA!BG34,CODIFICACION!$F$2:$F$500,0))="sin dato","",INDEX(CODIFICACION!$E$2:$E$500,MATCH("D3.14e|"&amp;CAPTURA!BG34,CODIFICACION!$F$2:$F$500,0))),"⚠"))</f>
        <v/>
      </c>
      <c r="AC34" t="str">
        <f>IF(CAPTURA!BH34="","",IFERROR(IF(INDEX(CODIFICACION!$E$2:$E$500,MATCH("D3.14f|"&amp;CAPTURA!BH34,CODIFICACION!$F$2:$F$500,0))="sin dato","",INDEX(CODIFICACION!$E$2:$E$500,MATCH("D3.14f|"&amp;CAPTURA!BH34,CODIFICACION!$F$2:$F$500,0))),"⚠"))</f>
        <v/>
      </c>
      <c r="AD34" t="str">
        <f>IF(CAPTURA!BI34="","",IFERROR(IF(INDEX(CODIFICACION!$E$2:$E$500,MATCH("D3.14g|"&amp;CAPTURA!BI34,CODIFICACION!$F$2:$F$500,0))="sin dato","",INDEX(CODIFICACION!$E$2:$E$500,MATCH("D3.14g|"&amp;CAPTURA!BI34,CODIFICACION!$F$2:$F$500,0))),"⚠"))</f>
        <v/>
      </c>
      <c r="AE34" t="str">
        <f>IF(CAPTURA!BJ34="","",IFERROR(IF(INDEX(CODIFICACION!$E$2:$E$500,MATCH("D3.14h|"&amp;CAPTURA!BJ34,CODIFICACION!$F$2:$F$500,0))="sin dato","",INDEX(CODIFICACION!$E$2:$E$500,MATCH("D3.14h|"&amp;CAPTURA!BJ34,CODIFICACION!$F$2:$F$500,0))),"⚠"))</f>
        <v/>
      </c>
      <c r="AF34" t="str">
        <f>IF(CAPTURA!BK34="","",IFERROR(IF(INDEX(CODIFICACION!$E$2:$E$500,MATCH("D3.14i|"&amp;CAPTURA!BK34,CODIFICACION!$F$2:$F$500,0))="sin dato","",INDEX(CODIFICACION!$E$2:$E$500,MATCH("D3.14i|"&amp;CAPTURA!BK34,CODIFICACION!$F$2:$F$500,0))),"⚠"))</f>
        <v/>
      </c>
      <c r="AG34" t="str">
        <f>IF(CAPTURA!BL34="","",IFERROR(IF(INDEX(CODIFICACION!$E$2:$E$500,MATCH("D4.15|"&amp;CAPTURA!BL34,CODIFICACION!$F$2:$F$500,0))="sin dato","",INDEX(CODIFICACION!$E$2:$E$500,MATCH("D4.15|"&amp;CAPTURA!BL34,CODIFICACION!$F$2:$F$500,0))),"⚠"))</f>
        <v/>
      </c>
      <c r="AH34" t="str">
        <f>IF(CAPTURA!BM34="","",IF(AND(ISNUMBER(CAPTURA!BM34),CAPTURA!BM34&gt;=0,CAPTURA!BM34&lt;=4),CAPTURA!BM34*25,"⚠"))</f>
        <v/>
      </c>
      <c r="AI34" t="str">
        <f>IF(CAPTURA!BN34="","",IFERROR(IF(INDEX(CODIFICACION!$E$2:$E$500,MATCH("D4.17|"&amp;CAPTURA!BN34,CODIFICACION!$F$2:$F$500,0))="sin dato","",INDEX(CODIFICACION!$E$2:$E$500,MATCH("D4.17|"&amp;CAPTURA!BN34,CODIFICACION!$F$2:$F$500,0))),"⚠"))</f>
        <v/>
      </c>
      <c r="AJ34" t="str">
        <f>IF(CAPTURA!BO34="","",IFERROR(IF(INDEX(CODIFICACION!$E$2:$E$500,MATCH("D4.15a|"&amp;CAPTURA!BO34,CODIFICACION!$F$2:$F$500,0))="sin dato","",INDEX(CODIFICACION!$E$2:$E$500,MATCH("D4.15a|"&amp;CAPTURA!BO34,CODIFICACION!$F$2:$F$500,0))),"⚠"))</f>
        <v/>
      </c>
      <c r="AK34" t="str">
        <f>IF(CAPTURA!BP34="","",IF(AND(ISNUMBER(CAPTURA!BP34),CAPTURA!BP34&gt;=0,CAPTURA!BP34&lt;=4),CAPTURA!BP34*25,"⚠"))</f>
        <v/>
      </c>
      <c r="AL34" t="str">
        <f>IF(CAPTURA!BQ34="","",IF(AND(ISNUMBER(CAPTURA!BQ34),CAPTURA!BQ34&gt;=0,CAPTURA!BQ34&lt;=4),CAPTURA!BQ34*25,"⚠"))</f>
        <v/>
      </c>
      <c r="AM34" t="str">
        <f>IF(CAPTURA!BR34="","",IFERROR(IF(INDEX(CODIFICACION!$E$2:$E$500,MATCH("D5.18b|"&amp;CAPTURA!BR34,CODIFICACION!$F$2:$F$500,0))="sin dato","",INDEX(CODIFICACION!$E$2:$E$500,MATCH("D5.18b|"&amp;CAPTURA!BR34,CODIFICACION!$F$2:$F$500,0))),"⚠"))</f>
        <v/>
      </c>
      <c r="AN34" t="str">
        <f>IF(CAPTURA!BS34="","",IFERROR(IF(INDEX(CODIFICACION!$E$2:$E$500,MATCH("D5.19|"&amp;CAPTURA!BS34,CODIFICACION!$F$2:$F$500,0))="sin dato","",INDEX(CODIFICACION!$E$2:$E$500,MATCH("D5.19|"&amp;CAPTURA!BS34,CODIFICACION!$F$2:$F$500,0))),"⚠"))</f>
        <v/>
      </c>
      <c r="AO34" t="str">
        <f>IF(CAPTURA!BT34="","",MIN(100,ROUND((LEN(CAPTURA!BT34)-LEN(SUBSTITUTE(CAPTURA!BT34,";",""))+1)/7*100,1)))</f>
        <v/>
      </c>
      <c r="AP34" t="str">
        <f>IF(CAPTURA!BU34="","",IFERROR(IF(INDEX(CODIFICACION!$E$2:$E$500,MATCH("D5.20|"&amp;CAPTURA!BU34,CODIFICACION!$F$2:$F$500,0))="sin dato","",INDEX(CODIFICACION!$E$2:$E$500,MATCH("D5.20|"&amp;CAPTURA!BU34,CODIFICACION!$F$2:$F$500,0))),"⚠"))</f>
        <v/>
      </c>
      <c r="AQ34" t="str">
        <f>IF(CAPTURA!BV34="","",IFERROR(IF(INDEX(CODIFICACION!$E$2:$E$500,MATCH("D5.21|"&amp;CAPTURA!BV34,CODIFICACION!$F$2:$F$500,0))="sin dato","",INDEX(CODIFICACION!$E$2:$E$500,MATCH("D5.21|"&amp;CAPTURA!BV34,CODIFICACION!$F$2:$F$500,0))),"⚠"))</f>
        <v/>
      </c>
      <c r="AR34" t="str">
        <f>IF(CAPTURA!BW34="","",IFERROR(IF(INDEX(CODIFICACION!$E$2:$E$500,MATCH("D5.21a|"&amp;CAPTURA!BW34,CODIFICACION!$F$2:$F$500,0))="sin dato","",INDEX(CODIFICACION!$E$2:$E$500,MATCH("D5.21a|"&amp;CAPTURA!BW34,CODIFICACION!$F$2:$F$500,0))),"⚠"))</f>
        <v/>
      </c>
      <c r="AS34" t="str">
        <f>IF(CAPTURA!BX34="","",IFERROR(IF(INDEX(CODIFICACION!$E$2:$E$500,MATCH("D5.21b|"&amp;CAPTURA!BX34,CODIFICACION!$F$2:$F$500,0))="sin dato","",INDEX(CODIFICACION!$E$2:$E$500,MATCH("D5.21b|"&amp;CAPTURA!BX34,CODIFICACION!$F$2:$F$500,0))),"⚠"))</f>
        <v/>
      </c>
      <c r="AT34" t="str">
        <f>IF(CAPTURA!BY34="","",IFERROR(IF(INDEX(CODIFICACION!$E$2:$E$500,MATCH("D6.22|"&amp;CAPTURA!BY34,CODIFICACION!$F$2:$F$500,0))="sin dato","",INDEX(CODIFICACION!$E$2:$E$500,MATCH("D6.22|"&amp;CAPTURA!BY34,CODIFICACION!$F$2:$F$500,0))),"⚠"))</f>
        <v/>
      </c>
      <c r="AU34" t="str">
        <f>IF(CAPTURA!BZ34="","",IFERROR(IF(INDEX(CODIFICACION!$E$2:$E$500,MATCH("D6.22a|"&amp;CAPTURA!BZ34,CODIFICACION!$F$2:$F$500,0))="sin dato","",INDEX(CODIFICACION!$E$2:$E$500,MATCH("D6.22a|"&amp;CAPTURA!BZ34,CODIFICACION!$F$2:$F$500,0))),"⚠"))</f>
        <v/>
      </c>
      <c r="AV34" t="str">
        <f>IF(CAPTURA!CA34="","",IFERROR(IF(INDEX(CODIFICACION!$E$2:$E$500,MATCH("D6.22b|"&amp;CAPTURA!CA34,CODIFICACION!$F$2:$F$500,0))="sin dato","",INDEX(CODIFICACION!$E$2:$E$500,MATCH("D6.22b|"&amp;CAPTURA!CA34,CODIFICACION!$F$2:$F$500,0))),"⚠"))</f>
        <v/>
      </c>
      <c r="AW34" t="str">
        <f>IF(CAPTURA!CB34="","",IFERROR(IF(INDEX(CODIFICACION!$E$2:$E$500,MATCH("D6.23|"&amp;CAPTURA!CB34,CODIFICACION!$F$2:$F$500,0))="sin dato","",INDEX(CODIFICACION!$E$2:$E$500,MATCH("D6.23|"&amp;CAPTURA!CB34,CODIFICACION!$F$2:$F$500,0))),"⚠"))</f>
        <v/>
      </c>
      <c r="AX34" t="str">
        <f>IF(CAPTURA!CC34="","",IFERROR(IF(INDEX(CODIFICACION!$E$2:$E$500,MATCH("D6.24|"&amp;CAPTURA!CC34,CODIFICACION!$F$2:$F$500,0))="sin dato","",INDEX(CODIFICACION!$E$2:$E$500,MATCH("D6.24|"&amp;CAPTURA!CC34,CODIFICACION!$F$2:$F$500,0))),"⚠"))</f>
        <v/>
      </c>
      <c r="AY34" t="str">
        <f>IF(CAPTURA!CD34="","",IFERROR(IF(INDEX(CODIFICACION!$E$2:$E$500,MATCH("D6.25|"&amp;CAPTURA!CD34,CODIFICACION!$F$2:$F$500,0))="sin dato","",INDEX(CODIFICACION!$E$2:$E$500,MATCH("D6.25|"&amp;CAPTURA!CD34,CODIFICACION!$F$2:$F$500,0))),"⚠"))</f>
        <v/>
      </c>
      <c r="AZ34" t="str">
        <f>IF(CAPTURA!CE34="","",IFERROR(IF(INDEX(CODIFICACION!$E$2:$E$500,MATCH("D6.25a|"&amp;CAPTURA!CE34,CODIFICACION!$F$2:$F$500,0))="sin dato","",INDEX(CODIFICACION!$E$2:$E$500,MATCH("D6.25a|"&amp;CAPTURA!CE34,CODIFICACION!$F$2:$F$500,0))),"⚠"))</f>
        <v/>
      </c>
      <c r="BA34" t="str">
        <f>IF(CAPTURA!CF34="","",IFERROR(IF(INDEX(CODIFICACION!$E$2:$E$500,MATCH("D6.25b|"&amp;CAPTURA!CF34,CODIFICACION!$F$2:$F$500,0))="sin dato","",INDEX(CODIFICACION!$E$2:$E$500,MATCH("D6.25b|"&amp;CAPTURA!CF34,CODIFICACION!$F$2:$F$500,0))),"⚠"))</f>
        <v/>
      </c>
      <c r="BB34" t="str">
        <f>IF(CAPTURA!CG34="","",IFERROR(IF(INDEX(CODIFICACION!$E$2:$E$500,MATCH("D6.22c|"&amp;CAPTURA!CG34,CODIFICACION!$F$2:$F$500,0))="sin dato","",INDEX(CODIFICACION!$E$2:$E$500,MATCH("D6.22c|"&amp;CAPTURA!CG34,CODIFICACION!$F$2:$F$500,0))),"⚠"))</f>
        <v/>
      </c>
      <c r="BC34" t="str">
        <f>IF(CAPTURA!CH34="","",IFERROR(IF(INDEX(CODIFICACION!$E$2:$E$500,MATCH("D7.26|"&amp;CAPTURA!CH34,CODIFICACION!$F$2:$F$500,0))="sin dato","",INDEX(CODIFICACION!$E$2:$E$500,MATCH("D7.26|"&amp;CAPTURA!CH34,CODIFICACION!$F$2:$F$500,0))),"⚠"))</f>
        <v/>
      </c>
      <c r="BD34" t="str">
        <f>IF(CAPTURA!CI34="","",IFERROR(IF(INDEX(CODIFICACION!$E$2:$E$500,MATCH("D7.27|"&amp;CAPTURA!CI34,CODIFICACION!$F$2:$F$500,0))="sin dato","",INDEX(CODIFICACION!$E$2:$E$500,MATCH("D7.27|"&amp;CAPTURA!CI34,CODIFICACION!$F$2:$F$500,0))),"⚠"))</f>
        <v/>
      </c>
      <c r="BE34" t="str">
        <f>IF(CAPTURA!CJ34="","",IFERROR(IF(INDEX(CODIFICACION!$E$2:$E$500,MATCH("D7.28|"&amp;CAPTURA!CJ34,CODIFICACION!$F$2:$F$500,0))="sin dato","",INDEX(CODIFICACION!$E$2:$E$500,MATCH("D7.28|"&amp;CAPTURA!CJ34,CODIFICACION!$F$2:$F$500,0))),"⚠"))</f>
        <v/>
      </c>
      <c r="BF34" t="str">
        <f>IF(CAPTURA!CK34="","",IFERROR(IF(INDEX(CODIFICACION!$E$2:$E$500,MATCH("D7.28b|"&amp;CAPTURA!CK34,CODIFICACION!$F$2:$F$500,0))="sin dato","",INDEX(CODIFICACION!$E$2:$E$500,MATCH("D7.28b|"&amp;CAPTURA!CK34,CODIFICACION!$F$2:$F$500,0))),"⚠"))</f>
        <v/>
      </c>
      <c r="BG34" t="str">
        <f>IF(CAPTURA!CL34="","",MIN(100,ROUND((LEN(CAPTURA!CL34)-LEN(SUBSTITUTE(CAPTURA!CL34,";",""))+1)/8*100,1)))</f>
        <v/>
      </c>
      <c r="BH34" t="str">
        <f>IF(CAPTURA!CM34="","",IFERROR(IF(INDEX(CODIFICACION!$E$2:$E$500,MATCH("D7.26a|"&amp;CAPTURA!CM34,CODIFICACION!$F$2:$F$500,0))="sin dato","",INDEX(CODIFICACION!$E$2:$E$500,MATCH("D7.26a|"&amp;CAPTURA!CM34,CODIFICACION!$F$2:$F$500,0))),"⚠"))</f>
        <v/>
      </c>
      <c r="BI34" t="str">
        <f>IF(CAPTURA!CN34="","",IFERROR(IF(INDEX(CODIFICACION!$E$2:$E$500,MATCH("D7.26b|"&amp;CAPTURA!CN34,CODIFICACION!$F$2:$F$500,0))="sin dato","",INDEX(CODIFICACION!$E$2:$E$500,MATCH("D7.26b|"&amp;CAPTURA!CN34,CODIFICACION!$F$2:$F$500,0))),"⚠"))</f>
        <v/>
      </c>
      <c r="BJ34" t="str">
        <f>IF(CAPTURA!CO34="","",IF(AND(ISNUMBER(CAPTURA!CO34),CAPTURA!CO34&gt;=0,CAPTURA!CO34&lt;=4),CAPTURA!CO34*25,"⚠"))</f>
        <v/>
      </c>
      <c r="BK34" t="str">
        <f>IF(CAPTURA!CP34="","",IF(ISNUMBER(CAPTURA!CP34),MAX(0,MIN(100,CAPTURA!CP34)),"⚠"))</f>
        <v/>
      </c>
      <c r="BL34" t="str">
        <f>IF(CAPTURA!CQ34="","",IFERROR(IF(INDEX(CODIFICACION!$E$2:$E$500,MATCH("D8.31|"&amp;CAPTURA!CQ34,CODIFICACION!$F$2:$F$500,0))="sin dato","",INDEX(CODIFICACION!$E$2:$E$500,MATCH("D8.31|"&amp;CAPTURA!CQ34,CODIFICACION!$F$2:$F$500,0))),"⚠"))</f>
        <v/>
      </c>
      <c r="BM34" t="str">
        <f>IF(CAPTURA!CR34="","",IFERROR(IF(INDEX(CODIFICACION!$E$2:$E$500,MATCH("D8.32|"&amp;CAPTURA!CR34,CODIFICACION!$F$2:$F$500,0))="sin dato","",INDEX(CODIFICACION!$E$2:$E$500,MATCH("D8.32|"&amp;CAPTURA!CR34,CODIFICACION!$F$2:$F$500,0))),"⚠"))</f>
        <v/>
      </c>
      <c r="BN34" t="str">
        <f>IF(CAPTURA!CS34="","",IFERROR(IF(INDEX(CODIFICACION!$E$2:$E$500,MATCH("D9.33|"&amp;CAPTURA!CS34,CODIFICACION!$F$2:$F$500,0))="sin dato","",INDEX(CODIFICACION!$E$2:$E$500,MATCH("D9.33|"&amp;CAPTURA!CS34,CODIFICACION!$F$2:$F$500,0))),"⚠"))</f>
        <v/>
      </c>
      <c r="BO34" t="str">
        <f>IF(CAPTURA!CT34="","",IFERROR(IF(INDEX(CODIFICACION!$E$2:$E$500,MATCH("D9.34|"&amp;CAPTURA!CT34,CODIFICACION!$F$2:$F$500,0))="sin dato","",INDEX(CODIFICACION!$E$2:$E$500,MATCH("D9.34|"&amp;CAPTURA!CT34,CODIFICACION!$F$2:$F$500,0))),"⚠"))</f>
        <v/>
      </c>
      <c r="BP34" t="str">
        <f>IF(CAPTURA!CU34="","",IFERROR(IF(INDEX(CODIFICACION!$E$2:$E$500,MATCH("D9.35|"&amp;CAPTURA!CU34,CODIFICACION!$F$2:$F$500,0))="sin dato","",INDEX(CODIFICACION!$E$2:$E$500,MATCH("D9.35|"&amp;CAPTURA!CU34,CODIFICACION!$F$2:$F$500,0))),"⚠"))</f>
        <v/>
      </c>
      <c r="BQ34" t="str">
        <f>IF(CAPTURA!CV34="","",IFERROR(IF(INDEX(CODIFICACION!$E$2:$E$500,MATCH("D10.36|"&amp;CAPTURA!CV34,CODIFICACION!$F$2:$F$500,0))="sin dato","",INDEX(CODIFICACION!$E$2:$E$500,MATCH("D10.36|"&amp;CAPTURA!CV34,CODIFICACION!$F$2:$F$500,0))),"⚠"))</f>
        <v/>
      </c>
      <c r="BR34" t="str">
        <f>IF(CAPTURA!CW34="","",IFERROR(IF(INDEX(CODIFICACION!$E$2:$E$500,MATCH("D10.37|"&amp;CAPTURA!CW34,CODIFICACION!$F$2:$F$500,0))="sin dato","",INDEX(CODIFICACION!$E$2:$E$500,MATCH("D10.37|"&amp;CAPTURA!CW34,CODIFICACION!$F$2:$F$500,0))),"⚠"))</f>
        <v/>
      </c>
      <c r="BS34" t="str">
        <f>IF(CAPTURA!CX34="","",IFERROR(IF(INDEX(CODIFICACION!$E$2:$E$500,MATCH("D10.36a|"&amp;CAPTURA!CX34,CODIFICACION!$F$2:$F$500,0))="sin dato","",INDEX(CODIFICACION!$E$2:$E$500,MATCH("D10.36a|"&amp;CAPTURA!CX34,CODIFICACION!$F$2:$F$500,0))),"⚠"))</f>
        <v/>
      </c>
      <c r="BT34" t="str">
        <f>IF(CAPTURA!CY34="","",IF(ISNUMBER(SEARCH("Ninguno",CAPTURA!CY34)),0,MIN(100,ROUND((LEN(CAPTURA!CY34)-LEN(SUBSTITUTE(CAPTURA!CY34,";",""))+1)/6*100,1))))</f>
        <v/>
      </c>
      <c r="BU34" t="str">
        <f>IF(CAPTURA!DA34="","",IFERROR(IF(INDEX(CODIFICACION!$E$2:$E$500,MATCH("D11.39a|"&amp;CAPTURA!DA34,CODIFICACION!$F$2:$F$500,0))="sin dato","",INDEX(CODIFICACION!$E$2:$E$500,MATCH("D11.39a|"&amp;CAPTURA!DA34,CODIFICACION!$F$2:$F$500,0))),"⚠"))</f>
        <v/>
      </c>
      <c r="BV34" t="str">
        <f>IF(CAPTURA!DB34="","",IFERROR(IF(INDEX(CODIFICACION!$E$2:$E$500,MATCH("D12.42|"&amp;CAPTURA!DB34,CODIFICACION!$F$2:$F$500,0))="sin dato","",INDEX(CODIFICACION!$E$2:$E$500,MATCH("D12.42|"&amp;CAPTURA!DB34,CODIFICACION!$F$2:$F$500,0))),"⚠"))</f>
        <v/>
      </c>
      <c r="BW34" t="str">
        <f>IF(CAPTURA!DC34="","",IFERROR(IF(INDEX(CODIFICACION!$E$2:$E$500,MATCH("D13.45|"&amp;CAPTURA!DC34,CODIFICACION!$F$2:$F$500,0))="sin dato","",INDEX(CODIFICACION!$E$2:$E$500,MATCH("D13.45|"&amp;CAPTURA!DC34,CODIFICACION!$F$2:$F$500,0))),"⚠"))</f>
        <v/>
      </c>
      <c r="BX34" t="str">
        <f>IF(CAPTURA!DD34="","",IFERROR(IF(INDEX(CODIFICACION!$E$2:$E$500,MATCH("D14.51|"&amp;CAPTURA!DD34,CODIFICACION!$F$2:$F$500,0))="sin dato","",INDEX(CODIFICACION!$E$2:$E$500,MATCH("D14.51|"&amp;CAPTURA!DD34,CODIFICACION!$F$2:$F$500,0))),"⚠"))</f>
        <v/>
      </c>
      <c r="BY34" t="str">
        <f>IF(CAPTURA!DE34="","",IFERROR(IF(INDEX(CODIFICACION!$E$2:$E$500,MATCH("D15.58|"&amp;CAPTURA!DE34,CODIFICACION!$F$2:$F$500,0))="sin dato","",INDEX(CODIFICACION!$E$2:$E$500,MATCH("D15.58|"&amp;CAPTURA!DE34,CODIFICACION!$F$2:$F$500,0))),"⚠"))</f>
        <v/>
      </c>
      <c r="BZ34" t="str">
        <f>IF(CAPTURA!DF34="","",IFERROR(IF(INDEX(CODIFICACION!$E$2:$E$500,MATCH("PP1|"&amp;CAPTURA!DF34,CODIFICACION!$F$2:$F$500,0))="sin dato","",INDEX(CODIFICACION!$E$2:$E$500,MATCH("PP1|"&amp;CAPTURA!DF34,CODIFICACION!$F$2:$F$500,0))),"⚠"))</f>
        <v/>
      </c>
      <c r="CA34" t="str">
        <f>IF(CAPTURA!DG34="","",IFERROR(IF(INDEX(CODIFICACION!$E$2:$E$500,MATCH("PP2|"&amp;CAPTURA!DG34,CODIFICACION!$F$2:$F$500,0))="sin dato","",INDEX(CODIFICACION!$E$2:$E$500,MATCH("PP2|"&amp;CAPTURA!DG34,CODIFICACION!$F$2:$F$500,0))),"⚠"))</f>
        <v/>
      </c>
      <c r="CB34" t="str">
        <f t="shared" si="0"/>
        <v/>
      </c>
      <c r="CC34" t="str">
        <f t="shared" si="1"/>
        <v/>
      </c>
      <c r="CD34" t="str">
        <f t="shared" si="2"/>
        <v/>
      </c>
      <c r="CE34" t="str">
        <f t="shared" si="3"/>
        <v/>
      </c>
      <c r="CF34" t="str">
        <f t="shared" si="4"/>
        <v/>
      </c>
      <c r="CG34" t="str">
        <f t="shared" si="5"/>
        <v/>
      </c>
      <c r="CH34" t="str">
        <f t="shared" si="6"/>
        <v/>
      </c>
      <c r="CI34" t="str">
        <f t="shared" si="7"/>
        <v/>
      </c>
      <c r="CJ34" t="str">
        <f t="shared" si="8"/>
        <v/>
      </c>
      <c r="CK34" t="str">
        <f t="shared" si="9"/>
        <v/>
      </c>
      <c r="CL34" t="str">
        <f t="shared" si="10"/>
        <v/>
      </c>
    </row>
    <row r="35" spans="1:90" x14ac:dyDescent="0.3">
      <c r="A35">
        <f>CAPTURA!A35</f>
        <v>20452774705</v>
      </c>
      <c r="B35">
        <f>CAPTURA!C35</f>
        <v>0</v>
      </c>
      <c r="C35" t="str">
        <f>IF(CAPTURA!M35="","",ROUND((ISNUMBER(SEARCH("Alemania",CAPTURA!M35))+ISNUMBER(SEARCH("Bélgica",CAPTURA!M35))+ISNUMBER(SEARCH("Países Bajos",CAPTURA!M35))+ISNUMBER(SEARCH("Francia",CAPTURA!M35))+ISNUMBER(SEARCH("Italia",CAPTURA!M35))+ISNUMBER(SEARCH("España",CAPTURA!M35))+ISNUMBER(SEARCH("Suecia",CAPTURA!M35))+ISNUMBER(SEARCH("Dinamarca",CAPTURA!M35)))/((LEN(CAPTURA!M35)-LEN(SUBSTITUTE(CAPTURA!M35,";","")))+1)*100,1))</f>
        <v/>
      </c>
      <c r="D35" t="str">
        <f>IF(CAPTURA!AE35="","",IFERROR(IF(INDEX(CODIFICACION!$E$2:$E$500,MATCH("P8|"&amp;CAPTURA!AE35,CODIFICACION!$F$2:$F$500,0))="sin dato","",INDEX(CODIFICACION!$E$2:$E$500,MATCH("P8|"&amp;CAPTURA!AE35,CODIFICACION!$F$2:$F$500,0))),"⚠"))</f>
        <v/>
      </c>
      <c r="E35" t="str">
        <f>IF(CAPTURA!AG35="","",IFERROR(IF(INDEX(CODIFICACION!$E$2:$E$500,MATCH("P10|"&amp;CAPTURA!AG35,CODIFICACION!$F$2:$F$500,0))="sin dato","",INDEX(CODIFICACION!$E$2:$E$500,MATCH("P10|"&amp;CAPTURA!AG35,CODIFICACION!$F$2:$F$500,0))),"⚠"))</f>
        <v/>
      </c>
      <c r="F35" t="str">
        <f>IF(CAPTURA!AJ35="","",IFERROR(IF(INDEX(CODIFICACION!$E$2:$E$500,MATCH("P13|"&amp;CAPTURA!AJ35,CODIFICACION!$F$2:$F$500,0))="sin dato","",INDEX(CODIFICACION!$E$2:$E$500,MATCH("P13|"&amp;CAPTURA!AJ35,CODIFICACION!$F$2:$F$500,0))),"⚠"))</f>
        <v/>
      </c>
      <c r="G35" t="str">
        <f>IF(CAPTURA!AK35="","",IFERROR(IF(INDEX(CODIFICACION!$E$2:$E$500,MATCH("P14|"&amp;CAPTURA!AK35,CODIFICACION!$F$2:$F$500,0))="sin dato","",INDEX(CODIFICACION!$E$2:$E$500,MATCH("P14|"&amp;CAPTURA!AK35,CODIFICACION!$F$2:$F$500,0))),"⚠"))</f>
        <v/>
      </c>
      <c r="H35" t="str">
        <f>IF(CAPTURA!AL35="","",IFERROR(IF(INDEX(CODIFICACION!$E$2:$E$500,MATCH("D1.1|"&amp;CAPTURA!AL35,CODIFICACION!$F$2:$F$500,0))="sin dato","",INDEX(CODIFICACION!$E$2:$E$500,MATCH("D1.1|"&amp;CAPTURA!AL35,CODIFICACION!$F$2:$F$500,0))),"⚠"))</f>
        <v/>
      </c>
      <c r="I35" t="str">
        <f>IF(CAPTURA!AN35="","",IFERROR(IF(INDEX(CODIFICACION!$E$2:$E$500,MATCH("D1.3|"&amp;CAPTURA!AN35,CODIFICACION!$F$2:$F$500,0))="sin dato","",INDEX(CODIFICACION!$E$2:$E$500,MATCH("D1.3|"&amp;CAPTURA!AN35,CODIFICACION!$F$2:$F$500,0))),"⚠"))</f>
        <v/>
      </c>
      <c r="J35" t="str">
        <f>IF(CAPTURA!AO35="","",IFERROR(IF(INDEX(CODIFICACION!$E$2:$E$500,MATCH("D1.4|"&amp;CAPTURA!AO35,CODIFICACION!$F$2:$F$500,0))="sin dato","",INDEX(CODIFICACION!$E$2:$E$500,MATCH("D1.4|"&amp;CAPTURA!AO35,CODIFICACION!$F$2:$F$500,0))),"⚠"))</f>
        <v/>
      </c>
      <c r="K35" t="str">
        <f>IF(CAPTURA!AP35="","",IFERROR(IF(INDEX(CODIFICACION!$E$2:$E$500,MATCH("D1.3a|"&amp;CAPTURA!AP35,CODIFICACION!$F$2:$F$500,0))="sin dato","",INDEX(CODIFICACION!$E$2:$E$500,MATCH("D1.3a|"&amp;CAPTURA!AP35,CODIFICACION!$F$2:$F$500,0))),"⚠"))</f>
        <v/>
      </c>
      <c r="L35" t="str">
        <f>IF(CAPTURA!AQ35="","",IF(AND(ISNUMBER(CAPTURA!AQ35),CAPTURA!AQ35&gt;=0,CAPTURA!AQ35&lt;=4),CAPTURA!AQ35*25,"⚠"))</f>
        <v/>
      </c>
      <c r="M35" t="str">
        <f>IF(CAPTURA!AR35="","",IF(ISNUMBER(CAPTURA!AR35),MAX(0,MIN(100,CAPTURA!AR35)),"⚠"))</f>
        <v/>
      </c>
      <c r="N35" t="str">
        <f>IF(CAPTURA!AS35="","",IF(AND(ISNUMBER(CAPTURA!AS35),CAPTURA!AS35&gt;=0,CAPTURA!AS35&lt;=4),CAPTURA!AS35*25,"⚠"))</f>
        <v/>
      </c>
      <c r="O35" t="str">
        <f>IF(CAPTURA!AT35="","",IFERROR(IF(INDEX(CODIFICACION!$E$2:$E$500,MATCH("D2.8|"&amp;CAPTURA!AT35,CODIFICACION!$F$2:$F$500,0))="sin dato","",INDEX(CODIFICACION!$E$2:$E$500,MATCH("D2.8|"&amp;CAPTURA!AT35,CODIFICACION!$F$2:$F$500,0))),"⚠"))</f>
        <v/>
      </c>
      <c r="P35" t="str">
        <f>IF(CAPTURA!AU35="","",IFERROR(IF(INDEX(CODIFICACION!$E$2:$E$500,MATCH("D2.9|"&amp;CAPTURA!AU35,CODIFICACION!$F$2:$F$500,0))="sin dato","",INDEX(CODIFICACION!$E$2:$E$500,MATCH("D2.9|"&amp;CAPTURA!AU35,CODIFICACION!$F$2:$F$500,0))),"⚠"))</f>
        <v/>
      </c>
      <c r="Q35" t="str">
        <f>IF(CAPTURA!AV35="","",IFERROR(IF(INDEX(CODIFICACION!$E$2:$E$500,MATCH("D2.10|"&amp;CAPTURA!AV35,CODIFICACION!$F$2:$F$500,0))="sin dato","",INDEX(CODIFICACION!$E$2:$E$500,MATCH("D2.10|"&amp;CAPTURA!AV35,CODIFICACION!$F$2:$F$500,0))),"⚠"))</f>
        <v/>
      </c>
      <c r="R35" t="str">
        <f>IF(CAPTURA!AW35="","",IFERROR(IF(INDEX(CODIFICACION!$E$2:$E$500,MATCH("D2.5a|"&amp;CAPTURA!AW35,CODIFICACION!$F$2:$F$500,0))="sin dato","",INDEX(CODIFICACION!$E$2:$E$500,MATCH("D2.5a|"&amp;CAPTURA!AW35,CODIFICACION!$F$2:$F$500,0))),"⚠"))</f>
        <v/>
      </c>
      <c r="S35" t="str">
        <f>IF(CAPTURA!AX35="","",IFERROR(IF(INDEX(CODIFICACION!$E$2:$E$500,MATCH("D2.5b|"&amp;CAPTURA!AX35,CODIFICACION!$F$2:$F$500,0))="sin dato","",INDEX(CODIFICACION!$E$2:$E$500,MATCH("D2.5b|"&amp;CAPTURA!AX35,CODIFICACION!$F$2:$F$500,0))),"⚠"))</f>
        <v/>
      </c>
      <c r="T35" t="str">
        <f>IF(CAPTURA!AY35="","",IF(ISNUMBER(CAPTURA!AY35),MAX(0,MIN(100,CAPTURA!AY35)),"⚠"))</f>
        <v/>
      </c>
      <c r="U35" t="str">
        <f>IF(CAPTURA!AZ35="","",IFERROR(IF(INDEX(CODIFICACION!$E$2:$E$500,MATCH("D3.12|"&amp;CAPTURA!AZ35,CODIFICACION!$F$2:$F$500,0))="sin dato","",INDEX(CODIFICACION!$E$2:$E$500,MATCH("D3.12|"&amp;CAPTURA!AZ35,CODIFICACION!$F$2:$F$500,0))),"⚠"))</f>
        <v/>
      </c>
      <c r="V35" t="str">
        <f>IF(CAPTURA!BA35="","",IF(AND(ISNUMBER(CAPTURA!BA35),CAPTURA!BA35&gt;=0,CAPTURA!BA35&lt;=4),CAPTURA!BA35*25,"⚠"))</f>
        <v/>
      </c>
      <c r="W35" t="str">
        <f>IF(CAPTURA!BB35="","",IFERROR(IF(INDEX(CODIFICACION!$E$2:$E$500,MATCH("D3.14|"&amp;CAPTURA!BB35,CODIFICACION!$F$2:$F$500,0))="sin dato","",INDEX(CODIFICACION!$E$2:$E$500,MATCH("D3.14|"&amp;CAPTURA!BB35,CODIFICACION!$F$2:$F$500,0))),"⚠"))</f>
        <v/>
      </c>
      <c r="X35" t="str">
        <f>IF(CAPTURA!BC35="","",IFERROR(IF(INDEX(CODIFICACION!$E$2:$E$500,MATCH("D3.14a|"&amp;CAPTURA!BC35,CODIFICACION!$F$2:$F$500,0))="sin dato","",INDEX(CODIFICACION!$E$2:$E$500,MATCH("D3.14a|"&amp;CAPTURA!BC35,CODIFICACION!$F$2:$F$500,0))),"⚠"))</f>
        <v/>
      </c>
      <c r="Y35" t="str">
        <f>IF(CAPTURA!BD35="","",IFERROR(IF(INDEX(CODIFICACION!$E$2:$E$500,MATCH("D3.14b|"&amp;CAPTURA!BD35,CODIFICACION!$F$2:$F$500,0))="sin dato","",INDEX(CODIFICACION!$E$2:$E$500,MATCH("D3.14b|"&amp;CAPTURA!BD35,CODIFICACION!$F$2:$F$500,0))),"⚠"))</f>
        <v/>
      </c>
      <c r="Z35" t="str">
        <f>IF(CAPTURA!BE35="","",IFERROR(IF(INDEX(CODIFICACION!$E$2:$E$500,MATCH("D3.14c|"&amp;CAPTURA!BE35,CODIFICACION!$F$2:$F$500,0))="sin dato","",INDEX(CODIFICACION!$E$2:$E$500,MATCH("D3.14c|"&amp;CAPTURA!BE35,CODIFICACION!$F$2:$F$500,0))),"⚠"))</f>
        <v/>
      </c>
      <c r="AA35" t="str">
        <f>IF(CAPTURA!BF35="","",IFERROR(IF(INDEX(CODIFICACION!$E$2:$E$500,MATCH("D3.14d|"&amp;CAPTURA!BF35,CODIFICACION!$F$2:$F$500,0))="sin dato","",INDEX(CODIFICACION!$E$2:$E$500,MATCH("D3.14d|"&amp;CAPTURA!BF35,CODIFICACION!$F$2:$F$500,0))),"⚠"))</f>
        <v/>
      </c>
      <c r="AB35" t="str">
        <f>IF(CAPTURA!BG35="","",IFERROR(IF(INDEX(CODIFICACION!$E$2:$E$500,MATCH("D3.14e|"&amp;CAPTURA!BG35,CODIFICACION!$F$2:$F$500,0))="sin dato","",INDEX(CODIFICACION!$E$2:$E$500,MATCH("D3.14e|"&amp;CAPTURA!BG35,CODIFICACION!$F$2:$F$500,0))),"⚠"))</f>
        <v/>
      </c>
      <c r="AC35" t="str">
        <f>IF(CAPTURA!BH35="","",IFERROR(IF(INDEX(CODIFICACION!$E$2:$E$500,MATCH("D3.14f|"&amp;CAPTURA!BH35,CODIFICACION!$F$2:$F$500,0))="sin dato","",INDEX(CODIFICACION!$E$2:$E$500,MATCH("D3.14f|"&amp;CAPTURA!BH35,CODIFICACION!$F$2:$F$500,0))),"⚠"))</f>
        <v/>
      </c>
      <c r="AD35" t="str">
        <f>IF(CAPTURA!BI35="","",IFERROR(IF(INDEX(CODIFICACION!$E$2:$E$500,MATCH("D3.14g|"&amp;CAPTURA!BI35,CODIFICACION!$F$2:$F$500,0))="sin dato","",INDEX(CODIFICACION!$E$2:$E$500,MATCH("D3.14g|"&amp;CAPTURA!BI35,CODIFICACION!$F$2:$F$500,0))),"⚠"))</f>
        <v/>
      </c>
      <c r="AE35" t="str">
        <f>IF(CAPTURA!BJ35="","",IFERROR(IF(INDEX(CODIFICACION!$E$2:$E$500,MATCH("D3.14h|"&amp;CAPTURA!BJ35,CODIFICACION!$F$2:$F$500,0))="sin dato","",INDEX(CODIFICACION!$E$2:$E$500,MATCH("D3.14h|"&amp;CAPTURA!BJ35,CODIFICACION!$F$2:$F$500,0))),"⚠"))</f>
        <v/>
      </c>
      <c r="AF35" t="str">
        <f>IF(CAPTURA!BK35="","",IFERROR(IF(INDEX(CODIFICACION!$E$2:$E$500,MATCH("D3.14i|"&amp;CAPTURA!BK35,CODIFICACION!$F$2:$F$500,0))="sin dato","",INDEX(CODIFICACION!$E$2:$E$500,MATCH("D3.14i|"&amp;CAPTURA!BK35,CODIFICACION!$F$2:$F$500,0))),"⚠"))</f>
        <v/>
      </c>
      <c r="AG35" t="str">
        <f>IF(CAPTURA!BL35="","",IFERROR(IF(INDEX(CODIFICACION!$E$2:$E$500,MATCH("D4.15|"&amp;CAPTURA!BL35,CODIFICACION!$F$2:$F$500,0))="sin dato","",INDEX(CODIFICACION!$E$2:$E$500,MATCH("D4.15|"&amp;CAPTURA!BL35,CODIFICACION!$F$2:$F$500,0))),"⚠"))</f>
        <v/>
      </c>
      <c r="AH35" t="str">
        <f>IF(CAPTURA!BM35="","",IF(AND(ISNUMBER(CAPTURA!BM35),CAPTURA!BM35&gt;=0,CAPTURA!BM35&lt;=4),CAPTURA!BM35*25,"⚠"))</f>
        <v/>
      </c>
      <c r="AI35" t="str">
        <f>IF(CAPTURA!BN35="","",IFERROR(IF(INDEX(CODIFICACION!$E$2:$E$500,MATCH("D4.17|"&amp;CAPTURA!BN35,CODIFICACION!$F$2:$F$500,0))="sin dato","",INDEX(CODIFICACION!$E$2:$E$500,MATCH("D4.17|"&amp;CAPTURA!BN35,CODIFICACION!$F$2:$F$500,0))),"⚠"))</f>
        <v/>
      </c>
      <c r="AJ35" t="str">
        <f>IF(CAPTURA!BO35="","",IFERROR(IF(INDEX(CODIFICACION!$E$2:$E$500,MATCH("D4.15a|"&amp;CAPTURA!BO35,CODIFICACION!$F$2:$F$500,0))="sin dato","",INDEX(CODIFICACION!$E$2:$E$500,MATCH("D4.15a|"&amp;CAPTURA!BO35,CODIFICACION!$F$2:$F$500,0))),"⚠"))</f>
        <v/>
      </c>
      <c r="AK35" t="str">
        <f>IF(CAPTURA!BP35="","",IF(AND(ISNUMBER(CAPTURA!BP35),CAPTURA!BP35&gt;=0,CAPTURA!BP35&lt;=4),CAPTURA!BP35*25,"⚠"))</f>
        <v/>
      </c>
      <c r="AL35" t="str">
        <f>IF(CAPTURA!BQ35="","",IF(AND(ISNUMBER(CAPTURA!BQ35),CAPTURA!BQ35&gt;=0,CAPTURA!BQ35&lt;=4),CAPTURA!BQ35*25,"⚠"))</f>
        <v/>
      </c>
      <c r="AM35" t="str">
        <f>IF(CAPTURA!BR35="","",IFERROR(IF(INDEX(CODIFICACION!$E$2:$E$500,MATCH("D5.18b|"&amp;CAPTURA!BR35,CODIFICACION!$F$2:$F$500,0))="sin dato","",INDEX(CODIFICACION!$E$2:$E$500,MATCH("D5.18b|"&amp;CAPTURA!BR35,CODIFICACION!$F$2:$F$500,0))),"⚠"))</f>
        <v/>
      </c>
      <c r="AN35" t="str">
        <f>IF(CAPTURA!BS35="","",IFERROR(IF(INDEX(CODIFICACION!$E$2:$E$500,MATCH("D5.19|"&amp;CAPTURA!BS35,CODIFICACION!$F$2:$F$500,0))="sin dato","",INDEX(CODIFICACION!$E$2:$E$500,MATCH("D5.19|"&amp;CAPTURA!BS35,CODIFICACION!$F$2:$F$500,0))),"⚠"))</f>
        <v/>
      </c>
      <c r="AO35" t="str">
        <f>IF(CAPTURA!BT35="","",MIN(100,ROUND((LEN(CAPTURA!BT35)-LEN(SUBSTITUTE(CAPTURA!BT35,";",""))+1)/7*100,1)))</f>
        <v/>
      </c>
      <c r="AP35" t="str">
        <f>IF(CAPTURA!BU35="","",IFERROR(IF(INDEX(CODIFICACION!$E$2:$E$500,MATCH("D5.20|"&amp;CAPTURA!BU35,CODIFICACION!$F$2:$F$500,0))="sin dato","",INDEX(CODIFICACION!$E$2:$E$500,MATCH("D5.20|"&amp;CAPTURA!BU35,CODIFICACION!$F$2:$F$500,0))),"⚠"))</f>
        <v/>
      </c>
      <c r="AQ35" t="str">
        <f>IF(CAPTURA!BV35="","",IFERROR(IF(INDEX(CODIFICACION!$E$2:$E$500,MATCH("D5.21|"&amp;CAPTURA!BV35,CODIFICACION!$F$2:$F$500,0))="sin dato","",INDEX(CODIFICACION!$E$2:$E$500,MATCH("D5.21|"&amp;CAPTURA!BV35,CODIFICACION!$F$2:$F$500,0))),"⚠"))</f>
        <v/>
      </c>
      <c r="AR35" t="str">
        <f>IF(CAPTURA!BW35="","",IFERROR(IF(INDEX(CODIFICACION!$E$2:$E$500,MATCH("D5.21a|"&amp;CAPTURA!BW35,CODIFICACION!$F$2:$F$500,0))="sin dato","",INDEX(CODIFICACION!$E$2:$E$500,MATCH("D5.21a|"&amp;CAPTURA!BW35,CODIFICACION!$F$2:$F$500,0))),"⚠"))</f>
        <v/>
      </c>
      <c r="AS35" t="str">
        <f>IF(CAPTURA!BX35="","",IFERROR(IF(INDEX(CODIFICACION!$E$2:$E$500,MATCH("D5.21b|"&amp;CAPTURA!BX35,CODIFICACION!$F$2:$F$500,0))="sin dato","",INDEX(CODIFICACION!$E$2:$E$500,MATCH("D5.21b|"&amp;CAPTURA!BX35,CODIFICACION!$F$2:$F$500,0))),"⚠"))</f>
        <v/>
      </c>
      <c r="AT35" t="str">
        <f>IF(CAPTURA!BY35="","",IFERROR(IF(INDEX(CODIFICACION!$E$2:$E$500,MATCH("D6.22|"&amp;CAPTURA!BY35,CODIFICACION!$F$2:$F$500,0))="sin dato","",INDEX(CODIFICACION!$E$2:$E$500,MATCH("D6.22|"&amp;CAPTURA!BY35,CODIFICACION!$F$2:$F$500,0))),"⚠"))</f>
        <v/>
      </c>
      <c r="AU35" t="str">
        <f>IF(CAPTURA!BZ35="","",IFERROR(IF(INDEX(CODIFICACION!$E$2:$E$500,MATCH("D6.22a|"&amp;CAPTURA!BZ35,CODIFICACION!$F$2:$F$500,0))="sin dato","",INDEX(CODIFICACION!$E$2:$E$500,MATCH("D6.22a|"&amp;CAPTURA!BZ35,CODIFICACION!$F$2:$F$500,0))),"⚠"))</f>
        <v/>
      </c>
      <c r="AV35" t="str">
        <f>IF(CAPTURA!CA35="","",IFERROR(IF(INDEX(CODIFICACION!$E$2:$E$500,MATCH("D6.22b|"&amp;CAPTURA!CA35,CODIFICACION!$F$2:$F$500,0))="sin dato","",INDEX(CODIFICACION!$E$2:$E$500,MATCH("D6.22b|"&amp;CAPTURA!CA35,CODIFICACION!$F$2:$F$500,0))),"⚠"))</f>
        <v/>
      </c>
      <c r="AW35" t="str">
        <f>IF(CAPTURA!CB35="","",IFERROR(IF(INDEX(CODIFICACION!$E$2:$E$500,MATCH("D6.23|"&amp;CAPTURA!CB35,CODIFICACION!$F$2:$F$500,0))="sin dato","",INDEX(CODIFICACION!$E$2:$E$500,MATCH("D6.23|"&amp;CAPTURA!CB35,CODIFICACION!$F$2:$F$500,0))),"⚠"))</f>
        <v/>
      </c>
      <c r="AX35" t="str">
        <f>IF(CAPTURA!CC35="","",IFERROR(IF(INDEX(CODIFICACION!$E$2:$E$500,MATCH("D6.24|"&amp;CAPTURA!CC35,CODIFICACION!$F$2:$F$500,0))="sin dato","",INDEX(CODIFICACION!$E$2:$E$500,MATCH("D6.24|"&amp;CAPTURA!CC35,CODIFICACION!$F$2:$F$500,0))),"⚠"))</f>
        <v/>
      </c>
      <c r="AY35" t="str">
        <f>IF(CAPTURA!CD35="","",IFERROR(IF(INDEX(CODIFICACION!$E$2:$E$500,MATCH("D6.25|"&amp;CAPTURA!CD35,CODIFICACION!$F$2:$F$500,0))="sin dato","",INDEX(CODIFICACION!$E$2:$E$500,MATCH("D6.25|"&amp;CAPTURA!CD35,CODIFICACION!$F$2:$F$500,0))),"⚠"))</f>
        <v/>
      </c>
      <c r="AZ35" t="str">
        <f>IF(CAPTURA!CE35="","",IFERROR(IF(INDEX(CODIFICACION!$E$2:$E$500,MATCH("D6.25a|"&amp;CAPTURA!CE35,CODIFICACION!$F$2:$F$500,0))="sin dato","",INDEX(CODIFICACION!$E$2:$E$500,MATCH("D6.25a|"&amp;CAPTURA!CE35,CODIFICACION!$F$2:$F$500,0))),"⚠"))</f>
        <v/>
      </c>
      <c r="BA35" t="str">
        <f>IF(CAPTURA!CF35="","",IFERROR(IF(INDEX(CODIFICACION!$E$2:$E$500,MATCH("D6.25b|"&amp;CAPTURA!CF35,CODIFICACION!$F$2:$F$500,0))="sin dato","",INDEX(CODIFICACION!$E$2:$E$500,MATCH("D6.25b|"&amp;CAPTURA!CF35,CODIFICACION!$F$2:$F$500,0))),"⚠"))</f>
        <v/>
      </c>
      <c r="BB35" t="str">
        <f>IF(CAPTURA!CG35="","",IFERROR(IF(INDEX(CODIFICACION!$E$2:$E$500,MATCH("D6.22c|"&amp;CAPTURA!CG35,CODIFICACION!$F$2:$F$500,0))="sin dato","",INDEX(CODIFICACION!$E$2:$E$500,MATCH("D6.22c|"&amp;CAPTURA!CG35,CODIFICACION!$F$2:$F$500,0))),"⚠"))</f>
        <v/>
      </c>
      <c r="BC35" t="str">
        <f>IF(CAPTURA!CH35="","",IFERROR(IF(INDEX(CODIFICACION!$E$2:$E$500,MATCH("D7.26|"&amp;CAPTURA!CH35,CODIFICACION!$F$2:$F$500,0))="sin dato","",INDEX(CODIFICACION!$E$2:$E$500,MATCH("D7.26|"&amp;CAPTURA!CH35,CODIFICACION!$F$2:$F$500,0))),"⚠"))</f>
        <v/>
      </c>
      <c r="BD35" t="str">
        <f>IF(CAPTURA!CI35="","",IFERROR(IF(INDEX(CODIFICACION!$E$2:$E$500,MATCH("D7.27|"&amp;CAPTURA!CI35,CODIFICACION!$F$2:$F$500,0))="sin dato","",INDEX(CODIFICACION!$E$2:$E$500,MATCH("D7.27|"&amp;CAPTURA!CI35,CODIFICACION!$F$2:$F$500,0))),"⚠"))</f>
        <v/>
      </c>
      <c r="BE35" t="str">
        <f>IF(CAPTURA!CJ35="","",IFERROR(IF(INDEX(CODIFICACION!$E$2:$E$500,MATCH("D7.28|"&amp;CAPTURA!CJ35,CODIFICACION!$F$2:$F$500,0))="sin dato","",INDEX(CODIFICACION!$E$2:$E$500,MATCH("D7.28|"&amp;CAPTURA!CJ35,CODIFICACION!$F$2:$F$500,0))),"⚠"))</f>
        <v/>
      </c>
      <c r="BF35" t="str">
        <f>IF(CAPTURA!CK35="","",IFERROR(IF(INDEX(CODIFICACION!$E$2:$E$500,MATCH("D7.28b|"&amp;CAPTURA!CK35,CODIFICACION!$F$2:$F$500,0))="sin dato","",INDEX(CODIFICACION!$E$2:$E$500,MATCH("D7.28b|"&amp;CAPTURA!CK35,CODIFICACION!$F$2:$F$500,0))),"⚠"))</f>
        <v/>
      </c>
      <c r="BG35" t="str">
        <f>IF(CAPTURA!CL35="","",MIN(100,ROUND((LEN(CAPTURA!CL35)-LEN(SUBSTITUTE(CAPTURA!CL35,";",""))+1)/8*100,1)))</f>
        <v/>
      </c>
      <c r="BH35" t="str">
        <f>IF(CAPTURA!CM35="","",IFERROR(IF(INDEX(CODIFICACION!$E$2:$E$500,MATCH("D7.26a|"&amp;CAPTURA!CM35,CODIFICACION!$F$2:$F$500,0))="sin dato","",INDEX(CODIFICACION!$E$2:$E$500,MATCH("D7.26a|"&amp;CAPTURA!CM35,CODIFICACION!$F$2:$F$500,0))),"⚠"))</f>
        <v/>
      </c>
      <c r="BI35" t="str">
        <f>IF(CAPTURA!CN35="","",IFERROR(IF(INDEX(CODIFICACION!$E$2:$E$500,MATCH("D7.26b|"&amp;CAPTURA!CN35,CODIFICACION!$F$2:$F$500,0))="sin dato","",INDEX(CODIFICACION!$E$2:$E$500,MATCH("D7.26b|"&amp;CAPTURA!CN35,CODIFICACION!$F$2:$F$500,0))),"⚠"))</f>
        <v/>
      </c>
      <c r="BJ35" t="str">
        <f>IF(CAPTURA!CO35="","",IF(AND(ISNUMBER(CAPTURA!CO35),CAPTURA!CO35&gt;=0,CAPTURA!CO35&lt;=4),CAPTURA!CO35*25,"⚠"))</f>
        <v/>
      </c>
      <c r="BK35" t="str">
        <f>IF(CAPTURA!CP35="","",IF(ISNUMBER(CAPTURA!CP35),MAX(0,MIN(100,CAPTURA!CP35)),"⚠"))</f>
        <v/>
      </c>
      <c r="BL35" t="str">
        <f>IF(CAPTURA!CQ35="","",IFERROR(IF(INDEX(CODIFICACION!$E$2:$E$500,MATCH("D8.31|"&amp;CAPTURA!CQ35,CODIFICACION!$F$2:$F$500,0))="sin dato","",INDEX(CODIFICACION!$E$2:$E$500,MATCH("D8.31|"&amp;CAPTURA!CQ35,CODIFICACION!$F$2:$F$500,0))),"⚠"))</f>
        <v/>
      </c>
      <c r="BM35" t="str">
        <f>IF(CAPTURA!CR35="","",IFERROR(IF(INDEX(CODIFICACION!$E$2:$E$500,MATCH("D8.32|"&amp;CAPTURA!CR35,CODIFICACION!$F$2:$F$500,0))="sin dato","",INDEX(CODIFICACION!$E$2:$E$500,MATCH("D8.32|"&amp;CAPTURA!CR35,CODIFICACION!$F$2:$F$500,0))),"⚠"))</f>
        <v/>
      </c>
      <c r="BN35" t="str">
        <f>IF(CAPTURA!CS35="","",IFERROR(IF(INDEX(CODIFICACION!$E$2:$E$500,MATCH("D9.33|"&amp;CAPTURA!CS35,CODIFICACION!$F$2:$F$500,0))="sin dato","",INDEX(CODIFICACION!$E$2:$E$500,MATCH("D9.33|"&amp;CAPTURA!CS35,CODIFICACION!$F$2:$F$500,0))),"⚠"))</f>
        <v/>
      </c>
      <c r="BO35" t="str">
        <f>IF(CAPTURA!CT35="","",IFERROR(IF(INDEX(CODIFICACION!$E$2:$E$500,MATCH("D9.34|"&amp;CAPTURA!CT35,CODIFICACION!$F$2:$F$500,0))="sin dato","",INDEX(CODIFICACION!$E$2:$E$500,MATCH("D9.34|"&amp;CAPTURA!CT35,CODIFICACION!$F$2:$F$500,0))),"⚠"))</f>
        <v/>
      </c>
      <c r="BP35" t="str">
        <f>IF(CAPTURA!CU35="","",IFERROR(IF(INDEX(CODIFICACION!$E$2:$E$500,MATCH("D9.35|"&amp;CAPTURA!CU35,CODIFICACION!$F$2:$F$500,0))="sin dato","",INDEX(CODIFICACION!$E$2:$E$500,MATCH("D9.35|"&amp;CAPTURA!CU35,CODIFICACION!$F$2:$F$500,0))),"⚠"))</f>
        <v/>
      </c>
      <c r="BQ35" t="str">
        <f>IF(CAPTURA!CV35="","",IFERROR(IF(INDEX(CODIFICACION!$E$2:$E$500,MATCH("D10.36|"&amp;CAPTURA!CV35,CODIFICACION!$F$2:$F$500,0))="sin dato","",INDEX(CODIFICACION!$E$2:$E$500,MATCH("D10.36|"&amp;CAPTURA!CV35,CODIFICACION!$F$2:$F$500,0))),"⚠"))</f>
        <v/>
      </c>
      <c r="BR35" t="str">
        <f>IF(CAPTURA!CW35="","",IFERROR(IF(INDEX(CODIFICACION!$E$2:$E$500,MATCH("D10.37|"&amp;CAPTURA!CW35,CODIFICACION!$F$2:$F$500,0))="sin dato","",INDEX(CODIFICACION!$E$2:$E$500,MATCH("D10.37|"&amp;CAPTURA!CW35,CODIFICACION!$F$2:$F$500,0))),"⚠"))</f>
        <v/>
      </c>
      <c r="BS35" t="str">
        <f>IF(CAPTURA!CX35="","",IFERROR(IF(INDEX(CODIFICACION!$E$2:$E$500,MATCH("D10.36a|"&amp;CAPTURA!CX35,CODIFICACION!$F$2:$F$500,0))="sin dato","",INDEX(CODIFICACION!$E$2:$E$500,MATCH("D10.36a|"&amp;CAPTURA!CX35,CODIFICACION!$F$2:$F$500,0))),"⚠"))</f>
        <v/>
      </c>
      <c r="BT35" t="str">
        <f>IF(CAPTURA!CY35="","",IF(ISNUMBER(SEARCH("Ninguno",CAPTURA!CY35)),0,MIN(100,ROUND((LEN(CAPTURA!CY35)-LEN(SUBSTITUTE(CAPTURA!CY35,";",""))+1)/6*100,1))))</f>
        <v/>
      </c>
      <c r="BU35" t="str">
        <f>IF(CAPTURA!DA35="","",IFERROR(IF(INDEX(CODIFICACION!$E$2:$E$500,MATCH("D11.39a|"&amp;CAPTURA!DA35,CODIFICACION!$F$2:$F$500,0))="sin dato","",INDEX(CODIFICACION!$E$2:$E$500,MATCH("D11.39a|"&amp;CAPTURA!DA35,CODIFICACION!$F$2:$F$500,0))),"⚠"))</f>
        <v/>
      </c>
      <c r="BV35" t="str">
        <f>IF(CAPTURA!DB35="","",IFERROR(IF(INDEX(CODIFICACION!$E$2:$E$500,MATCH("D12.42|"&amp;CAPTURA!DB35,CODIFICACION!$F$2:$F$500,0))="sin dato","",INDEX(CODIFICACION!$E$2:$E$500,MATCH("D12.42|"&amp;CAPTURA!DB35,CODIFICACION!$F$2:$F$500,0))),"⚠"))</f>
        <v/>
      </c>
      <c r="BW35" t="str">
        <f>IF(CAPTURA!DC35="","",IFERROR(IF(INDEX(CODIFICACION!$E$2:$E$500,MATCH("D13.45|"&amp;CAPTURA!DC35,CODIFICACION!$F$2:$F$500,0))="sin dato","",INDEX(CODIFICACION!$E$2:$E$500,MATCH("D13.45|"&amp;CAPTURA!DC35,CODIFICACION!$F$2:$F$500,0))),"⚠"))</f>
        <v/>
      </c>
      <c r="BX35" t="str">
        <f>IF(CAPTURA!DD35="","",IFERROR(IF(INDEX(CODIFICACION!$E$2:$E$500,MATCH("D14.51|"&amp;CAPTURA!DD35,CODIFICACION!$F$2:$F$500,0))="sin dato","",INDEX(CODIFICACION!$E$2:$E$500,MATCH("D14.51|"&amp;CAPTURA!DD35,CODIFICACION!$F$2:$F$500,0))),"⚠"))</f>
        <v/>
      </c>
      <c r="BY35" t="str">
        <f>IF(CAPTURA!DE35="","",IFERROR(IF(INDEX(CODIFICACION!$E$2:$E$500,MATCH("D15.58|"&amp;CAPTURA!DE35,CODIFICACION!$F$2:$F$500,0))="sin dato","",INDEX(CODIFICACION!$E$2:$E$500,MATCH("D15.58|"&amp;CAPTURA!DE35,CODIFICACION!$F$2:$F$500,0))),"⚠"))</f>
        <v/>
      </c>
      <c r="BZ35" t="str">
        <f>IF(CAPTURA!DF35="","",IFERROR(IF(INDEX(CODIFICACION!$E$2:$E$500,MATCH("PP1|"&amp;CAPTURA!DF35,CODIFICACION!$F$2:$F$500,0))="sin dato","",INDEX(CODIFICACION!$E$2:$E$500,MATCH("PP1|"&amp;CAPTURA!DF35,CODIFICACION!$F$2:$F$500,0))),"⚠"))</f>
        <v/>
      </c>
      <c r="CA35" t="str">
        <f>IF(CAPTURA!DG35="","",IFERROR(IF(INDEX(CODIFICACION!$E$2:$E$500,MATCH("PP2|"&amp;CAPTURA!DG35,CODIFICACION!$F$2:$F$500,0))="sin dato","",INDEX(CODIFICACION!$E$2:$E$500,MATCH("PP2|"&amp;CAPTURA!DG35,CODIFICACION!$F$2:$F$500,0))),"⚠"))</f>
        <v/>
      </c>
      <c r="CB35" t="str">
        <f t="shared" ref="CB35:CB66" si="11">IFERROR(AVERAGE(H35,I35,J35,K35),"")</f>
        <v/>
      </c>
      <c r="CC35" t="str">
        <f t="shared" ref="CC35:CC66" si="12">IFERROR(AVERAGE(L35,M35,N35,O35,P35,Q35,R35,S35),"")</f>
        <v/>
      </c>
      <c r="CD35" t="str">
        <f t="shared" ref="CD35:CD66" si="13">IFERROR(AVERAGE(T35,U35,V35,W35,X35,Y35,Z35,AA35,AB35,AC35,AD35,AE35,AF35),"")</f>
        <v/>
      </c>
      <c r="CE35" t="str">
        <f t="shared" ref="CE35:CE66" si="14">IFERROR(AVERAGE(AG35,AH35,AI35,AJ35),"")</f>
        <v/>
      </c>
      <c r="CF35" t="str">
        <f t="shared" ref="CF35:CF66" si="15">IFERROR(AVERAGE(D35,AK35,AL35,AM35,AN35,AO35,AP35,AQ35,AR35,AS35),"")</f>
        <v/>
      </c>
      <c r="CG35" t="str">
        <f t="shared" ref="CG35:CG66" si="16">IFERROR(AVERAGE(AT35,AU35,AV35,BB35,AW35,AX35,AY35,AZ35,BA35),"")</f>
        <v/>
      </c>
      <c r="CH35" t="str">
        <f t="shared" ref="CH35:CH66" si="17">IFERROR(AVERAGE(C35,E35,F35,BC35,BH35,BI35,BD35,BE35,BF35,BG35),"")</f>
        <v/>
      </c>
      <c r="CI35" t="str">
        <f t="shared" ref="CI35:CI66" si="18">IFERROR(AVERAGE(BJ35,BK35,BL35,BM35),"")</f>
        <v/>
      </c>
      <c r="CJ35" t="str">
        <f t="shared" ref="CJ35:CJ66" si="19">IFERROR(AVERAGE(G35,BN35,BO35,BP35),"")</f>
        <v/>
      </c>
      <c r="CK35" t="str">
        <f t="shared" ref="CK35:CK66" si="20">IFERROR(AVERAGE(BQ35,BS35,BR35),"")</f>
        <v/>
      </c>
      <c r="CL35" t="str">
        <f t="shared" ref="CL35:CL66" si="21">IFERROR(AVERAGE(BT35,BU35),"")</f>
        <v/>
      </c>
    </row>
    <row r="36" spans="1:90" x14ac:dyDescent="0.3">
      <c r="A36">
        <f>CAPTURA!A36</f>
        <v>20479595276</v>
      </c>
      <c r="B36">
        <f>CAPTURA!C36</f>
        <v>0</v>
      </c>
      <c r="C36" t="str">
        <f>IF(CAPTURA!M36="","",ROUND((ISNUMBER(SEARCH("Alemania",CAPTURA!M36))+ISNUMBER(SEARCH("Bélgica",CAPTURA!M36))+ISNUMBER(SEARCH("Países Bajos",CAPTURA!M36))+ISNUMBER(SEARCH("Francia",CAPTURA!M36))+ISNUMBER(SEARCH("Italia",CAPTURA!M36))+ISNUMBER(SEARCH("España",CAPTURA!M36))+ISNUMBER(SEARCH("Suecia",CAPTURA!M36))+ISNUMBER(SEARCH("Dinamarca",CAPTURA!M36)))/((LEN(CAPTURA!M36)-LEN(SUBSTITUTE(CAPTURA!M36,";","")))+1)*100,1))</f>
        <v/>
      </c>
      <c r="D36" t="str">
        <f>IF(CAPTURA!AE36="","",IFERROR(IF(INDEX(CODIFICACION!$E$2:$E$500,MATCH("P8|"&amp;CAPTURA!AE36,CODIFICACION!$F$2:$F$500,0))="sin dato","",INDEX(CODIFICACION!$E$2:$E$500,MATCH("P8|"&amp;CAPTURA!AE36,CODIFICACION!$F$2:$F$500,0))),"⚠"))</f>
        <v/>
      </c>
      <c r="E36" t="str">
        <f>IF(CAPTURA!AG36="","",IFERROR(IF(INDEX(CODIFICACION!$E$2:$E$500,MATCH("P10|"&amp;CAPTURA!AG36,CODIFICACION!$F$2:$F$500,0))="sin dato","",INDEX(CODIFICACION!$E$2:$E$500,MATCH("P10|"&amp;CAPTURA!AG36,CODIFICACION!$F$2:$F$500,0))),"⚠"))</f>
        <v/>
      </c>
      <c r="F36" t="str">
        <f>IF(CAPTURA!AJ36="","",IFERROR(IF(INDEX(CODIFICACION!$E$2:$E$500,MATCH("P13|"&amp;CAPTURA!AJ36,CODIFICACION!$F$2:$F$500,0))="sin dato","",INDEX(CODIFICACION!$E$2:$E$500,MATCH("P13|"&amp;CAPTURA!AJ36,CODIFICACION!$F$2:$F$500,0))),"⚠"))</f>
        <v/>
      </c>
      <c r="G36" t="str">
        <f>IF(CAPTURA!AK36="","",IFERROR(IF(INDEX(CODIFICACION!$E$2:$E$500,MATCH("P14|"&amp;CAPTURA!AK36,CODIFICACION!$F$2:$F$500,0))="sin dato","",INDEX(CODIFICACION!$E$2:$E$500,MATCH("P14|"&amp;CAPTURA!AK36,CODIFICACION!$F$2:$F$500,0))),"⚠"))</f>
        <v/>
      </c>
      <c r="H36" t="str">
        <f>IF(CAPTURA!AL36="","",IFERROR(IF(INDEX(CODIFICACION!$E$2:$E$500,MATCH("D1.1|"&amp;CAPTURA!AL36,CODIFICACION!$F$2:$F$500,0))="sin dato","",INDEX(CODIFICACION!$E$2:$E$500,MATCH("D1.1|"&amp;CAPTURA!AL36,CODIFICACION!$F$2:$F$500,0))),"⚠"))</f>
        <v/>
      </c>
      <c r="I36" t="str">
        <f>IF(CAPTURA!AN36="","",IFERROR(IF(INDEX(CODIFICACION!$E$2:$E$500,MATCH("D1.3|"&amp;CAPTURA!AN36,CODIFICACION!$F$2:$F$500,0))="sin dato","",INDEX(CODIFICACION!$E$2:$E$500,MATCH("D1.3|"&amp;CAPTURA!AN36,CODIFICACION!$F$2:$F$500,0))),"⚠"))</f>
        <v/>
      </c>
      <c r="J36" t="str">
        <f>IF(CAPTURA!AO36="","",IFERROR(IF(INDEX(CODIFICACION!$E$2:$E$500,MATCH("D1.4|"&amp;CAPTURA!AO36,CODIFICACION!$F$2:$F$500,0))="sin dato","",INDEX(CODIFICACION!$E$2:$E$500,MATCH("D1.4|"&amp;CAPTURA!AO36,CODIFICACION!$F$2:$F$500,0))),"⚠"))</f>
        <v/>
      </c>
      <c r="K36" t="str">
        <f>IF(CAPTURA!AP36="","",IFERROR(IF(INDEX(CODIFICACION!$E$2:$E$500,MATCH("D1.3a|"&amp;CAPTURA!AP36,CODIFICACION!$F$2:$F$500,0))="sin dato","",INDEX(CODIFICACION!$E$2:$E$500,MATCH("D1.3a|"&amp;CAPTURA!AP36,CODIFICACION!$F$2:$F$500,0))),"⚠"))</f>
        <v/>
      </c>
      <c r="L36" t="str">
        <f>IF(CAPTURA!AQ36="","",IF(AND(ISNUMBER(CAPTURA!AQ36),CAPTURA!AQ36&gt;=0,CAPTURA!AQ36&lt;=4),CAPTURA!AQ36*25,"⚠"))</f>
        <v/>
      </c>
      <c r="M36" t="str">
        <f>IF(CAPTURA!AR36="","",IF(ISNUMBER(CAPTURA!AR36),MAX(0,MIN(100,CAPTURA!AR36)),"⚠"))</f>
        <v/>
      </c>
      <c r="N36" t="str">
        <f>IF(CAPTURA!AS36="","",IF(AND(ISNUMBER(CAPTURA!AS36),CAPTURA!AS36&gt;=0,CAPTURA!AS36&lt;=4),CAPTURA!AS36*25,"⚠"))</f>
        <v/>
      </c>
      <c r="O36" t="str">
        <f>IF(CAPTURA!AT36="","",IFERROR(IF(INDEX(CODIFICACION!$E$2:$E$500,MATCH("D2.8|"&amp;CAPTURA!AT36,CODIFICACION!$F$2:$F$500,0))="sin dato","",INDEX(CODIFICACION!$E$2:$E$500,MATCH("D2.8|"&amp;CAPTURA!AT36,CODIFICACION!$F$2:$F$500,0))),"⚠"))</f>
        <v/>
      </c>
      <c r="P36" t="str">
        <f>IF(CAPTURA!AU36="","",IFERROR(IF(INDEX(CODIFICACION!$E$2:$E$500,MATCH("D2.9|"&amp;CAPTURA!AU36,CODIFICACION!$F$2:$F$500,0))="sin dato","",INDEX(CODIFICACION!$E$2:$E$500,MATCH("D2.9|"&amp;CAPTURA!AU36,CODIFICACION!$F$2:$F$500,0))),"⚠"))</f>
        <v/>
      </c>
      <c r="Q36" t="str">
        <f>IF(CAPTURA!AV36="","",IFERROR(IF(INDEX(CODIFICACION!$E$2:$E$500,MATCH("D2.10|"&amp;CAPTURA!AV36,CODIFICACION!$F$2:$F$500,0))="sin dato","",INDEX(CODIFICACION!$E$2:$E$500,MATCH("D2.10|"&amp;CAPTURA!AV36,CODIFICACION!$F$2:$F$500,0))),"⚠"))</f>
        <v/>
      </c>
      <c r="R36" t="str">
        <f>IF(CAPTURA!AW36="","",IFERROR(IF(INDEX(CODIFICACION!$E$2:$E$500,MATCH("D2.5a|"&amp;CAPTURA!AW36,CODIFICACION!$F$2:$F$500,0))="sin dato","",INDEX(CODIFICACION!$E$2:$E$500,MATCH("D2.5a|"&amp;CAPTURA!AW36,CODIFICACION!$F$2:$F$500,0))),"⚠"))</f>
        <v/>
      </c>
      <c r="S36" t="str">
        <f>IF(CAPTURA!AX36="","",IFERROR(IF(INDEX(CODIFICACION!$E$2:$E$500,MATCH("D2.5b|"&amp;CAPTURA!AX36,CODIFICACION!$F$2:$F$500,0))="sin dato","",INDEX(CODIFICACION!$E$2:$E$500,MATCH("D2.5b|"&amp;CAPTURA!AX36,CODIFICACION!$F$2:$F$500,0))),"⚠"))</f>
        <v/>
      </c>
      <c r="T36" t="str">
        <f>IF(CAPTURA!AY36="","",IF(ISNUMBER(CAPTURA!AY36),MAX(0,MIN(100,CAPTURA!AY36)),"⚠"))</f>
        <v/>
      </c>
      <c r="U36" t="str">
        <f>IF(CAPTURA!AZ36="","",IFERROR(IF(INDEX(CODIFICACION!$E$2:$E$500,MATCH("D3.12|"&amp;CAPTURA!AZ36,CODIFICACION!$F$2:$F$500,0))="sin dato","",INDEX(CODIFICACION!$E$2:$E$500,MATCH("D3.12|"&amp;CAPTURA!AZ36,CODIFICACION!$F$2:$F$500,0))),"⚠"))</f>
        <v/>
      </c>
      <c r="V36" t="str">
        <f>IF(CAPTURA!BA36="","",IF(AND(ISNUMBER(CAPTURA!BA36),CAPTURA!BA36&gt;=0,CAPTURA!BA36&lt;=4),CAPTURA!BA36*25,"⚠"))</f>
        <v/>
      </c>
      <c r="W36" t="str">
        <f>IF(CAPTURA!BB36="","",IFERROR(IF(INDEX(CODIFICACION!$E$2:$E$500,MATCH("D3.14|"&amp;CAPTURA!BB36,CODIFICACION!$F$2:$F$500,0))="sin dato","",INDEX(CODIFICACION!$E$2:$E$500,MATCH("D3.14|"&amp;CAPTURA!BB36,CODIFICACION!$F$2:$F$500,0))),"⚠"))</f>
        <v/>
      </c>
      <c r="X36" t="str">
        <f>IF(CAPTURA!BC36="","",IFERROR(IF(INDEX(CODIFICACION!$E$2:$E$500,MATCH("D3.14a|"&amp;CAPTURA!BC36,CODIFICACION!$F$2:$F$500,0))="sin dato","",INDEX(CODIFICACION!$E$2:$E$500,MATCH("D3.14a|"&amp;CAPTURA!BC36,CODIFICACION!$F$2:$F$500,0))),"⚠"))</f>
        <v/>
      </c>
      <c r="Y36" t="str">
        <f>IF(CAPTURA!BD36="","",IFERROR(IF(INDEX(CODIFICACION!$E$2:$E$500,MATCH("D3.14b|"&amp;CAPTURA!BD36,CODIFICACION!$F$2:$F$500,0))="sin dato","",INDEX(CODIFICACION!$E$2:$E$500,MATCH("D3.14b|"&amp;CAPTURA!BD36,CODIFICACION!$F$2:$F$500,0))),"⚠"))</f>
        <v/>
      </c>
      <c r="Z36" t="str">
        <f>IF(CAPTURA!BE36="","",IFERROR(IF(INDEX(CODIFICACION!$E$2:$E$500,MATCH("D3.14c|"&amp;CAPTURA!BE36,CODIFICACION!$F$2:$F$500,0))="sin dato","",INDEX(CODIFICACION!$E$2:$E$500,MATCH("D3.14c|"&amp;CAPTURA!BE36,CODIFICACION!$F$2:$F$500,0))),"⚠"))</f>
        <v/>
      </c>
      <c r="AA36" t="str">
        <f>IF(CAPTURA!BF36="","",IFERROR(IF(INDEX(CODIFICACION!$E$2:$E$500,MATCH("D3.14d|"&amp;CAPTURA!BF36,CODIFICACION!$F$2:$F$500,0))="sin dato","",INDEX(CODIFICACION!$E$2:$E$500,MATCH("D3.14d|"&amp;CAPTURA!BF36,CODIFICACION!$F$2:$F$500,0))),"⚠"))</f>
        <v/>
      </c>
      <c r="AB36" t="str">
        <f>IF(CAPTURA!BG36="","",IFERROR(IF(INDEX(CODIFICACION!$E$2:$E$500,MATCH("D3.14e|"&amp;CAPTURA!BG36,CODIFICACION!$F$2:$F$500,0))="sin dato","",INDEX(CODIFICACION!$E$2:$E$500,MATCH("D3.14e|"&amp;CAPTURA!BG36,CODIFICACION!$F$2:$F$500,0))),"⚠"))</f>
        <v/>
      </c>
      <c r="AC36" t="str">
        <f>IF(CAPTURA!BH36="","",IFERROR(IF(INDEX(CODIFICACION!$E$2:$E$500,MATCH("D3.14f|"&amp;CAPTURA!BH36,CODIFICACION!$F$2:$F$500,0))="sin dato","",INDEX(CODIFICACION!$E$2:$E$500,MATCH("D3.14f|"&amp;CAPTURA!BH36,CODIFICACION!$F$2:$F$500,0))),"⚠"))</f>
        <v/>
      </c>
      <c r="AD36" t="str">
        <f>IF(CAPTURA!BI36="","",IFERROR(IF(INDEX(CODIFICACION!$E$2:$E$500,MATCH("D3.14g|"&amp;CAPTURA!BI36,CODIFICACION!$F$2:$F$500,0))="sin dato","",INDEX(CODIFICACION!$E$2:$E$500,MATCH("D3.14g|"&amp;CAPTURA!BI36,CODIFICACION!$F$2:$F$500,0))),"⚠"))</f>
        <v/>
      </c>
      <c r="AE36" t="str">
        <f>IF(CAPTURA!BJ36="","",IFERROR(IF(INDEX(CODIFICACION!$E$2:$E$500,MATCH("D3.14h|"&amp;CAPTURA!BJ36,CODIFICACION!$F$2:$F$500,0))="sin dato","",INDEX(CODIFICACION!$E$2:$E$500,MATCH("D3.14h|"&amp;CAPTURA!BJ36,CODIFICACION!$F$2:$F$500,0))),"⚠"))</f>
        <v/>
      </c>
      <c r="AF36" t="str">
        <f>IF(CAPTURA!BK36="","",IFERROR(IF(INDEX(CODIFICACION!$E$2:$E$500,MATCH("D3.14i|"&amp;CAPTURA!BK36,CODIFICACION!$F$2:$F$500,0))="sin dato","",INDEX(CODIFICACION!$E$2:$E$500,MATCH("D3.14i|"&amp;CAPTURA!BK36,CODIFICACION!$F$2:$F$500,0))),"⚠"))</f>
        <v/>
      </c>
      <c r="AG36" t="str">
        <f>IF(CAPTURA!BL36="","",IFERROR(IF(INDEX(CODIFICACION!$E$2:$E$500,MATCH("D4.15|"&amp;CAPTURA!BL36,CODIFICACION!$F$2:$F$500,0))="sin dato","",INDEX(CODIFICACION!$E$2:$E$500,MATCH("D4.15|"&amp;CAPTURA!BL36,CODIFICACION!$F$2:$F$500,0))),"⚠"))</f>
        <v/>
      </c>
      <c r="AH36" t="str">
        <f>IF(CAPTURA!BM36="","",IF(AND(ISNUMBER(CAPTURA!BM36),CAPTURA!BM36&gt;=0,CAPTURA!BM36&lt;=4),CAPTURA!BM36*25,"⚠"))</f>
        <v/>
      </c>
      <c r="AI36" t="str">
        <f>IF(CAPTURA!BN36="","",IFERROR(IF(INDEX(CODIFICACION!$E$2:$E$500,MATCH("D4.17|"&amp;CAPTURA!BN36,CODIFICACION!$F$2:$F$500,0))="sin dato","",INDEX(CODIFICACION!$E$2:$E$500,MATCH("D4.17|"&amp;CAPTURA!BN36,CODIFICACION!$F$2:$F$500,0))),"⚠"))</f>
        <v/>
      </c>
      <c r="AJ36" t="str">
        <f>IF(CAPTURA!BO36="","",IFERROR(IF(INDEX(CODIFICACION!$E$2:$E$500,MATCH("D4.15a|"&amp;CAPTURA!BO36,CODIFICACION!$F$2:$F$500,0))="sin dato","",INDEX(CODIFICACION!$E$2:$E$500,MATCH("D4.15a|"&amp;CAPTURA!BO36,CODIFICACION!$F$2:$F$500,0))),"⚠"))</f>
        <v/>
      </c>
      <c r="AK36" t="str">
        <f>IF(CAPTURA!BP36="","",IF(AND(ISNUMBER(CAPTURA!BP36),CAPTURA!BP36&gt;=0,CAPTURA!BP36&lt;=4),CAPTURA!BP36*25,"⚠"))</f>
        <v/>
      </c>
      <c r="AL36" t="str">
        <f>IF(CAPTURA!BQ36="","",IF(AND(ISNUMBER(CAPTURA!BQ36),CAPTURA!BQ36&gt;=0,CAPTURA!BQ36&lt;=4),CAPTURA!BQ36*25,"⚠"))</f>
        <v/>
      </c>
      <c r="AM36" t="str">
        <f>IF(CAPTURA!BR36="","",IFERROR(IF(INDEX(CODIFICACION!$E$2:$E$500,MATCH("D5.18b|"&amp;CAPTURA!BR36,CODIFICACION!$F$2:$F$500,0))="sin dato","",INDEX(CODIFICACION!$E$2:$E$500,MATCH("D5.18b|"&amp;CAPTURA!BR36,CODIFICACION!$F$2:$F$500,0))),"⚠"))</f>
        <v/>
      </c>
      <c r="AN36" t="str">
        <f>IF(CAPTURA!BS36="","",IFERROR(IF(INDEX(CODIFICACION!$E$2:$E$500,MATCH("D5.19|"&amp;CAPTURA!BS36,CODIFICACION!$F$2:$F$500,0))="sin dato","",INDEX(CODIFICACION!$E$2:$E$500,MATCH("D5.19|"&amp;CAPTURA!BS36,CODIFICACION!$F$2:$F$500,0))),"⚠"))</f>
        <v/>
      </c>
      <c r="AO36" t="str">
        <f>IF(CAPTURA!BT36="","",MIN(100,ROUND((LEN(CAPTURA!BT36)-LEN(SUBSTITUTE(CAPTURA!BT36,";",""))+1)/7*100,1)))</f>
        <v/>
      </c>
      <c r="AP36" t="str">
        <f>IF(CAPTURA!BU36="","",IFERROR(IF(INDEX(CODIFICACION!$E$2:$E$500,MATCH("D5.20|"&amp;CAPTURA!BU36,CODIFICACION!$F$2:$F$500,0))="sin dato","",INDEX(CODIFICACION!$E$2:$E$500,MATCH("D5.20|"&amp;CAPTURA!BU36,CODIFICACION!$F$2:$F$500,0))),"⚠"))</f>
        <v/>
      </c>
      <c r="AQ36" t="str">
        <f>IF(CAPTURA!BV36="","",IFERROR(IF(INDEX(CODIFICACION!$E$2:$E$500,MATCH("D5.21|"&amp;CAPTURA!BV36,CODIFICACION!$F$2:$F$500,0))="sin dato","",INDEX(CODIFICACION!$E$2:$E$500,MATCH("D5.21|"&amp;CAPTURA!BV36,CODIFICACION!$F$2:$F$500,0))),"⚠"))</f>
        <v/>
      </c>
      <c r="AR36" t="str">
        <f>IF(CAPTURA!BW36="","",IFERROR(IF(INDEX(CODIFICACION!$E$2:$E$500,MATCH("D5.21a|"&amp;CAPTURA!BW36,CODIFICACION!$F$2:$F$500,0))="sin dato","",INDEX(CODIFICACION!$E$2:$E$500,MATCH("D5.21a|"&amp;CAPTURA!BW36,CODIFICACION!$F$2:$F$500,0))),"⚠"))</f>
        <v/>
      </c>
      <c r="AS36" t="str">
        <f>IF(CAPTURA!BX36="","",IFERROR(IF(INDEX(CODIFICACION!$E$2:$E$500,MATCH("D5.21b|"&amp;CAPTURA!BX36,CODIFICACION!$F$2:$F$500,0))="sin dato","",INDEX(CODIFICACION!$E$2:$E$500,MATCH("D5.21b|"&amp;CAPTURA!BX36,CODIFICACION!$F$2:$F$500,0))),"⚠"))</f>
        <v/>
      </c>
      <c r="AT36" t="str">
        <f>IF(CAPTURA!BY36="","",IFERROR(IF(INDEX(CODIFICACION!$E$2:$E$500,MATCH("D6.22|"&amp;CAPTURA!BY36,CODIFICACION!$F$2:$F$500,0))="sin dato","",INDEX(CODIFICACION!$E$2:$E$500,MATCH("D6.22|"&amp;CAPTURA!BY36,CODIFICACION!$F$2:$F$500,0))),"⚠"))</f>
        <v/>
      </c>
      <c r="AU36" t="str">
        <f>IF(CAPTURA!BZ36="","",IFERROR(IF(INDEX(CODIFICACION!$E$2:$E$500,MATCH("D6.22a|"&amp;CAPTURA!BZ36,CODIFICACION!$F$2:$F$500,0))="sin dato","",INDEX(CODIFICACION!$E$2:$E$500,MATCH("D6.22a|"&amp;CAPTURA!BZ36,CODIFICACION!$F$2:$F$500,0))),"⚠"))</f>
        <v/>
      </c>
      <c r="AV36" t="str">
        <f>IF(CAPTURA!CA36="","",IFERROR(IF(INDEX(CODIFICACION!$E$2:$E$500,MATCH("D6.22b|"&amp;CAPTURA!CA36,CODIFICACION!$F$2:$F$500,0))="sin dato","",INDEX(CODIFICACION!$E$2:$E$500,MATCH("D6.22b|"&amp;CAPTURA!CA36,CODIFICACION!$F$2:$F$500,0))),"⚠"))</f>
        <v/>
      </c>
      <c r="AW36" t="str">
        <f>IF(CAPTURA!CB36="","",IFERROR(IF(INDEX(CODIFICACION!$E$2:$E$500,MATCH("D6.23|"&amp;CAPTURA!CB36,CODIFICACION!$F$2:$F$500,0))="sin dato","",INDEX(CODIFICACION!$E$2:$E$500,MATCH("D6.23|"&amp;CAPTURA!CB36,CODIFICACION!$F$2:$F$500,0))),"⚠"))</f>
        <v/>
      </c>
      <c r="AX36" t="str">
        <f>IF(CAPTURA!CC36="","",IFERROR(IF(INDEX(CODIFICACION!$E$2:$E$500,MATCH("D6.24|"&amp;CAPTURA!CC36,CODIFICACION!$F$2:$F$500,0))="sin dato","",INDEX(CODIFICACION!$E$2:$E$500,MATCH("D6.24|"&amp;CAPTURA!CC36,CODIFICACION!$F$2:$F$500,0))),"⚠"))</f>
        <v/>
      </c>
      <c r="AY36" t="str">
        <f>IF(CAPTURA!CD36="","",IFERROR(IF(INDEX(CODIFICACION!$E$2:$E$500,MATCH("D6.25|"&amp;CAPTURA!CD36,CODIFICACION!$F$2:$F$500,0))="sin dato","",INDEX(CODIFICACION!$E$2:$E$500,MATCH("D6.25|"&amp;CAPTURA!CD36,CODIFICACION!$F$2:$F$500,0))),"⚠"))</f>
        <v/>
      </c>
      <c r="AZ36" t="str">
        <f>IF(CAPTURA!CE36="","",IFERROR(IF(INDEX(CODIFICACION!$E$2:$E$500,MATCH("D6.25a|"&amp;CAPTURA!CE36,CODIFICACION!$F$2:$F$500,0))="sin dato","",INDEX(CODIFICACION!$E$2:$E$500,MATCH("D6.25a|"&amp;CAPTURA!CE36,CODIFICACION!$F$2:$F$500,0))),"⚠"))</f>
        <v/>
      </c>
      <c r="BA36" t="str">
        <f>IF(CAPTURA!CF36="","",IFERROR(IF(INDEX(CODIFICACION!$E$2:$E$500,MATCH("D6.25b|"&amp;CAPTURA!CF36,CODIFICACION!$F$2:$F$500,0))="sin dato","",INDEX(CODIFICACION!$E$2:$E$500,MATCH("D6.25b|"&amp;CAPTURA!CF36,CODIFICACION!$F$2:$F$500,0))),"⚠"))</f>
        <v/>
      </c>
      <c r="BB36" t="str">
        <f>IF(CAPTURA!CG36="","",IFERROR(IF(INDEX(CODIFICACION!$E$2:$E$500,MATCH("D6.22c|"&amp;CAPTURA!CG36,CODIFICACION!$F$2:$F$500,0))="sin dato","",INDEX(CODIFICACION!$E$2:$E$500,MATCH("D6.22c|"&amp;CAPTURA!CG36,CODIFICACION!$F$2:$F$500,0))),"⚠"))</f>
        <v/>
      </c>
      <c r="BC36" t="str">
        <f>IF(CAPTURA!CH36="","",IFERROR(IF(INDEX(CODIFICACION!$E$2:$E$500,MATCH("D7.26|"&amp;CAPTURA!CH36,CODIFICACION!$F$2:$F$500,0))="sin dato","",INDEX(CODIFICACION!$E$2:$E$500,MATCH("D7.26|"&amp;CAPTURA!CH36,CODIFICACION!$F$2:$F$500,0))),"⚠"))</f>
        <v/>
      </c>
      <c r="BD36" t="str">
        <f>IF(CAPTURA!CI36="","",IFERROR(IF(INDEX(CODIFICACION!$E$2:$E$500,MATCH("D7.27|"&amp;CAPTURA!CI36,CODIFICACION!$F$2:$F$500,0))="sin dato","",INDEX(CODIFICACION!$E$2:$E$500,MATCH("D7.27|"&amp;CAPTURA!CI36,CODIFICACION!$F$2:$F$500,0))),"⚠"))</f>
        <v/>
      </c>
      <c r="BE36" t="str">
        <f>IF(CAPTURA!CJ36="","",IFERROR(IF(INDEX(CODIFICACION!$E$2:$E$500,MATCH("D7.28|"&amp;CAPTURA!CJ36,CODIFICACION!$F$2:$F$500,0))="sin dato","",INDEX(CODIFICACION!$E$2:$E$500,MATCH("D7.28|"&amp;CAPTURA!CJ36,CODIFICACION!$F$2:$F$500,0))),"⚠"))</f>
        <v/>
      </c>
      <c r="BF36" t="str">
        <f>IF(CAPTURA!CK36="","",IFERROR(IF(INDEX(CODIFICACION!$E$2:$E$500,MATCH("D7.28b|"&amp;CAPTURA!CK36,CODIFICACION!$F$2:$F$500,0))="sin dato","",INDEX(CODIFICACION!$E$2:$E$500,MATCH("D7.28b|"&amp;CAPTURA!CK36,CODIFICACION!$F$2:$F$500,0))),"⚠"))</f>
        <v/>
      </c>
      <c r="BG36" t="str">
        <f>IF(CAPTURA!CL36="","",MIN(100,ROUND((LEN(CAPTURA!CL36)-LEN(SUBSTITUTE(CAPTURA!CL36,";",""))+1)/8*100,1)))</f>
        <v/>
      </c>
      <c r="BH36" t="str">
        <f>IF(CAPTURA!CM36="","",IFERROR(IF(INDEX(CODIFICACION!$E$2:$E$500,MATCH("D7.26a|"&amp;CAPTURA!CM36,CODIFICACION!$F$2:$F$500,0))="sin dato","",INDEX(CODIFICACION!$E$2:$E$500,MATCH("D7.26a|"&amp;CAPTURA!CM36,CODIFICACION!$F$2:$F$500,0))),"⚠"))</f>
        <v/>
      </c>
      <c r="BI36" t="str">
        <f>IF(CAPTURA!CN36="","",IFERROR(IF(INDEX(CODIFICACION!$E$2:$E$500,MATCH("D7.26b|"&amp;CAPTURA!CN36,CODIFICACION!$F$2:$F$500,0))="sin dato","",INDEX(CODIFICACION!$E$2:$E$500,MATCH("D7.26b|"&amp;CAPTURA!CN36,CODIFICACION!$F$2:$F$500,0))),"⚠"))</f>
        <v/>
      </c>
      <c r="BJ36" t="str">
        <f>IF(CAPTURA!CO36="","",IF(AND(ISNUMBER(CAPTURA!CO36),CAPTURA!CO36&gt;=0,CAPTURA!CO36&lt;=4),CAPTURA!CO36*25,"⚠"))</f>
        <v/>
      </c>
      <c r="BK36" t="str">
        <f>IF(CAPTURA!CP36="","",IF(ISNUMBER(CAPTURA!CP36),MAX(0,MIN(100,CAPTURA!CP36)),"⚠"))</f>
        <v/>
      </c>
      <c r="BL36" t="str">
        <f>IF(CAPTURA!CQ36="","",IFERROR(IF(INDEX(CODIFICACION!$E$2:$E$500,MATCH("D8.31|"&amp;CAPTURA!CQ36,CODIFICACION!$F$2:$F$500,0))="sin dato","",INDEX(CODIFICACION!$E$2:$E$500,MATCH("D8.31|"&amp;CAPTURA!CQ36,CODIFICACION!$F$2:$F$500,0))),"⚠"))</f>
        <v/>
      </c>
      <c r="BM36" t="str">
        <f>IF(CAPTURA!CR36="","",IFERROR(IF(INDEX(CODIFICACION!$E$2:$E$500,MATCH("D8.32|"&amp;CAPTURA!CR36,CODIFICACION!$F$2:$F$500,0))="sin dato","",INDEX(CODIFICACION!$E$2:$E$500,MATCH("D8.32|"&amp;CAPTURA!CR36,CODIFICACION!$F$2:$F$500,0))),"⚠"))</f>
        <v/>
      </c>
      <c r="BN36" t="str">
        <f>IF(CAPTURA!CS36="","",IFERROR(IF(INDEX(CODIFICACION!$E$2:$E$500,MATCH("D9.33|"&amp;CAPTURA!CS36,CODIFICACION!$F$2:$F$500,0))="sin dato","",INDEX(CODIFICACION!$E$2:$E$500,MATCH("D9.33|"&amp;CAPTURA!CS36,CODIFICACION!$F$2:$F$500,0))),"⚠"))</f>
        <v/>
      </c>
      <c r="BO36" t="str">
        <f>IF(CAPTURA!CT36="","",IFERROR(IF(INDEX(CODIFICACION!$E$2:$E$500,MATCH("D9.34|"&amp;CAPTURA!CT36,CODIFICACION!$F$2:$F$500,0))="sin dato","",INDEX(CODIFICACION!$E$2:$E$500,MATCH("D9.34|"&amp;CAPTURA!CT36,CODIFICACION!$F$2:$F$500,0))),"⚠"))</f>
        <v/>
      </c>
      <c r="BP36" t="str">
        <f>IF(CAPTURA!CU36="","",IFERROR(IF(INDEX(CODIFICACION!$E$2:$E$500,MATCH("D9.35|"&amp;CAPTURA!CU36,CODIFICACION!$F$2:$F$500,0))="sin dato","",INDEX(CODIFICACION!$E$2:$E$500,MATCH("D9.35|"&amp;CAPTURA!CU36,CODIFICACION!$F$2:$F$500,0))),"⚠"))</f>
        <v/>
      </c>
      <c r="BQ36" t="str">
        <f>IF(CAPTURA!CV36="","",IFERROR(IF(INDEX(CODIFICACION!$E$2:$E$500,MATCH("D10.36|"&amp;CAPTURA!CV36,CODIFICACION!$F$2:$F$500,0))="sin dato","",INDEX(CODIFICACION!$E$2:$E$500,MATCH("D10.36|"&amp;CAPTURA!CV36,CODIFICACION!$F$2:$F$500,0))),"⚠"))</f>
        <v/>
      </c>
      <c r="BR36" t="str">
        <f>IF(CAPTURA!CW36="","",IFERROR(IF(INDEX(CODIFICACION!$E$2:$E$500,MATCH("D10.37|"&amp;CAPTURA!CW36,CODIFICACION!$F$2:$F$500,0))="sin dato","",INDEX(CODIFICACION!$E$2:$E$500,MATCH("D10.37|"&amp;CAPTURA!CW36,CODIFICACION!$F$2:$F$500,0))),"⚠"))</f>
        <v/>
      </c>
      <c r="BS36" t="str">
        <f>IF(CAPTURA!CX36="","",IFERROR(IF(INDEX(CODIFICACION!$E$2:$E$500,MATCH("D10.36a|"&amp;CAPTURA!CX36,CODIFICACION!$F$2:$F$500,0))="sin dato","",INDEX(CODIFICACION!$E$2:$E$500,MATCH("D10.36a|"&amp;CAPTURA!CX36,CODIFICACION!$F$2:$F$500,0))),"⚠"))</f>
        <v/>
      </c>
      <c r="BT36" t="str">
        <f>IF(CAPTURA!CY36="","",IF(ISNUMBER(SEARCH("Ninguno",CAPTURA!CY36)),0,MIN(100,ROUND((LEN(CAPTURA!CY36)-LEN(SUBSTITUTE(CAPTURA!CY36,";",""))+1)/6*100,1))))</f>
        <v/>
      </c>
      <c r="BU36" t="str">
        <f>IF(CAPTURA!DA36="","",IFERROR(IF(INDEX(CODIFICACION!$E$2:$E$500,MATCH("D11.39a|"&amp;CAPTURA!DA36,CODIFICACION!$F$2:$F$500,0))="sin dato","",INDEX(CODIFICACION!$E$2:$E$500,MATCH("D11.39a|"&amp;CAPTURA!DA36,CODIFICACION!$F$2:$F$500,0))),"⚠"))</f>
        <v/>
      </c>
      <c r="BV36" t="str">
        <f>IF(CAPTURA!DB36="","",IFERROR(IF(INDEX(CODIFICACION!$E$2:$E$500,MATCH("D12.42|"&amp;CAPTURA!DB36,CODIFICACION!$F$2:$F$500,0))="sin dato","",INDEX(CODIFICACION!$E$2:$E$500,MATCH("D12.42|"&amp;CAPTURA!DB36,CODIFICACION!$F$2:$F$500,0))),"⚠"))</f>
        <v/>
      </c>
      <c r="BW36" t="str">
        <f>IF(CAPTURA!DC36="","",IFERROR(IF(INDEX(CODIFICACION!$E$2:$E$500,MATCH("D13.45|"&amp;CAPTURA!DC36,CODIFICACION!$F$2:$F$500,0))="sin dato","",INDEX(CODIFICACION!$E$2:$E$500,MATCH("D13.45|"&amp;CAPTURA!DC36,CODIFICACION!$F$2:$F$500,0))),"⚠"))</f>
        <v/>
      </c>
      <c r="BX36" t="str">
        <f>IF(CAPTURA!DD36="","",IFERROR(IF(INDEX(CODIFICACION!$E$2:$E$500,MATCH("D14.51|"&amp;CAPTURA!DD36,CODIFICACION!$F$2:$F$500,0))="sin dato","",INDEX(CODIFICACION!$E$2:$E$500,MATCH("D14.51|"&amp;CAPTURA!DD36,CODIFICACION!$F$2:$F$500,0))),"⚠"))</f>
        <v/>
      </c>
      <c r="BY36" t="str">
        <f>IF(CAPTURA!DE36="","",IFERROR(IF(INDEX(CODIFICACION!$E$2:$E$500,MATCH("D15.58|"&amp;CAPTURA!DE36,CODIFICACION!$F$2:$F$500,0))="sin dato","",INDEX(CODIFICACION!$E$2:$E$500,MATCH("D15.58|"&amp;CAPTURA!DE36,CODIFICACION!$F$2:$F$500,0))),"⚠"))</f>
        <v/>
      </c>
      <c r="BZ36" t="str">
        <f>IF(CAPTURA!DF36="","",IFERROR(IF(INDEX(CODIFICACION!$E$2:$E$500,MATCH("PP1|"&amp;CAPTURA!DF36,CODIFICACION!$F$2:$F$500,0))="sin dato","",INDEX(CODIFICACION!$E$2:$E$500,MATCH("PP1|"&amp;CAPTURA!DF36,CODIFICACION!$F$2:$F$500,0))),"⚠"))</f>
        <v/>
      </c>
      <c r="CA36" t="str">
        <f>IF(CAPTURA!DG36="","",IFERROR(IF(INDEX(CODIFICACION!$E$2:$E$500,MATCH("PP2|"&amp;CAPTURA!DG36,CODIFICACION!$F$2:$F$500,0))="sin dato","",INDEX(CODIFICACION!$E$2:$E$500,MATCH("PP2|"&amp;CAPTURA!DG36,CODIFICACION!$F$2:$F$500,0))),"⚠"))</f>
        <v/>
      </c>
      <c r="CB36" t="str">
        <f t="shared" si="11"/>
        <v/>
      </c>
      <c r="CC36" t="str">
        <f t="shared" si="12"/>
        <v/>
      </c>
      <c r="CD36" t="str">
        <f t="shared" si="13"/>
        <v/>
      </c>
      <c r="CE36" t="str">
        <f t="shared" si="14"/>
        <v/>
      </c>
      <c r="CF36" t="str">
        <f t="shared" si="15"/>
        <v/>
      </c>
      <c r="CG36" t="str">
        <f t="shared" si="16"/>
        <v/>
      </c>
      <c r="CH36" t="str">
        <f t="shared" si="17"/>
        <v/>
      </c>
      <c r="CI36" t="str">
        <f t="shared" si="18"/>
        <v/>
      </c>
      <c r="CJ36" t="str">
        <f t="shared" si="19"/>
        <v/>
      </c>
      <c r="CK36" t="str">
        <f t="shared" si="20"/>
        <v/>
      </c>
      <c r="CL36" t="str">
        <f t="shared" si="21"/>
        <v/>
      </c>
    </row>
    <row r="37" spans="1:90" x14ac:dyDescent="0.3">
      <c r="A37">
        <f>CAPTURA!A37</f>
        <v>20479622699</v>
      </c>
      <c r="B37">
        <f>CAPTURA!C37</f>
        <v>0</v>
      </c>
      <c r="C37" t="str">
        <f>IF(CAPTURA!M37="","",ROUND((ISNUMBER(SEARCH("Alemania",CAPTURA!M37))+ISNUMBER(SEARCH("Bélgica",CAPTURA!M37))+ISNUMBER(SEARCH("Países Bajos",CAPTURA!M37))+ISNUMBER(SEARCH("Francia",CAPTURA!M37))+ISNUMBER(SEARCH("Italia",CAPTURA!M37))+ISNUMBER(SEARCH("España",CAPTURA!M37))+ISNUMBER(SEARCH("Suecia",CAPTURA!M37))+ISNUMBER(SEARCH("Dinamarca",CAPTURA!M37)))/((LEN(CAPTURA!M37)-LEN(SUBSTITUTE(CAPTURA!M37,";","")))+1)*100,1))</f>
        <v/>
      </c>
      <c r="D37" t="str">
        <f>IF(CAPTURA!AE37="","",IFERROR(IF(INDEX(CODIFICACION!$E$2:$E$500,MATCH("P8|"&amp;CAPTURA!AE37,CODIFICACION!$F$2:$F$500,0))="sin dato","",INDEX(CODIFICACION!$E$2:$E$500,MATCH("P8|"&amp;CAPTURA!AE37,CODIFICACION!$F$2:$F$500,0))),"⚠"))</f>
        <v/>
      </c>
      <c r="E37" t="str">
        <f>IF(CAPTURA!AG37="","",IFERROR(IF(INDEX(CODIFICACION!$E$2:$E$500,MATCH("P10|"&amp;CAPTURA!AG37,CODIFICACION!$F$2:$F$500,0))="sin dato","",INDEX(CODIFICACION!$E$2:$E$500,MATCH("P10|"&amp;CAPTURA!AG37,CODIFICACION!$F$2:$F$500,0))),"⚠"))</f>
        <v/>
      </c>
      <c r="F37" t="str">
        <f>IF(CAPTURA!AJ37="","",IFERROR(IF(INDEX(CODIFICACION!$E$2:$E$500,MATCH("P13|"&amp;CAPTURA!AJ37,CODIFICACION!$F$2:$F$500,0))="sin dato","",INDEX(CODIFICACION!$E$2:$E$500,MATCH("P13|"&amp;CAPTURA!AJ37,CODIFICACION!$F$2:$F$500,0))),"⚠"))</f>
        <v/>
      </c>
      <c r="G37" t="str">
        <f>IF(CAPTURA!AK37="","",IFERROR(IF(INDEX(CODIFICACION!$E$2:$E$500,MATCH("P14|"&amp;CAPTURA!AK37,CODIFICACION!$F$2:$F$500,0))="sin dato","",INDEX(CODIFICACION!$E$2:$E$500,MATCH("P14|"&amp;CAPTURA!AK37,CODIFICACION!$F$2:$F$500,0))),"⚠"))</f>
        <v/>
      </c>
      <c r="H37" t="str">
        <f>IF(CAPTURA!AL37="","",IFERROR(IF(INDEX(CODIFICACION!$E$2:$E$500,MATCH("D1.1|"&amp;CAPTURA!AL37,CODIFICACION!$F$2:$F$500,0))="sin dato","",INDEX(CODIFICACION!$E$2:$E$500,MATCH("D1.1|"&amp;CAPTURA!AL37,CODIFICACION!$F$2:$F$500,0))),"⚠"))</f>
        <v/>
      </c>
      <c r="I37" t="str">
        <f>IF(CAPTURA!AN37="","",IFERROR(IF(INDEX(CODIFICACION!$E$2:$E$500,MATCH("D1.3|"&amp;CAPTURA!AN37,CODIFICACION!$F$2:$F$500,0))="sin dato","",INDEX(CODIFICACION!$E$2:$E$500,MATCH("D1.3|"&amp;CAPTURA!AN37,CODIFICACION!$F$2:$F$500,0))),"⚠"))</f>
        <v/>
      </c>
      <c r="J37" t="str">
        <f>IF(CAPTURA!AO37="","",IFERROR(IF(INDEX(CODIFICACION!$E$2:$E$500,MATCH("D1.4|"&amp;CAPTURA!AO37,CODIFICACION!$F$2:$F$500,0))="sin dato","",INDEX(CODIFICACION!$E$2:$E$500,MATCH("D1.4|"&amp;CAPTURA!AO37,CODIFICACION!$F$2:$F$500,0))),"⚠"))</f>
        <v/>
      </c>
      <c r="K37" t="str">
        <f>IF(CAPTURA!AP37="","",IFERROR(IF(INDEX(CODIFICACION!$E$2:$E$500,MATCH("D1.3a|"&amp;CAPTURA!AP37,CODIFICACION!$F$2:$F$500,0))="sin dato","",INDEX(CODIFICACION!$E$2:$E$500,MATCH("D1.3a|"&amp;CAPTURA!AP37,CODIFICACION!$F$2:$F$500,0))),"⚠"))</f>
        <v/>
      </c>
      <c r="L37" t="str">
        <f>IF(CAPTURA!AQ37="","",IF(AND(ISNUMBER(CAPTURA!AQ37),CAPTURA!AQ37&gt;=0,CAPTURA!AQ37&lt;=4),CAPTURA!AQ37*25,"⚠"))</f>
        <v/>
      </c>
      <c r="M37" t="str">
        <f>IF(CAPTURA!AR37="","",IF(ISNUMBER(CAPTURA!AR37),MAX(0,MIN(100,CAPTURA!AR37)),"⚠"))</f>
        <v/>
      </c>
      <c r="N37" t="str">
        <f>IF(CAPTURA!AS37="","",IF(AND(ISNUMBER(CAPTURA!AS37),CAPTURA!AS37&gt;=0,CAPTURA!AS37&lt;=4),CAPTURA!AS37*25,"⚠"))</f>
        <v/>
      </c>
      <c r="O37" t="str">
        <f>IF(CAPTURA!AT37="","",IFERROR(IF(INDEX(CODIFICACION!$E$2:$E$500,MATCH("D2.8|"&amp;CAPTURA!AT37,CODIFICACION!$F$2:$F$500,0))="sin dato","",INDEX(CODIFICACION!$E$2:$E$500,MATCH("D2.8|"&amp;CAPTURA!AT37,CODIFICACION!$F$2:$F$500,0))),"⚠"))</f>
        <v/>
      </c>
      <c r="P37" t="str">
        <f>IF(CAPTURA!AU37="","",IFERROR(IF(INDEX(CODIFICACION!$E$2:$E$500,MATCH("D2.9|"&amp;CAPTURA!AU37,CODIFICACION!$F$2:$F$500,0))="sin dato","",INDEX(CODIFICACION!$E$2:$E$500,MATCH("D2.9|"&amp;CAPTURA!AU37,CODIFICACION!$F$2:$F$500,0))),"⚠"))</f>
        <v/>
      </c>
      <c r="Q37" t="str">
        <f>IF(CAPTURA!AV37="","",IFERROR(IF(INDEX(CODIFICACION!$E$2:$E$500,MATCH("D2.10|"&amp;CAPTURA!AV37,CODIFICACION!$F$2:$F$500,0))="sin dato","",INDEX(CODIFICACION!$E$2:$E$500,MATCH("D2.10|"&amp;CAPTURA!AV37,CODIFICACION!$F$2:$F$500,0))),"⚠"))</f>
        <v/>
      </c>
      <c r="R37" t="str">
        <f>IF(CAPTURA!AW37="","",IFERROR(IF(INDEX(CODIFICACION!$E$2:$E$500,MATCH("D2.5a|"&amp;CAPTURA!AW37,CODIFICACION!$F$2:$F$500,0))="sin dato","",INDEX(CODIFICACION!$E$2:$E$500,MATCH("D2.5a|"&amp;CAPTURA!AW37,CODIFICACION!$F$2:$F$500,0))),"⚠"))</f>
        <v/>
      </c>
      <c r="S37" t="str">
        <f>IF(CAPTURA!AX37="","",IFERROR(IF(INDEX(CODIFICACION!$E$2:$E$500,MATCH("D2.5b|"&amp;CAPTURA!AX37,CODIFICACION!$F$2:$F$500,0))="sin dato","",INDEX(CODIFICACION!$E$2:$E$500,MATCH("D2.5b|"&amp;CAPTURA!AX37,CODIFICACION!$F$2:$F$500,0))),"⚠"))</f>
        <v/>
      </c>
      <c r="T37" t="str">
        <f>IF(CAPTURA!AY37="","",IF(ISNUMBER(CAPTURA!AY37),MAX(0,MIN(100,CAPTURA!AY37)),"⚠"))</f>
        <v/>
      </c>
      <c r="U37" t="str">
        <f>IF(CAPTURA!AZ37="","",IFERROR(IF(INDEX(CODIFICACION!$E$2:$E$500,MATCH("D3.12|"&amp;CAPTURA!AZ37,CODIFICACION!$F$2:$F$500,0))="sin dato","",INDEX(CODIFICACION!$E$2:$E$500,MATCH("D3.12|"&amp;CAPTURA!AZ37,CODIFICACION!$F$2:$F$500,0))),"⚠"))</f>
        <v/>
      </c>
      <c r="V37" t="str">
        <f>IF(CAPTURA!BA37="","",IF(AND(ISNUMBER(CAPTURA!BA37),CAPTURA!BA37&gt;=0,CAPTURA!BA37&lt;=4),CAPTURA!BA37*25,"⚠"))</f>
        <v/>
      </c>
      <c r="W37" t="str">
        <f>IF(CAPTURA!BB37="","",IFERROR(IF(INDEX(CODIFICACION!$E$2:$E$500,MATCH("D3.14|"&amp;CAPTURA!BB37,CODIFICACION!$F$2:$F$500,0))="sin dato","",INDEX(CODIFICACION!$E$2:$E$500,MATCH("D3.14|"&amp;CAPTURA!BB37,CODIFICACION!$F$2:$F$500,0))),"⚠"))</f>
        <v/>
      </c>
      <c r="X37" t="str">
        <f>IF(CAPTURA!BC37="","",IFERROR(IF(INDEX(CODIFICACION!$E$2:$E$500,MATCH("D3.14a|"&amp;CAPTURA!BC37,CODIFICACION!$F$2:$F$500,0))="sin dato","",INDEX(CODIFICACION!$E$2:$E$500,MATCH("D3.14a|"&amp;CAPTURA!BC37,CODIFICACION!$F$2:$F$500,0))),"⚠"))</f>
        <v/>
      </c>
      <c r="Y37" t="str">
        <f>IF(CAPTURA!BD37="","",IFERROR(IF(INDEX(CODIFICACION!$E$2:$E$500,MATCH("D3.14b|"&amp;CAPTURA!BD37,CODIFICACION!$F$2:$F$500,0))="sin dato","",INDEX(CODIFICACION!$E$2:$E$500,MATCH("D3.14b|"&amp;CAPTURA!BD37,CODIFICACION!$F$2:$F$500,0))),"⚠"))</f>
        <v/>
      </c>
      <c r="Z37" t="str">
        <f>IF(CAPTURA!BE37="","",IFERROR(IF(INDEX(CODIFICACION!$E$2:$E$500,MATCH("D3.14c|"&amp;CAPTURA!BE37,CODIFICACION!$F$2:$F$500,0))="sin dato","",INDEX(CODIFICACION!$E$2:$E$500,MATCH("D3.14c|"&amp;CAPTURA!BE37,CODIFICACION!$F$2:$F$500,0))),"⚠"))</f>
        <v/>
      </c>
      <c r="AA37" t="str">
        <f>IF(CAPTURA!BF37="","",IFERROR(IF(INDEX(CODIFICACION!$E$2:$E$500,MATCH("D3.14d|"&amp;CAPTURA!BF37,CODIFICACION!$F$2:$F$500,0))="sin dato","",INDEX(CODIFICACION!$E$2:$E$500,MATCH("D3.14d|"&amp;CAPTURA!BF37,CODIFICACION!$F$2:$F$500,0))),"⚠"))</f>
        <v/>
      </c>
      <c r="AB37" t="str">
        <f>IF(CAPTURA!BG37="","",IFERROR(IF(INDEX(CODIFICACION!$E$2:$E$500,MATCH("D3.14e|"&amp;CAPTURA!BG37,CODIFICACION!$F$2:$F$500,0))="sin dato","",INDEX(CODIFICACION!$E$2:$E$500,MATCH("D3.14e|"&amp;CAPTURA!BG37,CODIFICACION!$F$2:$F$500,0))),"⚠"))</f>
        <v/>
      </c>
      <c r="AC37" t="str">
        <f>IF(CAPTURA!BH37="","",IFERROR(IF(INDEX(CODIFICACION!$E$2:$E$500,MATCH("D3.14f|"&amp;CAPTURA!BH37,CODIFICACION!$F$2:$F$500,0))="sin dato","",INDEX(CODIFICACION!$E$2:$E$500,MATCH("D3.14f|"&amp;CAPTURA!BH37,CODIFICACION!$F$2:$F$500,0))),"⚠"))</f>
        <v/>
      </c>
      <c r="AD37" t="str">
        <f>IF(CAPTURA!BI37="","",IFERROR(IF(INDEX(CODIFICACION!$E$2:$E$500,MATCH("D3.14g|"&amp;CAPTURA!BI37,CODIFICACION!$F$2:$F$500,0))="sin dato","",INDEX(CODIFICACION!$E$2:$E$500,MATCH("D3.14g|"&amp;CAPTURA!BI37,CODIFICACION!$F$2:$F$500,0))),"⚠"))</f>
        <v/>
      </c>
      <c r="AE37" t="str">
        <f>IF(CAPTURA!BJ37="","",IFERROR(IF(INDEX(CODIFICACION!$E$2:$E$500,MATCH("D3.14h|"&amp;CAPTURA!BJ37,CODIFICACION!$F$2:$F$500,0))="sin dato","",INDEX(CODIFICACION!$E$2:$E$500,MATCH("D3.14h|"&amp;CAPTURA!BJ37,CODIFICACION!$F$2:$F$500,0))),"⚠"))</f>
        <v/>
      </c>
      <c r="AF37" t="str">
        <f>IF(CAPTURA!BK37="","",IFERROR(IF(INDEX(CODIFICACION!$E$2:$E$500,MATCH("D3.14i|"&amp;CAPTURA!BK37,CODIFICACION!$F$2:$F$500,0))="sin dato","",INDEX(CODIFICACION!$E$2:$E$500,MATCH("D3.14i|"&amp;CAPTURA!BK37,CODIFICACION!$F$2:$F$500,0))),"⚠"))</f>
        <v/>
      </c>
      <c r="AG37" t="str">
        <f>IF(CAPTURA!BL37="","",IFERROR(IF(INDEX(CODIFICACION!$E$2:$E$500,MATCH("D4.15|"&amp;CAPTURA!BL37,CODIFICACION!$F$2:$F$500,0))="sin dato","",INDEX(CODIFICACION!$E$2:$E$500,MATCH("D4.15|"&amp;CAPTURA!BL37,CODIFICACION!$F$2:$F$500,0))),"⚠"))</f>
        <v/>
      </c>
      <c r="AH37" t="str">
        <f>IF(CAPTURA!BM37="","",IF(AND(ISNUMBER(CAPTURA!BM37),CAPTURA!BM37&gt;=0,CAPTURA!BM37&lt;=4),CAPTURA!BM37*25,"⚠"))</f>
        <v/>
      </c>
      <c r="AI37" t="str">
        <f>IF(CAPTURA!BN37="","",IFERROR(IF(INDEX(CODIFICACION!$E$2:$E$500,MATCH("D4.17|"&amp;CAPTURA!BN37,CODIFICACION!$F$2:$F$500,0))="sin dato","",INDEX(CODIFICACION!$E$2:$E$500,MATCH("D4.17|"&amp;CAPTURA!BN37,CODIFICACION!$F$2:$F$500,0))),"⚠"))</f>
        <v/>
      </c>
      <c r="AJ37" t="str">
        <f>IF(CAPTURA!BO37="","",IFERROR(IF(INDEX(CODIFICACION!$E$2:$E$500,MATCH("D4.15a|"&amp;CAPTURA!BO37,CODIFICACION!$F$2:$F$500,0))="sin dato","",INDEX(CODIFICACION!$E$2:$E$500,MATCH("D4.15a|"&amp;CAPTURA!BO37,CODIFICACION!$F$2:$F$500,0))),"⚠"))</f>
        <v/>
      </c>
      <c r="AK37" t="str">
        <f>IF(CAPTURA!BP37="","",IF(AND(ISNUMBER(CAPTURA!BP37),CAPTURA!BP37&gt;=0,CAPTURA!BP37&lt;=4),CAPTURA!BP37*25,"⚠"))</f>
        <v/>
      </c>
      <c r="AL37" t="str">
        <f>IF(CAPTURA!BQ37="","",IF(AND(ISNUMBER(CAPTURA!BQ37),CAPTURA!BQ37&gt;=0,CAPTURA!BQ37&lt;=4),CAPTURA!BQ37*25,"⚠"))</f>
        <v/>
      </c>
      <c r="AM37" t="str">
        <f>IF(CAPTURA!BR37="","",IFERROR(IF(INDEX(CODIFICACION!$E$2:$E$500,MATCH("D5.18b|"&amp;CAPTURA!BR37,CODIFICACION!$F$2:$F$500,0))="sin dato","",INDEX(CODIFICACION!$E$2:$E$500,MATCH("D5.18b|"&amp;CAPTURA!BR37,CODIFICACION!$F$2:$F$500,0))),"⚠"))</f>
        <v/>
      </c>
      <c r="AN37" t="str">
        <f>IF(CAPTURA!BS37="","",IFERROR(IF(INDEX(CODIFICACION!$E$2:$E$500,MATCH("D5.19|"&amp;CAPTURA!BS37,CODIFICACION!$F$2:$F$500,0))="sin dato","",INDEX(CODIFICACION!$E$2:$E$500,MATCH("D5.19|"&amp;CAPTURA!BS37,CODIFICACION!$F$2:$F$500,0))),"⚠"))</f>
        <v/>
      </c>
      <c r="AO37" t="str">
        <f>IF(CAPTURA!BT37="","",MIN(100,ROUND((LEN(CAPTURA!BT37)-LEN(SUBSTITUTE(CAPTURA!BT37,";",""))+1)/7*100,1)))</f>
        <v/>
      </c>
      <c r="AP37" t="str">
        <f>IF(CAPTURA!BU37="","",IFERROR(IF(INDEX(CODIFICACION!$E$2:$E$500,MATCH("D5.20|"&amp;CAPTURA!BU37,CODIFICACION!$F$2:$F$500,0))="sin dato","",INDEX(CODIFICACION!$E$2:$E$500,MATCH("D5.20|"&amp;CAPTURA!BU37,CODIFICACION!$F$2:$F$500,0))),"⚠"))</f>
        <v/>
      </c>
      <c r="AQ37" t="str">
        <f>IF(CAPTURA!BV37="","",IFERROR(IF(INDEX(CODIFICACION!$E$2:$E$500,MATCH("D5.21|"&amp;CAPTURA!BV37,CODIFICACION!$F$2:$F$500,0))="sin dato","",INDEX(CODIFICACION!$E$2:$E$500,MATCH("D5.21|"&amp;CAPTURA!BV37,CODIFICACION!$F$2:$F$500,0))),"⚠"))</f>
        <v/>
      </c>
      <c r="AR37" t="str">
        <f>IF(CAPTURA!BW37="","",IFERROR(IF(INDEX(CODIFICACION!$E$2:$E$500,MATCH("D5.21a|"&amp;CAPTURA!BW37,CODIFICACION!$F$2:$F$500,0))="sin dato","",INDEX(CODIFICACION!$E$2:$E$500,MATCH("D5.21a|"&amp;CAPTURA!BW37,CODIFICACION!$F$2:$F$500,0))),"⚠"))</f>
        <v/>
      </c>
      <c r="AS37" t="str">
        <f>IF(CAPTURA!BX37="","",IFERROR(IF(INDEX(CODIFICACION!$E$2:$E$500,MATCH("D5.21b|"&amp;CAPTURA!BX37,CODIFICACION!$F$2:$F$500,0))="sin dato","",INDEX(CODIFICACION!$E$2:$E$500,MATCH("D5.21b|"&amp;CAPTURA!BX37,CODIFICACION!$F$2:$F$500,0))),"⚠"))</f>
        <v/>
      </c>
      <c r="AT37" t="str">
        <f>IF(CAPTURA!BY37="","",IFERROR(IF(INDEX(CODIFICACION!$E$2:$E$500,MATCH("D6.22|"&amp;CAPTURA!BY37,CODIFICACION!$F$2:$F$500,0))="sin dato","",INDEX(CODIFICACION!$E$2:$E$500,MATCH("D6.22|"&amp;CAPTURA!BY37,CODIFICACION!$F$2:$F$500,0))),"⚠"))</f>
        <v/>
      </c>
      <c r="AU37" t="str">
        <f>IF(CAPTURA!BZ37="","",IFERROR(IF(INDEX(CODIFICACION!$E$2:$E$500,MATCH("D6.22a|"&amp;CAPTURA!BZ37,CODIFICACION!$F$2:$F$500,0))="sin dato","",INDEX(CODIFICACION!$E$2:$E$500,MATCH("D6.22a|"&amp;CAPTURA!BZ37,CODIFICACION!$F$2:$F$500,0))),"⚠"))</f>
        <v/>
      </c>
      <c r="AV37" t="str">
        <f>IF(CAPTURA!CA37="","",IFERROR(IF(INDEX(CODIFICACION!$E$2:$E$500,MATCH("D6.22b|"&amp;CAPTURA!CA37,CODIFICACION!$F$2:$F$500,0))="sin dato","",INDEX(CODIFICACION!$E$2:$E$500,MATCH("D6.22b|"&amp;CAPTURA!CA37,CODIFICACION!$F$2:$F$500,0))),"⚠"))</f>
        <v/>
      </c>
      <c r="AW37" t="str">
        <f>IF(CAPTURA!CB37="","",IFERROR(IF(INDEX(CODIFICACION!$E$2:$E$500,MATCH("D6.23|"&amp;CAPTURA!CB37,CODIFICACION!$F$2:$F$500,0))="sin dato","",INDEX(CODIFICACION!$E$2:$E$500,MATCH("D6.23|"&amp;CAPTURA!CB37,CODIFICACION!$F$2:$F$500,0))),"⚠"))</f>
        <v/>
      </c>
      <c r="AX37" t="str">
        <f>IF(CAPTURA!CC37="","",IFERROR(IF(INDEX(CODIFICACION!$E$2:$E$500,MATCH("D6.24|"&amp;CAPTURA!CC37,CODIFICACION!$F$2:$F$500,0))="sin dato","",INDEX(CODIFICACION!$E$2:$E$500,MATCH("D6.24|"&amp;CAPTURA!CC37,CODIFICACION!$F$2:$F$500,0))),"⚠"))</f>
        <v/>
      </c>
      <c r="AY37" t="str">
        <f>IF(CAPTURA!CD37="","",IFERROR(IF(INDEX(CODIFICACION!$E$2:$E$500,MATCH("D6.25|"&amp;CAPTURA!CD37,CODIFICACION!$F$2:$F$500,0))="sin dato","",INDEX(CODIFICACION!$E$2:$E$500,MATCH("D6.25|"&amp;CAPTURA!CD37,CODIFICACION!$F$2:$F$500,0))),"⚠"))</f>
        <v/>
      </c>
      <c r="AZ37" t="str">
        <f>IF(CAPTURA!CE37="","",IFERROR(IF(INDEX(CODIFICACION!$E$2:$E$500,MATCH("D6.25a|"&amp;CAPTURA!CE37,CODIFICACION!$F$2:$F$500,0))="sin dato","",INDEX(CODIFICACION!$E$2:$E$500,MATCH("D6.25a|"&amp;CAPTURA!CE37,CODIFICACION!$F$2:$F$500,0))),"⚠"))</f>
        <v/>
      </c>
      <c r="BA37" t="str">
        <f>IF(CAPTURA!CF37="","",IFERROR(IF(INDEX(CODIFICACION!$E$2:$E$500,MATCH("D6.25b|"&amp;CAPTURA!CF37,CODIFICACION!$F$2:$F$500,0))="sin dato","",INDEX(CODIFICACION!$E$2:$E$500,MATCH("D6.25b|"&amp;CAPTURA!CF37,CODIFICACION!$F$2:$F$500,0))),"⚠"))</f>
        <v/>
      </c>
      <c r="BB37" t="str">
        <f>IF(CAPTURA!CG37="","",IFERROR(IF(INDEX(CODIFICACION!$E$2:$E$500,MATCH("D6.22c|"&amp;CAPTURA!CG37,CODIFICACION!$F$2:$F$500,0))="sin dato","",INDEX(CODIFICACION!$E$2:$E$500,MATCH("D6.22c|"&amp;CAPTURA!CG37,CODIFICACION!$F$2:$F$500,0))),"⚠"))</f>
        <v/>
      </c>
      <c r="BC37" t="str">
        <f>IF(CAPTURA!CH37="","",IFERROR(IF(INDEX(CODIFICACION!$E$2:$E$500,MATCH("D7.26|"&amp;CAPTURA!CH37,CODIFICACION!$F$2:$F$500,0))="sin dato","",INDEX(CODIFICACION!$E$2:$E$500,MATCH("D7.26|"&amp;CAPTURA!CH37,CODIFICACION!$F$2:$F$500,0))),"⚠"))</f>
        <v/>
      </c>
      <c r="BD37" t="str">
        <f>IF(CAPTURA!CI37="","",IFERROR(IF(INDEX(CODIFICACION!$E$2:$E$500,MATCH("D7.27|"&amp;CAPTURA!CI37,CODIFICACION!$F$2:$F$500,0))="sin dato","",INDEX(CODIFICACION!$E$2:$E$500,MATCH("D7.27|"&amp;CAPTURA!CI37,CODIFICACION!$F$2:$F$500,0))),"⚠"))</f>
        <v/>
      </c>
      <c r="BE37" t="str">
        <f>IF(CAPTURA!CJ37="","",IFERROR(IF(INDEX(CODIFICACION!$E$2:$E$500,MATCH("D7.28|"&amp;CAPTURA!CJ37,CODIFICACION!$F$2:$F$500,0))="sin dato","",INDEX(CODIFICACION!$E$2:$E$500,MATCH("D7.28|"&amp;CAPTURA!CJ37,CODIFICACION!$F$2:$F$500,0))),"⚠"))</f>
        <v/>
      </c>
      <c r="BF37" t="str">
        <f>IF(CAPTURA!CK37="","",IFERROR(IF(INDEX(CODIFICACION!$E$2:$E$500,MATCH("D7.28b|"&amp;CAPTURA!CK37,CODIFICACION!$F$2:$F$500,0))="sin dato","",INDEX(CODIFICACION!$E$2:$E$500,MATCH("D7.28b|"&amp;CAPTURA!CK37,CODIFICACION!$F$2:$F$500,0))),"⚠"))</f>
        <v/>
      </c>
      <c r="BG37" t="str">
        <f>IF(CAPTURA!CL37="","",MIN(100,ROUND((LEN(CAPTURA!CL37)-LEN(SUBSTITUTE(CAPTURA!CL37,";",""))+1)/8*100,1)))</f>
        <v/>
      </c>
      <c r="BH37" t="str">
        <f>IF(CAPTURA!CM37="","",IFERROR(IF(INDEX(CODIFICACION!$E$2:$E$500,MATCH("D7.26a|"&amp;CAPTURA!CM37,CODIFICACION!$F$2:$F$500,0))="sin dato","",INDEX(CODIFICACION!$E$2:$E$500,MATCH("D7.26a|"&amp;CAPTURA!CM37,CODIFICACION!$F$2:$F$500,0))),"⚠"))</f>
        <v/>
      </c>
      <c r="BI37" t="str">
        <f>IF(CAPTURA!CN37="","",IFERROR(IF(INDEX(CODIFICACION!$E$2:$E$500,MATCH("D7.26b|"&amp;CAPTURA!CN37,CODIFICACION!$F$2:$F$500,0))="sin dato","",INDEX(CODIFICACION!$E$2:$E$500,MATCH("D7.26b|"&amp;CAPTURA!CN37,CODIFICACION!$F$2:$F$500,0))),"⚠"))</f>
        <v/>
      </c>
      <c r="BJ37" t="str">
        <f>IF(CAPTURA!CO37="","",IF(AND(ISNUMBER(CAPTURA!CO37),CAPTURA!CO37&gt;=0,CAPTURA!CO37&lt;=4),CAPTURA!CO37*25,"⚠"))</f>
        <v/>
      </c>
      <c r="BK37" t="str">
        <f>IF(CAPTURA!CP37="","",IF(ISNUMBER(CAPTURA!CP37),MAX(0,MIN(100,CAPTURA!CP37)),"⚠"))</f>
        <v/>
      </c>
      <c r="BL37" t="str">
        <f>IF(CAPTURA!CQ37="","",IFERROR(IF(INDEX(CODIFICACION!$E$2:$E$500,MATCH("D8.31|"&amp;CAPTURA!CQ37,CODIFICACION!$F$2:$F$500,0))="sin dato","",INDEX(CODIFICACION!$E$2:$E$500,MATCH("D8.31|"&amp;CAPTURA!CQ37,CODIFICACION!$F$2:$F$500,0))),"⚠"))</f>
        <v/>
      </c>
      <c r="BM37" t="str">
        <f>IF(CAPTURA!CR37="","",IFERROR(IF(INDEX(CODIFICACION!$E$2:$E$500,MATCH("D8.32|"&amp;CAPTURA!CR37,CODIFICACION!$F$2:$F$500,0))="sin dato","",INDEX(CODIFICACION!$E$2:$E$500,MATCH("D8.32|"&amp;CAPTURA!CR37,CODIFICACION!$F$2:$F$500,0))),"⚠"))</f>
        <v/>
      </c>
      <c r="BN37" t="str">
        <f>IF(CAPTURA!CS37="","",IFERROR(IF(INDEX(CODIFICACION!$E$2:$E$500,MATCH("D9.33|"&amp;CAPTURA!CS37,CODIFICACION!$F$2:$F$500,0))="sin dato","",INDEX(CODIFICACION!$E$2:$E$500,MATCH("D9.33|"&amp;CAPTURA!CS37,CODIFICACION!$F$2:$F$500,0))),"⚠"))</f>
        <v/>
      </c>
      <c r="BO37" t="str">
        <f>IF(CAPTURA!CT37="","",IFERROR(IF(INDEX(CODIFICACION!$E$2:$E$500,MATCH("D9.34|"&amp;CAPTURA!CT37,CODIFICACION!$F$2:$F$500,0))="sin dato","",INDEX(CODIFICACION!$E$2:$E$500,MATCH("D9.34|"&amp;CAPTURA!CT37,CODIFICACION!$F$2:$F$500,0))),"⚠"))</f>
        <v/>
      </c>
      <c r="BP37" t="str">
        <f>IF(CAPTURA!CU37="","",IFERROR(IF(INDEX(CODIFICACION!$E$2:$E$500,MATCH("D9.35|"&amp;CAPTURA!CU37,CODIFICACION!$F$2:$F$500,0))="sin dato","",INDEX(CODIFICACION!$E$2:$E$500,MATCH("D9.35|"&amp;CAPTURA!CU37,CODIFICACION!$F$2:$F$500,0))),"⚠"))</f>
        <v/>
      </c>
      <c r="BQ37" t="str">
        <f>IF(CAPTURA!CV37="","",IFERROR(IF(INDEX(CODIFICACION!$E$2:$E$500,MATCH("D10.36|"&amp;CAPTURA!CV37,CODIFICACION!$F$2:$F$500,0))="sin dato","",INDEX(CODIFICACION!$E$2:$E$500,MATCH("D10.36|"&amp;CAPTURA!CV37,CODIFICACION!$F$2:$F$500,0))),"⚠"))</f>
        <v/>
      </c>
      <c r="BR37" t="str">
        <f>IF(CAPTURA!CW37="","",IFERROR(IF(INDEX(CODIFICACION!$E$2:$E$500,MATCH("D10.37|"&amp;CAPTURA!CW37,CODIFICACION!$F$2:$F$500,0))="sin dato","",INDEX(CODIFICACION!$E$2:$E$500,MATCH("D10.37|"&amp;CAPTURA!CW37,CODIFICACION!$F$2:$F$500,0))),"⚠"))</f>
        <v/>
      </c>
      <c r="BS37" t="str">
        <f>IF(CAPTURA!CX37="","",IFERROR(IF(INDEX(CODIFICACION!$E$2:$E$500,MATCH("D10.36a|"&amp;CAPTURA!CX37,CODIFICACION!$F$2:$F$500,0))="sin dato","",INDEX(CODIFICACION!$E$2:$E$500,MATCH("D10.36a|"&amp;CAPTURA!CX37,CODIFICACION!$F$2:$F$500,0))),"⚠"))</f>
        <v/>
      </c>
      <c r="BT37" t="str">
        <f>IF(CAPTURA!CY37="","",IF(ISNUMBER(SEARCH("Ninguno",CAPTURA!CY37)),0,MIN(100,ROUND((LEN(CAPTURA!CY37)-LEN(SUBSTITUTE(CAPTURA!CY37,";",""))+1)/6*100,1))))</f>
        <v/>
      </c>
      <c r="BU37" t="str">
        <f>IF(CAPTURA!DA37="","",IFERROR(IF(INDEX(CODIFICACION!$E$2:$E$500,MATCH("D11.39a|"&amp;CAPTURA!DA37,CODIFICACION!$F$2:$F$500,0))="sin dato","",INDEX(CODIFICACION!$E$2:$E$500,MATCH("D11.39a|"&amp;CAPTURA!DA37,CODIFICACION!$F$2:$F$500,0))),"⚠"))</f>
        <v/>
      </c>
      <c r="BV37" t="str">
        <f>IF(CAPTURA!DB37="","",IFERROR(IF(INDEX(CODIFICACION!$E$2:$E$500,MATCH("D12.42|"&amp;CAPTURA!DB37,CODIFICACION!$F$2:$F$500,0))="sin dato","",INDEX(CODIFICACION!$E$2:$E$500,MATCH("D12.42|"&amp;CAPTURA!DB37,CODIFICACION!$F$2:$F$500,0))),"⚠"))</f>
        <v/>
      </c>
      <c r="BW37" t="str">
        <f>IF(CAPTURA!DC37="","",IFERROR(IF(INDEX(CODIFICACION!$E$2:$E$500,MATCH("D13.45|"&amp;CAPTURA!DC37,CODIFICACION!$F$2:$F$500,0))="sin dato","",INDEX(CODIFICACION!$E$2:$E$500,MATCH("D13.45|"&amp;CAPTURA!DC37,CODIFICACION!$F$2:$F$500,0))),"⚠"))</f>
        <v/>
      </c>
      <c r="BX37" t="str">
        <f>IF(CAPTURA!DD37="","",IFERROR(IF(INDEX(CODIFICACION!$E$2:$E$500,MATCH("D14.51|"&amp;CAPTURA!DD37,CODIFICACION!$F$2:$F$500,0))="sin dato","",INDEX(CODIFICACION!$E$2:$E$500,MATCH("D14.51|"&amp;CAPTURA!DD37,CODIFICACION!$F$2:$F$500,0))),"⚠"))</f>
        <v/>
      </c>
      <c r="BY37" t="str">
        <f>IF(CAPTURA!DE37="","",IFERROR(IF(INDEX(CODIFICACION!$E$2:$E$500,MATCH("D15.58|"&amp;CAPTURA!DE37,CODIFICACION!$F$2:$F$500,0))="sin dato","",INDEX(CODIFICACION!$E$2:$E$500,MATCH("D15.58|"&amp;CAPTURA!DE37,CODIFICACION!$F$2:$F$500,0))),"⚠"))</f>
        <v/>
      </c>
      <c r="BZ37" t="str">
        <f>IF(CAPTURA!DF37="","",IFERROR(IF(INDEX(CODIFICACION!$E$2:$E$500,MATCH("PP1|"&amp;CAPTURA!DF37,CODIFICACION!$F$2:$F$500,0))="sin dato","",INDEX(CODIFICACION!$E$2:$E$500,MATCH("PP1|"&amp;CAPTURA!DF37,CODIFICACION!$F$2:$F$500,0))),"⚠"))</f>
        <v/>
      </c>
      <c r="CA37" t="str">
        <f>IF(CAPTURA!DG37="","",IFERROR(IF(INDEX(CODIFICACION!$E$2:$E$500,MATCH("PP2|"&amp;CAPTURA!DG37,CODIFICACION!$F$2:$F$500,0))="sin dato","",INDEX(CODIFICACION!$E$2:$E$500,MATCH("PP2|"&amp;CAPTURA!DG37,CODIFICACION!$F$2:$F$500,0))),"⚠"))</f>
        <v/>
      </c>
      <c r="CB37" t="str">
        <f t="shared" si="11"/>
        <v/>
      </c>
      <c r="CC37" t="str">
        <f t="shared" si="12"/>
        <v/>
      </c>
      <c r="CD37" t="str">
        <f t="shared" si="13"/>
        <v/>
      </c>
      <c r="CE37" t="str">
        <f t="shared" si="14"/>
        <v/>
      </c>
      <c r="CF37" t="str">
        <f t="shared" si="15"/>
        <v/>
      </c>
      <c r="CG37" t="str">
        <f t="shared" si="16"/>
        <v/>
      </c>
      <c r="CH37" t="str">
        <f t="shared" si="17"/>
        <v/>
      </c>
      <c r="CI37" t="str">
        <f t="shared" si="18"/>
        <v/>
      </c>
      <c r="CJ37" t="str">
        <f t="shared" si="19"/>
        <v/>
      </c>
      <c r="CK37" t="str">
        <f t="shared" si="20"/>
        <v/>
      </c>
      <c r="CL37" t="str">
        <f t="shared" si="21"/>
        <v/>
      </c>
    </row>
    <row r="38" spans="1:90" x14ac:dyDescent="0.3">
      <c r="A38">
        <f>CAPTURA!A38</f>
        <v>20479856258</v>
      </c>
      <c r="B38">
        <f>CAPTURA!C38</f>
        <v>0</v>
      </c>
      <c r="C38" t="str">
        <f>IF(CAPTURA!M38="","",ROUND((ISNUMBER(SEARCH("Alemania",CAPTURA!M38))+ISNUMBER(SEARCH("Bélgica",CAPTURA!M38))+ISNUMBER(SEARCH("Países Bajos",CAPTURA!M38))+ISNUMBER(SEARCH("Francia",CAPTURA!M38))+ISNUMBER(SEARCH("Italia",CAPTURA!M38))+ISNUMBER(SEARCH("España",CAPTURA!M38))+ISNUMBER(SEARCH("Suecia",CAPTURA!M38))+ISNUMBER(SEARCH("Dinamarca",CAPTURA!M38)))/((LEN(CAPTURA!M38)-LEN(SUBSTITUTE(CAPTURA!M38,";","")))+1)*100,1))</f>
        <v/>
      </c>
      <c r="D38" t="str">
        <f>IF(CAPTURA!AE38="","",IFERROR(IF(INDEX(CODIFICACION!$E$2:$E$500,MATCH("P8|"&amp;CAPTURA!AE38,CODIFICACION!$F$2:$F$500,0))="sin dato","",INDEX(CODIFICACION!$E$2:$E$500,MATCH("P8|"&amp;CAPTURA!AE38,CODIFICACION!$F$2:$F$500,0))),"⚠"))</f>
        <v/>
      </c>
      <c r="E38" t="str">
        <f>IF(CAPTURA!AG38="","",IFERROR(IF(INDEX(CODIFICACION!$E$2:$E$500,MATCH("P10|"&amp;CAPTURA!AG38,CODIFICACION!$F$2:$F$500,0))="sin dato","",INDEX(CODIFICACION!$E$2:$E$500,MATCH("P10|"&amp;CAPTURA!AG38,CODIFICACION!$F$2:$F$500,0))),"⚠"))</f>
        <v/>
      </c>
      <c r="F38" t="str">
        <f>IF(CAPTURA!AJ38="","",IFERROR(IF(INDEX(CODIFICACION!$E$2:$E$500,MATCH("P13|"&amp;CAPTURA!AJ38,CODIFICACION!$F$2:$F$500,0))="sin dato","",INDEX(CODIFICACION!$E$2:$E$500,MATCH("P13|"&amp;CAPTURA!AJ38,CODIFICACION!$F$2:$F$500,0))),"⚠"))</f>
        <v/>
      </c>
      <c r="G38" t="str">
        <f>IF(CAPTURA!AK38="","",IFERROR(IF(INDEX(CODIFICACION!$E$2:$E$500,MATCH("P14|"&amp;CAPTURA!AK38,CODIFICACION!$F$2:$F$500,0))="sin dato","",INDEX(CODIFICACION!$E$2:$E$500,MATCH("P14|"&amp;CAPTURA!AK38,CODIFICACION!$F$2:$F$500,0))),"⚠"))</f>
        <v/>
      </c>
      <c r="H38" t="str">
        <f>IF(CAPTURA!AL38="","",IFERROR(IF(INDEX(CODIFICACION!$E$2:$E$500,MATCH("D1.1|"&amp;CAPTURA!AL38,CODIFICACION!$F$2:$F$500,0))="sin dato","",INDEX(CODIFICACION!$E$2:$E$500,MATCH("D1.1|"&amp;CAPTURA!AL38,CODIFICACION!$F$2:$F$500,0))),"⚠"))</f>
        <v/>
      </c>
      <c r="I38" t="str">
        <f>IF(CAPTURA!AN38="","",IFERROR(IF(INDEX(CODIFICACION!$E$2:$E$500,MATCH("D1.3|"&amp;CAPTURA!AN38,CODIFICACION!$F$2:$F$500,0))="sin dato","",INDEX(CODIFICACION!$E$2:$E$500,MATCH("D1.3|"&amp;CAPTURA!AN38,CODIFICACION!$F$2:$F$500,0))),"⚠"))</f>
        <v/>
      </c>
      <c r="J38" t="str">
        <f>IF(CAPTURA!AO38="","",IFERROR(IF(INDEX(CODIFICACION!$E$2:$E$500,MATCH("D1.4|"&amp;CAPTURA!AO38,CODIFICACION!$F$2:$F$500,0))="sin dato","",INDEX(CODIFICACION!$E$2:$E$500,MATCH("D1.4|"&amp;CAPTURA!AO38,CODIFICACION!$F$2:$F$500,0))),"⚠"))</f>
        <v/>
      </c>
      <c r="K38" t="str">
        <f>IF(CAPTURA!AP38="","",IFERROR(IF(INDEX(CODIFICACION!$E$2:$E$500,MATCH("D1.3a|"&amp;CAPTURA!AP38,CODIFICACION!$F$2:$F$500,0))="sin dato","",INDEX(CODIFICACION!$E$2:$E$500,MATCH("D1.3a|"&amp;CAPTURA!AP38,CODIFICACION!$F$2:$F$500,0))),"⚠"))</f>
        <v/>
      </c>
      <c r="L38" t="str">
        <f>IF(CAPTURA!AQ38="","",IF(AND(ISNUMBER(CAPTURA!AQ38),CAPTURA!AQ38&gt;=0,CAPTURA!AQ38&lt;=4),CAPTURA!AQ38*25,"⚠"))</f>
        <v/>
      </c>
      <c r="M38" t="str">
        <f>IF(CAPTURA!AR38="","",IF(ISNUMBER(CAPTURA!AR38),MAX(0,MIN(100,CAPTURA!AR38)),"⚠"))</f>
        <v/>
      </c>
      <c r="N38" t="str">
        <f>IF(CAPTURA!AS38="","",IF(AND(ISNUMBER(CAPTURA!AS38),CAPTURA!AS38&gt;=0,CAPTURA!AS38&lt;=4),CAPTURA!AS38*25,"⚠"))</f>
        <v/>
      </c>
      <c r="O38" t="str">
        <f>IF(CAPTURA!AT38="","",IFERROR(IF(INDEX(CODIFICACION!$E$2:$E$500,MATCH("D2.8|"&amp;CAPTURA!AT38,CODIFICACION!$F$2:$F$500,0))="sin dato","",INDEX(CODIFICACION!$E$2:$E$500,MATCH("D2.8|"&amp;CAPTURA!AT38,CODIFICACION!$F$2:$F$500,0))),"⚠"))</f>
        <v/>
      </c>
      <c r="P38" t="str">
        <f>IF(CAPTURA!AU38="","",IFERROR(IF(INDEX(CODIFICACION!$E$2:$E$500,MATCH("D2.9|"&amp;CAPTURA!AU38,CODIFICACION!$F$2:$F$500,0))="sin dato","",INDEX(CODIFICACION!$E$2:$E$500,MATCH("D2.9|"&amp;CAPTURA!AU38,CODIFICACION!$F$2:$F$500,0))),"⚠"))</f>
        <v/>
      </c>
      <c r="Q38" t="str">
        <f>IF(CAPTURA!AV38="","",IFERROR(IF(INDEX(CODIFICACION!$E$2:$E$500,MATCH("D2.10|"&amp;CAPTURA!AV38,CODIFICACION!$F$2:$F$500,0))="sin dato","",INDEX(CODIFICACION!$E$2:$E$500,MATCH("D2.10|"&amp;CAPTURA!AV38,CODIFICACION!$F$2:$F$500,0))),"⚠"))</f>
        <v/>
      </c>
      <c r="R38" t="str">
        <f>IF(CAPTURA!AW38="","",IFERROR(IF(INDEX(CODIFICACION!$E$2:$E$500,MATCH("D2.5a|"&amp;CAPTURA!AW38,CODIFICACION!$F$2:$F$500,0))="sin dato","",INDEX(CODIFICACION!$E$2:$E$500,MATCH("D2.5a|"&amp;CAPTURA!AW38,CODIFICACION!$F$2:$F$500,0))),"⚠"))</f>
        <v/>
      </c>
      <c r="S38" t="str">
        <f>IF(CAPTURA!AX38="","",IFERROR(IF(INDEX(CODIFICACION!$E$2:$E$500,MATCH("D2.5b|"&amp;CAPTURA!AX38,CODIFICACION!$F$2:$F$500,0))="sin dato","",INDEX(CODIFICACION!$E$2:$E$500,MATCH("D2.5b|"&amp;CAPTURA!AX38,CODIFICACION!$F$2:$F$500,0))),"⚠"))</f>
        <v/>
      </c>
      <c r="T38" t="str">
        <f>IF(CAPTURA!AY38="","",IF(ISNUMBER(CAPTURA!AY38),MAX(0,MIN(100,CAPTURA!AY38)),"⚠"))</f>
        <v/>
      </c>
      <c r="U38" t="str">
        <f>IF(CAPTURA!AZ38="","",IFERROR(IF(INDEX(CODIFICACION!$E$2:$E$500,MATCH("D3.12|"&amp;CAPTURA!AZ38,CODIFICACION!$F$2:$F$500,0))="sin dato","",INDEX(CODIFICACION!$E$2:$E$500,MATCH("D3.12|"&amp;CAPTURA!AZ38,CODIFICACION!$F$2:$F$500,0))),"⚠"))</f>
        <v/>
      </c>
      <c r="V38" t="str">
        <f>IF(CAPTURA!BA38="","",IF(AND(ISNUMBER(CAPTURA!BA38),CAPTURA!BA38&gt;=0,CAPTURA!BA38&lt;=4),CAPTURA!BA38*25,"⚠"))</f>
        <v/>
      </c>
      <c r="W38" t="str">
        <f>IF(CAPTURA!BB38="","",IFERROR(IF(INDEX(CODIFICACION!$E$2:$E$500,MATCH("D3.14|"&amp;CAPTURA!BB38,CODIFICACION!$F$2:$F$500,0))="sin dato","",INDEX(CODIFICACION!$E$2:$E$500,MATCH("D3.14|"&amp;CAPTURA!BB38,CODIFICACION!$F$2:$F$500,0))),"⚠"))</f>
        <v/>
      </c>
      <c r="X38" t="str">
        <f>IF(CAPTURA!BC38="","",IFERROR(IF(INDEX(CODIFICACION!$E$2:$E$500,MATCH("D3.14a|"&amp;CAPTURA!BC38,CODIFICACION!$F$2:$F$500,0))="sin dato","",INDEX(CODIFICACION!$E$2:$E$500,MATCH("D3.14a|"&amp;CAPTURA!BC38,CODIFICACION!$F$2:$F$500,0))),"⚠"))</f>
        <v/>
      </c>
      <c r="Y38" t="str">
        <f>IF(CAPTURA!BD38="","",IFERROR(IF(INDEX(CODIFICACION!$E$2:$E$500,MATCH("D3.14b|"&amp;CAPTURA!BD38,CODIFICACION!$F$2:$F$500,0))="sin dato","",INDEX(CODIFICACION!$E$2:$E$500,MATCH("D3.14b|"&amp;CAPTURA!BD38,CODIFICACION!$F$2:$F$500,0))),"⚠"))</f>
        <v/>
      </c>
      <c r="Z38" t="str">
        <f>IF(CAPTURA!BE38="","",IFERROR(IF(INDEX(CODIFICACION!$E$2:$E$500,MATCH("D3.14c|"&amp;CAPTURA!BE38,CODIFICACION!$F$2:$F$500,0))="sin dato","",INDEX(CODIFICACION!$E$2:$E$500,MATCH("D3.14c|"&amp;CAPTURA!BE38,CODIFICACION!$F$2:$F$500,0))),"⚠"))</f>
        <v/>
      </c>
      <c r="AA38" t="str">
        <f>IF(CAPTURA!BF38="","",IFERROR(IF(INDEX(CODIFICACION!$E$2:$E$500,MATCH("D3.14d|"&amp;CAPTURA!BF38,CODIFICACION!$F$2:$F$500,0))="sin dato","",INDEX(CODIFICACION!$E$2:$E$500,MATCH("D3.14d|"&amp;CAPTURA!BF38,CODIFICACION!$F$2:$F$500,0))),"⚠"))</f>
        <v/>
      </c>
      <c r="AB38" t="str">
        <f>IF(CAPTURA!BG38="","",IFERROR(IF(INDEX(CODIFICACION!$E$2:$E$500,MATCH("D3.14e|"&amp;CAPTURA!BG38,CODIFICACION!$F$2:$F$500,0))="sin dato","",INDEX(CODIFICACION!$E$2:$E$500,MATCH("D3.14e|"&amp;CAPTURA!BG38,CODIFICACION!$F$2:$F$500,0))),"⚠"))</f>
        <v/>
      </c>
      <c r="AC38" t="str">
        <f>IF(CAPTURA!BH38="","",IFERROR(IF(INDEX(CODIFICACION!$E$2:$E$500,MATCH("D3.14f|"&amp;CAPTURA!BH38,CODIFICACION!$F$2:$F$500,0))="sin dato","",INDEX(CODIFICACION!$E$2:$E$500,MATCH("D3.14f|"&amp;CAPTURA!BH38,CODIFICACION!$F$2:$F$500,0))),"⚠"))</f>
        <v/>
      </c>
      <c r="AD38" t="str">
        <f>IF(CAPTURA!BI38="","",IFERROR(IF(INDEX(CODIFICACION!$E$2:$E$500,MATCH("D3.14g|"&amp;CAPTURA!BI38,CODIFICACION!$F$2:$F$500,0))="sin dato","",INDEX(CODIFICACION!$E$2:$E$500,MATCH("D3.14g|"&amp;CAPTURA!BI38,CODIFICACION!$F$2:$F$500,0))),"⚠"))</f>
        <v/>
      </c>
      <c r="AE38" t="str">
        <f>IF(CAPTURA!BJ38="","",IFERROR(IF(INDEX(CODIFICACION!$E$2:$E$500,MATCH("D3.14h|"&amp;CAPTURA!BJ38,CODIFICACION!$F$2:$F$500,0))="sin dato","",INDEX(CODIFICACION!$E$2:$E$500,MATCH("D3.14h|"&amp;CAPTURA!BJ38,CODIFICACION!$F$2:$F$500,0))),"⚠"))</f>
        <v/>
      </c>
      <c r="AF38" t="str">
        <f>IF(CAPTURA!BK38="","",IFERROR(IF(INDEX(CODIFICACION!$E$2:$E$500,MATCH("D3.14i|"&amp;CAPTURA!BK38,CODIFICACION!$F$2:$F$500,0))="sin dato","",INDEX(CODIFICACION!$E$2:$E$500,MATCH("D3.14i|"&amp;CAPTURA!BK38,CODIFICACION!$F$2:$F$500,0))),"⚠"))</f>
        <v/>
      </c>
      <c r="AG38" t="str">
        <f>IF(CAPTURA!BL38="","",IFERROR(IF(INDEX(CODIFICACION!$E$2:$E$500,MATCH("D4.15|"&amp;CAPTURA!BL38,CODIFICACION!$F$2:$F$500,0))="sin dato","",INDEX(CODIFICACION!$E$2:$E$500,MATCH("D4.15|"&amp;CAPTURA!BL38,CODIFICACION!$F$2:$F$500,0))),"⚠"))</f>
        <v/>
      </c>
      <c r="AH38" t="str">
        <f>IF(CAPTURA!BM38="","",IF(AND(ISNUMBER(CAPTURA!BM38),CAPTURA!BM38&gt;=0,CAPTURA!BM38&lt;=4),CAPTURA!BM38*25,"⚠"))</f>
        <v/>
      </c>
      <c r="AI38" t="str">
        <f>IF(CAPTURA!BN38="","",IFERROR(IF(INDEX(CODIFICACION!$E$2:$E$500,MATCH("D4.17|"&amp;CAPTURA!BN38,CODIFICACION!$F$2:$F$500,0))="sin dato","",INDEX(CODIFICACION!$E$2:$E$500,MATCH("D4.17|"&amp;CAPTURA!BN38,CODIFICACION!$F$2:$F$500,0))),"⚠"))</f>
        <v/>
      </c>
      <c r="AJ38" t="str">
        <f>IF(CAPTURA!BO38="","",IFERROR(IF(INDEX(CODIFICACION!$E$2:$E$500,MATCH("D4.15a|"&amp;CAPTURA!BO38,CODIFICACION!$F$2:$F$500,0))="sin dato","",INDEX(CODIFICACION!$E$2:$E$500,MATCH("D4.15a|"&amp;CAPTURA!BO38,CODIFICACION!$F$2:$F$500,0))),"⚠"))</f>
        <v/>
      </c>
      <c r="AK38" t="str">
        <f>IF(CAPTURA!BP38="","",IF(AND(ISNUMBER(CAPTURA!BP38),CAPTURA!BP38&gt;=0,CAPTURA!BP38&lt;=4),CAPTURA!BP38*25,"⚠"))</f>
        <v/>
      </c>
      <c r="AL38" t="str">
        <f>IF(CAPTURA!BQ38="","",IF(AND(ISNUMBER(CAPTURA!BQ38),CAPTURA!BQ38&gt;=0,CAPTURA!BQ38&lt;=4),CAPTURA!BQ38*25,"⚠"))</f>
        <v/>
      </c>
      <c r="AM38" t="str">
        <f>IF(CAPTURA!BR38="","",IFERROR(IF(INDEX(CODIFICACION!$E$2:$E$500,MATCH("D5.18b|"&amp;CAPTURA!BR38,CODIFICACION!$F$2:$F$500,0))="sin dato","",INDEX(CODIFICACION!$E$2:$E$500,MATCH("D5.18b|"&amp;CAPTURA!BR38,CODIFICACION!$F$2:$F$500,0))),"⚠"))</f>
        <v/>
      </c>
      <c r="AN38" t="str">
        <f>IF(CAPTURA!BS38="","",IFERROR(IF(INDEX(CODIFICACION!$E$2:$E$500,MATCH("D5.19|"&amp;CAPTURA!BS38,CODIFICACION!$F$2:$F$500,0))="sin dato","",INDEX(CODIFICACION!$E$2:$E$500,MATCH("D5.19|"&amp;CAPTURA!BS38,CODIFICACION!$F$2:$F$500,0))),"⚠"))</f>
        <v/>
      </c>
      <c r="AO38" t="str">
        <f>IF(CAPTURA!BT38="","",MIN(100,ROUND((LEN(CAPTURA!BT38)-LEN(SUBSTITUTE(CAPTURA!BT38,";",""))+1)/7*100,1)))</f>
        <v/>
      </c>
      <c r="AP38" t="str">
        <f>IF(CAPTURA!BU38="","",IFERROR(IF(INDEX(CODIFICACION!$E$2:$E$500,MATCH("D5.20|"&amp;CAPTURA!BU38,CODIFICACION!$F$2:$F$500,0))="sin dato","",INDEX(CODIFICACION!$E$2:$E$500,MATCH("D5.20|"&amp;CAPTURA!BU38,CODIFICACION!$F$2:$F$500,0))),"⚠"))</f>
        <v/>
      </c>
      <c r="AQ38" t="str">
        <f>IF(CAPTURA!BV38="","",IFERROR(IF(INDEX(CODIFICACION!$E$2:$E$500,MATCH("D5.21|"&amp;CAPTURA!BV38,CODIFICACION!$F$2:$F$500,0))="sin dato","",INDEX(CODIFICACION!$E$2:$E$500,MATCH("D5.21|"&amp;CAPTURA!BV38,CODIFICACION!$F$2:$F$500,0))),"⚠"))</f>
        <v/>
      </c>
      <c r="AR38" t="str">
        <f>IF(CAPTURA!BW38="","",IFERROR(IF(INDEX(CODIFICACION!$E$2:$E$500,MATCH("D5.21a|"&amp;CAPTURA!BW38,CODIFICACION!$F$2:$F$500,0))="sin dato","",INDEX(CODIFICACION!$E$2:$E$500,MATCH("D5.21a|"&amp;CAPTURA!BW38,CODIFICACION!$F$2:$F$500,0))),"⚠"))</f>
        <v/>
      </c>
      <c r="AS38" t="str">
        <f>IF(CAPTURA!BX38="","",IFERROR(IF(INDEX(CODIFICACION!$E$2:$E$500,MATCH("D5.21b|"&amp;CAPTURA!BX38,CODIFICACION!$F$2:$F$500,0))="sin dato","",INDEX(CODIFICACION!$E$2:$E$500,MATCH("D5.21b|"&amp;CAPTURA!BX38,CODIFICACION!$F$2:$F$500,0))),"⚠"))</f>
        <v/>
      </c>
      <c r="AT38" t="str">
        <f>IF(CAPTURA!BY38="","",IFERROR(IF(INDEX(CODIFICACION!$E$2:$E$500,MATCH("D6.22|"&amp;CAPTURA!BY38,CODIFICACION!$F$2:$F$500,0))="sin dato","",INDEX(CODIFICACION!$E$2:$E$500,MATCH("D6.22|"&amp;CAPTURA!BY38,CODIFICACION!$F$2:$F$500,0))),"⚠"))</f>
        <v/>
      </c>
      <c r="AU38" t="str">
        <f>IF(CAPTURA!BZ38="","",IFERROR(IF(INDEX(CODIFICACION!$E$2:$E$500,MATCH("D6.22a|"&amp;CAPTURA!BZ38,CODIFICACION!$F$2:$F$500,0))="sin dato","",INDEX(CODIFICACION!$E$2:$E$500,MATCH("D6.22a|"&amp;CAPTURA!BZ38,CODIFICACION!$F$2:$F$500,0))),"⚠"))</f>
        <v/>
      </c>
      <c r="AV38" t="str">
        <f>IF(CAPTURA!CA38="","",IFERROR(IF(INDEX(CODIFICACION!$E$2:$E$500,MATCH("D6.22b|"&amp;CAPTURA!CA38,CODIFICACION!$F$2:$F$500,0))="sin dato","",INDEX(CODIFICACION!$E$2:$E$500,MATCH("D6.22b|"&amp;CAPTURA!CA38,CODIFICACION!$F$2:$F$500,0))),"⚠"))</f>
        <v/>
      </c>
      <c r="AW38" t="str">
        <f>IF(CAPTURA!CB38="","",IFERROR(IF(INDEX(CODIFICACION!$E$2:$E$500,MATCH("D6.23|"&amp;CAPTURA!CB38,CODIFICACION!$F$2:$F$500,0))="sin dato","",INDEX(CODIFICACION!$E$2:$E$500,MATCH("D6.23|"&amp;CAPTURA!CB38,CODIFICACION!$F$2:$F$500,0))),"⚠"))</f>
        <v/>
      </c>
      <c r="AX38" t="str">
        <f>IF(CAPTURA!CC38="","",IFERROR(IF(INDEX(CODIFICACION!$E$2:$E$500,MATCH("D6.24|"&amp;CAPTURA!CC38,CODIFICACION!$F$2:$F$500,0))="sin dato","",INDEX(CODIFICACION!$E$2:$E$500,MATCH("D6.24|"&amp;CAPTURA!CC38,CODIFICACION!$F$2:$F$500,0))),"⚠"))</f>
        <v/>
      </c>
      <c r="AY38" t="str">
        <f>IF(CAPTURA!CD38="","",IFERROR(IF(INDEX(CODIFICACION!$E$2:$E$500,MATCH("D6.25|"&amp;CAPTURA!CD38,CODIFICACION!$F$2:$F$500,0))="sin dato","",INDEX(CODIFICACION!$E$2:$E$500,MATCH("D6.25|"&amp;CAPTURA!CD38,CODIFICACION!$F$2:$F$500,0))),"⚠"))</f>
        <v/>
      </c>
      <c r="AZ38" t="str">
        <f>IF(CAPTURA!CE38="","",IFERROR(IF(INDEX(CODIFICACION!$E$2:$E$500,MATCH("D6.25a|"&amp;CAPTURA!CE38,CODIFICACION!$F$2:$F$500,0))="sin dato","",INDEX(CODIFICACION!$E$2:$E$500,MATCH("D6.25a|"&amp;CAPTURA!CE38,CODIFICACION!$F$2:$F$500,0))),"⚠"))</f>
        <v/>
      </c>
      <c r="BA38" t="str">
        <f>IF(CAPTURA!CF38="","",IFERROR(IF(INDEX(CODIFICACION!$E$2:$E$500,MATCH("D6.25b|"&amp;CAPTURA!CF38,CODIFICACION!$F$2:$F$500,0))="sin dato","",INDEX(CODIFICACION!$E$2:$E$500,MATCH("D6.25b|"&amp;CAPTURA!CF38,CODIFICACION!$F$2:$F$500,0))),"⚠"))</f>
        <v/>
      </c>
      <c r="BB38" t="str">
        <f>IF(CAPTURA!CG38="","",IFERROR(IF(INDEX(CODIFICACION!$E$2:$E$500,MATCH("D6.22c|"&amp;CAPTURA!CG38,CODIFICACION!$F$2:$F$500,0))="sin dato","",INDEX(CODIFICACION!$E$2:$E$500,MATCH("D6.22c|"&amp;CAPTURA!CG38,CODIFICACION!$F$2:$F$500,0))),"⚠"))</f>
        <v/>
      </c>
      <c r="BC38" t="str">
        <f>IF(CAPTURA!CH38="","",IFERROR(IF(INDEX(CODIFICACION!$E$2:$E$500,MATCH("D7.26|"&amp;CAPTURA!CH38,CODIFICACION!$F$2:$F$500,0))="sin dato","",INDEX(CODIFICACION!$E$2:$E$500,MATCH("D7.26|"&amp;CAPTURA!CH38,CODIFICACION!$F$2:$F$500,0))),"⚠"))</f>
        <v/>
      </c>
      <c r="BD38" t="str">
        <f>IF(CAPTURA!CI38="","",IFERROR(IF(INDEX(CODIFICACION!$E$2:$E$500,MATCH("D7.27|"&amp;CAPTURA!CI38,CODIFICACION!$F$2:$F$500,0))="sin dato","",INDEX(CODIFICACION!$E$2:$E$500,MATCH("D7.27|"&amp;CAPTURA!CI38,CODIFICACION!$F$2:$F$500,0))),"⚠"))</f>
        <v/>
      </c>
      <c r="BE38" t="str">
        <f>IF(CAPTURA!CJ38="","",IFERROR(IF(INDEX(CODIFICACION!$E$2:$E$500,MATCH("D7.28|"&amp;CAPTURA!CJ38,CODIFICACION!$F$2:$F$500,0))="sin dato","",INDEX(CODIFICACION!$E$2:$E$500,MATCH("D7.28|"&amp;CAPTURA!CJ38,CODIFICACION!$F$2:$F$500,0))),"⚠"))</f>
        <v/>
      </c>
      <c r="BF38" t="str">
        <f>IF(CAPTURA!CK38="","",IFERROR(IF(INDEX(CODIFICACION!$E$2:$E$500,MATCH("D7.28b|"&amp;CAPTURA!CK38,CODIFICACION!$F$2:$F$500,0))="sin dato","",INDEX(CODIFICACION!$E$2:$E$500,MATCH("D7.28b|"&amp;CAPTURA!CK38,CODIFICACION!$F$2:$F$500,0))),"⚠"))</f>
        <v/>
      </c>
      <c r="BG38" t="str">
        <f>IF(CAPTURA!CL38="","",MIN(100,ROUND((LEN(CAPTURA!CL38)-LEN(SUBSTITUTE(CAPTURA!CL38,";",""))+1)/8*100,1)))</f>
        <v/>
      </c>
      <c r="BH38" t="str">
        <f>IF(CAPTURA!CM38="","",IFERROR(IF(INDEX(CODIFICACION!$E$2:$E$500,MATCH("D7.26a|"&amp;CAPTURA!CM38,CODIFICACION!$F$2:$F$500,0))="sin dato","",INDEX(CODIFICACION!$E$2:$E$500,MATCH("D7.26a|"&amp;CAPTURA!CM38,CODIFICACION!$F$2:$F$500,0))),"⚠"))</f>
        <v/>
      </c>
      <c r="BI38" t="str">
        <f>IF(CAPTURA!CN38="","",IFERROR(IF(INDEX(CODIFICACION!$E$2:$E$500,MATCH("D7.26b|"&amp;CAPTURA!CN38,CODIFICACION!$F$2:$F$500,0))="sin dato","",INDEX(CODIFICACION!$E$2:$E$500,MATCH("D7.26b|"&amp;CAPTURA!CN38,CODIFICACION!$F$2:$F$500,0))),"⚠"))</f>
        <v/>
      </c>
      <c r="BJ38" t="str">
        <f>IF(CAPTURA!CO38="","",IF(AND(ISNUMBER(CAPTURA!CO38),CAPTURA!CO38&gt;=0,CAPTURA!CO38&lt;=4),CAPTURA!CO38*25,"⚠"))</f>
        <v/>
      </c>
      <c r="BK38" t="str">
        <f>IF(CAPTURA!CP38="","",IF(ISNUMBER(CAPTURA!CP38),MAX(0,MIN(100,CAPTURA!CP38)),"⚠"))</f>
        <v/>
      </c>
      <c r="BL38" t="str">
        <f>IF(CAPTURA!CQ38="","",IFERROR(IF(INDEX(CODIFICACION!$E$2:$E$500,MATCH("D8.31|"&amp;CAPTURA!CQ38,CODIFICACION!$F$2:$F$500,0))="sin dato","",INDEX(CODIFICACION!$E$2:$E$500,MATCH("D8.31|"&amp;CAPTURA!CQ38,CODIFICACION!$F$2:$F$500,0))),"⚠"))</f>
        <v/>
      </c>
      <c r="BM38" t="str">
        <f>IF(CAPTURA!CR38="","",IFERROR(IF(INDEX(CODIFICACION!$E$2:$E$500,MATCH("D8.32|"&amp;CAPTURA!CR38,CODIFICACION!$F$2:$F$500,0))="sin dato","",INDEX(CODIFICACION!$E$2:$E$500,MATCH("D8.32|"&amp;CAPTURA!CR38,CODIFICACION!$F$2:$F$500,0))),"⚠"))</f>
        <v/>
      </c>
      <c r="BN38" t="str">
        <f>IF(CAPTURA!CS38="","",IFERROR(IF(INDEX(CODIFICACION!$E$2:$E$500,MATCH("D9.33|"&amp;CAPTURA!CS38,CODIFICACION!$F$2:$F$500,0))="sin dato","",INDEX(CODIFICACION!$E$2:$E$500,MATCH("D9.33|"&amp;CAPTURA!CS38,CODIFICACION!$F$2:$F$500,0))),"⚠"))</f>
        <v/>
      </c>
      <c r="BO38" t="str">
        <f>IF(CAPTURA!CT38="","",IFERROR(IF(INDEX(CODIFICACION!$E$2:$E$500,MATCH("D9.34|"&amp;CAPTURA!CT38,CODIFICACION!$F$2:$F$500,0))="sin dato","",INDEX(CODIFICACION!$E$2:$E$500,MATCH("D9.34|"&amp;CAPTURA!CT38,CODIFICACION!$F$2:$F$500,0))),"⚠"))</f>
        <v/>
      </c>
      <c r="BP38" t="str">
        <f>IF(CAPTURA!CU38="","",IFERROR(IF(INDEX(CODIFICACION!$E$2:$E$500,MATCH("D9.35|"&amp;CAPTURA!CU38,CODIFICACION!$F$2:$F$500,0))="sin dato","",INDEX(CODIFICACION!$E$2:$E$500,MATCH("D9.35|"&amp;CAPTURA!CU38,CODIFICACION!$F$2:$F$500,0))),"⚠"))</f>
        <v/>
      </c>
      <c r="BQ38" t="str">
        <f>IF(CAPTURA!CV38="","",IFERROR(IF(INDEX(CODIFICACION!$E$2:$E$500,MATCH("D10.36|"&amp;CAPTURA!CV38,CODIFICACION!$F$2:$F$500,0))="sin dato","",INDEX(CODIFICACION!$E$2:$E$500,MATCH("D10.36|"&amp;CAPTURA!CV38,CODIFICACION!$F$2:$F$500,0))),"⚠"))</f>
        <v/>
      </c>
      <c r="BR38" t="str">
        <f>IF(CAPTURA!CW38="","",IFERROR(IF(INDEX(CODIFICACION!$E$2:$E$500,MATCH("D10.37|"&amp;CAPTURA!CW38,CODIFICACION!$F$2:$F$500,0))="sin dato","",INDEX(CODIFICACION!$E$2:$E$500,MATCH("D10.37|"&amp;CAPTURA!CW38,CODIFICACION!$F$2:$F$500,0))),"⚠"))</f>
        <v/>
      </c>
      <c r="BS38" t="str">
        <f>IF(CAPTURA!CX38="","",IFERROR(IF(INDEX(CODIFICACION!$E$2:$E$500,MATCH("D10.36a|"&amp;CAPTURA!CX38,CODIFICACION!$F$2:$F$500,0))="sin dato","",INDEX(CODIFICACION!$E$2:$E$500,MATCH("D10.36a|"&amp;CAPTURA!CX38,CODIFICACION!$F$2:$F$500,0))),"⚠"))</f>
        <v/>
      </c>
      <c r="BT38" t="str">
        <f>IF(CAPTURA!CY38="","",IF(ISNUMBER(SEARCH("Ninguno",CAPTURA!CY38)),0,MIN(100,ROUND((LEN(CAPTURA!CY38)-LEN(SUBSTITUTE(CAPTURA!CY38,";",""))+1)/6*100,1))))</f>
        <v/>
      </c>
      <c r="BU38" t="str">
        <f>IF(CAPTURA!DA38="","",IFERROR(IF(INDEX(CODIFICACION!$E$2:$E$500,MATCH("D11.39a|"&amp;CAPTURA!DA38,CODIFICACION!$F$2:$F$500,0))="sin dato","",INDEX(CODIFICACION!$E$2:$E$500,MATCH("D11.39a|"&amp;CAPTURA!DA38,CODIFICACION!$F$2:$F$500,0))),"⚠"))</f>
        <v/>
      </c>
      <c r="BV38" t="str">
        <f>IF(CAPTURA!DB38="","",IFERROR(IF(INDEX(CODIFICACION!$E$2:$E$500,MATCH("D12.42|"&amp;CAPTURA!DB38,CODIFICACION!$F$2:$F$500,0))="sin dato","",INDEX(CODIFICACION!$E$2:$E$500,MATCH("D12.42|"&amp;CAPTURA!DB38,CODIFICACION!$F$2:$F$500,0))),"⚠"))</f>
        <v/>
      </c>
      <c r="BW38" t="str">
        <f>IF(CAPTURA!DC38="","",IFERROR(IF(INDEX(CODIFICACION!$E$2:$E$500,MATCH("D13.45|"&amp;CAPTURA!DC38,CODIFICACION!$F$2:$F$500,0))="sin dato","",INDEX(CODIFICACION!$E$2:$E$500,MATCH("D13.45|"&amp;CAPTURA!DC38,CODIFICACION!$F$2:$F$500,0))),"⚠"))</f>
        <v/>
      </c>
      <c r="BX38" t="str">
        <f>IF(CAPTURA!DD38="","",IFERROR(IF(INDEX(CODIFICACION!$E$2:$E$500,MATCH("D14.51|"&amp;CAPTURA!DD38,CODIFICACION!$F$2:$F$500,0))="sin dato","",INDEX(CODIFICACION!$E$2:$E$500,MATCH("D14.51|"&amp;CAPTURA!DD38,CODIFICACION!$F$2:$F$500,0))),"⚠"))</f>
        <v/>
      </c>
      <c r="BY38" t="str">
        <f>IF(CAPTURA!DE38="","",IFERROR(IF(INDEX(CODIFICACION!$E$2:$E$500,MATCH("D15.58|"&amp;CAPTURA!DE38,CODIFICACION!$F$2:$F$500,0))="sin dato","",INDEX(CODIFICACION!$E$2:$E$500,MATCH("D15.58|"&amp;CAPTURA!DE38,CODIFICACION!$F$2:$F$500,0))),"⚠"))</f>
        <v/>
      </c>
      <c r="BZ38" t="str">
        <f>IF(CAPTURA!DF38="","",IFERROR(IF(INDEX(CODIFICACION!$E$2:$E$500,MATCH("PP1|"&amp;CAPTURA!DF38,CODIFICACION!$F$2:$F$500,0))="sin dato","",INDEX(CODIFICACION!$E$2:$E$500,MATCH("PP1|"&amp;CAPTURA!DF38,CODIFICACION!$F$2:$F$500,0))),"⚠"))</f>
        <v/>
      </c>
      <c r="CA38" t="str">
        <f>IF(CAPTURA!DG38="","",IFERROR(IF(INDEX(CODIFICACION!$E$2:$E$500,MATCH("PP2|"&amp;CAPTURA!DG38,CODIFICACION!$F$2:$F$500,0))="sin dato","",INDEX(CODIFICACION!$E$2:$E$500,MATCH("PP2|"&amp;CAPTURA!DG38,CODIFICACION!$F$2:$F$500,0))),"⚠"))</f>
        <v/>
      </c>
      <c r="CB38" t="str">
        <f t="shared" si="11"/>
        <v/>
      </c>
      <c r="CC38" t="str">
        <f t="shared" si="12"/>
        <v/>
      </c>
      <c r="CD38" t="str">
        <f t="shared" si="13"/>
        <v/>
      </c>
      <c r="CE38" t="str">
        <f t="shared" si="14"/>
        <v/>
      </c>
      <c r="CF38" t="str">
        <f t="shared" si="15"/>
        <v/>
      </c>
      <c r="CG38" t="str">
        <f t="shared" si="16"/>
        <v/>
      </c>
      <c r="CH38" t="str">
        <f t="shared" si="17"/>
        <v/>
      </c>
      <c r="CI38" t="str">
        <f t="shared" si="18"/>
        <v/>
      </c>
      <c r="CJ38" t="str">
        <f t="shared" si="19"/>
        <v/>
      </c>
      <c r="CK38" t="str">
        <f t="shared" si="20"/>
        <v/>
      </c>
      <c r="CL38" t="str">
        <f t="shared" si="21"/>
        <v/>
      </c>
    </row>
    <row r="39" spans="1:90" x14ac:dyDescent="0.3">
      <c r="A39">
        <f>CAPTURA!A39</f>
        <v>20479917141</v>
      </c>
      <c r="B39">
        <f>CAPTURA!C39</f>
        <v>0</v>
      </c>
      <c r="C39" t="str">
        <f>IF(CAPTURA!M39="","",ROUND((ISNUMBER(SEARCH("Alemania",CAPTURA!M39))+ISNUMBER(SEARCH("Bélgica",CAPTURA!M39))+ISNUMBER(SEARCH("Países Bajos",CAPTURA!M39))+ISNUMBER(SEARCH("Francia",CAPTURA!M39))+ISNUMBER(SEARCH("Italia",CAPTURA!M39))+ISNUMBER(SEARCH("España",CAPTURA!M39))+ISNUMBER(SEARCH("Suecia",CAPTURA!M39))+ISNUMBER(SEARCH("Dinamarca",CAPTURA!M39)))/((LEN(CAPTURA!M39)-LEN(SUBSTITUTE(CAPTURA!M39,";","")))+1)*100,1))</f>
        <v/>
      </c>
      <c r="D39" t="str">
        <f>IF(CAPTURA!AE39="","",IFERROR(IF(INDEX(CODIFICACION!$E$2:$E$500,MATCH("P8|"&amp;CAPTURA!AE39,CODIFICACION!$F$2:$F$500,0))="sin dato","",INDEX(CODIFICACION!$E$2:$E$500,MATCH("P8|"&amp;CAPTURA!AE39,CODIFICACION!$F$2:$F$500,0))),"⚠"))</f>
        <v/>
      </c>
      <c r="E39" t="str">
        <f>IF(CAPTURA!AG39="","",IFERROR(IF(INDEX(CODIFICACION!$E$2:$E$500,MATCH("P10|"&amp;CAPTURA!AG39,CODIFICACION!$F$2:$F$500,0))="sin dato","",INDEX(CODIFICACION!$E$2:$E$500,MATCH("P10|"&amp;CAPTURA!AG39,CODIFICACION!$F$2:$F$500,0))),"⚠"))</f>
        <v/>
      </c>
      <c r="F39" t="str">
        <f>IF(CAPTURA!AJ39="","",IFERROR(IF(INDEX(CODIFICACION!$E$2:$E$500,MATCH("P13|"&amp;CAPTURA!AJ39,CODIFICACION!$F$2:$F$500,0))="sin dato","",INDEX(CODIFICACION!$E$2:$E$500,MATCH("P13|"&amp;CAPTURA!AJ39,CODIFICACION!$F$2:$F$500,0))),"⚠"))</f>
        <v/>
      </c>
      <c r="G39" t="str">
        <f>IF(CAPTURA!AK39="","",IFERROR(IF(INDEX(CODIFICACION!$E$2:$E$500,MATCH("P14|"&amp;CAPTURA!AK39,CODIFICACION!$F$2:$F$500,0))="sin dato","",INDEX(CODIFICACION!$E$2:$E$500,MATCH("P14|"&amp;CAPTURA!AK39,CODIFICACION!$F$2:$F$500,0))),"⚠"))</f>
        <v/>
      </c>
      <c r="H39" t="str">
        <f>IF(CAPTURA!AL39="","",IFERROR(IF(INDEX(CODIFICACION!$E$2:$E$500,MATCH("D1.1|"&amp;CAPTURA!AL39,CODIFICACION!$F$2:$F$500,0))="sin dato","",INDEX(CODIFICACION!$E$2:$E$500,MATCH("D1.1|"&amp;CAPTURA!AL39,CODIFICACION!$F$2:$F$500,0))),"⚠"))</f>
        <v/>
      </c>
      <c r="I39" t="str">
        <f>IF(CAPTURA!AN39="","",IFERROR(IF(INDEX(CODIFICACION!$E$2:$E$500,MATCH("D1.3|"&amp;CAPTURA!AN39,CODIFICACION!$F$2:$F$500,0))="sin dato","",INDEX(CODIFICACION!$E$2:$E$500,MATCH("D1.3|"&amp;CAPTURA!AN39,CODIFICACION!$F$2:$F$500,0))),"⚠"))</f>
        <v/>
      </c>
      <c r="J39" t="str">
        <f>IF(CAPTURA!AO39="","",IFERROR(IF(INDEX(CODIFICACION!$E$2:$E$500,MATCH("D1.4|"&amp;CAPTURA!AO39,CODIFICACION!$F$2:$F$500,0))="sin dato","",INDEX(CODIFICACION!$E$2:$E$500,MATCH("D1.4|"&amp;CAPTURA!AO39,CODIFICACION!$F$2:$F$500,0))),"⚠"))</f>
        <v/>
      </c>
      <c r="K39" t="str">
        <f>IF(CAPTURA!AP39="","",IFERROR(IF(INDEX(CODIFICACION!$E$2:$E$500,MATCH("D1.3a|"&amp;CAPTURA!AP39,CODIFICACION!$F$2:$F$500,0))="sin dato","",INDEX(CODIFICACION!$E$2:$E$500,MATCH("D1.3a|"&amp;CAPTURA!AP39,CODIFICACION!$F$2:$F$500,0))),"⚠"))</f>
        <v/>
      </c>
      <c r="L39" t="str">
        <f>IF(CAPTURA!AQ39="","",IF(AND(ISNUMBER(CAPTURA!AQ39),CAPTURA!AQ39&gt;=0,CAPTURA!AQ39&lt;=4),CAPTURA!AQ39*25,"⚠"))</f>
        <v/>
      </c>
      <c r="M39" t="str">
        <f>IF(CAPTURA!AR39="","",IF(ISNUMBER(CAPTURA!AR39),MAX(0,MIN(100,CAPTURA!AR39)),"⚠"))</f>
        <v/>
      </c>
      <c r="N39" t="str">
        <f>IF(CAPTURA!AS39="","",IF(AND(ISNUMBER(CAPTURA!AS39),CAPTURA!AS39&gt;=0,CAPTURA!AS39&lt;=4),CAPTURA!AS39*25,"⚠"))</f>
        <v/>
      </c>
      <c r="O39" t="str">
        <f>IF(CAPTURA!AT39="","",IFERROR(IF(INDEX(CODIFICACION!$E$2:$E$500,MATCH("D2.8|"&amp;CAPTURA!AT39,CODIFICACION!$F$2:$F$500,0))="sin dato","",INDEX(CODIFICACION!$E$2:$E$500,MATCH("D2.8|"&amp;CAPTURA!AT39,CODIFICACION!$F$2:$F$500,0))),"⚠"))</f>
        <v/>
      </c>
      <c r="P39" t="str">
        <f>IF(CAPTURA!AU39="","",IFERROR(IF(INDEX(CODIFICACION!$E$2:$E$500,MATCH("D2.9|"&amp;CAPTURA!AU39,CODIFICACION!$F$2:$F$500,0))="sin dato","",INDEX(CODIFICACION!$E$2:$E$500,MATCH("D2.9|"&amp;CAPTURA!AU39,CODIFICACION!$F$2:$F$500,0))),"⚠"))</f>
        <v/>
      </c>
      <c r="Q39" t="str">
        <f>IF(CAPTURA!AV39="","",IFERROR(IF(INDEX(CODIFICACION!$E$2:$E$500,MATCH("D2.10|"&amp;CAPTURA!AV39,CODIFICACION!$F$2:$F$500,0))="sin dato","",INDEX(CODIFICACION!$E$2:$E$500,MATCH("D2.10|"&amp;CAPTURA!AV39,CODIFICACION!$F$2:$F$500,0))),"⚠"))</f>
        <v/>
      </c>
      <c r="R39" t="str">
        <f>IF(CAPTURA!AW39="","",IFERROR(IF(INDEX(CODIFICACION!$E$2:$E$500,MATCH("D2.5a|"&amp;CAPTURA!AW39,CODIFICACION!$F$2:$F$500,0))="sin dato","",INDEX(CODIFICACION!$E$2:$E$500,MATCH("D2.5a|"&amp;CAPTURA!AW39,CODIFICACION!$F$2:$F$500,0))),"⚠"))</f>
        <v/>
      </c>
      <c r="S39" t="str">
        <f>IF(CAPTURA!AX39="","",IFERROR(IF(INDEX(CODIFICACION!$E$2:$E$500,MATCH("D2.5b|"&amp;CAPTURA!AX39,CODIFICACION!$F$2:$F$500,0))="sin dato","",INDEX(CODIFICACION!$E$2:$E$500,MATCH("D2.5b|"&amp;CAPTURA!AX39,CODIFICACION!$F$2:$F$500,0))),"⚠"))</f>
        <v/>
      </c>
      <c r="T39" t="str">
        <f>IF(CAPTURA!AY39="","",IF(ISNUMBER(CAPTURA!AY39),MAX(0,MIN(100,CAPTURA!AY39)),"⚠"))</f>
        <v/>
      </c>
      <c r="U39" t="str">
        <f>IF(CAPTURA!AZ39="","",IFERROR(IF(INDEX(CODIFICACION!$E$2:$E$500,MATCH("D3.12|"&amp;CAPTURA!AZ39,CODIFICACION!$F$2:$F$500,0))="sin dato","",INDEX(CODIFICACION!$E$2:$E$500,MATCH("D3.12|"&amp;CAPTURA!AZ39,CODIFICACION!$F$2:$F$500,0))),"⚠"))</f>
        <v/>
      </c>
      <c r="V39" t="str">
        <f>IF(CAPTURA!BA39="","",IF(AND(ISNUMBER(CAPTURA!BA39),CAPTURA!BA39&gt;=0,CAPTURA!BA39&lt;=4),CAPTURA!BA39*25,"⚠"))</f>
        <v/>
      </c>
      <c r="W39" t="str">
        <f>IF(CAPTURA!BB39="","",IFERROR(IF(INDEX(CODIFICACION!$E$2:$E$500,MATCH("D3.14|"&amp;CAPTURA!BB39,CODIFICACION!$F$2:$F$500,0))="sin dato","",INDEX(CODIFICACION!$E$2:$E$500,MATCH("D3.14|"&amp;CAPTURA!BB39,CODIFICACION!$F$2:$F$500,0))),"⚠"))</f>
        <v/>
      </c>
      <c r="X39" t="str">
        <f>IF(CAPTURA!BC39="","",IFERROR(IF(INDEX(CODIFICACION!$E$2:$E$500,MATCH("D3.14a|"&amp;CAPTURA!BC39,CODIFICACION!$F$2:$F$500,0))="sin dato","",INDEX(CODIFICACION!$E$2:$E$500,MATCH("D3.14a|"&amp;CAPTURA!BC39,CODIFICACION!$F$2:$F$500,0))),"⚠"))</f>
        <v/>
      </c>
      <c r="Y39" t="str">
        <f>IF(CAPTURA!BD39="","",IFERROR(IF(INDEX(CODIFICACION!$E$2:$E$500,MATCH("D3.14b|"&amp;CAPTURA!BD39,CODIFICACION!$F$2:$F$500,0))="sin dato","",INDEX(CODIFICACION!$E$2:$E$500,MATCH("D3.14b|"&amp;CAPTURA!BD39,CODIFICACION!$F$2:$F$500,0))),"⚠"))</f>
        <v/>
      </c>
      <c r="Z39" t="str">
        <f>IF(CAPTURA!BE39="","",IFERROR(IF(INDEX(CODIFICACION!$E$2:$E$500,MATCH("D3.14c|"&amp;CAPTURA!BE39,CODIFICACION!$F$2:$F$500,0))="sin dato","",INDEX(CODIFICACION!$E$2:$E$500,MATCH("D3.14c|"&amp;CAPTURA!BE39,CODIFICACION!$F$2:$F$500,0))),"⚠"))</f>
        <v/>
      </c>
      <c r="AA39" t="str">
        <f>IF(CAPTURA!BF39="","",IFERROR(IF(INDEX(CODIFICACION!$E$2:$E$500,MATCH("D3.14d|"&amp;CAPTURA!BF39,CODIFICACION!$F$2:$F$500,0))="sin dato","",INDEX(CODIFICACION!$E$2:$E$500,MATCH("D3.14d|"&amp;CAPTURA!BF39,CODIFICACION!$F$2:$F$500,0))),"⚠"))</f>
        <v/>
      </c>
      <c r="AB39" t="str">
        <f>IF(CAPTURA!BG39="","",IFERROR(IF(INDEX(CODIFICACION!$E$2:$E$500,MATCH("D3.14e|"&amp;CAPTURA!BG39,CODIFICACION!$F$2:$F$500,0))="sin dato","",INDEX(CODIFICACION!$E$2:$E$500,MATCH("D3.14e|"&amp;CAPTURA!BG39,CODIFICACION!$F$2:$F$500,0))),"⚠"))</f>
        <v/>
      </c>
      <c r="AC39" t="str">
        <f>IF(CAPTURA!BH39="","",IFERROR(IF(INDEX(CODIFICACION!$E$2:$E$500,MATCH("D3.14f|"&amp;CAPTURA!BH39,CODIFICACION!$F$2:$F$500,0))="sin dato","",INDEX(CODIFICACION!$E$2:$E$500,MATCH("D3.14f|"&amp;CAPTURA!BH39,CODIFICACION!$F$2:$F$500,0))),"⚠"))</f>
        <v/>
      </c>
      <c r="AD39" t="str">
        <f>IF(CAPTURA!BI39="","",IFERROR(IF(INDEX(CODIFICACION!$E$2:$E$500,MATCH("D3.14g|"&amp;CAPTURA!BI39,CODIFICACION!$F$2:$F$500,0))="sin dato","",INDEX(CODIFICACION!$E$2:$E$500,MATCH("D3.14g|"&amp;CAPTURA!BI39,CODIFICACION!$F$2:$F$500,0))),"⚠"))</f>
        <v/>
      </c>
      <c r="AE39" t="str">
        <f>IF(CAPTURA!BJ39="","",IFERROR(IF(INDEX(CODIFICACION!$E$2:$E$500,MATCH("D3.14h|"&amp;CAPTURA!BJ39,CODIFICACION!$F$2:$F$500,0))="sin dato","",INDEX(CODIFICACION!$E$2:$E$500,MATCH("D3.14h|"&amp;CAPTURA!BJ39,CODIFICACION!$F$2:$F$500,0))),"⚠"))</f>
        <v/>
      </c>
      <c r="AF39" t="str">
        <f>IF(CAPTURA!BK39="","",IFERROR(IF(INDEX(CODIFICACION!$E$2:$E$500,MATCH("D3.14i|"&amp;CAPTURA!BK39,CODIFICACION!$F$2:$F$500,0))="sin dato","",INDEX(CODIFICACION!$E$2:$E$500,MATCH("D3.14i|"&amp;CAPTURA!BK39,CODIFICACION!$F$2:$F$500,0))),"⚠"))</f>
        <v/>
      </c>
      <c r="AG39" t="str">
        <f>IF(CAPTURA!BL39="","",IFERROR(IF(INDEX(CODIFICACION!$E$2:$E$500,MATCH("D4.15|"&amp;CAPTURA!BL39,CODIFICACION!$F$2:$F$500,0))="sin dato","",INDEX(CODIFICACION!$E$2:$E$500,MATCH("D4.15|"&amp;CAPTURA!BL39,CODIFICACION!$F$2:$F$500,0))),"⚠"))</f>
        <v/>
      </c>
      <c r="AH39" t="str">
        <f>IF(CAPTURA!BM39="","",IF(AND(ISNUMBER(CAPTURA!BM39),CAPTURA!BM39&gt;=0,CAPTURA!BM39&lt;=4),CAPTURA!BM39*25,"⚠"))</f>
        <v/>
      </c>
      <c r="AI39" t="str">
        <f>IF(CAPTURA!BN39="","",IFERROR(IF(INDEX(CODIFICACION!$E$2:$E$500,MATCH("D4.17|"&amp;CAPTURA!BN39,CODIFICACION!$F$2:$F$500,0))="sin dato","",INDEX(CODIFICACION!$E$2:$E$500,MATCH("D4.17|"&amp;CAPTURA!BN39,CODIFICACION!$F$2:$F$500,0))),"⚠"))</f>
        <v/>
      </c>
      <c r="AJ39" t="str">
        <f>IF(CAPTURA!BO39="","",IFERROR(IF(INDEX(CODIFICACION!$E$2:$E$500,MATCH("D4.15a|"&amp;CAPTURA!BO39,CODIFICACION!$F$2:$F$500,0))="sin dato","",INDEX(CODIFICACION!$E$2:$E$500,MATCH("D4.15a|"&amp;CAPTURA!BO39,CODIFICACION!$F$2:$F$500,0))),"⚠"))</f>
        <v/>
      </c>
      <c r="AK39" t="str">
        <f>IF(CAPTURA!BP39="","",IF(AND(ISNUMBER(CAPTURA!BP39),CAPTURA!BP39&gt;=0,CAPTURA!BP39&lt;=4),CAPTURA!BP39*25,"⚠"))</f>
        <v/>
      </c>
      <c r="AL39" t="str">
        <f>IF(CAPTURA!BQ39="","",IF(AND(ISNUMBER(CAPTURA!BQ39),CAPTURA!BQ39&gt;=0,CAPTURA!BQ39&lt;=4),CAPTURA!BQ39*25,"⚠"))</f>
        <v/>
      </c>
      <c r="AM39" t="str">
        <f>IF(CAPTURA!BR39="","",IFERROR(IF(INDEX(CODIFICACION!$E$2:$E$500,MATCH("D5.18b|"&amp;CAPTURA!BR39,CODIFICACION!$F$2:$F$500,0))="sin dato","",INDEX(CODIFICACION!$E$2:$E$500,MATCH("D5.18b|"&amp;CAPTURA!BR39,CODIFICACION!$F$2:$F$500,0))),"⚠"))</f>
        <v/>
      </c>
      <c r="AN39" t="str">
        <f>IF(CAPTURA!BS39="","",IFERROR(IF(INDEX(CODIFICACION!$E$2:$E$500,MATCH("D5.19|"&amp;CAPTURA!BS39,CODIFICACION!$F$2:$F$500,0))="sin dato","",INDEX(CODIFICACION!$E$2:$E$500,MATCH("D5.19|"&amp;CAPTURA!BS39,CODIFICACION!$F$2:$F$500,0))),"⚠"))</f>
        <v/>
      </c>
      <c r="AO39" t="str">
        <f>IF(CAPTURA!BT39="","",MIN(100,ROUND((LEN(CAPTURA!BT39)-LEN(SUBSTITUTE(CAPTURA!BT39,";",""))+1)/7*100,1)))</f>
        <v/>
      </c>
      <c r="AP39" t="str">
        <f>IF(CAPTURA!BU39="","",IFERROR(IF(INDEX(CODIFICACION!$E$2:$E$500,MATCH("D5.20|"&amp;CAPTURA!BU39,CODIFICACION!$F$2:$F$500,0))="sin dato","",INDEX(CODIFICACION!$E$2:$E$500,MATCH("D5.20|"&amp;CAPTURA!BU39,CODIFICACION!$F$2:$F$500,0))),"⚠"))</f>
        <v/>
      </c>
      <c r="AQ39" t="str">
        <f>IF(CAPTURA!BV39="","",IFERROR(IF(INDEX(CODIFICACION!$E$2:$E$500,MATCH("D5.21|"&amp;CAPTURA!BV39,CODIFICACION!$F$2:$F$500,0))="sin dato","",INDEX(CODIFICACION!$E$2:$E$500,MATCH("D5.21|"&amp;CAPTURA!BV39,CODIFICACION!$F$2:$F$500,0))),"⚠"))</f>
        <v/>
      </c>
      <c r="AR39" t="str">
        <f>IF(CAPTURA!BW39="","",IFERROR(IF(INDEX(CODIFICACION!$E$2:$E$500,MATCH("D5.21a|"&amp;CAPTURA!BW39,CODIFICACION!$F$2:$F$500,0))="sin dato","",INDEX(CODIFICACION!$E$2:$E$500,MATCH("D5.21a|"&amp;CAPTURA!BW39,CODIFICACION!$F$2:$F$500,0))),"⚠"))</f>
        <v/>
      </c>
      <c r="AS39" t="str">
        <f>IF(CAPTURA!BX39="","",IFERROR(IF(INDEX(CODIFICACION!$E$2:$E$500,MATCH("D5.21b|"&amp;CAPTURA!BX39,CODIFICACION!$F$2:$F$500,0))="sin dato","",INDEX(CODIFICACION!$E$2:$E$500,MATCH("D5.21b|"&amp;CAPTURA!BX39,CODIFICACION!$F$2:$F$500,0))),"⚠"))</f>
        <v/>
      </c>
      <c r="AT39" t="str">
        <f>IF(CAPTURA!BY39="","",IFERROR(IF(INDEX(CODIFICACION!$E$2:$E$500,MATCH("D6.22|"&amp;CAPTURA!BY39,CODIFICACION!$F$2:$F$500,0))="sin dato","",INDEX(CODIFICACION!$E$2:$E$500,MATCH("D6.22|"&amp;CAPTURA!BY39,CODIFICACION!$F$2:$F$500,0))),"⚠"))</f>
        <v/>
      </c>
      <c r="AU39" t="str">
        <f>IF(CAPTURA!BZ39="","",IFERROR(IF(INDEX(CODIFICACION!$E$2:$E$500,MATCH("D6.22a|"&amp;CAPTURA!BZ39,CODIFICACION!$F$2:$F$500,0))="sin dato","",INDEX(CODIFICACION!$E$2:$E$500,MATCH("D6.22a|"&amp;CAPTURA!BZ39,CODIFICACION!$F$2:$F$500,0))),"⚠"))</f>
        <v/>
      </c>
      <c r="AV39" t="str">
        <f>IF(CAPTURA!CA39="","",IFERROR(IF(INDEX(CODIFICACION!$E$2:$E$500,MATCH("D6.22b|"&amp;CAPTURA!CA39,CODIFICACION!$F$2:$F$500,0))="sin dato","",INDEX(CODIFICACION!$E$2:$E$500,MATCH("D6.22b|"&amp;CAPTURA!CA39,CODIFICACION!$F$2:$F$500,0))),"⚠"))</f>
        <v/>
      </c>
      <c r="AW39" t="str">
        <f>IF(CAPTURA!CB39="","",IFERROR(IF(INDEX(CODIFICACION!$E$2:$E$500,MATCH("D6.23|"&amp;CAPTURA!CB39,CODIFICACION!$F$2:$F$500,0))="sin dato","",INDEX(CODIFICACION!$E$2:$E$500,MATCH("D6.23|"&amp;CAPTURA!CB39,CODIFICACION!$F$2:$F$500,0))),"⚠"))</f>
        <v/>
      </c>
      <c r="AX39" t="str">
        <f>IF(CAPTURA!CC39="","",IFERROR(IF(INDEX(CODIFICACION!$E$2:$E$500,MATCH("D6.24|"&amp;CAPTURA!CC39,CODIFICACION!$F$2:$F$500,0))="sin dato","",INDEX(CODIFICACION!$E$2:$E$500,MATCH("D6.24|"&amp;CAPTURA!CC39,CODIFICACION!$F$2:$F$500,0))),"⚠"))</f>
        <v/>
      </c>
      <c r="AY39" t="str">
        <f>IF(CAPTURA!CD39="","",IFERROR(IF(INDEX(CODIFICACION!$E$2:$E$500,MATCH("D6.25|"&amp;CAPTURA!CD39,CODIFICACION!$F$2:$F$500,0))="sin dato","",INDEX(CODIFICACION!$E$2:$E$500,MATCH("D6.25|"&amp;CAPTURA!CD39,CODIFICACION!$F$2:$F$500,0))),"⚠"))</f>
        <v/>
      </c>
      <c r="AZ39" t="str">
        <f>IF(CAPTURA!CE39="","",IFERROR(IF(INDEX(CODIFICACION!$E$2:$E$500,MATCH("D6.25a|"&amp;CAPTURA!CE39,CODIFICACION!$F$2:$F$500,0))="sin dato","",INDEX(CODIFICACION!$E$2:$E$500,MATCH("D6.25a|"&amp;CAPTURA!CE39,CODIFICACION!$F$2:$F$500,0))),"⚠"))</f>
        <v/>
      </c>
      <c r="BA39" t="str">
        <f>IF(CAPTURA!CF39="","",IFERROR(IF(INDEX(CODIFICACION!$E$2:$E$500,MATCH("D6.25b|"&amp;CAPTURA!CF39,CODIFICACION!$F$2:$F$500,0))="sin dato","",INDEX(CODIFICACION!$E$2:$E$500,MATCH("D6.25b|"&amp;CAPTURA!CF39,CODIFICACION!$F$2:$F$500,0))),"⚠"))</f>
        <v/>
      </c>
      <c r="BB39" t="str">
        <f>IF(CAPTURA!CG39="","",IFERROR(IF(INDEX(CODIFICACION!$E$2:$E$500,MATCH("D6.22c|"&amp;CAPTURA!CG39,CODIFICACION!$F$2:$F$500,0))="sin dato","",INDEX(CODIFICACION!$E$2:$E$500,MATCH("D6.22c|"&amp;CAPTURA!CG39,CODIFICACION!$F$2:$F$500,0))),"⚠"))</f>
        <v/>
      </c>
      <c r="BC39" t="str">
        <f>IF(CAPTURA!CH39="","",IFERROR(IF(INDEX(CODIFICACION!$E$2:$E$500,MATCH("D7.26|"&amp;CAPTURA!CH39,CODIFICACION!$F$2:$F$500,0))="sin dato","",INDEX(CODIFICACION!$E$2:$E$500,MATCH("D7.26|"&amp;CAPTURA!CH39,CODIFICACION!$F$2:$F$500,0))),"⚠"))</f>
        <v/>
      </c>
      <c r="BD39" t="str">
        <f>IF(CAPTURA!CI39="","",IFERROR(IF(INDEX(CODIFICACION!$E$2:$E$500,MATCH("D7.27|"&amp;CAPTURA!CI39,CODIFICACION!$F$2:$F$500,0))="sin dato","",INDEX(CODIFICACION!$E$2:$E$500,MATCH("D7.27|"&amp;CAPTURA!CI39,CODIFICACION!$F$2:$F$500,0))),"⚠"))</f>
        <v/>
      </c>
      <c r="BE39" t="str">
        <f>IF(CAPTURA!CJ39="","",IFERROR(IF(INDEX(CODIFICACION!$E$2:$E$500,MATCH("D7.28|"&amp;CAPTURA!CJ39,CODIFICACION!$F$2:$F$500,0))="sin dato","",INDEX(CODIFICACION!$E$2:$E$500,MATCH("D7.28|"&amp;CAPTURA!CJ39,CODIFICACION!$F$2:$F$500,0))),"⚠"))</f>
        <v/>
      </c>
      <c r="BF39" t="str">
        <f>IF(CAPTURA!CK39="","",IFERROR(IF(INDEX(CODIFICACION!$E$2:$E$500,MATCH("D7.28b|"&amp;CAPTURA!CK39,CODIFICACION!$F$2:$F$500,0))="sin dato","",INDEX(CODIFICACION!$E$2:$E$500,MATCH("D7.28b|"&amp;CAPTURA!CK39,CODIFICACION!$F$2:$F$500,0))),"⚠"))</f>
        <v/>
      </c>
      <c r="BG39" t="str">
        <f>IF(CAPTURA!CL39="","",MIN(100,ROUND((LEN(CAPTURA!CL39)-LEN(SUBSTITUTE(CAPTURA!CL39,";",""))+1)/8*100,1)))</f>
        <v/>
      </c>
      <c r="BH39" t="str">
        <f>IF(CAPTURA!CM39="","",IFERROR(IF(INDEX(CODIFICACION!$E$2:$E$500,MATCH("D7.26a|"&amp;CAPTURA!CM39,CODIFICACION!$F$2:$F$500,0))="sin dato","",INDEX(CODIFICACION!$E$2:$E$500,MATCH("D7.26a|"&amp;CAPTURA!CM39,CODIFICACION!$F$2:$F$500,0))),"⚠"))</f>
        <v/>
      </c>
      <c r="BI39" t="str">
        <f>IF(CAPTURA!CN39="","",IFERROR(IF(INDEX(CODIFICACION!$E$2:$E$500,MATCH("D7.26b|"&amp;CAPTURA!CN39,CODIFICACION!$F$2:$F$500,0))="sin dato","",INDEX(CODIFICACION!$E$2:$E$500,MATCH("D7.26b|"&amp;CAPTURA!CN39,CODIFICACION!$F$2:$F$500,0))),"⚠"))</f>
        <v/>
      </c>
      <c r="BJ39" t="str">
        <f>IF(CAPTURA!CO39="","",IF(AND(ISNUMBER(CAPTURA!CO39),CAPTURA!CO39&gt;=0,CAPTURA!CO39&lt;=4),CAPTURA!CO39*25,"⚠"))</f>
        <v/>
      </c>
      <c r="BK39" t="str">
        <f>IF(CAPTURA!CP39="","",IF(ISNUMBER(CAPTURA!CP39),MAX(0,MIN(100,CAPTURA!CP39)),"⚠"))</f>
        <v/>
      </c>
      <c r="BL39" t="str">
        <f>IF(CAPTURA!CQ39="","",IFERROR(IF(INDEX(CODIFICACION!$E$2:$E$500,MATCH("D8.31|"&amp;CAPTURA!CQ39,CODIFICACION!$F$2:$F$500,0))="sin dato","",INDEX(CODIFICACION!$E$2:$E$500,MATCH("D8.31|"&amp;CAPTURA!CQ39,CODIFICACION!$F$2:$F$500,0))),"⚠"))</f>
        <v/>
      </c>
      <c r="BM39" t="str">
        <f>IF(CAPTURA!CR39="","",IFERROR(IF(INDEX(CODIFICACION!$E$2:$E$500,MATCH("D8.32|"&amp;CAPTURA!CR39,CODIFICACION!$F$2:$F$500,0))="sin dato","",INDEX(CODIFICACION!$E$2:$E$500,MATCH("D8.32|"&amp;CAPTURA!CR39,CODIFICACION!$F$2:$F$500,0))),"⚠"))</f>
        <v/>
      </c>
      <c r="BN39" t="str">
        <f>IF(CAPTURA!CS39="","",IFERROR(IF(INDEX(CODIFICACION!$E$2:$E$500,MATCH("D9.33|"&amp;CAPTURA!CS39,CODIFICACION!$F$2:$F$500,0))="sin dato","",INDEX(CODIFICACION!$E$2:$E$500,MATCH("D9.33|"&amp;CAPTURA!CS39,CODIFICACION!$F$2:$F$500,0))),"⚠"))</f>
        <v/>
      </c>
      <c r="BO39" t="str">
        <f>IF(CAPTURA!CT39="","",IFERROR(IF(INDEX(CODIFICACION!$E$2:$E$500,MATCH("D9.34|"&amp;CAPTURA!CT39,CODIFICACION!$F$2:$F$500,0))="sin dato","",INDEX(CODIFICACION!$E$2:$E$500,MATCH("D9.34|"&amp;CAPTURA!CT39,CODIFICACION!$F$2:$F$500,0))),"⚠"))</f>
        <v/>
      </c>
      <c r="BP39" t="str">
        <f>IF(CAPTURA!CU39="","",IFERROR(IF(INDEX(CODIFICACION!$E$2:$E$500,MATCH("D9.35|"&amp;CAPTURA!CU39,CODIFICACION!$F$2:$F$500,0))="sin dato","",INDEX(CODIFICACION!$E$2:$E$500,MATCH("D9.35|"&amp;CAPTURA!CU39,CODIFICACION!$F$2:$F$500,0))),"⚠"))</f>
        <v/>
      </c>
      <c r="BQ39" t="str">
        <f>IF(CAPTURA!CV39="","",IFERROR(IF(INDEX(CODIFICACION!$E$2:$E$500,MATCH("D10.36|"&amp;CAPTURA!CV39,CODIFICACION!$F$2:$F$500,0))="sin dato","",INDEX(CODIFICACION!$E$2:$E$500,MATCH("D10.36|"&amp;CAPTURA!CV39,CODIFICACION!$F$2:$F$500,0))),"⚠"))</f>
        <v/>
      </c>
      <c r="BR39" t="str">
        <f>IF(CAPTURA!CW39="","",IFERROR(IF(INDEX(CODIFICACION!$E$2:$E$500,MATCH("D10.37|"&amp;CAPTURA!CW39,CODIFICACION!$F$2:$F$500,0))="sin dato","",INDEX(CODIFICACION!$E$2:$E$500,MATCH("D10.37|"&amp;CAPTURA!CW39,CODIFICACION!$F$2:$F$500,0))),"⚠"))</f>
        <v/>
      </c>
      <c r="BS39" t="str">
        <f>IF(CAPTURA!CX39="","",IFERROR(IF(INDEX(CODIFICACION!$E$2:$E$500,MATCH("D10.36a|"&amp;CAPTURA!CX39,CODIFICACION!$F$2:$F$500,0))="sin dato","",INDEX(CODIFICACION!$E$2:$E$500,MATCH("D10.36a|"&amp;CAPTURA!CX39,CODIFICACION!$F$2:$F$500,0))),"⚠"))</f>
        <v/>
      </c>
      <c r="BT39" t="str">
        <f>IF(CAPTURA!CY39="","",IF(ISNUMBER(SEARCH("Ninguno",CAPTURA!CY39)),0,MIN(100,ROUND((LEN(CAPTURA!CY39)-LEN(SUBSTITUTE(CAPTURA!CY39,";",""))+1)/6*100,1))))</f>
        <v/>
      </c>
      <c r="BU39" t="str">
        <f>IF(CAPTURA!DA39="","",IFERROR(IF(INDEX(CODIFICACION!$E$2:$E$500,MATCH("D11.39a|"&amp;CAPTURA!DA39,CODIFICACION!$F$2:$F$500,0))="sin dato","",INDEX(CODIFICACION!$E$2:$E$500,MATCH("D11.39a|"&amp;CAPTURA!DA39,CODIFICACION!$F$2:$F$500,0))),"⚠"))</f>
        <v/>
      </c>
      <c r="BV39" t="str">
        <f>IF(CAPTURA!DB39="","",IFERROR(IF(INDEX(CODIFICACION!$E$2:$E$500,MATCH("D12.42|"&amp;CAPTURA!DB39,CODIFICACION!$F$2:$F$500,0))="sin dato","",INDEX(CODIFICACION!$E$2:$E$500,MATCH("D12.42|"&amp;CAPTURA!DB39,CODIFICACION!$F$2:$F$500,0))),"⚠"))</f>
        <v/>
      </c>
      <c r="BW39" t="str">
        <f>IF(CAPTURA!DC39="","",IFERROR(IF(INDEX(CODIFICACION!$E$2:$E$500,MATCH("D13.45|"&amp;CAPTURA!DC39,CODIFICACION!$F$2:$F$500,0))="sin dato","",INDEX(CODIFICACION!$E$2:$E$500,MATCH("D13.45|"&amp;CAPTURA!DC39,CODIFICACION!$F$2:$F$500,0))),"⚠"))</f>
        <v/>
      </c>
      <c r="BX39" t="str">
        <f>IF(CAPTURA!DD39="","",IFERROR(IF(INDEX(CODIFICACION!$E$2:$E$500,MATCH("D14.51|"&amp;CAPTURA!DD39,CODIFICACION!$F$2:$F$500,0))="sin dato","",INDEX(CODIFICACION!$E$2:$E$500,MATCH("D14.51|"&amp;CAPTURA!DD39,CODIFICACION!$F$2:$F$500,0))),"⚠"))</f>
        <v/>
      </c>
      <c r="BY39" t="str">
        <f>IF(CAPTURA!DE39="","",IFERROR(IF(INDEX(CODIFICACION!$E$2:$E$500,MATCH("D15.58|"&amp;CAPTURA!DE39,CODIFICACION!$F$2:$F$500,0))="sin dato","",INDEX(CODIFICACION!$E$2:$E$500,MATCH("D15.58|"&amp;CAPTURA!DE39,CODIFICACION!$F$2:$F$500,0))),"⚠"))</f>
        <v/>
      </c>
      <c r="BZ39" t="str">
        <f>IF(CAPTURA!DF39="","",IFERROR(IF(INDEX(CODIFICACION!$E$2:$E$500,MATCH("PP1|"&amp;CAPTURA!DF39,CODIFICACION!$F$2:$F$500,0))="sin dato","",INDEX(CODIFICACION!$E$2:$E$500,MATCH("PP1|"&amp;CAPTURA!DF39,CODIFICACION!$F$2:$F$500,0))),"⚠"))</f>
        <v/>
      </c>
      <c r="CA39" t="str">
        <f>IF(CAPTURA!DG39="","",IFERROR(IF(INDEX(CODIFICACION!$E$2:$E$500,MATCH("PP2|"&amp;CAPTURA!DG39,CODIFICACION!$F$2:$F$500,0))="sin dato","",INDEX(CODIFICACION!$E$2:$E$500,MATCH("PP2|"&amp;CAPTURA!DG39,CODIFICACION!$F$2:$F$500,0))),"⚠"))</f>
        <v/>
      </c>
      <c r="CB39" t="str">
        <f t="shared" si="11"/>
        <v/>
      </c>
      <c r="CC39" t="str">
        <f t="shared" si="12"/>
        <v/>
      </c>
      <c r="CD39" t="str">
        <f t="shared" si="13"/>
        <v/>
      </c>
      <c r="CE39" t="str">
        <f t="shared" si="14"/>
        <v/>
      </c>
      <c r="CF39" t="str">
        <f t="shared" si="15"/>
        <v/>
      </c>
      <c r="CG39" t="str">
        <f t="shared" si="16"/>
        <v/>
      </c>
      <c r="CH39" t="str">
        <f t="shared" si="17"/>
        <v/>
      </c>
      <c r="CI39" t="str">
        <f t="shared" si="18"/>
        <v/>
      </c>
      <c r="CJ39" t="str">
        <f t="shared" si="19"/>
        <v/>
      </c>
      <c r="CK39" t="str">
        <f t="shared" si="20"/>
        <v/>
      </c>
      <c r="CL39" t="str">
        <f t="shared" si="21"/>
        <v/>
      </c>
    </row>
    <row r="40" spans="1:90" x14ac:dyDescent="0.3">
      <c r="A40">
        <f>CAPTURA!A40</f>
        <v>20480458550</v>
      </c>
      <c r="B40">
        <f>CAPTURA!C40</f>
        <v>0</v>
      </c>
      <c r="C40" t="str">
        <f>IF(CAPTURA!M40="","",ROUND((ISNUMBER(SEARCH("Alemania",CAPTURA!M40))+ISNUMBER(SEARCH("Bélgica",CAPTURA!M40))+ISNUMBER(SEARCH("Países Bajos",CAPTURA!M40))+ISNUMBER(SEARCH("Francia",CAPTURA!M40))+ISNUMBER(SEARCH("Italia",CAPTURA!M40))+ISNUMBER(SEARCH("España",CAPTURA!M40))+ISNUMBER(SEARCH("Suecia",CAPTURA!M40))+ISNUMBER(SEARCH("Dinamarca",CAPTURA!M40)))/((LEN(CAPTURA!M40)-LEN(SUBSTITUTE(CAPTURA!M40,";","")))+1)*100,1))</f>
        <v/>
      </c>
      <c r="D40" t="str">
        <f>IF(CAPTURA!AE40="","",IFERROR(IF(INDEX(CODIFICACION!$E$2:$E$500,MATCH("P8|"&amp;CAPTURA!AE40,CODIFICACION!$F$2:$F$500,0))="sin dato","",INDEX(CODIFICACION!$E$2:$E$500,MATCH("P8|"&amp;CAPTURA!AE40,CODIFICACION!$F$2:$F$500,0))),"⚠"))</f>
        <v/>
      </c>
      <c r="E40" t="str">
        <f>IF(CAPTURA!AG40="","",IFERROR(IF(INDEX(CODIFICACION!$E$2:$E$500,MATCH("P10|"&amp;CAPTURA!AG40,CODIFICACION!$F$2:$F$500,0))="sin dato","",INDEX(CODIFICACION!$E$2:$E$500,MATCH("P10|"&amp;CAPTURA!AG40,CODIFICACION!$F$2:$F$500,0))),"⚠"))</f>
        <v/>
      </c>
      <c r="F40" t="str">
        <f>IF(CAPTURA!AJ40="","",IFERROR(IF(INDEX(CODIFICACION!$E$2:$E$500,MATCH("P13|"&amp;CAPTURA!AJ40,CODIFICACION!$F$2:$F$500,0))="sin dato","",INDEX(CODIFICACION!$E$2:$E$500,MATCH("P13|"&amp;CAPTURA!AJ40,CODIFICACION!$F$2:$F$500,0))),"⚠"))</f>
        <v/>
      </c>
      <c r="G40" t="str">
        <f>IF(CAPTURA!AK40="","",IFERROR(IF(INDEX(CODIFICACION!$E$2:$E$500,MATCH("P14|"&amp;CAPTURA!AK40,CODIFICACION!$F$2:$F$500,0))="sin dato","",INDEX(CODIFICACION!$E$2:$E$500,MATCH("P14|"&amp;CAPTURA!AK40,CODIFICACION!$F$2:$F$500,0))),"⚠"))</f>
        <v/>
      </c>
      <c r="H40" t="str">
        <f>IF(CAPTURA!AL40="","",IFERROR(IF(INDEX(CODIFICACION!$E$2:$E$500,MATCH("D1.1|"&amp;CAPTURA!AL40,CODIFICACION!$F$2:$F$500,0))="sin dato","",INDEX(CODIFICACION!$E$2:$E$500,MATCH("D1.1|"&amp;CAPTURA!AL40,CODIFICACION!$F$2:$F$500,0))),"⚠"))</f>
        <v/>
      </c>
      <c r="I40" t="str">
        <f>IF(CAPTURA!AN40="","",IFERROR(IF(INDEX(CODIFICACION!$E$2:$E$500,MATCH("D1.3|"&amp;CAPTURA!AN40,CODIFICACION!$F$2:$F$500,0))="sin dato","",INDEX(CODIFICACION!$E$2:$E$500,MATCH("D1.3|"&amp;CAPTURA!AN40,CODIFICACION!$F$2:$F$500,0))),"⚠"))</f>
        <v/>
      </c>
      <c r="J40" t="str">
        <f>IF(CAPTURA!AO40="","",IFERROR(IF(INDEX(CODIFICACION!$E$2:$E$500,MATCH("D1.4|"&amp;CAPTURA!AO40,CODIFICACION!$F$2:$F$500,0))="sin dato","",INDEX(CODIFICACION!$E$2:$E$500,MATCH("D1.4|"&amp;CAPTURA!AO40,CODIFICACION!$F$2:$F$500,0))),"⚠"))</f>
        <v/>
      </c>
      <c r="K40" t="str">
        <f>IF(CAPTURA!AP40="","",IFERROR(IF(INDEX(CODIFICACION!$E$2:$E$500,MATCH("D1.3a|"&amp;CAPTURA!AP40,CODIFICACION!$F$2:$F$500,0))="sin dato","",INDEX(CODIFICACION!$E$2:$E$500,MATCH("D1.3a|"&amp;CAPTURA!AP40,CODIFICACION!$F$2:$F$500,0))),"⚠"))</f>
        <v/>
      </c>
      <c r="L40" t="str">
        <f>IF(CAPTURA!AQ40="","",IF(AND(ISNUMBER(CAPTURA!AQ40),CAPTURA!AQ40&gt;=0,CAPTURA!AQ40&lt;=4),CAPTURA!AQ40*25,"⚠"))</f>
        <v/>
      </c>
      <c r="M40" t="str">
        <f>IF(CAPTURA!AR40="","",IF(ISNUMBER(CAPTURA!AR40),MAX(0,MIN(100,CAPTURA!AR40)),"⚠"))</f>
        <v/>
      </c>
      <c r="N40" t="str">
        <f>IF(CAPTURA!AS40="","",IF(AND(ISNUMBER(CAPTURA!AS40),CAPTURA!AS40&gt;=0,CAPTURA!AS40&lt;=4),CAPTURA!AS40*25,"⚠"))</f>
        <v/>
      </c>
      <c r="O40" t="str">
        <f>IF(CAPTURA!AT40="","",IFERROR(IF(INDEX(CODIFICACION!$E$2:$E$500,MATCH("D2.8|"&amp;CAPTURA!AT40,CODIFICACION!$F$2:$F$500,0))="sin dato","",INDEX(CODIFICACION!$E$2:$E$500,MATCH("D2.8|"&amp;CAPTURA!AT40,CODIFICACION!$F$2:$F$500,0))),"⚠"))</f>
        <v/>
      </c>
      <c r="P40" t="str">
        <f>IF(CAPTURA!AU40="","",IFERROR(IF(INDEX(CODIFICACION!$E$2:$E$500,MATCH("D2.9|"&amp;CAPTURA!AU40,CODIFICACION!$F$2:$F$500,0))="sin dato","",INDEX(CODIFICACION!$E$2:$E$500,MATCH("D2.9|"&amp;CAPTURA!AU40,CODIFICACION!$F$2:$F$500,0))),"⚠"))</f>
        <v/>
      </c>
      <c r="Q40" t="str">
        <f>IF(CAPTURA!AV40="","",IFERROR(IF(INDEX(CODIFICACION!$E$2:$E$500,MATCH("D2.10|"&amp;CAPTURA!AV40,CODIFICACION!$F$2:$F$500,0))="sin dato","",INDEX(CODIFICACION!$E$2:$E$500,MATCH("D2.10|"&amp;CAPTURA!AV40,CODIFICACION!$F$2:$F$500,0))),"⚠"))</f>
        <v/>
      </c>
      <c r="R40" t="str">
        <f>IF(CAPTURA!AW40="","",IFERROR(IF(INDEX(CODIFICACION!$E$2:$E$500,MATCH("D2.5a|"&amp;CAPTURA!AW40,CODIFICACION!$F$2:$F$500,0))="sin dato","",INDEX(CODIFICACION!$E$2:$E$500,MATCH("D2.5a|"&amp;CAPTURA!AW40,CODIFICACION!$F$2:$F$500,0))),"⚠"))</f>
        <v/>
      </c>
      <c r="S40" t="str">
        <f>IF(CAPTURA!AX40="","",IFERROR(IF(INDEX(CODIFICACION!$E$2:$E$500,MATCH("D2.5b|"&amp;CAPTURA!AX40,CODIFICACION!$F$2:$F$500,0))="sin dato","",INDEX(CODIFICACION!$E$2:$E$500,MATCH("D2.5b|"&amp;CAPTURA!AX40,CODIFICACION!$F$2:$F$500,0))),"⚠"))</f>
        <v/>
      </c>
      <c r="T40" t="str">
        <f>IF(CAPTURA!AY40="","",IF(ISNUMBER(CAPTURA!AY40),MAX(0,MIN(100,CAPTURA!AY40)),"⚠"))</f>
        <v/>
      </c>
      <c r="U40" t="str">
        <f>IF(CAPTURA!AZ40="","",IFERROR(IF(INDEX(CODIFICACION!$E$2:$E$500,MATCH("D3.12|"&amp;CAPTURA!AZ40,CODIFICACION!$F$2:$F$500,0))="sin dato","",INDEX(CODIFICACION!$E$2:$E$500,MATCH("D3.12|"&amp;CAPTURA!AZ40,CODIFICACION!$F$2:$F$500,0))),"⚠"))</f>
        <v/>
      </c>
      <c r="V40" t="str">
        <f>IF(CAPTURA!BA40="","",IF(AND(ISNUMBER(CAPTURA!BA40),CAPTURA!BA40&gt;=0,CAPTURA!BA40&lt;=4),CAPTURA!BA40*25,"⚠"))</f>
        <v/>
      </c>
      <c r="W40" t="str">
        <f>IF(CAPTURA!BB40="","",IFERROR(IF(INDEX(CODIFICACION!$E$2:$E$500,MATCH("D3.14|"&amp;CAPTURA!BB40,CODIFICACION!$F$2:$F$500,0))="sin dato","",INDEX(CODIFICACION!$E$2:$E$500,MATCH("D3.14|"&amp;CAPTURA!BB40,CODIFICACION!$F$2:$F$500,0))),"⚠"))</f>
        <v/>
      </c>
      <c r="X40" t="str">
        <f>IF(CAPTURA!BC40="","",IFERROR(IF(INDEX(CODIFICACION!$E$2:$E$500,MATCH("D3.14a|"&amp;CAPTURA!BC40,CODIFICACION!$F$2:$F$500,0))="sin dato","",INDEX(CODIFICACION!$E$2:$E$500,MATCH("D3.14a|"&amp;CAPTURA!BC40,CODIFICACION!$F$2:$F$500,0))),"⚠"))</f>
        <v/>
      </c>
      <c r="Y40" t="str">
        <f>IF(CAPTURA!BD40="","",IFERROR(IF(INDEX(CODIFICACION!$E$2:$E$500,MATCH("D3.14b|"&amp;CAPTURA!BD40,CODIFICACION!$F$2:$F$500,0))="sin dato","",INDEX(CODIFICACION!$E$2:$E$500,MATCH("D3.14b|"&amp;CAPTURA!BD40,CODIFICACION!$F$2:$F$500,0))),"⚠"))</f>
        <v/>
      </c>
      <c r="Z40" t="str">
        <f>IF(CAPTURA!BE40="","",IFERROR(IF(INDEX(CODIFICACION!$E$2:$E$500,MATCH("D3.14c|"&amp;CAPTURA!BE40,CODIFICACION!$F$2:$F$500,0))="sin dato","",INDEX(CODIFICACION!$E$2:$E$500,MATCH("D3.14c|"&amp;CAPTURA!BE40,CODIFICACION!$F$2:$F$500,0))),"⚠"))</f>
        <v/>
      </c>
      <c r="AA40" t="str">
        <f>IF(CAPTURA!BF40="","",IFERROR(IF(INDEX(CODIFICACION!$E$2:$E$500,MATCH("D3.14d|"&amp;CAPTURA!BF40,CODIFICACION!$F$2:$F$500,0))="sin dato","",INDEX(CODIFICACION!$E$2:$E$500,MATCH("D3.14d|"&amp;CAPTURA!BF40,CODIFICACION!$F$2:$F$500,0))),"⚠"))</f>
        <v/>
      </c>
      <c r="AB40" t="str">
        <f>IF(CAPTURA!BG40="","",IFERROR(IF(INDEX(CODIFICACION!$E$2:$E$500,MATCH("D3.14e|"&amp;CAPTURA!BG40,CODIFICACION!$F$2:$F$500,0))="sin dato","",INDEX(CODIFICACION!$E$2:$E$500,MATCH("D3.14e|"&amp;CAPTURA!BG40,CODIFICACION!$F$2:$F$500,0))),"⚠"))</f>
        <v/>
      </c>
      <c r="AC40" t="str">
        <f>IF(CAPTURA!BH40="","",IFERROR(IF(INDEX(CODIFICACION!$E$2:$E$500,MATCH("D3.14f|"&amp;CAPTURA!BH40,CODIFICACION!$F$2:$F$500,0))="sin dato","",INDEX(CODIFICACION!$E$2:$E$500,MATCH("D3.14f|"&amp;CAPTURA!BH40,CODIFICACION!$F$2:$F$500,0))),"⚠"))</f>
        <v/>
      </c>
      <c r="AD40" t="str">
        <f>IF(CAPTURA!BI40="","",IFERROR(IF(INDEX(CODIFICACION!$E$2:$E$500,MATCH("D3.14g|"&amp;CAPTURA!BI40,CODIFICACION!$F$2:$F$500,0))="sin dato","",INDEX(CODIFICACION!$E$2:$E$500,MATCH("D3.14g|"&amp;CAPTURA!BI40,CODIFICACION!$F$2:$F$500,0))),"⚠"))</f>
        <v/>
      </c>
      <c r="AE40" t="str">
        <f>IF(CAPTURA!BJ40="","",IFERROR(IF(INDEX(CODIFICACION!$E$2:$E$500,MATCH("D3.14h|"&amp;CAPTURA!BJ40,CODIFICACION!$F$2:$F$500,0))="sin dato","",INDEX(CODIFICACION!$E$2:$E$500,MATCH("D3.14h|"&amp;CAPTURA!BJ40,CODIFICACION!$F$2:$F$500,0))),"⚠"))</f>
        <v/>
      </c>
      <c r="AF40" t="str">
        <f>IF(CAPTURA!BK40="","",IFERROR(IF(INDEX(CODIFICACION!$E$2:$E$500,MATCH("D3.14i|"&amp;CAPTURA!BK40,CODIFICACION!$F$2:$F$500,0))="sin dato","",INDEX(CODIFICACION!$E$2:$E$500,MATCH("D3.14i|"&amp;CAPTURA!BK40,CODIFICACION!$F$2:$F$500,0))),"⚠"))</f>
        <v/>
      </c>
      <c r="AG40" t="str">
        <f>IF(CAPTURA!BL40="","",IFERROR(IF(INDEX(CODIFICACION!$E$2:$E$500,MATCH("D4.15|"&amp;CAPTURA!BL40,CODIFICACION!$F$2:$F$500,0))="sin dato","",INDEX(CODIFICACION!$E$2:$E$500,MATCH("D4.15|"&amp;CAPTURA!BL40,CODIFICACION!$F$2:$F$500,0))),"⚠"))</f>
        <v/>
      </c>
      <c r="AH40" t="str">
        <f>IF(CAPTURA!BM40="","",IF(AND(ISNUMBER(CAPTURA!BM40),CAPTURA!BM40&gt;=0,CAPTURA!BM40&lt;=4),CAPTURA!BM40*25,"⚠"))</f>
        <v/>
      </c>
      <c r="AI40" t="str">
        <f>IF(CAPTURA!BN40="","",IFERROR(IF(INDEX(CODIFICACION!$E$2:$E$500,MATCH("D4.17|"&amp;CAPTURA!BN40,CODIFICACION!$F$2:$F$500,0))="sin dato","",INDEX(CODIFICACION!$E$2:$E$500,MATCH("D4.17|"&amp;CAPTURA!BN40,CODIFICACION!$F$2:$F$500,0))),"⚠"))</f>
        <v/>
      </c>
      <c r="AJ40" t="str">
        <f>IF(CAPTURA!BO40="","",IFERROR(IF(INDEX(CODIFICACION!$E$2:$E$500,MATCH("D4.15a|"&amp;CAPTURA!BO40,CODIFICACION!$F$2:$F$500,0))="sin dato","",INDEX(CODIFICACION!$E$2:$E$500,MATCH("D4.15a|"&amp;CAPTURA!BO40,CODIFICACION!$F$2:$F$500,0))),"⚠"))</f>
        <v/>
      </c>
      <c r="AK40" t="str">
        <f>IF(CAPTURA!BP40="","",IF(AND(ISNUMBER(CAPTURA!BP40),CAPTURA!BP40&gt;=0,CAPTURA!BP40&lt;=4),CAPTURA!BP40*25,"⚠"))</f>
        <v/>
      </c>
      <c r="AL40" t="str">
        <f>IF(CAPTURA!BQ40="","",IF(AND(ISNUMBER(CAPTURA!BQ40),CAPTURA!BQ40&gt;=0,CAPTURA!BQ40&lt;=4),CAPTURA!BQ40*25,"⚠"))</f>
        <v/>
      </c>
      <c r="AM40" t="str">
        <f>IF(CAPTURA!BR40="","",IFERROR(IF(INDEX(CODIFICACION!$E$2:$E$500,MATCH("D5.18b|"&amp;CAPTURA!BR40,CODIFICACION!$F$2:$F$500,0))="sin dato","",INDEX(CODIFICACION!$E$2:$E$500,MATCH("D5.18b|"&amp;CAPTURA!BR40,CODIFICACION!$F$2:$F$500,0))),"⚠"))</f>
        <v/>
      </c>
      <c r="AN40" t="str">
        <f>IF(CAPTURA!BS40="","",IFERROR(IF(INDEX(CODIFICACION!$E$2:$E$500,MATCH("D5.19|"&amp;CAPTURA!BS40,CODIFICACION!$F$2:$F$500,0))="sin dato","",INDEX(CODIFICACION!$E$2:$E$500,MATCH("D5.19|"&amp;CAPTURA!BS40,CODIFICACION!$F$2:$F$500,0))),"⚠"))</f>
        <v/>
      </c>
      <c r="AO40" t="str">
        <f>IF(CAPTURA!BT40="","",MIN(100,ROUND((LEN(CAPTURA!BT40)-LEN(SUBSTITUTE(CAPTURA!BT40,";",""))+1)/7*100,1)))</f>
        <v/>
      </c>
      <c r="AP40" t="str">
        <f>IF(CAPTURA!BU40="","",IFERROR(IF(INDEX(CODIFICACION!$E$2:$E$500,MATCH("D5.20|"&amp;CAPTURA!BU40,CODIFICACION!$F$2:$F$500,0))="sin dato","",INDEX(CODIFICACION!$E$2:$E$500,MATCH("D5.20|"&amp;CAPTURA!BU40,CODIFICACION!$F$2:$F$500,0))),"⚠"))</f>
        <v/>
      </c>
      <c r="AQ40" t="str">
        <f>IF(CAPTURA!BV40="","",IFERROR(IF(INDEX(CODIFICACION!$E$2:$E$500,MATCH("D5.21|"&amp;CAPTURA!BV40,CODIFICACION!$F$2:$F$500,0))="sin dato","",INDEX(CODIFICACION!$E$2:$E$500,MATCH("D5.21|"&amp;CAPTURA!BV40,CODIFICACION!$F$2:$F$500,0))),"⚠"))</f>
        <v/>
      </c>
      <c r="AR40" t="str">
        <f>IF(CAPTURA!BW40="","",IFERROR(IF(INDEX(CODIFICACION!$E$2:$E$500,MATCH("D5.21a|"&amp;CAPTURA!BW40,CODIFICACION!$F$2:$F$500,0))="sin dato","",INDEX(CODIFICACION!$E$2:$E$500,MATCH("D5.21a|"&amp;CAPTURA!BW40,CODIFICACION!$F$2:$F$500,0))),"⚠"))</f>
        <v/>
      </c>
      <c r="AS40" t="str">
        <f>IF(CAPTURA!BX40="","",IFERROR(IF(INDEX(CODIFICACION!$E$2:$E$500,MATCH("D5.21b|"&amp;CAPTURA!BX40,CODIFICACION!$F$2:$F$500,0))="sin dato","",INDEX(CODIFICACION!$E$2:$E$500,MATCH("D5.21b|"&amp;CAPTURA!BX40,CODIFICACION!$F$2:$F$500,0))),"⚠"))</f>
        <v/>
      </c>
      <c r="AT40" t="str">
        <f>IF(CAPTURA!BY40="","",IFERROR(IF(INDEX(CODIFICACION!$E$2:$E$500,MATCH("D6.22|"&amp;CAPTURA!BY40,CODIFICACION!$F$2:$F$500,0))="sin dato","",INDEX(CODIFICACION!$E$2:$E$500,MATCH("D6.22|"&amp;CAPTURA!BY40,CODIFICACION!$F$2:$F$500,0))),"⚠"))</f>
        <v/>
      </c>
      <c r="AU40" t="str">
        <f>IF(CAPTURA!BZ40="","",IFERROR(IF(INDEX(CODIFICACION!$E$2:$E$500,MATCH("D6.22a|"&amp;CAPTURA!BZ40,CODIFICACION!$F$2:$F$500,0))="sin dato","",INDEX(CODIFICACION!$E$2:$E$500,MATCH("D6.22a|"&amp;CAPTURA!BZ40,CODIFICACION!$F$2:$F$500,0))),"⚠"))</f>
        <v/>
      </c>
      <c r="AV40" t="str">
        <f>IF(CAPTURA!CA40="","",IFERROR(IF(INDEX(CODIFICACION!$E$2:$E$500,MATCH("D6.22b|"&amp;CAPTURA!CA40,CODIFICACION!$F$2:$F$500,0))="sin dato","",INDEX(CODIFICACION!$E$2:$E$500,MATCH("D6.22b|"&amp;CAPTURA!CA40,CODIFICACION!$F$2:$F$500,0))),"⚠"))</f>
        <v/>
      </c>
      <c r="AW40" t="str">
        <f>IF(CAPTURA!CB40="","",IFERROR(IF(INDEX(CODIFICACION!$E$2:$E$500,MATCH("D6.23|"&amp;CAPTURA!CB40,CODIFICACION!$F$2:$F$500,0))="sin dato","",INDEX(CODIFICACION!$E$2:$E$500,MATCH("D6.23|"&amp;CAPTURA!CB40,CODIFICACION!$F$2:$F$500,0))),"⚠"))</f>
        <v/>
      </c>
      <c r="AX40" t="str">
        <f>IF(CAPTURA!CC40="","",IFERROR(IF(INDEX(CODIFICACION!$E$2:$E$500,MATCH("D6.24|"&amp;CAPTURA!CC40,CODIFICACION!$F$2:$F$500,0))="sin dato","",INDEX(CODIFICACION!$E$2:$E$500,MATCH("D6.24|"&amp;CAPTURA!CC40,CODIFICACION!$F$2:$F$500,0))),"⚠"))</f>
        <v/>
      </c>
      <c r="AY40" t="str">
        <f>IF(CAPTURA!CD40="","",IFERROR(IF(INDEX(CODIFICACION!$E$2:$E$500,MATCH("D6.25|"&amp;CAPTURA!CD40,CODIFICACION!$F$2:$F$500,0))="sin dato","",INDEX(CODIFICACION!$E$2:$E$500,MATCH("D6.25|"&amp;CAPTURA!CD40,CODIFICACION!$F$2:$F$500,0))),"⚠"))</f>
        <v/>
      </c>
      <c r="AZ40" t="str">
        <f>IF(CAPTURA!CE40="","",IFERROR(IF(INDEX(CODIFICACION!$E$2:$E$500,MATCH("D6.25a|"&amp;CAPTURA!CE40,CODIFICACION!$F$2:$F$500,0))="sin dato","",INDEX(CODIFICACION!$E$2:$E$500,MATCH("D6.25a|"&amp;CAPTURA!CE40,CODIFICACION!$F$2:$F$500,0))),"⚠"))</f>
        <v/>
      </c>
      <c r="BA40" t="str">
        <f>IF(CAPTURA!CF40="","",IFERROR(IF(INDEX(CODIFICACION!$E$2:$E$500,MATCH("D6.25b|"&amp;CAPTURA!CF40,CODIFICACION!$F$2:$F$500,0))="sin dato","",INDEX(CODIFICACION!$E$2:$E$500,MATCH("D6.25b|"&amp;CAPTURA!CF40,CODIFICACION!$F$2:$F$500,0))),"⚠"))</f>
        <v/>
      </c>
      <c r="BB40" t="str">
        <f>IF(CAPTURA!CG40="","",IFERROR(IF(INDEX(CODIFICACION!$E$2:$E$500,MATCH("D6.22c|"&amp;CAPTURA!CG40,CODIFICACION!$F$2:$F$500,0))="sin dato","",INDEX(CODIFICACION!$E$2:$E$500,MATCH("D6.22c|"&amp;CAPTURA!CG40,CODIFICACION!$F$2:$F$500,0))),"⚠"))</f>
        <v/>
      </c>
      <c r="BC40" t="str">
        <f>IF(CAPTURA!CH40="","",IFERROR(IF(INDEX(CODIFICACION!$E$2:$E$500,MATCH("D7.26|"&amp;CAPTURA!CH40,CODIFICACION!$F$2:$F$500,0))="sin dato","",INDEX(CODIFICACION!$E$2:$E$500,MATCH("D7.26|"&amp;CAPTURA!CH40,CODIFICACION!$F$2:$F$500,0))),"⚠"))</f>
        <v/>
      </c>
      <c r="BD40" t="str">
        <f>IF(CAPTURA!CI40="","",IFERROR(IF(INDEX(CODIFICACION!$E$2:$E$500,MATCH("D7.27|"&amp;CAPTURA!CI40,CODIFICACION!$F$2:$F$500,0))="sin dato","",INDEX(CODIFICACION!$E$2:$E$500,MATCH("D7.27|"&amp;CAPTURA!CI40,CODIFICACION!$F$2:$F$500,0))),"⚠"))</f>
        <v/>
      </c>
      <c r="BE40" t="str">
        <f>IF(CAPTURA!CJ40="","",IFERROR(IF(INDEX(CODIFICACION!$E$2:$E$500,MATCH("D7.28|"&amp;CAPTURA!CJ40,CODIFICACION!$F$2:$F$500,0))="sin dato","",INDEX(CODIFICACION!$E$2:$E$500,MATCH("D7.28|"&amp;CAPTURA!CJ40,CODIFICACION!$F$2:$F$500,0))),"⚠"))</f>
        <v/>
      </c>
      <c r="BF40" t="str">
        <f>IF(CAPTURA!CK40="","",IFERROR(IF(INDEX(CODIFICACION!$E$2:$E$500,MATCH("D7.28b|"&amp;CAPTURA!CK40,CODIFICACION!$F$2:$F$500,0))="sin dato","",INDEX(CODIFICACION!$E$2:$E$500,MATCH("D7.28b|"&amp;CAPTURA!CK40,CODIFICACION!$F$2:$F$500,0))),"⚠"))</f>
        <v/>
      </c>
      <c r="BG40" t="str">
        <f>IF(CAPTURA!CL40="","",MIN(100,ROUND((LEN(CAPTURA!CL40)-LEN(SUBSTITUTE(CAPTURA!CL40,";",""))+1)/8*100,1)))</f>
        <v/>
      </c>
      <c r="BH40" t="str">
        <f>IF(CAPTURA!CM40="","",IFERROR(IF(INDEX(CODIFICACION!$E$2:$E$500,MATCH("D7.26a|"&amp;CAPTURA!CM40,CODIFICACION!$F$2:$F$500,0))="sin dato","",INDEX(CODIFICACION!$E$2:$E$500,MATCH("D7.26a|"&amp;CAPTURA!CM40,CODIFICACION!$F$2:$F$500,0))),"⚠"))</f>
        <v/>
      </c>
      <c r="BI40" t="str">
        <f>IF(CAPTURA!CN40="","",IFERROR(IF(INDEX(CODIFICACION!$E$2:$E$500,MATCH("D7.26b|"&amp;CAPTURA!CN40,CODIFICACION!$F$2:$F$500,0))="sin dato","",INDEX(CODIFICACION!$E$2:$E$500,MATCH("D7.26b|"&amp;CAPTURA!CN40,CODIFICACION!$F$2:$F$500,0))),"⚠"))</f>
        <v/>
      </c>
      <c r="BJ40" t="str">
        <f>IF(CAPTURA!CO40="","",IF(AND(ISNUMBER(CAPTURA!CO40),CAPTURA!CO40&gt;=0,CAPTURA!CO40&lt;=4),CAPTURA!CO40*25,"⚠"))</f>
        <v/>
      </c>
      <c r="BK40" t="str">
        <f>IF(CAPTURA!CP40="","",IF(ISNUMBER(CAPTURA!CP40),MAX(0,MIN(100,CAPTURA!CP40)),"⚠"))</f>
        <v/>
      </c>
      <c r="BL40" t="str">
        <f>IF(CAPTURA!CQ40="","",IFERROR(IF(INDEX(CODIFICACION!$E$2:$E$500,MATCH("D8.31|"&amp;CAPTURA!CQ40,CODIFICACION!$F$2:$F$500,0))="sin dato","",INDEX(CODIFICACION!$E$2:$E$500,MATCH("D8.31|"&amp;CAPTURA!CQ40,CODIFICACION!$F$2:$F$500,0))),"⚠"))</f>
        <v/>
      </c>
      <c r="BM40" t="str">
        <f>IF(CAPTURA!CR40="","",IFERROR(IF(INDEX(CODIFICACION!$E$2:$E$500,MATCH("D8.32|"&amp;CAPTURA!CR40,CODIFICACION!$F$2:$F$500,0))="sin dato","",INDEX(CODIFICACION!$E$2:$E$500,MATCH("D8.32|"&amp;CAPTURA!CR40,CODIFICACION!$F$2:$F$500,0))),"⚠"))</f>
        <v/>
      </c>
      <c r="BN40" t="str">
        <f>IF(CAPTURA!CS40="","",IFERROR(IF(INDEX(CODIFICACION!$E$2:$E$500,MATCH("D9.33|"&amp;CAPTURA!CS40,CODIFICACION!$F$2:$F$500,0))="sin dato","",INDEX(CODIFICACION!$E$2:$E$500,MATCH("D9.33|"&amp;CAPTURA!CS40,CODIFICACION!$F$2:$F$500,0))),"⚠"))</f>
        <v/>
      </c>
      <c r="BO40" t="str">
        <f>IF(CAPTURA!CT40="","",IFERROR(IF(INDEX(CODIFICACION!$E$2:$E$500,MATCH("D9.34|"&amp;CAPTURA!CT40,CODIFICACION!$F$2:$F$500,0))="sin dato","",INDEX(CODIFICACION!$E$2:$E$500,MATCH("D9.34|"&amp;CAPTURA!CT40,CODIFICACION!$F$2:$F$500,0))),"⚠"))</f>
        <v/>
      </c>
      <c r="BP40" t="str">
        <f>IF(CAPTURA!CU40="","",IFERROR(IF(INDEX(CODIFICACION!$E$2:$E$500,MATCH("D9.35|"&amp;CAPTURA!CU40,CODIFICACION!$F$2:$F$500,0))="sin dato","",INDEX(CODIFICACION!$E$2:$E$500,MATCH("D9.35|"&amp;CAPTURA!CU40,CODIFICACION!$F$2:$F$500,0))),"⚠"))</f>
        <v/>
      </c>
      <c r="BQ40" t="str">
        <f>IF(CAPTURA!CV40="","",IFERROR(IF(INDEX(CODIFICACION!$E$2:$E$500,MATCH("D10.36|"&amp;CAPTURA!CV40,CODIFICACION!$F$2:$F$500,0))="sin dato","",INDEX(CODIFICACION!$E$2:$E$500,MATCH("D10.36|"&amp;CAPTURA!CV40,CODIFICACION!$F$2:$F$500,0))),"⚠"))</f>
        <v/>
      </c>
      <c r="BR40" t="str">
        <f>IF(CAPTURA!CW40="","",IFERROR(IF(INDEX(CODIFICACION!$E$2:$E$500,MATCH("D10.37|"&amp;CAPTURA!CW40,CODIFICACION!$F$2:$F$500,0))="sin dato","",INDEX(CODIFICACION!$E$2:$E$500,MATCH("D10.37|"&amp;CAPTURA!CW40,CODIFICACION!$F$2:$F$500,0))),"⚠"))</f>
        <v/>
      </c>
      <c r="BS40" t="str">
        <f>IF(CAPTURA!CX40="","",IFERROR(IF(INDEX(CODIFICACION!$E$2:$E$500,MATCH("D10.36a|"&amp;CAPTURA!CX40,CODIFICACION!$F$2:$F$500,0))="sin dato","",INDEX(CODIFICACION!$E$2:$E$500,MATCH("D10.36a|"&amp;CAPTURA!CX40,CODIFICACION!$F$2:$F$500,0))),"⚠"))</f>
        <v/>
      </c>
      <c r="BT40" t="str">
        <f>IF(CAPTURA!CY40="","",IF(ISNUMBER(SEARCH("Ninguno",CAPTURA!CY40)),0,MIN(100,ROUND((LEN(CAPTURA!CY40)-LEN(SUBSTITUTE(CAPTURA!CY40,";",""))+1)/6*100,1))))</f>
        <v/>
      </c>
      <c r="BU40" t="str">
        <f>IF(CAPTURA!DA40="","",IFERROR(IF(INDEX(CODIFICACION!$E$2:$E$500,MATCH("D11.39a|"&amp;CAPTURA!DA40,CODIFICACION!$F$2:$F$500,0))="sin dato","",INDEX(CODIFICACION!$E$2:$E$500,MATCH("D11.39a|"&amp;CAPTURA!DA40,CODIFICACION!$F$2:$F$500,0))),"⚠"))</f>
        <v/>
      </c>
      <c r="BV40" t="str">
        <f>IF(CAPTURA!DB40="","",IFERROR(IF(INDEX(CODIFICACION!$E$2:$E$500,MATCH("D12.42|"&amp;CAPTURA!DB40,CODIFICACION!$F$2:$F$500,0))="sin dato","",INDEX(CODIFICACION!$E$2:$E$500,MATCH("D12.42|"&amp;CAPTURA!DB40,CODIFICACION!$F$2:$F$500,0))),"⚠"))</f>
        <v/>
      </c>
      <c r="BW40" t="str">
        <f>IF(CAPTURA!DC40="","",IFERROR(IF(INDEX(CODIFICACION!$E$2:$E$500,MATCH("D13.45|"&amp;CAPTURA!DC40,CODIFICACION!$F$2:$F$500,0))="sin dato","",INDEX(CODIFICACION!$E$2:$E$500,MATCH("D13.45|"&amp;CAPTURA!DC40,CODIFICACION!$F$2:$F$500,0))),"⚠"))</f>
        <v/>
      </c>
      <c r="BX40" t="str">
        <f>IF(CAPTURA!DD40="","",IFERROR(IF(INDEX(CODIFICACION!$E$2:$E$500,MATCH("D14.51|"&amp;CAPTURA!DD40,CODIFICACION!$F$2:$F$500,0))="sin dato","",INDEX(CODIFICACION!$E$2:$E$500,MATCH("D14.51|"&amp;CAPTURA!DD40,CODIFICACION!$F$2:$F$500,0))),"⚠"))</f>
        <v/>
      </c>
      <c r="BY40" t="str">
        <f>IF(CAPTURA!DE40="","",IFERROR(IF(INDEX(CODIFICACION!$E$2:$E$500,MATCH("D15.58|"&amp;CAPTURA!DE40,CODIFICACION!$F$2:$F$500,0))="sin dato","",INDEX(CODIFICACION!$E$2:$E$500,MATCH("D15.58|"&amp;CAPTURA!DE40,CODIFICACION!$F$2:$F$500,0))),"⚠"))</f>
        <v/>
      </c>
      <c r="BZ40" t="str">
        <f>IF(CAPTURA!DF40="","",IFERROR(IF(INDEX(CODIFICACION!$E$2:$E$500,MATCH("PP1|"&amp;CAPTURA!DF40,CODIFICACION!$F$2:$F$500,0))="sin dato","",INDEX(CODIFICACION!$E$2:$E$500,MATCH("PP1|"&amp;CAPTURA!DF40,CODIFICACION!$F$2:$F$500,0))),"⚠"))</f>
        <v/>
      </c>
      <c r="CA40" t="str">
        <f>IF(CAPTURA!DG40="","",IFERROR(IF(INDEX(CODIFICACION!$E$2:$E$500,MATCH("PP2|"&amp;CAPTURA!DG40,CODIFICACION!$F$2:$F$500,0))="sin dato","",INDEX(CODIFICACION!$E$2:$E$500,MATCH("PP2|"&amp;CAPTURA!DG40,CODIFICACION!$F$2:$F$500,0))),"⚠"))</f>
        <v/>
      </c>
      <c r="CB40" t="str">
        <f t="shared" si="11"/>
        <v/>
      </c>
      <c r="CC40" t="str">
        <f t="shared" si="12"/>
        <v/>
      </c>
      <c r="CD40" t="str">
        <f t="shared" si="13"/>
        <v/>
      </c>
      <c r="CE40" t="str">
        <f t="shared" si="14"/>
        <v/>
      </c>
      <c r="CF40" t="str">
        <f t="shared" si="15"/>
        <v/>
      </c>
      <c r="CG40" t="str">
        <f t="shared" si="16"/>
        <v/>
      </c>
      <c r="CH40" t="str">
        <f t="shared" si="17"/>
        <v/>
      </c>
      <c r="CI40" t="str">
        <f t="shared" si="18"/>
        <v/>
      </c>
      <c r="CJ40" t="str">
        <f t="shared" si="19"/>
        <v/>
      </c>
      <c r="CK40" t="str">
        <f t="shared" si="20"/>
        <v/>
      </c>
      <c r="CL40" t="str">
        <f t="shared" si="21"/>
        <v/>
      </c>
    </row>
    <row r="41" spans="1:90" x14ac:dyDescent="0.3">
      <c r="A41">
        <f>CAPTURA!A41</f>
        <v>20480762895</v>
      </c>
      <c r="B41">
        <f>CAPTURA!C41</f>
        <v>0</v>
      </c>
      <c r="C41" t="str">
        <f>IF(CAPTURA!M41="","",ROUND((ISNUMBER(SEARCH("Alemania",CAPTURA!M41))+ISNUMBER(SEARCH("Bélgica",CAPTURA!M41))+ISNUMBER(SEARCH("Países Bajos",CAPTURA!M41))+ISNUMBER(SEARCH("Francia",CAPTURA!M41))+ISNUMBER(SEARCH("Italia",CAPTURA!M41))+ISNUMBER(SEARCH("España",CAPTURA!M41))+ISNUMBER(SEARCH("Suecia",CAPTURA!M41))+ISNUMBER(SEARCH("Dinamarca",CAPTURA!M41)))/((LEN(CAPTURA!M41)-LEN(SUBSTITUTE(CAPTURA!M41,";","")))+1)*100,1))</f>
        <v/>
      </c>
      <c r="D41" t="str">
        <f>IF(CAPTURA!AE41="","",IFERROR(IF(INDEX(CODIFICACION!$E$2:$E$500,MATCH("P8|"&amp;CAPTURA!AE41,CODIFICACION!$F$2:$F$500,0))="sin dato","",INDEX(CODIFICACION!$E$2:$E$500,MATCH("P8|"&amp;CAPTURA!AE41,CODIFICACION!$F$2:$F$500,0))),"⚠"))</f>
        <v/>
      </c>
      <c r="E41" t="str">
        <f>IF(CAPTURA!AG41="","",IFERROR(IF(INDEX(CODIFICACION!$E$2:$E$500,MATCH("P10|"&amp;CAPTURA!AG41,CODIFICACION!$F$2:$F$500,0))="sin dato","",INDEX(CODIFICACION!$E$2:$E$500,MATCH("P10|"&amp;CAPTURA!AG41,CODIFICACION!$F$2:$F$500,0))),"⚠"))</f>
        <v/>
      </c>
      <c r="F41" t="str">
        <f>IF(CAPTURA!AJ41="","",IFERROR(IF(INDEX(CODIFICACION!$E$2:$E$500,MATCH("P13|"&amp;CAPTURA!AJ41,CODIFICACION!$F$2:$F$500,0))="sin dato","",INDEX(CODIFICACION!$E$2:$E$500,MATCH("P13|"&amp;CAPTURA!AJ41,CODIFICACION!$F$2:$F$500,0))),"⚠"))</f>
        <v/>
      </c>
      <c r="G41" t="str">
        <f>IF(CAPTURA!AK41="","",IFERROR(IF(INDEX(CODIFICACION!$E$2:$E$500,MATCH("P14|"&amp;CAPTURA!AK41,CODIFICACION!$F$2:$F$500,0))="sin dato","",INDEX(CODIFICACION!$E$2:$E$500,MATCH("P14|"&amp;CAPTURA!AK41,CODIFICACION!$F$2:$F$500,0))),"⚠"))</f>
        <v/>
      </c>
      <c r="H41" t="str">
        <f>IF(CAPTURA!AL41="","",IFERROR(IF(INDEX(CODIFICACION!$E$2:$E$500,MATCH("D1.1|"&amp;CAPTURA!AL41,CODIFICACION!$F$2:$F$500,0))="sin dato","",INDEX(CODIFICACION!$E$2:$E$500,MATCH("D1.1|"&amp;CAPTURA!AL41,CODIFICACION!$F$2:$F$500,0))),"⚠"))</f>
        <v/>
      </c>
      <c r="I41" t="str">
        <f>IF(CAPTURA!AN41="","",IFERROR(IF(INDEX(CODIFICACION!$E$2:$E$500,MATCH("D1.3|"&amp;CAPTURA!AN41,CODIFICACION!$F$2:$F$500,0))="sin dato","",INDEX(CODIFICACION!$E$2:$E$500,MATCH("D1.3|"&amp;CAPTURA!AN41,CODIFICACION!$F$2:$F$500,0))),"⚠"))</f>
        <v/>
      </c>
      <c r="J41" t="str">
        <f>IF(CAPTURA!AO41="","",IFERROR(IF(INDEX(CODIFICACION!$E$2:$E$500,MATCH("D1.4|"&amp;CAPTURA!AO41,CODIFICACION!$F$2:$F$500,0))="sin dato","",INDEX(CODIFICACION!$E$2:$E$500,MATCH("D1.4|"&amp;CAPTURA!AO41,CODIFICACION!$F$2:$F$500,0))),"⚠"))</f>
        <v/>
      </c>
      <c r="K41" t="str">
        <f>IF(CAPTURA!AP41="","",IFERROR(IF(INDEX(CODIFICACION!$E$2:$E$500,MATCH("D1.3a|"&amp;CAPTURA!AP41,CODIFICACION!$F$2:$F$500,0))="sin dato","",INDEX(CODIFICACION!$E$2:$E$500,MATCH("D1.3a|"&amp;CAPTURA!AP41,CODIFICACION!$F$2:$F$500,0))),"⚠"))</f>
        <v/>
      </c>
      <c r="L41" t="str">
        <f>IF(CAPTURA!AQ41="","",IF(AND(ISNUMBER(CAPTURA!AQ41),CAPTURA!AQ41&gt;=0,CAPTURA!AQ41&lt;=4),CAPTURA!AQ41*25,"⚠"))</f>
        <v/>
      </c>
      <c r="M41" t="str">
        <f>IF(CAPTURA!AR41="","",IF(ISNUMBER(CAPTURA!AR41),MAX(0,MIN(100,CAPTURA!AR41)),"⚠"))</f>
        <v/>
      </c>
      <c r="N41" t="str">
        <f>IF(CAPTURA!AS41="","",IF(AND(ISNUMBER(CAPTURA!AS41),CAPTURA!AS41&gt;=0,CAPTURA!AS41&lt;=4),CAPTURA!AS41*25,"⚠"))</f>
        <v/>
      </c>
      <c r="O41" t="str">
        <f>IF(CAPTURA!AT41="","",IFERROR(IF(INDEX(CODIFICACION!$E$2:$E$500,MATCH("D2.8|"&amp;CAPTURA!AT41,CODIFICACION!$F$2:$F$500,0))="sin dato","",INDEX(CODIFICACION!$E$2:$E$500,MATCH("D2.8|"&amp;CAPTURA!AT41,CODIFICACION!$F$2:$F$500,0))),"⚠"))</f>
        <v/>
      </c>
      <c r="P41" t="str">
        <f>IF(CAPTURA!AU41="","",IFERROR(IF(INDEX(CODIFICACION!$E$2:$E$500,MATCH("D2.9|"&amp;CAPTURA!AU41,CODIFICACION!$F$2:$F$500,0))="sin dato","",INDEX(CODIFICACION!$E$2:$E$500,MATCH("D2.9|"&amp;CAPTURA!AU41,CODIFICACION!$F$2:$F$500,0))),"⚠"))</f>
        <v/>
      </c>
      <c r="Q41" t="str">
        <f>IF(CAPTURA!AV41="","",IFERROR(IF(INDEX(CODIFICACION!$E$2:$E$500,MATCH("D2.10|"&amp;CAPTURA!AV41,CODIFICACION!$F$2:$F$500,0))="sin dato","",INDEX(CODIFICACION!$E$2:$E$500,MATCH("D2.10|"&amp;CAPTURA!AV41,CODIFICACION!$F$2:$F$500,0))),"⚠"))</f>
        <v/>
      </c>
      <c r="R41" t="str">
        <f>IF(CAPTURA!AW41="","",IFERROR(IF(INDEX(CODIFICACION!$E$2:$E$500,MATCH("D2.5a|"&amp;CAPTURA!AW41,CODIFICACION!$F$2:$F$500,0))="sin dato","",INDEX(CODIFICACION!$E$2:$E$500,MATCH("D2.5a|"&amp;CAPTURA!AW41,CODIFICACION!$F$2:$F$500,0))),"⚠"))</f>
        <v/>
      </c>
      <c r="S41" t="str">
        <f>IF(CAPTURA!AX41="","",IFERROR(IF(INDEX(CODIFICACION!$E$2:$E$500,MATCH("D2.5b|"&amp;CAPTURA!AX41,CODIFICACION!$F$2:$F$500,0))="sin dato","",INDEX(CODIFICACION!$E$2:$E$500,MATCH("D2.5b|"&amp;CAPTURA!AX41,CODIFICACION!$F$2:$F$500,0))),"⚠"))</f>
        <v/>
      </c>
      <c r="T41" t="str">
        <f>IF(CAPTURA!AY41="","",IF(ISNUMBER(CAPTURA!AY41),MAX(0,MIN(100,CAPTURA!AY41)),"⚠"))</f>
        <v/>
      </c>
      <c r="U41" t="str">
        <f>IF(CAPTURA!AZ41="","",IFERROR(IF(INDEX(CODIFICACION!$E$2:$E$500,MATCH("D3.12|"&amp;CAPTURA!AZ41,CODIFICACION!$F$2:$F$500,0))="sin dato","",INDEX(CODIFICACION!$E$2:$E$500,MATCH("D3.12|"&amp;CAPTURA!AZ41,CODIFICACION!$F$2:$F$500,0))),"⚠"))</f>
        <v/>
      </c>
      <c r="V41" t="str">
        <f>IF(CAPTURA!BA41="","",IF(AND(ISNUMBER(CAPTURA!BA41),CAPTURA!BA41&gt;=0,CAPTURA!BA41&lt;=4),CAPTURA!BA41*25,"⚠"))</f>
        <v/>
      </c>
      <c r="W41" t="str">
        <f>IF(CAPTURA!BB41="","",IFERROR(IF(INDEX(CODIFICACION!$E$2:$E$500,MATCH("D3.14|"&amp;CAPTURA!BB41,CODIFICACION!$F$2:$F$500,0))="sin dato","",INDEX(CODIFICACION!$E$2:$E$500,MATCH("D3.14|"&amp;CAPTURA!BB41,CODIFICACION!$F$2:$F$500,0))),"⚠"))</f>
        <v/>
      </c>
      <c r="X41" t="str">
        <f>IF(CAPTURA!BC41="","",IFERROR(IF(INDEX(CODIFICACION!$E$2:$E$500,MATCH("D3.14a|"&amp;CAPTURA!BC41,CODIFICACION!$F$2:$F$500,0))="sin dato","",INDEX(CODIFICACION!$E$2:$E$500,MATCH("D3.14a|"&amp;CAPTURA!BC41,CODIFICACION!$F$2:$F$500,0))),"⚠"))</f>
        <v/>
      </c>
      <c r="Y41" t="str">
        <f>IF(CAPTURA!BD41="","",IFERROR(IF(INDEX(CODIFICACION!$E$2:$E$500,MATCH("D3.14b|"&amp;CAPTURA!BD41,CODIFICACION!$F$2:$F$500,0))="sin dato","",INDEX(CODIFICACION!$E$2:$E$500,MATCH("D3.14b|"&amp;CAPTURA!BD41,CODIFICACION!$F$2:$F$500,0))),"⚠"))</f>
        <v/>
      </c>
      <c r="Z41" t="str">
        <f>IF(CAPTURA!BE41="","",IFERROR(IF(INDEX(CODIFICACION!$E$2:$E$500,MATCH("D3.14c|"&amp;CAPTURA!BE41,CODIFICACION!$F$2:$F$500,0))="sin dato","",INDEX(CODIFICACION!$E$2:$E$500,MATCH("D3.14c|"&amp;CAPTURA!BE41,CODIFICACION!$F$2:$F$500,0))),"⚠"))</f>
        <v/>
      </c>
      <c r="AA41" t="str">
        <f>IF(CAPTURA!BF41="","",IFERROR(IF(INDEX(CODIFICACION!$E$2:$E$500,MATCH("D3.14d|"&amp;CAPTURA!BF41,CODIFICACION!$F$2:$F$500,0))="sin dato","",INDEX(CODIFICACION!$E$2:$E$500,MATCH("D3.14d|"&amp;CAPTURA!BF41,CODIFICACION!$F$2:$F$500,0))),"⚠"))</f>
        <v/>
      </c>
      <c r="AB41" t="str">
        <f>IF(CAPTURA!BG41="","",IFERROR(IF(INDEX(CODIFICACION!$E$2:$E$500,MATCH("D3.14e|"&amp;CAPTURA!BG41,CODIFICACION!$F$2:$F$500,0))="sin dato","",INDEX(CODIFICACION!$E$2:$E$500,MATCH("D3.14e|"&amp;CAPTURA!BG41,CODIFICACION!$F$2:$F$500,0))),"⚠"))</f>
        <v/>
      </c>
      <c r="AC41" t="str">
        <f>IF(CAPTURA!BH41="","",IFERROR(IF(INDEX(CODIFICACION!$E$2:$E$500,MATCH("D3.14f|"&amp;CAPTURA!BH41,CODIFICACION!$F$2:$F$500,0))="sin dato","",INDEX(CODIFICACION!$E$2:$E$500,MATCH("D3.14f|"&amp;CAPTURA!BH41,CODIFICACION!$F$2:$F$500,0))),"⚠"))</f>
        <v/>
      </c>
      <c r="AD41" t="str">
        <f>IF(CAPTURA!BI41="","",IFERROR(IF(INDEX(CODIFICACION!$E$2:$E$500,MATCH("D3.14g|"&amp;CAPTURA!BI41,CODIFICACION!$F$2:$F$500,0))="sin dato","",INDEX(CODIFICACION!$E$2:$E$500,MATCH("D3.14g|"&amp;CAPTURA!BI41,CODIFICACION!$F$2:$F$500,0))),"⚠"))</f>
        <v/>
      </c>
      <c r="AE41" t="str">
        <f>IF(CAPTURA!BJ41="","",IFERROR(IF(INDEX(CODIFICACION!$E$2:$E$500,MATCH("D3.14h|"&amp;CAPTURA!BJ41,CODIFICACION!$F$2:$F$500,0))="sin dato","",INDEX(CODIFICACION!$E$2:$E$500,MATCH("D3.14h|"&amp;CAPTURA!BJ41,CODIFICACION!$F$2:$F$500,0))),"⚠"))</f>
        <v/>
      </c>
      <c r="AF41" t="str">
        <f>IF(CAPTURA!BK41="","",IFERROR(IF(INDEX(CODIFICACION!$E$2:$E$500,MATCH("D3.14i|"&amp;CAPTURA!BK41,CODIFICACION!$F$2:$F$500,0))="sin dato","",INDEX(CODIFICACION!$E$2:$E$500,MATCH("D3.14i|"&amp;CAPTURA!BK41,CODIFICACION!$F$2:$F$500,0))),"⚠"))</f>
        <v/>
      </c>
      <c r="AG41" t="str">
        <f>IF(CAPTURA!BL41="","",IFERROR(IF(INDEX(CODIFICACION!$E$2:$E$500,MATCH("D4.15|"&amp;CAPTURA!BL41,CODIFICACION!$F$2:$F$500,0))="sin dato","",INDEX(CODIFICACION!$E$2:$E$500,MATCH("D4.15|"&amp;CAPTURA!BL41,CODIFICACION!$F$2:$F$500,0))),"⚠"))</f>
        <v/>
      </c>
      <c r="AH41" t="str">
        <f>IF(CAPTURA!BM41="","",IF(AND(ISNUMBER(CAPTURA!BM41),CAPTURA!BM41&gt;=0,CAPTURA!BM41&lt;=4),CAPTURA!BM41*25,"⚠"))</f>
        <v/>
      </c>
      <c r="AI41" t="str">
        <f>IF(CAPTURA!BN41="","",IFERROR(IF(INDEX(CODIFICACION!$E$2:$E$500,MATCH("D4.17|"&amp;CAPTURA!BN41,CODIFICACION!$F$2:$F$500,0))="sin dato","",INDEX(CODIFICACION!$E$2:$E$500,MATCH("D4.17|"&amp;CAPTURA!BN41,CODIFICACION!$F$2:$F$500,0))),"⚠"))</f>
        <v/>
      </c>
      <c r="AJ41" t="str">
        <f>IF(CAPTURA!BO41="","",IFERROR(IF(INDEX(CODIFICACION!$E$2:$E$500,MATCH("D4.15a|"&amp;CAPTURA!BO41,CODIFICACION!$F$2:$F$500,0))="sin dato","",INDEX(CODIFICACION!$E$2:$E$500,MATCH("D4.15a|"&amp;CAPTURA!BO41,CODIFICACION!$F$2:$F$500,0))),"⚠"))</f>
        <v/>
      </c>
      <c r="AK41" t="str">
        <f>IF(CAPTURA!BP41="","",IF(AND(ISNUMBER(CAPTURA!BP41),CAPTURA!BP41&gt;=0,CAPTURA!BP41&lt;=4),CAPTURA!BP41*25,"⚠"))</f>
        <v/>
      </c>
      <c r="AL41" t="str">
        <f>IF(CAPTURA!BQ41="","",IF(AND(ISNUMBER(CAPTURA!BQ41),CAPTURA!BQ41&gt;=0,CAPTURA!BQ41&lt;=4),CAPTURA!BQ41*25,"⚠"))</f>
        <v/>
      </c>
      <c r="AM41" t="str">
        <f>IF(CAPTURA!BR41="","",IFERROR(IF(INDEX(CODIFICACION!$E$2:$E$500,MATCH("D5.18b|"&amp;CAPTURA!BR41,CODIFICACION!$F$2:$F$500,0))="sin dato","",INDEX(CODIFICACION!$E$2:$E$500,MATCH("D5.18b|"&amp;CAPTURA!BR41,CODIFICACION!$F$2:$F$500,0))),"⚠"))</f>
        <v/>
      </c>
      <c r="AN41" t="str">
        <f>IF(CAPTURA!BS41="","",IFERROR(IF(INDEX(CODIFICACION!$E$2:$E$500,MATCH("D5.19|"&amp;CAPTURA!BS41,CODIFICACION!$F$2:$F$500,0))="sin dato","",INDEX(CODIFICACION!$E$2:$E$500,MATCH("D5.19|"&amp;CAPTURA!BS41,CODIFICACION!$F$2:$F$500,0))),"⚠"))</f>
        <v/>
      </c>
      <c r="AO41" t="str">
        <f>IF(CAPTURA!BT41="","",MIN(100,ROUND((LEN(CAPTURA!BT41)-LEN(SUBSTITUTE(CAPTURA!BT41,";",""))+1)/7*100,1)))</f>
        <v/>
      </c>
      <c r="AP41" t="str">
        <f>IF(CAPTURA!BU41="","",IFERROR(IF(INDEX(CODIFICACION!$E$2:$E$500,MATCH("D5.20|"&amp;CAPTURA!BU41,CODIFICACION!$F$2:$F$500,0))="sin dato","",INDEX(CODIFICACION!$E$2:$E$500,MATCH("D5.20|"&amp;CAPTURA!BU41,CODIFICACION!$F$2:$F$500,0))),"⚠"))</f>
        <v/>
      </c>
      <c r="AQ41" t="str">
        <f>IF(CAPTURA!BV41="","",IFERROR(IF(INDEX(CODIFICACION!$E$2:$E$500,MATCH("D5.21|"&amp;CAPTURA!BV41,CODIFICACION!$F$2:$F$500,0))="sin dato","",INDEX(CODIFICACION!$E$2:$E$500,MATCH("D5.21|"&amp;CAPTURA!BV41,CODIFICACION!$F$2:$F$500,0))),"⚠"))</f>
        <v/>
      </c>
      <c r="AR41" t="str">
        <f>IF(CAPTURA!BW41="","",IFERROR(IF(INDEX(CODIFICACION!$E$2:$E$500,MATCH("D5.21a|"&amp;CAPTURA!BW41,CODIFICACION!$F$2:$F$500,0))="sin dato","",INDEX(CODIFICACION!$E$2:$E$500,MATCH("D5.21a|"&amp;CAPTURA!BW41,CODIFICACION!$F$2:$F$500,0))),"⚠"))</f>
        <v/>
      </c>
      <c r="AS41" t="str">
        <f>IF(CAPTURA!BX41="","",IFERROR(IF(INDEX(CODIFICACION!$E$2:$E$500,MATCH("D5.21b|"&amp;CAPTURA!BX41,CODIFICACION!$F$2:$F$500,0))="sin dato","",INDEX(CODIFICACION!$E$2:$E$500,MATCH("D5.21b|"&amp;CAPTURA!BX41,CODIFICACION!$F$2:$F$500,0))),"⚠"))</f>
        <v/>
      </c>
      <c r="AT41" t="str">
        <f>IF(CAPTURA!BY41="","",IFERROR(IF(INDEX(CODIFICACION!$E$2:$E$500,MATCH("D6.22|"&amp;CAPTURA!BY41,CODIFICACION!$F$2:$F$500,0))="sin dato","",INDEX(CODIFICACION!$E$2:$E$500,MATCH("D6.22|"&amp;CAPTURA!BY41,CODIFICACION!$F$2:$F$500,0))),"⚠"))</f>
        <v/>
      </c>
      <c r="AU41" t="str">
        <f>IF(CAPTURA!BZ41="","",IFERROR(IF(INDEX(CODIFICACION!$E$2:$E$500,MATCH("D6.22a|"&amp;CAPTURA!BZ41,CODIFICACION!$F$2:$F$500,0))="sin dato","",INDEX(CODIFICACION!$E$2:$E$500,MATCH("D6.22a|"&amp;CAPTURA!BZ41,CODIFICACION!$F$2:$F$500,0))),"⚠"))</f>
        <v/>
      </c>
      <c r="AV41" t="str">
        <f>IF(CAPTURA!CA41="","",IFERROR(IF(INDEX(CODIFICACION!$E$2:$E$500,MATCH("D6.22b|"&amp;CAPTURA!CA41,CODIFICACION!$F$2:$F$500,0))="sin dato","",INDEX(CODIFICACION!$E$2:$E$500,MATCH("D6.22b|"&amp;CAPTURA!CA41,CODIFICACION!$F$2:$F$500,0))),"⚠"))</f>
        <v/>
      </c>
      <c r="AW41" t="str">
        <f>IF(CAPTURA!CB41="","",IFERROR(IF(INDEX(CODIFICACION!$E$2:$E$500,MATCH("D6.23|"&amp;CAPTURA!CB41,CODIFICACION!$F$2:$F$500,0))="sin dato","",INDEX(CODIFICACION!$E$2:$E$500,MATCH("D6.23|"&amp;CAPTURA!CB41,CODIFICACION!$F$2:$F$500,0))),"⚠"))</f>
        <v/>
      </c>
      <c r="AX41" t="str">
        <f>IF(CAPTURA!CC41="","",IFERROR(IF(INDEX(CODIFICACION!$E$2:$E$500,MATCH("D6.24|"&amp;CAPTURA!CC41,CODIFICACION!$F$2:$F$500,0))="sin dato","",INDEX(CODIFICACION!$E$2:$E$500,MATCH("D6.24|"&amp;CAPTURA!CC41,CODIFICACION!$F$2:$F$500,0))),"⚠"))</f>
        <v/>
      </c>
      <c r="AY41" t="str">
        <f>IF(CAPTURA!CD41="","",IFERROR(IF(INDEX(CODIFICACION!$E$2:$E$500,MATCH("D6.25|"&amp;CAPTURA!CD41,CODIFICACION!$F$2:$F$500,0))="sin dato","",INDEX(CODIFICACION!$E$2:$E$500,MATCH("D6.25|"&amp;CAPTURA!CD41,CODIFICACION!$F$2:$F$500,0))),"⚠"))</f>
        <v/>
      </c>
      <c r="AZ41" t="str">
        <f>IF(CAPTURA!CE41="","",IFERROR(IF(INDEX(CODIFICACION!$E$2:$E$500,MATCH("D6.25a|"&amp;CAPTURA!CE41,CODIFICACION!$F$2:$F$500,0))="sin dato","",INDEX(CODIFICACION!$E$2:$E$500,MATCH("D6.25a|"&amp;CAPTURA!CE41,CODIFICACION!$F$2:$F$500,0))),"⚠"))</f>
        <v/>
      </c>
      <c r="BA41" t="str">
        <f>IF(CAPTURA!CF41="","",IFERROR(IF(INDEX(CODIFICACION!$E$2:$E$500,MATCH("D6.25b|"&amp;CAPTURA!CF41,CODIFICACION!$F$2:$F$500,0))="sin dato","",INDEX(CODIFICACION!$E$2:$E$500,MATCH("D6.25b|"&amp;CAPTURA!CF41,CODIFICACION!$F$2:$F$500,0))),"⚠"))</f>
        <v/>
      </c>
      <c r="BB41" t="str">
        <f>IF(CAPTURA!CG41="","",IFERROR(IF(INDEX(CODIFICACION!$E$2:$E$500,MATCH("D6.22c|"&amp;CAPTURA!CG41,CODIFICACION!$F$2:$F$500,0))="sin dato","",INDEX(CODIFICACION!$E$2:$E$500,MATCH("D6.22c|"&amp;CAPTURA!CG41,CODIFICACION!$F$2:$F$500,0))),"⚠"))</f>
        <v/>
      </c>
      <c r="BC41" t="str">
        <f>IF(CAPTURA!CH41="","",IFERROR(IF(INDEX(CODIFICACION!$E$2:$E$500,MATCH("D7.26|"&amp;CAPTURA!CH41,CODIFICACION!$F$2:$F$500,0))="sin dato","",INDEX(CODIFICACION!$E$2:$E$500,MATCH("D7.26|"&amp;CAPTURA!CH41,CODIFICACION!$F$2:$F$500,0))),"⚠"))</f>
        <v/>
      </c>
      <c r="BD41" t="str">
        <f>IF(CAPTURA!CI41="","",IFERROR(IF(INDEX(CODIFICACION!$E$2:$E$500,MATCH("D7.27|"&amp;CAPTURA!CI41,CODIFICACION!$F$2:$F$500,0))="sin dato","",INDEX(CODIFICACION!$E$2:$E$500,MATCH("D7.27|"&amp;CAPTURA!CI41,CODIFICACION!$F$2:$F$500,0))),"⚠"))</f>
        <v/>
      </c>
      <c r="BE41" t="str">
        <f>IF(CAPTURA!CJ41="","",IFERROR(IF(INDEX(CODIFICACION!$E$2:$E$500,MATCH("D7.28|"&amp;CAPTURA!CJ41,CODIFICACION!$F$2:$F$500,0))="sin dato","",INDEX(CODIFICACION!$E$2:$E$500,MATCH("D7.28|"&amp;CAPTURA!CJ41,CODIFICACION!$F$2:$F$500,0))),"⚠"))</f>
        <v/>
      </c>
      <c r="BF41" t="str">
        <f>IF(CAPTURA!CK41="","",IFERROR(IF(INDEX(CODIFICACION!$E$2:$E$500,MATCH("D7.28b|"&amp;CAPTURA!CK41,CODIFICACION!$F$2:$F$500,0))="sin dato","",INDEX(CODIFICACION!$E$2:$E$500,MATCH("D7.28b|"&amp;CAPTURA!CK41,CODIFICACION!$F$2:$F$500,0))),"⚠"))</f>
        <v/>
      </c>
      <c r="BG41" t="str">
        <f>IF(CAPTURA!CL41="","",MIN(100,ROUND((LEN(CAPTURA!CL41)-LEN(SUBSTITUTE(CAPTURA!CL41,";",""))+1)/8*100,1)))</f>
        <v/>
      </c>
      <c r="BH41" t="str">
        <f>IF(CAPTURA!CM41="","",IFERROR(IF(INDEX(CODIFICACION!$E$2:$E$500,MATCH("D7.26a|"&amp;CAPTURA!CM41,CODIFICACION!$F$2:$F$500,0))="sin dato","",INDEX(CODIFICACION!$E$2:$E$500,MATCH("D7.26a|"&amp;CAPTURA!CM41,CODIFICACION!$F$2:$F$500,0))),"⚠"))</f>
        <v/>
      </c>
      <c r="BI41" t="str">
        <f>IF(CAPTURA!CN41="","",IFERROR(IF(INDEX(CODIFICACION!$E$2:$E$500,MATCH("D7.26b|"&amp;CAPTURA!CN41,CODIFICACION!$F$2:$F$500,0))="sin dato","",INDEX(CODIFICACION!$E$2:$E$500,MATCH("D7.26b|"&amp;CAPTURA!CN41,CODIFICACION!$F$2:$F$500,0))),"⚠"))</f>
        <v/>
      </c>
      <c r="BJ41" t="str">
        <f>IF(CAPTURA!CO41="","",IF(AND(ISNUMBER(CAPTURA!CO41),CAPTURA!CO41&gt;=0,CAPTURA!CO41&lt;=4),CAPTURA!CO41*25,"⚠"))</f>
        <v/>
      </c>
      <c r="BK41" t="str">
        <f>IF(CAPTURA!CP41="","",IF(ISNUMBER(CAPTURA!CP41),MAX(0,MIN(100,CAPTURA!CP41)),"⚠"))</f>
        <v/>
      </c>
      <c r="BL41" t="str">
        <f>IF(CAPTURA!CQ41="","",IFERROR(IF(INDEX(CODIFICACION!$E$2:$E$500,MATCH("D8.31|"&amp;CAPTURA!CQ41,CODIFICACION!$F$2:$F$500,0))="sin dato","",INDEX(CODIFICACION!$E$2:$E$500,MATCH("D8.31|"&amp;CAPTURA!CQ41,CODIFICACION!$F$2:$F$500,0))),"⚠"))</f>
        <v/>
      </c>
      <c r="BM41" t="str">
        <f>IF(CAPTURA!CR41="","",IFERROR(IF(INDEX(CODIFICACION!$E$2:$E$500,MATCH("D8.32|"&amp;CAPTURA!CR41,CODIFICACION!$F$2:$F$500,0))="sin dato","",INDEX(CODIFICACION!$E$2:$E$500,MATCH("D8.32|"&amp;CAPTURA!CR41,CODIFICACION!$F$2:$F$500,0))),"⚠"))</f>
        <v/>
      </c>
      <c r="BN41" t="str">
        <f>IF(CAPTURA!CS41="","",IFERROR(IF(INDEX(CODIFICACION!$E$2:$E$500,MATCH("D9.33|"&amp;CAPTURA!CS41,CODIFICACION!$F$2:$F$500,0))="sin dato","",INDEX(CODIFICACION!$E$2:$E$500,MATCH("D9.33|"&amp;CAPTURA!CS41,CODIFICACION!$F$2:$F$500,0))),"⚠"))</f>
        <v/>
      </c>
      <c r="BO41" t="str">
        <f>IF(CAPTURA!CT41="","",IFERROR(IF(INDEX(CODIFICACION!$E$2:$E$500,MATCH("D9.34|"&amp;CAPTURA!CT41,CODIFICACION!$F$2:$F$500,0))="sin dato","",INDEX(CODIFICACION!$E$2:$E$500,MATCH("D9.34|"&amp;CAPTURA!CT41,CODIFICACION!$F$2:$F$500,0))),"⚠"))</f>
        <v/>
      </c>
      <c r="BP41" t="str">
        <f>IF(CAPTURA!CU41="","",IFERROR(IF(INDEX(CODIFICACION!$E$2:$E$500,MATCH("D9.35|"&amp;CAPTURA!CU41,CODIFICACION!$F$2:$F$500,0))="sin dato","",INDEX(CODIFICACION!$E$2:$E$500,MATCH("D9.35|"&amp;CAPTURA!CU41,CODIFICACION!$F$2:$F$500,0))),"⚠"))</f>
        <v/>
      </c>
      <c r="BQ41" t="str">
        <f>IF(CAPTURA!CV41="","",IFERROR(IF(INDEX(CODIFICACION!$E$2:$E$500,MATCH("D10.36|"&amp;CAPTURA!CV41,CODIFICACION!$F$2:$F$500,0))="sin dato","",INDEX(CODIFICACION!$E$2:$E$500,MATCH("D10.36|"&amp;CAPTURA!CV41,CODIFICACION!$F$2:$F$500,0))),"⚠"))</f>
        <v/>
      </c>
      <c r="BR41" t="str">
        <f>IF(CAPTURA!CW41="","",IFERROR(IF(INDEX(CODIFICACION!$E$2:$E$500,MATCH("D10.37|"&amp;CAPTURA!CW41,CODIFICACION!$F$2:$F$500,0))="sin dato","",INDEX(CODIFICACION!$E$2:$E$500,MATCH("D10.37|"&amp;CAPTURA!CW41,CODIFICACION!$F$2:$F$500,0))),"⚠"))</f>
        <v/>
      </c>
      <c r="BS41" t="str">
        <f>IF(CAPTURA!CX41="","",IFERROR(IF(INDEX(CODIFICACION!$E$2:$E$500,MATCH("D10.36a|"&amp;CAPTURA!CX41,CODIFICACION!$F$2:$F$500,0))="sin dato","",INDEX(CODIFICACION!$E$2:$E$500,MATCH("D10.36a|"&amp;CAPTURA!CX41,CODIFICACION!$F$2:$F$500,0))),"⚠"))</f>
        <v/>
      </c>
      <c r="BT41" t="str">
        <f>IF(CAPTURA!CY41="","",IF(ISNUMBER(SEARCH("Ninguno",CAPTURA!CY41)),0,MIN(100,ROUND((LEN(CAPTURA!CY41)-LEN(SUBSTITUTE(CAPTURA!CY41,";",""))+1)/6*100,1))))</f>
        <v/>
      </c>
      <c r="BU41" t="str">
        <f>IF(CAPTURA!DA41="","",IFERROR(IF(INDEX(CODIFICACION!$E$2:$E$500,MATCH("D11.39a|"&amp;CAPTURA!DA41,CODIFICACION!$F$2:$F$500,0))="sin dato","",INDEX(CODIFICACION!$E$2:$E$500,MATCH("D11.39a|"&amp;CAPTURA!DA41,CODIFICACION!$F$2:$F$500,0))),"⚠"))</f>
        <v/>
      </c>
      <c r="BV41" t="str">
        <f>IF(CAPTURA!DB41="","",IFERROR(IF(INDEX(CODIFICACION!$E$2:$E$500,MATCH("D12.42|"&amp;CAPTURA!DB41,CODIFICACION!$F$2:$F$500,0))="sin dato","",INDEX(CODIFICACION!$E$2:$E$500,MATCH("D12.42|"&amp;CAPTURA!DB41,CODIFICACION!$F$2:$F$500,0))),"⚠"))</f>
        <v/>
      </c>
      <c r="BW41" t="str">
        <f>IF(CAPTURA!DC41="","",IFERROR(IF(INDEX(CODIFICACION!$E$2:$E$500,MATCH("D13.45|"&amp;CAPTURA!DC41,CODIFICACION!$F$2:$F$500,0))="sin dato","",INDEX(CODIFICACION!$E$2:$E$500,MATCH("D13.45|"&amp;CAPTURA!DC41,CODIFICACION!$F$2:$F$500,0))),"⚠"))</f>
        <v/>
      </c>
      <c r="BX41" t="str">
        <f>IF(CAPTURA!DD41="","",IFERROR(IF(INDEX(CODIFICACION!$E$2:$E$500,MATCH("D14.51|"&amp;CAPTURA!DD41,CODIFICACION!$F$2:$F$500,0))="sin dato","",INDEX(CODIFICACION!$E$2:$E$500,MATCH("D14.51|"&amp;CAPTURA!DD41,CODIFICACION!$F$2:$F$500,0))),"⚠"))</f>
        <v/>
      </c>
      <c r="BY41" t="str">
        <f>IF(CAPTURA!DE41="","",IFERROR(IF(INDEX(CODIFICACION!$E$2:$E$500,MATCH("D15.58|"&amp;CAPTURA!DE41,CODIFICACION!$F$2:$F$500,0))="sin dato","",INDEX(CODIFICACION!$E$2:$E$500,MATCH("D15.58|"&amp;CAPTURA!DE41,CODIFICACION!$F$2:$F$500,0))),"⚠"))</f>
        <v/>
      </c>
      <c r="BZ41" t="str">
        <f>IF(CAPTURA!DF41="","",IFERROR(IF(INDEX(CODIFICACION!$E$2:$E$500,MATCH("PP1|"&amp;CAPTURA!DF41,CODIFICACION!$F$2:$F$500,0))="sin dato","",INDEX(CODIFICACION!$E$2:$E$500,MATCH("PP1|"&amp;CAPTURA!DF41,CODIFICACION!$F$2:$F$500,0))),"⚠"))</f>
        <v/>
      </c>
      <c r="CA41" t="str">
        <f>IF(CAPTURA!DG41="","",IFERROR(IF(INDEX(CODIFICACION!$E$2:$E$500,MATCH("PP2|"&amp;CAPTURA!DG41,CODIFICACION!$F$2:$F$500,0))="sin dato","",INDEX(CODIFICACION!$E$2:$E$500,MATCH("PP2|"&amp;CAPTURA!DG41,CODIFICACION!$F$2:$F$500,0))),"⚠"))</f>
        <v/>
      </c>
      <c r="CB41" t="str">
        <f t="shared" si="11"/>
        <v/>
      </c>
      <c r="CC41" t="str">
        <f t="shared" si="12"/>
        <v/>
      </c>
      <c r="CD41" t="str">
        <f t="shared" si="13"/>
        <v/>
      </c>
      <c r="CE41" t="str">
        <f t="shared" si="14"/>
        <v/>
      </c>
      <c r="CF41" t="str">
        <f t="shared" si="15"/>
        <v/>
      </c>
      <c r="CG41" t="str">
        <f t="shared" si="16"/>
        <v/>
      </c>
      <c r="CH41" t="str">
        <f t="shared" si="17"/>
        <v/>
      </c>
      <c r="CI41" t="str">
        <f t="shared" si="18"/>
        <v/>
      </c>
      <c r="CJ41" t="str">
        <f t="shared" si="19"/>
        <v/>
      </c>
      <c r="CK41" t="str">
        <f t="shared" si="20"/>
        <v/>
      </c>
      <c r="CL41" t="str">
        <f t="shared" si="21"/>
        <v/>
      </c>
    </row>
    <row r="42" spans="1:90" x14ac:dyDescent="0.3">
      <c r="A42">
        <f>CAPTURA!A42</f>
        <v>20484163902</v>
      </c>
      <c r="B42">
        <f>CAPTURA!C42</f>
        <v>0</v>
      </c>
      <c r="C42" t="str">
        <f>IF(CAPTURA!M42="","",ROUND((ISNUMBER(SEARCH("Alemania",CAPTURA!M42))+ISNUMBER(SEARCH("Bélgica",CAPTURA!M42))+ISNUMBER(SEARCH("Países Bajos",CAPTURA!M42))+ISNUMBER(SEARCH("Francia",CAPTURA!M42))+ISNUMBER(SEARCH("Italia",CAPTURA!M42))+ISNUMBER(SEARCH("España",CAPTURA!M42))+ISNUMBER(SEARCH("Suecia",CAPTURA!M42))+ISNUMBER(SEARCH("Dinamarca",CAPTURA!M42)))/((LEN(CAPTURA!M42)-LEN(SUBSTITUTE(CAPTURA!M42,";","")))+1)*100,1))</f>
        <v/>
      </c>
      <c r="D42" t="str">
        <f>IF(CAPTURA!AE42="","",IFERROR(IF(INDEX(CODIFICACION!$E$2:$E$500,MATCH("P8|"&amp;CAPTURA!AE42,CODIFICACION!$F$2:$F$500,0))="sin dato","",INDEX(CODIFICACION!$E$2:$E$500,MATCH("P8|"&amp;CAPTURA!AE42,CODIFICACION!$F$2:$F$500,0))),"⚠"))</f>
        <v/>
      </c>
      <c r="E42" t="str">
        <f>IF(CAPTURA!AG42="","",IFERROR(IF(INDEX(CODIFICACION!$E$2:$E$500,MATCH("P10|"&amp;CAPTURA!AG42,CODIFICACION!$F$2:$F$500,0))="sin dato","",INDEX(CODIFICACION!$E$2:$E$500,MATCH("P10|"&amp;CAPTURA!AG42,CODIFICACION!$F$2:$F$500,0))),"⚠"))</f>
        <v/>
      </c>
      <c r="F42" t="str">
        <f>IF(CAPTURA!AJ42="","",IFERROR(IF(INDEX(CODIFICACION!$E$2:$E$500,MATCH("P13|"&amp;CAPTURA!AJ42,CODIFICACION!$F$2:$F$500,0))="sin dato","",INDEX(CODIFICACION!$E$2:$E$500,MATCH("P13|"&amp;CAPTURA!AJ42,CODIFICACION!$F$2:$F$500,0))),"⚠"))</f>
        <v/>
      </c>
      <c r="G42" t="str">
        <f>IF(CAPTURA!AK42="","",IFERROR(IF(INDEX(CODIFICACION!$E$2:$E$500,MATCH("P14|"&amp;CAPTURA!AK42,CODIFICACION!$F$2:$F$500,0))="sin dato","",INDEX(CODIFICACION!$E$2:$E$500,MATCH("P14|"&amp;CAPTURA!AK42,CODIFICACION!$F$2:$F$500,0))),"⚠"))</f>
        <v/>
      </c>
      <c r="H42" t="str">
        <f>IF(CAPTURA!AL42="","",IFERROR(IF(INDEX(CODIFICACION!$E$2:$E$500,MATCH("D1.1|"&amp;CAPTURA!AL42,CODIFICACION!$F$2:$F$500,0))="sin dato","",INDEX(CODIFICACION!$E$2:$E$500,MATCH("D1.1|"&amp;CAPTURA!AL42,CODIFICACION!$F$2:$F$500,0))),"⚠"))</f>
        <v/>
      </c>
      <c r="I42" t="str">
        <f>IF(CAPTURA!AN42="","",IFERROR(IF(INDEX(CODIFICACION!$E$2:$E$500,MATCH("D1.3|"&amp;CAPTURA!AN42,CODIFICACION!$F$2:$F$500,0))="sin dato","",INDEX(CODIFICACION!$E$2:$E$500,MATCH("D1.3|"&amp;CAPTURA!AN42,CODIFICACION!$F$2:$F$500,0))),"⚠"))</f>
        <v/>
      </c>
      <c r="J42" t="str">
        <f>IF(CAPTURA!AO42="","",IFERROR(IF(INDEX(CODIFICACION!$E$2:$E$500,MATCH("D1.4|"&amp;CAPTURA!AO42,CODIFICACION!$F$2:$F$500,0))="sin dato","",INDEX(CODIFICACION!$E$2:$E$500,MATCH("D1.4|"&amp;CAPTURA!AO42,CODIFICACION!$F$2:$F$500,0))),"⚠"))</f>
        <v/>
      </c>
      <c r="K42" t="str">
        <f>IF(CAPTURA!AP42="","",IFERROR(IF(INDEX(CODIFICACION!$E$2:$E$500,MATCH("D1.3a|"&amp;CAPTURA!AP42,CODIFICACION!$F$2:$F$500,0))="sin dato","",INDEX(CODIFICACION!$E$2:$E$500,MATCH("D1.3a|"&amp;CAPTURA!AP42,CODIFICACION!$F$2:$F$500,0))),"⚠"))</f>
        <v/>
      </c>
      <c r="L42" t="str">
        <f>IF(CAPTURA!AQ42="","",IF(AND(ISNUMBER(CAPTURA!AQ42),CAPTURA!AQ42&gt;=0,CAPTURA!AQ42&lt;=4),CAPTURA!AQ42*25,"⚠"))</f>
        <v/>
      </c>
      <c r="M42" t="str">
        <f>IF(CAPTURA!AR42="","",IF(ISNUMBER(CAPTURA!AR42),MAX(0,MIN(100,CAPTURA!AR42)),"⚠"))</f>
        <v/>
      </c>
      <c r="N42" t="str">
        <f>IF(CAPTURA!AS42="","",IF(AND(ISNUMBER(CAPTURA!AS42),CAPTURA!AS42&gt;=0,CAPTURA!AS42&lt;=4),CAPTURA!AS42*25,"⚠"))</f>
        <v/>
      </c>
      <c r="O42" t="str">
        <f>IF(CAPTURA!AT42="","",IFERROR(IF(INDEX(CODIFICACION!$E$2:$E$500,MATCH("D2.8|"&amp;CAPTURA!AT42,CODIFICACION!$F$2:$F$500,0))="sin dato","",INDEX(CODIFICACION!$E$2:$E$500,MATCH("D2.8|"&amp;CAPTURA!AT42,CODIFICACION!$F$2:$F$500,0))),"⚠"))</f>
        <v/>
      </c>
      <c r="P42" t="str">
        <f>IF(CAPTURA!AU42="","",IFERROR(IF(INDEX(CODIFICACION!$E$2:$E$500,MATCH("D2.9|"&amp;CAPTURA!AU42,CODIFICACION!$F$2:$F$500,0))="sin dato","",INDEX(CODIFICACION!$E$2:$E$500,MATCH("D2.9|"&amp;CAPTURA!AU42,CODIFICACION!$F$2:$F$500,0))),"⚠"))</f>
        <v/>
      </c>
      <c r="Q42" t="str">
        <f>IF(CAPTURA!AV42="","",IFERROR(IF(INDEX(CODIFICACION!$E$2:$E$500,MATCH("D2.10|"&amp;CAPTURA!AV42,CODIFICACION!$F$2:$F$500,0))="sin dato","",INDEX(CODIFICACION!$E$2:$E$500,MATCH("D2.10|"&amp;CAPTURA!AV42,CODIFICACION!$F$2:$F$500,0))),"⚠"))</f>
        <v/>
      </c>
      <c r="R42" t="str">
        <f>IF(CAPTURA!AW42="","",IFERROR(IF(INDEX(CODIFICACION!$E$2:$E$500,MATCH("D2.5a|"&amp;CAPTURA!AW42,CODIFICACION!$F$2:$F$500,0))="sin dato","",INDEX(CODIFICACION!$E$2:$E$500,MATCH("D2.5a|"&amp;CAPTURA!AW42,CODIFICACION!$F$2:$F$500,0))),"⚠"))</f>
        <v/>
      </c>
      <c r="S42" t="str">
        <f>IF(CAPTURA!AX42="","",IFERROR(IF(INDEX(CODIFICACION!$E$2:$E$500,MATCH("D2.5b|"&amp;CAPTURA!AX42,CODIFICACION!$F$2:$F$500,0))="sin dato","",INDEX(CODIFICACION!$E$2:$E$500,MATCH("D2.5b|"&amp;CAPTURA!AX42,CODIFICACION!$F$2:$F$500,0))),"⚠"))</f>
        <v/>
      </c>
      <c r="T42" t="str">
        <f>IF(CAPTURA!AY42="","",IF(ISNUMBER(CAPTURA!AY42),MAX(0,MIN(100,CAPTURA!AY42)),"⚠"))</f>
        <v/>
      </c>
      <c r="U42" t="str">
        <f>IF(CAPTURA!AZ42="","",IFERROR(IF(INDEX(CODIFICACION!$E$2:$E$500,MATCH("D3.12|"&amp;CAPTURA!AZ42,CODIFICACION!$F$2:$F$500,0))="sin dato","",INDEX(CODIFICACION!$E$2:$E$500,MATCH("D3.12|"&amp;CAPTURA!AZ42,CODIFICACION!$F$2:$F$500,0))),"⚠"))</f>
        <v/>
      </c>
      <c r="V42" t="str">
        <f>IF(CAPTURA!BA42="","",IF(AND(ISNUMBER(CAPTURA!BA42),CAPTURA!BA42&gt;=0,CAPTURA!BA42&lt;=4),CAPTURA!BA42*25,"⚠"))</f>
        <v/>
      </c>
      <c r="W42" t="str">
        <f>IF(CAPTURA!BB42="","",IFERROR(IF(INDEX(CODIFICACION!$E$2:$E$500,MATCH("D3.14|"&amp;CAPTURA!BB42,CODIFICACION!$F$2:$F$500,0))="sin dato","",INDEX(CODIFICACION!$E$2:$E$500,MATCH("D3.14|"&amp;CAPTURA!BB42,CODIFICACION!$F$2:$F$500,0))),"⚠"))</f>
        <v/>
      </c>
      <c r="X42" t="str">
        <f>IF(CAPTURA!BC42="","",IFERROR(IF(INDEX(CODIFICACION!$E$2:$E$500,MATCH("D3.14a|"&amp;CAPTURA!BC42,CODIFICACION!$F$2:$F$500,0))="sin dato","",INDEX(CODIFICACION!$E$2:$E$500,MATCH("D3.14a|"&amp;CAPTURA!BC42,CODIFICACION!$F$2:$F$500,0))),"⚠"))</f>
        <v/>
      </c>
      <c r="Y42" t="str">
        <f>IF(CAPTURA!BD42="","",IFERROR(IF(INDEX(CODIFICACION!$E$2:$E$500,MATCH("D3.14b|"&amp;CAPTURA!BD42,CODIFICACION!$F$2:$F$500,0))="sin dato","",INDEX(CODIFICACION!$E$2:$E$500,MATCH("D3.14b|"&amp;CAPTURA!BD42,CODIFICACION!$F$2:$F$500,0))),"⚠"))</f>
        <v/>
      </c>
      <c r="Z42" t="str">
        <f>IF(CAPTURA!BE42="","",IFERROR(IF(INDEX(CODIFICACION!$E$2:$E$500,MATCH("D3.14c|"&amp;CAPTURA!BE42,CODIFICACION!$F$2:$F$500,0))="sin dato","",INDEX(CODIFICACION!$E$2:$E$500,MATCH("D3.14c|"&amp;CAPTURA!BE42,CODIFICACION!$F$2:$F$500,0))),"⚠"))</f>
        <v/>
      </c>
      <c r="AA42" t="str">
        <f>IF(CAPTURA!BF42="","",IFERROR(IF(INDEX(CODIFICACION!$E$2:$E$500,MATCH("D3.14d|"&amp;CAPTURA!BF42,CODIFICACION!$F$2:$F$500,0))="sin dato","",INDEX(CODIFICACION!$E$2:$E$500,MATCH("D3.14d|"&amp;CAPTURA!BF42,CODIFICACION!$F$2:$F$500,0))),"⚠"))</f>
        <v/>
      </c>
      <c r="AB42" t="str">
        <f>IF(CAPTURA!BG42="","",IFERROR(IF(INDEX(CODIFICACION!$E$2:$E$500,MATCH("D3.14e|"&amp;CAPTURA!BG42,CODIFICACION!$F$2:$F$500,0))="sin dato","",INDEX(CODIFICACION!$E$2:$E$500,MATCH("D3.14e|"&amp;CAPTURA!BG42,CODIFICACION!$F$2:$F$500,0))),"⚠"))</f>
        <v/>
      </c>
      <c r="AC42" t="str">
        <f>IF(CAPTURA!BH42="","",IFERROR(IF(INDEX(CODIFICACION!$E$2:$E$500,MATCH("D3.14f|"&amp;CAPTURA!BH42,CODIFICACION!$F$2:$F$500,0))="sin dato","",INDEX(CODIFICACION!$E$2:$E$500,MATCH("D3.14f|"&amp;CAPTURA!BH42,CODIFICACION!$F$2:$F$500,0))),"⚠"))</f>
        <v/>
      </c>
      <c r="AD42" t="str">
        <f>IF(CAPTURA!BI42="","",IFERROR(IF(INDEX(CODIFICACION!$E$2:$E$500,MATCH("D3.14g|"&amp;CAPTURA!BI42,CODIFICACION!$F$2:$F$500,0))="sin dato","",INDEX(CODIFICACION!$E$2:$E$500,MATCH("D3.14g|"&amp;CAPTURA!BI42,CODIFICACION!$F$2:$F$500,0))),"⚠"))</f>
        <v/>
      </c>
      <c r="AE42" t="str">
        <f>IF(CAPTURA!BJ42="","",IFERROR(IF(INDEX(CODIFICACION!$E$2:$E$500,MATCH("D3.14h|"&amp;CAPTURA!BJ42,CODIFICACION!$F$2:$F$500,0))="sin dato","",INDEX(CODIFICACION!$E$2:$E$500,MATCH("D3.14h|"&amp;CAPTURA!BJ42,CODIFICACION!$F$2:$F$500,0))),"⚠"))</f>
        <v/>
      </c>
      <c r="AF42" t="str">
        <f>IF(CAPTURA!BK42="","",IFERROR(IF(INDEX(CODIFICACION!$E$2:$E$500,MATCH("D3.14i|"&amp;CAPTURA!BK42,CODIFICACION!$F$2:$F$500,0))="sin dato","",INDEX(CODIFICACION!$E$2:$E$500,MATCH("D3.14i|"&amp;CAPTURA!BK42,CODIFICACION!$F$2:$F$500,0))),"⚠"))</f>
        <v/>
      </c>
      <c r="AG42" t="str">
        <f>IF(CAPTURA!BL42="","",IFERROR(IF(INDEX(CODIFICACION!$E$2:$E$500,MATCH("D4.15|"&amp;CAPTURA!BL42,CODIFICACION!$F$2:$F$500,0))="sin dato","",INDEX(CODIFICACION!$E$2:$E$500,MATCH("D4.15|"&amp;CAPTURA!BL42,CODIFICACION!$F$2:$F$500,0))),"⚠"))</f>
        <v/>
      </c>
      <c r="AH42" t="str">
        <f>IF(CAPTURA!BM42="","",IF(AND(ISNUMBER(CAPTURA!BM42),CAPTURA!BM42&gt;=0,CAPTURA!BM42&lt;=4),CAPTURA!BM42*25,"⚠"))</f>
        <v/>
      </c>
      <c r="AI42" t="str">
        <f>IF(CAPTURA!BN42="","",IFERROR(IF(INDEX(CODIFICACION!$E$2:$E$500,MATCH("D4.17|"&amp;CAPTURA!BN42,CODIFICACION!$F$2:$F$500,0))="sin dato","",INDEX(CODIFICACION!$E$2:$E$500,MATCH("D4.17|"&amp;CAPTURA!BN42,CODIFICACION!$F$2:$F$500,0))),"⚠"))</f>
        <v/>
      </c>
      <c r="AJ42" t="str">
        <f>IF(CAPTURA!BO42="","",IFERROR(IF(INDEX(CODIFICACION!$E$2:$E$500,MATCH("D4.15a|"&amp;CAPTURA!BO42,CODIFICACION!$F$2:$F$500,0))="sin dato","",INDEX(CODIFICACION!$E$2:$E$500,MATCH("D4.15a|"&amp;CAPTURA!BO42,CODIFICACION!$F$2:$F$500,0))),"⚠"))</f>
        <v/>
      </c>
      <c r="AK42" t="str">
        <f>IF(CAPTURA!BP42="","",IF(AND(ISNUMBER(CAPTURA!BP42),CAPTURA!BP42&gt;=0,CAPTURA!BP42&lt;=4),CAPTURA!BP42*25,"⚠"))</f>
        <v/>
      </c>
      <c r="AL42" t="str">
        <f>IF(CAPTURA!BQ42="","",IF(AND(ISNUMBER(CAPTURA!BQ42),CAPTURA!BQ42&gt;=0,CAPTURA!BQ42&lt;=4),CAPTURA!BQ42*25,"⚠"))</f>
        <v/>
      </c>
      <c r="AM42" t="str">
        <f>IF(CAPTURA!BR42="","",IFERROR(IF(INDEX(CODIFICACION!$E$2:$E$500,MATCH("D5.18b|"&amp;CAPTURA!BR42,CODIFICACION!$F$2:$F$500,0))="sin dato","",INDEX(CODIFICACION!$E$2:$E$500,MATCH("D5.18b|"&amp;CAPTURA!BR42,CODIFICACION!$F$2:$F$500,0))),"⚠"))</f>
        <v/>
      </c>
      <c r="AN42" t="str">
        <f>IF(CAPTURA!BS42="","",IFERROR(IF(INDEX(CODIFICACION!$E$2:$E$500,MATCH("D5.19|"&amp;CAPTURA!BS42,CODIFICACION!$F$2:$F$500,0))="sin dato","",INDEX(CODIFICACION!$E$2:$E$500,MATCH("D5.19|"&amp;CAPTURA!BS42,CODIFICACION!$F$2:$F$500,0))),"⚠"))</f>
        <v/>
      </c>
      <c r="AO42" t="str">
        <f>IF(CAPTURA!BT42="","",MIN(100,ROUND((LEN(CAPTURA!BT42)-LEN(SUBSTITUTE(CAPTURA!BT42,";",""))+1)/7*100,1)))</f>
        <v/>
      </c>
      <c r="AP42" t="str">
        <f>IF(CAPTURA!BU42="","",IFERROR(IF(INDEX(CODIFICACION!$E$2:$E$500,MATCH("D5.20|"&amp;CAPTURA!BU42,CODIFICACION!$F$2:$F$500,0))="sin dato","",INDEX(CODIFICACION!$E$2:$E$500,MATCH("D5.20|"&amp;CAPTURA!BU42,CODIFICACION!$F$2:$F$500,0))),"⚠"))</f>
        <v/>
      </c>
      <c r="AQ42" t="str">
        <f>IF(CAPTURA!BV42="","",IFERROR(IF(INDEX(CODIFICACION!$E$2:$E$500,MATCH("D5.21|"&amp;CAPTURA!BV42,CODIFICACION!$F$2:$F$500,0))="sin dato","",INDEX(CODIFICACION!$E$2:$E$500,MATCH("D5.21|"&amp;CAPTURA!BV42,CODIFICACION!$F$2:$F$500,0))),"⚠"))</f>
        <v/>
      </c>
      <c r="AR42" t="str">
        <f>IF(CAPTURA!BW42="","",IFERROR(IF(INDEX(CODIFICACION!$E$2:$E$500,MATCH("D5.21a|"&amp;CAPTURA!BW42,CODIFICACION!$F$2:$F$500,0))="sin dato","",INDEX(CODIFICACION!$E$2:$E$500,MATCH("D5.21a|"&amp;CAPTURA!BW42,CODIFICACION!$F$2:$F$500,0))),"⚠"))</f>
        <v/>
      </c>
      <c r="AS42" t="str">
        <f>IF(CAPTURA!BX42="","",IFERROR(IF(INDEX(CODIFICACION!$E$2:$E$500,MATCH("D5.21b|"&amp;CAPTURA!BX42,CODIFICACION!$F$2:$F$500,0))="sin dato","",INDEX(CODIFICACION!$E$2:$E$500,MATCH("D5.21b|"&amp;CAPTURA!BX42,CODIFICACION!$F$2:$F$500,0))),"⚠"))</f>
        <v/>
      </c>
      <c r="AT42" t="str">
        <f>IF(CAPTURA!BY42="","",IFERROR(IF(INDEX(CODIFICACION!$E$2:$E$500,MATCH("D6.22|"&amp;CAPTURA!BY42,CODIFICACION!$F$2:$F$500,0))="sin dato","",INDEX(CODIFICACION!$E$2:$E$500,MATCH("D6.22|"&amp;CAPTURA!BY42,CODIFICACION!$F$2:$F$500,0))),"⚠"))</f>
        <v/>
      </c>
      <c r="AU42" t="str">
        <f>IF(CAPTURA!BZ42="","",IFERROR(IF(INDEX(CODIFICACION!$E$2:$E$500,MATCH("D6.22a|"&amp;CAPTURA!BZ42,CODIFICACION!$F$2:$F$500,0))="sin dato","",INDEX(CODIFICACION!$E$2:$E$500,MATCH("D6.22a|"&amp;CAPTURA!BZ42,CODIFICACION!$F$2:$F$500,0))),"⚠"))</f>
        <v/>
      </c>
      <c r="AV42" t="str">
        <f>IF(CAPTURA!CA42="","",IFERROR(IF(INDEX(CODIFICACION!$E$2:$E$500,MATCH("D6.22b|"&amp;CAPTURA!CA42,CODIFICACION!$F$2:$F$500,0))="sin dato","",INDEX(CODIFICACION!$E$2:$E$500,MATCH("D6.22b|"&amp;CAPTURA!CA42,CODIFICACION!$F$2:$F$500,0))),"⚠"))</f>
        <v/>
      </c>
      <c r="AW42" t="str">
        <f>IF(CAPTURA!CB42="","",IFERROR(IF(INDEX(CODIFICACION!$E$2:$E$500,MATCH("D6.23|"&amp;CAPTURA!CB42,CODIFICACION!$F$2:$F$500,0))="sin dato","",INDEX(CODIFICACION!$E$2:$E$500,MATCH("D6.23|"&amp;CAPTURA!CB42,CODIFICACION!$F$2:$F$500,0))),"⚠"))</f>
        <v/>
      </c>
      <c r="AX42" t="str">
        <f>IF(CAPTURA!CC42="","",IFERROR(IF(INDEX(CODIFICACION!$E$2:$E$500,MATCH("D6.24|"&amp;CAPTURA!CC42,CODIFICACION!$F$2:$F$500,0))="sin dato","",INDEX(CODIFICACION!$E$2:$E$500,MATCH("D6.24|"&amp;CAPTURA!CC42,CODIFICACION!$F$2:$F$500,0))),"⚠"))</f>
        <v/>
      </c>
      <c r="AY42" t="str">
        <f>IF(CAPTURA!CD42="","",IFERROR(IF(INDEX(CODIFICACION!$E$2:$E$500,MATCH("D6.25|"&amp;CAPTURA!CD42,CODIFICACION!$F$2:$F$500,0))="sin dato","",INDEX(CODIFICACION!$E$2:$E$500,MATCH("D6.25|"&amp;CAPTURA!CD42,CODIFICACION!$F$2:$F$500,0))),"⚠"))</f>
        <v/>
      </c>
      <c r="AZ42" t="str">
        <f>IF(CAPTURA!CE42="","",IFERROR(IF(INDEX(CODIFICACION!$E$2:$E$500,MATCH("D6.25a|"&amp;CAPTURA!CE42,CODIFICACION!$F$2:$F$500,0))="sin dato","",INDEX(CODIFICACION!$E$2:$E$500,MATCH("D6.25a|"&amp;CAPTURA!CE42,CODIFICACION!$F$2:$F$500,0))),"⚠"))</f>
        <v/>
      </c>
      <c r="BA42" t="str">
        <f>IF(CAPTURA!CF42="","",IFERROR(IF(INDEX(CODIFICACION!$E$2:$E$500,MATCH("D6.25b|"&amp;CAPTURA!CF42,CODIFICACION!$F$2:$F$500,0))="sin dato","",INDEX(CODIFICACION!$E$2:$E$500,MATCH("D6.25b|"&amp;CAPTURA!CF42,CODIFICACION!$F$2:$F$500,0))),"⚠"))</f>
        <v/>
      </c>
      <c r="BB42" t="str">
        <f>IF(CAPTURA!CG42="","",IFERROR(IF(INDEX(CODIFICACION!$E$2:$E$500,MATCH("D6.22c|"&amp;CAPTURA!CG42,CODIFICACION!$F$2:$F$500,0))="sin dato","",INDEX(CODIFICACION!$E$2:$E$500,MATCH("D6.22c|"&amp;CAPTURA!CG42,CODIFICACION!$F$2:$F$500,0))),"⚠"))</f>
        <v/>
      </c>
      <c r="BC42" t="str">
        <f>IF(CAPTURA!CH42="","",IFERROR(IF(INDEX(CODIFICACION!$E$2:$E$500,MATCH("D7.26|"&amp;CAPTURA!CH42,CODIFICACION!$F$2:$F$500,0))="sin dato","",INDEX(CODIFICACION!$E$2:$E$500,MATCH("D7.26|"&amp;CAPTURA!CH42,CODIFICACION!$F$2:$F$500,0))),"⚠"))</f>
        <v/>
      </c>
      <c r="BD42" t="str">
        <f>IF(CAPTURA!CI42="","",IFERROR(IF(INDEX(CODIFICACION!$E$2:$E$500,MATCH("D7.27|"&amp;CAPTURA!CI42,CODIFICACION!$F$2:$F$500,0))="sin dato","",INDEX(CODIFICACION!$E$2:$E$500,MATCH("D7.27|"&amp;CAPTURA!CI42,CODIFICACION!$F$2:$F$500,0))),"⚠"))</f>
        <v/>
      </c>
      <c r="BE42" t="str">
        <f>IF(CAPTURA!CJ42="","",IFERROR(IF(INDEX(CODIFICACION!$E$2:$E$500,MATCH("D7.28|"&amp;CAPTURA!CJ42,CODIFICACION!$F$2:$F$500,0))="sin dato","",INDEX(CODIFICACION!$E$2:$E$500,MATCH("D7.28|"&amp;CAPTURA!CJ42,CODIFICACION!$F$2:$F$500,0))),"⚠"))</f>
        <v/>
      </c>
      <c r="BF42" t="str">
        <f>IF(CAPTURA!CK42="","",IFERROR(IF(INDEX(CODIFICACION!$E$2:$E$500,MATCH("D7.28b|"&amp;CAPTURA!CK42,CODIFICACION!$F$2:$F$500,0))="sin dato","",INDEX(CODIFICACION!$E$2:$E$500,MATCH("D7.28b|"&amp;CAPTURA!CK42,CODIFICACION!$F$2:$F$500,0))),"⚠"))</f>
        <v/>
      </c>
      <c r="BG42" t="str">
        <f>IF(CAPTURA!CL42="","",MIN(100,ROUND((LEN(CAPTURA!CL42)-LEN(SUBSTITUTE(CAPTURA!CL42,";",""))+1)/8*100,1)))</f>
        <v/>
      </c>
      <c r="BH42" t="str">
        <f>IF(CAPTURA!CM42="","",IFERROR(IF(INDEX(CODIFICACION!$E$2:$E$500,MATCH("D7.26a|"&amp;CAPTURA!CM42,CODIFICACION!$F$2:$F$500,0))="sin dato","",INDEX(CODIFICACION!$E$2:$E$500,MATCH("D7.26a|"&amp;CAPTURA!CM42,CODIFICACION!$F$2:$F$500,0))),"⚠"))</f>
        <v/>
      </c>
      <c r="BI42" t="str">
        <f>IF(CAPTURA!CN42="","",IFERROR(IF(INDEX(CODIFICACION!$E$2:$E$500,MATCH("D7.26b|"&amp;CAPTURA!CN42,CODIFICACION!$F$2:$F$500,0))="sin dato","",INDEX(CODIFICACION!$E$2:$E$500,MATCH("D7.26b|"&amp;CAPTURA!CN42,CODIFICACION!$F$2:$F$500,0))),"⚠"))</f>
        <v/>
      </c>
      <c r="BJ42" t="str">
        <f>IF(CAPTURA!CO42="","",IF(AND(ISNUMBER(CAPTURA!CO42),CAPTURA!CO42&gt;=0,CAPTURA!CO42&lt;=4),CAPTURA!CO42*25,"⚠"))</f>
        <v/>
      </c>
      <c r="BK42" t="str">
        <f>IF(CAPTURA!CP42="","",IF(ISNUMBER(CAPTURA!CP42),MAX(0,MIN(100,CAPTURA!CP42)),"⚠"))</f>
        <v/>
      </c>
      <c r="BL42" t="str">
        <f>IF(CAPTURA!CQ42="","",IFERROR(IF(INDEX(CODIFICACION!$E$2:$E$500,MATCH("D8.31|"&amp;CAPTURA!CQ42,CODIFICACION!$F$2:$F$500,0))="sin dato","",INDEX(CODIFICACION!$E$2:$E$500,MATCH("D8.31|"&amp;CAPTURA!CQ42,CODIFICACION!$F$2:$F$500,0))),"⚠"))</f>
        <v/>
      </c>
      <c r="BM42" t="str">
        <f>IF(CAPTURA!CR42="","",IFERROR(IF(INDEX(CODIFICACION!$E$2:$E$500,MATCH("D8.32|"&amp;CAPTURA!CR42,CODIFICACION!$F$2:$F$500,0))="sin dato","",INDEX(CODIFICACION!$E$2:$E$500,MATCH("D8.32|"&amp;CAPTURA!CR42,CODIFICACION!$F$2:$F$500,0))),"⚠"))</f>
        <v/>
      </c>
      <c r="BN42" t="str">
        <f>IF(CAPTURA!CS42="","",IFERROR(IF(INDEX(CODIFICACION!$E$2:$E$500,MATCH("D9.33|"&amp;CAPTURA!CS42,CODIFICACION!$F$2:$F$500,0))="sin dato","",INDEX(CODIFICACION!$E$2:$E$500,MATCH("D9.33|"&amp;CAPTURA!CS42,CODIFICACION!$F$2:$F$500,0))),"⚠"))</f>
        <v/>
      </c>
      <c r="BO42" t="str">
        <f>IF(CAPTURA!CT42="","",IFERROR(IF(INDEX(CODIFICACION!$E$2:$E$500,MATCH("D9.34|"&amp;CAPTURA!CT42,CODIFICACION!$F$2:$F$500,0))="sin dato","",INDEX(CODIFICACION!$E$2:$E$500,MATCH("D9.34|"&amp;CAPTURA!CT42,CODIFICACION!$F$2:$F$500,0))),"⚠"))</f>
        <v/>
      </c>
      <c r="BP42" t="str">
        <f>IF(CAPTURA!CU42="","",IFERROR(IF(INDEX(CODIFICACION!$E$2:$E$500,MATCH("D9.35|"&amp;CAPTURA!CU42,CODIFICACION!$F$2:$F$500,0))="sin dato","",INDEX(CODIFICACION!$E$2:$E$500,MATCH("D9.35|"&amp;CAPTURA!CU42,CODIFICACION!$F$2:$F$500,0))),"⚠"))</f>
        <v/>
      </c>
      <c r="BQ42" t="str">
        <f>IF(CAPTURA!CV42="","",IFERROR(IF(INDEX(CODIFICACION!$E$2:$E$500,MATCH("D10.36|"&amp;CAPTURA!CV42,CODIFICACION!$F$2:$F$500,0))="sin dato","",INDEX(CODIFICACION!$E$2:$E$500,MATCH("D10.36|"&amp;CAPTURA!CV42,CODIFICACION!$F$2:$F$500,0))),"⚠"))</f>
        <v/>
      </c>
      <c r="BR42" t="str">
        <f>IF(CAPTURA!CW42="","",IFERROR(IF(INDEX(CODIFICACION!$E$2:$E$500,MATCH("D10.37|"&amp;CAPTURA!CW42,CODIFICACION!$F$2:$F$500,0))="sin dato","",INDEX(CODIFICACION!$E$2:$E$500,MATCH("D10.37|"&amp;CAPTURA!CW42,CODIFICACION!$F$2:$F$500,0))),"⚠"))</f>
        <v/>
      </c>
      <c r="BS42" t="str">
        <f>IF(CAPTURA!CX42="","",IFERROR(IF(INDEX(CODIFICACION!$E$2:$E$500,MATCH("D10.36a|"&amp;CAPTURA!CX42,CODIFICACION!$F$2:$F$500,0))="sin dato","",INDEX(CODIFICACION!$E$2:$E$500,MATCH("D10.36a|"&amp;CAPTURA!CX42,CODIFICACION!$F$2:$F$500,0))),"⚠"))</f>
        <v/>
      </c>
      <c r="BT42" t="str">
        <f>IF(CAPTURA!CY42="","",IF(ISNUMBER(SEARCH("Ninguno",CAPTURA!CY42)),0,MIN(100,ROUND((LEN(CAPTURA!CY42)-LEN(SUBSTITUTE(CAPTURA!CY42,";",""))+1)/6*100,1))))</f>
        <v/>
      </c>
      <c r="BU42" t="str">
        <f>IF(CAPTURA!DA42="","",IFERROR(IF(INDEX(CODIFICACION!$E$2:$E$500,MATCH("D11.39a|"&amp;CAPTURA!DA42,CODIFICACION!$F$2:$F$500,0))="sin dato","",INDEX(CODIFICACION!$E$2:$E$500,MATCH("D11.39a|"&amp;CAPTURA!DA42,CODIFICACION!$F$2:$F$500,0))),"⚠"))</f>
        <v/>
      </c>
      <c r="BV42" t="str">
        <f>IF(CAPTURA!DB42="","",IFERROR(IF(INDEX(CODIFICACION!$E$2:$E$500,MATCH("D12.42|"&amp;CAPTURA!DB42,CODIFICACION!$F$2:$F$500,0))="sin dato","",INDEX(CODIFICACION!$E$2:$E$500,MATCH("D12.42|"&amp;CAPTURA!DB42,CODIFICACION!$F$2:$F$500,0))),"⚠"))</f>
        <v/>
      </c>
      <c r="BW42" t="str">
        <f>IF(CAPTURA!DC42="","",IFERROR(IF(INDEX(CODIFICACION!$E$2:$E$500,MATCH("D13.45|"&amp;CAPTURA!DC42,CODIFICACION!$F$2:$F$500,0))="sin dato","",INDEX(CODIFICACION!$E$2:$E$500,MATCH("D13.45|"&amp;CAPTURA!DC42,CODIFICACION!$F$2:$F$500,0))),"⚠"))</f>
        <v/>
      </c>
      <c r="BX42" t="str">
        <f>IF(CAPTURA!DD42="","",IFERROR(IF(INDEX(CODIFICACION!$E$2:$E$500,MATCH("D14.51|"&amp;CAPTURA!DD42,CODIFICACION!$F$2:$F$500,0))="sin dato","",INDEX(CODIFICACION!$E$2:$E$500,MATCH("D14.51|"&amp;CAPTURA!DD42,CODIFICACION!$F$2:$F$500,0))),"⚠"))</f>
        <v/>
      </c>
      <c r="BY42" t="str">
        <f>IF(CAPTURA!DE42="","",IFERROR(IF(INDEX(CODIFICACION!$E$2:$E$500,MATCH("D15.58|"&amp;CAPTURA!DE42,CODIFICACION!$F$2:$F$500,0))="sin dato","",INDEX(CODIFICACION!$E$2:$E$500,MATCH("D15.58|"&amp;CAPTURA!DE42,CODIFICACION!$F$2:$F$500,0))),"⚠"))</f>
        <v/>
      </c>
      <c r="BZ42" t="str">
        <f>IF(CAPTURA!DF42="","",IFERROR(IF(INDEX(CODIFICACION!$E$2:$E$500,MATCH("PP1|"&amp;CAPTURA!DF42,CODIFICACION!$F$2:$F$500,0))="sin dato","",INDEX(CODIFICACION!$E$2:$E$500,MATCH("PP1|"&amp;CAPTURA!DF42,CODIFICACION!$F$2:$F$500,0))),"⚠"))</f>
        <v/>
      </c>
      <c r="CA42" t="str">
        <f>IF(CAPTURA!DG42="","",IFERROR(IF(INDEX(CODIFICACION!$E$2:$E$500,MATCH("PP2|"&amp;CAPTURA!DG42,CODIFICACION!$F$2:$F$500,0))="sin dato","",INDEX(CODIFICACION!$E$2:$E$500,MATCH("PP2|"&amp;CAPTURA!DG42,CODIFICACION!$F$2:$F$500,0))),"⚠"))</f>
        <v/>
      </c>
      <c r="CB42" t="str">
        <f t="shared" si="11"/>
        <v/>
      </c>
      <c r="CC42" t="str">
        <f t="shared" si="12"/>
        <v/>
      </c>
      <c r="CD42" t="str">
        <f t="shared" si="13"/>
        <v/>
      </c>
      <c r="CE42" t="str">
        <f t="shared" si="14"/>
        <v/>
      </c>
      <c r="CF42" t="str">
        <f t="shared" si="15"/>
        <v/>
      </c>
      <c r="CG42" t="str">
        <f t="shared" si="16"/>
        <v/>
      </c>
      <c r="CH42" t="str">
        <f t="shared" si="17"/>
        <v/>
      </c>
      <c r="CI42" t="str">
        <f t="shared" si="18"/>
        <v/>
      </c>
      <c r="CJ42" t="str">
        <f t="shared" si="19"/>
        <v/>
      </c>
      <c r="CK42" t="str">
        <f t="shared" si="20"/>
        <v/>
      </c>
      <c r="CL42" t="str">
        <f t="shared" si="21"/>
        <v/>
      </c>
    </row>
    <row r="43" spans="1:90" x14ac:dyDescent="0.3">
      <c r="A43">
        <f>CAPTURA!A43</f>
        <v>20485945815</v>
      </c>
      <c r="B43">
        <f>CAPTURA!C43</f>
        <v>0</v>
      </c>
      <c r="C43" t="str">
        <f>IF(CAPTURA!M43="","",ROUND((ISNUMBER(SEARCH("Alemania",CAPTURA!M43))+ISNUMBER(SEARCH("Bélgica",CAPTURA!M43))+ISNUMBER(SEARCH("Países Bajos",CAPTURA!M43))+ISNUMBER(SEARCH("Francia",CAPTURA!M43))+ISNUMBER(SEARCH("Italia",CAPTURA!M43))+ISNUMBER(SEARCH("España",CAPTURA!M43))+ISNUMBER(SEARCH("Suecia",CAPTURA!M43))+ISNUMBER(SEARCH("Dinamarca",CAPTURA!M43)))/((LEN(CAPTURA!M43)-LEN(SUBSTITUTE(CAPTURA!M43,";","")))+1)*100,1))</f>
        <v/>
      </c>
      <c r="D43" t="str">
        <f>IF(CAPTURA!AE43="","",IFERROR(IF(INDEX(CODIFICACION!$E$2:$E$500,MATCH("P8|"&amp;CAPTURA!AE43,CODIFICACION!$F$2:$F$500,0))="sin dato","",INDEX(CODIFICACION!$E$2:$E$500,MATCH("P8|"&amp;CAPTURA!AE43,CODIFICACION!$F$2:$F$500,0))),"⚠"))</f>
        <v/>
      </c>
      <c r="E43" t="str">
        <f>IF(CAPTURA!AG43="","",IFERROR(IF(INDEX(CODIFICACION!$E$2:$E$500,MATCH("P10|"&amp;CAPTURA!AG43,CODIFICACION!$F$2:$F$500,0))="sin dato","",INDEX(CODIFICACION!$E$2:$E$500,MATCH("P10|"&amp;CAPTURA!AG43,CODIFICACION!$F$2:$F$500,0))),"⚠"))</f>
        <v/>
      </c>
      <c r="F43" t="str">
        <f>IF(CAPTURA!AJ43="","",IFERROR(IF(INDEX(CODIFICACION!$E$2:$E$500,MATCH("P13|"&amp;CAPTURA!AJ43,CODIFICACION!$F$2:$F$500,0))="sin dato","",INDEX(CODIFICACION!$E$2:$E$500,MATCH("P13|"&amp;CAPTURA!AJ43,CODIFICACION!$F$2:$F$500,0))),"⚠"))</f>
        <v/>
      </c>
      <c r="G43" t="str">
        <f>IF(CAPTURA!AK43="","",IFERROR(IF(INDEX(CODIFICACION!$E$2:$E$500,MATCH("P14|"&amp;CAPTURA!AK43,CODIFICACION!$F$2:$F$500,0))="sin dato","",INDEX(CODIFICACION!$E$2:$E$500,MATCH("P14|"&amp;CAPTURA!AK43,CODIFICACION!$F$2:$F$500,0))),"⚠"))</f>
        <v/>
      </c>
      <c r="H43" t="str">
        <f>IF(CAPTURA!AL43="","",IFERROR(IF(INDEX(CODIFICACION!$E$2:$E$500,MATCH("D1.1|"&amp;CAPTURA!AL43,CODIFICACION!$F$2:$F$500,0))="sin dato","",INDEX(CODIFICACION!$E$2:$E$500,MATCH("D1.1|"&amp;CAPTURA!AL43,CODIFICACION!$F$2:$F$500,0))),"⚠"))</f>
        <v/>
      </c>
      <c r="I43" t="str">
        <f>IF(CAPTURA!AN43="","",IFERROR(IF(INDEX(CODIFICACION!$E$2:$E$500,MATCH("D1.3|"&amp;CAPTURA!AN43,CODIFICACION!$F$2:$F$500,0))="sin dato","",INDEX(CODIFICACION!$E$2:$E$500,MATCH("D1.3|"&amp;CAPTURA!AN43,CODIFICACION!$F$2:$F$500,0))),"⚠"))</f>
        <v/>
      </c>
      <c r="J43" t="str">
        <f>IF(CAPTURA!AO43="","",IFERROR(IF(INDEX(CODIFICACION!$E$2:$E$500,MATCH("D1.4|"&amp;CAPTURA!AO43,CODIFICACION!$F$2:$F$500,0))="sin dato","",INDEX(CODIFICACION!$E$2:$E$500,MATCH("D1.4|"&amp;CAPTURA!AO43,CODIFICACION!$F$2:$F$500,0))),"⚠"))</f>
        <v/>
      </c>
      <c r="K43" t="str">
        <f>IF(CAPTURA!AP43="","",IFERROR(IF(INDEX(CODIFICACION!$E$2:$E$500,MATCH("D1.3a|"&amp;CAPTURA!AP43,CODIFICACION!$F$2:$F$500,0))="sin dato","",INDEX(CODIFICACION!$E$2:$E$500,MATCH("D1.3a|"&amp;CAPTURA!AP43,CODIFICACION!$F$2:$F$500,0))),"⚠"))</f>
        <v/>
      </c>
      <c r="L43" t="str">
        <f>IF(CAPTURA!AQ43="","",IF(AND(ISNUMBER(CAPTURA!AQ43),CAPTURA!AQ43&gt;=0,CAPTURA!AQ43&lt;=4),CAPTURA!AQ43*25,"⚠"))</f>
        <v/>
      </c>
      <c r="M43" t="str">
        <f>IF(CAPTURA!AR43="","",IF(ISNUMBER(CAPTURA!AR43),MAX(0,MIN(100,CAPTURA!AR43)),"⚠"))</f>
        <v/>
      </c>
      <c r="N43" t="str">
        <f>IF(CAPTURA!AS43="","",IF(AND(ISNUMBER(CAPTURA!AS43),CAPTURA!AS43&gt;=0,CAPTURA!AS43&lt;=4),CAPTURA!AS43*25,"⚠"))</f>
        <v/>
      </c>
      <c r="O43" t="str">
        <f>IF(CAPTURA!AT43="","",IFERROR(IF(INDEX(CODIFICACION!$E$2:$E$500,MATCH("D2.8|"&amp;CAPTURA!AT43,CODIFICACION!$F$2:$F$500,0))="sin dato","",INDEX(CODIFICACION!$E$2:$E$500,MATCH("D2.8|"&amp;CAPTURA!AT43,CODIFICACION!$F$2:$F$500,0))),"⚠"))</f>
        <v/>
      </c>
      <c r="P43" t="str">
        <f>IF(CAPTURA!AU43="","",IFERROR(IF(INDEX(CODIFICACION!$E$2:$E$500,MATCH("D2.9|"&amp;CAPTURA!AU43,CODIFICACION!$F$2:$F$500,0))="sin dato","",INDEX(CODIFICACION!$E$2:$E$500,MATCH("D2.9|"&amp;CAPTURA!AU43,CODIFICACION!$F$2:$F$500,0))),"⚠"))</f>
        <v/>
      </c>
      <c r="Q43" t="str">
        <f>IF(CAPTURA!AV43="","",IFERROR(IF(INDEX(CODIFICACION!$E$2:$E$500,MATCH("D2.10|"&amp;CAPTURA!AV43,CODIFICACION!$F$2:$F$500,0))="sin dato","",INDEX(CODIFICACION!$E$2:$E$500,MATCH("D2.10|"&amp;CAPTURA!AV43,CODIFICACION!$F$2:$F$500,0))),"⚠"))</f>
        <v/>
      </c>
      <c r="R43" t="str">
        <f>IF(CAPTURA!AW43="","",IFERROR(IF(INDEX(CODIFICACION!$E$2:$E$500,MATCH("D2.5a|"&amp;CAPTURA!AW43,CODIFICACION!$F$2:$F$500,0))="sin dato","",INDEX(CODIFICACION!$E$2:$E$500,MATCH("D2.5a|"&amp;CAPTURA!AW43,CODIFICACION!$F$2:$F$500,0))),"⚠"))</f>
        <v/>
      </c>
      <c r="S43" t="str">
        <f>IF(CAPTURA!AX43="","",IFERROR(IF(INDEX(CODIFICACION!$E$2:$E$500,MATCH("D2.5b|"&amp;CAPTURA!AX43,CODIFICACION!$F$2:$F$500,0))="sin dato","",INDEX(CODIFICACION!$E$2:$E$500,MATCH("D2.5b|"&amp;CAPTURA!AX43,CODIFICACION!$F$2:$F$500,0))),"⚠"))</f>
        <v/>
      </c>
      <c r="T43" t="str">
        <f>IF(CAPTURA!AY43="","",IF(ISNUMBER(CAPTURA!AY43),MAX(0,MIN(100,CAPTURA!AY43)),"⚠"))</f>
        <v/>
      </c>
      <c r="U43" t="str">
        <f>IF(CAPTURA!AZ43="","",IFERROR(IF(INDEX(CODIFICACION!$E$2:$E$500,MATCH("D3.12|"&amp;CAPTURA!AZ43,CODIFICACION!$F$2:$F$500,0))="sin dato","",INDEX(CODIFICACION!$E$2:$E$500,MATCH("D3.12|"&amp;CAPTURA!AZ43,CODIFICACION!$F$2:$F$500,0))),"⚠"))</f>
        <v/>
      </c>
      <c r="V43" t="str">
        <f>IF(CAPTURA!BA43="","",IF(AND(ISNUMBER(CAPTURA!BA43),CAPTURA!BA43&gt;=0,CAPTURA!BA43&lt;=4),CAPTURA!BA43*25,"⚠"))</f>
        <v/>
      </c>
      <c r="W43" t="str">
        <f>IF(CAPTURA!BB43="","",IFERROR(IF(INDEX(CODIFICACION!$E$2:$E$500,MATCH("D3.14|"&amp;CAPTURA!BB43,CODIFICACION!$F$2:$F$500,0))="sin dato","",INDEX(CODIFICACION!$E$2:$E$500,MATCH("D3.14|"&amp;CAPTURA!BB43,CODIFICACION!$F$2:$F$500,0))),"⚠"))</f>
        <v/>
      </c>
      <c r="X43" t="str">
        <f>IF(CAPTURA!BC43="","",IFERROR(IF(INDEX(CODIFICACION!$E$2:$E$500,MATCH("D3.14a|"&amp;CAPTURA!BC43,CODIFICACION!$F$2:$F$500,0))="sin dato","",INDEX(CODIFICACION!$E$2:$E$500,MATCH("D3.14a|"&amp;CAPTURA!BC43,CODIFICACION!$F$2:$F$500,0))),"⚠"))</f>
        <v/>
      </c>
      <c r="Y43" t="str">
        <f>IF(CAPTURA!BD43="","",IFERROR(IF(INDEX(CODIFICACION!$E$2:$E$500,MATCH("D3.14b|"&amp;CAPTURA!BD43,CODIFICACION!$F$2:$F$500,0))="sin dato","",INDEX(CODIFICACION!$E$2:$E$500,MATCH("D3.14b|"&amp;CAPTURA!BD43,CODIFICACION!$F$2:$F$500,0))),"⚠"))</f>
        <v/>
      </c>
      <c r="Z43" t="str">
        <f>IF(CAPTURA!BE43="","",IFERROR(IF(INDEX(CODIFICACION!$E$2:$E$500,MATCH("D3.14c|"&amp;CAPTURA!BE43,CODIFICACION!$F$2:$F$500,0))="sin dato","",INDEX(CODIFICACION!$E$2:$E$500,MATCH("D3.14c|"&amp;CAPTURA!BE43,CODIFICACION!$F$2:$F$500,0))),"⚠"))</f>
        <v/>
      </c>
      <c r="AA43" t="str">
        <f>IF(CAPTURA!BF43="","",IFERROR(IF(INDEX(CODIFICACION!$E$2:$E$500,MATCH("D3.14d|"&amp;CAPTURA!BF43,CODIFICACION!$F$2:$F$500,0))="sin dato","",INDEX(CODIFICACION!$E$2:$E$500,MATCH("D3.14d|"&amp;CAPTURA!BF43,CODIFICACION!$F$2:$F$500,0))),"⚠"))</f>
        <v/>
      </c>
      <c r="AB43" t="str">
        <f>IF(CAPTURA!BG43="","",IFERROR(IF(INDEX(CODIFICACION!$E$2:$E$500,MATCH("D3.14e|"&amp;CAPTURA!BG43,CODIFICACION!$F$2:$F$500,0))="sin dato","",INDEX(CODIFICACION!$E$2:$E$500,MATCH("D3.14e|"&amp;CAPTURA!BG43,CODIFICACION!$F$2:$F$500,0))),"⚠"))</f>
        <v/>
      </c>
      <c r="AC43" t="str">
        <f>IF(CAPTURA!BH43="","",IFERROR(IF(INDEX(CODIFICACION!$E$2:$E$500,MATCH("D3.14f|"&amp;CAPTURA!BH43,CODIFICACION!$F$2:$F$500,0))="sin dato","",INDEX(CODIFICACION!$E$2:$E$500,MATCH("D3.14f|"&amp;CAPTURA!BH43,CODIFICACION!$F$2:$F$500,0))),"⚠"))</f>
        <v/>
      </c>
      <c r="AD43" t="str">
        <f>IF(CAPTURA!BI43="","",IFERROR(IF(INDEX(CODIFICACION!$E$2:$E$500,MATCH("D3.14g|"&amp;CAPTURA!BI43,CODIFICACION!$F$2:$F$500,0))="sin dato","",INDEX(CODIFICACION!$E$2:$E$500,MATCH("D3.14g|"&amp;CAPTURA!BI43,CODIFICACION!$F$2:$F$500,0))),"⚠"))</f>
        <v/>
      </c>
      <c r="AE43" t="str">
        <f>IF(CAPTURA!BJ43="","",IFERROR(IF(INDEX(CODIFICACION!$E$2:$E$500,MATCH("D3.14h|"&amp;CAPTURA!BJ43,CODIFICACION!$F$2:$F$500,0))="sin dato","",INDEX(CODIFICACION!$E$2:$E$500,MATCH("D3.14h|"&amp;CAPTURA!BJ43,CODIFICACION!$F$2:$F$500,0))),"⚠"))</f>
        <v/>
      </c>
      <c r="AF43" t="str">
        <f>IF(CAPTURA!BK43="","",IFERROR(IF(INDEX(CODIFICACION!$E$2:$E$500,MATCH("D3.14i|"&amp;CAPTURA!BK43,CODIFICACION!$F$2:$F$500,0))="sin dato","",INDEX(CODIFICACION!$E$2:$E$500,MATCH("D3.14i|"&amp;CAPTURA!BK43,CODIFICACION!$F$2:$F$500,0))),"⚠"))</f>
        <v/>
      </c>
      <c r="AG43" t="str">
        <f>IF(CAPTURA!BL43="","",IFERROR(IF(INDEX(CODIFICACION!$E$2:$E$500,MATCH("D4.15|"&amp;CAPTURA!BL43,CODIFICACION!$F$2:$F$500,0))="sin dato","",INDEX(CODIFICACION!$E$2:$E$500,MATCH("D4.15|"&amp;CAPTURA!BL43,CODIFICACION!$F$2:$F$500,0))),"⚠"))</f>
        <v/>
      </c>
      <c r="AH43" t="str">
        <f>IF(CAPTURA!BM43="","",IF(AND(ISNUMBER(CAPTURA!BM43),CAPTURA!BM43&gt;=0,CAPTURA!BM43&lt;=4),CAPTURA!BM43*25,"⚠"))</f>
        <v/>
      </c>
      <c r="AI43" t="str">
        <f>IF(CAPTURA!BN43="","",IFERROR(IF(INDEX(CODIFICACION!$E$2:$E$500,MATCH("D4.17|"&amp;CAPTURA!BN43,CODIFICACION!$F$2:$F$500,0))="sin dato","",INDEX(CODIFICACION!$E$2:$E$500,MATCH("D4.17|"&amp;CAPTURA!BN43,CODIFICACION!$F$2:$F$500,0))),"⚠"))</f>
        <v/>
      </c>
      <c r="AJ43" t="str">
        <f>IF(CAPTURA!BO43="","",IFERROR(IF(INDEX(CODIFICACION!$E$2:$E$500,MATCH("D4.15a|"&amp;CAPTURA!BO43,CODIFICACION!$F$2:$F$500,0))="sin dato","",INDEX(CODIFICACION!$E$2:$E$500,MATCH("D4.15a|"&amp;CAPTURA!BO43,CODIFICACION!$F$2:$F$500,0))),"⚠"))</f>
        <v/>
      </c>
      <c r="AK43" t="str">
        <f>IF(CAPTURA!BP43="","",IF(AND(ISNUMBER(CAPTURA!BP43),CAPTURA!BP43&gt;=0,CAPTURA!BP43&lt;=4),CAPTURA!BP43*25,"⚠"))</f>
        <v/>
      </c>
      <c r="AL43" t="str">
        <f>IF(CAPTURA!BQ43="","",IF(AND(ISNUMBER(CAPTURA!BQ43),CAPTURA!BQ43&gt;=0,CAPTURA!BQ43&lt;=4),CAPTURA!BQ43*25,"⚠"))</f>
        <v/>
      </c>
      <c r="AM43" t="str">
        <f>IF(CAPTURA!BR43="","",IFERROR(IF(INDEX(CODIFICACION!$E$2:$E$500,MATCH("D5.18b|"&amp;CAPTURA!BR43,CODIFICACION!$F$2:$F$500,0))="sin dato","",INDEX(CODIFICACION!$E$2:$E$500,MATCH("D5.18b|"&amp;CAPTURA!BR43,CODIFICACION!$F$2:$F$500,0))),"⚠"))</f>
        <v/>
      </c>
      <c r="AN43" t="str">
        <f>IF(CAPTURA!BS43="","",IFERROR(IF(INDEX(CODIFICACION!$E$2:$E$500,MATCH("D5.19|"&amp;CAPTURA!BS43,CODIFICACION!$F$2:$F$500,0))="sin dato","",INDEX(CODIFICACION!$E$2:$E$500,MATCH("D5.19|"&amp;CAPTURA!BS43,CODIFICACION!$F$2:$F$500,0))),"⚠"))</f>
        <v/>
      </c>
      <c r="AO43" t="str">
        <f>IF(CAPTURA!BT43="","",MIN(100,ROUND((LEN(CAPTURA!BT43)-LEN(SUBSTITUTE(CAPTURA!BT43,";",""))+1)/7*100,1)))</f>
        <v/>
      </c>
      <c r="AP43" t="str">
        <f>IF(CAPTURA!BU43="","",IFERROR(IF(INDEX(CODIFICACION!$E$2:$E$500,MATCH("D5.20|"&amp;CAPTURA!BU43,CODIFICACION!$F$2:$F$500,0))="sin dato","",INDEX(CODIFICACION!$E$2:$E$500,MATCH("D5.20|"&amp;CAPTURA!BU43,CODIFICACION!$F$2:$F$500,0))),"⚠"))</f>
        <v/>
      </c>
      <c r="AQ43" t="str">
        <f>IF(CAPTURA!BV43="","",IFERROR(IF(INDEX(CODIFICACION!$E$2:$E$500,MATCH("D5.21|"&amp;CAPTURA!BV43,CODIFICACION!$F$2:$F$500,0))="sin dato","",INDEX(CODIFICACION!$E$2:$E$500,MATCH("D5.21|"&amp;CAPTURA!BV43,CODIFICACION!$F$2:$F$500,0))),"⚠"))</f>
        <v/>
      </c>
      <c r="AR43" t="str">
        <f>IF(CAPTURA!BW43="","",IFERROR(IF(INDEX(CODIFICACION!$E$2:$E$500,MATCH("D5.21a|"&amp;CAPTURA!BW43,CODIFICACION!$F$2:$F$500,0))="sin dato","",INDEX(CODIFICACION!$E$2:$E$500,MATCH("D5.21a|"&amp;CAPTURA!BW43,CODIFICACION!$F$2:$F$500,0))),"⚠"))</f>
        <v/>
      </c>
      <c r="AS43" t="str">
        <f>IF(CAPTURA!BX43="","",IFERROR(IF(INDEX(CODIFICACION!$E$2:$E$500,MATCH("D5.21b|"&amp;CAPTURA!BX43,CODIFICACION!$F$2:$F$500,0))="sin dato","",INDEX(CODIFICACION!$E$2:$E$500,MATCH("D5.21b|"&amp;CAPTURA!BX43,CODIFICACION!$F$2:$F$500,0))),"⚠"))</f>
        <v/>
      </c>
      <c r="AT43" t="str">
        <f>IF(CAPTURA!BY43="","",IFERROR(IF(INDEX(CODIFICACION!$E$2:$E$500,MATCH("D6.22|"&amp;CAPTURA!BY43,CODIFICACION!$F$2:$F$500,0))="sin dato","",INDEX(CODIFICACION!$E$2:$E$500,MATCH("D6.22|"&amp;CAPTURA!BY43,CODIFICACION!$F$2:$F$500,0))),"⚠"))</f>
        <v/>
      </c>
      <c r="AU43" t="str">
        <f>IF(CAPTURA!BZ43="","",IFERROR(IF(INDEX(CODIFICACION!$E$2:$E$500,MATCH("D6.22a|"&amp;CAPTURA!BZ43,CODIFICACION!$F$2:$F$500,0))="sin dato","",INDEX(CODIFICACION!$E$2:$E$500,MATCH("D6.22a|"&amp;CAPTURA!BZ43,CODIFICACION!$F$2:$F$500,0))),"⚠"))</f>
        <v/>
      </c>
      <c r="AV43" t="str">
        <f>IF(CAPTURA!CA43="","",IFERROR(IF(INDEX(CODIFICACION!$E$2:$E$500,MATCH("D6.22b|"&amp;CAPTURA!CA43,CODIFICACION!$F$2:$F$500,0))="sin dato","",INDEX(CODIFICACION!$E$2:$E$500,MATCH("D6.22b|"&amp;CAPTURA!CA43,CODIFICACION!$F$2:$F$500,0))),"⚠"))</f>
        <v/>
      </c>
      <c r="AW43" t="str">
        <f>IF(CAPTURA!CB43="","",IFERROR(IF(INDEX(CODIFICACION!$E$2:$E$500,MATCH("D6.23|"&amp;CAPTURA!CB43,CODIFICACION!$F$2:$F$500,0))="sin dato","",INDEX(CODIFICACION!$E$2:$E$500,MATCH("D6.23|"&amp;CAPTURA!CB43,CODIFICACION!$F$2:$F$500,0))),"⚠"))</f>
        <v/>
      </c>
      <c r="AX43" t="str">
        <f>IF(CAPTURA!CC43="","",IFERROR(IF(INDEX(CODIFICACION!$E$2:$E$500,MATCH("D6.24|"&amp;CAPTURA!CC43,CODIFICACION!$F$2:$F$500,0))="sin dato","",INDEX(CODIFICACION!$E$2:$E$500,MATCH("D6.24|"&amp;CAPTURA!CC43,CODIFICACION!$F$2:$F$500,0))),"⚠"))</f>
        <v/>
      </c>
      <c r="AY43" t="str">
        <f>IF(CAPTURA!CD43="","",IFERROR(IF(INDEX(CODIFICACION!$E$2:$E$500,MATCH("D6.25|"&amp;CAPTURA!CD43,CODIFICACION!$F$2:$F$500,0))="sin dato","",INDEX(CODIFICACION!$E$2:$E$500,MATCH("D6.25|"&amp;CAPTURA!CD43,CODIFICACION!$F$2:$F$500,0))),"⚠"))</f>
        <v/>
      </c>
      <c r="AZ43" t="str">
        <f>IF(CAPTURA!CE43="","",IFERROR(IF(INDEX(CODIFICACION!$E$2:$E$500,MATCH("D6.25a|"&amp;CAPTURA!CE43,CODIFICACION!$F$2:$F$500,0))="sin dato","",INDEX(CODIFICACION!$E$2:$E$500,MATCH("D6.25a|"&amp;CAPTURA!CE43,CODIFICACION!$F$2:$F$500,0))),"⚠"))</f>
        <v/>
      </c>
      <c r="BA43" t="str">
        <f>IF(CAPTURA!CF43="","",IFERROR(IF(INDEX(CODIFICACION!$E$2:$E$500,MATCH("D6.25b|"&amp;CAPTURA!CF43,CODIFICACION!$F$2:$F$500,0))="sin dato","",INDEX(CODIFICACION!$E$2:$E$500,MATCH("D6.25b|"&amp;CAPTURA!CF43,CODIFICACION!$F$2:$F$500,0))),"⚠"))</f>
        <v/>
      </c>
      <c r="BB43" t="str">
        <f>IF(CAPTURA!CG43="","",IFERROR(IF(INDEX(CODIFICACION!$E$2:$E$500,MATCH("D6.22c|"&amp;CAPTURA!CG43,CODIFICACION!$F$2:$F$500,0))="sin dato","",INDEX(CODIFICACION!$E$2:$E$500,MATCH("D6.22c|"&amp;CAPTURA!CG43,CODIFICACION!$F$2:$F$500,0))),"⚠"))</f>
        <v/>
      </c>
      <c r="BC43" t="str">
        <f>IF(CAPTURA!CH43="","",IFERROR(IF(INDEX(CODIFICACION!$E$2:$E$500,MATCH("D7.26|"&amp;CAPTURA!CH43,CODIFICACION!$F$2:$F$500,0))="sin dato","",INDEX(CODIFICACION!$E$2:$E$500,MATCH("D7.26|"&amp;CAPTURA!CH43,CODIFICACION!$F$2:$F$500,0))),"⚠"))</f>
        <v/>
      </c>
      <c r="BD43" t="str">
        <f>IF(CAPTURA!CI43="","",IFERROR(IF(INDEX(CODIFICACION!$E$2:$E$500,MATCH("D7.27|"&amp;CAPTURA!CI43,CODIFICACION!$F$2:$F$500,0))="sin dato","",INDEX(CODIFICACION!$E$2:$E$500,MATCH("D7.27|"&amp;CAPTURA!CI43,CODIFICACION!$F$2:$F$500,0))),"⚠"))</f>
        <v/>
      </c>
      <c r="BE43" t="str">
        <f>IF(CAPTURA!CJ43="","",IFERROR(IF(INDEX(CODIFICACION!$E$2:$E$500,MATCH("D7.28|"&amp;CAPTURA!CJ43,CODIFICACION!$F$2:$F$500,0))="sin dato","",INDEX(CODIFICACION!$E$2:$E$500,MATCH("D7.28|"&amp;CAPTURA!CJ43,CODIFICACION!$F$2:$F$500,0))),"⚠"))</f>
        <v/>
      </c>
      <c r="BF43" t="str">
        <f>IF(CAPTURA!CK43="","",IFERROR(IF(INDEX(CODIFICACION!$E$2:$E$500,MATCH("D7.28b|"&amp;CAPTURA!CK43,CODIFICACION!$F$2:$F$500,0))="sin dato","",INDEX(CODIFICACION!$E$2:$E$500,MATCH("D7.28b|"&amp;CAPTURA!CK43,CODIFICACION!$F$2:$F$500,0))),"⚠"))</f>
        <v/>
      </c>
      <c r="BG43" t="str">
        <f>IF(CAPTURA!CL43="","",MIN(100,ROUND((LEN(CAPTURA!CL43)-LEN(SUBSTITUTE(CAPTURA!CL43,";",""))+1)/8*100,1)))</f>
        <v/>
      </c>
      <c r="BH43" t="str">
        <f>IF(CAPTURA!CM43="","",IFERROR(IF(INDEX(CODIFICACION!$E$2:$E$500,MATCH("D7.26a|"&amp;CAPTURA!CM43,CODIFICACION!$F$2:$F$500,0))="sin dato","",INDEX(CODIFICACION!$E$2:$E$500,MATCH("D7.26a|"&amp;CAPTURA!CM43,CODIFICACION!$F$2:$F$500,0))),"⚠"))</f>
        <v/>
      </c>
      <c r="BI43" t="str">
        <f>IF(CAPTURA!CN43="","",IFERROR(IF(INDEX(CODIFICACION!$E$2:$E$500,MATCH("D7.26b|"&amp;CAPTURA!CN43,CODIFICACION!$F$2:$F$500,0))="sin dato","",INDEX(CODIFICACION!$E$2:$E$500,MATCH("D7.26b|"&amp;CAPTURA!CN43,CODIFICACION!$F$2:$F$500,0))),"⚠"))</f>
        <v/>
      </c>
      <c r="BJ43" t="str">
        <f>IF(CAPTURA!CO43="","",IF(AND(ISNUMBER(CAPTURA!CO43),CAPTURA!CO43&gt;=0,CAPTURA!CO43&lt;=4),CAPTURA!CO43*25,"⚠"))</f>
        <v/>
      </c>
      <c r="BK43" t="str">
        <f>IF(CAPTURA!CP43="","",IF(ISNUMBER(CAPTURA!CP43),MAX(0,MIN(100,CAPTURA!CP43)),"⚠"))</f>
        <v/>
      </c>
      <c r="BL43" t="str">
        <f>IF(CAPTURA!CQ43="","",IFERROR(IF(INDEX(CODIFICACION!$E$2:$E$500,MATCH("D8.31|"&amp;CAPTURA!CQ43,CODIFICACION!$F$2:$F$500,0))="sin dato","",INDEX(CODIFICACION!$E$2:$E$500,MATCH("D8.31|"&amp;CAPTURA!CQ43,CODIFICACION!$F$2:$F$500,0))),"⚠"))</f>
        <v/>
      </c>
      <c r="BM43" t="str">
        <f>IF(CAPTURA!CR43="","",IFERROR(IF(INDEX(CODIFICACION!$E$2:$E$500,MATCH("D8.32|"&amp;CAPTURA!CR43,CODIFICACION!$F$2:$F$500,0))="sin dato","",INDEX(CODIFICACION!$E$2:$E$500,MATCH("D8.32|"&amp;CAPTURA!CR43,CODIFICACION!$F$2:$F$500,0))),"⚠"))</f>
        <v/>
      </c>
      <c r="BN43" t="str">
        <f>IF(CAPTURA!CS43="","",IFERROR(IF(INDEX(CODIFICACION!$E$2:$E$500,MATCH("D9.33|"&amp;CAPTURA!CS43,CODIFICACION!$F$2:$F$500,0))="sin dato","",INDEX(CODIFICACION!$E$2:$E$500,MATCH("D9.33|"&amp;CAPTURA!CS43,CODIFICACION!$F$2:$F$500,0))),"⚠"))</f>
        <v/>
      </c>
      <c r="BO43" t="str">
        <f>IF(CAPTURA!CT43="","",IFERROR(IF(INDEX(CODIFICACION!$E$2:$E$500,MATCH("D9.34|"&amp;CAPTURA!CT43,CODIFICACION!$F$2:$F$500,0))="sin dato","",INDEX(CODIFICACION!$E$2:$E$500,MATCH("D9.34|"&amp;CAPTURA!CT43,CODIFICACION!$F$2:$F$500,0))),"⚠"))</f>
        <v/>
      </c>
      <c r="BP43" t="str">
        <f>IF(CAPTURA!CU43="","",IFERROR(IF(INDEX(CODIFICACION!$E$2:$E$500,MATCH("D9.35|"&amp;CAPTURA!CU43,CODIFICACION!$F$2:$F$500,0))="sin dato","",INDEX(CODIFICACION!$E$2:$E$500,MATCH("D9.35|"&amp;CAPTURA!CU43,CODIFICACION!$F$2:$F$500,0))),"⚠"))</f>
        <v/>
      </c>
      <c r="BQ43" t="str">
        <f>IF(CAPTURA!CV43="","",IFERROR(IF(INDEX(CODIFICACION!$E$2:$E$500,MATCH("D10.36|"&amp;CAPTURA!CV43,CODIFICACION!$F$2:$F$500,0))="sin dato","",INDEX(CODIFICACION!$E$2:$E$500,MATCH("D10.36|"&amp;CAPTURA!CV43,CODIFICACION!$F$2:$F$500,0))),"⚠"))</f>
        <v/>
      </c>
      <c r="BR43" t="str">
        <f>IF(CAPTURA!CW43="","",IFERROR(IF(INDEX(CODIFICACION!$E$2:$E$500,MATCH("D10.37|"&amp;CAPTURA!CW43,CODIFICACION!$F$2:$F$500,0))="sin dato","",INDEX(CODIFICACION!$E$2:$E$500,MATCH("D10.37|"&amp;CAPTURA!CW43,CODIFICACION!$F$2:$F$500,0))),"⚠"))</f>
        <v/>
      </c>
      <c r="BS43" t="str">
        <f>IF(CAPTURA!CX43="","",IFERROR(IF(INDEX(CODIFICACION!$E$2:$E$500,MATCH("D10.36a|"&amp;CAPTURA!CX43,CODIFICACION!$F$2:$F$500,0))="sin dato","",INDEX(CODIFICACION!$E$2:$E$500,MATCH("D10.36a|"&amp;CAPTURA!CX43,CODIFICACION!$F$2:$F$500,0))),"⚠"))</f>
        <v/>
      </c>
      <c r="BT43" t="str">
        <f>IF(CAPTURA!CY43="","",IF(ISNUMBER(SEARCH("Ninguno",CAPTURA!CY43)),0,MIN(100,ROUND((LEN(CAPTURA!CY43)-LEN(SUBSTITUTE(CAPTURA!CY43,";",""))+1)/6*100,1))))</f>
        <v/>
      </c>
      <c r="BU43" t="str">
        <f>IF(CAPTURA!DA43="","",IFERROR(IF(INDEX(CODIFICACION!$E$2:$E$500,MATCH("D11.39a|"&amp;CAPTURA!DA43,CODIFICACION!$F$2:$F$500,0))="sin dato","",INDEX(CODIFICACION!$E$2:$E$500,MATCH("D11.39a|"&amp;CAPTURA!DA43,CODIFICACION!$F$2:$F$500,0))),"⚠"))</f>
        <v/>
      </c>
      <c r="BV43" t="str">
        <f>IF(CAPTURA!DB43="","",IFERROR(IF(INDEX(CODIFICACION!$E$2:$E$500,MATCH("D12.42|"&amp;CAPTURA!DB43,CODIFICACION!$F$2:$F$500,0))="sin dato","",INDEX(CODIFICACION!$E$2:$E$500,MATCH("D12.42|"&amp;CAPTURA!DB43,CODIFICACION!$F$2:$F$500,0))),"⚠"))</f>
        <v/>
      </c>
      <c r="BW43" t="str">
        <f>IF(CAPTURA!DC43="","",IFERROR(IF(INDEX(CODIFICACION!$E$2:$E$500,MATCH("D13.45|"&amp;CAPTURA!DC43,CODIFICACION!$F$2:$F$500,0))="sin dato","",INDEX(CODIFICACION!$E$2:$E$500,MATCH("D13.45|"&amp;CAPTURA!DC43,CODIFICACION!$F$2:$F$500,0))),"⚠"))</f>
        <v/>
      </c>
      <c r="BX43" t="str">
        <f>IF(CAPTURA!DD43="","",IFERROR(IF(INDEX(CODIFICACION!$E$2:$E$500,MATCH("D14.51|"&amp;CAPTURA!DD43,CODIFICACION!$F$2:$F$500,0))="sin dato","",INDEX(CODIFICACION!$E$2:$E$500,MATCH("D14.51|"&amp;CAPTURA!DD43,CODIFICACION!$F$2:$F$500,0))),"⚠"))</f>
        <v/>
      </c>
      <c r="BY43" t="str">
        <f>IF(CAPTURA!DE43="","",IFERROR(IF(INDEX(CODIFICACION!$E$2:$E$500,MATCH("D15.58|"&amp;CAPTURA!DE43,CODIFICACION!$F$2:$F$500,0))="sin dato","",INDEX(CODIFICACION!$E$2:$E$500,MATCH("D15.58|"&amp;CAPTURA!DE43,CODIFICACION!$F$2:$F$500,0))),"⚠"))</f>
        <v/>
      </c>
      <c r="BZ43" t="str">
        <f>IF(CAPTURA!DF43="","",IFERROR(IF(INDEX(CODIFICACION!$E$2:$E$500,MATCH("PP1|"&amp;CAPTURA!DF43,CODIFICACION!$F$2:$F$500,0))="sin dato","",INDEX(CODIFICACION!$E$2:$E$500,MATCH("PP1|"&amp;CAPTURA!DF43,CODIFICACION!$F$2:$F$500,0))),"⚠"))</f>
        <v/>
      </c>
      <c r="CA43" t="str">
        <f>IF(CAPTURA!DG43="","",IFERROR(IF(INDEX(CODIFICACION!$E$2:$E$500,MATCH("PP2|"&amp;CAPTURA!DG43,CODIFICACION!$F$2:$F$500,0))="sin dato","",INDEX(CODIFICACION!$E$2:$E$500,MATCH("PP2|"&amp;CAPTURA!DG43,CODIFICACION!$F$2:$F$500,0))),"⚠"))</f>
        <v/>
      </c>
      <c r="CB43" t="str">
        <f t="shared" si="11"/>
        <v/>
      </c>
      <c r="CC43" t="str">
        <f t="shared" si="12"/>
        <v/>
      </c>
      <c r="CD43" t="str">
        <f t="shared" si="13"/>
        <v/>
      </c>
      <c r="CE43" t="str">
        <f t="shared" si="14"/>
        <v/>
      </c>
      <c r="CF43" t="str">
        <f t="shared" si="15"/>
        <v/>
      </c>
      <c r="CG43" t="str">
        <f t="shared" si="16"/>
        <v/>
      </c>
      <c r="CH43" t="str">
        <f t="shared" si="17"/>
        <v/>
      </c>
      <c r="CI43" t="str">
        <f t="shared" si="18"/>
        <v/>
      </c>
      <c r="CJ43" t="str">
        <f t="shared" si="19"/>
        <v/>
      </c>
      <c r="CK43" t="str">
        <f t="shared" si="20"/>
        <v/>
      </c>
      <c r="CL43" t="str">
        <f t="shared" si="21"/>
        <v/>
      </c>
    </row>
    <row r="44" spans="1:90" x14ac:dyDescent="0.3">
      <c r="A44">
        <f>CAPTURA!A44</f>
        <v>20486094657</v>
      </c>
      <c r="B44">
        <f>CAPTURA!C44</f>
        <v>0</v>
      </c>
      <c r="C44" t="str">
        <f>IF(CAPTURA!M44="","",ROUND((ISNUMBER(SEARCH("Alemania",CAPTURA!M44))+ISNUMBER(SEARCH("Bélgica",CAPTURA!M44))+ISNUMBER(SEARCH("Países Bajos",CAPTURA!M44))+ISNUMBER(SEARCH("Francia",CAPTURA!M44))+ISNUMBER(SEARCH("Italia",CAPTURA!M44))+ISNUMBER(SEARCH("España",CAPTURA!M44))+ISNUMBER(SEARCH("Suecia",CAPTURA!M44))+ISNUMBER(SEARCH("Dinamarca",CAPTURA!M44)))/((LEN(CAPTURA!M44)-LEN(SUBSTITUTE(CAPTURA!M44,";","")))+1)*100,1))</f>
        <v/>
      </c>
      <c r="D44" t="str">
        <f>IF(CAPTURA!AE44="","",IFERROR(IF(INDEX(CODIFICACION!$E$2:$E$500,MATCH("P8|"&amp;CAPTURA!AE44,CODIFICACION!$F$2:$F$500,0))="sin dato","",INDEX(CODIFICACION!$E$2:$E$500,MATCH("P8|"&amp;CAPTURA!AE44,CODIFICACION!$F$2:$F$500,0))),"⚠"))</f>
        <v/>
      </c>
      <c r="E44" t="str">
        <f>IF(CAPTURA!AG44="","",IFERROR(IF(INDEX(CODIFICACION!$E$2:$E$500,MATCH("P10|"&amp;CAPTURA!AG44,CODIFICACION!$F$2:$F$500,0))="sin dato","",INDEX(CODIFICACION!$E$2:$E$500,MATCH("P10|"&amp;CAPTURA!AG44,CODIFICACION!$F$2:$F$500,0))),"⚠"))</f>
        <v/>
      </c>
      <c r="F44" t="str">
        <f>IF(CAPTURA!AJ44="","",IFERROR(IF(INDEX(CODIFICACION!$E$2:$E$500,MATCH("P13|"&amp;CAPTURA!AJ44,CODIFICACION!$F$2:$F$500,0))="sin dato","",INDEX(CODIFICACION!$E$2:$E$500,MATCH("P13|"&amp;CAPTURA!AJ44,CODIFICACION!$F$2:$F$500,0))),"⚠"))</f>
        <v/>
      </c>
      <c r="G44" t="str">
        <f>IF(CAPTURA!AK44="","",IFERROR(IF(INDEX(CODIFICACION!$E$2:$E$500,MATCH("P14|"&amp;CAPTURA!AK44,CODIFICACION!$F$2:$F$500,0))="sin dato","",INDEX(CODIFICACION!$E$2:$E$500,MATCH("P14|"&amp;CAPTURA!AK44,CODIFICACION!$F$2:$F$500,0))),"⚠"))</f>
        <v/>
      </c>
      <c r="H44" t="str">
        <f>IF(CAPTURA!AL44="","",IFERROR(IF(INDEX(CODIFICACION!$E$2:$E$500,MATCH("D1.1|"&amp;CAPTURA!AL44,CODIFICACION!$F$2:$F$500,0))="sin dato","",INDEX(CODIFICACION!$E$2:$E$500,MATCH("D1.1|"&amp;CAPTURA!AL44,CODIFICACION!$F$2:$F$500,0))),"⚠"))</f>
        <v/>
      </c>
      <c r="I44" t="str">
        <f>IF(CAPTURA!AN44="","",IFERROR(IF(INDEX(CODIFICACION!$E$2:$E$500,MATCH("D1.3|"&amp;CAPTURA!AN44,CODIFICACION!$F$2:$F$500,0))="sin dato","",INDEX(CODIFICACION!$E$2:$E$500,MATCH("D1.3|"&amp;CAPTURA!AN44,CODIFICACION!$F$2:$F$500,0))),"⚠"))</f>
        <v/>
      </c>
      <c r="J44" t="str">
        <f>IF(CAPTURA!AO44="","",IFERROR(IF(INDEX(CODIFICACION!$E$2:$E$500,MATCH("D1.4|"&amp;CAPTURA!AO44,CODIFICACION!$F$2:$F$500,0))="sin dato","",INDEX(CODIFICACION!$E$2:$E$500,MATCH("D1.4|"&amp;CAPTURA!AO44,CODIFICACION!$F$2:$F$500,0))),"⚠"))</f>
        <v/>
      </c>
      <c r="K44" t="str">
        <f>IF(CAPTURA!AP44="","",IFERROR(IF(INDEX(CODIFICACION!$E$2:$E$500,MATCH("D1.3a|"&amp;CAPTURA!AP44,CODIFICACION!$F$2:$F$500,0))="sin dato","",INDEX(CODIFICACION!$E$2:$E$500,MATCH("D1.3a|"&amp;CAPTURA!AP44,CODIFICACION!$F$2:$F$500,0))),"⚠"))</f>
        <v/>
      </c>
      <c r="L44" t="str">
        <f>IF(CAPTURA!AQ44="","",IF(AND(ISNUMBER(CAPTURA!AQ44),CAPTURA!AQ44&gt;=0,CAPTURA!AQ44&lt;=4),CAPTURA!AQ44*25,"⚠"))</f>
        <v/>
      </c>
      <c r="M44" t="str">
        <f>IF(CAPTURA!AR44="","",IF(ISNUMBER(CAPTURA!AR44),MAX(0,MIN(100,CAPTURA!AR44)),"⚠"))</f>
        <v/>
      </c>
      <c r="N44" t="str">
        <f>IF(CAPTURA!AS44="","",IF(AND(ISNUMBER(CAPTURA!AS44),CAPTURA!AS44&gt;=0,CAPTURA!AS44&lt;=4),CAPTURA!AS44*25,"⚠"))</f>
        <v/>
      </c>
      <c r="O44" t="str">
        <f>IF(CAPTURA!AT44="","",IFERROR(IF(INDEX(CODIFICACION!$E$2:$E$500,MATCH("D2.8|"&amp;CAPTURA!AT44,CODIFICACION!$F$2:$F$500,0))="sin dato","",INDEX(CODIFICACION!$E$2:$E$500,MATCH("D2.8|"&amp;CAPTURA!AT44,CODIFICACION!$F$2:$F$500,0))),"⚠"))</f>
        <v/>
      </c>
      <c r="P44" t="str">
        <f>IF(CAPTURA!AU44="","",IFERROR(IF(INDEX(CODIFICACION!$E$2:$E$500,MATCH("D2.9|"&amp;CAPTURA!AU44,CODIFICACION!$F$2:$F$500,0))="sin dato","",INDEX(CODIFICACION!$E$2:$E$500,MATCH("D2.9|"&amp;CAPTURA!AU44,CODIFICACION!$F$2:$F$500,0))),"⚠"))</f>
        <v/>
      </c>
      <c r="Q44" t="str">
        <f>IF(CAPTURA!AV44="","",IFERROR(IF(INDEX(CODIFICACION!$E$2:$E$500,MATCH("D2.10|"&amp;CAPTURA!AV44,CODIFICACION!$F$2:$F$500,0))="sin dato","",INDEX(CODIFICACION!$E$2:$E$500,MATCH("D2.10|"&amp;CAPTURA!AV44,CODIFICACION!$F$2:$F$500,0))),"⚠"))</f>
        <v/>
      </c>
      <c r="R44" t="str">
        <f>IF(CAPTURA!AW44="","",IFERROR(IF(INDEX(CODIFICACION!$E$2:$E$500,MATCH("D2.5a|"&amp;CAPTURA!AW44,CODIFICACION!$F$2:$F$500,0))="sin dato","",INDEX(CODIFICACION!$E$2:$E$500,MATCH("D2.5a|"&amp;CAPTURA!AW44,CODIFICACION!$F$2:$F$500,0))),"⚠"))</f>
        <v/>
      </c>
      <c r="S44" t="str">
        <f>IF(CAPTURA!AX44="","",IFERROR(IF(INDEX(CODIFICACION!$E$2:$E$500,MATCH("D2.5b|"&amp;CAPTURA!AX44,CODIFICACION!$F$2:$F$500,0))="sin dato","",INDEX(CODIFICACION!$E$2:$E$500,MATCH("D2.5b|"&amp;CAPTURA!AX44,CODIFICACION!$F$2:$F$500,0))),"⚠"))</f>
        <v/>
      </c>
      <c r="T44" t="str">
        <f>IF(CAPTURA!AY44="","",IF(ISNUMBER(CAPTURA!AY44),MAX(0,MIN(100,CAPTURA!AY44)),"⚠"))</f>
        <v/>
      </c>
      <c r="U44" t="str">
        <f>IF(CAPTURA!AZ44="","",IFERROR(IF(INDEX(CODIFICACION!$E$2:$E$500,MATCH("D3.12|"&amp;CAPTURA!AZ44,CODIFICACION!$F$2:$F$500,0))="sin dato","",INDEX(CODIFICACION!$E$2:$E$500,MATCH("D3.12|"&amp;CAPTURA!AZ44,CODIFICACION!$F$2:$F$500,0))),"⚠"))</f>
        <v/>
      </c>
      <c r="V44" t="str">
        <f>IF(CAPTURA!BA44="","",IF(AND(ISNUMBER(CAPTURA!BA44),CAPTURA!BA44&gt;=0,CAPTURA!BA44&lt;=4),CAPTURA!BA44*25,"⚠"))</f>
        <v/>
      </c>
      <c r="W44" t="str">
        <f>IF(CAPTURA!BB44="","",IFERROR(IF(INDEX(CODIFICACION!$E$2:$E$500,MATCH("D3.14|"&amp;CAPTURA!BB44,CODIFICACION!$F$2:$F$500,0))="sin dato","",INDEX(CODIFICACION!$E$2:$E$500,MATCH("D3.14|"&amp;CAPTURA!BB44,CODIFICACION!$F$2:$F$500,0))),"⚠"))</f>
        <v/>
      </c>
      <c r="X44" t="str">
        <f>IF(CAPTURA!BC44="","",IFERROR(IF(INDEX(CODIFICACION!$E$2:$E$500,MATCH("D3.14a|"&amp;CAPTURA!BC44,CODIFICACION!$F$2:$F$500,0))="sin dato","",INDEX(CODIFICACION!$E$2:$E$500,MATCH("D3.14a|"&amp;CAPTURA!BC44,CODIFICACION!$F$2:$F$500,0))),"⚠"))</f>
        <v/>
      </c>
      <c r="Y44" t="str">
        <f>IF(CAPTURA!BD44="","",IFERROR(IF(INDEX(CODIFICACION!$E$2:$E$500,MATCH("D3.14b|"&amp;CAPTURA!BD44,CODIFICACION!$F$2:$F$500,0))="sin dato","",INDEX(CODIFICACION!$E$2:$E$500,MATCH("D3.14b|"&amp;CAPTURA!BD44,CODIFICACION!$F$2:$F$500,0))),"⚠"))</f>
        <v/>
      </c>
      <c r="Z44" t="str">
        <f>IF(CAPTURA!BE44="","",IFERROR(IF(INDEX(CODIFICACION!$E$2:$E$500,MATCH("D3.14c|"&amp;CAPTURA!BE44,CODIFICACION!$F$2:$F$500,0))="sin dato","",INDEX(CODIFICACION!$E$2:$E$500,MATCH("D3.14c|"&amp;CAPTURA!BE44,CODIFICACION!$F$2:$F$500,0))),"⚠"))</f>
        <v/>
      </c>
      <c r="AA44" t="str">
        <f>IF(CAPTURA!BF44="","",IFERROR(IF(INDEX(CODIFICACION!$E$2:$E$500,MATCH("D3.14d|"&amp;CAPTURA!BF44,CODIFICACION!$F$2:$F$500,0))="sin dato","",INDEX(CODIFICACION!$E$2:$E$500,MATCH("D3.14d|"&amp;CAPTURA!BF44,CODIFICACION!$F$2:$F$500,0))),"⚠"))</f>
        <v/>
      </c>
      <c r="AB44" t="str">
        <f>IF(CAPTURA!BG44="","",IFERROR(IF(INDEX(CODIFICACION!$E$2:$E$500,MATCH("D3.14e|"&amp;CAPTURA!BG44,CODIFICACION!$F$2:$F$500,0))="sin dato","",INDEX(CODIFICACION!$E$2:$E$500,MATCH("D3.14e|"&amp;CAPTURA!BG44,CODIFICACION!$F$2:$F$500,0))),"⚠"))</f>
        <v/>
      </c>
      <c r="AC44" t="str">
        <f>IF(CAPTURA!BH44="","",IFERROR(IF(INDEX(CODIFICACION!$E$2:$E$500,MATCH("D3.14f|"&amp;CAPTURA!BH44,CODIFICACION!$F$2:$F$500,0))="sin dato","",INDEX(CODIFICACION!$E$2:$E$500,MATCH("D3.14f|"&amp;CAPTURA!BH44,CODIFICACION!$F$2:$F$500,0))),"⚠"))</f>
        <v/>
      </c>
      <c r="AD44" t="str">
        <f>IF(CAPTURA!BI44="","",IFERROR(IF(INDEX(CODIFICACION!$E$2:$E$500,MATCH("D3.14g|"&amp;CAPTURA!BI44,CODIFICACION!$F$2:$F$500,0))="sin dato","",INDEX(CODIFICACION!$E$2:$E$500,MATCH("D3.14g|"&amp;CAPTURA!BI44,CODIFICACION!$F$2:$F$500,0))),"⚠"))</f>
        <v/>
      </c>
      <c r="AE44" t="str">
        <f>IF(CAPTURA!BJ44="","",IFERROR(IF(INDEX(CODIFICACION!$E$2:$E$500,MATCH("D3.14h|"&amp;CAPTURA!BJ44,CODIFICACION!$F$2:$F$500,0))="sin dato","",INDEX(CODIFICACION!$E$2:$E$500,MATCH("D3.14h|"&amp;CAPTURA!BJ44,CODIFICACION!$F$2:$F$500,0))),"⚠"))</f>
        <v/>
      </c>
      <c r="AF44" t="str">
        <f>IF(CAPTURA!BK44="","",IFERROR(IF(INDEX(CODIFICACION!$E$2:$E$500,MATCH("D3.14i|"&amp;CAPTURA!BK44,CODIFICACION!$F$2:$F$500,0))="sin dato","",INDEX(CODIFICACION!$E$2:$E$500,MATCH("D3.14i|"&amp;CAPTURA!BK44,CODIFICACION!$F$2:$F$500,0))),"⚠"))</f>
        <v/>
      </c>
      <c r="AG44" t="str">
        <f>IF(CAPTURA!BL44="","",IFERROR(IF(INDEX(CODIFICACION!$E$2:$E$500,MATCH("D4.15|"&amp;CAPTURA!BL44,CODIFICACION!$F$2:$F$500,0))="sin dato","",INDEX(CODIFICACION!$E$2:$E$500,MATCH("D4.15|"&amp;CAPTURA!BL44,CODIFICACION!$F$2:$F$500,0))),"⚠"))</f>
        <v/>
      </c>
      <c r="AH44" t="str">
        <f>IF(CAPTURA!BM44="","",IF(AND(ISNUMBER(CAPTURA!BM44),CAPTURA!BM44&gt;=0,CAPTURA!BM44&lt;=4),CAPTURA!BM44*25,"⚠"))</f>
        <v/>
      </c>
      <c r="AI44" t="str">
        <f>IF(CAPTURA!BN44="","",IFERROR(IF(INDEX(CODIFICACION!$E$2:$E$500,MATCH("D4.17|"&amp;CAPTURA!BN44,CODIFICACION!$F$2:$F$500,0))="sin dato","",INDEX(CODIFICACION!$E$2:$E$500,MATCH("D4.17|"&amp;CAPTURA!BN44,CODIFICACION!$F$2:$F$500,0))),"⚠"))</f>
        <v/>
      </c>
      <c r="AJ44" t="str">
        <f>IF(CAPTURA!BO44="","",IFERROR(IF(INDEX(CODIFICACION!$E$2:$E$500,MATCH("D4.15a|"&amp;CAPTURA!BO44,CODIFICACION!$F$2:$F$500,0))="sin dato","",INDEX(CODIFICACION!$E$2:$E$500,MATCH("D4.15a|"&amp;CAPTURA!BO44,CODIFICACION!$F$2:$F$500,0))),"⚠"))</f>
        <v/>
      </c>
      <c r="AK44" t="str">
        <f>IF(CAPTURA!BP44="","",IF(AND(ISNUMBER(CAPTURA!BP44),CAPTURA!BP44&gt;=0,CAPTURA!BP44&lt;=4),CAPTURA!BP44*25,"⚠"))</f>
        <v/>
      </c>
      <c r="AL44" t="str">
        <f>IF(CAPTURA!BQ44="","",IF(AND(ISNUMBER(CAPTURA!BQ44),CAPTURA!BQ44&gt;=0,CAPTURA!BQ44&lt;=4),CAPTURA!BQ44*25,"⚠"))</f>
        <v/>
      </c>
      <c r="AM44" t="str">
        <f>IF(CAPTURA!BR44="","",IFERROR(IF(INDEX(CODIFICACION!$E$2:$E$500,MATCH("D5.18b|"&amp;CAPTURA!BR44,CODIFICACION!$F$2:$F$500,0))="sin dato","",INDEX(CODIFICACION!$E$2:$E$500,MATCH("D5.18b|"&amp;CAPTURA!BR44,CODIFICACION!$F$2:$F$500,0))),"⚠"))</f>
        <v/>
      </c>
      <c r="AN44" t="str">
        <f>IF(CAPTURA!BS44="","",IFERROR(IF(INDEX(CODIFICACION!$E$2:$E$500,MATCH("D5.19|"&amp;CAPTURA!BS44,CODIFICACION!$F$2:$F$500,0))="sin dato","",INDEX(CODIFICACION!$E$2:$E$500,MATCH("D5.19|"&amp;CAPTURA!BS44,CODIFICACION!$F$2:$F$500,0))),"⚠"))</f>
        <v/>
      </c>
      <c r="AO44" t="str">
        <f>IF(CAPTURA!BT44="","",MIN(100,ROUND((LEN(CAPTURA!BT44)-LEN(SUBSTITUTE(CAPTURA!BT44,";",""))+1)/7*100,1)))</f>
        <v/>
      </c>
      <c r="AP44" t="str">
        <f>IF(CAPTURA!BU44="","",IFERROR(IF(INDEX(CODIFICACION!$E$2:$E$500,MATCH("D5.20|"&amp;CAPTURA!BU44,CODIFICACION!$F$2:$F$500,0))="sin dato","",INDEX(CODIFICACION!$E$2:$E$500,MATCH("D5.20|"&amp;CAPTURA!BU44,CODIFICACION!$F$2:$F$500,0))),"⚠"))</f>
        <v/>
      </c>
      <c r="AQ44" t="str">
        <f>IF(CAPTURA!BV44="","",IFERROR(IF(INDEX(CODIFICACION!$E$2:$E$500,MATCH("D5.21|"&amp;CAPTURA!BV44,CODIFICACION!$F$2:$F$500,0))="sin dato","",INDEX(CODIFICACION!$E$2:$E$500,MATCH("D5.21|"&amp;CAPTURA!BV44,CODIFICACION!$F$2:$F$500,0))),"⚠"))</f>
        <v/>
      </c>
      <c r="AR44" t="str">
        <f>IF(CAPTURA!BW44="","",IFERROR(IF(INDEX(CODIFICACION!$E$2:$E$500,MATCH("D5.21a|"&amp;CAPTURA!BW44,CODIFICACION!$F$2:$F$500,0))="sin dato","",INDEX(CODIFICACION!$E$2:$E$500,MATCH("D5.21a|"&amp;CAPTURA!BW44,CODIFICACION!$F$2:$F$500,0))),"⚠"))</f>
        <v/>
      </c>
      <c r="AS44" t="str">
        <f>IF(CAPTURA!BX44="","",IFERROR(IF(INDEX(CODIFICACION!$E$2:$E$500,MATCH("D5.21b|"&amp;CAPTURA!BX44,CODIFICACION!$F$2:$F$500,0))="sin dato","",INDEX(CODIFICACION!$E$2:$E$500,MATCH("D5.21b|"&amp;CAPTURA!BX44,CODIFICACION!$F$2:$F$500,0))),"⚠"))</f>
        <v/>
      </c>
      <c r="AT44" t="str">
        <f>IF(CAPTURA!BY44="","",IFERROR(IF(INDEX(CODIFICACION!$E$2:$E$500,MATCH("D6.22|"&amp;CAPTURA!BY44,CODIFICACION!$F$2:$F$500,0))="sin dato","",INDEX(CODIFICACION!$E$2:$E$500,MATCH("D6.22|"&amp;CAPTURA!BY44,CODIFICACION!$F$2:$F$500,0))),"⚠"))</f>
        <v/>
      </c>
      <c r="AU44" t="str">
        <f>IF(CAPTURA!BZ44="","",IFERROR(IF(INDEX(CODIFICACION!$E$2:$E$500,MATCH("D6.22a|"&amp;CAPTURA!BZ44,CODIFICACION!$F$2:$F$500,0))="sin dato","",INDEX(CODIFICACION!$E$2:$E$500,MATCH("D6.22a|"&amp;CAPTURA!BZ44,CODIFICACION!$F$2:$F$500,0))),"⚠"))</f>
        <v/>
      </c>
      <c r="AV44" t="str">
        <f>IF(CAPTURA!CA44="","",IFERROR(IF(INDEX(CODIFICACION!$E$2:$E$500,MATCH("D6.22b|"&amp;CAPTURA!CA44,CODIFICACION!$F$2:$F$500,0))="sin dato","",INDEX(CODIFICACION!$E$2:$E$500,MATCH("D6.22b|"&amp;CAPTURA!CA44,CODIFICACION!$F$2:$F$500,0))),"⚠"))</f>
        <v/>
      </c>
      <c r="AW44" t="str">
        <f>IF(CAPTURA!CB44="","",IFERROR(IF(INDEX(CODIFICACION!$E$2:$E$500,MATCH("D6.23|"&amp;CAPTURA!CB44,CODIFICACION!$F$2:$F$500,0))="sin dato","",INDEX(CODIFICACION!$E$2:$E$500,MATCH("D6.23|"&amp;CAPTURA!CB44,CODIFICACION!$F$2:$F$500,0))),"⚠"))</f>
        <v/>
      </c>
      <c r="AX44" t="str">
        <f>IF(CAPTURA!CC44="","",IFERROR(IF(INDEX(CODIFICACION!$E$2:$E$500,MATCH("D6.24|"&amp;CAPTURA!CC44,CODIFICACION!$F$2:$F$500,0))="sin dato","",INDEX(CODIFICACION!$E$2:$E$500,MATCH("D6.24|"&amp;CAPTURA!CC44,CODIFICACION!$F$2:$F$500,0))),"⚠"))</f>
        <v/>
      </c>
      <c r="AY44" t="str">
        <f>IF(CAPTURA!CD44="","",IFERROR(IF(INDEX(CODIFICACION!$E$2:$E$500,MATCH("D6.25|"&amp;CAPTURA!CD44,CODIFICACION!$F$2:$F$500,0))="sin dato","",INDEX(CODIFICACION!$E$2:$E$500,MATCH("D6.25|"&amp;CAPTURA!CD44,CODIFICACION!$F$2:$F$500,0))),"⚠"))</f>
        <v/>
      </c>
      <c r="AZ44" t="str">
        <f>IF(CAPTURA!CE44="","",IFERROR(IF(INDEX(CODIFICACION!$E$2:$E$500,MATCH("D6.25a|"&amp;CAPTURA!CE44,CODIFICACION!$F$2:$F$500,0))="sin dato","",INDEX(CODIFICACION!$E$2:$E$500,MATCH("D6.25a|"&amp;CAPTURA!CE44,CODIFICACION!$F$2:$F$500,0))),"⚠"))</f>
        <v/>
      </c>
      <c r="BA44" t="str">
        <f>IF(CAPTURA!CF44="","",IFERROR(IF(INDEX(CODIFICACION!$E$2:$E$500,MATCH("D6.25b|"&amp;CAPTURA!CF44,CODIFICACION!$F$2:$F$500,0))="sin dato","",INDEX(CODIFICACION!$E$2:$E$500,MATCH("D6.25b|"&amp;CAPTURA!CF44,CODIFICACION!$F$2:$F$500,0))),"⚠"))</f>
        <v/>
      </c>
      <c r="BB44" t="str">
        <f>IF(CAPTURA!CG44="","",IFERROR(IF(INDEX(CODIFICACION!$E$2:$E$500,MATCH("D6.22c|"&amp;CAPTURA!CG44,CODIFICACION!$F$2:$F$500,0))="sin dato","",INDEX(CODIFICACION!$E$2:$E$500,MATCH("D6.22c|"&amp;CAPTURA!CG44,CODIFICACION!$F$2:$F$500,0))),"⚠"))</f>
        <v/>
      </c>
      <c r="BC44" t="str">
        <f>IF(CAPTURA!CH44="","",IFERROR(IF(INDEX(CODIFICACION!$E$2:$E$500,MATCH("D7.26|"&amp;CAPTURA!CH44,CODIFICACION!$F$2:$F$500,0))="sin dato","",INDEX(CODIFICACION!$E$2:$E$500,MATCH("D7.26|"&amp;CAPTURA!CH44,CODIFICACION!$F$2:$F$500,0))),"⚠"))</f>
        <v/>
      </c>
      <c r="BD44" t="str">
        <f>IF(CAPTURA!CI44="","",IFERROR(IF(INDEX(CODIFICACION!$E$2:$E$500,MATCH("D7.27|"&amp;CAPTURA!CI44,CODIFICACION!$F$2:$F$500,0))="sin dato","",INDEX(CODIFICACION!$E$2:$E$500,MATCH("D7.27|"&amp;CAPTURA!CI44,CODIFICACION!$F$2:$F$500,0))),"⚠"))</f>
        <v/>
      </c>
      <c r="BE44" t="str">
        <f>IF(CAPTURA!CJ44="","",IFERROR(IF(INDEX(CODIFICACION!$E$2:$E$500,MATCH("D7.28|"&amp;CAPTURA!CJ44,CODIFICACION!$F$2:$F$500,0))="sin dato","",INDEX(CODIFICACION!$E$2:$E$500,MATCH("D7.28|"&amp;CAPTURA!CJ44,CODIFICACION!$F$2:$F$500,0))),"⚠"))</f>
        <v/>
      </c>
      <c r="BF44" t="str">
        <f>IF(CAPTURA!CK44="","",IFERROR(IF(INDEX(CODIFICACION!$E$2:$E$500,MATCH("D7.28b|"&amp;CAPTURA!CK44,CODIFICACION!$F$2:$F$500,0))="sin dato","",INDEX(CODIFICACION!$E$2:$E$500,MATCH("D7.28b|"&amp;CAPTURA!CK44,CODIFICACION!$F$2:$F$500,0))),"⚠"))</f>
        <v/>
      </c>
      <c r="BG44" t="str">
        <f>IF(CAPTURA!CL44="","",MIN(100,ROUND((LEN(CAPTURA!CL44)-LEN(SUBSTITUTE(CAPTURA!CL44,";",""))+1)/8*100,1)))</f>
        <v/>
      </c>
      <c r="BH44" t="str">
        <f>IF(CAPTURA!CM44="","",IFERROR(IF(INDEX(CODIFICACION!$E$2:$E$500,MATCH("D7.26a|"&amp;CAPTURA!CM44,CODIFICACION!$F$2:$F$500,0))="sin dato","",INDEX(CODIFICACION!$E$2:$E$500,MATCH("D7.26a|"&amp;CAPTURA!CM44,CODIFICACION!$F$2:$F$500,0))),"⚠"))</f>
        <v/>
      </c>
      <c r="BI44" t="str">
        <f>IF(CAPTURA!CN44="","",IFERROR(IF(INDEX(CODIFICACION!$E$2:$E$500,MATCH("D7.26b|"&amp;CAPTURA!CN44,CODIFICACION!$F$2:$F$500,0))="sin dato","",INDEX(CODIFICACION!$E$2:$E$500,MATCH("D7.26b|"&amp;CAPTURA!CN44,CODIFICACION!$F$2:$F$500,0))),"⚠"))</f>
        <v/>
      </c>
      <c r="BJ44" t="str">
        <f>IF(CAPTURA!CO44="","",IF(AND(ISNUMBER(CAPTURA!CO44),CAPTURA!CO44&gt;=0,CAPTURA!CO44&lt;=4),CAPTURA!CO44*25,"⚠"))</f>
        <v/>
      </c>
      <c r="BK44" t="str">
        <f>IF(CAPTURA!CP44="","",IF(ISNUMBER(CAPTURA!CP44),MAX(0,MIN(100,CAPTURA!CP44)),"⚠"))</f>
        <v/>
      </c>
      <c r="BL44" t="str">
        <f>IF(CAPTURA!CQ44="","",IFERROR(IF(INDEX(CODIFICACION!$E$2:$E$500,MATCH("D8.31|"&amp;CAPTURA!CQ44,CODIFICACION!$F$2:$F$500,0))="sin dato","",INDEX(CODIFICACION!$E$2:$E$500,MATCH("D8.31|"&amp;CAPTURA!CQ44,CODIFICACION!$F$2:$F$500,0))),"⚠"))</f>
        <v/>
      </c>
      <c r="BM44" t="str">
        <f>IF(CAPTURA!CR44="","",IFERROR(IF(INDEX(CODIFICACION!$E$2:$E$500,MATCH("D8.32|"&amp;CAPTURA!CR44,CODIFICACION!$F$2:$F$500,0))="sin dato","",INDEX(CODIFICACION!$E$2:$E$500,MATCH("D8.32|"&amp;CAPTURA!CR44,CODIFICACION!$F$2:$F$500,0))),"⚠"))</f>
        <v/>
      </c>
      <c r="BN44" t="str">
        <f>IF(CAPTURA!CS44="","",IFERROR(IF(INDEX(CODIFICACION!$E$2:$E$500,MATCH("D9.33|"&amp;CAPTURA!CS44,CODIFICACION!$F$2:$F$500,0))="sin dato","",INDEX(CODIFICACION!$E$2:$E$500,MATCH("D9.33|"&amp;CAPTURA!CS44,CODIFICACION!$F$2:$F$500,0))),"⚠"))</f>
        <v/>
      </c>
      <c r="BO44" t="str">
        <f>IF(CAPTURA!CT44="","",IFERROR(IF(INDEX(CODIFICACION!$E$2:$E$500,MATCH("D9.34|"&amp;CAPTURA!CT44,CODIFICACION!$F$2:$F$500,0))="sin dato","",INDEX(CODIFICACION!$E$2:$E$500,MATCH("D9.34|"&amp;CAPTURA!CT44,CODIFICACION!$F$2:$F$500,0))),"⚠"))</f>
        <v/>
      </c>
      <c r="BP44" t="str">
        <f>IF(CAPTURA!CU44="","",IFERROR(IF(INDEX(CODIFICACION!$E$2:$E$500,MATCH("D9.35|"&amp;CAPTURA!CU44,CODIFICACION!$F$2:$F$500,0))="sin dato","",INDEX(CODIFICACION!$E$2:$E$500,MATCH("D9.35|"&amp;CAPTURA!CU44,CODIFICACION!$F$2:$F$500,0))),"⚠"))</f>
        <v/>
      </c>
      <c r="BQ44" t="str">
        <f>IF(CAPTURA!CV44="","",IFERROR(IF(INDEX(CODIFICACION!$E$2:$E$500,MATCH("D10.36|"&amp;CAPTURA!CV44,CODIFICACION!$F$2:$F$500,0))="sin dato","",INDEX(CODIFICACION!$E$2:$E$500,MATCH("D10.36|"&amp;CAPTURA!CV44,CODIFICACION!$F$2:$F$500,0))),"⚠"))</f>
        <v/>
      </c>
      <c r="BR44" t="str">
        <f>IF(CAPTURA!CW44="","",IFERROR(IF(INDEX(CODIFICACION!$E$2:$E$500,MATCH("D10.37|"&amp;CAPTURA!CW44,CODIFICACION!$F$2:$F$500,0))="sin dato","",INDEX(CODIFICACION!$E$2:$E$500,MATCH("D10.37|"&amp;CAPTURA!CW44,CODIFICACION!$F$2:$F$500,0))),"⚠"))</f>
        <v/>
      </c>
      <c r="BS44" t="str">
        <f>IF(CAPTURA!CX44="","",IFERROR(IF(INDEX(CODIFICACION!$E$2:$E$500,MATCH("D10.36a|"&amp;CAPTURA!CX44,CODIFICACION!$F$2:$F$500,0))="sin dato","",INDEX(CODIFICACION!$E$2:$E$500,MATCH("D10.36a|"&amp;CAPTURA!CX44,CODIFICACION!$F$2:$F$500,0))),"⚠"))</f>
        <v/>
      </c>
      <c r="BT44" t="str">
        <f>IF(CAPTURA!CY44="","",IF(ISNUMBER(SEARCH("Ninguno",CAPTURA!CY44)),0,MIN(100,ROUND((LEN(CAPTURA!CY44)-LEN(SUBSTITUTE(CAPTURA!CY44,";",""))+1)/6*100,1))))</f>
        <v/>
      </c>
      <c r="BU44" t="str">
        <f>IF(CAPTURA!DA44="","",IFERROR(IF(INDEX(CODIFICACION!$E$2:$E$500,MATCH("D11.39a|"&amp;CAPTURA!DA44,CODIFICACION!$F$2:$F$500,0))="sin dato","",INDEX(CODIFICACION!$E$2:$E$500,MATCH("D11.39a|"&amp;CAPTURA!DA44,CODIFICACION!$F$2:$F$500,0))),"⚠"))</f>
        <v/>
      </c>
      <c r="BV44" t="str">
        <f>IF(CAPTURA!DB44="","",IFERROR(IF(INDEX(CODIFICACION!$E$2:$E$500,MATCH("D12.42|"&amp;CAPTURA!DB44,CODIFICACION!$F$2:$F$500,0))="sin dato","",INDEX(CODIFICACION!$E$2:$E$500,MATCH("D12.42|"&amp;CAPTURA!DB44,CODIFICACION!$F$2:$F$500,0))),"⚠"))</f>
        <v/>
      </c>
      <c r="BW44" t="str">
        <f>IF(CAPTURA!DC44="","",IFERROR(IF(INDEX(CODIFICACION!$E$2:$E$500,MATCH("D13.45|"&amp;CAPTURA!DC44,CODIFICACION!$F$2:$F$500,0))="sin dato","",INDEX(CODIFICACION!$E$2:$E$500,MATCH("D13.45|"&amp;CAPTURA!DC44,CODIFICACION!$F$2:$F$500,0))),"⚠"))</f>
        <v/>
      </c>
      <c r="BX44" t="str">
        <f>IF(CAPTURA!DD44="","",IFERROR(IF(INDEX(CODIFICACION!$E$2:$E$500,MATCH("D14.51|"&amp;CAPTURA!DD44,CODIFICACION!$F$2:$F$500,0))="sin dato","",INDEX(CODIFICACION!$E$2:$E$500,MATCH("D14.51|"&amp;CAPTURA!DD44,CODIFICACION!$F$2:$F$500,0))),"⚠"))</f>
        <v/>
      </c>
      <c r="BY44" t="str">
        <f>IF(CAPTURA!DE44="","",IFERROR(IF(INDEX(CODIFICACION!$E$2:$E$500,MATCH("D15.58|"&amp;CAPTURA!DE44,CODIFICACION!$F$2:$F$500,0))="sin dato","",INDEX(CODIFICACION!$E$2:$E$500,MATCH("D15.58|"&amp;CAPTURA!DE44,CODIFICACION!$F$2:$F$500,0))),"⚠"))</f>
        <v/>
      </c>
      <c r="BZ44" t="str">
        <f>IF(CAPTURA!DF44="","",IFERROR(IF(INDEX(CODIFICACION!$E$2:$E$500,MATCH("PP1|"&amp;CAPTURA!DF44,CODIFICACION!$F$2:$F$500,0))="sin dato","",INDEX(CODIFICACION!$E$2:$E$500,MATCH("PP1|"&amp;CAPTURA!DF44,CODIFICACION!$F$2:$F$500,0))),"⚠"))</f>
        <v/>
      </c>
      <c r="CA44" t="str">
        <f>IF(CAPTURA!DG44="","",IFERROR(IF(INDEX(CODIFICACION!$E$2:$E$500,MATCH("PP2|"&amp;CAPTURA!DG44,CODIFICACION!$F$2:$F$500,0))="sin dato","",INDEX(CODIFICACION!$E$2:$E$500,MATCH("PP2|"&amp;CAPTURA!DG44,CODIFICACION!$F$2:$F$500,0))),"⚠"))</f>
        <v/>
      </c>
      <c r="CB44" t="str">
        <f t="shared" si="11"/>
        <v/>
      </c>
      <c r="CC44" t="str">
        <f t="shared" si="12"/>
        <v/>
      </c>
      <c r="CD44" t="str">
        <f t="shared" si="13"/>
        <v/>
      </c>
      <c r="CE44" t="str">
        <f t="shared" si="14"/>
        <v/>
      </c>
      <c r="CF44" t="str">
        <f t="shared" si="15"/>
        <v/>
      </c>
      <c r="CG44" t="str">
        <f t="shared" si="16"/>
        <v/>
      </c>
      <c r="CH44" t="str">
        <f t="shared" si="17"/>
        <v/>
      </c>
      <c r="CI44" t="str">
        <f t="shared" si="18"/>
        <v/>
      </c>
      <c r="CJ44" t="str">
        <f t="shared" si="19"/>
        <v/>
      </c>
      <c r="CK44" t="str">
        <f t="shared" si="20"/>
        <v/>
      </c>
      <c r="CL44" t="str">
        <f t="shared" si="21"/>
        <v/>
      </c>
    </row>
    <row r="45" spans="1:90" x14ac:dyDescent="0.3">
      <c r="A45">
        <f>CAPTURA!A45</f>
        <v>20486255090</v>
      </c>
      <c r="B45">
        <f>CAPTURA!C45</f>
        <v>0</v>
      </c>
      <c r="C45" t="str">
        <f>IF(CAPTURA!M45="","",ROUND((ISNUMBER(SEARCH("Alemania",CAPTURA!M45))+ISNUMBER(SEARCH("Bélgica",CAPTURA!M45))+ISNUMBER(SEARCH("Países Bajos",CAPTURA!M45))+ISNUMBER(SEARCH("Francia",CAPTURA!M45))+ISNUMBER(SEARCH("Italia",CAPTURA!M45))+ISNUMBER(SEARCH("España",CAPTURA!M45))+ISNUMBER(SEARCH("Suecia",CAPTURA!M45))+ISNUMBER(SEARCH("Dinamarca",CAPTURA!M45)))/((LEN(CAPTURA!M45)-LEN(SUBSTITUTE(CAPTURA!M45,";","")))+1)*100,1))</f>
        <v/>
      </c>
      <c r="D45" t="str">
        <f>IF(CAPTURA!AE45="","",IFERROR(IF(INDEX(CODIFICACION!$E$2:$E$500,MATCH("P8|"&amp;CAPTURA!AE45,CODIFICACION!$F$2:$F$500,0))="sin dato","",INDEX(CODIFICACION!$E$2:$E$500,MATCH("P8|"&amp;CAPTURA!AE45,CODIFICACION!$F$2:$F$500,0))),"⚠"))</f>
        <v/>
      </c>
      <c r="E45" t="str">
        <f>IF(CAPTURA!AG45="","",IFERROR(IF(INDEX(CODIFICACION!$E$2:$E$500,MATCH("P10|"&amp;CAPTURA!AG45,CODIFICACION!$F$2:$F$500,0))="sin dato","",INDEX(CODIFICACION!$E$2:$E$500,MATCH("P10|"&amp;CAPTURA!AG45,CODIFICACION!$F$2:$F$500,0))),"⚠"))</f>
        <v/>
      </c>
      <c r="F45" t="str">
        <f>IF(CAPTURA!AJ45="","",IFERROR(IF(INDEX(CODIFICACION!$E$2:$E$500,MATCH("P13|"&amp;CAPTURA!AJ45,CODIFICACION!$F$2:$F$500,0))="sin dato","",INDEX(CODIFICACION!$E$2:$E$500,MATCH("P13|"&amp;CAPTURA!AJ45,CODIFICACION!$F$2:$F$500,0))),"⚠"))</f>
        <v/>
      </c>
      <c r="G45" t="str">
        <f>IF(CAPTURA!AK45="","",IFERROR(IF(INDEX(CODIFICACION!$E$2:$E$500,MATCH("P14|"&amp;CAPTURA!AK45,CODIFICACION!$F$2:$F$500,0))="sin dato","",INDEX(CODIFICACION!$E$2:$E$500,MATCH("P14|"&amp;CAPTURA!AK45,CODIFICACION!$F$2:$F$500,0))),"⚠"))</f>
        <v/>
      </c>
      <c r="H45" t="str">
        <f>IF(CAPTURA!AL45="","",IFERROR(IF(INDEX(CODIFICACION!$E$2:$E$500,MATCH("D1.1|"&amp;CAPTURA!AL45,CODIFICACION!$F$2:$F$500,0))="sin dato","",INDEX(CODIFICACION!$E$2:$E$500,MATCH("D1.1|"&amp;CAPTURA!AL45,CODIFICACION!$F$2:$F$500,0))),"⚠"))</f>
        <v/>
      </c>
      <c r="I45" t="str">
        <f>IF(CAPTURA!AN45="","",IFERROR(IF(INDEX(CODIFICACION!$E$2:$E$500,MATCH("D1.3|"&amp;CAPTURA!AN45,CODIFICACION!$F$2:$F$500,0))="sin dato","",INDEX(CODIFICACION!$E$2:$E$500,MATCH("D1.3|"&amp;CAPTURA!AN45,CODIFICACION!$F$2:$F$500,0))),"⚠"))</f>
        <v/>
      </c>
      <c r="J45" t="str">
        <f>IF(CAPTURA!AO45="","",IFERROR(IF(INDEX(CODIFICACION!$E$2:$E$500,MATCH("D1.4|"&amp;CAPTURA!AO45,CODIFICACION!$F$2:$F$500,0))="sin dato","",INDEX(CODIFICACION!$E$2:$E$500,MATCH("D1.4|"&amp;CAPTURA!AO45,CODIFICACION!$F$2:$F$500,0))),"⚠"))</f>
        <v/>
      </c>
      <c r="K45" t="str">
        <f>IF(CAPTURA!AP45="","",IFERROR(IF(INDEX(CODIFICACION!$E$2:$E$500,MATCH("D1.3a|"&amp;CAPTURA!AP45,CODIFICACION!$F$2:$F$500,0))="sin dato","",INDEX(CODIFICACION!$E$2:$E$500,MATCH("D1.3a|"&amp;CAPTURA!AP45,CODIFICACION!$F$2:$F$500,0))),"⚠"))</f>
        <v/>
      </c>
      <c r="L45" t="str">
        <f>IF(CAPTURA!AQ45="","",IF(AND(ISNUMBER(CAPTURA!AQ45),CAPTURA!AQ45&gt;=0,CAPTURA!AQ45&lt;=4),CAPTURA!AQ45*25,"⚠"))</f>
        <v/>
      </c>
      <c r="M45" t="str">
        <f>IF(CAPTURA!AR45="","",IF(ISNUMBER(CAPTURA!AR45),MAX(0,MIN(100,CAPTURA!AR45)),"⚠"))</f>
        <v/>
      </c>
      <c r="N45" t="str">
        <f>IF(CAPTURA!AS45="","",IF(AND(ISNUMBER(CAPTURA!AS45),CAPTURA!AS45&gt;=0,CAPTURA!AS45&lt;=4),CAPTURA!AS45*25,"⚠"))</f>
        <v/>
      </c>
      <c r="O45" t="str">
        <f>IF(CAPTURA!AT45="","",IFERROR(IF(INDEX(CODIFICACION!$E$2:$E$500,MATCH("D2.8|"&amp;CAPTURA!AT45,CODIFICACION!$F$2:$F$500,0))="sin dato","",INDEX(CODIFICACION!$E$2:$E$500,MATCH("D2.8|"&amp;CAPTURA!AT45,CODIFICACION!$F$2:$F$500,0))),"⚠"))</f>
        <v/>
      </c>
      <c r="P45" t="str">
        <f>IF(CAPTURA!AU45="","",IFERROR(IF(INDEX(CODIFICACION!$E$2:$E$500,MATCH("D2.9|"&amp;CAPTURA!AU45,CODIFICACION!$F$2:$F$500,0))="sin dato","",INDEX(CODIFICACION!$E$2:$E$500,MATCH("D2.9|"&amp;CAPTURA!AU45,CODIFICACION!$F$2:$F$500,0))),"⚠"))</f>
        <v/>
      </c>
      <c r="Q45" t="str">
        <f>IF(CAPTURA!AV45="","",IFERROR(IF(INDEX(CODIFICACION!$E$2:$E$500,MATCH("D2.10|"&amp;CAPTURA!AV45,CODIFICACION!$F$2:$F$500,0))="sin dato","",INDEX(CODIFICACION!$E$2:$E$500,MATCH("D2.10|"&amp;CAPTURA!AV45,CODIFICACION!$F$2:$F$500,0))),"⚠"))</f>
        <v/>
      </c>
      <c r="R45" t="str">
        <f>IF(CAPTURA!AW45="","",IFERROR(IF(INDEX(CODIFICACION!$E$2:$E$500,MATCH("D2.5a|"&amp;CAPTURA!AW45,CODIFICACION!$F$2:$F$500,0))="sin dato","",INDEX(CODIFICACION!$E$2:$E$500,MATCH("D2.5a|"&amp;CAPTURA!AW45,CODIFICACION!$F$2:$F$500,0))),"⚠"))</f>
        <v/>
      </c>
      <c r="S45" t="str">
        <f>IF(CAPTURA!AX45="","",IFERROR(IF(INDEX(CODIFICACION!$E$2:$E$500,MATCH("D2.5b|"&amp;CAPTURA!AX45,CODIFICACION!$F$2:$F$500,0))="sin dato","",INDEX(CODIFICACION!$E$2:$E$500,MATCH("D2.5b|"&amp;CAPTURA!AX45,CODIFICACION!$F$2:$F$500,0))),"⚠"))</f>
        <v/>
      </c>
      <c r="T45" t="str">
        <f>IF(CAPTURA!AY45="","",IF(ISNUMBER(CAPTURA!AY45),MAX(0,MIN(100,CAPTURA!AY45)),"⚠"))</f>
        <v/>
      </c>
      <c r="U45" t="str">
        <f>IF(CAPTURA!AZ45="","",IFERROR(IF(INDEX(CODIFICACION!$E$2:$E$500,MATCH("D3.12|"&amp;CAPTURA!AZ45,CODIFICACION!$F$2:$F$500,0))="sin dato","",INDEX(CODIFICACION!$E$2:$E$500,MATCH("D3.12|"&amp;CAPTURA!AZ45,CODIFICACION!$F$2:$F$500,0))),"⚠"))</f>
        <v/>
      </c>
      <c r="V45" t="str">
        <f>IF(CAPTURA!BA45="","",IF(AND(ISNUMBER(CAPTURA!BA45),CAPTURA!BA45&gt;=0,CAPTURA!BA45&lt;=4),CAPTURA!BA45*25,"⚠"))</f>
        <v/>
      </c>
      <c r="W45" t="str">
        <f>IF(CAPTURA!BB45="","",IFERROR(IF(INDEX(CODIFICACION!$E$2:$E$500,MATCH("D3.14|"&amp;CAPTURA!BB45,CODIFICACION!$F$2:$F$500,0))="sin dato","",INDEX(CODIFICACION!$E$2:$E$500,MATCH("D3.14|"&amp;CAPTURA!BB45,CODIFICACION!$F$2:$F$500,0))),"⚠"))</f>
        <v/>
      </c>
      <c r="X45" t="str">
        <f>IF(CAPTURA!BC45="","",IFERROR(IF(INDEX(CODIFICACION!$E$2:$E$500,MATCH("D3.14a|"&amp;CAPTURA!BC45,CODIFICACION!$F$2:$F$500,0))="sin dato","",INDEX(CODIFICACION!$E$2:$E$500,MATCH("D3.14a|"&amp;CAPTURA!BC45,CODIFICACION!$F$2:$F$500,0))),"⚠"))</f>
        <v/>
      </c>
      <c r="Y45" t="str">
        <f>IF(CAPTURA!BD45="","",IFERROR(IF(INDEX(CODIFICACION!$E$2:$E$500,MATCH("D3.14b|"&amp;CAPTURA!BD45,CODIFICACION!$F$2:$F$500,0))="sin dato","",INDEX(CODIFICACION!$E$2:$E$500,MATCH("D3.14b|"&amp;CAPTURA!BD45,CODIFICACION!$F$2:$F$500,0))),"⚠"))</f>
        <v/>
      </c>
      <c r="Z45" t="str">
        <f>IF(CAPTURA!BE45="","",IFERROR(IF(INDEX(CODIFICACION!$E$2:$E$500,MATCH("D3.14c|"&amp;CAPTURA!BE45,CODIFICACION!$F$2:$F$500,0))="sin dato","",INDEX(CODIFICACION!$E$2:$E$500,MATCH("D3.14c|"&amp;CAPTURA!BE45,CODIFICACION!$F$2:$F$500,0))),"⚠"))</f>
        <v/>
      </c>
      <c r="AA45" t="str">
        <f>IF(CAPTURA!BF45="","",IFERROR(IF(INDEX(CODIFICACION!$E$2:$E$500,MATCH("D3.14d|"&amp;CAPTURA!BF45,CODIFICACION!$F$2:$F$500,0))="sin dato","",INDEX(CODIFICACION!$E$2:$E$500,MATCH("D3.14d|"&amp;CAPTURA!BF45,CODIFICACION!$F$2:$F$500,0))),"⚠"))</f>
        <v/>
      </c>
      <c r="AB45" t="str">
        <f>IF(CAPTURA!BG45="","",IFERROR(IF(INDEX(CODIFICACION!$E$2:$E$500,MATCH("D3.14e|"&amp;CAPTURA!BG45,CODIFICACION!$F$2:$F$500,0))="sin dato","",INDEX(CODIFICACION!$E$2:$E$500,MATCH("D3.14e|"&amp;CAPTURA!BG45,CODIFICACION!$F$2:$F$500,0))),"⚠"))</f>
        <v/>
      </c>
      <c r="AC45" t="str">
        <f>IF(CAPTURA!BH45="","",IFERROR(IF(INDEX(CODIFICACION!$E$2:$E$500,MATCH("D3.14f|"&amp;CAPTURA!BH45,CODIFICACION!$F$2:$F$500,0))="sin dato","",INDEX(CODIFICACION!$E$2:$E$500,MATCH("D3.14f|"&amp;CAPTURA!BH45,CODIFICACION!$F$2:$F$500,0))),"⚠"))</f>
        <v/>
      </c>
      <c r="AD45" t="str">
        <f>IF(CAPTURA!BI45="","",IFERROR(IF(INDEX(CODIFICACION!$E$2:$E$500,MATCH("D3.14g|"&amp;CAPTURA!BI45,CODIFICACION!$F$2:$F$500,0))="sin dato","",INDEX(CODIFICACION!$E$2:$E$500,MATCH("D3.14g|"&amp;CAPTURA!BI45,CODIFICACION!$F$2:$F$500,0))),"⚠"))</f>
        <v/>
      </c>
      <c r="AE45" t="str">
        <f>IF(CAPTURA!BJ45="","",IFERROR(IF(INDEX(CODIFICACION!$E$2:$E$500,MATCH("D3.14h|"&amp;CAPTURA!BJ45,CODIFICACION!$F$2:$F$500,0))="sin dato","",INDEX(CODIFICACION!$E$2:$E$500,MATCH("D3.14h|"&amp;CAPTURA!BJ45,CODIFICACION!$F$2:$F$500,0))),"⚠"))</f>
        <v/>
      </c>
      <c r="AF45" t="str">
        <f>IF(CAPTURA!BK45="","",IFERROR(IF(INDEX(CODIFICACION!$E$2:$E$500,MATCH("D3.14i|"&amp;CAPTURA!BK45,CODIFICACION!$F$2:$F$500,0))="sin dato","",INDEX(CODIFICACION!$E$2:$E$500,MATCH("D3.14i|"&amp;CAPTURA!BK45,CODIFICACION!$F$2:$F$500,0))),"⚠"))</f>
        <v/>
      </c>
      <c r="AG45" t="str">
        <f>IF(CAPTURA!BL45="","",IFERROR(IF(INDEX(CODIFICACION!$E$2:$E$500,MATCH("D4.15|"&amp;CAPTURA!BL45,CODIFICACION!$F$2:$F$500,0))="sin dato","",INDEX(CODIFICACION!$E$2:$E$500,MATCH("D4.15|"&amp;CAPTURA!BL45,CODIFICACION!$F$2:$F$500,0))),"⚠"))</f>
        <v/>
      </c>
      <c r="AH45" t="str">
        <f>IF(CAPTURA!BM45="","",IF(AND(ISNUMBER(CAPTURA!BM45),CAPTURA!BM45&gt;=0,CAPTURA!BM45&lt;=4),CAPTURA!BM45*25,"⚠"))</f>
        <v/>
      </c>
      <c r="AI45" t="str">
        <f>IF(CAPTURA!BN45="","",IFERROR(IF(INDEX(CODIFICACION!$E$2:$E$500,MATCH("D4.17|"&amp;CAPTURA!BN45,CODIFICACION!$F$2:$F$500,0))="sin dato","",INDEX(CODIFICACION!$E$2:$E$500,MATCH("D4.17|"&amp;CAPTURA!BN45,CODIFICACION!$F$2:$F$500,0))),"⚠"))</f>
        <v/>
      </c>
      <c r="AJ45" t="str">
        <f>IF(CAPTURA!BO45="","",IFERROR(IF(INDEX(CODIFICACION!$E$2:$E$500,MATCH("D4.15a|"&amp;CAPTURA!BO45,CODIFICACION!$F$2:$F$500,0))="sin dato","",INDEX(CODIFICACION!$E$2:$E$500,MATCH("D4.15a|"&amp;CAPTURA!BO45,CODIFICACION!$F$2:$F$500,0))),"⚠"))</f>
        <v/>
      </c>
      <c r="AK45" t="str">
        <f>IF(CAPTURA!BP45="","",IF(AND(ISNUMBER(CAPTURA!BP45),CAPTURA!BP45&gt;=0,CAPTURA!BP45&lt;=4),CAPTURA!BP45*25,"⚠"))</f>
        <v/>
      </c>
      <c r="AL45" t="str">
        <f>IF(CAPTURA!BQ45="","",IF(AND(ISNUMBER(CAPTURA!BQ45),CAPTURA!BQ45&gt;=0,CAPTURA!BQ45&lt;=4),CAPTURA!BQ45*25,"⚠"))</f>
        <v/>
      </c>
      <c r="AM45" t="str">
        <f>IF(CAPTURA!BR45="","",IFERROR(IF(INDEX(CODIFICACION!$E$2:$E$500,MATCH("D5.18b|"&amp;CAPTURA!BR45,CODIFICACION!$F$2:$F$500,0))="sin dato","",INDEX(CODIFICACION!$E$2:$E$500,MATCH("D5.18b|"&amp;CAPTURA!BR45,CODIFICACION!$F$2:$F$500,0))),"⚠"))</f>
        <v/>
      </c>
      <c r="AN45" t="str">
        <f>IF(CAPTURA!BS45="","",IFERROR(IF(INDEX(CODIFICACION!$E$2:$E$500,MATCH("D5.19|"&amp;CAPTURA!BS45,CODIFICACION!$F$2:$F$500,0))="sin dato","",INDEX(CODIFICACION!$E$2:$E$500,MATCH("D5.19|"&amp;CAPTURA!BS45,CODIFICACION!$F$2:$F$500,0))),"⚠"))</f>
        <v/>
      </c>
      <c r="AO45" t="str">
        <f>IF(CAPTURA!BT45="","",MIN(100,ROUND((LEN(CAPTURA!BT45)-LEN(SUBSTITUTE(CAPTURA!BT45,";",""))+1)/7*100,1)))</f>
        <v/>
      </c>
      <c r="AP45" t="str">
        <f>IF(CAPTURA!BU45="","",IFERROR(IF(INDEX(CODIFICACION!$E$2:$E$500,MATCH("D5.20|"&amp;CAPTURA!BU45,CODIFICACION!$F$2:$F$500,0))="sin dato","",INDEX(CODIFICACION!$E$2:$E$500,MATCH("D5.20|"&amp;CAPTURA!BU45,CODIFICACION!$F$2:$F$500,0))),"⚠"))</f>
        <v/>
      </c>
      <c r="AQ45" t="str">
        <f>IF(CAPTURA!BV45="","",IFERROR(IF(INDEX(CODIFICACION!$E$2:$E$500,MATCH("D5.21|"&amp;CAPTURA!BV45,CODIFICACION!$F$2:$F$500,0))="sin dato","",INDEX(CODIFICACION!$E$2:$E$500,MATCH("D5.21|"&amp;CAPTURA!BV45,CODIFICACION!$F$2:$F$500,0))),"⚠"))</f>
        <v/>
      </c>
      <c r="AR45" t="str">
        <f>IF(CAPTURA!BW45="","",IFERROR(IF(INDEX(CODIFICACION!$E$2:$E$500,MATCH("D5.21a|"&amp;CAPTURA!BW45,CODIFICACION!$F$2:$F$500,0))="sin dato","",INDEX(CODIFICACION!$E$2:$E$500,MATCH("D5.21a|"&amp;CAPTURA!BW45,CODIFICACION!$F$2:$F$500,0))),"⚠"))</f>
        <v/>
      </c>
      <c r="AS45" t="str">
        <f>IF(CAPTURA!BX45="","",IFERROR(IF(INDEX(CODIFICACION!$E$2:$E$500,MATCH("D5.21b|"&amp;CAPTURA!BX45,CODIFICACION!$F$2:$F$500,0))="sin dato","",INDEX(CODIFICACION!$E$2:$E$500,MATCH("D5.21b|"&amp;CAPTURA!BX45,CODIFICACION!$F$2:$F$500,0))),"⚠"))</f>
        <v/>
      </c>
      <c r="AT45" t="str">
        <f>IF(CAPTURA!BY45="","",IFERROR(IF(INDEX(CODIFICACION!$E$2:$E$500,MATCH("D6.22|"&amp;CAPTURA!BY45,CODIFICACION!$F$2:$F$500,0))="sin dato","",INDEX(CODIFICACION!$E$2:$E$500,MATCH("D6.22|"&amp;CAPTURA!BY45,CODIFICACION!$F$2:$F$500,0))),"⚠"))</f>
        <v/>
      </c>
      <c r="AU45" t="str">
        <f>IF(CAPTURA!BZ45="","",IFERROR(IF(INDEX(CODIFICACION!$E$2:$E$500,MATCH("D6.22a|"&amp;CAPTURA!BZ45,CODIFICACION!$F$2:$F$500,0))="sin dato","",INDEX(CODIFICACION!$E$2:$E$500,MATCH("D6.22a|"&amp;CAPTURA!BZ45,CODIFICACION!$F$2:$F$500,0))),"⚠"))</f>
        <v/>
      </c>
      <c r="AV45" t="str">
        <f>IF(CAPTURA!CA45="","",IFERROR(IF(INDEX(CODIFICACION!$E$2:$E$500,MATCH("D6.22b|"&amp;CAPTURA!CA45,CODIFICACION!$F$2:$F$500,0))="sin dato","",INDEX(CODIFICACION!$E$2:$E$500,MATCH("D6.22b|"&amp;CAPTURA!CA45,CODIFICACION!$F$2:$F$500,0))),"⚠"))</f>
        <v/>
      </c>
      <c r="AW45" t="str">
        <f>IF(CAPTURA!CB45="","",IFERROR(IF(INDEX(CODIFICACION!$E$2:$E$500,MATCH("D6.23|"&amp;CAPTURA!CB45,CODIFICACION!$F$2:$F$500,0))="sin dato","",INDEX(CODIFICACION!$E$2:$E$500,MATCH("D6.23|"&amp;CAPTURA!CB45,CODIFICACION!$F$2:$F$500,0))),"⚠"))</f>
        <v/>
      </c>
      <c r="AX45" t="str">
        <f>IF(CAPTURA!CC45="","",IFERROR(IF(INDEX(CODIFICACION!$E$2:$E$500,MATCH("D6.24|"&amp;CAPTURA!CC45,CODIFICACION!$F$2:$F$500,0))="sin dato","",INDEX(CODIFICACION!$E$2:$E$500,MATCH("D6.24|"&amp;CAPTURA!CC45,CODIFICACION!$F$2:$F$500,0))),"⚠"))</f>
        <v/>
      </c>
      <c r="AY45" t="str">
        <f>IF(CAPTURA!CD45="","",IFERROR(IF(INDEX(CODIFICACION!$E$2:$E$500,MATCH("D6.25|"&amp;CAPTURA!CD45,CODIFICACION!$F$2:$F$500,0))="sin dato","",INDEX(CODIFICACION!$E$2:$E$500,MATCH("D6.25|"&amp;CAPTURA!CD45,CODIFICACION!$F$2:$F$500,0))),"⚠"))</f>
        <v/>
      </c>
      <c r="AZ45" t="str">
        <f>IF(CAPTURA!CE45="","",IFERROR(IF(INDEX(CODIFICACION!$E$2:$E$500,MATCH("D6.25a|"&amp;CAPTURA!CE45,CODIFICACION!$F$2:$F$500,0))="sin dato","",INDEX(CODIFICACION!$E$2:$E$500,MATCH("D6.25a|"&amp;CAPTURA!CE45,CODIFICACION!$F$2:$F$500,0))),"⚠"))</f>
        <v/>
      </c>
      <c r="BA45" t="str">
        <f>IF(CAPTURA!CF45="","",IFERROR(IF(INDEX(CODIFICACION!$E$2:$E$500,MATCH("D6.25b|"&amp;CAPTURA!CF45,CODIFICACION!$F$2:$F$500,0))="sin dato","",INDEX(CODIFICACION!$E$2:$E$500,MATCH("D6.25b|"&amp;CAPTURA!CF45,CODIFICACION!$F$2:$F$500,0))),"⚠"))</f>
        <v/>
      </c>
      <c r="BB45" t="str">
        <f>IF(CAPTURA!CG45="","",IFERROR(IF(INDEX(CODIFICACION!$E$2:$E$500,MATCH("D6.22c|"&amp;CAPTURA!CG45,CODIFICACION!$F$2:$F$500,0))="sin dato","",INDEX(CODIFICACION!$E$2:$E$500,MATCH("D6.22c|"&amp;CAPTURA!CG45,CODIFICACION!$F$2:$F$500,0))),"⚠"))</f>
        <v/>
      </c>
      <c r="BC45" t="str">
        <f>IF(CAPTURA!CH45="","",IFERROR(IF(INDEX(CODIFICACION!$E$2:$E$500,MATCH("D7.26|"&amp;CAPTURA!CH45,CODIFICACION!$F$2:$F$500,0))="sin dato","",INDEX(CODIFICACION!$E$2:$E$500,MATCH("D7.26|"&amp;CAPTURA!CH45,CODIFICACION!$F$2:$F$500,0))),"⚠"))</f>
        <v/>
      </c>
      <c r="BD45" t="str">
        <f>IF(CAPTURA!CI45="","",IFERROR(IF(INDEX(CODIFICACION!$E$2:$E$500,MATCH("D7.27|"&amp;CAPTURA!CI45,CODIFICACION!$F$2:$F$500,0))="sin dato","",INDEX(CODIFICACION!$E$2:$E$500,MATCH("D7.27|"&amp;CAPTURA!CI45,CODIFICACION!$F$2:$F$500,0))),"⚠"))</f>
        <v/>
      </c>
      <c r="BE45" t="str">
        <f>IF(CAPTURA!CJ45="","",IFERROR(IF(INDEX(CODIFICACION!$E$2:$E$500,MATCH("D7.28|"&amp;CAPTURA!CJ45,CODIFICACION!$F$2:$F$500,0))="sin dato","",INDEX(CODIFICACION!$E$2:$E$500,MATCH("D7.28|"&amp;CAPTURA!CJ45,CODIFICACION!$F$2:$F$500,0))),"⚠"))</f>
        <v/>
      </c>
      <c r="BF45" t="str">
        <f>IF(CAPTURA!CK45="","",IFERROR(IF(INDEX(CODIFICACION!$E$2:$E$500,MATCH("D7.28b|"&amp;CAPTURA!CK45,CODIFICACION!$F$2:$F$500,0))="sin dato","",INDEX(CODIFICACION!$E$2:$E$500,MATCH("D7.28b|"&amp;CAPTURA!CK45,CODIFICACION!$F$2:$F$500,0))),"⚠"))</f>
        <v/>
      </c>
      <c r="BG45" t="str">
        <f>IF(CAPTURA!CL45="","",MIN(100,ROUND((LEN(CAPTURA!CL45)-LEN(SUBSTITUTE(CAPTURA!CL45,";",""))+1)/8*100,1)))</f>
        <v/>
      </c>
      <c r="BH45" t="str">
        <f>IF(CAPTURA!CM45="","",IFERROR(IF(INDEX(CODIFICACION!$E$2:$E$500,MATCH("D7.26a|"&amp;CAPTURA!CM45,CODIFICACION!$F$2:$F$500,0))="sin dato","",INDEX(CODIFICACION!$E$2:$E$500,MATCH("D7.26a|"&amp;CAPTURA!CM45,CODIFICACION!$F$2:$F$500,0))),"⚠"))</f>
        <v/>
      </c>
      <c r="BI45" t="str">
        <f>IF(CAPTURA!CN45="","",IFERROR(IF(INDEX(CODIFICACION!$E$2:$E$500,MATCH("D7.26b|"&amp;CAPTURA!CN45,CODIFICACION!$F$2:$F$500,0))="sin dato","",INDEX(CODIFICACION!$E$2:$E$500,MATCH("D7.26b|"&amp;CAPTURA!CN45,CODIFICACION!$F$2:$F$500,0))),"⚠"))</f>
        <v/>
      </c>
      <c r="BJ45" t="str">
        <f>IF(CAPTURA!CO45="","",IF(AND(ISNUMBER(CAPTURA!CO45),CAPTURA!CO45&gt;=0,CAPTURA!CO45&lt;=4),CAPTURA!CO45*25,"⚠"))</f>
        <v/>
      </c>
      <c r="BK45" t="str">
        <f>IF(CAPTURA!CP45="","",IF(ISNUMBER(CAPTURA!CP45),MAX(0,MIN(100,CAPTURA!CP45)),"⚠"))</f>
        <v/>
      </c>
      <c r="BL45" t="str">
        <f>IF(CAPTURA!CQ45="","",IFERROR(IF(INDEX(CODIFICACION!$E$2:$E$500,MATCH("D8.31|"&amp;CAPTURA!CQ45,CODIFICACION!$F$2:$F$500,0))="sin dato","",INDEX(CODIFICACION!$E$2:$E$500,MATCH("D8.31|"&amp;CAPTURA!CQ45,CODIFICACION!$F$2:$F$500,0))),"⚠"))</f>
        <v/>
      </c>
      <c r="BM45" t="str">
        <f>IF(CAPTURA!CR45="","",IFERROR(IF(INDEX(CODIFICACION!$E$2:$E$500,MATCH("D8.32|"&amp;CAPTURA!CR45,CODIFICACION!$F$2:$F$500,0))="sin dato","",INDEX(CODIFICACION!$E$2:$E$500,MATCH("D8.32|"&amp;CAPTURA!CR45,CODIFICACION!$F$2:$F$500,0))),"⚠"))</f>
        <v/>
      </c>
      <c r="BN45" t="str">
        <f>IF(CAPTURA!CS45="","",IFERROR(IF(INDEX(CODIFICACION!$E$2:$E$500,MATCH("D9.33|"&amp;CAPTURA!CS45,CODIFICACION!$F$2:$F$500,0))="sin dato","",INDEX(CODIFICACION!$E$2:$E$500,MATCH("D9.33|"&amp;CAPTURA!CS45,CODIFICACION!$F$2:$F$500,0))),"⚠"))</f>
        <v/>
      </c>
      <c r="BO45" t="str">
        <f>IF(CAPTURA!CT45="","",IFERROR(IF(INDEX(CODIFICACION!$E$2:$E$500,MATCH("D9.34|"&amp;CAPTURA!CT45,CODIFICACION!$F$2:$F$500,0))="sin dato","",INDEX(CODIFICACION!$E$2:$E$500,MATCH("D9.34|"&amp;CAPTURA!CT45,CODIFICACION!$F$2:$F$500,0))),"⚠"))</f>
        <v/>
      </c>
      <c r="BP45" t="str">
        <f>IF(CAPTURA!CU45="","",IFERROR(IF(INDEX(CODIFICACION!$E$2:$E$500,MATCH("D9.35|"&amp;CAPTURA!CU45,CODIFICACION!$F$2:$F$500,0))="sin dato","",INDEX(CODIFICACION!$E$2:$E$500,MATCH("D9.35|"&amp;CAPTURA!CU45,CODIFICACION!$F$2:$F$500,0))),"⚠"))</f>
        <v/>
      </c>
      <c r="BQ45" t="str">
        <f>IF(CAPTURA!CV45="","",IFERROR(IF(INDEX(CODIFICACION!$E$2:$E$500,MATCH("D10.36|"&amp;CAPTURA!CV45,CODIFICACION!$F$2:$F$500,0))="sin dato","",INDEX(CODIFICACION!$E$2:$E$500,MATCH("D10.36|"&amp;CAPTURA!CV45,CODIFICACION!$F$2:$F$500,0))),"⚠"))</f>
        <v/>
      </c>
      <c r="BR45" t="str">
        <f>IF(CAPTURA!CW45="","",IFERROR(IF(INDEX(CODIFICACION!$E$2:$E$500,MATCH("D10.37|"&amp;CAPTURA!CW45,CODIFICACION!$F$2:$F$500,0))="sin dato","",INDEX(CODIFICACION!$E$2:$E$500,MATCH("D10.37|"&amp;CAPTURA!CW45,CODIFICACION!$F$2:$F$500,0))),"⚠"))</f>
        <v/>
      </c>
      <c r="BS45" t="str">
        <f>IF(CAPTURA!CX45="","",IFERROR(IF(INDEX(CODIFICACION!$E$2:$E$500,MATCH("D10.36a|"&amp;CAPTURA!CX45,CODIFICACION!$F$2:$F$500,0))="sin dato","",INDEX(CODIFICACION!$E$2:$E$500,MATCH("D10.36a|"&amp;CAPTURA!CX45,CODIFICACION!$F$2:$F$500,0))),"⚠"))</f>
        <v/>
      </c>
      <c r="BT45" t="str">
        <f>IF(CAPTURA!CY45="","",IF(ISNUMBER(SEARCH("Ninguno",CAPTURA!CY45)),0,MIN(100,ROUND((LEN(CAPTURA!CY45)-LEN(SUBSTITUTE(CAPTURA!CY45,";",""))+1)/6*100,1))))</f>
        <v/>
      </c>
      <c r="BU45" t="str">
        <f>IF(CAPTURA!DA45="","",IFERROR(IF(INDEX(CODIFICACION!$E$2:$E$500,MATCH("D11.39a|"&amp;CAPTURA!DA45,CODIFICACION!$F$2:$F$500,0))="sin dato","",INDEX(CODIFICACION!$E$2:$E$500,MATCH("D11.39a|"&amp;CAPTURA!DA45,CODIFICACION!$F$2:$F$500,0))),"⚠"))</f>
        <v/>
      </c>
      <c r="BV45" t="str">
        <f>IF(CAPTURA!DB45="","",IFERROR(IF(INDEX(CODIFICACION!$E$2:$E$500,MATCH("D12.42|"&amp;CAPTURA!DB45,CODIFICACION!$F$2:$F$500,0))="sin dato","",INDEX(CODIFICACION!$E$2:$E$500,MATCH("D12.42|"&amp;CAPTURA!DB45,CODIFICACION!$F$2:$F$500,0))),"⚠"))</f>
        <v/>
      </c>
      <c r="BW45" t="str">
        <f>IF(CAPTURA!DC45="","",IFERROR(IF(INDEX(CODIFICACION!$E$2:$E$500,MATCH("D13.45|"&amp;CAPTURA!DC45,CODIFICACION!$F$2:$F$500,0))="sin dato","",INDEX(CODIFICACION!$E$2:$E$500,MATCH("D13.45|"&amp;CAPTURA!DC45,CODIFICACION!$F$2:$F$500,0))),"⚠"))</f>
        <v/>
      </c>
      <c r="BX45" t="str">
        <f>IF(CAPTURA!DD45="","",IFERROR(IF(INDEX(CODIFICACION!$E$2:$E$500,MATCH("D14.51|"&amp;CAPTURA!DD45,CODIFICACION!$F$2:$F$500,0))="sin dato","",INDEX(CODIFICACION!$E$2:$E$500,MATCH("D14.51|"&amp;CAPTURA!DD45,CODIFICACION!$F$2:$F$500,0))),"⚠"))</f>
        <v/>
      </c>
      <c r="BY45" t="str">
        <f>IF(CAPTURA!DE45="","",IFERROR(IF(INDEX(CODIFICACION!$E$2:$E$500,MATCH("D15.58|"&amp;CAPTURA!DE45,CODIFICACION!$F$2:$F$500,0))="sin dato","",INDEX(CODIFICACION!$E$2:$E$500,MATCH("D15.58|"&amp;CAPTURA!DE45,CODIFICACION!$F$2:$F$500,0))),"⚠"))</f>
        <v/>
      </c>
      <c r="BZ45" t="str">
        <f>IF(CAPTURA!DF45="","",IFERROR(IF(INDEX(CODIFICACION!$E$2:$E$500,MATCH("PP1|"&amp;CAPTURA!DF45,CODIFICACION!$F$2:$F$500,0))="sin dato","",INDEX(CODIFICACION!$E$2:$E$500,MATCH("PP1|"&amp;CAPTURA!DF45,CODIFICACION!$F$2:$F$500,0))),"⚠"))</f>
        <v/>
      </c>
      <c r="CA45" t="str">
        <f>IF(CAPTURA!DG45="","",IFERROR(IF(INDEX(CODIFICACION!$E$2:$E$500,MATCH("PP2|"&amp;CAPTURA!DG45,CODIFICACION!$F$2:$F$500,0))="sin dato","",INDEX(CODIFICACION!$E$2:$E$500,MATCH("PP2|"&amp;CAPTURA!DG45,CODIFICACION!$F$2:$F$500,0))),"⚠"))</f>
        <v/>
      </c>
      <c r="CB45" t="str">
        <f t="shared" si="11"/>
        <v/>
      </c>
      <c r="CC45" t="str">
        <f t="shared" si="12"/>
        <v/>
      </c>
      <c r="CD45" t="str">
        <f t="shared" si="13"/>
        <v/>
      </c>
      <c r="CE45" t="str">
        <f t="shared" si="14"/>
        <v/>
      </c>
      <c r="CF45" t="str">
        <f t="shared" si="15"/>
        <v/>
      </c>
      <c r="CG45" t="str">
        <f t="shared" si="16"/>
        <v/>
      </c>
      <c r="CH45" t="str">
        <f t="shared" si="17"/>
        <v/>
      </c>
      <c r="CI45" t="str">
        <f t="shared" si="18"/>
        <v/>
      </c>
      <c r="CJ45" t="str">
        <f t="shared" si="19"/>
        <v/>
      </c>
      <c r="CK45" t="str">
        <f t="shared" si="20"/>
        <v/>
      </c>
      <c r="CL45" t="str">
        <f t="shared" si="21"/>
        <v/>
      </c>
    </row>
    <row r="46" spans="1:90" x14ac:dyDescent="0.3">
      <c r="A46">
        <f>CAPTURA!A46</f>
        <v>20486668335</v>
      </c>
      <c r="B46">
        <f>CAPTURA!C46</f>
        <v>0</v>
      </c>
      <c r="C46" t="str">
        <f>IF(CAPTURA!M46="","",ROUND((ISNUMBER(SEARCH("Alemania",CAPTURA!M46))+ISNUMBER(SEARCH("Bélgica",CAPTURA!M46))+ISNUMBER(SEARCH("Países Bajos",CAPTURA!M46))+ISNUMBER(SEARCH("Francia",CAPTURA!M46))+ISNUMBER(SEARCH("Italia",CAPTURA!M46))+ISNUMBER(SEARCH("España",CAPTURA!M46))+ISNUMBER(SEARCH("Suecia",CAPTURA!M46))+ISNUMBER(SEARCH("Dinamarca",CAPTURA!M46)))/((LEN(CAPTURA!M46)-LEN(SUBSTITUTE(CAPTURA!M46,";","")))+1)*100,1))</f>
        <v/>
      </c>
      <c r="D46" t="str">
        <f>IF(CAPTURA!AE46="","",IFERROR(IF(INDEX(CODIFICACION!$E$2:$E$500,MATCH("P8|"&amp;CAPTURA!AE46,CODIFICACION!$F$2:$F$500,0))="sin dato","",INDEX(CODIFICACION!$E$2:$E$500,MATCH("P8|"&amp;CAPTURA!AE46,CODIFICACION!$F$2:$F$500,0))),"⚠"))</f>
        <v/>
      </c>
      <c r="E46" t="str">
        <f>IF(CAPTURA!AG46="","",IFERROR(IF(INDEX(CODIFICACION!$E$2:$E$500,MATCH("P10|"&amp;CAPTURA!AG46,CODIFICACION!$F$2:$F$500,0))="sin dato","",INDEX(CODIFICACION!$E$2:$E$500,MATCH("P10|"&amp;CAPTURA!AG46,CODIFICACION!$F$2:$F$500,0))),"⚠"))</f>
        <v/>
      </c>
      <c r="F46" t="str">
        <f>IF(CAPTURA!AJ46="","",IFERROR(IF(INDEX(CODIFICACION!$E$2:$E$500,MATCH("P13|"&amp;CAPTURA!AJ46,CODIFICACION!$F$2:$F$500,0))="sin dato","",INDEX(CODIFICACION!$E$2:$E$500,MATCH("P13|"&amp;CAPTURA!AJ46,CODIFICACION!$F$2:$F$500,0))),"⚠"))</f>
        <v/>
      </c>
      <c r="G46" t="str">
        <f>IF(CAPTURA!AK46="","",IFERROR(IF(INDEX(CODIFICACION!$E$2:$E$500,MATCH("P14|"&amp;CAPTURA!AK46,CODIFICACION!$F$2:$F$500,0))="sin dato","",INDEX(CODIFICACION!$E$2:$E$500,MATCH("P14|"&amp;CAPTURA!AK46,CODIFICACION!$F$2:$F$500,0))),"⚠"))</f>
        <v/>
      </c>
      <c r="H46" t="str">
        <f>IF(CAPTURA!AL46="","",IFERROR(IF(INDEX(CODIFICACION!$E$2:$E$500,MATCH("D1.1|"&amp;CAPTURA!AL46,CODIFICACION!$F$2:$F$500,0))="sin dato","",INDEX(CODIFICACION!$E$2:$E$500,MATCH("D1.1|"&amp;CAPTURA!AL46,CODIFICACION!$F$2:$F$500,0))),"⚠"))</f>
        <v/>
      </c>
      <c r="I46" t="str">
        <f>IF(CAPTURA!AN46="","",IFERROR(IF(INDEX(CODIFICACION!$E$2:$E$500,MATCH("D1.3|"&amp;CAPTURA!AN46,CODIFICACION!$F$2:$F$500,0))="sin dato","",INDEX(CODIFICACION!$E$2:$E$500,MATCH("D1.3|"&amp;CAPTURA!AN46,CODIFICACION!$F$2:$F$500,0))),"⚠"))</f>
        <v/>
      </c>
      <c r="J46" t="str">
        <f>IF(CAPTURA!AO46="","",IFERROR(IF(INDEX(CODIFICACION!$E$2:$E$500,MATCH("D1.4|"&amp;CAPTURA!AO46,CODIFICACION!$F$2:$F$500,0))="sin dato","",INDEX(CODIFICACION!$E$2:$E$500,MATCH("D1.4|"&amp;CAPTURA!AO46,CODIFICACION!$F$2:$F$500,0))),"⚠"))</f>
        <v/>
      </c>
      <c r="K46" t="str">
        <f>IF(CAPTURA!AP46="","",IFERROR(IF(INDEX(CODIFICACION!$E$2:$E$500,MATCH("D1.3a|"&amp;CAPTURA!AP46,CODIFICACION!$F$2:$F$500,0))="sin dato","",INDEX(CODIFICACION!$E$2:$E$500,MATCH("D1.3a|"&amp;CAPTURA!AP46,CODIFICACION!$F$2:$F$500,0))),"⚠"))</f>
        <v/>
      </c>
      <c r="L46" t="str">
        <f>IF(CAPTURA!AQ46="","",IF(AND(ISNUMBER(CAPTURA!AQ46),CAPTURA!AQ46&gt;=0,CAPTURA!AQ46&lt;=4),CAPTURA!AQ46*25,"⚠"))</f>
        <v/>
      </c>
      <c r="M46" t="str">
        <f>IF(CAPTURA!AR46="","",IF(ISNUMBER(CAPTURA!AR46),MAX(0,MIN(100,CAPTURA!AR46)),"⚠"))</f>
        <v/>
      </c>
      <c r="N46" t="str">
        <f>IF(CAPTURA!AS46="","",IF(AND(ISNUMBER(CAPTURA!AS46),CAPTURA!AS46&gt;=0,CAPTURA!AS46&lt;=4),CAPTURA!AS46*25,"⚠"))</f>
        <v/>
      </c>
      <c r="O46" t="str">
        <f>IF(CAPTURA!AT46="","",IFERROR(IF(INDEX(CODIFICACION!$E$2:$E$500,MATCH("D2.8|"&amp;CAPTURA!AT46,CODIFICACION!$F$2:$F$500,0))="sin dato","",INDEX(CODIFICACION!$E$2:$E$500,MATCH("D2.8|"&amp;CAPTURA!AT46,CODIFICACION!$F$2:$F$500,0))),"⚠"))</f>
        <v/>
      </c>
      <c r="P46" t="str">
        <f>IF(CAPTURA!AU46="","",IFERROR(IF(INDEX(CODIFICACION!$E$2:$E$500,MATCH("D2.9|"&amp;CAPTURA!AU46,CODIFICACION!$F$2:$F$500,0))="sin dato","",INDEX(CODIFICACION!$E$2:$E$500,MATCH("D2.9|"&amp;CAPTURA!AU46,CODIFICACION!$F$2:$F$500,0))),"⚠"))</f>
        <v/>
      </c>
      <c r="Q46" t="str">
        <f>IF(CAPTURA!AV46="","",IFERROR(IF(INDEX(CODIFICACION!$E$2:$E$500,MATCH("D2.10|"&amp;CAPTURA!AV46,CODIFICACION!$F$2:$F$500,0))="sin dato","",INDEX(CODIFICACION!$E$2:$E$500,MATCH("D2.10|"&amp;CAPTURA!AV46,CODIFICACION!$F$2:$F$500,0))),"⚠"))</f>
        <v/>
      </c>
      <c r="R46" t="str">
        <f>IF(CAPTURA!AW46="","",IFERROR(IF(INDEX(CODIFICACION!$E$2:$E$500,MATCH("D2.5a|"&amp;CAPTURA!AW46,CODIFICACION!$F$2:$F$500,0))="sin dato","",INDEX(CODIFICACION!$E$2:$E$500,MATCH("D2.5a|"&amp;CAPTURA!AW46,CODIFICACION!$F$2:$F$500,0))),"⚠"))</f>
        <v/>
      </c>
      <c r="S46" t="str">
        <f>IF(CAPTURA!AX46="","",IFERROR(IF(INDEX(CODIFICACION!$E$2:$E$500,MATCH("D2.5b|"&amp;CAPTURA!AX46,CODIFICACION!$F$2:$F$500,0))="sin dato","",INDEX(CODIFICACION!$E$2:$E$500,MATCH("D2.5b|"&amp;CAPTURA!AX46,CODIFICACION!$F$2:$F$500,0))),"⚠"))</f>
        <v/>
      </c>
      <c r="T46" t="str">
        <f>IF(CAPTURA!AY46="","",IF(ISNUMBER(CAPTURA!AY46),MAX(0,MIN(100,CAPTURA!AY46)),"⚠"))</f>
        <v/>
      </c>
      <c r="U46" t="str">
        <f>IF(CAPTURA!AZ46="","",IFERROR(IF(INDEX(CODIFICACION!$E$2:$E$500,MATCH("D3.12|"&amp;CAPTURA!AZ46,CODIFICACION!$F$2:$F$500,0))="sin dato","",INDEX(CODIFICACION!$E$2:$E$500,MATCH("D3.12|"&amp;CAPTURA!AZ46,CODIFICACION!$F$2:$F$500,0))),"⚠"))</f>
        <v/>
      </c>
      <c r="V46" t="str">
        <f>IF(CAPTURA!BA46="","",IF(AND(ISNUMBER(CAPTURA!BA46),CAPTURA!BA46&gt;=0,CAPTURA!BA46&lt;=4),CAPTURA!BA46*25,"⚠"))</f>
        <v/>
      </c>
      <c r="W46" t="str">
        <f>IF(CAPTURA!BB46="","",IFERROR(IF(INDEX(CODIFICACION!$E$2:$E$500,MATCH("D3.14|"&amp;CAPTURA!BB46,CODIFICACION!$F$2:$F$500,0))="sin dato","",INDEX(CODIFICACION!$E$2:$E$500,MATCH("D3.14|"&amp;CAPTURA!BB46,CODIFICACION!$F$2:$F$500,0))),"⚠"))</f>
        <v/>
      </c>
      <c r="X46" t="str">
        <f>IF(CAPTURA!BC46="","",IFERROR(IF(INDEX(CODIFICACION!$E$2:$E$500,MATCH("D3.14a|"&amp;CAPTURA!BC46,CODIFICACION!$F$2:$F$500,0))="sin dato","",INDEX(CODIFICACION!$E$2:$E$500,MATCH("D3.14a|"&amp;CAPTURA!BC46,CODIFICACION!$F$2:$F$500,0))),"⚠"))</f>
        <v/>
      </c>
      <c r="Y46" t="str">
        <f>IF(CAPTURA!BD46="","",IFERROR(IF(INDEX(CODIFICACION!$E$2:$E$500,MATCH("D3.14b|"&amp;CAPTURA!BD46,CODIFICACION!$F$2:$F$500,0))="sin dato","",INDEX(CODIFICACION!$E$2:$E$500,MATCH("D3.14b|"&amp;CAPTURA!BD46,CODIFICACION!$F$2:$F$500,0))),"⚠"))</f>
        <v/>
      </c>
      <c r="Z46" t="str">
        <f>IF(CAPTURA!BE46="","",IFERROR(IF(INDEX(CODIFICACION!$E$2:$E$500,MATCH("D3.14c|"&amp;CAPTURA!BE46,CODIFICACION!$F$2:$F$500,0))="sin dato","",INDEX(CODIFICACION!$E$2:$E$500,MATCH("D3.14c|"&amp;CAPTURA!BE46,CODIFICACION!$F$2:$F$500,0))),"⚠"))</f>
        <v/>
      </c>
      <c r="AA46" t="str">
        <f>IF(CAPTURA!BF46="","",IFERROR(IF(INDEX(CODIFICACION!$E$2:$E$500,MATCH("D3.14d|"&amp;CAPTURA!BF46,CODIFICACION!$F$2:$F$500,0))="sin dato","",INDEX(CODIFICACION!$E$2:$E$500,MATCH("D3.14d|"&amp;CAPTURA!BF46,CODIFICACION!$F$2:$F$500,0))),"⚠"))</f>
        <v/>
      </c>
      <c r="AB46" t="str">
        <f>IF(CAPTURA!BG46="","",IFERROR(IF(INDEX(CODIFICACION!$E$2:$E$500,MATCH("D3.14e|"&amp;CAPTURA!BG46,CODIFICACION!$F$2:$F$500,0))="sin dato","",INDEX(CODIFICACION!$E$2:$E$500,MATCH("D3.14e|"&amp;CAPTURA!BG46,CODIFICACION!$F$2:$F$500,0))),"⚠"))</f>
        <v/>
      </c>
      <c r="AC46" t="str">
        <f>IF(CAPTURA!BH46="","",IFERROR(IF(INDEX(CODIFICACION!$E$2:$E$500,MATCH("D3.14f|"&amp;CAPTURA!BH46,CODIFICACION!$F$2:$F$500,0))="sin dato","",INDEX(CODIFICACION!$E$2:$E$500,MATCH("D3.14f|"&amp;CAPTURA!BH46,CODIFICACION!$F$2:$F$500,0))),"⚠"))</f>
        <v/>
      </c>
      <c r="AD46" t="str">
        <f>IF(CAPTURA!BI46="","",IFERROR(IF(INDEX(CODIFICACION!$E$2:$E$500,MATCH("D3.14g|"&amp;CAPTURA!BI46,CODIFICACION!$F$2:$F$500,0))="sin dato","",INDEX(CODIFICACION!$E$2:$E$500,MATCH("D3.14g|"&amp;CAPTURA!BI46,CODIFICACION!$F$2:$F$500,0))),"⚠"))</f>
        <v/>
      </c>
      <c r="AE46" t="str">
        <f>IF(CAPTURA!BJ46="","",IFERROR(IF(INDEX(CODIFICACION!$E$2:$E$500,MATCH("D3.14h|"&amp;CAPTURA!BJ46,CODIFICACION!$F$2:$F$500,0))="sin dato","",INDEX(CODIFICACION!$E$2:$E$500,MATCH("D3.14h|"&amp;CAPTURA!BJ46,CODIFICACION!$F$2:$F$500,0))),"⚠"))</f>
        <v/>
      </c>
      <c r="AF46" t="str">
        <f>IF(CAPTURA!BK46="","",IFERROR(IF(INDEX(CODIFICACION!$E$2:$E$500,MATCH("D3.14i|"&amp;CAPTURA!BK46,CODIFICACION!$F$2:$F$500,0))="sin dato","",INDEX(CODIFICACION!$E$2:$E$500,MATCH("D3.14i|"&amp;CAPTURA!BK46,CODIFICACION!$F$2:$F$500,0))),"⚠"))</f>
        <v/>
      </c>
      <c r="AG46" t="str">
        <f>IF(CAPTURA!BL46="","",IFERROR(IF(INDEX(CODIFICACION!$E$2:$E$500,MATCH("D4.15|"&amp;CAPTURA!BL46,CODIFICACION!$F$2:$F$500,0))="sin dato","",INDEX(CODIFICACION!$E$2:$E$500,MATCH("D4.15|"&amp;CAPTURA!BL46,CODIFICACION!$F$2:$F$500,0))),"⚠"))</f>
        <v/>
      </c>
      <c r="AH46" t="str">
        <f>IF(CAPTURA!BM46="","",IF(AND(ISNUMBER(CAPTURA!BM46),CAPTURA!BM46&gt;=0,CAPTURA!BM46&lt;=4),CAPTURA!BM46*25,"⚠"))</f>
        <v/>
      </c>
      <c r="AI46" t="str">
        <f>IF(CAPTURA!BN46="","",IFERROR(IF(INDEX(CODIFICACION!$E$2:$E$500,MATCH("D4.17|"&amp;CAPTURA!BN46,CODIFICACION!$F$2:$F$500,0))="sin dato","",INDEX(CODIFICACION!$E$2:$E$500,MATCH("D4.17|"&amp;CAPTURA!BN46,CODIFICACION!$F$2:$F$500,0))),"⚠"))</f>
        <v/>
      </c>
      <c r="AJ46" t="str">
        <f>IF(CAPTURA!BO46="","",IFERROR(IF(INDEX(CODIFICACION!$E$2:$E$500,MATCH("D4.15a|"&amp;CAPTURA!BO46,CODIFICACION!$F$2:$F$500,0))="sin dato","",INDEX(CODIFICACION!$E$2:$E$500,MATCH("D4.15a|"&amp;CAPTURA!BO46,CODIFICACION!$F$2:$F$500,0))),"⚠"))</f>
        <v/>
      </c>
      <c r="AK46" t="str">
        <f>IF(CAPTURA!BP46="","",IF(AND(ISNUMBER(CAPTURA!BP46),CAPTURA!BP46&gt;=0,CAPTURA!BP46&lt;=4),CAPTURA!BP46*25,"⚠"))</f>
        <v/>
      </c>
      <c r="AL46" t="str">
        <f>IF(CAPTURA!BQ46="","",IF(AND(ISNUMBER(CAPTURA!BQ46),CAPTURA!BQ46&gt;=0,CAPTURA!BQ46&lt;=4),CAPTURA!BQ46*25,"⚠"))</f>
        <v/>
      </c>
      <c r="AM46" t="str">
        <f>IF(CAPTURA!BR46="","",IFERROR(IF(INDEX(CODIFICACION!$E$2:$E$500,MATCH("D5.18b|"&amp;CAPTURA!BR46,CODIFICACION!$F$2:$F$500,0))="sin dato","",INDEX(CODIFICACION!$E$2:$E$500,MATCH("D5.18b|"&amp;CAPTURA!BR46,CODIFICACION!$F$2:$F$500,0))),"⚠"))</f>
        <v/>
      </c>
      <c r="AN46" t="str">
        <f>IF(CAPTURA!BS46="","",IFERROR(IF(INDEX(CODIFICACION!$E$2:$E$500,MATCH("D5.19|"&amp;CAPTURA!BS46,CODIFICACION!$F$2:$F$500,0))="sin dato","",INDEX(CODIFICACION!$E$2:$E$500,MATCH("D5.19|"&amp;CAPTURA!BS46,CODIFICACION!$F$2:$F$500,0))),"⚠"))</f>
        <v/>
      </c>
      <c r="AO46" t="str">
        <f>IF(CAPTURA!BT46="","",MIN(100,ROUND((LEN(CAPTURA!BT46)-LEN(SUBSTITUTE(CAPTURA!BT46,";",""))+1)/7*100,1)))</f>
        <v/>
      </c>
      <c r="AP46" t="str">
        <f>IF(CAPTURA!BU46="","",IFERROR(IF(INDEX(CODIFICACION!$E$2:$E$500,MATCH("D5.20|"&amp;CAPTURA!BU46,CODIFICACION!$F$2:$F$500,0))="sin dato","",INDEX(CODIFICACION!$E$2:$E$500,MATCH("D5.20|"&amp;CAPTURA!BU46,CODIFICACION!$F$2:$F$500,0))),"⚠"))</f>
        <v/>
      </c>
      <c r="AQ46" t="str">
        <f>IF(CAPTURA!BV46="","",IFERROR(IF(INDEX(CODIFICACION!$E$2:$E$500,MATCH("D5.21|"&amp;CAPTURA!BV46,CODIFICACION!$F$2:$F$500,0))="sin dato","",INDEX(CODIFICACION!$E$2:$E$500,MATCH("D5.21|"&amp;CAPTURA!BV46,CODIFICACION!$F$2:$F$500,0))),"⚠"))</f>
        <v/>
      </c>
      <c r="AR46" t="str">
        <f>IF(CAPTURA!BW46="","",IFERROR(IF(INDEX(CODIFICACION!$E$2:$E$500,MATCH("D5.21a|"&amp;CAPTURA!BW46,CODIFICACION!$F$2:$F$500,0))="sin dato","",INDEX(CODIFICACION!$E$2:$E$500,MATCH("D5.21a|"&amp;CAPTURA!BW46,CODIFICACION!$F$2:$F$500,0))),"⚠"))</f>
        <v/>
      </c>
      <c r="AS46" t="str">
        <f>IF(CAPTURA!BX46="","",IFERROR(IF(INDEX(CODIFICACION!$E$2:$E$500,MATCH("D5.21b|"&amp;CAPTURA!BX46,CODIFICACION!$F$2:$F$500,0))="sin dato","",INDEX(CODIFICACION!$E$2:$E$500,MATCH("D5.21b|"&amp;CAPTURA!BX46,CODIFICACION!$F$2:$F$500,0))),"⚠"))</f>
        <v/>
      </c>
      <c r="AT46" t="str">
        <f>IF(CAPTURA!BY46="","",IFERROR(IF(INDEX(CODIFICACION!$E$2:$E$500,MATCH("D6.22|"&amp;CAPTURA!BY46,CODIFICACION!$F$2:$F$500,0))="sin dato","",INDEX(CODIFICACION!$E$2:$E$500,MATCH("D6.22|"&amp;CAPTURA!BY46,CODIFICACION!$F$2:$F$500,0))),"⚠"))</f>
        <v/>
      </c>
      <c r="AU46" t="str">
        <f>IF(CAPTURA!BZ46="","",IFERROR(IF(INDEX(CODIFICACION!$E$2:$E$500,MATCH("D6.22a|"&amp;CAPTURA!BZ46,CODIFICACION!$F$2:$F$500,0))="sin dato","",INDEX(CODIFICACION!$E$2:$E$500,MATCH("D6.22a|"&amp;CAPTURA!BZ46,CODIFICACION!$F$2:$F$500,0))),"⚠"))</f>
        <v/>
      </c>
      <c r="AV46" t="str">
        <f>IF(CAPTURA!CA46="","",IFERROR(IF(INDEX(CODIFICACION!$E$2:$E$500,MATCH("D6.22b|"&amp;CAPTURA!CA46,CODIFICACION!$F$2:$F$500,0))="sin dato","",INDEX(CODIFICACION!$E$2:$E$500,MATCH("D6.22b|"&amp;CAPTURA!CA46,CODIFICACION!$F$2:$F$500,0))),"⚠"))</f>
        <v/>
      </c>
      <c r="AW46" t="str">
        <f>IF(CAPTURA!CB46="","",IFERROR(IF(INDEX(CODIFICACION!$E$2:$E$500,MATCH("D6.23|"&amp;CAPTURA!CB46,CODIFICACION!$F$2:$F$500,0))="sin dato","",INDEX(CODIFICACION!$E$2:$E$500,MATCH("D6.23|"&amp;CAPTURA!CB46,CODIFICACION!$F$2:$F$500,0))),"⚠"))</f>
        <v/>
      </c>
      <c r="AX46" t="str">
        <f>IF(CAPTURA!CC46="","",IFERROR(IF(INDEX(CODIFICACION!$E$2:$E$500,MATCH("D6.24|"&amp;CAPTURA!CC46,CODIFICACION!$F$2:$F$500,0))="sin dato","",INDEX(CODIFICACION!$E$2:$E$500,MATCH("D6.24|"&amp;CAPTURA!CC46,CODIFICACION!$F$2:$F$500,0))),"⚠"))</f>
        <v/>
      </c>
      <c r="AY46" t="str">
        <f>IF(CAPTURA!CD46="","",IFERROR(IF(INDEX(CODIFICACION!$E$2:$E$500,MATCH("D6.25|"&amp;CAPTURA!CD46,CODIFICACION!$F$2:$F$500,0))="sin dato","",INDEX(CODIFICACION!$E$2:$E$500,MATCH("D6.25|"&amp;CAPTURA!CD46,CODIFICACION!$F$2:$F$500,0))),"⚠"))</f>
        <v/>
      </c>
      <c r="AZ46" t="str">
        <f>IF(CAPTURA!CE46="","",IFERROR(IF(INDEX(CODIFICACION!$E$2:$E$500,MATCH("D6.25a|"&amp;CAPTURA!CE46,CODIFICACION!$F$2:$F$500,0))="sin dato","",INDEX(CODIFICACION!$E$2:$E$500,MATCH("D6.25a|"&amp;CAPTURA!CE46,CODIFICACION!$F$2:$F$500,0))),"⚠"))</f>
        <v/>
      </c>
      <c r="BA46" t="str">
        <f>IF(CAPTURA!CF46="","",IFERROR(IF(INDEX(CODIFICACION!$E$2:$E$500,MATCH("D6.25b|"&amp;CAPTURA!CF46,CODIFICACION!$F$2:$F$500,0))="sin dato","",INDEX(CODIFICACION!$E$2:$E$500,MATCH("D6.25b|"&amp;CAPTURA!CF46,CODIFICACION!$F$2:$F$500,0))),"⚠"))</f>
        <v/>
      </c>
      <c r="BB46" t="str">
        <f>IF(CAPTURA!CG46="","",IFERROR(IF(INDEX(CODIFICACION!$E$2:$E$500,MATCH("D6.22c|"&amp;CAPTURA!CG46,CODIFICACION!$F$2:$F$500,0))="sin dato","",INDEX(CODIFICACION!$E$2:$E$500,MATCH("D6.22c|"&amp;CAPTURA!CG46,CODIFICACION!$F$2:$F$500,0))),"⚠"))</f>
        <v/>
      </c>
      <c r="BC46" t="str">
        <f>IF(CAPTURA!CH46="","",IFERROR(IF(INDEX(CODIFICACION!$E$2:$E$500,MATCH("D7.26|"&amp;CAPTURA!CH46,CODIFICACION!$F$2:$F$500,0))="sin dato","",INDEX(CODIFICACION!$E$2:$E$500,MATCH("D7.26|"&amp;CAPTURA!CH46,CODIFICACION!$F$2:$F$500,0))),"⚠"))</f>
        <v/>
      </c>
      <c r="BD46" t="str">
        <f>IF(CAPTURA!CI46="","",IFERROR(IF(INDEX(CODIFICACION!$E$2:$E$500,MATCH("D7.27|"&amp;CAPTURA!CI46,CODIFICACION!$F$2:$F$500,0))="sin dato","",INDEX(CODIFICACION!$E$2:$E$500,MATCH("D7.27|"&amp;CAPTURA!CI46,CODIFICACION!$F$2:$F$500,0))),"⚠"))</f>
        <v/>
      </c>
      <c r="BE46" t="str">
        <f>IF(CAPTURA!CJ46="","",IFERROR(IF(INDEX(CODIFICACION!$E$2:$E$500,MATCH("D7.28|"&amp;CAPTURA!CJ46,CODIFICACION!$F$2:$F$500,0))="sin dato","",INDEX(CODIFICACION!$E$2:$E$500,MATCH("D7.28|"&amp;CAPTURA!CJ46,CODIFICACION!$F$2:$F$500,0))),"⚠"))</f>
        <v/>
      </c>
      <c r="BF46" t="str">
        <f>IF(CAPTURA!CK46="","",IFERROR(IF(INDEX(CODIFICACION!$E$2:$E$500,MATCH("D7.28b|"&amp;CAPTURA!CK46,CODIFICACION!$F$2:$F$500,0))="sin dato","",INDEX(CODIFICACION!$E$2:$E$500,MATCH("D7.28b|"&amp;CAPTURA!CK46,CODIFICACION!$F$2:$F$500,0))),"⚠"))</f>
        <v/>
      </c>
      <c r="BG46" t="str">
        <f>IF(CAPTURA!CL46="","",MIN(100,ROUND((LEN(CAPTURA!CL46)-LEN(SUBSTITUTE(CAPTURA!CL46,";",""))+1)/8*100,1)))</f>
        <v/>
      </c>
      <c r="BH46" t="str">
        <f>IF(CAPTURA!CM46="","",IFERROR(IF(INDEX(CODIFICACION!$E$2:$E$500,MATCH("D7.26a|"&amp;CAPTURA!CM46,CODIFICACION!$F$2:$F$500,0))="sin dato","",INDEX(CODIFICACION!$E$2:$E$500,MATCH("D7.26a|"&amp;CAPTURA!CM46,CODIFICACION!$F$2:$F$500,0))),"⚠"))</f>
        <v/>
      </c>
      <c r="BI46" t="str">
        <f>IF(CAPTURA!CN46="","",IFERROR(IF(INDEX(CODIFICACION!$E$2:$E$500,MATCH("D7.26b|"&amp;CAPTURA!CN46,CODIFICACION!$F$2:$F$500,0))="sin dato","",INDEX(CODIFICACION!$E$2:$E$500,MATCH("D7.26b|"&amp;CAPTURA!CN46,CODIFICACION!$F$2:$F$500,0))),"⚠"))</f>
        <v/>
      </c>
      <c r="BJ46" t="str">
        <f>IF(CAPTURA!CO46="","",IF(AND(ISNUMBER(CAPTURA!CO46),CAPTURA!CO46&gt;=0,CAPTURA!CO46&lt;=4),CAPTURA!CO46*25,"⚠"))</f>
        <v/>
      </c>
      <c r="BK46" t="str">
        <f>IF(CAPTURA!CP46="","",IF(ISNUMBER(CAPTURA!CP46),MAX(0,MIN(100,CAPTURA!CP46)),"⚠"))</f>
        <v/>
      </c>
      <c r="BL46" t="str">
        <f>IF(CAPTURA!CQ46="","",IFERROR(IF(INDEX(CODIFICACION!$E$2:$E$500,MATCH("D8.31|"&amp;CAPTURA!CQ46,CODIFICACION!$F$2:$F$500,0))="sin dato","",INDEX(CODIFICACION!$E$2:$E$500,MATCH("D8.31|"&amp;CAPTURA!CQ46,CODIFICACION!$F$2:$F$500,0))),"⚠"))</f>
        <v/>
      </c>
      <c r="BM46" t="str">
        <f>IF(CAPTURA!CR46="","",IFERROR(IF(INDEX(CODIFICACION!$E$2:$E$500,MATCH("D8.32|"&amp;CAPTURA!CR46,CODIFICACION!$F$2:$F$500,0))="sin dato","",INDEX(CODIFICACION!$E$2:$E$500,MATCH("D8.32|"&amp;CAPTURA!CR46,CODIFICACION!$F$2:$F$500,0))),"⚠"))</f>
        <v/>
      </c>
      <c r="BN46" t="str">
        <f>IF(CAPTURA!CS46="","",IFERROR(IF(INDEX(CODIFICACION!$E$2:$E$500,MATCH("D9.33|"&amp;CAPTURA!CS46,CODIFICACION!$F$2:$F$500,0))="sin dato","",INDEX(CODIFICACION!$E$2:$E$500,MATCH("D9.33|"&amp;CAPTURA!CS46,CODIFICACION!$F$2:$F$500,0))),"⚠"))</f>
        <v/>
      </c>
      <c r="BO46" t="str">
        <f>IF(CAPTURA!CT46="","",IFERROR(IF(INDEX(CODIFICACION!$E$2:$E$500,MATCH("D9.34|"&amp;CAPTURA!CT46,CODIFICACION!$F$2:$F$500,0))="sin dato","",INDEX(CODIFICACION!$E$2:$E$500,MATCH("D9.34|"&amp;CAPTURA!CT46,CODIFICACION!$F$2:$F$500,0))),"⚠"))</f>
        <v/>
      </c>
      <c r="BP46" t="str">
        <f>IF(CAPTURA!CU46="","",IFERROR(IF(INDEX(CODIFICACION!$E$2:$E$500,MATCH("D9.35|"&amp;CAPTURA!CU46,CODIFICACION!$F$2:$F$500,0))="sin dato","",INDEX(CODIFICACION!$E$2:$E$500,MATCH("D9.35|"&amp;CAPTURA!CU46,CODIFICACION!$F$2:$F$500,0))),"⚠"))</f>
        <v/>
      </c>
      <c r="BQ46" t="str">
        <f>IF(CAPTURA!CV46="","",IFERROR(IF(INDEX(CODIFICACION!$E$2:$E$500,MATCH("D10.36|"&amp;CAPTURA!CV46,CODIFICACION!$F$2:$F$500,0))="sin dato","",INDEX(CODIFICACION!$E$2:$E$500,MATCH("D10.36|"&amp;CAPTURA!CV46,CODIFICACION!$F$2:$F$500,0))),"⚠"))</f>
        <v/>
      </c>
      <c r="BR46" t="str">
        <f>IF(CAPTURA!CW46="","",IFERROR(IF(INDEX(CODIFICACION!$E$2:$E$500,MATCH("D10.37|"&amp;CAPTURA!CW46,CODIFICACION!$F$2:$F$500,0))="sin dato","",INDEX(CODIFICACION!$E$2:$E$500,MATCH("D10.37|"&amp;CAPTURA!CW46,CODIFICACION!$F$2:$F$500,0))),"⚠"))</f>
        <v/>
      </c>
      <c r="BS46" t="str">
        <f>IF(CAPTURA!CX46="","",IFERROR(IF(INDEX(CODIFICACION!$E$2:$E$500,MATCH("D10.36a|"&amp;CAPTURA!CX46,CODIFICACION!$F$2:$F$500,0))="sin dato","",INDEX(CODIFICACION!$E$2:$E$500,MATCH("D10.36a|"&amp;CAPTURA!CX46,CODIFICACION!$F$2:$F$500,0))),"⚠"))</f>
        <v/>
      </c>
      <c r="BT46" t="str">
        <f>IF(CAPTURA!CY46="","",IF(ISNUMBER(SEARCH("Ninguno",CAPTURA!CY46)),0,MIN(100,ROUND((LEN(CAPTURA!CY46)-LEN(SUBSTITUTE(CAPTURA!CY46,";",""))+1)/6*100,1))))</f>
        <v/>
      </c>
      <c r="BU46" t="str">
        <f>IF(CAPTURA!DA46="","",IFERROR(IF(INDEX(CODIFICACION!$E$2:$E$500,MATCH("D11.39a|"&amp;CAPTURA!DA46,CODIFICACION!$F$2:$F$500,0))="sin dato","",INDEX(CODIFICACION!$E$2:$E$500,MATCH("D11.39a|"&amp;CAPTURA!DA46,CODIFICACION!$F$2:$F$500,0))),"⚠"))</f>
        <v/>
      </c>
      <c r="BV46" t="str">
        <f>IF(CAPTURA!DB46="","",IFERROR(IF(INDEX(CODIFICACION!$E$2:$E$500,MATCH("D12.42|"&amp;CAPTURA!DB46,CODIFICACION!$F$2:$F$500,0))="sin dato","",INDEX(CODIFICACION!$E$2:$E$500,MATCH("D12.42|"&amp;CAPTURA!DB46,CODIFICACION!$F$2:$F$500,0))),"⚠"))</f>
        <v/>
      </c>
      <c r="BW46" t="str">
        <f>IF(CAPTURA!DC46="","",IFERROR(IF(INDEX(CODIFICACION!$E$2:$E$500,MATCH("D13.45|"&amp;CAPTURA!DC46,CODIFICACION!$F$2:$F$500,0))="sin dato","",INDEX(CODIFICACION!$E$2:$E$500,MATCH("D13.45|"&amp;CAPTURA!DC46,CODIFICACION!$F$2:$F$500,0))),"⚠"))</f>
        <v/>
      </c>
      <c r="BX46" t="str">
        <f>IF(CAPTURA!DD46="","",IFERROR(IF(INDEX(CODIFICACION!$E$2:$E$500,MATCH("D14.51|"&amp;CAPTURA!DD46,CODIFICACION!$F$2:$F$500,0))="sin dato","",INDEX(CODIFICACION!$E$2:$E$500,MATCH("D14.51|"&amp;CAPTURA!DD46,CODIFICACION!$F$2:$F$500,0))),"⚠"))</f>
        <v/>
      </c>
      <c r="BY46" t="str">
        <f>IF(CAPTURA!DE46="","",IFERROR(IF(INDEX(CODIFICACION!$E$2:$E$500,MATCH("D15.58|"&amp;CAPTURA!DE46,CODIFICACION!$F$2:$F$500,0))="sin dato","",INDEX(CODIFICACION!$E$2:$E$500,MATCH("D15.58|"&amp;CAPTURA!DE46,CODIFICACION!$F$2:$F$500,0))),"⚠"))</f>
        <v/>
      </c>
      <c r="BZ46" t="str">
        <f>IF(CAPTURA!DF46="","",IFERROR(IF(INDEX(CODIFICACION!$E$2:$E$500,MATCH("PP1|"&amp;CAPTURA!DF46,CODIFICACION!$F$2:$F$500,0))="sin dato","",INDEX(CODIFICACION!$E$2:$E$500,MATCH("PP1|"&amp;CAPTURA!DF46,CODIFICACION!$F$2:$F$500,0))),"⚠"))</f>
        <v/>
      </c>
      <c r="CA46" t="str">
        <f>IF(CAPTURA!DG46="","",IFERROR(IF(INDEX(CODIFICACION!$E$2:$E$500,MATCH("PP2|"&amp;CAPTURA!DG46,CODIFICACION!$F$2:$F$500,0))="sin dato","",INDEX(CODIFICACION!$E$2:$E$500,MATCH("PP2|"&amp;CAPTURA!DG46,CODIFICACION!$F$2:$F$500,0))),"⚠"))</f>
        <v/>
      </c>
      <c r="CB46" t="str">
        <f t="shared" si="11"/>
        <v/>
      </c>
      <c r="CC46" t="str">
        <f t="shared" si="12"/>
        <v/>
      </c>
      <c r="CD46" t="str">
        <f t="shared" si="13"/>
        <v/>
      </c>
      <c r="CE46" t="str">
        <f t="shared" si="14"/>
        <v/>
      </c>
      <c r="CF46" t="str">
        <f t="shared" si="15"/>
        <v/>
      </c>
      <c r="CG46" t="str">
        <f t="shared" si="16"/>
        <v/>
      </c>
      <c r="CH46" t="str">
        <f t="shared" si="17"/>
        <v/>
      </c>
      <c r="CI46" t="str">
        <f t="shared" si="18"/>
        <v/>
      </c>
      <c r="CJ46" t="str">
        <f t="shared" si="19"/>
        <v/>
      </c>
      <c r="CK46" t="str">
        <f t="shared" si="20"/>
        <v/>
      </c>
      <c r="CL46" t="str">
        <f t="shared" si="21"/>
        <v/>
      </c>
    </row>
    <row r="47" spans="1:90" x14ac:dyDescent="0.3">
      <c r="A47">
        <f>CAPTURA!A47</f>
        <v>20486876019</v>
      </c>
      <c r="B47">
        <f>CAPTURA!C47</f>
        <v>0</v>
      </c>
      <c r="C47" t="str">
        <f>IF(CAPTURA!M47="","",ROUND((ISNUMBER(SEARCH("Alemania",CAPTURA!M47))+ISNUMBER(SEARCH("Bélgica",CAPTURA!M47))+ISNUMBER(SEARCH("Países Bajos",CAPTURA!M47))+ISNUMBER(SEARCH("Francia",CAPTURA!M47))+ISNUMBER(SEARCH("Italia",CAPTURA!M47))+ISNUMBER(SEARCH("España",CAPTURA!M47))+ISNUMBER(SEARCH("Suecia",CAPTURA!M47))+ISNUMBER(SEARCH("Dinamarca",CAPTURA!M47)))/((LEN(CAPTURA!M47)-LEN(SUBSTITUTE(CAPTURA!M47,";","")))+1)*100,1))</f>
        <v/>
      </c>
      <c r="D47" t="str">
        <f>IF(CAPTURA!AE47="","",IFERROR(IF(INDEX(CODIFICACION!$E$2:$E$500,MATCH("P8|"&amp;CAPTURA!AE47,CODIFICACION!$F$2:$F$500,0))="sin dato","",INDEX(CODIFICACION!$E$2:$E$500,MATCH("P8|"&amp;CAPTURA!AE47,CODIFICACION!$F$2:$F$500,0))),"⚠"))</f>
        <v/>
      </c>
      <c r="E47" t="str">
        <f>IF(CAPTURA!AG47="","",IFERROR(IF(INDEX(CODIFICACION!$E$2:$E$500,MATCH("P10|"&amp;CAPTURA!AG47,CODIFICACION!$F$2:$F$500,0))="sin dato","",INDEX(CODIFICACION!$E$2:$E$500,MATCH("P10|"&amp;CAPTURA!AG47,CODIFICACION!$F$2:$F$500,0))),"⚠"))</f>
        <v/>
      </c>
      <c r="F47" t="str">
        <f>IF(CAPTURA!AJ47="","",IFERROR(IF(INDEX(CODIFICACION!$E$2:$E$500,MATCH("P13|"&amp;CAPTURA!AJ47,CODIFICACION!$F$2:$F$500,0))="sin dato","",INDEX(CODIFICACION!$E$2:$E$500,MATCH("P13|"&amp;CAPTURA!AJ47,CODIFICACION!$F$2:$F$500,0))),"⚠"))</f>
        <v/>
      </c>
      <c r="G47" t="str">
        <f>IF(CAPTURA!AK47="","",IFERROR(IF(INDEX(CODIFICACION!$E$2:$E$500,MATCH("P14|"&amp;CAPTURA!AK47,CODIFICACION!$F$2:$F$500,0))="sin dato","",INDEX(CODIFICACION!$E$2:$E$500,MATCH("P14|"&amp;CAPTURA!AK47,CODIFICACION!$F$2:$F$500,0))),"⚠"))</f>
        <v/>
      </c>
      <c r="H47" t="str">
        <f>IF(CAPTURA!AL47="","",IFERROR(IF(INDEX(CODIFICACION!$E$2:$E$500,MATCH("D1.1|"&amp;CAPTURA!AL47,CODIFICACION!$F$2:$F$500,0))="sin dato","",INDEX(CODIFICACION!$E$2:$E$500,MATCH("D1.1|"&amp;CAPTURA!AL47,CODIFICACION!$F$2:$F$500,0))),"⚠"))</f>
        <v/>
      </c>
      <c r="I47" t="str">
        <f>IF(CAPTURA!AN47="","",IFERROR(IF(INDEX(CODIFICACION!$E$2:$E$500,MATCH("D1.3|"&amp;CAPTURA!AN47,CODIFICACION!$F$2:$F$500,0))="sin dato","",INDEX(CODIFICACION!$E$2:$E$500,MATCH("D1.3|"&amp;CAPTURA!AN47,CODIFICACION!$F$2:$F$500,0))),"⚠"))</f>
        <v/>
      </c>
      <c r="J47" t="str">
        <f>IF(CAPTURA!AO47="","",IFERROR(IF(INDEX(CODIFICACION!$E$2:$E$500,MATCH("D1.4|"&amp;CAPTURA!AO47,CODIFICACION!$F$2:$F$500,0))="sin dato","",INDEX(CODIFICACION!$E$2:$E$500,MATCH("D1.4|"&amp;CAPTURA!AO47,CODIFICACION!$F$2:$F$500,0))),"⚠"))</f>
        <v/>
      </c>
      <c r="K47" t="str">
        <f>IF(CAPTURA!AP47="","",IFERROR(IF(INDEX(CODIFICACION!$E$2:$E$500,MATCH("D1.3a|"&amp;CAPTURA!AP47,CODIFICACION!$F$2:$F$500,0))="sin dato","",INDEX(CODIFICACION!$E$2:$E$500,MATCH("D1.3a|"&amp;CAPTURA!AP47,CODIFICACION!$F$2:$F$500,0))),"⚠"))</f>
        <v/>
      </c>
      <c r="L47" t="str">
        <f>IF(CAPTURA!AQ47="","",IF(AND(ISNUMBER(CAPTURA!AQ47),CAPTURA!AQ47&gt;=0,CAPTURA!AQ47&lt;=4),CAPTURA!AQ47*25,"⚠"))</f>
        <v/>
      </c>
      <c r="M47" t="str">
        <f>IF(CAPTURA!AR47="","",IF(ISNUMBER(CAPTURA!AR47),MAX(0,MIN(100,CAPTURA!AR47)),"⚠"))</f>
        <v/>
      </c>
      <c r="N47" t="str">
        <f>IF(CAPTURA!AS47="","",IF(AND(ISNUMBER(CAPTURA!AS47),CAPTURA!AS47&gt;=0,CAPTURA!AS47&lt;=4),CAPTURA!AS47*25,"⚠"))</f>
        <v/>
      </c>
      <c r="O47" t="str">
        <f>IF(CAPTURA!AT47="","",IFERROR(IF(INDEX(CODIFICACION!$E$2:$E$500,MATCH("D2.8|"&amp;CAPTURA!AT47,CODIFICACION!$F$2:$F$500,0))="sin dato","",INDEX(CODIFICACION!$E$2:$E$500,MATCH("D2.8|"&amp;CAPTURA!AT47,CODIFICACION!$F$2:$F$500,0))),"⚠"))</f>
        <v/>
      </c>
      <c r="P47" t="str">
        <f>IF(CAPTURA!AU47="","",IFERROR(IF(INDEX(CODIFICACION!$E$2:$E$500,MATCH("D2.9|"&amp;CAPTURA!AU47,CODIFICACION!$F$2:$F$500,0))="sin dato","",INDEX(CODIFICACION!$E$2:$E$500,MATCH("D2.9|"&amp;CAPTURA!AU47,CODIFICACION!$F$2:$F$500,0))),"⚠"))</f>
        <v/>
      </c>
      <c r="Q47" t="str">
        <f>IF(CAPTURA!AV47="","",IFERROR(IF(INDEX(CODIFICACION!$E$2:$E$500,MATCH("D2.10|"&amp;CAPTURA!AV47,CODIFICACION!$F$2:$F$500,0))="sin dato","",INDEX(CODIFICACION!$E$2:$E$500,MATCH("D2.10|"&amp;CAPTURA!AV47,CODIFICACION!$F$2:$F$500,0))),"⚠"))</f>
        <v/>
      </c>
      <c r="R47" t="str">
        <f>IF(CAPTURA!AW47="","",IFERROR(IF(INDEX(CODIFICACION!$E$2:$E$500,MATCH("D2.5a|"&amp;CAPTURA!AW47,CODIFICACION!$F$2:$F$500,0))="sin dato","",INDEX(CODIFICACION!$E$2:$E$500,MATCH("D2.5a|"&amp;CAPTURA!AW47,CODIFICACION!$F$2:$F$500,0))),"⚠"))</f>
        <v/>
      </c>
      <c r="S47" t="str">
        <f>IF(CAPTURA!AX47="","",IFERROR(IF(INDEX(CODIFICACION!$E$2:$E$500,MATCH("D2.5b|"&amp;CAPTURA!AX47,CODIFICACION!$F$2:$F$500,0))="sin dato","",INDEX(CODIFICACION!$E$2:$E$500,MATCH("D2.5b|"&amp;CAPTURA!AX47,CODIFICACION!$F$2:$F$500,0))),"⚠"))</f>
        <v/>
      </c>
      <c r="T47" t="str">
        <f>IF(CAPTURA!AY47="","",IF(ISNUMBER(CAPTURA!AY47),MAX(0,MIN(100,CAPTURA!AY47)),"⚠"))</f>
        <v/>
      </c>
      <c r="U47" t="str">
        <f>IF(CAPTURA!AZ47="","",IFERROR(IF(INDEX(CODIFICACION!$E$2:$E$500,MATCH("D3.12|"&amp;CAPTURA!AZ47,CODIFICACION!$F$2:$F$500,0))="sin dato","",INDEX(CODIFICACION!$E$2:$E$500,MATCH("D3.12|"&amp;CAPTURA!AZ47,CODIFICACION!$F$2:$F$500,0))),"⚠"))</f>
        <v/>
      </c>
      <c r="V47" t="str">
        <f>IF(CAPTURA!BA47="","",IF(AND(ISNUMBER(CAPTURA!BA47),CAPTURA!BA47&gt;=0,CAPTURA!BA47&lt;=4),CAPTURA!BA47*25,"⚠"))</f>
        <v/>
      </c>
      <c r="W47" t="str">
        <f>IF(CAPTURA!BB47="","",IFERROR(IF(INDEX(CODIFICACION!$E$2:$E$500,MATCH("D3.14|"&amp;CAPTURA!BB47,CODIFICACION!$F$2:$F$500,0))="sin dato","",INDEX(CODIFICACION!$E$2:$E$500,MATCH("D3.14|"&amp;CAPTURA!BB47,CODIFICACION!$F$2:$F$500,0))),"⚠"))</f>
        <v/>
      </c>
      <c r="X47" t="str">
        <f>IF(CAPTURA!BC47="","",IFERROR(IF(INDEX(CODIFICACION!$E$2:$E$500,MATCH("D3.14a|"&amp;CAPTURA!BC47,CODIFICACION!$F$2:$F$500,0))="sin dato","",INDEX(CODIFICACION!$E$2:$E$500,MATCH("D3.14a|"&amp;CAPTURA!BC47,CODIFICACION!$F$2:$F$500,0))),"⚠"))</f>
        <v/>
      </c>
      <c r="Y47" t="str">
        <f>IF(CAPTURA!BD47="","",IFERROR(IF(INDEX(CODIFICACION!$E$2:$E$500,MATCH("D3.14b|"&amp;CAPTURA!BD47,CODIFICACION!$F$2:$F$500,0))="sin dato","",INDEX(CODIFICACION!$E$2:$E$500,MATCH("D3.14b|"&amp;CAPTURA!BD47,CODIFICACION!$F$2:$F$500,0))),"⚠"))</f>
        <v/>
      </c>
      <c r="Z47" t="str">
        <f>IF(CAPTURA!BE47="","",IFERROR(IF(INDEX(CODIFICACION!$E$2:$E$500,MATCH("D3.14c|"&amp;CAPTURA!BE47,CODIFICACION!$F$2:$F$500,0))="sin dato","",INDEX(CODIFICACION!$E$2:$E$500,MATCH("D3.14c|"&amp;CAPTURA!BE47,CODIFICACION!$F$2:$F$500,0))),"⚠"))</f>
        <v/>
      </c>
      <c r="AA47" t="str">
        <f>IF(CAPTURA!BF47="","",IFERROR(IF(INDEX(CODIFICACION!$E$2:$E$500,MATCH("D3.14d|"&amp;CAPTURA!BF47,CODIFICACION!$F$2:$F$500,0))="sin dato","",INDEX(CODIFICACION!$E$2:$E$500,MATCH("D3.14d|"&amp;CAPTURA!BF47,CODIFICACION!$F$2:$F$500,0))),"⚠"))</f>
        <v/>
      </c>
      <c r="AB47" t="str">
        <f>IF(CAPTURA!BG47="","",IFERROR(IF(INDEX(CODIFICACION!$E$2:$E$500,MATCH("D3.14e|"&amp;CAPTURA!BG47,CODIFICACION!$F$2:$F$500,0))="sin dato","",INDEX(CODIFICACION!$E$2:$E$500,MATCH("D3.14e|"&amp;CAPTURA!BG47,CODIFICACION!$F$2:$F$500,0))),"⚠"))</f>
        <v/>
      </c>
      <c r="AC47" t="str">
        <f>IF(CAPTURA!BH47="","",IFERROR(IF(INDEX(CODIFICACION!$E$2:$E$500,MATCH("D3.14f|"&amp;CAPTURA!BH47,CODIFICACION!$F$2:$F$500,0))="sin dato","",INDEX(CODIFICACION!$E$2:$E$500,MATCH("D3.14f|"&amp;CAPTURA!BH47,CODIFICACION!$F$2:$F$500,0))),"⚠"))</f>
        <v/>
      </c>
      <c r="AD47" t="str">
        <f>IF(CAPTURA!BI47="","",IFERROR(IF(INDEX(CODIFICACION!$E$2:$E$500,MATCH("D3.14g|"&amp;CAPTURA!BI47,CODIFICACION!$F$2:$F$500,0))="sin dato","",INDEX(CODIFICACION!$E$2:$E$500,MATCH("D3.14g|"&amp;CAPTURA!BI47,CODIFICACION!$F$2:$F$500,0))),"⚠"))</f>
        <v/>
      </c>
      <c r="AE47" t="str">
        <f>IF(CAPTURA!BJ47="","",IFERROR(IF(INDEX(CODIFICACION!$E$2:$E$500,MATCH("D3.14h|"&amp;CAPTURA!BJ47,CODIFICACION!$F$2:$F$500,0))="sin dato","",INDEX(CODIFICACION!$E$2:$E$500,MATCH("D3.14h|"&amp;CAPTURA!BJ47,CODIFICACION!$F$2:$F$500,0))),"⚠"))</f>
        <v/>
      </c>
      <c r="AF47" t="str">
        <f>IF(CAPTURA!BK47="","",IFERROR(IF(INDEX(CODIFICACION!$E$2:$E$500,MATCH("D3.14i|"&amp;CAPTURA!BK47,CODIFICACION!$F$2:$F$500,0))="sin dato","",INDEX(CODIFICACION!$E$2:$E$500,MATCH("D3.14i|"&amp;CAPTURA!BK47,CODIFICACION!$F$2:$F$500,0))),"⚠"))</f>
        <v/>
      </c>
      <c r="AG47" t="str">
        <f>IF(CAPTURA!BL47="","",IFERROR(IF(INDEX(CODIFICACION!$E$2:$E$500,MATCH("D4.15|"&amp;CAPTURA!BL47,CODIFICACION!$F$2:$F$500,0))="sin dato","",INDEX(CODIFICACION!$E$2:$E$500,MATCH("D4.15|"&amp;CAPTURA!BL47,CODIFICACION!$F$2:$F$500,0))),"⚠"))</f>
        <v/>
      </c>
      <c r="AH47" t="str">
        <f>IF(CAPTURA!BM47="","",IF(AND(ISNUMBER(CAPTURA!BM47),CAPTURA!BM47&gt;=0,CAPTURA!BM47&lt;=4),CAPTURA!BM47*25,"⚠"))</f>
        <v/>
      </c>
      <c r="AI47" t="str">
        <f>IF(CAPTURA!BN47="","",IFERROR(IF(INDEX(CODIFICACION!$E$2:$E$500,MATCH("D4.17|"&amp;CAPTURA!BN47,CODIFICACION!$F$2:$F$500,0))="sin dato","",INDEX(CODIFICACION!$E$2:$E$500,MATCH("D4.17|"&amp;CAPTURA!BN47,CODIFICACION!$F$2:$F$500,0))),"⚠"))</f>
        <v/>
      </c>
      <c r="AJ47" t="str">
        <f>IF(CAPTURA!BO47="","",IFERROR(IF(INDEX(CODIFICACION!$E$2:$E$500,MATCH("D4.15a|"&amp;CAPTURA!BO47,CODIFICACION!$F$2:$F$500,0))="sin dato","",INDEX(CODIFICACION!$E$2:$E$500,MATCH("D4.15a|"&amp;CAPTURA!BO47,CODIFICACION!$F$2:$F$500,0))),"⚠"))</f>
        <v/>
      </c>
      <c r="AK47" t="str">
        <f>IF(CAPTURA!BP47="","",IF(AND(ISNUMBER(CAPTURA!BP47),CAPTURA!BP47&gt;=0,CAPTURA!BP47&lt;=4),CAPTURA!BP47*25,"⚠"))</f>
        <v/>
      </c>
      <c r="AL47" t="str">
        <f>IF(CAPTURA!BQ47="","",IF(AND(ISNUMBER(CAPTURA!BQ47),CAPTURA!BQ47&gt;=0,CAPTURA!BQ47&lt;=4),CAPTURA!BQ47*25,"⚠"))</f>
        <v/>
      </c>
      <c r="AM47" t="str">
        <f>IF(CAPTURA!BR47="","",IFERROR(IF(INDEX(CODIFICACION!$E$2:$E$500,MATCH("D5.18b|"&amp;CAPTURA!BR47,CODIFICACION!$F$2:$F$500,0))="sin dato","",INDEX(CODIFICACION!$E$2:$E$500,MATCH("D5.18b|"&amp;CAPTURA!BR47,CODIFICACION!$F$2:$F$500,0))),"⚠"))</f>
        <v/>
      </c>
      <c r="AN47" t="str">
        <f>IF(CAPTURA!BS47="","",IFERROR(IF(INDEX(CODIFICACION!$E$2:$E$500,MATCH("D5.19|"&amp;CAPTURA!BS47,CODIFICACION!$F$2:$F$500,0))="sin dato","",INDEX(CODIFICACION!$E$2:$E$500,MATCH("D5.19|"&amp;CAPTURA!BS47,CODIFICACION!$F$2:$F$500,0))),"⚠"))</f>
        <v/>
      </c>
      <c r="AO47" t="str">
        <f>IF(CAPTURA!BT47="","",MIN(100,ROUND((LEN(CAPTURA!BT47)-LEN(SUBSTITUTE(CAPTURA!BT47,";",""))+1)/7*100,1)))</f>
        <v/>
      </c>
      <c r="AP47" t="str">
        <f>IF(CAPTURA!BU47="","",IFERROR(IF(INDEX(CODIFICACION!$E$2:$E$500,MATCH("D5.20|"&amp;CAPTURA!BU47,CODIFICACION!$F$2:$F$500,0))="sin dato","",INDEX(CODIFICACION!$E$2:$E$500,MATCH("D5.20|"&amp;CAPTURA!BU47,CODIFICACION!$F$2:$F$500,0))),"⚠"))</f>
        <v/>
      </c>
      <c r="AQ47" t="str">
        <f>IF(CAPTURA!BV47="","",IFERROR(IF(INDEX(CODIFICACION!$E$2:$E$500,MATCH("D5.21|"&amp;CAPTURA!BV47,CODIFICACION!$F$2:$F$500,0))="sin dato","",INDEX(CODIFICACION!$E$2:$E$500,MATCH("D5.21|"&amp;CAPTURA!BV47,CODIFICACION!$F$2:$F$500,0))),"⚠"))</f>
        <v/>
      </c>
      <c r="AR47" t="str">
        <f>IF(CAPTURA!BW47="","",IFERROR(IF(INDEX(CODIFICACION!$E$2:$E$500,MATCH("D5.21a|"&amp;CAPTURA!BW47,CODIFICACION!$F$2:$F$500,0))="sin dato","",INDEX(CODIFICACION!$E$2:$E$500,MATCH("D5.21a|"&amp;CAPTURA!BW47,CODIFICACION!$F$2:$F$500,0))),"⚠"))</f>
        <v/>
      </c>
      <c r="AS47" t="str">
        <f>IF(CAPTURA!BX47="","",IFERROR(IF(INDEX(CODIFICACION!$E$2:$E$500,MATCH("D5.21b|"&amp;CAPTURA!BX47,CODIFICACION!$F$2:$F$500,0))="sin dato","",INDEX(CODIFICACION!$E$2:$E$500,MATCH("D5.21b|"&amp;CAPTURA!BX47,CODIFICACION!$F$2:$F$500,0))),"⚠"))</f>
        <v/>
      </c>
      <c r="AT47" t="str">
        <f>IF(CAPTURA!BY47="","",IFERROR(IF(INDEX(CODIFICACION!$E$2:$E$500,MATCH("D6.22|"&amp;CAPTURA!BY47,CODIFICACION!$F$2:$F$500,0))="sin dato","",INDEX(CODIFICACION!$E$2:$E$500,MATCH("D6.22|"&amp;CAPTURA!BY47,CODIFICACION!$F$2:$F$500,0))),"⚠"))</f>
        <v/>
      </c>
      <c r="AU47" t="str">
        <f>IF(CAPTURA!BZ47="","",IFERROR(IF(INDEX(CODIFICACION!$E$2:$E$500,MATCH("D6.22a|"&amp;CAPTURA!BZ47,CODIFICACION!$F$2:$F$500,0))="sin dato","",INDEX(CODIFICACION!$E$2:$E$500,MATCH("D6.22a|"&amp;CAPTURA!BZ47,CODIFICACION!$F$2:$F$500,0))),"⚠"))</f>
        <v/>
      </c>
      <c r="AV47" t="str">
        <f>IF(CAPTURA!CA47="","",IFERROR(IF(INDEX(CODIFICACION!$E$2:$E$500,MATCH("D6.22b|"&amp;CAPTURA!CA47,CODIFICACION!$F$2:$F$500,0))="sin dato","",INDEX(CODIFICACION!$E$2:$E$500,MATCH("D6.22b|"&amp;CAPTURA!CA47,CODIFICACION!$F$2:$F$500,0))),"⚠"))</f>
        <v/>
      </c>
      <c r="AW47" t="str">
        <f>IF(CAPTURA!CB47="","",IFERROR(IF(INDEX(CODIFICACION!$E$2:$E$500,MATCH("D6.23|"&amp;CAPTURA!CB47,CODIFICACION!$F$2:$F$500,0))="sin dato","",INDEX(CODIFICACION!$E$2:$E$500,MATCH("D6.23|"&amp;CAPTURA!CB47,CODIFICACION!$F$2:$F$500,0))),"⚠"))</f>
        <v/>
      </c>
      <c r="AX47" t="str">
        <f>IF(CAPTURA!CC47="","",IFERROR(IF(INDEX(CODIFICACION!$E$2:$E$500,MATCH("D6.24|"&amp;CAPTURA!CC47,CODIFICACION!$F$2:$F$500,0))="sin dato","",INDEX(CODIFICACION!$E$2:$E$500,MATCH("D6.24|"&amp;CAPTURA!CC47,CODIFICACION!$F$2:$F$500,0))),"⚠"))</f>
        <v/>
      </c>
      <c r="AY47" t="str">
        <f>IF(CAPTURA!CD47="","",IFERROR(IF(INDEX(CODIFICACION!$E$2:$E$500,MATCH("D6.25|"&amp;CAPTURA!CD47,CODIFICACION!$F$2:$F$500,0))="sin dato","",INDEX(CODIFICACION!$E$2:$E$500,MATCH("D6.25|"&amp;CAPTURA!CD47,CODIFICACION!$F$2:$F$500,0))),"⚠"))</f>
        <v/>
      </c>
      <c r="AZ47" t="str">
        <f>IF(CAPTURA!CE47="","",IFERROR(IF(INDEX(CODIFICACION!$E$2:$E$500,MATCH("D6.25a|"&amp;CAPTURA!CE47,CODIFICACION!$F$2:$F$500,0))="sin dato","",INDEX(CODIFICACION!$E$2:$E$500,MATCH("D6.25a|"&amp;CAPTURA!CE47,CODIFICACION!$F$2:$F$500,0))),"⚠"))</f>
        <v/>
      </c>
      <c r="BA47" t="str">
        <f>IF(CAPTURA!CF47="","",IFERROR(IF(INDEX(CODIFICACION!$E$2:$E$500,MATCH("D6.25b|"&amp;CAPTURA!CF47,CODIFICACION!$F$2:$F$500,0))="sin dato","",INDEX(CODIFICACION!$E$2:$E$500,MATCH("D6.25b|"&amp;CAPTURA!CF47,CODIFICACION!$F$2:$F$500,0))),"⚠"))</f>
        <v/>
      </c>
      <c r="BB47" t="str">
        <f>IF(CAPTURA!CG47="","",IFERROR(IF(INDEX(CODIFICACION!$E$2:$E$500,MATCH("D6.22c|"&amp;CAPTURA!CG47,CODIFICACION!$F$2:$F$500,0))="sin dato","",INDEX(CODIFICACION!$E$2:$E$500,MATCH("D6.22c|"&amp;CAPTURA!CG47,CODIFICACION!$F$2:$F$500,0))),"⚠"))</f>
        <v/>
      </c>
      <c r="BC47" t="str">
        <f>IF(CAPTURA!CH47="","",IFERROR(IF(INDEX(CODIFICACION!$E$2:$E$500,MATCH("D7.26|"&amp;CAPTURA!CH47,CODIFICACION!$F$2:$F$500,0))="sin dato","",INDEX(CODIFICACION!$E$2:$E$500,MATCH("D7.26|"&amp;CAPTURA!CH47,CODIFICACION!$F$2:$F$500,0))),"⚠"))</f>
        <v/>
      </c>
      <c r="BD47" t="str">
        <f>IF(CAPTURA!CI47="","",IFERROR(IF(INDEX(CODIFICACION!$E$2:$E$500,MATCH("D7.27|"&amp;CAPTURA!CI47,CODIFICACION!$F$2:$F$500,0))="sin dato","",INDEX(CODIFICACION!$E$2:$E$500,MATCH("D7.27|"&amp;CAPTURA!CI47,CODIFICACION!$F$2:$F$500,0))),"⚠"))</f>
        <v/>
      </c>
      <c r="BE47" t="str">
        <f>IF(CAPTURA!CJ47="","",IFERROR(IF(INDEX(CODIFICACION!$E$2:$E$500,MATCH("D7.28|"&amp;CAPTURA!CJ47,CODIFICACION!$F$2:$F$500,0))="sin dato","",INDEX(CODIFICACION!$E$2:$E$500,MATCH("D7.28|"&amp;CAPTURA!CJ47,CODIFICACION!$F$2:$F$500,0))),"⚠"))</f>
        <v/>
      </c>
      <c r="BF47" t="str">
        <f>IF(CAPTURA!CK47="","",IFERROR(IF(INDEX(CODIFICACION!$E$2:$E$500,MATCH("D7.28b|"&amp;CAPTURA!CK47,CODIFICACION!$F$2:$F$500,0))="sin dato","",INDEX(CODIFICACION!$E$2:$E$500,MATCH("D7.28b|"&amp;CAPTURA!CK47,CODIFICACION!$F$2:$F$500,0))),"⚠"))</f>
        <v/>
      </c>
      <c r="BG47" t="str">
        <f>IF(CAPTURA!CL47="","",MIN(100,ROUND((LEN(CAPTURA!CL47)-LEN(SUBSTITUTE(CAPTURA!CL47,";",""))+1)/8*100,1)))</f>
        <v/>
      </c>
      <c r="BH47" t="str">
        <f>IF(CAPTURA!CM47="","",IFERROR(IF(INDEX(CODIFICACION!$E$2:$E$500,MATCH("D7.26a|"&amp;CAPTURA!CM47,CODIFICACION!$F$2:$F$500,0))="sin dato","",INDEX(CODIFICACION!$E$2:$E$500,MATCH("D7.26a|"&amp;CAPTURA!CM47,CODIFICACION!$F$2:$F$500,0))),"⚠"))</f>
        <v/>
      </c>
      <c r="BI47" t="str">
        <f>IF(CAPTURA!CN47="","",IFERROR(IF(INDEX(CODIFICACION!$E$2:$E$500,MATCH("D7.26b|"&amp;CAPTURA!CN47,CODIFICACION!$F$2:$F$500,0))="sin dato","",INDEX(CODIFICACION!$E$2:$E$500,MATCH("D7.26b|"&amp;CAPTURA!CN47,CODIFICACION!$F$2:$F$500,0))),"⚠"))</f>
        <v/>
      </c>
      <c r="BJ47" t="str">
        <f>IF(CAPTURA!CO47="","",IF(AND(ISNUMBER(CAPTURA!CO47),CAPTURA!CO47&gt;=0,CAPTURA!CO47&lt;=4),CAPTURA!CO47*25,"⚠"))</f>
        <v/>
      </c>
      <c r="BK47" t="str">
        <f>IF(CAPTURA!CP47="","",IF(ISNUMBER(CAPTURA!CP47),MAX(0,MIN(100,CAPTURA!CP47)),"⚠"))</f>
        <v/>
      </c>
      <c r="BL47" t="str">
        <f>IF(CAPTURA!CQ47="","",IFERROR(IF(INDEX(CODIFICACION!$E$2:$E$500,MATCH("D8.31|"&amp;CAPTURA!CQ47,CODIFICACION!$F$2:$F$500,0))="sin dato","",INDEX(CODIFICACION!$E$2:$E$500,MATCH("D8.31|"&amp;CAPTURA!CQ47,CODIFICACION!$F$2:$F$500,0))),"⚠"))</f>
        <v/>
      </c>
      <c r="BM47" t="str">
        <f>IF(CAPTURA!CR47="","",IFERROR(IF(INDEX(CODIFICACION!$E$2:$E$500,MATCH("D8.32|"&amp;CAPTURA!CR47,CODIFICACION!$F$2:$F$500,0))="sin dato","",INDEX(CODIFICACION!$E$2:$E$500,MATCH("D8.32|"&amp;CAPTURA!CR47,CODIFICACION!$F$2:$F$500,0))),"⚠"))</f>
        <v/>
      </c>
      <c r="BN47" t="str">
        <f>IF(CAPTURA!CS47="","",IFERROR(IF(INDEX(CODIFICACION!$E$2:$E$500,MATCH("D9.33|"&amp;CAPTURA!CS47,CODIFICACION!$F$2:$F$500,0))="sin dato","",INDEX(CODIFICACION!$E$2:$E$500,MATCH("D9.33|"&amp;CAPTURA!CS47,CODIFICACION!$F$2:$F$500,0))),"⚠"))</f>
        <v/>
      </c>
      <c r="BO47" t="str">
        <f>IF(CAPTURA!CT47="","",IFERROR(IF(INDEX(CODIFICACION!$E$2:$E$500,MATCH("D9.34|"&amp;CAPTURA!CT47,CODIFICACION!$F$2:$F$500,0))="sin dato","",INDEX(CODIFICACION!$E$2:$E$500,MATCH("D9.34|"&amp;CAPTURA!CT47,CODIFICACION!$F$2:$F$500,0))),"⚠"))</f>
        <v/>
      </c>
      <c r="BP47" t="str">
        <f>IF(CAPTURA!CU47="","",IFERROR(IF(INDEX(CODIFICACION!$E$2:$E$500,MATCH("D9.35|"&amp;CAPTURA!CU47,CODIFICACION!$F$2:$F$500,0))="sin dato","",INDEX(CODIFICACION!$E$2:$E$500,MATCH("D9.35|"&amp;CAPTURA!CU47,CODIFICACION!$F$2:$F$500,0))),"⚠"))</f>
        <v/>
      </c>
      <c r="BQ47" t="str">
        <f>IF(CAPTURA!CV47="","",IFERROR(IF(INDEX(CODIFICACION!$E$2:$E$500,MATCH("D10.36|"&amp;CAPTURA!CV47,CODIFICACION!$F$2:$F$500,0))="sin dato","",INDEX(CODIFICACION!$E$2:$E$500,MATCH("D10.36|"&amp;CAPTURA!CV47,CODIFICACION!$F$2:$F$500,0))),"⚠"))</f>
        <v/>
      </c>
      <c r="BR47" t="str">
        <f>IF(CAPTURA!CW47="","",IFERROR(IF(INDEX(CODIFICACION!$E$2:$E$500,MATCH("D10.37|"&amp;CAPTURA!CW47,CODIFICACION!$F$2:$F$500,0))="sin dato","",INDEX(CODIFICACION!$E$2:$E$500,MATCH("D10.37|"&amp;CAPTURA!CW47,CODIFICACION!$F$2:$F$500,0))),"⚠"))</f>
        <v/>
      </c>
      <c r="BS47" t="str">
        <f>IF(CAPTURA!CX47="","",IFERROR(IF(INDEX(CODIFICACION!$E$2:$E$500,MATCH("D10.36a|"&amp;CAPTURA!CX47,CODIFICACION!$F$2:$F$500,0))="sin dato","",INDEX(CODIFICACION!$E$2:$E$500,MATCH("D10.36a|"&amp;CAPTURA!CX47,CODIFICACION!$F$2:$F$500,0))),"⚠"))</f>
        <v/>
      </c>
      <c r="BT47" t="str">
        <f>IF(CAPTURA!CY47="","",IF(ISNUMBER(SEARCH("Ninguno",CAPTURA!CY47)),0,MIN(100,ROUND((LEN(CAPTURA!CY47)-LEN(SUBSTITUTE(CAPTURA!CY47,";",""))+1)/6*100,1))))</f>
        <v/>
      </c>
      <c r="BU47" t="str">
        <f>IF(CAPTURA!DA47="","",IFERROR(IF(INDEX(CODIFICACION!$E$2:$E$500,MATCH("D11.39a|"&amp;CAPTURA!DA47,CODIFICACION!$F$2:$F$500,0))="sin dato","",INDEX(CODIFICACION!$E$2:$E$500,MATCH("D11.39a|"&amp;CAPTURA!DA47,CODIFICACION!$F$2:$F$500,0))),"⚠"))</f>
        <v/>
      </c>
      <c r="BV47" t="str">
        <f>IF(CAPTURA!DB47="","",IFERROR(IF(INDEX(CODIFICACION!$E$2:$E$500,MATCH("D12.42|"&amp;CAPTURA!DB47,CODIFICACION!$F$2:$F$500,0))="sin dato","",INDEX(CODIFICACION!$E$2:$E$500,MATCH("D12.42|"&amp;CAPTURA!DB47,CODIFICACION!$F$2:$F$500,0))),"⚠"))</f>
        <v/>
      </c>
      <c r="BW47" t="str">
        <f>IF(CAPTURA!DC47="","",IFERROR(IF(INDEX(CODIFICACION!$E$2:$E$500,MATCH("D13.45|"&amp;CAPTURA!DC47,CODIFICACION!$F$2:$F$500,0))="sin dato","",INDEX(CODIFICACION!$E$2:$E$500,MATCH("D13.45|"&amp;CAPTURA!DC47,CODIFICACION!$F$2:$F$500,0))),"⚠"))</f>
        <v/>
      </c>
      <c r="BX47" t="str">
        <f>IF(CAPTURA!DD47="","",IFERROR(IF(INDEX(CODIFICACION!$E$2:$E$500,MATCH("D14.51|"&amp;CAPTURA!DD47,CODIFICACION!$F$2:$F$500,0))="sin dato","",INDEX(CODIFICACION!$E$2:$E$500,MATCH("D14.51|"&amp;CAPTURA!DD47,CODIFICACION!$F$2:$F$500,0))),"⚠"))</f>
        <v/>
      </c>
      <c r="BY47" t="str">
        <f>IF(CAPTURA!DE47="","",IFERROR(IF(INDEX(CODIFICACION!$E$2:$E$500,MATCH("D15.58|"&amp;CAPTURA!DE47,CODIFICACION!$F$2:$F$500,0))="sin dato","",INDEX(CODIFICACION!$E$2:$E$500,MATCH("D15.58|"&amp;CAPTURA!DE47,CODIFICACION!$F$2:$F$500,0))),"⚠"))</f>
        <v/>
      </c>
      <c r="BZ47" t="str">
        <f>IF(CAPTURA!DF47="","",IFERROR(IF(INDEX(CODIFICACION!$E$2:$E$500,MATCH("PP1|"&amp;CAPTURA!DF47,CODIFICACION!$F$2:$F$500,0))="sin dato","",INDEX(CODIFICACION!$E$2:$E$500,MATCH("PP1|"&amp;CAPTURA!DF47,CODIFICACION!$F$2:$F$500,0))),"⚠"))</f>
        <v/>
      </c>
      <c r="CA47" t="str">
        <f>IF(CAPTURA!DG47="","",IFERROR(IF(INDEX(CODIFICACION!$E$2:$E$500,MATCH("PP2|"&amp;CAPTURA!DG47,CODIFICACION!$F$2:$F$500,0))="sin dato","",INDEX(CODIFICACION!$E$2:$E$500,MATCH("PP2|"&amp;CAPTURA!DG47,CODIFICACION!$F$2:$F$500,0))),"⚠"))</f>
        <v/>
      </c>
      <c r="CB47" t="str">
        <f t="shared" si="11"/>
        <v/>
      </c>
      <c r="CC47" t="str">
        <f t="shared" si="12"/>
        <v/>
      </c>
      <c r="CD47" t="str">
        <f t="shared" si="13"/>
        <v/>
      </c>
      <c r="CE47" t="str">
        <f t="shared" si="14"/>
        <v/>
      </c>
      <c r="CF47" t="str">
        <f t="shared" si="15"/>
        <v/>
      </c>
      <c r="CG47" t="str">
        <f t="shared" si="16"/>
        <v/>
      </c>
      <c r="CH47" t="str">
        <f t="shared" si="17"/>
        <v/>
      </c>
      <c r="CI47" t="str">
        <f t="shared" si="18"/>
        <v/>
      </c>
      <c r="CJ47" t="str">
        <f t="shared" si="19"/>
        <v/>
      </c>
      <c r="CK47" t="str">
        <f t="shared" si="20"/>
        <v/>
      </c>
      <c r="CL47" t="str">
        <f t="shared" si="21"/>
        <v/>
      </c>
    </row>
    <row r="48" spans="1:90" x14ac:dyDescent="0.3">
      <c r="A48">
        <f>CAPTURA!A48</f>
        <v>20486973219</v>
      </c>
      <c r="B48">
        <f>CAPTURA!C48</f>
        <v>0</v>
      </c>
      <c r="C48" t="str">
        <f>IF(CAPTURA!M48="","",ROUND((ISNUMBER(SEARCH("Alemania",CAPTURA!M48))+ISNUMBER(SEARCH("Bélgica",CAPTURA!M48))+ISNUMBER(SEARCH("Países Bajos",CAPTURA!M48))+ISNUMBER(SEARCH("Francia",CAPTURA!M48))+ISNUMBER(SEARCH("Italia",CAPTURA!M48))+ISNUMBER(SEARCH("España",CAPTURA!M48))+ISNUMBER(SEARCH("Suecia",CAPTURA!M48))+ISNUMBER(SEARCH("Dinamarca",CAPTURA!M48)))/((LEN(CAPTURA!M48)-LEN(SUBSTITUTE(CAPTURA!M48,";","")))+1)*100,1))</f>
        <v/>
      </c>
      <c r="D48" t="str">
        <f>IF(CAPTURA!AE48="","",IFERROR(IF(INDEX(CODIFICACION!$E$2:$E$500,MATCH("P8|"&amp;CAPTURA!AE48,CODIFICACION!$F$2:$F$500,0))="sin dato","",INDEX(CODIFICACION!$E$2:$E$500,MATCH("P8|"&amp;CAPTURA!AE48,CODIFICACION!$F$2:$F$500,0))),"⚠"))</f>
        <v/>
      </c>
      <c r="E48" t="str">
        <f>IF(CAPTURA!AG48="","",IFERROR(IF(INDEX(CODIFICACION!$E$2:$E$500,MATCH("P10|"&amp;CAPTURA!AG48,CODIFICACION!$F$2:$F$500,0))="sin dato","",INDEX(CODIFICACION!$E$2:$E$500,MATCH("P10|"&amp;CAPTURA!AG48,CODIFICACION!$F$2:$F$500,0))),"⚠"))</f>
        <v/>
      </c>
      <c r="F48" t="str">
        <f>IF(CAPTURA!AJ48="","",IFERROR(IF(INDEX(CODIFICACION!$E$2:$E$500,MATCH("P13|"&amp;CAPTURA!AJ48,CODIFICACION!$F$2:$F$500,0))="sin dato","",INDEX(CODIFICACION!$E$2:$E$500,MATCH("P13|"&amp;CAPTURA!AJ48,CODIFICACION!$F$2:$F$500,0))),"⚠"))</f>
        <v/>
      </c>
      <c r="G48" t="str">
        <f>IF(CAPTURA!AK48="","",IFERROR(IF(INDEX(CODIFICACION!$E$2:$E$500,MATCH("P14|"&amp;CAPTURA!AK48,CODIFICACION!$F$2:$F$500,0))="sin dato","",INDEX(CODIFICACION!$E$2:$E$500,MATCH("P14|"&amp;CAPTURA!AK48,CODIFICACION!$F$2:$F$500,0))),"⚠"))</f>
        <v/>
      </c>
      <c r="H48" t="str">
        <f>IF(CAPTURA!AL48="","",IFERROR(IF(INDEX(CODIFICACION!$E$2:$E$500,MATCH("D1.1|"&amp;CAPTURA!AL48,CODIFICACION!$F$2:$F$500,0))="sin dato","",INDEX(CODIFICACION!$E$2:$E$500,MATCH("D1.1|"&amp;CAPTURA!AL48,CODIFICACION!$F$2:$F$500,0))),"⚠"))</f>
        <v/>
      </c>
      <c r="I48" t="str">
        <f>IF(CAPTURA!AN48="","",IFERROR(IF(INDEX(CODIFICACION!$E$2:$E$500,MATCH("D1.3|"&amp;CAPTURA!AN48,CODIFICACION!$F$2:$F$500,0))="sin dato","",INDEX(CODIFICACION!$E$2:$E$500,MATCH("D1.3|"&amp;CAPTURA!AN48,CODIFICACION!$F$2:$F$500,0))),"⚠"))</f>
        <v/>
      </c>
      <c r="J48" t="str">
        <f>IF(CAPTURA!AO48="","",IFERROR(IF(INDEX(CODIFICACION!$E$2:$E$500,MATCH("D1.4|"&amp;CAPTURA!AO48,CODIFICACION!$F$2:$F$500,0))="sin dato","",INDEX(CODIFICACION!$E$2:$E$500,MATCH("D1.4|"&amp;CAPTURA!AO48,CODIFICACION!$F$2:$F$500,0))),"⚠"))</f>
        <v/>
      </c>
      <c r="K48" t="str">
        <f>IF(CAPTURA!AP48="","",IFERROR(IF(INDEX(CODIFICACION!$E$2:$E$500,MATCH("D1.3a|"&amp;CAPTURA!AP48,CODIFICACION!$F$2:$F$500,0))="sin dato","",INDEX(CODIFICACION!$E$2:$E$500,MATCH("D1.3a|"&amp;CAPTURA!AP48,CODIFICACION!$F$2:$F$500,0))),"⚠"))</f>
        <v/>
      </c>
      <c r="L48" t="str">
        <f>IF(CAPTURA!AQ48="","",IF(AND(ISNUMBER(CAPTURA!AQ48),CAPTURA!AQ48&gt;=0,CAPTURA!AQ48&lt;=4),CAPTURA!AQ48*25,"⚠"))</f>
        <v/>
      </c>
      <c r="M48" t="str">
        <f>IF(CAPTURA!AR48="","",IF(ISNUMBER(CAPTURA!AR48),MAX(0,MIN(100,CAPTURA!AR48)),"⚠"))</f>
        <v/>
      </c>
      <c r="N48" t="str">
        <f>IF(CAPTURA!AS48="","",IF(AND(ISNUMBER(CAPTURA!AS48),CAPTURA!AS48&gt;=0,CAPTURA!AS48&lt;=4),CAPTURA!AS48*25,"⚠"))</f>
        <v/>
      </c>
      <c r="O48" t="str">
        <f>IF(CAPTURA!AT48="","",IFERROR(IF(INDEX(CODIFICACION!$E$2:$E$500,MATCH("D2.8|"&amp;CAPTURA!AT48,CODIFICACION!$F$2:$F$500,0))="sin dato","",INDEX(CODIFICACION!$E$2:$E$500,MATCH("D2.8|"&amp;CAPTURA!AT48,CODIFICACION!$F$2:$F$500,0))),"⚠"))</f>
        <v/>
      </c>
      <c r="P48" t="str">
        <f>IF(CAPTURA!AU48="","",IFERROR(IF(INDEX(CODIFICACION!$E$2:$E$500,MATCH("D2.9|"&amp;CAPTURA!AU48,CODIFICACION!$F$2:$F$500,0))="sin dato","",INDEX(CODIFICACION!$E$2:$E$500,MATCH("D2.9|"&amp;CAPTURA!AU48,CODIFICACION!$F$2:$F$500,0))),"⚠"))</f>
        <v/>
      </c>
      <c r="Q48" t="str">
        <f>IF(CAPTURA!AV48="","",IFERROR(IF(INDEX(CODIFICACION!$E$2:$E$500,MATCH("D2.10|"&amp;CAPTURA!AV48,CODIFICACION!$F$2:$F$500,0))="sin dato","",INDEX(CODIFICACION!$E$2:$E$500,MATCH("D2.10|"&amp;CAPTURA!AV48,CODIFICACION!$F$2:$F$500,0))),"⚠"))</f>
        <v/>
      </c>
      <c r="R48" t="str">
        <f>IF(CAPTURA!AW48="","",IFERROR(IF(INDEX(CODIFICACION!$E$2:$E$500,MATCH("D2.5a|"&amp;CAPTURA!AW48,CODIFICACION!$F$2:$F$500,0))="sin dato","",INDEX(CODIFICACION!$E$2:$E$500,MATCH("D2.5a|"&amp;CAPTURA!AW48,CODIFICACION!$F$2:$F$500,0))),"⚠"))</f>
        <v/>
      </c>
      <c r="S48" t="str">
        <f>IF(CAPTURA!AX48="","",IFERROR(IF(INDEX(CODIFICACION!$E$2:$E$500,MATCH("D2.5b|"&amp;CAPTURA!AX48,CODIFICACION!$F$2:$F$500,0))="sin dato","",INDEX(CODIFICACION!$E$2:$E$500,MATCH("D2.5b|"&amp;CAPTURA!AX48,CODIFICACION!$F$2:$F$500,0))),"⚠"))</f>
        <v/>
      </c>
      <c r="T48" t="str">
        <f>IF(CAPTURA!AY48="","",IF(ISNUMBER(CAPTURA!AY48),MAX(0,MIN(100,CAPTURA!AY48)),"⚠"))</f>
        <v/>
      </c>
      <c r="U48" t="str">
        <f>IF(CAPTURA!AZ48="","",IFERROR(IF(INDEX(CODIFICACION!$E$2:$E$500,MATCH("D3.12|"&amp;CAPTURA!AZ48,CODIFICACION!$F$2:$F$500,0))="sin dato","",INDEX(CODIFICACION!$E$2:$E$500,MATCH("D3.12|"&amp;CAPTURA!AZ48,CODIFICACION!$F$2:$F$500,0))),"⚠"))</f>
        <v/>
      </c>
      <c r="V48" t="str">
        <f>IF(CAPTURA!BA48="","",IF(AND(ISNUMBER(CAPTURA!BA48),CAPTURA!BA48&gt;=0,CAPTURA!BA48&lt;=4),CAPTURA!BA48*25,"⚠"))</f>
        <v/>
      </c>
      <c r="W48" t="str">
        <f>IF(CAPTURA!BB48="","",IFERROR(IF(INDEX(CODIFICACION!$E$2:$E$500,MATCH("D3.14|"&amp;CAPTURA!BB48,CODIFICACION!$F$2:$F$500,0))="sin dato","",INDEX(CODIFICACION!$E$2:$E$500,MATCH("D3.14|"&amp;CAPTURA!BB48,CODIFICACION!$F$2:$F$500,0))),"⚠"))</f>
        <v/>
      </c>
      <c r="X48" t="str">
        <f>IF(CAPTURA!BC48="","",IFERROR(IF(INDEX(CODIFICACION!$E$2:$E$500,MATCH("D3.14a|"&amp;CAPTURA!BC48,CODIFICACION!$F$2:$F$500,0))="sin dato","",INDEX(CODIFICACION!$E$2:$E$500,MATCH("D3.14a|"&amp;CAPTURA!BC48,CODIFICACION!$F$2:$F$500,0))),"⚠"))</f>
        <v/>
      </c>
      <c r="Y48" t="str">
        <f>IF(CAPTURA!BD48="","",IFERROR(IF(INDEX(CODIFICACION!$E$2:$E$500,MATCH("D3.14b|"&amp;CAPTURA!BD48,CODIFICACION!$F$2:$F$500,0))="sin dato","",INDEX(CODIFICACION!$E$2:$E$500,MATCH("D3.14b|"&amp;CAPTURA!BD48,CODIFICACION!$F$2:$F$500,0))),"⚠"))</f>
        <v/>
      </c>
      <c r="Z48" t="str">
        <f>IF(CAPTURA!BE48="","",IFERROR(IF(INDEX(CODIFICACION!$E$2:$E$500,MATCH("D3.14c|"&amp;CAPTURA!BE48,CODIFICACION!$F$2:$F$500,0))="sin dato","",INDEX(CODIFICACION!$E$2:$E$500,MATCH("D3.14c|"&amp;CAPTURA!BE48,CODIFICACION!$F$2:$F$500,0))),"⚠"))</f>
        <v/>
      </c>
      <c r="AA48" t="str">
        <f>IF(CAPTURA!BF48="","",IFERROR(IF(INDEX(CODIFICACION!$E$2:$E$500,MATCH("D3.14d|"&amp;CAPTURA!BF48,CODIFICACION!$F$2:$F$500,0))="sin dato","",INDEX(CODIFICACION!$E$2:$E$500,MATCH("D3.14d|"&amp;CAPTURA!BF48,CODIFICACION!$F$2:$F$500,0))),"⚠"))</f>
        <v/>
      </c>
      <c r="AB48" t="str">
        <f>IF(CAPTURA!BG48="","",IFERROR(IF(INDEX(CODIFICACION!$E$2:$E$500,MATCH("D3.14e|"&amp;CAPTURA!BG48,CODIFICACION!$F$2:$F$500,0))="sin dato","",INDEX(CODIFICACION!$E$2:$E$500,MATCH("D3.14e|"&amp;CAPTURA!BG48,CODIFICACION!$F$2:$F$500,0))),"⚠"))</f>
        <v/>
      </c>
      <c r="AC48" t="str">
        <f>IF(CAPTURA!BH48="","",IFERROR(IF(INDEX(CODIFICACION!$E$2:$E$500,MATCH("D3.14f|"&amp;CAPTURA!BH48,CODIFICACION!$F$2:$F$500,0))="sin dato","",INDEX(CODIFICACION!$E$2:$E$500,MATCH("D3.14f|"&amp;CAPTURA!BH48,CODIFICACION!$F$2:$F$500,0))),"⚠"))</f>
        <v/>
      </c>
      <c r="AD48" t="str">
        <f>IF(CAPTURA!BI48="","",IFERROR(IF(INDEX(CODIFICACION!$E$2:$E$500,MATCH("D3.14g|"&amp;CAPTURA!BI48,CODIFICACION!$F$2:$F$500,0))="sin dato","",INDEX(CODIFICACION!$E$2:$E$500,MATCH("D3.14g|"&amp;CAPTURA!BI48,CODIFICACION!$F$2:$F$500,0))),"⚠"))</f>
        <v/>
      </c>
      <c r="AE48" t="str">
        <f>IF(CAPTURA!BJ48="","",IFERROR(IF(INDEX(CODIFICACION!$E$2:$E$500,MATCH("D3.14h|"&amp;CAPTURA!BJ48,CODIFICACION!$F$2:$F$500,0))="sin dato","",INDEX(CODIFICACION!$E$2:$E$500,MATCH("D3.14h|"&amp;CAPTURA!BJ48,CODIFICACION!$F$2:$F$500,0))),"⚠"))</f>
        <v/>
      </c>
      <c r="AF48" t="str">
        <f>IF(CAPTURA!BK48="","",IFERROR(IF(INDEX(CODIFICACION!$E$2:$E$500,MATCH("D3.14i|"&amp;CAPTURA!BK48,CODIFICACION!$F$2:$F$500,0))="sin dato","",INDEX(CODIFICACION!$E$2:$E$500,MATCH("D3.14i|"&amp;CAPTURA!BK48,CODIFICACION!$F$2:$F$500,0))),"⚠"))</f>
        <v/>
      </c>
      <c r="AG48" t="str">
        <f>IF(CAPTURA!BL48="","",IFERROR(IF(INDEX(CODIFICACION!$E$2:$E$500,MATCH("D4.15|"&amp;CAPTURA!BL48,CODIFICACION!$F$2:$F$500,0))="sin dato","",INDEX(CODIFICACION!$E$2:$E$500,MATCH("D4.15|"&amp;CAPTURA!BL48,CODIFICACION!$F$2:$F$500,0))),"⚠"))</f>
        <v/>
      </c>
      <c r="AH48" t="str">
        <f>IF(CAPTURA!BM48="","",IF(AND(ISNUMBER(CAPTURA!BM48),CAPTURA!BM48&gt;=0,CAPTURA!BM48&lt;=4),CAPTURA!BM48*25,"⚠"))</f>
        <v/>
      </c>
      <c r="AI48" t="str">
        <f>IF(CAPTURA!BN48="","",IFERROR(IF(INDEX(CODIFICACION!$E$2:$E$500,MATCH("D4.17|"&amp;CAPTURA!BN48,CODIFICACION!$F$2:$F$500,0))="sin dato","",INDEX(CODIFICACION!$E$2:$E$500,MATCH("D4.17|"&amp;CAPTURA!BN48,CODIFICACION!$F$2:$F$500,0))),"⚠"))</f>
        <v/>
      </c>
      <c r="AJ48" t="str">
        <f>IF(CAPTURA!BO48="","",IFERROR(IF(INDEX(CODIFICACION!$E$2:$E$500,MATCH("D4.15a|"&amp;CAPTURA!BO48,CODIFICACION!$F$2:$F$500,0))="sin dato","",INDEX(CODIFICACION!$E$2:$E$500,MATCH("D4.15a|"&amp;CAPTURA!BO48,CODIFICACION!$F$2:$F$500,0))),"⚠"))</f>
        <v/>
      </c>
      <c r="AK48" t="str">
        <f>IF(CAPTURA!BP48="","",IF(AND(ISNUMBER(CAPTURA!BP48),CAPTURA!BP48&gt;=0,CAPTURA!BP48&lt;=4),CAPTURA!BP48*25,"⚠"))</f>
        <v/>
      </c>
      <c r="AL48" t="str">
        <f>IF(CAPTURA!BQ48="","",IF(AND(ISNUMBER(CAPTURA!BQ48),CAPTURA!BQ48&gt;=0,CAPTURA!BQ48&lt;=4),CAPTURA!BQ48*25,"⚠"))</f>
        <v/>
      </c>
      <c r="AM48" t="str">
        <f>IF(CAPTURA!BR48="","",IFERROR(IF(INDEX(CODIFICACION!$E$2:$E$500,MATCH("D5.18b|"&amp;CAPTURA!BR48,CODIFICACION!$F$2:$F$500,0))="sin dato","",INDEX(CODIFICACION!$E$2:$E$500,MATCH("D5.18b|"&amp;CAPTURA!BR48,CODIFICACION!$F$2:$F$500,0))),"⚠"))</f>
        <v/>
      </c>
      <c r="AN48" t="str">
        <f>IF(CAPTURA!BS48="","",IFERROR(IF(INDEX(CODIFICACION!$E$2:$E$500,MATCH("D5.19|"&amp;CAPTURA!BS48,CODIFICACION!$F$2:$F$500,0))="sin dato","",INDEX(CODIFICACION!$E$2:$E$500,MATCH("D5.19|"&amp;CAPTURA!BS48,CODIFICACION!$F$2:$F$500,0))),"⚠"))</f>
        <v/>
      </c>
      <c r="AO48" t="str">
        <f>IF(CAPTURA!BT48="","",MIN(100,ROUND((LEN(CAPTURA!BT48)-LEN(SUBSTITUTE(CAPTURA!BT48,";",""))+1)/7*100,1)))</f>
        <v/>
      </c>
      <c r="AP48" t="str">
        <f>IF(CAPTURA!BU48="","",IFERROR(IF(INDEX(CODIFICACION!$E$2:$E$500,MATCH("D5.20|"&amp;CAPTURA!BU48,CODIFICACION!$F$2:$F$500,0))="sin dato","",INDEX(CODIFICACION!$E$2:$E$500,MATCH("D5.20|"&amp;CAPTURA!BU48,CODIFICACION!$F$2:$F$500,0))),"⚠"))</f>
        <v/>
      </c>
      <c r="AQ48" t="str">
        <f>IF(CAPTURA!BV48="","",IFERROR(IF(INDEX(CODIFICACION!$E$2:$E$500,MATCH("D5.21|"&amp;CAPTURA!BV48,CODIFICACION!$F$2:$F$500,0))="sin dato","",INDEX(CODIFICACION!$E$2:$E$500,MATCH("D5.21|"&amp;CAPTURA!BV48,CODIFICACION!$F$2:$F$500,0))),"⚠"))</f>
        <v/>
      </c>
      <c r="AR48" t="str">
        <f>IF(CAPTURA!BW48="","",IFERROR(IF(INDEX(CODIFICACION!$E$2:$E$500,MATCH("D5.21a|"&amp;CAPTURA!BW48,CODIFICACION!$F$2:$F$500,0))="sin dato","",INDEX(CODIFICACION!$E$2:$E$500,MATCH("D5.21a|"&amp;CAPTURA!BW48,CODIFICACION!$F$2:$F$500,0))),"⚠"))</f>
        <v/>
      </c>
      <c r="AS48" t="str">
        <f>IF(CAPTURA!BX48="","",IFERROR(IF(INDEX(CODIFICACION!$E$2:$E$500,MATCH("D5.21b|"&amp;CAPTURA!BX48,CODIFICACION!$F$2:$F$500,0))="sin dato","",INDEX(CODIFICACION!$E$2:$E$500,MATCH("D5.21b|"&amp;CAPTURA!BX48,CODIFICACION!$F$2:$F$500,0))),"⚠"))</f>
        <v/>
      </c>
      <c r="AT48" t="str">
        <f>IF(CAPTURA!BY48="","",IFERROR(IF(INDEX(CODIFICACION!$E$2:$E$500,MATCH("D6.22|"&amp;CAPTURA!BY48,CODIFICACION!$F$2:$F$500,0))="sin dato","",INDEX(CODIFICACION!$E$2:$E$500,MATCH("D6.22|"&amp;CAPTURA!BY48,CODIFICACION!$F$2:$F$500,0))),"⚠"))</f>
        <v/>
      </c>
      <c r="AU48" t="str">
        <f>IF(CAPTURA!BZ48="","",IFERROR(IF(INDEX(CODIFICACION!$E$2:$E$500,MATCH("D6.22a|"&amp;CAPTURA!BZ48,CODIFICACION!$F$2:$F$500,0))="sin dato","",INDEX(CODIFICACION!$E$2:$E$500,MATCH("D6.22a|"&amp;CAPTURA!BZ48,CODIFICACION!$F$2:$F$500,0))),"⚠"))</f>
        <v/>
      </c>
      <c r="AV48" t="str">
        <f>IF(CAPTURA!CA48="","",IFERROR(IF(INDEX(CODIFICACION!$E$2:$E$500,MATCH("D6.22b|"&amp;CAPTURA!CA48,CODIFICACION!$F$2:$F$500,0))="sin dato","",INDEX(CODIFICACION!$E$2:$E$500,MATCH("D6.22b|"&amp;CAPTURA!CA48,CODIFICACION!$F$2:$F$500,0))),"⚠"))</f>
        <v/>
      </c>
      <c r="AW48" t="str">
        <f>IF(CAPTURA!CB48="","",IFERROR(IF(INDEX(CODIFICACION!$E$2:$E$500,MATCH("D6.23|"&amp;CAPTURA!CB48,CODIFICACION!$F$2:$F$500,0))="sin dato","",INDEX(CODIFICACION!$E$2:$E$500,MATCH("D6.23|"&amp;CAPTURA!CB48,CODIFICACION!$F$2:$F$500,0))),"⚠"))</f>
        <v/>
      </c>
      <c r="AX48" t="str">
        <f>IF(CAPTURA!CC48="","",IFERROR(IF(INDEX(CODIFICACION!$E$2:$E$500,MATCH("D6.24|"&amp;CAPTURA!CC48,CODIFICACION!$F$2:$F$500,0))="sin dato","",INDEX(CODIFICACION!$E$2:$E$500,MATCH("D6.24|"&amp;CAPTURA!CC48,CODIFICACION!$F$2:$F$500,0))),"⚠"))</f>
        <v/>
      </c>
      <c r="AY48" t="str">
        <f>IF(CAPTURA!CD48="","",IFERROR(IF(INDEX(CODIFICACION!$E$2:$E$500,MATCH("D6.25|"&amp;CAPTURA!CD48,CODIFICACION!$F$2:$F$500,0))="sin dato","",INDEX(CODIFICACION!$E$2:$E$500,MATCH("D6.25|"&amp;CAPTURA!CD48,CODIFICACION!$F$2:$F$500,0))),"⚠"))</f>
        <v/>
      </c>
      <c r="AZ48" t="str">
        <f>IF(CAPTURA!CE48="","",IFERROR(IF(INDEX(CODIFICACION!$E$2:$E$500,MATCH("D6.25a|"&amp;CAPTURA!CE48,CODIFICACION!$F$2:$F$500,0))="sin dato","",INDEX(CODIFICACION!$E$2:$E$500,MATCH("D6.25a|"&amp;CAPTURA!CE48,CODIFICACION!$F$2:$F$500,0))),"⚠"))</f>
        <v/>
      </c>
      <c r="BA48" t="str">
        <f>IF(CAPTURA!CF48="","",IFERROR(IF(INDEX(CODIFICACION!$E$2:$E$500,MATCH("D6.25b|"&amp;CAPTURA!CF48,CODIFICACION!$F$2:$F$500,0))="sin dato","",INDEX(CODIFICACION!$E$2:$E$500,MATCH("D6.25b|"&amp;CAPTURA!CF48,CODIFICACION!$F$2:$F$500,0))),"⚠"))</f>
        <v/>
      </c>
      <c r="BB48" t="str">
        <f>IF(CAPTURA!CG48="","",IFERROR(IF(INDEX(CODIFICACION!$E$2:$E$500,MATCH("D6.22c|"&amp;CAPTURA!CG48,CODIFICACION!$F$2:$F$500,0))="sin dato","",INDEX(CODIFICACION!$E$2:$E$500,MATCH("D6.22c|"&amp;CAPTURA!CG48,CODIFICACION!$F$2:$F$500,0))),"⚠"))</f>
        <v/>
      </c>
      <c r="BC48" t="str">
        <f>IF(CAPTURA!CH48="","",IFERROR(IF(INDEX(CODIFICACION!$E$2:$E$500,MATCH("D7.26|"&amp;CAPTURA!CH48,CODIFICACION!$F$2:$F$500,0))="sin dato","",INDEX(CODIFICACION!$E$2:$E$500,MATCH("D7.26|"&amp;CAPTURA!CH48,CODIFICACION!$F$2:$F$500,0))),"⚠"))</f>
        <v/>
      </c>
      <c r="BD48" t="str">
        <f>IF(CAPTURA!CI48="","",IFERROR(IF(INDEX(CODIFICACION!$E$2:$E$500,MATCH("D7.27|"&amp;CAPTURA!CI48,CODIFICACION!$F$2:$F$500,0))="sin dato","",INDEX(CODIFICACION!$E$2:$E$500,MATCH("D7.27|"&amp;CAPTURA!CI48,CODIFICACION!$F$2:$F$500,0))),"⚠"))</f>
        <v/>
      </c>
      <c r="BE48" t="str">
        <f>IF(CAPTURA!CJ48="","",IFERROR(IF(INDEX(CODIFICACION!$E$2:$E$500,MATCH("D7.28|"&amp;CAPTURA!CJ48,CODIFICACION!$F$2:$F$500,0))="sin dato","",INDEX(CODIFICACION!$E$2:$E$500,MATCH("D7.28|"&amp;CAPTURA!CJ48,CODIFICACION!$F$2:$F$500,0))),"⚠"))</f>
        <v/>
      </c>
      <c r="BF48" t="str">
        <f>IF(CAPTURA!CK48="","",IFERROR(IF(INDEX(CODIFICACION!$E$2:$E$500,MATCH("D7.28b|"&amp;CAPTURA!CK48,CODIFICACION!$F$2:$F$500,0))="sin dato","",INDEX(CODIFICACION!$E$2:$E$500,MATCH("D7.28b|"&amp;CAPTURA!CK48,CODIFICACION!$F$2:$F$500,0))),"⚠"))</f>
        <v/>
      </c>
      <c r="BG48" t="str">
        <f>IF(CAPTURA!CL48="","",MIN(100,ROUND((LEN(CAPTURA!CL48)-LEN(SUBSTITUTE(CAPTURA!CL48,";",""))+1)/8*100,1)))</f>
        <v/>
      </c>
      <c r="BH48" t="str">
        <f>IF(CAPTURA!CM48="","",IFERROR(IF(INDEX(CODIFICACION!$E$2:$E$500,MATCH("D7.26a|"&amp;CAPTURA!CM48,CODIFICACION!$F$2:$F$500,0))="sin dato","",INDEX(CODIFICACION!$E$2:$E$500,MATCH("D7.26a|"&amp;CAPTURA!CM48,CODIFICACION!$F$2:$F$500,0))),"⚠"))</f>
        <v/>
      </c>
      <c r="BI48" t="str">
        <f>IF(CAPTURA!CN48="","",IFERROR(IF(INDEX(CODIFICACION!$E$2:$E$500,MATCH("D7.26b|"&amp;CAPTURA!CN48,CODIFICACION!$F$2:$F$500,0))="sin dato","",INDEX(CODIFICACION!$E$2:$E$500,MATCH("D7.26b|"&amp;CAPTURA!CN48,CODIFICACION!$F$2:$F$500,0))),"⚠"))</f>
        <v/>
      </c>
      <c r="BJ48" t="str">
        <f>IF(CAPTURA!CO48="","",IF(AND(ISNUMBER(CAPTURA!CO48),CAPTURA!CO48&gt;=0,CAPTURA!CO48&lt;=4),CAPTURA!CO48*25,"⚠"))</f>
        <v/>
      </c>
      <c r="BK48" t="str">
        <f>IF(CAPTURA!CP48="","",IF(ISNUMBER(CAPTURA!CP48),MAX(0,MIN(100,CAPTURA!CP48)),"⚠"))</f>
        <v/>
      </c>
      <c r="BL48" t="str">
        <f>IF(CAPTURA!CQ48="","",IFERROR(IF(INDEX(CODIFICACION!$E$2:$E$500,MATCH("D8.31|"&amp;CAPTURA!CQ48,CODIFICACION!$F$2:$F$500,0))="sin dato","",INDEX(CODIFICACION!$E$2:$E$500,MATCH("D8.31|"&amp;CAPTURA!CQ48,CODIFICACION!$F$2:$F$500,0))),"⚠"))</f>
        <v/>
      </c>
      <c r="BM48" t="str">
        <f>IF(CAPTURA!CR48="","",IFERROR(IF(INDEX(CODIFICACION!$E$2:$E$500,MATCH("D8.32|"&amp;CAPTURA!CR48,CODIFICACION!$F$2:$F$500,0))="sin dato","",INDEX(CODIFICACION!$E$2:$E$500,MATCH("D8.32|"&amp;CAPTURA!CR48,CODIFICACION!$F$2:$F$500,0))),"⚠"))</f>
        <v/>
      </c>
      <c r="BN48" t="str">
        <f>IF(CAPTURA!CS48="","",IFERROR(IF(INDEX(CODIFICACION!$E$2:$E$500,MATCH("D9.33|"&amp;CAPTURA!CS48,CODIFICACION!$F$2:$F$500,0))="sin dato","",INDEX(CODIFICACION!$E$2:$E$500,MATCH("D9.33|"&amp;CAPTURA!CS48,CODIFICACION!$F$2:$F$500,0))),"⚠"))</f>
        <v/>
      </c>
      <c r="BO48" t="str">
        <f>IF(CAPTURA!CT48="","",IFERROR(IF(INDEX(CODIFICACION!$E$2:$E$500,MATCH("D9.34|"&amp;CAPTURA!CT48,CODIFICACION!$F$2:$F$500,0))="sin dato","",INDEX(CODIFICACION!$E$2:$E$500,MATCH("D9.34|"&amp;CAPTURA!CT48,CODIFICACION!$F$2:$F$500,0))),"⚠"))</f>
        <v/>
      </c>
      <c r="BP48" t="str">
        <f>IF(CAPTURA!CU48="","",IFERROR(IF(INDEX(CODIFICACION!$E$2:$E$500,MATCH("D9.35|"&amp;CAPTURA!CU48,CODIFICACION!$F$2:$F$500,0))="sin dato","",INDEX(CODIFICACION!$E$2:$E$500,MATCH("D9.35|"&amp;CAPTURA!CU48,CODIFICACION!$F$2:$F$500,0))),"⚠"))</f>
        <v/>
      </c>
      <c r="BQ48" t="str">
        <f>IF(CAPTURA!CV48="","",IFERROR(IF(INDEX(CODIFICACION!$E$2:$E$500,MATCH("D10.36|"&amp;CAPTURA!CV48,CODIFICACION!$F$2:$F$500,0))="sin dato","",INDEX(CODIFICACION!$E$2:$E$500,MATCH("D10.36|"&amp;CAPTURA!CV48,CODIFICACION!$F$2:$F$500,0))),"⚠"))</f>
        <v/>
      </c>
      <c r="BR48" t="str">
        <f>IF(CAPTURA!CW48="","",IFERROR(IF(INDEX(CODIFICACION!$E$2:$E$500,MATCH("D10.37|"&amp;CAPTURA!CW48,CODIFICACION!$F$2:$F$500,0))="sin dato","",INDEX(CODIFICACION!$E$2:$E$500,MATCH("D10.37|"&amp;CAPTURA!CW48,CODIFICACION!$F$2:$F$500,0))),"⚠"))</f>
        <v/>
      </c>
      <c r="BS48" t="str">
        <f>IF(CAPTURA!CX48="","",IFERROR(IF(INDEX(CODIFICACION!$E$2:$E$500,MATCH("D10.36a|"&amp;CAPTURA!CX48,CODIFICACION!$F$2:$F$500,0))="sin dato","",INDEX(CODIFICACION!$E$2:$E$500,MATCH("D10.36a|"&amp;CAPTURA!CX48,CODIFICACION!$F$2:$F$500,0))),"⚠"))</f>
        <v/>
      </c>
      <c r="BT48" t="str">
        <f>IF(CAPTURA!CY48="","",IF(ISNUMBER(SEARCH("Ninguno",CAPTURA!CY48)),0,MIN(100,ROUND((LEN(CAPTURA!CY48)-LEN(SUBSTITUTE(CAPTURA!CY48,";",""))+1)/6*100,1))))</f>
        <v/>
      </c>
      <c r="BU48" t="str">
        <f>IF(CAPTURA!DA48="","",IFERROR(IF(INDEX(CODIFICACION!$E$2:$E$500,MATCH("D11.39a|"&amp;CAPTURA!DA48,CODIFICACION!$F$2:$F$500,0))="sin dato","",INDEX(CODIFICACION!$E$2:$E$500,MATCH("D11.39a|"&amp;CAPTURA!DA48,CODIFICACION!$F$2:$F$500,0))),"⚠"))</f>
        <v/>
      </c>
      <c r="BV48" t="str">
        <f>IF(CAPTURA!DB48="","",IFERROR(IF(INDEX(CODIFICACION!$E$2:$E$500,MATCH("D12.42|"&amp;CAPTURA!DB48,CODIFICACION!$F$2:$F$500,0))="sin dato","",INDEX(CODIFICACION!$E$2:$E$500,MATCH("D12.42|"&amp;CAPTURA!DB48,CODIFICACION!$F$2:$F$500,0))),"⚠"))</f>
        <v/>
      </c>
      <c r="BW48" t="str">
        <f>IF(CAPTURA!DC48="","",IFERROR(IF(INDEX(CODIFICACION!$E$2:$E$500,MATCH("D13.45|"&amp;CAPTURA!DC48,CODIFICACION!$F$2:$F$500,0))="sin dato","",INDEX(CODIFICACION!$E$2:$E$500,MATCH("D13.45|"&amp;CAPTURA!DC48,CODIFICACION!$F$2:$F$500,0))),"⚠"))</f>
        <v/>
      </c>
      <c r="BX48" t="str">
        <f>IF(CAPTURA!DD48="","",IFERROR(IF(INDEX(CODIFICACION!$E$2:$E$500,MATCH("D14.51|"&amp;CAPTURA!DD48,CODIFICACION!$F$2:$F$500,0))="sin dato","",INDEX(CODIFICACION!$E$2:$E$500,MATCH("D14.51|"&amp;CAPTURA!DD48,CODIFICACION!$F$2:$F$500,0))),"⚠"))</f>
        <v/>
      </c>
      <c r="BY48" t="str">
        <f>IF(CAPTURA!DE48="","",IFERROR(IF(INDEX(CODIFICACION!$E$2:$E$500,MATCH("D15.58|"&amp;CAPTURA!DE48,CODIFICACION!$F$2:$F$500,0))="sin dato","",INDEX(CODIFICACION!$E$2:$E$500,MATCH("D15.58|"&amp;CAPTURA!DE48,CODIFICACION!$F$2:$F$500,0))),"⚠"))</f>
        <v/>
      </c>
      <c r="BZ48" t="str">
        <f>IF(CAPTURA!DF48="","",IFERROR(IF(INDEX(CODIFICACION!$E$2:$E$500,MATCH("PP1|"&amp;CAPTURA!DF48,CODIFICACION!$F$2:$F$500,0))="sin dato","",INDEX(CODIFICACION!$E$2:$E$500,MATCH("PP1|"&amp;CAPTURA!DF48,CODIFICACION!$F$2:$F$500,0))),"⚠"))</f>
        <v/>
      </c>
      <c r="CA48" t="str">
        <f>IF(CAPTURA!DG48="","",IFERROR(IF(INDEX(CODIFICACION!$E$2:$E$500,MATCH("PP2|"&amp;CAPTURA!DG48,CODIFICACION!$F$2:$F$500,0))="sin dato","",INDEX(CODIFICACION!$E$2:$E$500,MATCH("PP2|"&amp;CAPTURA!DG48,CODIFICACION!$F$2:$F$500,0))),"⚠"))</f>
        <v/>
      </c>
      <c r="CB48" t="str">
        <f t="shared" si="11"/>
        <v/>
      </c>
      <c r="CC48" t="str">
        <f t="shared" si="12"/>
        <v/>
      </c>
      <c r="CD48" t="str">
        <f t="shared" si="13"/>
        <v/>
      </c>
      <c r="CE48" t="str">
        <f t="shared" si="14"/>
        <v/>
      </c>
      <c r="CF48" t="str">
        <f t="shared" si="15"/>
        <v/>
      </c>
      <c r="CG48" t="str">
        <f t="shared" si="16"/>
        <v/>
      </c>
      <c r="CH48" t="str">
        <f t="shared" si="17"/>
        <v/>
      </c>
      <c r="CI48" t="str">
        <f t="shared" si="18"/>
        <v/>
      </c>
      <c r="CJ48" t="str">
        <f t="shared" si="19"/>
        <v/>
      </c>
      <c r="CK48" t="str">
        <f t="shared" si="20"/>
        <v/>
      </c>
      <c r="CL48" t="str">
        <f t="shared" si="21"/>
        <v/>
      </c>
    </row>
    <row r="49" spans="1:90" x14ac:dyDescent="0.3">
      <c r="A49">
        <f>CAPTURA!A49</f>
        <v>20487242994</v>
      </c>
      <c r="B49">
        <f>CAPTURA!C49</f>
        <v>0</v>
      </c>
      <c r="C49" t="str">
        <f>IF(CAPTURA!M49="","",ROUND((ISNUMBER(SEARCH("Alemania",CAPTURA!M49))+ISNUMBER(SEARCH("Bélgica",CAPTURA!M49))+ISNUMBER(SEARCH("Países Bajos",CAPTURA!M49))+ISNUMBER(SEARCH("Francia",CAPTURA!M49))+ISNUMBER(SEARCH("Italia",CAPTURA!M49))+ISNUMBER(SEARCH("España",CAPTURA!M49))+ISNUMBER(SEARCH("Suecia",CAPTURA!M49))+ISNUMBER(SEARCH("Dinamarca",CAPTURA!M49)))/((LEN(CAPTURA!M49)-LEN(SUBSTITUTE(CAPTURA!M49,";","")))+1)*100,1))</f>
        <v/>
      </c>
      <c r="D49" t="str">
        <f>IF(CAPTURA!AE49="","",IFERROR(IF(INDEX(CODIFICACION!$E$2:$E$500,MATCH("P8|"&amp;CAPTURA!AE49,CODIFICACION!$F$2:$F$500,0))="sin dato","",INDEX(CODIFICACION!$E$2:$E$500,MATCH("P8|"&amp;CAPTURA!AE49,CODIFICACION!$F$2:$F$500,0))),"⚠"))</f>
        <v/>
      </c>
      <c r="E49" t="str">
        <f>IF(CAPTURA!AG49="","",IFERROR(IF(INDEX(CODIFICACION!$E$2:$E$500,MATCH("P10|"&amp;CAPTURA!AG49,CODIFICACION!$F$2:$F$500,0))="sin dato","",INDEX(CODIFICACION!$E$2:$E$500,MATCH("P10|"&amp;CAPTURA!AG49,CODIFICACION!$F$2:$F$500,0))),"⚠"))</f>
        <v/>
      </c>
      <c r="F49" t="str">
        <f>IF(CAPTURA!AJ49="","",IFERROR(IF(INDEX(CODIFICACION!$E$2:$E$500,MATCH("P13|"&amp;CAPTURA!AJ49,CODIFICACION!$F$2:$F$500,0))="sin dato","",INDEX(CODIFICACION!$E$2:$E$500,MATCH("P13|"&amp;CAPTURA!AJ49,CODIFICACION!$F$2:$F$500,0))),"⚠"))</f>
        <v/>
      </c>
      <c r="G49" t="str">
        <f>IF(CAPTURA!AK49="","",IFERROR(IF(INDEX(CODIFICACION!$E$2:$E$500,MATCH("P14|"&amp;CAPTURA!AK49,CODIFICACION!$F$2:$F$500,0))="sin dato","",INDEX(CODIFICACION!$E$2:$E$500,MATCH("P14|"&amp;CAPTURA!AK49,CODIFICACION!$F$2:$F$500,0))),"⚠"))</f>
        <v/>
      </c>
      <c r="H49" t="str">
        <f>IF(CAPTURA!AL49="","",IFERROR(IF(INDEX(CODIFICACION!$E$2:$E$500,MATCH("D1.1|"&amp;CAPTURA!AL49,CODIFICACION!$F$2:$F$500,0))="sin dato","",INDEX(CODIFICACION!$E$2:$E$500,MATCH("D1.1|"&amp;CAPTURA!AL49,CODIFICACION!$F$2:$F$500,0))),"⚠"))</f>
        <v/>
      </c>
      <c r="I49" t="str">
        <f>IF(CAPTURA!AN49="","",IFERROR(IF(INDEX(CODIFICACION!$E$2:$E$500,MATCH("D1.3|"&amp;CAPTURA!AN49,CODIFICACION!$F$2:$F$500,0))="sin dato","",INDEX(CODIFICACION!$E$2:$E$500,MATCH("D1.3|"&amp;CAPTURA!AN49,CODIFICACION!$F$2:$F$500,0))),"⚠"))</f>
        <v/>
      </c>
      <c r="J49" t="str">
        <f>IF(CAPTURA!AO49="","",IFERROR(IF(INDEX(CODIFICACION!$E$2:$E$500,MATCH("D1.4|"&amp;CAPTURA!AO49,CODIFICACION!$F$2:$F$500,0))="sin dato","",INDEX(CODIFICACION!$E$2:$E$500,MATCH("D1.4|"&amp;CAPTURA!AO49,CODIFICACION!$F$2:$F$500,0))),"⚠"))</f>
        <v/>
      </c>
      <c r="K49" t="str">
        <f>IF(CAPTURA!AP49="","",IFERROR(IF(INDEX(CODIFICACION!$E$2:$E$500,MATCH("D1.3a|"&amp;CAPTURA!AP49,CODIFICACION!$F$2:$F$500,0))="sin dato","",INDEX(CODIFICACION!$E$2:$E$500,MATCH("D1.3a|"&amp;CAPTURA!AP49,CODIFICACION!$F$2:$F$500,0))),"⚠"))</f>
        <v/>
      </c>
      <c r="L49" t="str">
        <f>IF(CAPTURA!AQ49="","",IF(AND(ISNUMBER(CAPTURA!AQ49),CAPTURA!AQ49&gt;=0,CAPTURA!AQ49&lt;=4),CAPTURA!AQ49*25,"⚠"))</f>
        <v/>
      </c>
      <c r="M49" t="str">
        <f>IF(CAPTURA!AR49="","",IF(ISNUMBER(CAPTURA!AR49),MAX(0,MIN(100,CAPTURA!AR49)),"⚠"))</f>
        <v/>
      </c>
      <c r="N49" t="str">
        <f>IF(CAPTURA!AS49="","",IF(AND(ISNUMBER(CAPTURA!AS49),CAPTURA!AS49&gt;=0,CAPTURA!AS49&lt;=4),CAPTURA!AS49*25,"⚠"))</f>
        <v/>
      </c>
      <c r="O49" t="str">
        <f>IF(CAPTURA!AT49="","",IFERROR(IF(INDEX(CODIFICACION!$E$2:$E$500,MATCH("D2.8|"&amp;CAPTURA!AT49,CODIFICACION!$F$2:$F$500,0))="sin dato","",INDEX(CODIFICACION!$E$2:$E$500,MATCH("D2.8|"&amp;CAPTURA!AT49,CODIFICACION!$F$2:$F$500,0))),"⚠"))</f>
        <v/>
      </c>
      <c r="P49" t="str">
        <f>IF(CAPTURA!AU49="","",IFERROR(IF(INDEX(CODIFICACION!$E$2:$E$500,MATCH("D2.9|"&amp;CAPTURA!AU49,CODIFICACION!$F$2:$F$500,0))="sin dato","",INDEX(CODIFICACION!$E$2:$E$500,MATCH("D2.9|"&amp;CAPTURA!AU49,CODIFICACION!$F$2:$F$500,0))),"⚠"))</f>
        <v/>
      </c>
      <c r="Q49" t="str">
        <f>IF(CAPTURA!AV49="","",IFERROR(IF(INDEX(CODIFICACION!$E$2:$E$500,MATCH("D2.10|"&amp;CAPTURA!AV49,CODIFICACION!$F$2:$F$500,0))="sin dato","",INDEX(CODIFICACION!$E$2:$E$500,MATCH("D2.10|"&amp;CAPTURA!AV49,CODIFICACION!$F$2:$F$500,0))),"⚠"))</f>
        <v/>
      </c>
      <c r="R49" t="str">
        <f>IF(CAPTURA!AW49="","",IFERROR(IF(INDEX(CODIFICACION!$E$2:$E$500,MATCH("D2.5a|"&amp;CAPTURA!AW49,CODIFICACION!$F$2:$F$500,0))="sin dato","",INDEX(CODIFICACION!$E$2:$E$500,MATCH("D2.5a|"&amp;CAPTURA!AW49,CODIFICACION!$F$2:$F$500,0))),"⚠"))</f>
        <v/>
      </c>
      <c r="S49" t="str">
        <f>IF(CAPTURA!AX49="","",IFERROR(IF(INDEX(CODIFICACION!$E$2:$E$500,MATCH("D2.5b|"&amp;CAPTURA!AX49,CODIFICACION!$F$2:$F$500,0))="sin dato","",INDEX(CODIFICACION!$E$2:$E$500,MATCH("D2.5b|"&amp;CAPTURA!AX49,CODIFICACION!$F$2:$F$500,0))),"⚠"))</f>
        <v/>
      </c>
      <c r="T49" t="str">
        <f>IF(CAPTURA!AY49="","",IF(ISNUMBER(CAPTURA!AY49),MAX(0,MIN(100,CAPTURA!AY49)),"⚠"))</f>
        <v/>
      </c>
      <c r="U49" t="str">
        <f>IF(CAPTURA!AZ49="","",IFERROR(IF(INDEX(CODIFICACION!$E$2:$E$500,MATCH("D3.12|"&amp;CAPTURA!AZ49,CODIFICACION!$F$2:$F$500,0))="sin dato","",INDEX(CODIFICACION!$E$2:$E$500,MATCH("D3.12|"&amp;CAPTURA!AZ49,CODIFICACION!$F$2:$F$500,0))),"⚠"))</f>
        <v/>
      </c>
      <c r="V49" t="str">
        <f>IF(CAPTURA!BA49="","",IF(AND(ISNUMBER(CAPTURA!BA49),CAPTURA!BA49&gt;=0,CAPTURA!BA49&lt;=4),CAPTURA!BA49*25,"⚠"))</f>
        <v/>
      </c>
      <c r="W49" t="str">
        <f>IF(CAPTURA!BB49="","",IFERROR(IF(INDEX(CODIFICACION!$E$2:$E$500,MATCH("D3.14|"&amp;CAPTURA!BB49,CODIFICACION!$F$2:$F$500,0))="sin dato","",INDEX(CODIFICACION!$E$2:$E$500,MATCH("D3.14|"&amp;CAPTURA!BB49,CODIFICACION!$F$2:$F$500,0))),"⚠"))</f>
        <v/>
      </c>
      <c r="X49" t="str">
        <f>IF(CAPTURA!BC49="","",IFERROR(IF(INDEX(CODIFICACION!$E$2:$E$500,MATCH("D3.14a|"&amp;CAPTURA!BC49,CODIFICACION!$F$2:$F$500,0))="sin dato","",INDEX(CODIFICACION!$E$2:$E$500,MATCH("D3.14a|"&amp;CAPTURA!BC49,CODIFICACION!$F$2:$F$500,0))),"⚠"))</f>
        <v/>
      </c>
      <c r="Y49" t="str">
        <f>IF(CAPTURA!BD49="","",IFERROR(IF(INDEX(CODIFICACION!$E$2:$E$500,MATCH("D3.14b|"&amp;CAPTURA!BD49,CODIFICACION!$F$2:$F$500,0))="sin dato","",INDEX(CODIFICACION!$E$2:$E$500,MATCH("D3.14b|"&amp;CAPTURA!BD49,CODIFICACION!$F$2:$F$500,0))),"⚠"))</f>
        <v/>
      </c>
      <c r="Z49" t="str">
        <f>IF(CAPTURA!BE49="","",IFERROR(IF(INDEX(CODIFICACION!$E$2:$E$500,MATCH("D3.14c|"&amp;CAPTURA!BE49,CODIFICACION!$F$2:$F$500,0))="sin dato","",INDEX(CODIFICACION!$E$2:$E$500,MATCH("D3.14c|"&amp;CAPTURA!BE49,CODIFICACION!$F$2:$F$500,0))),"⚠"))</f>
        <v/>
      </c>
      <c r="AA49" t="str">
        <f>IF(CAPTURA!BF49="","",IFERROR(IF(INDEX(CODIFICACION!$E$2:$E$500,MATCH("D3.14d|"&amp;CAPTURA!BF49,CODIFICACION!$F$2:$F$500,0))="sin dato","",INDEX(CODIFICACION!$E$2:$E$500,MATCH("D3.14d|"&amp;CAPTURA!BF49,CODIFICACION!$F$2:$F$500,0))),"⚠"))</f>
        <v/>
      </c>
      <c r="AB49" t="str">
        <f>IF(CAPTURA!BG49="","",IFERROR(IF(INDEX(CODIFICACION!$E$2:$E$500,MATCH("D3.14e|"&amp;CAPTURA!BG49,CODIFICACION!$F$2:$F$500,0))="sin dato","",INDEX(CODIFICACION!$E$2:$E$500,MATCH("D3.14e|"&amp;CAPTURA!BG49,CODIFICACION!$F$2:$F$500,0))),"⚠"))</f>
        <v/>
      </c>
      <c r="AC49" t="str">
        <f>IF(CAPTURA!BH49="","",IFERROR(IF(INDEX(CODIFICACION!$E$2:$E$500,MATCH("D3.14f|"&amp;CAPTURA!BH49,CODIFICACION!$F$2:$F$500,0))="sin dato","",INDEX(CODIFICACION!$E$2:$E$500,MATCH("D3.14f|"&amp;CAPTURA!BH49,CODIFICACION!$F$2:$F$500,0))),"⚠"))</f>
        <v/>
      </c>
      <c r="AD49" t="str">
        <f>IF(CAPTURA!BI49="","",IFERROR(IF(INDEX(CODIFICACION!$E$2:$E$500,MATCH("D3.14g|"&amp;CAPTURA!BI49,CODIFICACION!$F$2:$F$500,0))="sin dato","",INDEX(CODIFICACION!$E$2:$E$500,MATCH("D3.14g|"&amp;CAPTURA!BI49,CODIFICACION!$F$2:$F$500,0))),"⚠"))</f>
        <v/>
      </c>
      <c r="AE49" t="str">
        <f>IF(CAPTURA!BJ49="","",IFERROR(IF(INDEX(CODIFICACION!$E$2:$E$500,MATCH("D3.14h|"&amp;CAPTURA!BJ49,CODIFICACION!$F$2:$F$500,0))="sin dato","",INDEX(CODIFICACION!$E$2:$E$500,MATCH("D3.14h|"&amp;CAPTURA!BJ49,CODIFICACION!$F$2:$F$500,0))),"⚠"))</f>
        <v/>
      </c>
      <c r="AF49" t="str">
        <f>IF(CAPTURA!BK49="","",IFERROR(IF(INDEX(CODIFICACION!$E$2:$E$500,MATCH("D3.14i|"&amp;CAPTURA!BK49,CODIFICACION!$F$2:$F$500,0))="sin dato","",INDEX(CODIFICACION!$E$2:$E$500,MATCH("D3.14i|"&amp;CAPTURA!BK49,CODIFICACION!$F$2:$F$500,0))),"⚠"))</f>
        <v/>
      </c>
      <c r="AG49" t="str">
        <f>IF(CAPTURA!BL49="","",IFERROR(IF(INDEX(CODIFICACION!$E$2:$E$500,MATCH("D4.15|"&amp;CAPTURA!BL49,CODIFICACION!$F$2:$F$500,0))="sin dato","",INDEX(CODIFICACION!$E$2:$E$500,MATCH("D4.15|"&amp;CAPTURA!BL49,CODIFICACION!$F$2:$F$500,0))),"⚠"))</f>
        <v/>
      </c>
      <c r="AH49" t="str">
        <f>IF(CAPTURA!BM49="","",IF(AND(ISNUMBER(CAPTURA!BM49),CAPTURA!BM49&gt;=0,CAPTURA!BM49&lt;=4),CAPTURA!BM49*25,"⚠"))</f>
        <v/>
      </c>
      <c r="AI49" t="str">
        <f>IF(CAPTURA!BN49="","",IFERROR(IF(INDEX(CODIFICACION!$E$2:$E$500,MATCH("D4.17|"&amp;CAPTURA!BN49,CODIFICACION!$F$2:$F$500,0))="sin dato","",INDEX(CODIFICACION!$E$2:$E$500,MATCH("D4.17|"&amp;CAPTURA!BN49,CODIFICACION!$F$2:$F$500,0))),"⚠"))</f>
        <v/>
      </c>
      <c r="AJ49" t="str">
        <f>IF(CAPTURA!BO49="","",IFERROR(IF(INDEX(CODIFICACION!$E$2:$E$500,MATCH("D4.15a|"&amp;CAPTURA!BO49,CODIFICACION!$F$2:$F$500,0))="sin dato","",INDEX(CODIFICACION!$E$2:$E$500,MATCH("D4.15a|"&amp;CAPTURA!BO49,CODIFICACION!$F$2:$F$500,0))),"⚠"))</f>
        <v/>
      </c>
      <c r="AK49" t="str">
        <f>IF(CAPTURA!BP49="","",IF(AND(ISNUMBER(CAPTURA!BP49),CAPTURA!BP49&gt;=0,CAPTURA!BP49&lt;=4),CAPTURA!BP49*25,"⚠"))</f>
        <v/>
      </c>
      <c r="AL49" t="str">
        <f>IF(CAPTURA!BQ49="","",IF(AND(ISNUMBER(CAPTURA!BQ49),CAPTURA!BQ49&gt;=0,CAPTURA!BQ49&lt;=4),CAPTURA!BQ49*25,"⚠"))</f>
        <v/>
      </c>
      <c r="AM49" t="str">
        <f>IF(CAPTURA!BR49="","",IFERROR(IF(INDEX(CODIFICACION!$E$2:$E$500,MATCH("D5.18b|"&amp;CAPTURA!BR49,CODIFICACION!$F$2:$F$500,0))="sin dato","",INDEX(CODIFICACION!$E$2:$E$500,MATCH("D5.18b|"&amp;CAPTURA!BR49,CODIFICACION!$F$2:$F$500,0))),"⚠"))</f>
        <v/>
      </c>
      <c r="AN49" t="str">
        <f>IF(CAPTURA!BS49="","",IFERROR(IF(INDEX(CODIFICACION!$E$2:$E$500,MATCH("D5.19|"&amp;CAPTURA!BS49,CODIFICACION!$F$2:$F$500,0))="sin dato","",INDEX(CODIFICACION!$E$2:$E$500,MATCH("D5.19|"&amp;CAPTURA!BS49,CODIFICACION!$F$2:$F$500,0))),"⚠"))</f>
        <v/>
      </c>
      <c r="AO49" t="str">
        <f>IF(CAPTURA!BT49="","",MIN(100,ROUND((LEN(CAPTURA!BT49)-LEN(SUBSTITUTE(CAPTURA!BT49,";",""))+1)/7*100,1)))</f>
        <v/>
      </c>
      <c r="AP49" t="str">
        <f>IF(CAPTURA!BU49="","",IFERROR(IF(INDEX(CODIFICACION!$E$2:$E$500,MATCH("D5.20|"&amp;CAPTURA!BU49,CODIFICACION!$F$2:$F$500,0))="sin dato","",INDEX(CODIFICACION!$E$2:$E$500,MATCH("D5.20|"&amp;CAPTURA!BU49,CODIFICACION!$F$2:$F$500,0))),"⚠"))</f>
        <v/>
      </c>
      <c r="AQ49" t="str">
        <f>IF(CAPTURA!BV49="","",IFERROR(IF(INDEX(CODIFICACION!$E$2:$E$500,MATCH("D5.21|"&amp;CAPTURA!BV49,CODIFICACION!$F$2:$F$500,0))="sin dato","",INDEX(CODIFICACION!$E$2:$E$500,MATCH("D5.21|"&amp;CAPTURA!BV49,CODIFICACION!$F$2:$F$500,0))),"⚠"))</f>
        <v/>
      </c>
      <c r="AR49" t="str">
        <f>IF(CAPTURA!BW49="","",IFERROR(IF(INDEX(CODIFICACION!$E$2:$E$500,MATCH("D5.21a|"&amp;CAPTURA!BW49,CODIFICACION!$F$2:$F$500,0))="sin dato","",INDEX(CODIFICACION!$E$2:$E$500,MATCH("D5.21a|"&amp;CAPTURA!BW49,CODIFICACION!$F$2:$F$500,0))),"⚠"))</f>
        <v/>
      </c>
      <c r="AS49" t="str">
        <f>IF(CAPTURA!BX49="","",IFERROR(IF(INDEX(CODIFICACION!$E$2:$E$500,MATCH("D5.21b|"&amp;CAPTURA!BX49,CODIFICACION!$F$2:$F$500,0))="sin dato","",INDEX(CODIFICACION!$E$2:$E$500,MATCH("D5.21b|"&amp;CAPTURA!BX49,CODIFICACION!$F$2:$F$500,0))),"⚠"))</f>
        <v/>
      </c>
      <c r="AT49" t="str">
        <f>IF(CAPTURA!BY49="","",IFERROR(IF(INDEX(CODIFICACION!$E$2:$E$500,MATCH("D6.22|"&amp;CAPTURA!BY49,CODIFICACION!$F$2:$F$500,0))="sin dato","",INDEX(CODIFICACION!$E$2:$E$500,MATCH("D6.22|"&amp;CAPTURA!BY49,CODIFICACION!$F$2:$F$500,0))),"⚠"))</f>
        <v/>
      </c>
      <c r="AU49" t="str">
        <f>IF(CAPTURA!BZ49="","",IFERROR(IF(INDEX(CODIFICACION!$E$2:$E$500,MATCH("D6.22a|"&amp;CAPTURA!BZ49,CODIFICACION!$F$2:$F$500,0))="sin dato","",INDEX(CODIFICACION!$E$2:$E$500,MATCH("D6.22a|"&amp;CAPTURA!BZ49,CODIFICACION!$F$2:$F$500,0))),"⚠"))</f>
        <v/>
      </c>
      <c r="AV49" t="str">
        <f>IF(CAPTURA!CA49="","",IFERROR(IF(INDEX(CODIFICACION!$E$2:$E$500,MATCH("D6.22b|"&amp;CAPTURA!CA49,CODIFICACION!$F$2:$F$500,0))="sin dato","",INDEX(CODIFICACION!$E$2:$E$500,MATCH("D6.22b|"&amp;CAPTURA!CA49,CODIFICACION!$F$2:$F$500,0))),"⚠"))</f>
        <v/>
      </c>
      <c r="AW49" t="str">
        <f>IF(CAPTURA!CB49="","",IFERROR(IF(INDEX(CODIFICACION!$E$2:$E$500,MATCH("D6.23|"&amp;CAPTURA!CB49,CODIFICACION!$F$2:$F$500,0))="sin dato","",INDEX(CODIFICACION!$E$2:$E$500,MATCH("D6.23|"&amp;CAPTURA!CB49,CODIFICACION!$F$2:$F$500,0))),"⚠"))</f>
        <v/>
      </c>
      <c r="AX49" t="str">
        <f>IF(CAPTURA!CC49="","",IFERROR(IF(INDEX(CODIFICACION!$E$2:$E$500,MATCH("D6.24|"&amp;CAPTURA!CC49,CODIFICACION!$F$2:$F$500,0))="sin dato","",INDEX(CODIFICACION!$E$2:$E$500,MATCH("D6.24|"&amp;CAPTURA!CC49,CODIFICACION!$F$2:$F$500,0))),"⚠"))</f>
        <v/>
      </c>
      <c r="AY49" t="str">
        <f>IF(CAPTURA!CD49="","",IFERROR(IF(INDEX(CODIFICACION!$E$2:$E$500,MATCH("D6.25|"&amp;CAPTURA!CD49,CODIFICACION!$F$2:$F$500,0))="sin dato","",INDEX(CODIFICACION!$E$2:$E$500,MATCH("D6.25|"&amp;CAPTURA!CD49,CODIFICACION!$F$2:$F$500,0))),"⚠"))</f>
        <v/>
      </c>
      <c r="AZ49" t="str">
        <f>IF(CAPTURA!CE49="","",IFERROR(IF(INDEX(CODIFICACION!$E$2:$E$500,MATCH("D6.25a|"&amp;CAPTURA!CE49,CODIFICACION!$F$2:$F$500,0))="sin dato","",INDEX(CODIFICACION!$E$2:$E$500,MATCH("D6.25a|"&amp;CAPTURA!CE49,CODIFICACION!$F$2:$F$500,0))),"⚠"))</f>
        <v/>
      </c>
      <c r="BA49" t="str">
        <f>IF(CAPTURA!CF49="","",IFERROR(IF(INDEX(CODIFICACION!$E$2:$E$500,MATCH("D6.25b|"&amp;CAPTURA!CF49,CODIFICACION!$F$2:$F$500,0))="sin dato","",INDEX(CODIFICACION!$E$2:$E$500,MATCH("D6.25b|"&amp;CAPTURA!CF49,CODIFICACION!$F$2:$F$500,0))),"⚠"))</f>
        <v/>
      </c>
      <c r="BB49" t="str">
        <f>IF(CAPTURA!CG49="","",IFERROR(IF(INDEX(CODIFICACION!$E$2:$E$500,MATCH("D6.22c|"&amp;CAPTURA!CG49,CODIFICACION!$F$2:$F$500,0))="sin dato","",INDEX(CODIFICACION!$E$2:$E$500,MATCH("D6.22c|"&amp;CAPTURA!CG49,CODIFICACION!$F$2:$F$500,0))),"⚠"))</f>
        <v/>
      </c>
      <c r="BC49" t="str">
        <f>IF(CAPTURA!CH49="","",IFERROR(IF(INDEX(CODIFICACION!$E$2:$E$500,MATCH("D7.26|"&amp;CAPTURA!CH49,CODIFICACION!$F$2:$F$500,0))="sin dato","",INDEX(CODIFICACION!$E$2:$E$500,MATCH("D7.26|"&amp;CAPTURA!CH49,CODIFICACION!$F$2:$F$500,0))),"⚠"))</f>
        <v/>
      </c>
      <c r="BD49" t="str">
        <f>IF(CAPTURA!CI49="","",IFERROR(IF(INDEX(CODIFICACION!$E$2:$E$500,MATCH("D7.27|"&amp;CAPTURA!CI49,CODIFICACION!$F$2:$F$500,0))="sin dato","",INDEX(CODIFICACION!$E$2:$E$500,MATCH("D7.27|"&amp;CAPTURA!CI49,CODIFICACION!$F$2:$F$500,0))),"⚠"))</f>
        <v/>
      </c>
      <c r="BE49" t="str">
        <f>IF(CAPTURA!CJ49="","",IFERROR(IF(INDEX(CODIFICACION!$E$2:$E$500,MATCH("D7.28|"&amp;CAPTURA!CJ49,CODIFICACION!$F$2:$F$500,0))="sin dato","",INDEX(CODIFICACION!$E$2:$E$500,MATCH("D7.28|"&amp;CAPTURA!CJ49,CODIFICACION!$F$2:$F$500,0))),"⚠"))</f>
        <v/>
      </c>
      <c r="BF49" t="str">
        <f>IF(CAPTURA!CK49="","",IFERROR(IF(INDEX(CODIFICACION!$E$2:$E$500,MATCH("D7.28b|"&amp;CAPTURA!CK49,CODIFICACION!$F$2:$F$500,0))="sin dato","",INDEX(CODIFICACION!$E$2:$E$500,MATCH("D7.28b|"&amp;CAPTURA!CK49,CODIFICACION!$F$2:$F$500,0))),"⚠"))</f>
        <v/>
      </c>
      <c r="BG49" t="str">
        <f>IF(CAPTURA!CL49="","",MIN(100,ROUND((LEN(CAPTURA!CL49)-LEN(SUBSTITUTE(CAPTURA!CL49,";",""))+1)/8*100,1)))</f>
        <v/>
      </c>
      <c r="BH49" t="str">
        <f>IF(CAPTURA!CM49="","",IFERROR(IF(INDEX(CODIFICACION!$E$2:$E$500,MATCH("D7.26a|"&amp;CAPTURA!CM49,CODIFICACION!$F$2:$F$500,0))="sin dato","",INDEX(CODIFICACION!$E$2:$E$500,MATCH("D7.26a|"&amp;CAPTURA!CM49,CODIFICACION!$F$2:$F$500,0))),"⚠"))</f>
        <v/>
      </c>
      <c r="BI49" t="str">
        <f>IF(CAPTURA!CN49="","",IFERROR(IF(INDEX(CODIFICACION!$E$2:$E$500,MATCH("D7.26b|"&amp;CAPTURA!CN49,CODIFICACION!$F$2:$F$500,0))="sin dato","",INDEX(CODIFICACION!$E$2:$E$500,MATCH("D7.26b|"&amp;CAPTURA!CN49,CODIFICACION!$F$2:$F$500,0))),"⚠"))</f>
        <v/>
      </c>
      <c r="BJ49" t="str">
        <f>IF(CAPTURA!CO49="","",IF(AND(ISNUMBER(CAPTURA!CO49),CAPTURA!CO49&gt;=0,CAPTURA!CO49&lt;=4),CAPTURA!CO49*25,"⚠"))</f>
        <v/>
      </c>
      <c r="BK49" t="str">
        <f>IF(CAPTURA!CP49="","",IF(ISNUMBER(CAPTURA!CP49),MAX(0,MIN(100,CAPTURA!CP49)),"⚠"))</f>
        <v/>
      </c>
      <c r="BL49" t="str">
        <f>IF(CAPTURA!CQ49="","",IFERROR(IF(INDEX(CODIFICACION!$E$2:$E$500,MATCH("D8.31|"&amp;CAPTURA!CQ49,CODIFICACION!$F$2:$F$500,0))="sin dato","",INDEX(CODIFICACION!$E$2:$E$500,MATCH("D8.31|"&amp;CAPTURA!CQ49,CODIFICACION!$F$2:$F$500,0))),"⚠"))</f>
        <v/>
      </c>
      <c r="BM49" t="str">
        <f>IF(CAPTURA!CR49="","",IFERROR(IF(INDEX(CODIFICACION!$E$2:$E$500,MATCH("D8.32|"&amp;CAPTURA!CR49,CODIFICACION!$F$2:$F$500,0))="sin dato","",INDEX(CODIFICACION!$E$2:$E$500,MATCH("D8.32|"&amp;CAPTURA!CR49,CODIFICACION!$F$2:$F$500,0))),"⚠"))</f>
        <v/>
      </c>
      <c r="BN49" t="str">
        <f>IF(CAPTURA!CS49="","",IFERROR(IF(INDEX(CODIFICACION!$E$2:$E$500,MATCH("D9.33|"&amp;CAPTURA!CS49,CODIFICACION!$F$2:$F$500,0))="sin dato","",INDEX(CODIFICACION!$E$2:$E$500,MATCH("D9.33|"&amp;CAPTURA!CS49,CODIFICACION!$F$2:$F$500,0))),"⚠"))</f>
        <v/>
      </c>
      <c r="BO49" t="str">
        <f>IF(CAPTURA!CT49="","",IFERROR(IF(INDEX(CODIFICACION!$E$2:$E$500,MATCH("D9.34|"&amp;CAPTURA!CT49,CODIFICACION!$F$2:$F$500,0))="sin dato","",INDEX(CODIFICACION!$E$2:$E$500,MATCH("D9.34|"&amp;CAPTURA!CT49,CODIFICACION!$F$2:$F$500,0))),"⚠"))</f>
        <v/>
      </c>
      <c r="BP49" t="str">
        <f>IF(CAPTURA!CU49="","",IFERROR(IF(INDEX(CODIFICACION!$E$2:$E$500,MATCH("D9.35|"&amp;CAPTURA!CU49,CODIFICACION!$F$2:$F$500,0))="sin dato","",INDEX(CODIFICACION!$E$2:$E$500,MATCH("D9.35|"&amp;CAPTURA!CU49,CODIFICACION!$F$2:$F$500,0))),"⚠"))</f>
        <v/>
      </c>
      <c r="BQ49" t="str">
        <f>IF(CAPTURA!CV49="","",IFERROR(IF(INDEX(CODIFICACION!$E$2:$E$500,MATCH("D10.36|"&amp;CAPTURA!CV49,CODIFICACION!$F$2:$F$500,0))="sin dato","",INDEX(CODIFICACION!$E$2:$E$500,MATCH("D10.36|"&amp;CAPTURA!CV49,CODIFICACION!$F$2:$F$500,0))),"⚠"))</f>
        <v/>
      </c>
      <c r="BR49" t="str">
        <f>IF(CAPTURA!CW49="","",IFERROR(IF(INDEX(CODIFICACION!$E$2:$E$500,MATCH("D10.37|"&amp;CAPTURA!CW49,CODIFICACION!$F$2:$F$500,0))="sin dato","",INDEX(CODIFICACION!$E$2:$E$500,MATCH("D10.37|"&amp;CAPTURA!CW49,CODIFICACION!$F$2:$F$500,0))),"⚠"))</f>
        <v/>
      </c>
      <c r="BS49" t="str">
        <f>IF(CAPTURA!CX49="","",IFERROR(IF(INDEX(CODIFICACION!$E$2:$E$500,MATCH("D10.36a|"&amp;CAPTURA!CX49,CODIFICACION!$F$2:$F$500,0))="sin dato","",INDEX(CODIFICACION!$E$2:$E$500,MATCH("D10.36a|"&amp;CAPTURA!CX49,CODIFICACION!$F$2:$F$500,0))),"⚠"))</f>
        <v/>
      </c>
      <c r="BT49" t="str">
        <f>IF(CAPTURA!CY49="","",IF(ISNUMBER(SEARCH("Ninguno",CAPTURA!CY49)),0,MIN(100,ROUND((LEN(CAPTURA!CY49)-LEN(SUBSTITUTE(CAPTURA!CY49,";",""))+1)/6*100,1))))</f>
        <v/>
      </c>
      <c r="BU49" t="str">
        <f>IF(CAPTURA!DA49="","",IFERROR(IF(INDEX(CODIFICACION!$E$2:$E$500,MATCH("D11.39a|"&amp;CAPTURA!DA49,CODIFICACION!$F$2:$F$500,0))="sin dato","",INDEX(CODIFICACION!$E$2:$E$500,MATCH("D11.39a|"&amp;CAPTURA!DA49,CODIFICACION!$F$2:$F$500,0))),"⚠"))</f>
        <v/>
      </c>
      <c r="BV49" t="str">
        <f>IF(CAPTURA!DB49="","",IFERROR(IF(INDEX(CODIFICACION!$E$2:$E$500,MATCH("D12.42|"&amp;CAPTURA!DB49,CODIFICACION!$F$2:$F$500,0))="sin dato","",INDEX(CODIFICACION!$E$2:$E$500,MATCH("D12.42|"&amp;CAPTURA!DB49,CODIFICACION!$F$2:$F$500,0))),"⚠"))</f>
        <v/>
      </c>
      <c r="BW49" t="str">
        <f>IF(CAPTURA!DC49="","",IFERROR(IF(INDEX(CODIFICACION!$E$2:$E$500,MATCH("D13.45|"&amp;CAPTURA!DC49,CODIFICACION!$F$2:$F$500,0))="sin dato","",INDEX(CODIFICACION!$E$2:$E$500,MATCH("D13.45|"&amp;CAPTURA!DC49,CODIFICACION!$F$2:$F$500,0))),"⚠"))</f>
        <v/>
      </c>
      <c r="BX49" t="str">
        <f>IF(CAPTURA!DD49="","",IFERROR(IF(INDEX(CODIFICACION!$E$2:$E$500,MATCH("D14.51|"&amp;CAPTURA!DD49,CODIFICACION!$F$2:$F$500,0))="sin dato","",INDEX(CODIFICACION!$E$2:$E$500,MATCH("D14.51|"&amp;CAPTURA!DD49,CODIFICACION!$F$2:$F$500,0))),"⚠"))</f>
        <v/>
      </c>
      <c r="BY49" t="str">
        <f>IF(CAPTURA!DE49="","",IFERROR(IF(INDEX(CODIFICACION!$E$2:$E$500,MATCH("D15.58|"&amp;CAPTURA!DE49,CODIFICACION!$F$2:$F$500,0))="sin dato","",INDEX(CODIFICACION!$E$2:$E$500,MATCH("D15.58|"&amp;CAPTURA!DE49,CODIFICACION!$F$2:$F$500,0))),"⚠"))</f>
        <v/>
      </c>
      <c r="BZ49" t="str">
        <f>IF(CAPTURA!DF49="","",IFERROR(IF(INDEX(CODIFICACION!$E$2:$E$500,MATCH("PP1|"&amp;CAPTURA!DF49,CODIFICACION!$F$2:$F$500,0))="sin dato","",INDEX(CODIFICACION!$E$2:$E$500,MATCH("PP1|"&amp;CAPTURA!DF49,CODIFICACION!$F$2:$F$500,0))),"⚠"))</f>
        <v/>
      </c>
      <c r="CA49" t="str">
        <f>IF(CAPTURA!DG49="","",IFERROR(IF(INDEX(CODIFICACION!$E$2:$E$500,MATCH("PP2|"&amp;CAPTURA!DG49,CODIFICACION!$F$2:$F$500,0))="sin dato","",INDEX(CODIFICACION!$E$2:$E$500,MATCH("PP2|"&amp;CAPTURA!DG49,CODIFICACION!$F$2:$F$500,0))),"⚠"))</f>
        <v/>
      </c>
      <c r="CB49" t="str">
        <f t="shared" si="11"/>
        <v/>
      </c>
      <c r="CC49" t="str">
        <f t="shared" si="12"/>
        <v/>
      </c>
      <c r="CD49" t="str">
        <f t="shared" si="13"/>
        <v/>
      </c>
      <c r="CE49" t="str">
        <f t="shared" si="14"/>
        <v/>
      </c>
      <c r="CF49" t="str">
        <f t="shared" si="15"/>
        <v/>
      </c>
      <c r="CG49" t="str">
        <f t="shared" si="16"/>
        <v/>
      </c>
      <c r="CH49" t="str">
        <f t="shared" si="17"/>
        <v/>
      </c>
      <c r="CI49" t="str">
        <f t="shared" si="18"/>
        <v/>
      </c>
      <c r="CJ49" t="str">
        <f t="shared" si="19"/>
        <v/>
      </c>
      <c r="CK49" t="str">
        <f t="shared" si="20"/>
        <v/>
      </c>
      <c r="CL49" t="str">
        <f t="shared" si="21"/>
        <v/>
      </c>
    </row>
    <row r="50" spans="1:90" x14ac:dyDescent="0.3">
      <c r="A50">
        <f>CAPTURA!A50</f>
        <v>20487351343</v>
      </c>
      <c r="B50">
        <f>CAPTURA!C50</f>
        <v>0</v>
      </c>
      <c r="C50" t="str">
        <f>IF(CAPTURA!M50="","",ROUND((ISNUMBER(SEARCH("Alemania",CAPTURA!M50))+ISNUMBER(SEARCH("Bélgica",CAPTURA!M50))+ISNUMBER(SEARCH("Países Bajos",CAPTURA!M50))+ISNUMBER(SEARCH("Francia",CAPTURA!M50))+ISNUMBER(SEARCH("Italia",CAPTURA!M50))+ISNUMBER(SEARCH("España",CAPTURA!M50))+ISNUMBER(SEARCH("Suecia",CAPTURA!M50))+ISNUMBER(SEARCH("Dinamarca",CAPTURA!M50)))/((LEN(CAPTURA!M50)-LEN(SUBSTITUTE(CAPTURA!M50,";","")))+1)*100,1))</f>
        <v/>
      </c>
      <c r="D50" t="str">
        <f>IF(CAPTURA!AE50="","",IFERROR(IF(INDEX(CODIFICACION!$E$2:$E$500,MATCH("P8|"&amp;CAPTURA!AE50,CODIFICACION!$F$2:$F$500,0))="sin dato","",INDEX(CODIFICACION!$E$2:$E$500,MATCH("P8|"&amp;CAPTURA!AE50,CODIFICACION!$F$2:$F$500,0))),"⚠"))</f>
        <v/>
      </c>
      <c r="E50" t="str">
        <f>IF(CAPTURA!AG50="","",IFERROR(IF(INDEX(CODIFICACION!$E$2:$E$500,MATCH("P10|"&amp;CAPTURA!AG50,CODIFICACION!$F$2:$F$500,0))="sin dato","",INDEX(CODIFICACION!$E$2:$E$500,MATCH("P10|"&amp;CAPTURA!AG50,CODIFICACION!$F$2:$F$500,0))),"⚠"))</f>
        <v/>
      </c>
      <c r="F50" t="str">
        <f>IF(CAPTURA!AJ50="","",IFERROR(IF(INDEX(CODIFICACION!$E$2:$E$500,MATCH("P13|"&amp;CAPTURA!AJ50,CODIFICACION!$F$2:$F$500,0))="sin dato","",INDEX(CODIFICACION!$E$2:$E$500,MATCH("P13|"&amp;CAPTURA!AJ50,CODIFICACION!$F$2:$F$500,0))),"⚠"))</f>
        <v/>
      </c>
      <c r="G50" t="str">
        <f>IF(CAPTURA!AK50="","",IFERROR(IF(INDEX(CODIFICACION!$E$2:$E$500,MATCH("P14|"&amp;CAPTURA!AK50,CODIFICACION!$F$2:$F$500,0))="sin dato","",INDEX(CODIFICACION!$E$2:$E$500,MATCH("P14|"&amp;CAPTURA!AK50,CODIFICACION!$F$2:$F$500,0))),"⚠"))</f>
        <v/>
      </c>
      <c r="H50" t="str">
        <f>IF(CAPTURA!AL50="","",IFERROR(IF(INDEX(CODIFICACION!$E$2:$E$500,MATCH("D1.1|"&amp;CAPTURA!AL50,CODIFICACION!$F$2:$F$500,0))="sin dato","",INDEX(CODIFICACION!$E$2:$E$500,MATCH("D1.1|"&amp;CAPTURA!AL50,CODIFICACION!$F$2:$F$500,0))),"⚠"))</f>
        <v/>
      </c>
      <c r="I50" t="str">
        <f>IF(CAPTURA!AN50="","",IFERROR(IF(INDEX(CODIFICACION!$E$2:$E$500,MATCH("D1.3|"&amp;CAPTURA!AN50,CODIFICACION!$F$2:$F$500,0))="sin dato","",INDEX(CODIFICACION!$E$2:$E$500,MATCH("D1.3|"&amp;CAPTURA!AN50,CODIFICACION!$F$2:$F$500,0))),"⚠"))</f>
        <v/>
      </c>
      <c r="J50" t="str">
        <f>IF(CAPTURA!AO50="","",IFERROR(IF(INDEX(CODIFICACION!$E$2:$E$500,MATCH("D1.4|"&amp;CAPTURA!AO50,CODIFICACION!$F$2:$F$500,0))="sin dato","",INDEX(CODIFICACION!$E$2:$E$500,MATCH("D1.4|"&amp;CAPTURA!AO50,CODIFICACION!$F$2:$F$500,0))),"⚠"))</f>
        <v/>
      </c>
      <c r="K50" t="str">
        <f>IF(CAPTURA!AP50="","",IFERROR(IF(INDEX(CODIFICACION!$E$2:$E$500,MATCH("D1.3a|"&amp;CAPTURA!AP50,CODIFICACION!$F$2:$F$500,0))="sin dato","",INDEX(CODIFICACION!$E$2:$E$500,MATCH("D1.3a|"&amp;CAPTURA!AP50,CODIFICACION!$F$2:$F$500,0))),"⚠"))</f>
        <v/>
      </c>
      <c r="L50" t="str">
        <f>IF(CAPTURA!AQ50="","",IF(AND(ISNUMBER(CAPTURA!AQ50),CAPTURA!AQ50&gt;=0,CAPTURA!AQ50&lt;=4),CAPTURA!AQ50*25,"⚠"))</f>
        <v/>
      </c>
      <c r="M50" t="str">
        <f>IF(CAPTURA!AR50="","",IF(ISNUMBER(CAPTURA!AR50),MAX(0,MIN(100,CAPTURA!AR50)),"⚠"))</f>
        <v/>
      </c>
      <c r="N50" t="str">
        <f>IF(CAPTURA!AS50="","",IF(AND(ISNUMBER(CAPTURA!AS50),CAPTURA!AS50&gt;=0,CAPTURA!AS50&lt;=4),CAPTURA!AS50*25,"⚠"))</f>
        <v/>
      </c>
      <c r="O50" t="str">
        <f>IF(CAPTURA!AT50="","",IFERROR(IF(INDEX(CODIFICACION!$E$2:$E$500,MATCH("D2.8|"&amp;CAPTURA!AT50,CODIFICACION!$F$2:$F$500,0))="sin dato","",INDEX(CODIFICACION!$E$2:$E$500,MATCH("D2.8|"&amp;CAPTURA!AT50,CODIFICACION!$F$2:$F$500,0))),"⚠"))</f>
        <v/>
      </c>
      <c r="P50" t="str">
        <f>IF(CAPTURA!AU50="","",IFERROR(IF(INDEX(CODIFICACION!$E$2:$E$500,MATCH("D2.9|"&amp;CAPTURA!AU50,CODIFICACION!$F$2:$F$500,0))="sin dato","",INDEX(CODIFICACION!$E$2:$E$500,MATCH("D2.9|"&amp;CAPTURA!AU50,CODIFICACION!$F$2:$F$500,0))),"⚠"))</f>
        <v/>
      </c>
      <c r="Q50" t="str">
        <f>IF(CAPTURA!AV50="","",IFERROR(IF(INDEX(CODIFICACION!$E$2:$E$500,MATCH("D2.10|"&amp;CAPTURA!AV50,CODIFICACION!$F$2:$F$500,0))="sin dato","",INDEX(CODIFICACION!$E$2:$E$500,MATCH("D2.10|"&amp;CAPTURA!AV50,CODIFICACION!$F$2:$F$500,0))),"⚠"))</f>
        <v/>
      </c>
      <c r="R50" t="str">
        <f>IF(CAPTURA!AW50="","",IFERROR(IF(INDEX(CODIFICACION!$E$2:$E$500,MATCH("D2.5a|"&amp;CAPTURA!AW50,CODIFICACION!$F$2:$F$500,0))="sin dato","",INDEX(CODIFICACION!$E$2:$E$500,MATCH("D2.5a|"&amp;CAPTURA!AW50,CODIFICACION!$F$2:$F$500,0))),"⚠"))</f>
        <v/>
      </c>
      <c r="S50" t="str">
        <f>IF(CAPTURA!AX50="","",IFERROR(IF(INDEX(CODIFICACION!$E$2:$E$500,MATCH("D2.5b|"&amp;CAPTURA!AX50,CODIFICACION!$F$2:$F$500,0))="sin dato","",INDEX(CODIFICACION!$E$2:$E$500,MATCH("D2.5b|"&amp;CAPTURA!AX50,CODIFICACION!$F$2:$F$500,0))),"⚠"))</f>
        <v/>
      </c>
      <c r="T50" t="str">
        <f>IF(CAPTURA!AY50="","",IF(ISNUMBER(CAPTURA!AY50),MAX(0,MIN(100,CAPTURA!AY50)),"⚠"))</f>
        <v/>
      </c>
      <c r="U50" t="str">
        <f>IF(CAPTURA!AZ50="","",IFERROR(IF(INDEX(CODIFICACION!$E$2:$E$500,MATCH("D3.12|"&amp;CAPTURA!AZ50,CODIFICACION!$F$2:$F$500,0))="sin dato","",INDEX(CODIFICACION!$E$2:$E$500,MATCH("D3.12|"&amp;CAPTURA!AZ50,CODIFICACION!$F$2:$F$500,0))),"⚠"))</f>
        <v/>
      </c>
      <c r="V50" t="str">
        <f>IF(CAPTURA!BA50="","",IF(AND(ISNUMBER(CAPTURA!BA50),CAPTURA!BA50&gt;=0,CAPTURA!BA50&lt;=4),CAPTURA!BA50*25,"⚠"))</f>
        <v/>
      </c>
      <c r="W50" t="str">
        <f>IF(CAPTURA!BB50="","",IFERROR(IF(INDEX(CODIFICACION!$E$2:$E$500,MATCH("D3.14|"&amp;CAPTURA!BB50,CODIFICACION!$F$2:$F$500,0))="sin dato","",INDEX(CODIFICACION!$E$2:$E$500,MATCH("D3.14|"&amp;CAPTURA!BB50,CODIFICACION!$F$2:$F$500,0))),"⚠"))</f>
        <v/>
      </c>
      <c r="X50" t="str">
        <f>IF(CAPTURA!BC50="","",IFERROR(IF(INDEX(CODIFICACION!$E$2:$E$500,MATCH("D3.14a|"&amp;CAPTURA!BC50,CODIFICACION!$F$2:$F$500,0))="sin dato","",INDEX(CODIFICACION!$E$2:$E$500,MATCH("D3.14a|"&amp;CAPTURA!BC50,CODIFICACION!$F$2:$F$500,0))),"⚠"))</f>
        <v/>
      </c>
      <c r="Y50" t="str">
        <f>IF(CAPTURA!BD50="","",IFERROR(IF(INDEX(CODIFICACION!$E$2:$E$500,MATCH("D3.14b|"&amp;CAPTURA!BD50,CODIFICACION!$F$2:$F$500,0))="sin dato","",INDEX(CODIFICACION!$E$2:$E$500,MATCH("D3.14b|"&amp;CAPTURA!BD50,CODIFICACION!$F$2:$F$500,0))),"⚠"))</f>
        <v/>
      </c>
      <c r="Z50" t="str">
        <f>IF(CAPTURA!BE50="","",IFERROR(IF(INDEX(CODIFICACION!$E$2:$E$500,MATCH("D3.14c|"&amp;CAPTURA!BE50,CODIFICACION!$F$2:$F$500,0))="sin dato","",INDEX(CODIFICACION!$E$2:$E$500,MATCH("D3.14c|"&amp;CAPTURA!BE50,CODIFICACION!$F$2:$F$500,0))),"⚠"))</f>
        <v/>
      </c>
      <c r="AA50" t="str">
        <f>IF(CAPTURA!BF50="","",IFERROR(IF(INDEX(CODIFICACION!$E$2:$E$500,MATCH("D3.14d|"&amp;CAPTURA!BF50,CODIFICACION!$F$2:$F$500,0))="sin dato","",INDEX(CODIFICACION!$E$2:$E$500,MATCH("D3.14d|"&amp;CAPTURA!BF50,CODIFICACION!$F$2:$F$500,0))),"⚠"))</f>
        <v/>
      </c>
      <c r="AB50" t="str">
        <f>IF(CAPTURA!BG50="","",IFERROR(IF(INDEX(CODIFICACION!$E$2:$E$500,MATCH("D3.14e|"&amp;CAPTURA!BG50,CODIFICACION!$F$2:$F$500,0))="sin dato","",INDEX(CODIFICACION!$E$2:$E$500,MATCH("D3.14e|"&amp;CAPTURA!BG50,CODIFICACION!$F$2:$F$500,0))),"⚠"))</f>
        <v/>
      </c>
      <c r="AC50" t="str">
        <f>IF(CAPTURA!BH50="","",IFERROR(IF(INDEX(CODIFICACION!$E$2:$E$500,MATCH("D3.14f|"&amp;CAPTURA!BH50,CODIFICACION!$F$2:$F$500,0))="sin dato","",INDEX(CODIFICACION!$E$2:$E$500,MATCH("D3.14f|"&amp;CAPTURA!BH50,CODIFICACION!$F$2:$F$500,0))),"⚠"))</f>
        <v/>
      </c>
      <c r="AD50" t="str">
        <f>IF(CAPTURA!BI50="","",IFERROR(IF(INDEX(CODIFICACION!$E$2:$E$500,MATCH("D3.14g|"&amp;CAPTURA!BI50,CODIFICACION!$F$2:$F$500,0))="sin dato","",INDEX(CODIFICACION!$E$2:$E$500,MATCH("D3.14g|"&amp;CAPTURA!BI50,CODIFICACION!$F$2:$F$500,0))),"⚠"))</f>
        <v/>
      </c>
      <c r="AE50" t="str">
        <f>IF(CAPTURA!BJ50="","",IFERROR(IF(INDEX(CODIFICACION!$E$2:$E$500,MATCH("D3.14h|"&amp;CAPTURA!BJ50,CODIFICACION!$F$2:$F$500,0))="sin dato","",INDEX(CODIFICACION!$E$2:$E$500,MATCH("D3.14h|"&amp;CAPTURA!BJ50,CODIFICACION!$F$2:$F$500,0))),"⚠"))</f>
        <v/>
      </c>
      <c r="AF50" t="str">
        <f>IF(CAPTURA!BK50="","",IFERROR(IF(INDEX(CODIFICACION!$E$2:$E$500,MATCH("D3.14i|"&amp;CAPTURA!BK50,CODIFICACION!$F$2:$F$500,0))="sin dato","",INDEX(CODIFICACION!$E$2:$E$500,MATCH("D3.14i|"&amp;CAPTURA!BK50,CODIFICACION!$F$2:$F$500,0))),"⚠"))</f>
        <v/>
      </c>
      <c r="AG50" t="str">
        <f>IF(CAPTURA!BL50="","",IFERROR(IF(INDEX(CODIFICACION!$E$2:$E$500,MATCH("D4.15|"&amp;CAPTURA!BL50,CODIFICACION!$F$2:$F$500,0))="sin dato","",INDEX(CODIFICACION!$E$2:$E$500,MATCH("D4.15|"&amp;CAPTURA!BL50,CODIFICACION!$F$2:$F$500,0))),"⚠"))</f>
        <v/>
      </c>
      <c r="AH50" t="str">
        <f>IF(CAPTURA!BM50="","",IF(AND(ISNUMBER(CAPTURA!BM50),CAPTURA!BM50&gt;=0,CAPTURA!BM50&lt;=4),CAPTURA!BM50*25,"⚠"))</f>
        <v/>
      </c>
      <c r="AI50" t="str">
        <f>IF(CAPTURA!BN50="","",IFERROR(IF(INDEX(CODIFICACION!$E$2:$E$500,MATCH("D4.17|"&amp;CAPTURA!BN50,CODIFICACION!$F$2:$F$500,0))="sin dato","",INDEX(CODIFICACION!$E$2:$E$500,MATCH("D4.17|"&amp;CAPTURA!BN50,CODIFICACION!$F$2:$F$500,0))),"⚠"))</f>
        <v/>
      </c>
      <c r="AJ50" t="str">
        <f>IF(CAPTURA!BO50="","",IFERROR(IF(INDEX(CODIFICACION!$E$2:$E$500,MATCH("D4.15a|"&amp;CAPTURA!BO50,CODIFICACION!$F$2:$F$500,0))="sin dato","",INDEX(CODIFICACION!$E$2:$E$500,MATCH("D4.15a|"&amp;CAPTURA!BO50,CODIFICACION!$F$2:$F$500,0))),"⚠"))</f>
        <v/>
      </c>
      <c r="AK50" t="str">
        <f>IF(CAPTURA!BP50="","",IF(AND(ISNUMBER(CAPTURA!BP50),CAPTURA!BP50&gt;=0,CAPTURA!BP50&lt;=4),CAPTURA!BP50*25,"⚠"))</f>
        <v/>
      </c>
      <c r="AL50" t="str">
        <f>IF(CAPTURA!BQ50="","",IF(AND(ISNUMBER(CAPTURA!BQ50),CAPTURA!BQ50&gt;=0,CAPTURA!BQ50&lt;=4),CAPTURA!BQ50*25,"⚠"))</f>
        <v/>
      </c>
      <c r="AM50" t="str">
        <f>IF(CAPTURA!BR50="","",IFERROR(IF(INDEX(CODIFICACION!$E$2:$E$500,MATCH("D5.18b|"&amp;CAPTURA!BR50,CODIFICACION!$F$2:$F$500,0))="sin dato","",INDEX(CODIFICACION!$E$2:$E$500,MATCH("D5.18b|"&amp;CAPTURA!BR50,CODIFICACION!$F$2:$F$500,0))),"⚠"))</f>
        <v/>
      </c>
      <c r="AN50" t="str">
        <f>IF(CAPTURA!BS50="","",IFERROR(IF(INDEX(CODIFICACION!$E$2:$E$500,MATCH("D5.19|"&amp;CAPTURA!BS50,CODIFICACION!$F$2:$F$500,0))="sin dato","",INDEX(CODIFICACION!$E$2:$E$500,MATCH("D5.19|"&amp;CAPTURA!BS50,CODIFICACION!$F$2:$F$500,0))),"⚠"))</f>
        <v/>
      </c>
      <c r="AO50" t="str">
        <f>IF(CAPTURA!BT50="","",MIN(100,ROUND((LEN(CAPTURA!BT50)-LEN(SUBSTITUTE(CAPTURA!BT50,";",""))+1)/7*100,1)))</f>
        <v/>
      </c>
      <c r="AP50" t="str">
        <f>IF(CAPTURA!BU50="","",IFERROR(IF(INDEX(CODIFICACION!$E$2:$E$500,MATCH("D5.20|"&amp;CAPTURA!BU50,CODIFICACION!$F$2:$F$500,0))="sin dato","",INDEX(CODIFICACION!$E$2:$E$500,MATCH("D5.20|"&amp;CAPTURA!BU50,CODIFICACION!$F$2:$F$500,0))),"⚠"))</f>
        <v/>
      </c>
      <c r="AQ50" t="str">
        <f>IF(CAPTURA!BV50="","",IFERROR(IF(INDEX(CODIFICACION!$E$2:$E$500,MATCH("D5.21|"&amp;CAPTURA!BV50,CODIFICACION!$F$2:$F$500,0))="sin dato","",INDEX(CODIFICACION!$E$2:$E$500,MATCH("D5.21|"&amp;CAPTURA!BV50,CODIFICACION!$F$2:$F$500,0))),"⚠"))</f>
        <v/>
      </c>
      <c r="AR50" t="str">
        <f>IF(CAPTURA!BW50="","",IFERROR(IF(INDEX(CODIFICACION!$E$2:$E$500,MATCH("D5.21a|"&amp;CAPTURA!BW50,CODIFICACION!$F$2:$F$500,0))="sin dato","",INDEX(CODIFICACION!$E$2:$E$500,MATCH("D5.21a|"&amp;CAPTURA!BW50,CODIFICACION!$F$2:$F$500,0))),"⚠"))</f>
        <v/>
      </c>
      <c r="AS50" t="str">
        <f>IF(CAPTURA!BX50="","",IFERROR(IF(INDEX(CODIFICACION!$E$2:$E$500,MATCH("D5.21b|"&amp;CAPTURA!BX50,CODIFICACION!$F$2:$F$500,0))="sin dato","",INDEX(CODIFICACION!$E$2:$E$500,MATCH("D5.21b|"&amp;CAPTURA!BX50,CODIFICACION!$F$2:$F$500,0))),"⚠"))</f>
        <v/>
      </c>
      <c r="AT50" t="str">
        <f>IF(CAPTURA!BY50="","",IFERROR(IF(INDEX(CODIFICACION!$E$2:$E$500,MATCH("D6.22|"&amp;CAPTURA!BY50,CODIFICACION!$F$2:$F$500,0))="sin dato","",INDEX(CODIFICACION!$E$2:$E$500,MATCH("D6.22|"&amp;CAPTURA!BY50,CODIFICACION!$F$2:$F$500,0))),"⚠"))</f>
        <v/>
      </c>
      <c r="AU50" t="str">
        <f>IF(CAPTURA!BZ50="","",IFERROR(IF(INDEX(CODIFICACION!$E$2:$E$500,MATCH("D6.22a|"&amp;CAPTURA!BZ50,CODIFICACION!$F$2:$F$500,0))="sin dato","",INDEX(CODIFICACION!$E$2:$E$500,MATCH("D6.22a|"&amp;CAPTURA!BZ50,CODIFICACION!$F$2:$F$500,0))),"⚠"))</f>
        <v/>
      </c>
      <c r="AV50" t="str">
        <f>IF(CAPTURA!CA50="","",IFERROR(IF(INDEX(CODIFICACION!$E$2:$E$500,MATCH("D6.22b|"&amp;CAPTURA!CA50,CODIFICACION!$F$2:$F$500,0))="sin dato","",INDEX(CODIFICACION!$E$2:$E$500,MATCH("D6.22b|"&amp;CAPTURA!CA50,CODIFICACION!$F$2:$F$500,0))),"⚠"))</f>
        <v/>
      </c>
      <c r="AW50" t="str">
        <f>IF(CAPTURA!CB50="","",IFERROR(IF(INDEX(CODIFICACION!$E$2:$E$500,MATCH("D6.23|"&amp;CAPTURA!CB50,CODIFICACION!$F$2:$F$500,0))="sin dato","",INDEX(CODIFICACION!$E$2:$E$500,MATCH("D6.23|"&amp;CAPTURA!CB50,CODIFICACION!$F$2:$F$500,0))),"⚠"))</f>
        <v/>
      </c>
      <c r="AX50" t="str">
        <f>IF(CAPTURA!CC50="","",IFERROR(IF(INDEX(CODIFICACION!$E$2:$E$500,MATCH("D6.24|"&amp;CAPTURA!CC50,CODIFICACION!$F$2:$F$500,0))="sin dato","",INDEX(CODIFICACION!$E$2:$E$500,MATCH("D6.24|"&amp;CAPTURA!CC50,CODIFICACION!$F$2:$F$500,0))),"⚠"))</f>
        <v/>
      </c>
      <c r="AY50" t="str">
        <f>IF(CAPTURA!CD50="","",IFERROR(IF(INDEX(CODIFICACION!$E$2:$E$500,MATCH("D6.25|"&amp;CAPTURA!CD50,CODIFICACION!$F$2:$F$500,0))="sin dato","",INDEX(CODIFICACION!$E$2:$E$500,MATCH("D6.25|"&amp;CAPTURA!CD50,CODIFICACION!$F$2:$F$500,0))),"⚠"))</f>
        <v/>
      </c>
      <c r="AZ50" t="str">
        <f>IF(CAPTURA!CE50="","",IFERROR(IF(INDEX(CODIFICACION!$E$2:$E$500,MATCH("D6.25a|"&amp;CAPTURA!CE50,CODIFICACION!$F$2:$F$500,0))="sin dato","",INDEX(CODIFICACION!$E$2:$E$500,MATCH("D6.25a|"&amp;CAPTURA!CE50,CODIFICACION!$F$2:$F$500,0))),"⚠"))</f>
        <v/>
      </c>
      <c r="BA50" t="str">
        <f>IF(CAPTURA!CF50="","",IFERROR(IF(INDEX(CODIFICACION!$E$2:$E$500,MATCH("D6.25b|"&amp;CAPTURA!CF50,CODIFICACION!$F$2:$F$500,0))="sin dato","",INDEX(CODIFICACION!$E$2:$E$500,MATCH("D6.25b|"&amp;CAPTURA!CF50,CODIFICACION!$F$2:$F$500,0))),"⚠"))</f>
        <v/>
      </c>
      <c r="BB50" t="str">
        <f>IF(CAPTURA!CG50="","",IFERROR(IF(INDEX(CODIFICACION!$E$2:$E$500,MATCH("D6.22c|"&amp;CAPTURA!CG50,CODIFICACION!$F$2:$F$500,0))="sin dato","",INDEX(CODIFICACION!$E$2:$E$500,MATCH("D6.22c|"&amp;CAPTURA!CG50,CODIFICACION!$F$2:$F$500,0))),"⚠"))</f>
        <v/>
      </c>
      <c r="BC50" t="str">
        <f>IF(CAPTURA!CH50="","",IFERROR(IF(INDEX(CODIFICACION!$E$2:$E$500,MATCH("D7.26|"&amp;CAPTURA!CH50,CODIFICACION!$F$2:$F$500,0))="sin dato","",INDEX(CODIFICACION!$E$2:$E$500,MATCH("D7.26|"&amp;CAPTURA!CH50,CODIFICACION!$F$2:$F$500,0))),"⚠"))</f>
        <v/>
      </c>
      <c r="BD50" t="str">
        <f>IF(CAPTURA!CI50="","",IFERROR(IF(INDEX(CODIFICACION!$E$2:$E$500,MATCH("D7.27|"&amp;CAPTURA!CI50,CODIFICACION!$F$2:$F$500,0))="sin dato","",INDEX(CODIFICACION!$E$2:$E$500,MATCH("D7.27|"&amp;CAPTURA!CI50,CODIFICACION!$F$2:$F$500,0))),"⚠"))</f>
        <v/>
      </c>
      <c r="BE50" t="str">
        <f>IF(CAPTURA!CJ50="","",IFERROR(IF(INDEX(CODIFICACION!$E$2:$E$500,MATCH("D7.28|"&amp;CAPTURA!CJ50,CODIFICACION!$F$2:$F$500,0))="sin dato","",INDEX(CODIFICACION!$E$2:$E$500,MATCH("D7.28|"&amp;CAPTURA!CJ50,CODIFICACION!$F$2:$F$500,0))),"⚠"))</f>
        <v/>
      </c>
      <c r="BF50" t="str">
        <f>IF(CAPTURA!CK50="","",IFERROR(IF(INDEX(CODIFICACION!$E$2:$E$500,MATCH("D7.28b|"&amp;CAPTURA!CK50,CODIFICACION!$F$2:$F$500,0))="sin dato","",INDEX(CODIFICACION!$E$2:$E$500,MATCH("D7.28b|"&amp;CAPTURA!CK50,CODIFICACION!$F$2:$F$500,0))),"⚠"))</f>
        <v/>
      </c>
      <c r="BG50" t="str">
        <f>IF(CAPTURA!CL50="","",MIN(100,ROUND((LEN(CAPTURA!CL50)-LEN(SUBSTITUTE(CAPTURA!CL50,";",""))+1)/8*100,1)))</f>
        <v/>
      </c>
      <c r="BH50" t="str">
        <f>IF(CAPTURA!CM50="","",IFERROR(IF(INDEX(CODIFICACION!$E$2:$E$500,MATCH("D7.26a|"&amp;CAPTURA!CM50,CODIFICACION!$F$2:$F$500,0))="sin dato","",INDEX(CODIFICACION!$E$2:$E$500,MATCH("D7.26a|"&amp;CAPTURA!CM50,CODIFICACION!$F$2:$F$500,0))),"⚠"))</f>
        <v/>
      </c>
      <c r="BI50" t="str">
        <f>IF(CAPTURA!CN50="","",IFERROR(IF(INDEX(CODIFICACION!$E$2:$E$500,MATCH("D7.26b|"&amp;CAPTURA!CN50,CODIFICACION!$F$2:$F$500,0))="sin dato","",INDEX(CODIFICACION!$E$2:$E$500,MATCH("D7.26b|"&amp;CAPTURA!CN50,CODIFICACION!$F$2:$F$500,0))),"⚠"))</f>
        <v/>
      </c>
      <c r="BJ50" t="str">
        <f>IF(CAPTURA!CO50="","",IF(AND(ISNUMBER(CAPTURA!CO50),CAPTURA!CO50&gt;=0,CAPTURA!CO50&lt;=4),CAPTURA!CO50*25,"⚠"))</f>
        <v/>
      </c>
      <c r="BK50" t="str">
        <f>IF(CAPTURA!CP50="","",IF(ISNUMBER(CAPTURA!CP50),MAX(0,MIN(100,CAPTURA!CP50)),"⚠"))</f>
        <v/>
      </c>
      <c r="BL50" t="str">
        <f>IF(CAPTURA!CQ50="","",IFERROR(IF(INDEX(CODIFICACION!$E$2:$E$500,MATCH("D8.31|"&amp;CAPTURA!CQ50,CODIFICACION!$F$2:$F$500,0))="sin dato","",INDEX(CODIFICACION!$E$2:$E$500,MATCH("D8.31|"&amp;CAPTURA!CQ50,CODIFICACION!$F$2:$F$500,0))),"⚠"))</f>
        <v/>
      </c>
      <c r="BM50" t="str">
        <f>IF(CAPTURA!CR50="","",IFERROR(IF(INDEX(CODIFICACION!$E$2:$E$500,MATCH("D8.32|"&amp;CAPTURA!CR50,CODIFICACION!$F$2:$F$500,0))="sin dato","",INDEX(CODIFICACION!$E$2:$E$500,MATCH("D8.32|"&amp;CAPTURA!CR50,CODIFICACION!$F$2:$F$500,0))),"⚠"))</f>
        <v/>
      </c>
      <c r="BN50" t="str">
        <f>IF(CAPTURA!CS50="","",IFERROR(IF(INDEX(CODIFICACION!$E$2:$E$500,MATCH("D9.33|"&amp;CAPTURA!CS50,CODIFICACION!$F$2:$F$500,0))="sin dato","",INDEX(CODIFICACION!$E$2:$E$500,MATCH("D9.33|"&amp;CAPTURA!CS50,CODIFICACION!$F$2:$F$500,0))),"⚠"))</f>
        <v/>
      </c>
      <c r="BO50" t="str">
        <f>IF(CAPTURA!CT50="","",IFERROR(IF(INDEX(CODIFICACION!$E$2:$E$500,MATCH("D9.34|"&amp;CAPTURA!CT50,CODIFICACION!$F$2:$F$500,0))="sin dato","",INDEX(CODIFICACION!$E$2:$E$500,MATCH("D9.34|"&amp;CAPTURA!CT50,CODIFICACION!$F$2:$F$500,0))),"⚠"))</f>
        <v/>
      </c>
      <c r="BP50" t="str">
        <f>IF(CAPTURA!CU50="","",IFERROR(IF(INDEX(CODIFICACION!$E$2:$E$500,MATCH("D9.35|"&amp;CAPTURA!CU50,CODIFICACION!$F$2:$F$500,0))="sin dato","",INDEX(CODIFICACION!$E$2:$E$500,MATCH("D9.35|"&amp;CAPTURA!CU50,CODIFICACION!$F$2:$F$500,0))),"⚠"))</f>
        <v/>
      </c>
      <c r="BQ50" t="str">
        <f>IF(CAPTURA!CV50="","",IFERROR(IF(INDEX(CODIFICACION!$E$2:$E$500,MATCH("D10.36|"&amp;CAPTURA!CV50,CODIFICACION!$F$2:$F$500,0))="sin dato","",INDEX(CODIFICACION!$E$2:$E$500,MATCH("D10.36|"&amp;CAPTURA!CV50,CODIFICACION!$F$2:$F$500,0))),"⚠"))</f>
        <v/>
      </c>
      <c r="BR50" t="str">
        <f>IF(CAPTURA!CW50="","",IFERROR(IF(INDEX(CODIFICACION!$E$2:$E$500,MATCH("D10.37|"&amp;CAPTURA!CW50,CODIFICACION!$F$2:$F$500,0))="sin dato","",INDEX(CODIFICACION!$E$2:$E$500,MATCH("D10.37|"&amp;CAPTURA!CW50,CODIFICACION!$F$2:$F$500,0))),"⚠"))</f>
        <v/>
      </c>
      <c r="BS50" t="str">
        <f>IF(CAPTURA!CX50="","",IFERROR(IF(INDEX(CODIFICACION!$E$2:$E$500,MATCH("D10.36a|"&amp;CAPTURA!CX50,CODIFICACION!$F$2:$F$500,0))="sin dato","",INDEX(CODIFICACION!$E$2:$E$500,MATCH("D10.36a|"&amp;CAPTURA!CX50,CODIFICACION!$F$2:$F$500,0))),"⚠"))</f>
        <v/>
      </c>
      <c r="BT50" t="str">
        <f>IF(CAPTURA!CY50="","",IF(ISNUMBER(SEARCH("Ninguno",CAPTURA!CY50)),0,MIN(100,ROUND((LEN(CAPTURA!CY50)-LEN(SUBSTITUTE(CAPTURA!CY50,";",""))+1)/6*100,1))))</f>
        <v/>
      </c>
      <c r="BU50" t="str">
        <f>IF(CAPTURA!DA50="","",IFERROR(IF(INDEX(CODIFICACION!$E$2:$E$500,MATCH("D11.39a|"&amp;CAPTURA!DA50,CODIFICACION!$F$2:$F$500,0))="sin dato","",INDEX(CODIFICACION!$E$2:$E$500,MATCH("D11.39a|"&amp;CAPTURA!DA50,CODIFICACION!$F$2:$F$500,0))),"⚠"))</f>
        <v/>
      </c>
      <c r="BV50" t="str">
        <f>IF(CAPTURA!DB50="","",IFERROR(IF(INDEX(CODIFICACION!$E$2:$E$500,MATCH("D12.42|"&amp;CAPTURA!DB50,CODIFICACION!$F$2:$F$500,0))="sin dato","",INDEX(CODIFICACION!$E$2:$E$500,MATCH("D12.42|"&amp;CAPTURA!DB50,CODIFICACION!$F$2:$F$500,0))),"⚠"))</f>
        <v/>
      </c>
      <c r="BW50" t="str">
        <f>IF(CAPTURA!DC50="","",IFERROR(IF(INDEX(CODIFICACION!$E$2:$E$500,MATCH("D13.45|"&amp;CAPTURA!DC50,CODIFICACION!$F$2:$F$500,0))="sin dato","",INDEX(CODIFICACION!$E$2:$E$500,MATCH("D13.45|"&amp;CAPTURA!DC50,CODIFICACION!$F$2:$F$500,0))),"⚠"))</f>
        <v/>
      </c>
      <c r="BX50" t="str">
        <f>IF(CAPTURA!DD50="","",IFERROR(IF(INDEX(CODIFICACION!$E$2:$E$500,MATCH("D14.51|"&amp;CAPTURA!DD50,CODIFICACION!$F$2:$F$500,0))="sin dato","",INDEX(CODIFICACION!$E$2:$E$500,MATCH("D14.51|"&amp;CAPTURA!DD50,CODIFICACION!$F$2:$F$500,0))),"⚠"))</f>
        <v/>
      </c>
      <c r="BY50" t="str">
        <f>IF(CAPTURA!DE50="","",IFERROR(IF(INDEX(CODIFICACION!$E$2:$E$500,MATCH("D15.58|"&amp;CAPTURA!DE50,CODIFICACION!$F$2:$F$500,0))="sin dato","",INDEX(CODIFICACION!$E$2:$E$500,MATCH("D15.58|"&amp;CAPTURA!DE50,CODIFICACION!$F$2:$F$500,0))),"⚠"))</f>
        <v/>
      </c>
      <c r="BZ50" t="str">
        <f>IF(CAPTURA!DF50="","",IFERROR(IF(INDEX(CODIFICACION!$E$2:$E$500,MATCH("PP1|"&amp;CAPTURA!DF50,CODIFICACION!$F$2:$F$500,0))="sin dato","",INDEX(CODIFICACION!$E$2:$E$500,MATCH("PP1|"&amp;CAPTURA!DF50,CODIFICACION!$F$2:$F$500,0))),"⚠"))</f>
        <v/>
      </c>
      <c r="CA50" t="str">
        <f>IF(CAPTURA!DG50="","",IFERROR(IF(INDEX(CODIFICACION!$E$2:$E$500,MATCH("PP2|"&amp;CAPTURA!DG50,CODIFICACION!$F$2:$F$500,0))="sin dato","",INDEX(CODIFICACION!$E$2:$E$500,MATCH("PP2|"&amp;CAPTURA!DG50,CODIFICACION!$F$2:$F$500,0))),"⚠"))</f>
        <v/>
      </c>
      <c r="CB50" t="str">
        <f t="shared" si="11"/>
        <v/>
      </c>
      <c r="CC50" t="str">
        <f t="shared" si="12"/>
        <v/>
      </c>
      <c r="CD50" t="str">
        <f t="shared" si="13"/>
        <v/>
      </c>
      <c r="CE50" t="str">
        <f t="shared" si="14"/>
        <v/>
      </c>
      <c r="CF50" t="str">
        <f t="shared" si="15"/>
        <v/>
      </c>
      <c r="CG50" t="str">
        <f t="shared" si="16"/>
        <v/>
      </c>
      <c r="CH50" t="str">
        <f t="shared" si="17"/>
        <v/>
      </c>
      <c r="CI50" t="str">
        <f t="shared" si="18"/>
        <v/>
      </c>
      <c r="CJ50" t="str">
        <f t="shared" si="19"/>
        <v/>
      </c>
      <c r="CK50" t="str">
        <f t="shared" si="20"/>
        <v/>
      </c>
      <c r="CL50" t="str">
        <f t="shared" si="21"/>
        <v/>
      </c>
    </row>
    <row r="51" spans="1:90" x14ac:dyDescent="0.3">
      <c r="A51">
        <f>CAPTURA!A51</f>
        <v>20487661539</v>
      </c>
      <c r="B51">
        <f>CAPTURA!C51</f>
        <v>0</v>
      </c>
      <c r="C51" t="str">
        <f>IF(CAPTURA!M51="","",ROUND((ISNUMBER(SEARCH("Alemania",CAPTURA!M51))+ISNUMBER(SEARCH("Bélgica",CAPTURA!M51))+ISNUMBER(SEARCH("Países Bajos",CAPTURA!M51))+ISNUMBER(SEARCH("Francia",CAPTURA!M51))+ISNUMBER(SEARCH("Italia",CAPTURA!M51))+ISNUMBER(SEARCH("España",CAPTURA!M51))+ISNUMBER(SEARCH("Suecia",CAPTURA!M51))+ISNUMBER(SEARCH("Dinamarca",CAPTURA!M51)))/((LEN(CAPTURA!M51)-LEN(SUBSTITUTE(CAPTURA!M51,";","")))+1)*100,1))</f>
        <v/>
      </c>
      <c r="D51" t="str">
        <f>IF(CAPTURA!AE51="","",IFERROR(IF(INDEX(CODIFICACION!$E$2:$E$500,MATCH("P8|"&amp;CAPTURA!AE51,CODIFICACION!$F$2:$F$500,0))="sin dato","",INDEX(CODIFICACION!$E$2:$E$500,MATCH("P8|"&amp;CAPTURA!AE51,CODIFICACION!$F$2:$F$500,0))),"⚠"))</f>
        <v/>
      </c>
      <c r="E51" t="str">
        <f>IF(CAPTURA!AG51="","",IFERROR(IF(INDEX(CODIFICACION!$E$2:$E$500,MATCH("P10|"&amp;CAPTURA!AG51,CODIFICACION!$F$2:$F$500,0))="sin dato","",INDEX(CODIFICACION!$E$2:$E$500,MATCH("P10|"&amp;CAPTURA!AG51,CODIFICACION!$F$2:$F$500,0))),"⚠"))</f>
        <v/>
      </c>
      <c r="F51" t="str">
        <f>IF(CAPTURA!AJ51="","",IFERROR(IF(INDEX(CODIFICACION!$E$2:$E$500,MATCH("P13|"&amp;CAPTURA!AJ51,CODIFICACION!$F$2:$F$500,0))="sin dato","",INDEX(CODIFICACION!$E$2:$E$500,MATCH("P13|"&amp;CAPTURA!AJ51,CODIFICACION!$F$2:$F$500,0))),"⚠"))</f>
        <v/>
      </c>
      <c r="G51" t="str">
        <f>IF(CAPTURA!AK51="","",IFERROR(IF(INDEX(CODIFICACION!$E$2:$E$500,MATCH("P14|"&amp;CAPTURA!AK51,CODIFICACION!$F$2:$F$500,0))="sin dato","",INDEX(CODIFICACION!$E$2:$E$500,MATCH("P14|"&amp;CAPTURA!AK51,CODIFICACION!$F$2:$F$500,0))),"⚠"))</f>
        <v/>
      </c>
      <c r="H51" t="str">
        <f>IF(CAPTURA!AL51="","",IFERROR(IF(INDEX(CODIFICACION!$E$2:$E$500,MATCH("D1.1|"&amp;CAPTURA!AL51,CODIFICACION!$F$2:$F$500,0))="sin dato","",INDEX(CODIFICACION!$E$2:$E$500,MATCH("D1.1|"&amp;CAPTURA!AL51,CODIFICACION!$F$2:$F$500,0))),"⚠"))</f>
        <v/>
      </c>
      <c r="I51" t="str">
        <f>IF(CAPTURA!AN51="","",IFERROR(IF(INDEX(CODIFICACION!$E$2:$E$500,MATCH("D1.3|"&amp;CAPTURA!AN51,CODIFICACION!$F$2:$F$500,0))="sin dato","",INDEX(CODIFICACION!$E$2:$E$500,MATCH("D1.3|"&amp;CAPTURA!AN51,CODIFICACION!$F$2:$F$500,0))),"⚠"))</f>
        <v/>
      </c>
      <c r="J51" t="str">
        <f>IF(CAPTURA!AO51="","",IFERROR(IF(INDEX(CODIFICACION!$E$2:$E$500,MATCH("D1.4|"&amp;CAPTURA!AO51,CODIFICACION!$F$2:$F$500,0))="sin dato","",INDEX(CODIFICACION!$E$2:$E$500,MATCH("D1.4|"&amp;CAPTURA!AO51,CODIFICACION!$F$2:$F$500,0))),"⚠"))</f>
        <v/>
      </c>
      <c r="K51" t="str">
        <f>IF(CAPTURA!AP51="","",IFERROR(IF(INDEX(CODIFICACION!$E$2:$E$500,MATCH("D1.3a|"&amp;CAPTURA!AP51,CODIFICACION!$F$2:$F$500,0))="sin dato","",INDEX(CODIFICACION!$E$2:$E$500,MATCH("D1.3a|"&amp;CAPTURA!AP51,CODIFICACION!$F$2:$F$500,0))),"⚠"))</f>
        <v/>
      </c>
      <c r="L51" t="str">
        <f>IF(CAPTURA!AQ51="","",IF(AND(ISNUMBER(CAPTURA!AQ51),CAPTURA!AQ51&gt;=0,CAPTURA!AQ51&lt;=4),CAPTURA!AQ51*25,"⚠"))</f>
        <v/>
      </c>
      <c r="M51" t="str">
        <f>IF(CAPTURA!AR51="","",IF(ISNUMBER(CAPTURA!AR51),MAX(0,MIN(100,CAPTURA!AR51)),"⚠"))</f>
        <v/>
      </c>
      <c r="N51" t="str">
        <f>IF(CAPTURA!AS51="","",IF(AND(ISNUMBER(CAPTURA!AS51),CAPTURA!AS51&gt;=0,CAPTURA!AS51&lt;=4),CAPTURA!AS51*25,"⚠"))</f>
        <v/>
      </c>
      <c r="O51" t="str">
        <f>IF(CAPTURA!AT51="","",IFERROR(IF(INDEX(CODIFICACION!$E$2:$E$500,MATCH("D2.8|"&amp;CAPTURA!AT51,CODIFICACION!$F$2:$F$500,0))="sin dato","",INDEX(CODIFICACION!$E$2:$E$500,MATCH("D2.8|"&amp;CAPTURA!AT51,CODIFICACION!$F$2:$F$500,0))),"⚠"))</f>
        <v/>
      </c>
      <c r="P51" t="str">
        <f>IF(CAPTURA!AU51="","",IFERROR(IF(INDEX(CODIFICACION!$E$2:$E$500,MATCH("D2.9|"&amp;CAPTURA!AU51,CODIFICACION!$F$2:$F$500,0))="sin dato","",INDEX(CODIFICACION!$E$2:$E$500,MATCH("D2.9|"&amp;CAPTURA!AU51,CODIFICACION!$F$2:$F$500,0))),"⚠"))</f>
        <v/>
      </c>
      <c r="Q51" t="str">
        <f>IF(CAPTURA!AV51="","",IFERROR(IF(INDEX(CODIFICACION!$E$2:$E$500,MATCH("D2.10|"&amp;CAPTURA!AV51,CODIFICACION!$F$2:$F$500,0))="sin dato","",INDEX(CODIFICACION!$E$2:$E$500,MATCH("D2.10|"&amp;CAPTURA!AV51,CODIFICACION!$F$2:$F$500,0))),"⚠"))</f>
        <v/>
      </c>
      <c r="R51" t="str">
        <f>IF(CAPTURA!AW51="","",IFERROR(IF(INDEX(CODIFICACION!$E$2:$E$500,MATCH("D2.5a|"&amp;CAPTURA!AW51,CODIFICACION!$F$2:$F$500,0))="sin dato","",INDEX(CODIFICACION!$E$2:$E$500,MATCH("D2.5a|"&amp;CAPTURA!AW51,CODIFICACION!$F$2:$F$500,0))),"⚠"))</f>
        <v/>
      </c>
      <c r="S51" t="str">
        <f>IF(CAPTURA!AX51="","",IFERROR(IF(INDEX(CODIFICACION!$E$2:$E$500,MATCH("D2.5b|"&amp;CAPTURA!AX51,CODIFICACION!$F$2:$F$500,0))="sin dato","",INDEX(CODIFICACION!$E$2:$E$500,MATCH("D2.5b|"&amp;CAPTURA!AX51,CODIFICACION!$F$2:$F$500,0))),"⚠"))</f>
        <v/>
      </c>
      <c r="T51" t="str">
        <f>IF(CAPTURA!AY51="","",IF(ISNUMBER(CAPTURA!AY51),MAX(0,MIN(100,CAPTURA!AY51)),"⚠"))</f>
        <v/>
      </c>
      <c r="U51" t="str">
        <f>IF(CAPTURA!AZ51="","",IFERROR(IF(INDEX(CODIFICACION!$E$2:$E$500,MATCH("D3.12|"&amp;CAPTURA!AZ51,CODIFICACION!$F$2:$F$500,0))="sin dato","",INDEX(CODIFICACION!$E$2:$E$500,MATCH("D3.12|"&amp;CAPTURA!AZ51,CODIFICACION!$F$2:$F$500,0))),"⚠"))</f>
        <v/>
      </c>
      <c r="V51" t="str">
        <f>IF(CAPTURA!BA51="","",IF(AND(ISNUMBER(CAPTURA!BA51),CAPTURA!BA51&gt;=0,CAPTURA!BA51&lt;=4),CAPTURA!BA51*25,"⚠"))</f>
        <v/>
      </c>
      <c r="W51" t="str">
        <f>IF(CAPTURA!BB51="","",IFERROR(IF(INDEX(CODIFICACION!$E$2:$E$500,MATCH("D3.14|"&amp;CAPTURA!BB51,CODIFICACION!$F$2:$F$500,0))="sin dato","",INDEX(CODIFICACION!$E$2:$E$500,MATCH("D3.14|"&amp;CAPTURA!BB51,CODIFICACION!$F$2:$F$500,0))),"⚠"))</f>
        <v/>
      </c>
      <c r="X51" t="str">
        <f>IF(CAPTURA!BC51="","",IFERROR(IF(INDEX(CODIFICACION!$E$2:$E$500,MATCH("D3.14a|"&amp;CAPTURA!BC51,CODIFICACION!$F$2:$F$500,0))="sin dato","",INDEX(CODIFICACION!$E$2:$E$500,MATCH("D3.14a|"&amp;CAPTURA!BC51,CODIFICACION!$F$2:$F$500,0))),"⚠"))</f>
        <v/>
      </c>
      <c r="Y51" t="str">
        <f>IF(CAPTURA!BD51="","",IFERROR(IF(INDEX(CODIFICACION!$E$2:$E$500,MATCH("D3.14b|"&amp;CAPTURA!BD51,CODIFICACION!$F$2:$F$500,0))="sin dato","",INDEX(CODIFICACION!$E$2:$E$500,MATCH("D3.14b|"&amp;CAPTURA!BD51,CODIFICACION!$F$2:$F$500,0))),"⚠"))</f>
        <v/>
      </c>
      <c r="Z51" t="str">
        <f>IF(CAPTURA!BE51="","",IFERROR(IF(INDEX(CODIFICACION!$E$2:$E$500,MATCH("D3.14c|"&amp;CAPTURA!BE51,CODIFICACION!$F$2:$F$500,0))="sin dato","",INDEX(CODIFICACION!$E$2:$E$500,MATCH("D3.14c|"&amp;CAPTURA!BE51,CODIFICACION!$F$2:$F$500,0))),"⚠"))</f>
        <v/>
      </c>
      <c r="AA51" t="str">
        <f>IF(CAPTURA!BF51="","",IFERROR(IF(INDEX(CODIFICACION!$E$2:$E$500,MATCH("D3.14d|"&amp;CAPTURA!BF51,CODIFICACION!$F$2:$F$500,0))="sin dato","",INDEX(CODIFICACION!$E$2:$E$500,MATCH("D3.14d|"&amp;CAPTURA!BF51,CODIFICACION!$F$2:$F$500,0))),"⚠"))</f>
        <v/>
      </c>
      <c r="AB51" t="str">
        <f>IF(CAPTURA!BG51="","",IFERROR(IF(INDEX(CODIFICACION!$E$2:$E$500,MATCH("D3.14e|"&amp;CAPTURA!BG51,CODIFICACION!$F$2:$F$500,0))="sin dato","",INDEX(CODIFICACION!$E$2:$E$500,MATCH("D3.14e|"&amp;CAPTURA!BG51,CODIFICACION!$F$2:$F$500,0))),"⚠"))</f>
        <v/>
      </c>
      <c r="AC51" t="str">
        <f>IF(CAPTURA!BH51="","",IFERROR(IF(INDEX(CODIFICACION!$E$2:$E$500,MATCH("D3.14f|"&amp;CAPTURA!BH51,CODIFICACION!$F$2:$F$500,0))="sin dato","",INDEX(CODIFICACION!$E$2:$E$500,MATCH("D3.14f|"&amp;CAPTURA!BH51,CODIFICACION!$F$2:$F$500,0))),"⚠"))</f>
        <v/>
      </c>
      <c r="AD51" t="str">
        <f>IF(CAPTURA!BI51="","",IFERROR(IF(INDEX(CODIFICACION!$E$2:$E$500,MATCH("D3.14g|"&amp;CAPTURA!BI51,CODIFICACION!$F$2:$F$500,0))="sin dato","",INDEX(CODIFICACION!$E$2:$E$500,MATCH("D3.14g|"&amp;CAPTURA!BI51,CODIFICACION!$F$2:$F$500,0))),"⚠"))</f>
        <v/>
      </c>
      <c r="AE51" t="str">
        <f>IF(CAPTURA!BJ51="","",IFERROR(IF(INDEX(CODIFICACION!$E$2:$E$500,MATCH("D3.14h|"&amp;CAPTURA!BJ51,CODIFICACION!$F$2:$F$500,0))="sin dato","",INDEX(CODIFICACION!$E$2:$E$500,MATCH("D3.14h|"&amp;CAPTURA!BJ51,CODIFICACION!$F$2:$F$500,0))),"⚠"))</f>
        <v/>
      </c>
      <c r="AF51" t="str">
        <f>IF(CAPTURA!BK51="","",IFERROR(IF(INDEX(CODIFICACION!$E$2:$E$500,MATCH("D3.14i|"&amp;CAPTURA!BK51,CODIFICACION!$F$2:$F$500,0))="sin dato","",INDEX(CODIFICACION!$E$2:$E$500,MATCH("D3.14i|"&amp;CAPTURA!BK51,CODIFICACION!$F$2:$F$500,0))),"⚠"))</f>
        <v/>
      </c>
      <c r="AG51" t="str">
        <f>IF(CAPTURA!BL51="","",IFERROR(IF(INDEX(CODIFICACION!$E$2:$E$500,MATCH("D4.15|"&amp;CAPTURA!BL51,CODIFICACION!$F$2:$F$500,0))="sin dato","",INDEX(CODIFICACION!$E$2:$E$500,MATCH("D4.15|"&amp;CAPTURA!BL51,CODIFICACION!$F$2:$F$500,0))),"⚠"))</f>
        <v/>
      </c>
      <c r="AH51" t="str">
        <f>IF(CAPTURA!BM51="","",IF(AND(ISNUMBER(CAPTURA!BM51),CAPTURA!BM51&gt;=0,CAPTURA!BM51&lt;=4),CAPTURA!BM51*25,"⚠"))</f>
        <v/>
      </c>
      <c r="AI51" t="str">
        <f>IF(CAPTURA!BN51="","",IFERROR(IF(INDEX(CODIFICACION!$E$2:$E$500,MATCH("D4.17|"&amp;CAPTURA!BN51,CODIFICACION!$F$2:$F$500,0))="sin dato","",INDEX(CODIFICACION!$E$2:$E$500,MATCH("D4.17|"&amp;CAPTURA!BN51,CODIFICACION!$F$2:$F$500,0))),"⚠"))</f>
        <v/>
      </c>
      <c r="AJ51" t="str">
        <f>IF(CAPTURA!BO51="","",IFERROR(IF(INDEX(CODIFICACION!$E$2:$E$500,MATCH("D4.15a|"&amp;CAPTURA!BO51,CODIFICACION!$F$2:$F$500,0))="sin dato","",INDEX(CODIFICACION!$E$2:$E$500,MATCH("D4.15a|"&amp;CAPTURA!BO51,CODIFICACION!$F$2:$F$500,0))),"⚠"))</f>
        <v/>
      </c>
      <c r="AK51" t="str">
        <f>IF(CAPTURA!BP51="","",IF(AND(ISNUMBER(CAPTURA!BP51),CAPTURA!BP51&gt;=0,CAPTURA!BP51&lt;=4),CAPTURA!BP51*25,"⚠"))</f>
        <v/>
      </c>
      <c r="AL51" t="str">
        <f>IF(CAPTURA!BQ51="","",IF(AND(ISNUMBER(CAPTURA!BQ51),CAPTURA!BQ51&gt;=0,CAPTURA!BQ51&lt;=4),CAPTURA!BQ51*25,"⚠"))</f>
        <v/>
      </c>
      <c r="AM51" t="str">
        <f>IF(CAPTURA!BR51="","",IFERROR(IF(INDEX(CODIFICACION!$E$2:$E$500,MATCH("D5.18b|"&amp;CAPTURA!BR51,CODIFICACION!$F$2:$F$500,0))="sin dato","",INDEX(CODIFICACION!$E$2:$E$500,MATCH("D5.18b|"&amp;CAPTURA!BR51,CODIFICACION!$F$2:$F$500,0))),"⚠"))</f>
        <v/>
      </c>
      <c r="AN51" t="str">
        <f>IF(CAPTURA!BS51="","",IFERROR(IF(INDEX(CODIFICACION!$E$2:$E$500,MATCH("D5.19|"&amp;CAPTURA!BS51,CODIFICACION!$F$2:$F$500,0))="sin dato","",INDEX(CODIFICACION!$E$2:$E$500,MATCH("D5.19|"&amp;CAPTURA!BS51,CODIFICACION!$F$2:$F$500,0))),"⚠"))</f>
        <v/>
      </c>
      <c r="AO51" t="str">
        <f>IF(CAPTURA!BT51="","",MIN(100,ROUND((LEN(CAPTURA!BT51)-LEN(SUBSTITUTE(CAPTURA!BT51,";",""))+1)/7*100,1)))</f>
        <v/>
      </c>
      <c r="AP51" t="str">
        <f>IF(CAPTURA!BU51="","",IFERROR(IF(INDEX(CODIFICACION!$E$2:$E$500,MATCH("D5.20|"&amp;CAPTURA!BU51,CODIFICACION!$F$2:$F$500,0))="sin dato","",INDEX(CODIFICACION!$E$2:$E$500,MATCH("D5.20|"&amp;CAPTURA!BU51,CODIFICACION!$F$2:$F$500,0))),"⚠"))</f>
        <v/>
      </c>
      <c r="AQ51" t="str">
        <f>IF(CAPTURA!BV51="","",IFERROR(IF(INDEX(CODIFICACION!$E$2:$E$500,MATCH("D5.21|"&amp;CAPTURA!BV51,CODIFICACION!$F$2:$F$500,0))="sin dato","",INDEX(CODIFICACION!$E$2:$E$500,MATCH("D5.21|"&amp;CAPTURA!BV51,CODIFICACION!$F$2:$F$500,0))),"⚠"))</f>
        <v/>
      </c>
      <c r="AR51" t="str">
        <f>IF(CAPTURA!BW51="","",IFERROR(IF(INDEX(CODIFICACION!$E$2:$E$500,MATCH("D5.21a|"&amp;CAPTURA!BW51,CODIFICACION!$F$2:$F$500,0))="sin dato","",INDEX(CODIFICACION!$E$2:$E$500,MATCH("D5.21a|"&amp;CAPTURA!BW51,CODIFICACION!$F$2:$F$500,0))),"⚠"))</f>
        <v/>
      </c>
      <c r="AS51" t="str">
        <f>IF(CAPTURA!BX51="","",IFERROR(IF(INDEX(CODIFICACION!$E$2:$E$500,MATCH("D5.21b|"&amp;CAPTURA!BX51,CODIFICACION!$F$2:$F$500,0))="sin dato","",INDEX(CODIFICACION!$E$2:$E$500,MATCH("D5.21b|"&amp;CAPTURA!BX51,CODIFICACION!$F$2:$F$500,0))),"⚠"))</f>
        <v/>
      </c>
      <c r="AT51" t="str">
        <f>IF(CAPTURA!BY51="","",IFERROR(IF(INDEX(CODIFICACION!$E$2:$E$500,MATCH("D6.22|"&amp;CAPTURA!BY51,CODIFICACION!$F$2:$F$500,0))="sin dato","",INDEX(CODIFICACION!$E$2:$E$500,MATCH("D6.22|"&amp;CAPTURA!BY51,CODIFICACION!$F$2:$F$500,0))),"⚠"))</f>
        <v/>
      </c>
      <c r="AU51" t="str">
        <f>IF(CAPTURA!BZ51="","",IFERROR(IF(INDEX(CODIFICACION!$E$2:$E$500,MATCH("D6.22a|"&amp;CAPTURA!BZ51,CODIFICACION!$F$2:$F$500,0))="sin dato","",INDEX(CODIFICACION!$E$2:$E$500,MATCH("D6.22a|"&amp;CAPTURA!BZ51,CODIFICACION!$F$2:$F$500,0))),"⚠"))</f>
        <v/>
      </c>
      <c r="AV51" t="str">
        <f>IF(CAPTURA!CA51="","",IFERROR(IF(INDEX(CODIFICACION!$E$2:$E$500,MATCH("D6.22b|"&amp;CAPTURA!CA51,CODIFICACION!$F$2:$F$500,0))="sin dato","",INDEX(CODIFICACION!$E$2:$E$500,MATCH("D6.22b|"&amp;CAPTURA!CA51,CODIFICACION!$F$2:$F$500,0))),"⚠"))</f>
        <v/>
      </c>
      <c r="AW51" t="str">
        <f>IF(CAPTURA!CB51="","",IFERROR(IF(INDEX(CODIFICACION!$E$2:$E$500,MATCH("D6.23|"&amp;CAPTURA!CB51,CODIFICACION!$F$2:$F$500,0))="sin dato","",INDEX(CODIFICACION!$E$2:$E$500,MATCH("D6.23|"&amp;CAPTURA!CB51,CODIFICACION!$F$2:$F$500,0))),"⚠"))</f>
        <v/>
      </c>
      <c r="AX51" t="str">
        <f>IF(CAPTURA!CC51="","",IFERROR(IF(INDEX(CODIFICACION!$E$2:$E$500,MATCH("D6.24|"&amp;CAPTURA!CC51,CODIFICACION!$F$2:$F$500,0))="sin dato","",INDEX(CODIFICACION!$E$2:$E$500,MATCH("D6.24|"&amp;CAPTURA!CC51,CODIFICACION!$F$2:$F$500,0))),"⚠"))</f>
        <v/>
      </c>
      <c r="AY51" t="str">
        <f>IF(CAPTURA!CD51="","",IFERROR(IF(INDEX(CODIFICACION!$E$2:$E$500,MATCH("D6.25|"&amp;CAPTURA!CD51,CODIFICACION!$F$2:$F$500,0))="sin dato","",INDEX(CODIFICACION!$E$2:$E$500,MATCH("D6.25|"&amp;CAPTURA!CD51,CODIFICACION!$F$2:$F$500,0))),"⚠"))</f>
        <v/>
      </c>
      <c r="AZ51" t="str">
        <f>IF(CAPTURA!CE51="","",IFERROR(IF(INDEX(CODIFICACION!$E$2:$E$500,MATCH("D6.25a|"&amp;CAPTURA!CE51,CODIFICACION!$F$2:$F$500,0))="sin dato","",INDEX(CODIFICACION!$E$2:$E$500,MATCH("D6.25a|"&amp;CAPTURA!CE51,CODIFICACION!$F$2:$F$500,0))),"⚠"))</f>
        <v/>
      </c>
      <c r="BA51" t="str">
        <f>IF(CAPTURA!CF51="","",IFERROR(IF(INDEX(CODIFICACION!$E$2:$E$500,MATCH("D6.25b|"&amp;CAPTURA!CF51,CODIFICACION!$F$2:$F$500,0))="sin dato","",INDEX(CODIFICACION!$E$2:$E$500,MATCH("D6.25b|"&amp;CAPTURA!CF51,CODIFICACION!$F$2:$F$500,0))),"⚠"))</f>
        <v/>
      </c>
      <c r="BB51" t="str">
        <f>IF(CAPTURA!CG51="","",IFERROR(IF(INDEX(CODIFICACION!$E$2:$E$500,MATCH("D6.22c|"&amp;CAPTURA!CG51,CODIFICACION!$F$2:$F$500,0))="sin dato","",INDEX(CODIFICACION!$E$2:$E$500,MATCH("D6.22c|"&amp;CAPTURA!CG51,CODIFICACION!$F$2:$F$500,0))),"⚠"))</f>
        <v/>
      </c>
      <c r="BC51" t="str">
        <f>IF(CAPTURA!CH51="","",IFERROR(IF(INDEX(CODIFICACION!$E$2:$E$500,MATCH("D7.26|"&amp;CAPTURA!CH51,CODIFICACION!$F$2:$F$500,0))="sin dato","",INDEX(CODIFICACION!$E$2:$E$500,MATCH("D7.26|"&amp;CAPTURA!CH51,CODIFICACION!$F$2:$F$500,0))),"⚠"))</f>
        <v/>
      </c>
      <c r="BD51" t="str">
        <f>IF(CAPTURA!CI51="","",IFERROR(IF(INDEX(CODIFICACION!$E$2:$E$500,MATCH("D7.27|"&amp;CAPTURA!CI51,CODIFICACION!$F$2:$F$500,0))="sin dato","",INDEX(CODIFICACION!$E$2:$E$500,MATCH("D7.27|"&amp;CAPTURA!CI51,CODIFICACION!$F$2:$F$500,0))),"⚠"))</f>
        <v/>
      </c>
      <c r="BE51" t="str">
        <f>IF(CAPTURA!CJ51="","",IFERROR(IF(INDEX(CODIFICACION!$E$2:$E$500,MATCH("D7.28|"&amp;CAPTURA!CJ51,CODIFICACION!$F$2:$F$500,0))="sin dato","",INDEX(CODIFICACION!$E$2:$E$500,MATCH("D7.28|"&amp;CAPTURA!CJ51,CODIFICACION!$F$2:$F$500,0))),"⚠"))</f>
        <v/>
      </c>
      <c r="BF51" t="str">
        <f>IF(CAPTURA!CK51="","",IFERROR(IF(INDEX(CODIFICACION!$E$2:$E$500,MATCH("D7.28b|"&amp;CAPTURA!CK51,CODIFICACION!$F$2:$F$500,0))="sin dato","",INDEX(CODIFICACION!$E$2:$E$500,MATCH("D7.28b|"&amp;CAPTURA!CK51,CODIFICACION!$F$2:$F$500,0))),"⚠"))</f>
        <v/>
      </c>
      <c r="BG51" t="str">
        <f>IF(CAPTURA!CL51="","",MIN(100,ROUND((LEN(CAPTURA!CL51)-LEN(SUBSTITUTE(CAPTURA!CL51,";",""))+1)/8*100,1)))</f>
        <v/>
      </c>
      <c r="BH51" t="str">
        <f>IF(CAPTURA!CM51="","",IFERROR(IF(INDEX(CODIFICACION!$E$2:$E$500,MATCH("D7.26a|"&amp;CAPTURA!CM51,CODIFICACION!$F$2:$F$500,0))="sin dato","",INDEX(CODIFICACION!$E$2:$E$500,MATCH("D7.26a|"&amp;CAPTURA!CM51,CODIFICACION!$F$2:$F$500,0))),"⚠"))</f>
        <v/>
      </c>
      <c r="BI51" t="str">
        <f>IF(CAPTURA!CN51="","",IFERROR(IF(INDEX(CODIFICACION!$E$2:$E$500,MATCH("D7.26b|"&amp;CAPTURA!CN51,CODIFICACION!$F$2:$F$500,0))="sin dato","",INDEX(CODIFICACION!$E$2:$E$500,MATCH("D7.26b|"&amp;CAPTURA!CN51,CODIFICACION!$F$2:$F$500,0))),"⚠"))</f>
        <v/>
      </c>
      <c r="BJ51" t="str">
        <f>IF(CAPTURA!CO51="","",IF(AND(ISNUMBER(CAPTURA!CO51),CAPTURA!CO51&gt;=0,CAPTURA!CO51&lt;=4),CAPTURA!CO51*25,"⚠"))</f>
        <v/>
      </c>
      <c r="BK51" t="str">
        <f>IF(CAPTURA!CP51="","",IF(ISNUMBER(CAPTURA!CP51),MAX(0,MIN(100,CAPTURA!CP51)),"⚠"))</f>
        <v/>
      </c>
      <c r="BL51" t="str">
        <f>IF(CAPTURA!CQ51="","",IFERROR(IF(INDEX(CODIFICACION!$E$2:$E$500,MATCH("D8.31|"&amp;CAPTURA!CQ51,CODIFICACION!$F$2:$F$500,0))="sin dato","",INDEX(CODIFICACION!$E$2:$E$500,MATCH("D8.31|"&amp;CAPTURA!CQ51,CODIFICACION!$F$2:$F$500,0))),"⚠"))</f>
        <v/>
      </c>
      <c r="BM51" t="str">
        <f>IF(CAPTURA!CR51="","",IFERROR(IF(INDEX(CODIFICACION!$E$2:$E$500,MATCH("D8.32|"&amp;CAPTURA!CR51,CODIFICACION!$F$2:$F$500,0))="sin dato","",INDEX(CODIFICACION!$E$2:$E$500,MATCH("D8.32|"&amp;CAPTURA!CR51,CODIFICACION!$F$2:$F$500,0))),"⚠"))</f>
        <v/>
      </c>
      <c r="BN51" t="str">
        <f>IF(CAPTURA!CS51="","",IFERROR(IF(INDEX(CODIFICACION!$E$2:$E$500,MATCH("D9.33|"&amp;CAPTURA!CS51,CODIFICACION!$F$2:$F$500,0))="sin dato","",INDEX(CODIFICACION!$E$2:$E$500,MATCH("D9.33|"&amp;CAPTURA!CS51,CODIFICACION!$F$2:$F$500,0))),"⚠"))</f>
        <v/>
      </c>
      <c r="BO51" t="str">
        <f>IF(CAPTURA!CT51="","",IFERROR(IF(INDEX(CODIFICACION!$E$2:$E$500,MATCH("D9.34|"&amp;CAPTURA!CT51,CODIFICACION!$F$2:$F$500,0))="sin dato","",INDEX(CODIFICACION!$E$2:$E$500,MATCH("D9.34|"&amp;CAPTURA!CT51,CODIFICACION!$F$2:$F$500,0))),"⚠"))</f>
        <v/>
      </c>
      <c r="BP51" t="str">
        <f>IF(CAPTURA!CU51="","",IFERROR(IF(INDEX(CODIFICACION!$E$2:$E$500,MATCH("D9.35|"&amp;CAPTURA!CU51,CODIFICACION!$F$2:$F$500,0))="sin dato","",INDEX(CODIFICACION!$E$2:$E$500,MATCH("D9.35|"&amp;CAPTURA!CU51,CODIFICACION!$F$2:$F$500,0))),"⚠"))</f>
        <v/>
      </c>
      <c r="BQ51" t="str">
        <f>IF(CAPTURA!CV51="","",IFERROR(IF(INDEX(CODIFICACION!$E$2:$E$500,MATCH("D10.36|"&amp;CAPTURA!CV51,CODIFICACION!$F$2:$F$500,0))="sin dato","",INDEX(CODIFICACION!$E$2:$E$500,MATCH("D10.36|"&amp;CAPTURA!CV51,CODIFICACION!$F$2:$F$500,0))),"⚠"))</f>
        <v/>
      </c>
      <c r="BR51" t="str">
        <f>IF(CAPTURA!CW51="","",IFERROR(IF(INDEX(CODIFICACION!$E$2:$E$500,MATCH("D10.37|"&amp;CAPTURA!CW51,CODIFICACION!$F$2:$F$500,0))="sin dato","",INDEX(CODIFICACION!$E$2:$E$500,MATCH("D10.37|"&amp;CAPTURA!CW51,CODIFICACION!$F$2:$F$500,0))),"⚠"))</f>
        <v/>
      </c>
      <c r="BS51" t="str">
        <f>IF(CAPTURA!CX51="","",IFERROR(IF(INDEX(CODIFICACION!$E$2:$E$500,MATCH("D10.36a|"&amp;CAPTURA!CX51,CODIFICACION!$F$2:$F$500,0))="sin dato","",INDEX(CODIFICACION!$E$2:$E$500,MATCH("D10.36a|"&amp;CAPTURA!CX51,CODIFICACION!$F$2:$F$500,0))),"⚠"))</f>
        <v/>
      </c>
      <c r="BT51" t="str">
        <f>IF(CAPTURA!CY51="","",IF(ISNUMBER(SEARCH("Ninguno",CAPTURA!CY51)),0,MIN(100,ROUND((LEN(CAPTURA!CY51)-LEN(SUBSTITUTE(CAPTURA!CY51,";",""))+1)/6*100,1))))</f>
        <v/>
      </c>
      <c r="BU51" t="str">
        <f>IF(CAPTURA!DA51="","",IFERROR(IF(INDEX(CODIFICACION!$E$2:$E$500,MATCH("D11.39a|"&amp;CAPTURA!DA51,CODIFICACION!$F$2:$F$500,0))="sin dato","",INDEX(CODIFICACION!$E$2:$E$500,MATCH("D11.39a|"&amp;CAPTURA!DA51,CODIFICACION!$F$2:$F$500,0))),"⚠"))</f>
        <v/>
      </c>
      <c r="BV51" t="str">
        <f>IF(CAPTURA!DB51="","",IFERROR(IF(INDEX(CODIFICACION!$E$2:$E$500,MATCH("D12.42|"&amp;CAPTURA!DB51,CODIFICACION!$F$2:$F$500,0))="sin dato","",INDEX(CODIFICACION!$E$2:$E$500,MATCH("D12.42|"&amp;CAPTURA!DB51,CODIFICACION!$F$2:$F$500,0))),"⚠"))</f>
        <v/>
      </c>
      <c r="BW51" t="str">
        <f>IF(CAPTURA!DC51="","",IFERROR(IF(INDEX(CODIFICACION!$E$2:$E$500,MATCH("D13.45|"&amp;CAPTURA!DC51,CODIFICACION!$F$2:$F$500,0))="sin dato","",INDEX(CODIFICACION!$E$2:$E$500,MATCH("D13.45|"&amp;CAPTURA!DC51,CODIFICACION!$F$2:$F$500,0))),"⚠"))</f>
        <v/>
      </c>
      <c r="BX51" t="str">
        <f>IF(CAPTURA!DD51="","",IFERROR(IF(INDEX(CODIFICACION!$E$2:$E$500,MATCH("D14.51|"&amp;CAPTURA!DD51,CODIFICACION!$F$2:$F$500,0))="sin dato","",INDEX(CODIFICACION!$E$2:$E$500,MATCH("D14.51|"&amp;CAPTURA!DD51,CODIFICACION!$F$2:$F$500,0))),"⚠"))</f>
        <v/>
      </c>
      <c r="BY51" t="str">
        <f>IF(CAPTURA!DE51="","",IFERROR(IF(INDEX(CODIFICACION!$E$2:$E$500,MATCH("D15.58|"&amp;CAPTURA!DE51,CODIFICACION!$F$2:$F$500,0))="sin dato","",INDEX(CODIFICACION!$E$2:$E$500,MATCH("D15.58|"&amp;CAPTURA!DE51,CODIFICACION!$F$2:$F$500,0))),"⚠"))</f>
        <v/>
      </c>
      <c r="BZ51" t="str">
        <f>IF(CAPTURA!DF51="","",IFERROR(IF(INDEX(CODIFICACION!$E$2:$E$500,MATCH("PP1|"&amp;CAPTURA!DF51,CODIFICACION!$F$2:$F$500,0))="sin dato","",INDEX(CODIFICACION!$E$2:$E$500,MATCH("PP1|"&amp;CAPTURA!DF51,CODIFICACION!$F$2:$F$500,0))),"⚠"))</f>
        <v/>
      </c>
      <c r="CA51" t="str">
        <f>IF(CAPTURA!DG51="","",IFERROR(IF(INDEX(CODIFICACION!$E$2:$E$500,MATCH("PP2|"&amp;CAPTURA!DG51,CODIFICACION!$F$2:$F$500,0))="sin dato","",INDEX(CODIFICACION!$E$2:$E$500,MATCH("PP2|"&amp;CAPTURA!DG51,CODIFICACION!$F$2:$F$500,0))),"⚠"))</f>
        <v/>
      </c>
      <c r="CB51" t="str">
        <f t="shared" si="11"/>
        <v/>
      </c>
      <c r="CC51" t="str">
        <f t="shared" si="12"/>
        <v/>
      </c>
      <c r="CD51" t="str">
        <f t="shared" si="13"/>
        <v/>
      </c>
      <c r="CE51" t="str">
        <f t="shared" si="14"/>
        <v/>
      </c>
      <c r="CF51" t="str">
        <f t="shared" si="15"/>
        <v/>
      </c>
      <c r="CG51" t="str">
        <f t="shared" si="16"/>
        <v/>
      </c>
      <c r="CH51" t="str">
        <f t="shared" si="17"/>
        <v/>
      </c>
      <c r="CI51" t="str">
        <f t="shared" si="18"/>
        <v/>
      </c>
      <c r="CJ51" t="str">
        <f t="shared" si="19"/>
        <v/>
      </c>
      <c r="CK51" t="str">
        <f t="shared" si="20"/>
        <v/>
      </c>
      <c r="CL51" t="str">
        <f t="shared" si="21"/>
        <v/>
      </c>
    </row>
    <row r="52" spans="1:90" x14ac:dyDescent="0.3">
      <c r="A52">
        <f>CAPTURA!A52</f>
        <v>20490726196</v>
      </c>
      <c r="B52">
        <f>CAPTURA!C52</f>
        <v>0</v>
      </c>
      <c r="C52" t="str">
        <f>IF(CAPTURA!M52="","",ROUND((ISNUMBER(SEARCH("Alemania",CAPTURA!M52))+ISNUMBER(SEARCH("Bélgica",CAPTURA!M52))+ISNUMBER(SEARCH("Países Bajos",CAPTURA!M52))+ISNUMBER(SEARCH("Francia",CAPTURA!M52))+ISNUMBER(SEARCH("Italia",CAPTURA!M52))+ISNUMBER(SEARCH("España",CAPTURA!M52))+ISNUMBER(SEARCH("Suecia",CAPTURA!M52))+ISNUMBER(SEARCH("Dinamarca",CAPTURA!M52)))/((LEN(CAPTURA!M52)-LEN(SUBSTITUTE(CAPTURA!M52,";","")))+1)*100,1))</f>
        <v/>
      </c>
      <c r="D52" t="str">
        <f>IF(CAPTURA!AE52="","",IFERROR(IF(INDEX(CODIFICACION!$E$2:$E$500,MATCH("P8|"&amp;CAPTURA!AE52,CODIFICACION!$F$2:$F$500,0))="sin dato","",INDEX(CODIFICACION!$E$2:$E$500,MATCH("P8|"&amp;CAPTURA!AE52,CODIFICACION!$F$2:$F$500,0))),"⚠"))</f>
        <v/>
      </c>
      <c r="E52" t="str">
        <f>IF(CAPTURA!AG52="","",IFERROR(IF(INDEX(CODIFICACION!$E$2:$E$500,MATCH("P10|"&amp;CAPTURA!AG52,CODIFICACION!$F$2:$F$500,0))="sin dato","",INDEX(CODIFICACION!$E$2:$E$500,MATCH("P10|"&amp;CAPTURA!AG52,CODIFICACION!$F$2:$F$500,0))),"⚠"))</f>
        <v/>
      </c>
      <c r="F52" t="str">
        <f>IF(CAPTURA!AJ52="","",IFERROR(IF(INDEX(CODIFICACION!$E$2:$E$500,MATCH("P13|"&amp;CAPTURA!AJ52,CODIFICACION!$F$2:$F$500,0))="sin dato","",INDEX(CODIFICACION!$E$2:$E$500,MATCH("P13|"&amp;CAPTURA!AJ52,CODIFICACION!$F$2:$F$500,0))),"⚠"))</f>
        <v/>
      </c>
      <c r="G52" t="str">
        <f>IF(CAPTURA!AK52="","",IFERROR(IF(INDEX(CODIFICACION!$E$2:$E$500,MATCH("P14|"&amp;CAPTURA!AK52,CODIFICACION!$F$2:$F$500,0))="sin dato","",INDEX(CODIFICACION!$E$2:$E$500,MATCH("P14|"&amp;CAPTURA!AK52,CODIFICACION!$F$2:$F$500,0))),"⚠"))</f>
        <v/>
      </c>
      <c r="H52" t="str">
        <f>IF(CAPTURA!AL52="","",IFERROR(IF(INDEX(CODIFICACION!$E$2:$E$500,MATCH("D1.1|"&amp;CAPTURA!AL52,CODIFICACION!$F$2:$F$500,0))="sin dato","",INDEX(CODIFICACION!$E$2:$E$500,MATCH("D1.1|"&amp;CAPTURA!AL52,CODIFICACION!$F$2:$F$500,0))),"⚠"))</f>
        <v/>
      </c>
      <c r="I52" t="str">
        <f>IF(CAPTURA!AN52="","",IFERROR(IF(INDEX(CODIFICACION!$E$2:$E$500,MATCH("D1.3|"&amp;CAPTURA!AN52,CODIFICACION!$F$2:$F$500,0))="sin dato","",INDEX(CODIFICACION!$E$2:$E$500,MATCH("D1.3|"&amp;CAPTURA!AN52,CODIFICACION!$F$2:$F$500,0))),"⚠"))</f>
        <v/>
      </c>
      <c r="J52" t="str">
        <f>IF(CAPTURA!AO52="","",IFERROR(IF(INDEX(CODIFICACION!$E$2:$E$500,MATCH("D1.4|"&amp;CAPTURA!AO52,CODIFICACION!$F$2:$F$500,0))="sin dato","",INDEX(CODIFICACION!$E$2:$E$500,MATCH("D1.4|"&amp;CAPTURA!AO52,CODIFICACION!$F$2:$F$500,0))),"⚠"))</f>
        <v/>
      </c>
      <c r="K52" t="str">
        <f>IF(CAPTURA!AP52="","",IFERROR(IF(INDEX(CODIFICACION!$E$2:$E$500,MATCH("D1.3a|"&amp;CAPTURA!AP52,CODIFICACION!$F$2:$F$500,0))="sin dato","",INDEX(CODIFICACION!$E$2:$E$500,MATCH("D1.3a|"&amp;CAPTURA!AP52,CODIFICACION!$F$2:$F$500,0))),"⚠"))</f>
        <v/>
      </c>
      <c r="L52" t="str">
        <f>IF(CAPTURA!AQ52="","",IF(AND(ISNUMBER(CAPTURA!AQ52),CAPTURA!AQ52&gt;=0,CAPTURA!AQ52&lt;=4),CAPTURA!AQ52*25,"⚠"))</f>
        <v/>
      </c>
      <c r="M52" t="str">
        <f>IF(CAPTURA!AR52="","",IF(ISNUMBER(CAPTURA!AR52),MAX(0,MIN(100,CAPTURA!AR52)),"⚠"))</f>
        <v/>
      </c>
      <c r="N52" t="str">
        <f>IF(CAPTURA!AS52="","",IF(AND(ISNUMBER(CAPTURA!AS52),CAPTURA!AS52&gt;=0,CAPTURA!AS52&lt;=4),CAPTURA!AS52*25,"⚠"))</f>
        <v/>
      </c>
      <c r="O52" t="str">
        <f>IF(CAPTURA!AT52="","",IFERROR(IF(INDEX(CODIFICACION!$E$2:$E$500,MATCH("D2.8|"&amp;CAPTURA!AT52,CODIFICACION!$F$2:$F$500,0))="sin dato","",INDEX(CODIFICACION!$E$2:$E$500,MATCH("D2.8|"&amp;CAPTURA!AT52,CODIFICACION!$F$2:$F$500,0))),"⚠"))</f>
        <v/>
      </c>
      <c r="P52" t="str">
        <f>IF(CAPTURA!AU52="","",IFERROR(IF(INDEX(CODIFICACION!$E$2:$E$500,MATCH("D2.9|"&amp;CAPTURA!AU52,CODIFICACION!$F$2:$F$500,0))="sin dato","",INDEX(CODIFICACION!$E$2:$E$500,MATCH("D2.9|"&amp;CAPTURA!AU52,CODIFICACION!$F$2:$F$500,0))),"⚠"))</f>
        <v/>
      </c>
      <c r="Q52" t="str">
        <f>IF(CAPTURA!AV52="","",IFERROR(IF(INDEX(CODIFICACION!$E$2:$E$500,MATCH("D2.10|"&amp;CAPTURA!AV52,CODIFICACION!$F$2:$F$500,0))="sin dato","",INDEX(CODIFICACION!$E$2:$E$500,MATCH("D2.10|"&amp;CAPTURA!AV52,CODIFICACION!$F$2:$F$500,0))),"⚠"))</f>
        <v/>
      </c>
      <c r="R52" t="str">
        <f>IF(CAPTURA!AW52="","",IFERROR(IF(INDEX(CODIFICACION!$E$2:$E$500,MATCH("D2.5a|"&amp;CAPTURA!AW52,CODIFICACION!$F$2:$F$500,0))="sin dato","",INDEX(CODIFICACION!$E$2:$E$500,MATCH("D2.5a|"&amp;CAPTURA!AW52,CODIFICACION!$F$2:$F$500,0))),"⚠"))</f>
        <v/>
      </c>
      <c r="S52" t="str">
        <f>IF(CAPTURA!AX52="","",IFERROR(IF(INDEX(CODIFICACION!$E$2:$E$500,MATCH("D2.5b|"&amp;CAPTURA!AX52,CODIFICACION!$F$2:$F$500,0))="sin dato","",INDEX(CODIFICACION!$E$2:$E$500,MATCH("D2.5b|"&amp;CAPTURA!AX52,CODIFICACION!$F$2:$F$500,0))),"⚠"))</f>
        <v/>
      </c>
      <c r="T52" t="str">
        <f>IF(CAPTURA!AY52="","",IF(ISNUMBER(CAPTURA!AY52),MAX(0,MIN(100,CAPTURA!AY52)),"⚠"))</f>
        <v/>
      </c>
      <c r="U52" t="str">
        <f>IF(CAPTURA!AZ52="","",IFERROR(IF(INDEX(CODIFICACION!$E$2:$E$500,MATCH("D3.12|"&amp;CAPTURA!AZ52,CODIFICACION!$F$2:$F$500,0))="sin dato","",INDEX(CODIFICACION!$E$2:$E$500,MATCH("D3.12|"&amp;CAPTURA!AZ52,CODIFICACION!$F$2:$F$500,0))),"⚠"))</f>
        <v/>
      </c>
      <c r="V52" t="str">
        <f>IF(CAPTURA!BA52="","",IF(AND(ISNUMBER(CAPTURA!BA52),CAPTURA!BA52&gt;=0,CAPTURA!BA52&lt;=4),CAPTURA!BA52*25,"⚠"))</f>
        <v/>
      </c>
      <c r="W52" t="str">
        <f>IF(CAPTURA!BB52="","",IFERROR(IF(INDEX(CODIFICACION!$E$2:$E$500,MATCH("D3.14|"&amp;CAPTURA!BB52,CODIFICACION!$F$2:$F$500,0))="sin dato","",INDEX(CODIFICACION!$E$2:$E$500,MATCH("D3.14|"&amp;CAPTURA!BB52,CODIFICACION!$F$2:$F$500,0))),"⚠"))</f>
        <v/>
      </c>
      <c r="X52" t="str">
        <f>IF(CAPTURA!BC52="","",IFERROR(IF(INDEX(CODIFICACION!$E$2:$E$500,MATCH("D3.14a|"&amp;CAPTURA!BC52,CODIFICACION!$F$2:$F$500,0))="sin dato","",INDEX(CODIFICACION!$E$2:$E$500,MATCH("D3.14a|"&amp;CAPTURA!BC52,CODIFICACION!$F$2:$F$500,0))),"⚠"))</f>
        <v/>
      </c>
      <c r="Y52" t="str">
        <f>IF(CAPTURA!BD52="","",IFERROR(IF(INDEX(CODIFICACION!$E$2:$E$500,MATCH("D3.14b|"&amp;CAPTURA!BD52,CODIFICACION!$F$2:$F$500,0))="sin dato","",INDEX(CODIFICACION!$E$2:$E$500,MATCH("D3.14b|"&amp;CAPTURA!BD52,CODIFICACION!$F$2:$F$500,0))),"⚠"))</f>
        <v/>
      </c>
      <c r="Z52" t="str">
        <f>IF(CAPTURA!BE52="","",IFERROR(IF(INDEX(CODIFICACION!$E$2:$E$500,MATCH("D3.14c|"&amp;CAPTURA!BE52,CODIFICACION!$F$2:$F$500,0))="sin dato","",INDEX(CODIFICACION!$E$2:$E$500,MATCH("D3.14c|"&amp;CAPTURA!BE52,CODIFICACION!$F$2:$F$500,0))),"⚠"))</f>
        <v/>
      </c>
      <c r="AA52" t="str">
        <f>IF(CAPTURA!BF52="","",IFERROR(IF(INDEX(CODIFICACION!$E$2:$E$500,MATCH("D3.14d|"&amp;CAPTURA!BF52,CODIFICACION!$F$2:$F$500,0))="sin dato","",INDEX(CODIFICACION!$E$2:$E$500,MATCH("D3.14d|"&amp;CAPTURA!BF52,CODIFICACION!$F$2:$F$500,0))),"⚠"))</f>
        <v/>
      </c>
      <c r="AB52" t="str">
        <f>IF(CAPTURA!BG52="","",IFERROR(IF(INDEX(CODIFICACION!$E$2:$E$500,MATCH("D3.14e|"&amp;CAPTURA!BG52,CODIFICACION!$F$2:$F$500,0))="sin dato","",INDEX(CODIFICACION!$E$2:$E$500,MATCH("D3.14e|"&amp;CAPTURA!BG52,CODIFICACION!$F$2:$F$500,0))),"⚠"))</f>
        <v/>
      </c>
      <c r="AC52" t="str">
        <f>IF(CAPTURA!BH52="","",IFERROR(IF(INDEX(CODIFICACION!$E$2:$E$500,MATCH("D3.14f|"&amp;CAPTURA!BH52,CODIFICACION!$F$2:$F$500,0))="sin dato","",INDEX(CODIFICACION!$E$2:$E$500,MATCH("D3.14f|"&amp;CAPTURA!BH52,CODIFICACION!$F$2:$F$500,0))),"⚠"))</f>
        <v/>
      </c>
      <c r="AD52" t="str">
        <f>IF(CAPTURA!BI52="","",IFERROR(IF(INDEX(CODIFICACION!$E$2:$E$500,MATCH("D3.14g|"&amp;CAPTURA!BI52,CODIFICACION!$F$2:$F$500,0))="sin dato","",INDEX(CODIFICACION!$E$2:$E$500,MATCH("D3.14g|"&amp;CAPTURA!BI52,CODIFICACION!$F$2:$F$500,0))),"⚠"))</f>
        <v/>
      </c>
      <c r="AE52" t="str">
        <f>IF(CAPTURA!BJ52="","",IFERROR(IF(INDEX(CODIFICACION!$E$2:$E$500,MATCH("D3.14h|"&amp;CAPTURA!BJ52,CODIFICACION!$F$2:$F$500,0))="sin dato","",INDEX(CODIFICACION!$E$2:$E$500,MATCH("D3.14h|"&amp;CAPTURA!BJ52,CODIFICACION!$F$2:$F$500,0))),"⚠"))</f>
        <v/>
      </c>
      <c r="AF52" t="str">
        <f>IF(CAPTURA!BK52="","",IFERROR(IF(INDEX(CODIFICACION!$E$2:$E$500,MATCH("D3.14i|"&amp;CAPTURA!BK52,CODIFICACION!$F$2:$F$500,0))="sin dato","",INDEX(CODIFICACION!$E$2:$E$500,MATCH("D3.14i|"&amp;CAPTURA!BK52,CODIFICACION!$F$2:$F$500,0))),"⚠"))</f>
        <v/>
      </c>
      <c r="AG52" t="str">
        <f>IF(CAPTURA!BL52="","",IFERROR(IF(INDEX(CODIFICACION!$E$2:$E$500,MATCH("D4.15|"&amp;CAPTURA!BL52,CODIFICACION!$F$2:$F$500,0))="sin dato","",INDEX(CODIFICACION!$E$2:$E$500,MATCH("D4.15|"&amp;CAPTURA!BL52,CODIFICACION!$F$2:$F$500,0))),"⚠"))</f>
        <v/>
      </c>
      <c r="AH52" t="str">
        <f>IF(CAPTURA!BM52="","",IF(AND(ISNUMBER(CAPTURA!BM52),CAPTURA!BM52&gt;=0,CAPTURA!BM52&lt;=4),CAPTURA!BM52*25,"⚠"))</f>
        <v/>
      </c>
      <c r="AI52" t="str">
        <f>IF(CAPTURA!BN52="","",IFERROR(IF(INDEX(CODIFICACION!$E$2:$E$500,MATCH("D4.17|"&amp;CAPTURA!BN52,CODIFICACION!$F$2:$F$500,0))="sin dato","",INDEX(CODIFICACION!$E$2:$E$500,MATCH("D4.17|"&amp;CAPTURA!BN52,CODIFICACION!$F$2:$F$500,0))),"⚠"))</f>
        <v/>
      </c>
      <c r="AJ52" t="str">
        <f>IF(CAPTURA!BO52="","",IFERROR(IF(INDEX(CODIFICACION!$E$2:$E$500,MATCH("D4.15a|"&amp;CAPTURA!BO52,CODIFICACION!$F$2:$F$500,0))="sin dato","",INDEX(CODIFICACION!$E$2:$E$500,MATCH("D4.15a|"&amp;CAPTURA!BO52,CODIFICACION!$F$2:$F$500,0))),"⚠"))</f>
        <v/>
      </c>
      <c r="AK52" t="str">
        <f>IF(CAPTURA!BP52="","",IF(AND(ISNUMBER(CAPTURA!BP52),CAPTURA!BP52&gt;=0,CAPTURA!BP52&lt;=4),CAPTURA!BP52*25,"⚠"))</f>
        <v/>
      </c>
      <c r="AL52" t="str">
        <f>IF(CAPTURA!BQ52="","",IF(AND(ISNUMBER(CAPTURA!BQ52),CAPTURA!BQ52&gt;=0,CAPTURA!BQ52&lt;=4),CAPTURA!BQ52*25,"⚠"))</f>
        <v/>
      </c>
      <c r="AM52" t="str">
        <f>IF(CAPTURA!BR52="","",IFERROR(IF(INDEX(CODIFICACION!$E$2:$E$500,MATCH("D5.18b|"&amp;CAPTURA!BR52,CODIFICACION!$F$2:$F$500,0))="sin dato","",INDEX(CODIFICACION!$E$2:$E$500,MATCH("D5.18b|"&amp;CAPTURA!BR52,CODIFICACION!$F$2:$F$500,0))),"⚠"))</f>
        <v/>
      </c>
      <c r="AN52" t="str">
        <f>IF(CAPTURA!BS52="","",IFERROR(IF(INDEX(CODIFICACION!$E$2:$E$500,MATCH("D5.19|"&amp;CAPTURA!BS52,CODIFICACION!$F$2:$F$500,0))="sin dato","",INDEX(CODIFICACION!$E$2:$E$500,MATCH("D5.19|"&amp;CAPTURA!BS52,CODIFICACION!$F$2:$F$500,0))),"⚠"))</f>
        <v/>
      </c>
      <c r="AO52" t="str">
        <f>IF(CAPTURA!BT52="","",MIN(100,ROUND((LEN(CAPTURA!BT52)-LEN(SUBSTITUTE(CAPTURA!BT52,";",""))+1)/7*100,1)))</f>
        <v/>
      </c>
      <c r="AP52" t="str">
        <f>IF(CAPTURA!BU52="","",IFERROR(IF(INDEX(CODIFICACION!$E$2:$E$500,MATCH("D5.20|"&amp;CAPTURA!BU52,CODIFICACION!$F$2:$F$500,0))="sin dato","",INDEX(CODIFICACION!$E$2:$E$500,MATCH("D5.20|"&amp;CAPTURA!BU52,CODIFICACION!$F$2:$F$500,0))),"⚠"))</f>
        <v/>
      </c>
      <c r="AQ52" t="str">
        <f>IF(CAPTURA!BV52="","",IFERROR(IF(INDEX(CODIFICACION!$E$2:$E$500,MATCH("D5.21|"&amp;CAPTURA!BV52,CODIFICACION!$F$2:$F$500,0))="sin dato","",INDEX(CODIFICACION!$E$2:$E$500,MATCH("D5.21|"&amp;CAPTURA!BV52,CODIFICACION!$F$2:$F$500,0))),"⚠"))</f>
        <v/>
      </c>
      <c r="AR52" t="str">
        <f>IF(CAPTURA!BW52="","",IFERROR(IF(INDEX(CODIFICACION!$E$2:$E$500,MATCH("D5.21a|"&amp;CAPTURA!BW52,CODIFICACION!$F$2:$F$500,0))="sin dato","",INDEX(CODIFICACION!$E$2:$E$500,MATCH("D5.21a|"&amp;CAPTURA!BW52,CODIFICACION!$F$2:$F$500,0))),"⚠"))</f>
        <v/>
      </c>
      <c r="AS52" t="str">
        <f>IF(CAPTURA!BX52="","",IFERROR(IF(INDEX(CODIFICACION!$E$2:$E$500,MATCH("D5.21b|"&amp;CAPTURA!BX52,CODIFICACION!$F$2:$F$500,0))="sin dato","",INDEX(CODIFICACION!$E$2:$E$500,MATCH("D5.21b|"&amp;CAPTURA!BX52,CODIFICACION!$F$2:$F$500,0))),"⚠"))</f>
        <v/>
      </c>
      <c r="AT52" t="str">
        <f>IF(CAPTURA!BY52="","",IFERROR(IF(INDEX(CODIFICACION!$E$2:$E$500,MATCH("D6.22|"&amp;CAPTURA!BY52,CODIFICACION!$F$2:$F$500,0))="sin dato","",INDEX(CODIFICACION!$E$2:$E$500,MATCH("D6.22|"&amp;CAPTURA!BY52,CODIFICACION!$F$2:$F$500,0))),"⚠"))</f>
        <v/>
      </c>
      <c r="AU52" t="str">
        <f>IF(CAPTURA!BZ52="","",IFERROR(IF(INDEX(CODIFICACION!$E$2:$E$500,MATCH("D6.22a|"&amp;CAPTURA!BZ52,CODIFICACION!$F$2:$F$500,0))="sin dato","",INDEX(CODIFICACION!$E$2:$E$500,MATCH("D6.22a|"&amp;CAPTURA!BZ52,CODIFICACION!$F$2:$F$500,0))),"⚠"))</f>
        <v/>
      </c>
      <c r="AV52" t="str">
        <f>IF(CAPTURA!CA52="","",IFERROR(IF(INDEX(CODIFICACION!$E$2:$E$500,MATCH("D6.22b|"&amp;CAPTURA!CA52,CODIFICACION!$F$2:$F$500,0))="sin dato","",INDEX(CODIFICACION!$E$2:$E$500,MATCH("D6.22b|"&amp;CAPTURA!CA52,CODIFICACION!$F$2:$F$500,0))),"⚠"))</f>
        <v/>
      </c>
      <c r="AW52" t="str">
        <f>IF(CAPTURA!CB52="","",IFERROR(IF(INDEX(CODIFICACION!$E$2:$E$500,MATCH("D6.23|"&amp;CAPTURA!CB52,CODIFICACION!$F$2:$F$500,0))="sin dato","",INDEX(CODIFICACION!$E$2:$E$500,MATCH("D6.23|"&amp;CAPTURA!CB52,CODIFICACION!$F$2:$F$500,0))),"⚠"))</f>
        <v/>
      </c>
      <c r="AX52" t="str">
        <f>IF(CAPTURA!CC52="","",IFERROR(IF(INDEX(CODIFICACION!$E$2:$E$500,MATCH("D6.24|"&amp;CAPTURA!CC52,CODIFICACION!$F$2:$F$500,0))="sin dato","",INDEX(CODIFICACION!$E$2:$E$500,MATCH("D6.24|"&amp;CAPTURA!CC52,CODIFICACION!$F$2:$F$500,0))),"⚠"))</f>
        <v/>
      </c>
      <c r="AY52" t="str">
        <f>IF(CAPTURA!CD52="","",IFERROR(IF(INDEX(CODIFICACION!$E$2:$E$500,MATCH("D6.25|"&amp;CAPTURA!CD52,CODIFICACION!$F$2:$F$500,0))="sin dato","",INDEX(CODIFICACION!$E$2:$E$500,MATCH("D6.25|"&amp;CAPTURA!CD52,CODIFICACION!$F$2:$F$500,0))),"⚠"))</f>
        <v/>
      </c>
      <c r="AZ52" t="str">
        <f>IF(CAPTURA!CE52="","",IFERROR(IF(INDEX(CODIFICACION!$E$2:$E$500,MATCH("D6.25a|"&amp;CAPTURA!CE52,CODIFICACION!$F$2:$F$500,0))="sin dato","",INDEX(CODIFICACION!$E$2:$E$500,MATCH("D6.25a|"&amp;CAPTURA!CE52,CODIFICACION!$F$2:$F$500,0))),"⚠"))</f>
        <v/>
      </c>
      <c r="BA52" t="str">
        <f>IF(CAPTURA!CF52="","",IFERROR(IF(INDEX(CODIFICACION!$E$2:$E$500,MATCH("D6.25b|"&amp;CAPTURA!CF52,CODIFICACION!$F$2:$F$500,0))="sin dato","",INDEX(CODIFICACION!$E$2:$E$500,MATCH("D6.25b|"&amp;CAPTURA!CF52,CODIFICACION!$F$2:$F$500,0))),"⚠"))</f>
        <v/>
      </c>
      <c r="BB52" t="str">
        <f>IF(CAPTURA!CG52="","",IFERROR(IF(INDEX(CODIFICACION!$E$2:$E$500,MATCH("D6.22c|"&amp;CAPTURA!CG52,CODIFICACION!$F$2:$F$500,0))="sin dato","",INDEX(CODIFICACION!$E$2:$E$500,MATCH("D6.22c|"&amp;CAPTURA!CG52,CODIFICACION!$F$2:$F$500,0))),"⚠"))</f>
        <v/>
      </c>
      <c r="BC52" t="str">
        <f>IF(CAPTURA!CH52="","",IFERROR(IF(INDEX(CODIFICACION!$E$2:$E$500,MATCH("D7.26|"&amp;CAPTURA!CH52,CODIFICACION!$F$2:$F$500,0))="sin dato","",INDEX(CODIFICACION!$E$2:$E$500,MATCH("D7.26|"&amp;CAPTURA!CH52,CODIFICACION!$F$2:$F$500,0))),"⚠"))</f>
        <v/>
      </c>
      <c r="BD52" t="str">
        <f>IF(CAPTURA!CI52="","",IFERROR(IF(INDEX(CODIFICACION!$E$2:$E$500,MATCH("D7.27|"&amp;CAPTURA!CI52,CODIFICACION!$F$2:$F$500,0))="sin dato","",INDEX(CODIFICACION!$E$2:$E$500,MATCH("D7.27|"&amp;CAPTURA!CI52,CODIFICACION!$F$2:$F$500,0))),"⚠"))</f>
        <v/>
      </c>
      <c r="BE52" t="str">
        <f>IF(CAPTURA!CJ52="","",IFERROR(IF(INDEX(CODIFICACION!$E$2:$E$500,MATCH("D7.28|"&amp;CAPTURA!CJ52,CODIFICACION!$F$2:$F$500,0))="sin dato","",INDEX(CODIFICACION!$E$2:$E$500,MATCH("D7.28|"&amp;CAPTURA!CJ52,CODIFICACION!$F$2:$F$500,0))),"⚠"))</f>
        <v/>
      </c>
      <c r="BF52" t="str">
        <f>IF(CAPTURA!CK52="","",IFERROR(IF(INDEX(CODIFICACION!$E$2:$E$500,MATCH("D7.28b|"&amp;CAPTURA!CK52,CODIFICACION!$F$2:$F$500,0))="sin dato","",INDEX(CODIFICACION!$E$2:$E$500,MATCH("D7.28b|"&amp;CAPTURA!CK52,CODIFICACION!$F$2:$F$500,0))),"⚠"))</f>
        <v/>
      </c>
      <c r="BG52" t="str">
        <f>IF(CAPTURA!CL52="","",MIN(100,ROUND((LEN(CAPTURA!CL52)-LEN(SUBSTITUTE(CAPTURA!CL52,";",""))+1)/8*100,1)))</f>
        <v/>
      </c>
      <c r="BH52" t="str">
        <f>IF(CAPTURA!CM52="","",IFERROR(IF(INDEX(CODIFICACION!$E$2:$E$500,MATCH("D7.26a|"&amp;CAPTURA!CM52,CODIFICACION!$F$2:$F$500,0))="sin dato","",INDEX(CODIFICACION!$E$2:$E$500,MATCH("D7.26a|"&amp;CAPTURA!CM52,CODIFICACION!$F$2:$F$500,0))),"⚠"))</f>
        <v/>
      </c>
      <c r="BI52" t="str">
        <f>IF(CAPTURA!CN52="","",IFERROR(IF(INDEX(CODIFICACION!$E$2:$E$500,MATCH("D7.26b|"&amp;CAPTURA!CN52,CODIFICACION!$F$2:$F$500,0))="sin dato","",INDEX(CODIFICACION!$E$2:$E$500,MATCH("D7.26b|"&amp;CAPTURA!CN52,CODIFICACION!$F$2:$F$500,0))),"⚠"))</f>
        <v/>
      </c>
      <c r="BJ52" t="str">
        <f>IF(CAPTURA!CO52="","",IF(AND(ISNUMBER(CAPTURA!CO52),CAPTURA!CO52&gt;=0,CAPTURA!CO52&lt;=4),CAPTURA!CO52*25,"⚠"))</f>
        <v/>
      </c>
      <c r="BK52" t="str">
        <f>IF(CAPTURA!CP52="","",IF(ISNUMBER(CAPTURA!CP52),MAX(0,MIN(100,CAPTURA!CP52)),"⚠"))</f>
        <v/>
      </c>
      <c r="BL52" t="str">
        <f>IF(CAPTURA!CQ52="","",IFERROR(IF(INDEX(CODIFICACION!$E$2:$E$500,MATCH("D8.31|"&amp;CAPTURA!CQ52,CODIFICACION!$F$2:$F$500,0))="sin dato","",INDEX(CODIFICACION!$E$2:$E$500,MATCH("D8.31|"&amp;CAPTURA!CQ52,CODIFICACION!$F$2:$F$500,0))),"⚠"))</f>
        <v/>
      </c>
      <c r="BM52" t="str">
        <f>IF(CAPTURA!CR52="","",IFERROR(IF(INDEX(CODIFICACION!$E$2:$E$500,MATCH("D8.32|"&amp;CAPTURA!CR52,CODIFICACION!$F$2:$F$500,0))="sin dato","",INDEX(CODIFICACION!$E$2:$E$500,MATCH("D8.32|"&amp;CAPTURA!CR52,CODIFICACION!$F$2:$F$500,0))),"⚠"))</f>
        <v/>
      </c>
      <c r="BN52" t="str">
        <f>IF(CAPTURA!CS52="","",IFERROR(IF(INDEX(CODIFICACION!$E$2:$E$500,MATCH("D9.33|"&amp;CAPTURA!CS52,CODIFICACION!$F$2:$F$500,0))="sin dato","",INDEX(CODIFICACION!$E$2:$E$500,MATCH("D9.33|"&amp;CAPTURA!CS52,CODIFICACION!$F$2:$F$500,0))),"⚠"))</f>
        <v/>
      </c>
      <c r="BO52" t="str">
        <f>IF(CAPTURA!CT52="","",IFERROR(IF(INDEX(CODIFICACION!$E$2:$E$500,MATCH("D9.34|"&amp;CAPTURA!CT52,CODIFICACION!$F$2:$F$500,0))="sin dato","",INDEX(CODIFICACION!$E$2:$E$500,MATCH("D9.34|"&amp;CAPTURA!CT52,CODIFICACION!$F$2:$F$500,0))),"⚠"))</f>
        <v/>
      </c>
      <c r="BP52" t="str">
        <f>IF(CAPTURA!CU52="","",IFERROR(IF(INDEX(CODIFICACION!$E$2:$E$500,MATCH("D9.35|"&amp;CAPTURA!CU52,CODIFICACION!$F$2:$F$500,0))="sin dato","",INDEX(CODIFICACION!$E$2:$E$500,MATCH("D9.35|"&amp;CAPTURA!CU52,CODIFICACION!$F$2:$F$500,0))),"⚠"))</f>
        <v/>
      </c>
      <c r="BQ52" t="str">
        <f>IF(CAPTURA!CV52="","",IFERROR(IF(INDEX(CODIFICACION!$E$2:$E$500,MATCH("D10.36|"&amp;CAPTURA!CV52,CODIFICACION!$F$2:$F$500,0))="sin dato","",INDEX(CODIFICACION!$E$2:$E$500,MATCH("D10.36|"&amp;CAPTURA!CV52,CODIFICACION!$F$2:$F$500,0))),"⚠"))</f>
        <v/>
      </c>
      <c r="BR52" t="str">
        <f>IF(CAPTURA!CW52="","",IFERROR(IF(INDEX(CODIFICACION!$E$2:$E$500,MATCH("D10.37|"&amp;CAPTURA!CW52,CODIFICACION!$F$2:$F$500,0))="sin dato","",INDEX(CODIFICACION!$E$2:$E$500,MATCH("D10.37|"&amp;CAPTURA!CW52,CODIFICACION!$F$2:$F$500,0))),"⚠"))</f>
        <v/>
      </c>
      <c r="BS52" t="str">
        <f>IF(CAPTURA!CX52="","",IFERROR(IF(INDEX(CODIFICACION!$E$2:$E$500,MATCH("D10.36a|"&amp;CAPTURA!CX52,CODIFICACION!$F$2:$F$500,0))="sin dato","",INDEX(CODIFICACION!$E$2:$E$500,MATCH("D10.36a|"&amp;CAPTURA!CX52,CODIFICACION!$F$2:$F$500,0))),"⚠"))</f>
        <v/>
      </c>
      <c r="BT52" t="str">
        <f>IF(CAPTURA!CY52="","",IF(ISNUMBER(SEARCH("Ninguno",CAPTURA!CY52)),0,MIN(100,ROUND((LEN(CAPTURA!CY52)-LEN(SUBSTITUTE(CAPTURA!CY52,";",""))+1)/6*100,1))))</f>
        <v/>
      </c>
      <c r="BU52" t="str">
        <f>IF(CAPTURA!DA52="","",IFERROR(IF(INDEX(CODIFICACION!$E$2:$E$500,MATCH("D11.39a|"&amp;CAPTURA!DA52,CODIFICACION!$F$2:$F$500,0))="sin dato","",INDEX(CODIFICACION!$E$2:$E$500,MATCH("D11.39a|"&amp;CAPTURA!DA52,CODIFICACION!$F$2:$F$500,0))),"⚠"))</f>
        <v/>
      </c>
      <c r="BV52" t="str">
        <f>IF(CAPTURA!DB52="","",IFERROR(IF(INDEX(CODIFICACION!$E$2:$E$500,MATCH("D12.42|"&amp;CAPTURA!DB52,CODIFICACION!$F$2:$F$500,0))="sin dato","",INDEX(CODIFICACION!$E$2:$E$500,MATCH("D12.42|"&amp;CAPTURA!DB52,CODIFICACION!$F$2:$F$500,0))),"⚠"))</f>
        <v/>
      </c>
      <c r="BW52" t="str">
        <f>IF(CAPTURA!DC52="","",IFERROR(IF(INDEX(CODIFICACION!$E$2:$E$500,MATCH("D13.45|"&amp;CAPTURA!DC52,CODIFICACION!$F$2:$F$500,0))="sin dato","",INDEX(CODIFICACION!$E$2:$E$500,MATCH("D13.45|"&amp;CAPTURA!DC52,CODIFICACION!$F$2:$F$500,0))),"⚠"))</f>
        <v/>
      </c>
      <c r="BX52" t="str">
        <f>IF(CAPTURA!DD52="","",IFERROR(IF(INDEX(CODIFICACION!$E$2:$E$500,MATCH("D14.51|"&amp;CAPTURA!DD52,CODIFICACION!$F$2:$F$500,0))="sin dato","",INDEX(CODIFICACION!$E$2:$E$500,MATCH("D14.51|"&amp;CAPTURA!DD52,CODIFICACION!$F$2:$F$500,0))),"⚠"))</f>
        <v/>
      </c>
      <c r="BY52" t="str">
        <f>IF(CAPTURA!DE52="","",IFERROR(IF(INDEX(CODIFICACION!$E$2:$E$500,MATCH("D15.58|"&amp;CAPTURA!DE52,CODIFICACION!$F$2:$F$500,0))="sin dato","",INDEX(CODIFICACION!$E$2:$E$500,MATCH("D15.58|"&amp;CAPTURA!DE52,CODIFICACION!$F$2:$F$500,0))),"⚠"))</f>
        <v/>
      </c>
      <c r="BZ52" t="str">
        <f>IF(CAPTURA!DF52="","",IFERROR(IF(INDEX(CODIFICACION!$E$2:$E$500,MATCH("PP1|"&amp;CAPTURA!DF52,CODIFICACION!$F$2:$F$500,0))="sin dato","",INDEX(CODIFICACION!$E$2:$E$500,MATCH("PP1|"&amp;CAPTURA!DF52,CODIFICACION!$F$2:$F$500,0))),"⚠"))</f>
        <v/>
      </c>
      <c r="CA52" t="str">
        <f>IF(CAPTURA!DG52="","",IFERROR(IF(INDEX(CODIFICACION!$E$2:$E$500,MATCH("PP2|"&amp;CAPTURA!DG52,CODIFICACION!$F$2:$F$500,0))="sin dato","",INDEX(CODIFICACION!$E$2:$E$500,MATCH("PP2|"&amp;CAPTURA!DG52,CODIFICACION!$F$2:$F$500,0))),"⚠"))</f>
        <v/>
      </c>
      <c r="CB52" t="str">
        <f t="shared" si="11"/>
        <v/>
      </c>
      <c r="CC52" t="str">
        <f t="shared" si="12"/>
        <v/>
      </c>
      <c r="CD52" t="str">
        <f t="shared" si="13"/>
        <v/>
      </c>
      <c r="CE52" t="str">
        <f t="shared" si="14"/>
        <v/>
      </c>
      <c r="CF52" t="str">
        <f t="shared" si="15"/>
        <v/>
      </c>
      <c r="CG52" t="str">
        <f t="shared" si="16"/>
        <v/>
      </c>
      <c r="CH52" t="str">
        <f t="shared" si="17"/>
        <v/>
      </c>
      <c r="CI52" t="str">
        <f t="shared" si="18"/>
        <v/>
      </c>
      <c r="CJ52" t="str">
        <f t="shared" si="19"/>
        <v/>
      </c>
      <c r="CK52" t="str">
        <f t="shared" si="20"/>
        <v/>
      </c>
      <c r="CL52" t="str">
        <f t="shared" si="21"/>
        <v/>
      </c>
    </row>
    <row r="53" spans="1:90" x14ac:dyDescent="0.3">
      <c r="A53">
        <f>CAPTURA!A53</f>
        <v>20493934822</v>
      </c>
      <c r="B53">
        <f>CAPTURA!C53</f>
        <v>0</v>
      </c>
      <c r="C53" t="str">
        <f>IF(CAPTURA!M53="","",ROUND((ISNUMBER(SEARCH("Alemania",CAPTURA!M53))+ISNUMBER(SEARCH("Bélgica",CAPTURA!M53))+ISNUMBER(SEARCH("Países Bajos",CAPTURA!M53))+ISNUMBER(SEARCH("Francia",CAPTURA!M53))+ISNUMBER(SEARCH("Italia",CAPTURA!M53))+ISNUMBER(SEARCH("España",CAPTURA!M53))+ISNUMBER(SEARCH("Suecia",CAPTURA!M53))+ISNUMBER(SEARCH("Dinamarca",CAPTURA!M53)))/((LEN(CAPTURA!M53)-LEN(SUBSTITUTE(CAPTURA!M53,";","")))+1)*100,1))</f>
        <v/>
      </c>
      <c r="D53" t="str">
        <f>IF(CAPTURA!AE53="","",IFERROR(IF(INDEX(CODIFICACION!$E$2:$E$500,MATCH("P8|"&amp;CAPTURA!AE53,CODIFICACION!$F$2:$F$500,0))="sin dato","",INDEX(CODIFICACION!$E$2:$E$500,MATCH("P8|"&amp;CAPTURA!AE53,CODIFICACION!$F$2:$F$500,0))),"⚠"))</f>
        <v/>
      </c>
      <c r="E53" t="str">
        <f>IF(CAPTURA!AG53="","",IFERROR(IF(INDEX(CODIFICACION!$E$2:$E$500,MATCH("P10|"&amp;CAPTURA!AG53,CODIFICACION!$F$2:$F$500,0))="sin dato","",INDEX(CODIFICACION!$E$2:$E$500,MATCH("P10|"&amp;CAPTURA!AG53,CODIFICACION!$F$2:$F$500,0))),"⚠"))</f>
        <v/>
      </c>
      <c r="F53" t="str">
        <f>IF(CAPTURA!AJ53="","",IFERROR(IF(INDEX(CODIFICACION!$E$2:$E$500,MATCH("P13|"&amp;CAPTURA!AJ53,CODIFICACION!$F$2:$F$500,0))="sin dato","",INDEX(CODIFICACION!$E$2:$E$500,MATCH("P13|"&amp;CAPTURA!AJ53,CODIFICACION!$F$2:$F$500,0))),"⚠"))</f>
        <v/>
      </c>
      <c r="G53" t="str">
        <f>IF(CAPTURA!AK53="","",IFERROR(IF(INDEX(CODIFICACION!$E$2:$E$500,MATCH("P14|"&amp;CAPTURA!AK53,CODIFICACION!$F$2:$F$500,0))="sin dato","",INDEX(CODIFICACION!$E$2:$E$500,MATCH("P14|"&amp;CAPTURA!AK53,CODIFICACION!$F$2:$F$500,0))),"⚠"))</f>
        <v/>
      </c>
      <c r="H53" t="str">
        <f>IF(CAPTURA!AL53="","",IFERROR(IF(INDEX(CODIFICACION!$E$2:$E$500,MATCH("D1.1|"&amp;CAPTURA!AL53,CODIFICACION!$F$2:$F$500,0))="sin dato","",INDEX(CODIFICACION!$E$2:$E$500,MATCH("D1.1|"&amp;CAPTURA!AL53,CODIFICACION!$F$2:$F$500,0))),"⚠"))</f>
        <v/>
      </c>
      <c r="I53" t="str">
        <f>IF(CAPTURA!AN53="","",IFERROR(IF(INDEX(CODIFICACION!$E$2:$E$500,MATCH("D1.3|"&amp;CAPTURA!AN53,CODIFICACION!$F$2:$F$500,0))="sin dato","",INDEX(CODIFICACION!$E$2:$E$500,MATCH("D1.3|"&amp;CAPTURA!AN53,CODIFICACION!$F$2:$F$500,0))),"⚠"))</f>
        <v/>
      </c>
      <c r="J53" t="str">
        <f>IF(CAPTURA!AO53="","",IFERROR(IF(INDEX(CODIFICACION!$E$2:$E$500,MATCH("D1.4|"&amp;CAPTURA!AO53,CODIFICACION!$F$2:$F$500,0))="sin dato","",INDEX(CODIFICACION!$E$2:$E$500,MATCH("D1.4|"&amp;CAPTURA!AO53,CODIFICACION!$F$2:$F$500,0))),"⚠"))</f>
        <v/>
      </c>
      <c r="K53" t="str">
        <f>IF(CAPTURA!AP53="","",IFERROR(IF(INDEX(CODIFICACION!$E$2:$E$500,MATCH("D1.3a|"&amp;CAPTURA!AP53,CODIFICACION!$F$2:$F$500,0))="sin dato","",INDEX(CODIFICACION!$E$2:$E$500,MATCH("D1.3a|"&amp;CAPTURA!AP53,CODIFICACION!$F$2:$F$500,0))),"⚠"))</f>
        <v/>
      </c>
      <c r="L53" t="str">
        <f>IF(CAPTURA!AQ53="","",IF(AND(ISNUMBER(CAPTURA!AQ53),CAPTURA!AQ53&gt;=0,CAPTURA!AQ53&lt;=4),CAPTURA!AQ53*25,"⚠"))</f>
        <v/>
      </c>
      <c r="M53" t="str">
        <f>IF(CAPTURA!AR53="","",IF(ISNUMBER(CAPTURA!AR53),MAX(0,MIN(100,CAPTURA!AR53)),"⚠"))</f>
        <v/>
      </c>
      <c r="N53" t="str">
        <f>IF(CAPTURA!AS53="","",IF(AND(ISNUMBER(CAPTURA!AS53),CAPTURA!AS53&gt;=0,CAPTURA!AS53&lt;=4),CAPTURA!AS53*25,"⚠"))</f>
        <v/>
      </c>
      <c r="O53" t="str">
        <f>IF(CAPTURA!AT53="","",IFERROR(IF(INDEX(CODIFICACION!$E$2:$E$500,MATCH("D2.8|"&amp;CAPTURA!AT53,CODIFICACION!$F$2:$F$500,0))="sin dato","",INDEX(CODIFICACION!$E$2:$E$500,MATCH("D2.8|"&amp;CAPTURA!AT53,CODIFICACION!$F$2:$F$500,0))),"⚠"))</f>
        <v/>
      </c>
      <c r="P53" t="str">
        <f>IF(CAPTURA!AU53="","",IFERROR(IF(INDEX(CODIFICACION!$E$2:$E$500,MATCH("D2.9|"&amp;CAPTURA!AU53,CODIFICACION!$F$2:$F$500,0))="sin dato","",INDEX(CODIFICACION!$E$2:$E$500,MATCH("D2.9|"&amp;CAPTURA!AU53,CODIFICACION!$F$2:$F$500,0))),"⚠"))</f>
        <v/>
      </c>
      <c r="Q53" t="str">
        <f>IF(CAPTURA!AV53="","",IFERROR(IF(INDEX(CODIFICACION!$E$2:$E$500,MATCH("D2.10|"&amp;CAPTURA!AV53,CODIFICACION!$F$2:$F$500,0))="sin dato","",INDEX(CODIFICACION!$E$2:$E$500,MATCH("D2.10|"&amp;CAPTURA!AV53,CODIFICACION!$F$2:$F$500,0))),"⚠"))</f>
        <v/>
      </c>
      <c r="R53" t="str">
        <f>IF(CAPTURA!AW53="","",IFERROR(IF(INDEX(CODIFICACION!$E$2:$E$500,MATCH("D2.5a|"&amp;CAPTURA!AW53,CODIFICACION!$F$2:$F$500,0))="sin dato","",INDEX(CODIFICACION!$E$2:$E$500,MATCH("D2.5a|"&amp;CAPTURA!AW53,CODIFICACION!$F$2:$F$500,0))),"⚠"))</f>
        <v/>
      </c>
      <c r="S53" t="str">
        <f>IF(CAPTURA!AX53="","",IFERROR(IF(INDEX(CODIFICACION!$E$2:$E$500,MATCH("D2.5b|"&amp;CAPTURA!AX53,CODIFICACION!$F$2:$F$500,0))="sin dato","",INDEX(CODIFICACION!$E$2:$E$500,MATCH("D2.5b|"&amp;CAPTURA!AX53,CODIFICACION!$F$2:$F$500,0))),"⚠"))</f>
        <v/>
      </c>
      <c r="T53" t="str">
        <f>IF(CAPTURA!AY53="","",IF(ISNUMBER(CAPTURA!AY53),MAX(0,MIN(100,CAPTURA!AY53)),"⚠"))</f>
        <v/>
      </c>
      <c r="U53" t="str">
        <f>IF(CAPTURA!AZ53="","",IFERROR(IF(INDEX(CODIFICACION!$E$2:$E$500,MATCH("D3.12|"&amp;CAPTURA!AZ53,CODIFICACION!$F$2:$F$500,0))="sin dato","",INDEX(CODIFICACION!$E$2:$E$500,MATCH("D3.12|"&amp;CAPTURA!AZ53,CODIFICACION!$F$2:$F$500,0))),"⚠"))</f>
        <v/>
      </c>
      <c r="V53" t="str">
        <f>IF(CAPTURA!BA53="","",IF(AND(ISNUMBER(CAPTURA!BA53),CAPTURA!BA53&gt;=0,CAPTURA!BA53&lt;=4),CAPTURA!BA53*25,"⚠"))</f>
        <v/>
      </c>
      <c r="W53" t="str">
        <f>IF(CAPTURA!BB53="","",IFERROR(IF(INDEX(CODIFICACION!$E$2:$E$500,MATCH("D3.14|"&amp;CAPTURA!BB53,CODIFICACION!$F$2:$F$500,0))="sin dato","",INDEX(CODIFICACION!$E$2:$E$500,MATCH("D3.14|"&amp;CAPTURA!BB53,CODIFICACION!$F$2:$F$500,0))),"⚠"))</f>
        <v/>
      </c>
      <c r="X53" t="str">
        <f>IF(CAPTURA!BC53="","",IFERROR(IF(INDEX(CODIFICACION!$E$2:$E$500,MATCH("D3.14a|"&amp;CAPTURA!BC53,CODIFICACION!$F$2:$F$500,0))="sin dato","",INDEX(CODIFICACION!$E$2:$E$500,MATCH("D3.14a|"&amp;CAPTURA!BC53,CODIFICACION!$F$2:$F$500,0))),"⚠"))</f>
        <v/>
      </c>
      <c r="Y53" t="str">
        <f>IF(CAPTURA!BD53="","",IFERROR(IF(INDEX(CODIFICACION!$E$2:$E$500,MATCH("D3.14b|"&amp;CAPTURA!BD53,CODIFICACION!$F$2:$F$500,0))="sin dato","",INDEX(CODIFICACION!$E$2:$E$500,MATCH("D3.14b|"&amp;CAPTURA!BD53,CODIFICACION!$F$2:$F$500,0))),"⚠"))</f>
        <v/>
      </c>
      <c r="Z53" t="str">
        <f>IF(CAPTURA!BE53="","",IFERROR(IF(INDEX(CODIFICACION!$E$2:$E$500,MATCH("D3.14c|"&amp;CAPTURA!BE53,CODIFICACION!$F$2:$F$500,0))="sin dato","",INDEX(CODIFICACION!$E$2:$E$500,MATCH("D3.14c|"&amp;CAPTURA!BE53,CODIFICACION!$F$2:$F$500,0))),"⚠"))</f>
        <v/>
      </c>
      <c r="AA53" t="str">
        <f>IF(CAPTURA!BF53="","",IFERROR(IF(INDEX(CODIFICACION!$E$2:$E$500,MATCH("D3.14d|"&amp;CAPTURA!BF53,CODIFICACION!$F$2:$F$500,0))="sin dato","",INDEX(CODIFICACION!$E$2:$E$500,MATCH("D3.14d|"&amp;CAPTURA!BF53,CODIFICACION!$F$2:$F$500,0))),"⚠"))</f>
        <v/>
      </c>
      <c r="AB53" t="str">
        <f>IF(CAPTURA!BG53="","",IFERROR(IF(INDEX(CODIFICACION!$E$2:$E$500,MATCH("D3.14e|"&amp;CAPTURA!BG53,CODIFICACION!$F$2:$F$500,0))="sin dato","",INDEX(CODIFICACION!$E$2:$E$500,MATCH("D3.14e|"&amp;CAPTURA!BG53,CODIFICACION!$F$2:$F$500,0))),"⚠"))</f>
        <v/>
      </c>
      <c r="AC53" t="str">
        <f>IF(CAPTURA!BH53="","",IFERROR(IF(INDEX(CODIFICACION!$E$2:$E$500,MATCH("D3.14f|"&amp;CAPTURA!BH53,CODIFICACION!$F$2:$F$500,0))="sin dato","",INDEX(CODIFICACION!$E$2:$E$500,MATCH("D3.14f|"&amp;CAPTURA!BH53,CODIFICACION!$F$2:$F$500,0))),"⚠"))</f>
        <v/>
      </c>
      <c r="AD53" t="str">
        <f>IF(CAPTURA!BI53="","",IFERROR(IF(INDEX(CODIFICACION!$E$2:$E$500,MATCH("D3.14g|"&amp;CAPTURA!BI53,CODIFICACION!$F$2:$F$500,0))="sin dato","",INDEX(CODIFICACION!$E$2:$E$500,MATCH("D3.14g|"&amp;CAPTURA!BI53,CODIFICACION!$F$2:$F$500,0))),"⚠"))</f>
        <v/>
      </c>
      <c r="AE53" t="str">
        <f>IF(CAPTURA!BJ53="","",IFERROR(IF(INDEX(CODIFICACION!$E$2:$E$500,MATCH("D3.14h|"&amp;CAPTURA!BJ53,CODIFICACION!$F$2:$F$500,0))="sin dato","",INDEX(CODIFICACION!$E$2:$E$500,MATCH("D3.14h|"&amp;CAPTURA!BJ53,CODIFICACION!$F$2:$F$500,0))),"⚠"))</f>
        <v/>
      </c>
      <c r="AF53" t="str">
        <f>IF(CAPTURA!BK53="","",IFERROR(IF(INDEX(CODIFICACION!$E$2:$E$500,MATCH("D3.14i|"&amp;CAPTURA!BK53,CODIFICACION!$F$2:$F$500,0))="sin dato","",INDEX(CODIFICACION!$E$2:$E$500,MATCH("D3.14i|"&amp;CAPTURA!BK53,CODIFICACION!$F$2:$F$500,0))),"⚠"))</f>
        <v/>
      </c>
      <c r="AG53" t="str">
        <f>IF(CAPTURA!BL53="","",IFERROR(IF(INDEX(CODIFICACION!$E$2:$E$500,MATCH("D4.15|"&amp;CAPTURA!BL53,CODIFICACION!$F$2:$F$500,0))="sin dato","",INDEX(CODIFICACION!$E$2:$E$500,MATCH("D4.15|"&amp;CAPTURA!BL53,CODIFICACION!$F$2:$F$500,0))),"⚠"))</f>
        <v/>
      </c>
      <c r="AH53" t="str">
        <f>IF(CAPTURA!BM53="","",IF(AND(ISNUMBER(CAPTURA!BM53),CAPTURA!BM53&gt;=0,CAPTURA!BM53&lt;=4),CAPTURA!BM53*25,"⚠"))</f>
        <v/>
      </c>
      <c r="AI53" t="str">
        <f>IF(CAPTURA!BN53="","",IFERROR(IF(INDEX(CODIFICACION!$E$2:$E$500,MATCH("D4.17|"&amp;CAPTURA!BN53,CODIFICACION!$F$2:$F$500,0))="sin dato","",INDEX(CODIFICACION!$E$2:$E$500,MATCH("D4.17|"&amp;CAPTURA!BN53,CODIFICACION!$F$2:$F$500,0))),"⚠"))</f>
        <v/>
      </c>
      <c r="AJ53" t="str">
        <f>IF(CAPTURA!BO53="","",IFERROR(IF(INDEX(CODIFICACION!$E$2:$E$500,MATCH("D4.15a|"&amp;CAPTURA!BO53,CODIFICACION!$F$2:$F$500,0))="sin dato","",INDEX(CODIFICACION!$E$2:$E$500,MATCH("D4.15a|"&amp;CAPTURA!BO53,CODIFICACION!$F$2:$F$500,0))),"⚠"))</f>
        <v/>
      </c>
      <c r="AK53" t="str">
        <f>IF(CAPTURA!BP53="","",IF(AND(ISNUMBER(CAPTURA!BP53),CAPTURA!BP53&gt;=0,CAPTURA!BP53&lt;=4),CAPTURA!BP53*25,"⚠"))</f>
        <v/>
      </c>
      <c r="AL53" t="str">
        <f>IF(CAPTURA!BQ53="","",IF(AND(ISNUMBER(CAPTURA!BQ53),CAPTURA!BQ53&gt;=0,CAPTURA!BQ53&lt;=4),CAPTURA!BQ53*25,"⚠"))</f>
        <v/>
      </c>
      <c r="AM53" t="str">
        <f>IF(CAPTURA!BR53="","",IFERROR(IF(INDEX(CODIFICACION!$E$2:$E$500,MATCH("D5.18b|"&amp;CAPTURA!BR53,CODIFICACION!$F$2:$F$500,0))="sin dato","",INDEX(CODIFICACION!$E$2:$E$500,MATCH("D5.18b|"&amp;CAPTURA!BR53,CODIFICACION!$F$2:$F$500,0))),"⚠"))</f>
        <v/>
      </c>
      <c r="AN53" t="str">
        <f>IF(CAPTURA!BS53="","",IFERROR(IF(INDEX(CODIFICACION!$E$2:$E$500,MATCH("D5.19|"&amp;CAPTURA!BS53,CODIFICACION!$F$2:$F$500,0))="sin dato","",INDEX(CODIFICACION!$E$2:$E$500,MATCH("D5.19|"&amp;CAPTURA!BS53,CODIFICACION!$F$2:$F$500,0))),"⚠"))</f>
        <v/>
      </c>
      <c r="AO53" t="str">
        <f>IF(CAPTURA!BT53="","",MIN(100,ROUND((LEN(CAPTURA!BT53)-LEN(SUBSTITUTE(CAPTURA!BT53,";",""))+1)/7*100,1)))</f>
        <v/>
      </c>
      <c r="AP53" t="str">
        <f>IF(CAPTURA!BU53="","",IFERROR(IF(INDEX(CODIFICACION!$E$2:$E$500,MATCH("D5.20|"&amp;CAPTURA!BU53,CODIFICACION!$F$2:$F$500,0))="sin dato","",INDEX(CODIFICACION!$E$2:$E$500,MATCH("D5.20|"&amp;CAPTURA!BU53,CODIFICACION!$F$2:$F$500,0))),"⚠"))</f>
        <v/>
      </c>
      <c r="AQ53" t="str">
        <f>IF(CAPTURA!BV53="","",IFERROR(IF(INDEX(CODIFICACION!$E$2:$E$500,MATCH("D5.21|"&amp;CAPTURA!BV53,CODIFICACION!$F$2:$F$500,0))="sin dato","",INDEX(CODIFICACION!$E$2:$E$500,MATCH("D5.21|"&amp;CAPTURA!BV53,CODIFICACION!$F$2:$F$500,0))),"⚠"))</f>
        <v/>
      </c>
      <c r="AR53" t="str">
        <f>IF(CAPTURA!BW53="","",IFERROR(IF(INDEX(CODIFICACION!$E$2:$E$500,MATCH("D5.21a|"&amp;CAPTURA!BW53,CODIFICACION!$F$2:$F$500,0))="sin dato","",INDEX(CODIFICACION!$E$2:$E$500,MATCH("D5.21a|"&amp;CAPTURA!BW53,CODIFICACION!$F$2:$F$500,0))),"⚠"))</f>
        <v/>
      </c>
      <c r="AS53" t="str">
        <f>IF(CAPTURA!BX53="","",IFERROR(IF(INDEX(CODIFICACION!$E$2:$E$500,MATCH("D5.21b|"&amp;CAPTURA!BX53,CODIFICACION!$F$2:$F$500,0))="sin dato","",INDEX(CODIFICACION!$E$2:$E$500,MATCH("D5.21b|"&amp;CAPTURA!BX53,CODIFICACION!$F$2:$F$500,0))),"⚠"))</f>
        <v/>
      </c>
      <c r="AT53" t="str">
        <f>IF(CAPTURA!BY53="","",IFERROR(IF(INDEX(CODIFICACION!$E$2:$E$500,MATCH("D6.22|"&amp;CAPTURA!BY53,CODIFICACION!$F$2:$F$500,0))="sin dato","",INDEX(CODIFICACION!$E$2:$E$500,MATCH("D6.22|"&amp;CAPTURA!BY53,CODIFICACION!$F$2:$F$500,0))),"⚠"))</f>
        <v/>
      </c>
      <c r="AU53" t="str">
        <f>IF(CAPTURA!BZ53="","",IFERROR(IF(INDEX(CODIFICACION!$E$2:$E$500,MATCH("D6.22a|"&amp;CAPTURA!BZ53,CODIFICACION!$F$2:$F$500,0))="sin dato","",INDEX(CODIFICACION!$E$2:$E$500,MATCH("D6.22a|"&amp;CAPTURA!BZ53,CODIFICACION!$F$2:$F$500,0))),"⚠"))</f>
        <v/>
      </c>
      <c r="AV53" t="str">
        <f>IF(CAPTURA!CA53="","",IFERROR(IF(INDEX(CODIFICACION!$E$2:$E$500,MATCH("D6.22b|"&amp;CAPTURA!CA53,CODIFICACION!$F$2:$F$500,0))="sin dato","",INDEX(CODIFICACION!$E$2:$E$500,MATCH("D6.22b|"&amp;CAPTURA!CA53,CODIFICACION!$F$2:$F$500,0))),"⚠"))</f>
        <v/>
      </c>
      <c r="AW53" t="str">
        <f>IF(CAPTURA!CB53="","",IFERROR(IF(INDEX(CODIFICACION!$E$2:$E$500,MATCH("D6.23|"&amp;CAPTURA!CB53,CODIFICACION!$F$2:$F$500,0))="sin dato","",INDEX(CODIFICACION!$E$2:$E$500,MATCH("D6.23|"&amp;CAPTURA!CB53,CODIFICACION!$F$2:$F$500,0))),"⚠"))</f>
        <v/>
      </c>
      <c r="AX53" t="str">
        <f>IF(CAPTURA!CC53="","",IFERROR(IF(INDEX(CODIFICACION!$E$2:$E$500,MATCH("D6.24|"&amp;CAPTURA!CC53,CODIFICACION!$F$2:$F$500,0))="sin dato","",INDEX(CODIFICACION!$E$2:$E$500,MATCH("D6.24|"&amp;CAPTURA!CC53,CODIFICACION!$F$2:$F$500,0))),"⚠"))</f>
        <v/>
      </c>
      <c r="AY53" t="str">
        <f>IF(CAPTURA!CD53="","",IFERROR(IF(INDEX(CODIFICACION!$E$2:$E$500,MATCH("D6.25|"&amp;CAPTURA!CD53,CODIFICACION!$F$2:$F$500,0))="sin dato","",INDEX(CODIFICACION!$E$2:$E$500,MATCH("D6.25|"&amp;CAPTURA!CD53,CODIFICACION!$F$2:$F$500,0))),"⚠"))</f>
        <v/>
      </c>
      <c r="AZ53" t="str">
        <f>IF(CAPTURA!CE53="","",IFERROR(IF(INDEX(CODIFICACION!$E$2:$E$500,MATCH("D6.25a|"&amp;CAPTURA!CE53,CODIFICACION!$F$2:$F$500,0))="sin dato","",INDEX(CODIFICACION!$E$2:$E$500,MATCH("D6.25a|"&amp;CAPTURA!CE53,CODIFICACION!$F$2:$F$500,0))),"⚠"))</f>
        <v/>
      </c>
      <c r="BA53" t="str">
        <f>IF(CAPTURA!CF53="","",IFERROR(IF(INDEX(CODIFICACION!$E$2:$E$500,MATCH("D6.25b|"&amp;CAPTURA!CF53,CODIFICACION!$F$2:$F$500,0))="sin dato","",INDEX(CODIFICACION!$E$2:$E$500,MATCH("D6.25b|"&amp;CAPTURA!CF53,CODIFICACION!$F$2:$F$500,0))),"⚠"))</f>
        <v/>
      </c>
      <c r="BB53" t="str">
        <f>IF(CAPTURA!CG53="","",IFERROR(IF(INDEX(CODIFICACION!$E$2:$E$500,MATCH("D6.22c|"&amp;CAPTURA!CG53,CODIFICACION!$F$2:$F$500,0))="sin dato","",INDEX(CODIFICACION!$E$2:$E$500,MATCH("D6.22c|"&amp;CAPTURA!CG53,CODIFICACION!$F$2:$F$500,0))),"⚠"))</f>
        <v/>
      </c>
      <c r="BC53" t="str">
        <f>IF(CAPTURA!CH53="","",IFERROR(IF(INDEX(CODIFICACION!$E$2:$E$500,MATCH("D7.26|"&amp;CAPTURA!CH53,CODIFICACION!$F$2:$F$500,0))="sin dato","",INDEX(CODIFICACION!$E$2:$E$500,MATCH("D7.26|"&amp;CAPTURA!CH53,CODIFICACION!$F$2:$F$500,0))),"⚠"))</f>
        <v/>
      </c>
      <c r="BD53" t="str">
        <f>IF(CAPTURA!CI53="","",IFERROR(IF(INDEX(CODIFICACION!$E$2:$E$500,MATCH("D7.27|"&amp;CAPTURA!CI53,CODIFICACION!$F$2:$F$500,0))="sin dato","",INDEX(CODIFICACION!$E$2:$E$500,MATCH("D7.27|"&amp;CAPTURA!CI53,CODIFICACION!$F$2:$F$500,0))),"⚠"))</f>
        <v/>
      </c>
      <c r="BE53" t="str">
        <f>IF(CAPTURA!CJ53="","",IFERROR(IF(INDEX(CODIFICACION!$E$2:$E$500,MATCH("D7.28|"&amp;CAPTURA!CJ53,CODIFICACION!$F$2:$F$500,0))="sin dato","",INDEX(CODIFICACION!$E$2:$E$500,MATCH("D7.28|"&amp;CAPTURA!CJ53,CODIFICACION!$F$2:$F$500,0))),"⚠"))</f>
        <v/>
      </c>
      <c r="BF53" t="str">
        <f>IF(CAPTURA!CK53="","",IFERROR(IF(INDEX(CODIFICACION!$E$2:$E$500,MATCH("D7.28b|"&amp;CAPTURA!CK53,CODIFICACION!$F$2:$F$500,0))="sin dato","",INDEX(CODIFICACION!$E$2:$E$500,MATCH("D7.28b|"&amp;CAPTURA!CK53,CODIFICACION!$F$2:$F$500,0))),"⚠"))</f>
        <v/>
      </c>
      <c r="BG53" t="str">
        <f>IF(CAPTURA!CL53="","",MIN(100,ROUND((LEN(CAPTURA!CL53)-LEN(SUBSTITUTE(CAPTURA!CL53,";",""))+1)/8*100,1)))</f>
        <v/>
      </c>
      <c r="BH53" t="str">
        <f>IF(CAPTURA!CM53="","",IFERROR(IF(INDEX(CODIFICACION!$E$2:$E$500,MATCH("D7.26a|"&amp;CAPTURA!CM53,CODIFICACION!$F$2:$F$500,0))="sin dato","",INDEX(CODIFICACION!$E$2:$E$500,MATCH("D7.26a|"&amp;CAPTURA!CM53,CODIFICACION!$F$2:$F$500,0))),"⚠"))</f>
        <v/>
      </c>
      <c r="BI53" t="str">
        <f>IF(CAPTURA!CN53="","",IFERROR(IF(INDEX(CODIFICACION!$E$2:$E$500,MATCH("D7.26b|"&amp;CAPTURA!CN53,CODIFICACION!$F$2:$F$500,0))="sin dato","",INDEX(CODIFICACION!$E$2:$E$500,MATCH("D7.26b|"&amp;CAPTURA!CN53,CODIFICACION!$F$2:$F$500,0))),"⚠"))</f>
        <v/>
      </c>
      <c r="BJ53" t="str">
        <f>IF(CAPTURA!CO53="","",IF(AND(ISNUMBER(CAPTURA!CO53),CAPTURA!CO53&gt;=0,CAPTURA!CO53&lt;=4),CAPTURA!CO53*25,"⚠"))</f>
        <v/>
      </c>
      <c r="BK53" t="str">
        <f>IF(CAPTURA!CP53="","",IF(ISNUMBER(CAPTURA!CP53),MAX(0,MIN(100,CAPTURA!CP53)),"⚠"))</f>
        <v/>
      </c>
      <c r="BL53" t="str">
        <f>IF(CAPTURA!CQ53="","",IFERROR(IF(INDEX(CODIFICACION!$E$2:$E$500,MATCH("D8.31|"&amp;CAPTURA!CQ53,CODIFICACION!$F$2:$F$500,0))="sin dato","",INDEX(CODIFICACION!$E$2:$E$500,MATCH("D8.31|"&amp;CAPTURA!CQ53,CODIFICACION!$F$2:$F$500,0))),"⚠"))</f>
        <v/>
      </c>
      <c r="BM53" t="str">
        <f>IF(CAPTURA!CR53="","",IFERROR(IF(INDEX(CODIFICACION!$E$2:$E$500,MATCH("D8.32|"&amp;CAPTURA!CR53,CODIFICACION!$F$2:$F$500,0))="sin dato","",INDEX(CODIFICACION!$E$2:$E$500,MATCH("D8.32|"&amp;CAPTURA!CR53,CODIFICACION!$F$2:$F$500,0))),"⚠"))</f>
        <v/>
      </c>
      <c r="BN53" t="str">
        <f>IF(CAPTURA!CS53="","",IFERROR(IF(INDEX(CODIFICACION!$E$2:$E$500,MATCH("D9.33|"&amp;CAPTURA!CS53,CODIFICACION!$F$2:$F$500,0))="sin dato","",INDEX(CODIFICACION!$E$2:$E$500,MATCH("D9.33|"&amp;CAPTURA!CS53,CODIFICACION!$F$2:$F$500,0))),"⚠"))</f>
        <v/>
      </c>
      <c r="BO53" t="str">
        <f>IF(CAPTURA!CT53="","",IFERROR(IF(INDEX(CODIFICACION!$E$2:$E$500,MATCH("D9.34|"&amp;CAPTURA!CT53,CODIFICACION!$F$2:$F$500,0))="sin dato","",INDEX(CODIFICACION!$E$2:$E$500,MATCH("D9.34|"&amp;CAPTURA!CT53,CODIFICACION!$F$2:$F$500,0))),"⚠"))</f>
        <v/>
      </c>
      <c r="BP53" t="str">
        <f>IF(CAPTURA!CU53="","",IFERROR(IF(INDEX(CODIFICACION!$E$2:$E$500,MATCH("D9.35|"&amp;CAPTURA!CU53,CODIFICACION!$F$2:$F$500,0))="sin dato","",INDEX(CODIFICACION!$E$2:$E$500,MATCH("D9.35|"&amp;CAPTURA!CU53,CODIFICACION!$F$2:$F$500,0))),"⚠"))</f>
        <v/>
      </c>
      <c r="BQ53" t="str">
        <f>IF(CAPTURA!CV53="","",IFERROR(IF(INDEX(CODIFICACION!$E$2:$E$500,MATCH("D10.36|"&amp;CAPTURA!CV53,CODIFICACION!$F$2:$F$500,0))="sin dato","",INDEX(CODIFICACION!$E$2:$E$500,MATCH("D10.36|"&amp;CAPTURA!CV53,CODIFICACION!$F$2:$F$500,0))),"⚠"))</f>
        <v/>
      </c>
      <c r="BR53" t="str">
        <f>IF(CAPTURA!CW53="","",IFERROR(IF(INDEX(CODIFICACION!$E$2:$E$500,MATCH("D10.37|"&amp;CAPTURA!CW53,CODIFICACION!$F$2:$F$500,0))="sin dato","",INDEX(CODIFICACION!$E$2:$E$500,MATCH("D10.37|"&amp;CAPTURA!CW53,CODIFICACION!$F$2:$F$500,0))),"⚠"))</f>
        <v/>
      </c>
      <c r="BS53" t="str">
        <f>IF(CAPTURA!CX53="","",IFERROR(IF(INDEX(CODIFICACION!$E$2:$E$500,MATCH("D10.36a|"&amp;CAPTURA!CX53,CODIFICACION!$F$2:$F$500,0))="sin dato","",INDEX(CODIFICACION!$E$2:$E$500,MATCH("D10.36a|"&amp;CAPTURA!CX53,CODIFICACION!$F$2:$F$500,0))),"⚠"))</f>
        <v/>
      </c>
      <c r="BT53" t="str">
        <f>IF(CAPTURA!CY53="","",IF(ISNUMBER(SEARCH("Ninguno",CAPTURA!CY53)),0,MIN(100,ROUND((LEN(CAPTURA!CY53)-LEN(SUBSTITUTE(CAPTURA!CY53,";",""))+1)/6*100,1))))</f>
        <v/>
      </c>
      <c r="BU53" t="str">
        <f>IF(CAPTURA!DA53="","",IFERROR(IF(INDEX(CODIFICACION!$E$2:$E$500,MATCH("D11.39a|"&amp;CAPTURA!DA53,CODIFICACION!$F$2:$F$500,0))="sin dato","",INDEX(CODIFICACION!$E$2:$E$500,MATCH("D11.39a|"&amp;CAPTURA!DA53,CODIFICACION!$F$2:$F$500,0))),"⚠"))</f>
        <v/>
      </c>
      <c r="BV53" t="str">
        <f>IF(CAPTURA!DB53="","",IFERROR(IF(INDEX(CODIFICACION!$E$2:$E$500,MATCH("D12.42|"&amp;CAPTURA!DB53,CODIFICACION!$F$2:$F$500,0))="sin dato","",INDEX(CODIFICACION!$E$2:$E$500,MATCH("D12.42|"&amp;CAPTURA!DB53,CODIFICACION!$F$2:$F$500,0))),"⚠"))</f>
        <v/>
      </c>
      <c r="BW53" t="str">
        <f>IF(CAPTURA!DC53="","",IFERROR(IF(INDEX(CODIFICACION!$E$2:$E$500,MATCH("D13.45|"&amp;CAPTURA!DC53,CODIFICACION!$F$2:$F$500,0))="sin dato","",INDEX(CODIFICACION!$E$2:$E$500,MATCH("D13.45|"&amp;CAPTURA!DC53,CODIFICACION!$F$2:$F$500,0))),"⚠"))</f>
        <v/>
      </c>
      <c r="BX53" t="str">
        <f>IF(CAPTURA!DD53="","",IFERROR(IF(INDEX(CODIFICACION!$E$2:$E$500,MATCH("D14.51|"&amp;CAPTURA!DD53,CODIFICACION!$F$2:$F$500,0))="sin dato","",INDEX(CODIFICACION!$E$2:$E$500,MATCH("D14.51|"&amp;CAPTURA!DD53,CODIFICACION!$F$2:$F$500,0))),"⚠"))</f>
        <v/>
      </c>
      <c r="BY53" t="str">
        <f>IF(CAPTURA!DE53="","",IFERROR(IF(INDEX(CODIFICACION!$E$2:$E$500,MATCH("D15.58|"&amp;CAPTURA!DE53,CODIFICACION!$F$2:$F$500,0))="sin dato","",INDEX(CODIFICACION!$E$2:$E$500,MATCH("D15.58|"&amp;CAPTURA!DE53,CODIFICACION!$F$2:$F$500,0))),"⚠"))</f>
        <v/>
      </c>
      <c r="BZ53" t="str">
        <f>IF(CAPTURA!DF53="","",IFERROR(IF(INDEX(CODIFICACION!$E$2:$E$500,MATCH("PP1|"&amp;CAPTURA!DF53,CODIFICACION!$F$2:$F$500,0))="sin dato","",INDEX(CODIFICACION!$E$2:$E$500,MATCH("PP1|"&amp;CAPTURA!DF53,CODIFICACION!$F$2:$F$500,0))),"⚠"))</f>
        <v/>
      </c>
      <c r="CA53" t="str">
        <f>IF(CAPTURA!DG53="","",IFERROR(IF(INDEX(CODIFICACION!$E$2:$E$500,MATCH("PP2|"&amp;CAPTURA!DG53,CODIFICACION!$F$2:$F$500,0))="sin dato","",INDEX(CODIFICACION!$E$2:$E$500,MATCH("PP2|"&amp;CAPTURA!DG53,CODIFICACION!$F$2:$F$500,0))),"⚠"))</f>
        <v/>
      </c>
      <c r="CB53" t="str">
        <f t="shared" si="11"/>
        <v/>
      </c>
      <c r="CC53" t="str">
        <f t="shared" si="12"/>
        <v/>
      </c>
      <c r="CD53" t="str">
        <f t="shared" si="13"/>
        <v/>
      </c>
      <c r="CE53" t="str">
        <f t="shared" si="14"/>
        <v/>
      </c>
      <c r="CF53" t="str">
        <f t="shared" si="15"/>
        <v/>
      </c>
      <c r="CG53" t="str">
        <f t="shared" si="16"/>
        <v/>
      </c>
      <c r="CH53" t="str">
        <f t="shared" si="17"/>
        <v/>
      </c>
      <c r="CI53" t="str">
        <f t="shared" si="18"/>
        <v/>
      </c>
      <c r="CJ53" t="str">
        <f t="shared" si="19"/>
        <v/>
      </c>
      <c r="CK53" t="str">
        <f t="shared" si="20"/>
        <v/>
      </c>
      <c r="CL53" t="str">
        <f t="shared" si="21"/>
        <v/>
      </c>
    </row>
    <row r="54" spans="1:90" x14ac:dyDescent="0.3">
      <c r="A54">
        <f>CAPTURA!A54</f>
        <v>20493959574</v>
      </c>
      <c r="B54">
        <f>CAPTURA!C54</f>
        <v>0</v>
      </c>
      <c r="C54" t="str">
        <f>IF(CAPTURA!M54="","",ROUND((ISNUMBER(SEARCH("Alemania",CAPTURA!M54))+ISNUMBER(SEARCH("Bélgica",CAPTURA!M54))+ISNUMBER(SEARCH("Países Bajos",CAPTURA!M54))+ISNUMBER(SEARCH("Francia",CAPTURA!M54))+ISNUMBER(SEARCH("Italia",CAPTURA!M54))+ISNUMBER(SEARCH("España",CAPTURA!M54))+ISNUMBER(SEARCH("Suecia",CAPTURA!M54))+ISNUMBER(SEARCH("Dinamarca",CAPTURA!M54)))/((LEN(CAPTURA!M54)-LEN(SUBSTITUTE(CAPTURA!M54,";","")))+1)*100,1))</f>
        <v/>
      </c>
      <c r="D54" t="str">
        <f>IF(CAPTURA!AE54="","",IFERROR(IF(INDEX(CODIFICACION!$E$2:$E$500,MATCH("P8|"&amp;CAPTURA!AE54,CODIFICACION!$F$2:$F$500,0))="sin dato","",INDEX(CODIFICACION!$E$2:$E$500,MATCH("P8|"&amp;CAPTURA!AE54,CODIFICACION!$F$2:$F$500,0))),"⚠"))</f>
        <v/>
      </c>
      <c r="E54" t="str">
        <f>IF(CAPTURA!AG54="","",IFERROR(IF(INDEX(CODIFICACION!$E$2:$E$500,MATCH("P10|"&amp;CAPTURA!AG54,CODIFICACION!$F$2:$F$500,0))="sin dato","",INDEX(CODIFICACION!$E$2:$E$500,MATCH("P10|"&amp;CAPTURA!AG54,CODIFICACION!$F$2:$F$500,0))),"⚠"))</f>
        <v/>
      </c>
      <c r="F54" t="str">
        <f>IF(CAPTURA!AJ54="","",IFERROR(IF(INDEX(CODIFICACION!$E$2:$E$500,MATCH("P13|"&amp;CAPTURA!AJ54,CODIFICACION!$F$2:$F$500,0))="sin dato","",INDEX(CODIFICACION!$E$2:$E$500,MATCH("P13|"&amp;CAPTURA!AJ54,CODIFICACION!$F$2:$F$500,0))),"⚠"))</f>
        <v/>
      </c>
      <c r="G54" t="str">
        <f>IF(CAPTURA!AK54="","",IFERROR(IF(INDEX(CODIFICACION!$E$2:$E$500,MATCH("P14|"&amp;CAPTURA!AK54,CODIFICACION!$F$2:$F$500,0))="sin dato","",INDEX(CODIFICACION!$E$2:$E$500,MATCH("P14|"&amp;CAPTURA!AK54,CODIFICACION!$F$2:$F$500,0))),"⚠"))</f>
        <v/>
      </c>
      <c r="H54" t="str">
        <f>IF(CAPTURA!AL54="","",IFERROR(IF(INDEX(CODIFICACION!$E$2:$E$500,MATCH("D1.1|"&amp;CAPTURA!AL54,CODIFICACION!$F$2:$F$500,0))="sin dato","",INDEX(CODIFICACION!$E$2:$E$500,MATCH("D1.1|"&amp;CAPTURA!AL54,CODIFICACION!$F$2:$F$500,0))),"⚠"))</f>
        <v/>
      </c>
      <c r="I54" t="str">
        <f>IF(CAPTURA!AN54="","",IFERROR(IF(INDEX(CODIFICACION!$E$2:$E$500,MATCH("D1.3|"&amp;CAPTURA!AN54,CODIFICACION!$F$2:$F$500,0))="sin dato","",INDEX(CODIFICACION!$E$2:$E$500,MATCH("D1.3|"&amp;CAPTURA!AN54,CODIFICACION!$F$2:$F$500,0))),"⚠"))</f>
        <v/>
      </c>
      <c r="J54" t="str">
        <f>IF(CAPTURA!AO54="","",IFERROR(IF(INDEX(CODIFICACION!$E$2:$E$500,MATCH("D1.4|"&amp;CAPTURA!AO54,CODIFICACION!$F$2:$F$500,0))="sin dato","",INDEX(CODIFICACION!$E$2:$E$500,MATCH("D1.4|"&amp;CAPTURA!AO54,CODIFICACION!$F$2:$F$500,0))),"⚠"))</f>
        <v/>
      </c>
      <c r="K54" t="str">
        <f>IF(CAPTURA!AP54="","",IFERROR(IF(INDEX(CODIFICACION!$E$2:$E$500,MATCH("D1.3a|"&amp;CAPTURA!AP54,CODIFICACION!$F$2:$F$500,0))="sin dato","",INDEX(CODIFICACION!$E$2:$E$500,MATCH("D1.3a|"&amp;CAPTURA!AP54,CODIFICACION!$F$2:$F$500,0))),"⚠"))</f>
        <v/>
      </c>
      <c r="L54" t="str">
        <f>IF(CAPTURA!AQ54="","",IF(AND(ISNUMBER(CAPTURA!AQ54),CAPTURA!AQ54&gt;=0,CAPTURA!AQ54&lt;=4),CAPTURA!AQ54*25,"⚠"))</f>
        <v/>
      </c>
      <c r="M54" t="str">
        <f>IF(CAPTURA!AR54="","",IF(ISNUMBER(CAPTURA!AR54),MAX(0,MIN(100,CAPTURA!AR54)),"⚠"))</f>
        <v/>
      </c>
      <c r="N54" t="str">
        <f>IF(CAPTURA!AS54="","",IF(AND(ISNUMBER(CAPTURA!AS54),CAPTURA!AS54&gt;=0,CAPTURA!AS54&lt;=4),CAPTURA!AS54*25,"⚠"))</f>
        <v/>
      </c>
      <c r="O54" t="str">
        <f>IF(CAPTURA!AT54="","",IFERROR(IF(INDEX(CODIFICACION!$E$2:$E$500,MATCH("D2.8|"&amp;CAPTURA!AT54,CODIFICACION!$F$2:$F$500,0))="sin dato","",INDEX(CODIFICACION!$E$2:$E$500,MATCH("D2.8|"&amp;CAPTURA!AT54,CODIFICACION!$F$2:$F$500,0))),"⚠"))</f>
        <v/>
      </c>
      <c r="P54" t="str">
        <f>IF(CAPTURA!AU54="","",IFERROR(IF(INDEX(CODIFICACION!$E$2:$E$500,MATCH("D2.9|"&amp;CAPTURA!AU54,CODIFICACION!$F$2:$F$500,0))="sin dato","",INDEX(CODIFICACION!$E$2:$E$500,MATCH("D2.9|"&amp;CAPTURA!AU54,CODIFICACION!$F$2:$F$500,0))),"⚠"))</f>
        <v/>
      </c>
      <c r="Q54" t="str">
        <f>IF(CAPTURA!AV54="","",IFERROR(IF(INDEX(CODIFICACION!$E$2:$E$500,MATCH("D2.10|"&amp;CAPTURA!AV54,CODIFICACION!$F$2:$F$500,0))="sin dato","",INDEX(CODIFICACION!$E$2:$E$500,MATCH("D2.10|"&amp;CAPTURA!AV54,CODIFICACION!$F$2:$F$500,0))),"⚠"))</f>
        <v/>
      </c>
      <c r="R54" t="str">
        <f>IF(CAPTURA!AW54="","",IFERROR(IF(INDEX(CODIFICACION!$E$2:$E$500,MATCH("D2.5a|"&amp;CAPTURA!AW54,CODIFICACION!$F$2:$F$500,0))="sin dato","",INDEX(CODIFICACION!$E$2:$E$500,MATCH("D2.5a|"&amp;CAPTURA!AW54,CODIFICACION!$F$2:$F$500,0))),"⚠"))</f>
        <v/>
      </c>
      <c r="S54" t="str">
        <f>IF(CAPTURA!AX54="","",IFERROR(IF(INDEX(CODIFICACION!$E$2:$E$500,MATCH("D2.5b|"&amp;CAPTURA!AX54,CODIFICACION!$F$2:$F$500,0))="sin dato","",INDEX(CODIFICACION!$E$2:$E$500,MATCH("D2.5b|"&amp;CAPTURA!AX54,CODIFICACION!$F$2:$F$500,0))),"⚠"))</f>
        <v/>
      </c>
      <c r="T54" t="str">
        <f>IF(CAPTURA!AY54="","",IF(ISNUMBER(CAPTURA!AY54),MAX(0,MIN(100,CAPTURA!AY54)),"⚠"))</f>
        <v/>
      </c>
      <c r="U54" t="str">
        <f>IF(CAPTURA!AZ54="","",IFERROR(IF(INDEX(CODIFICACION!$E$2:$E$500,MATCH("D3.12|"&amp;CAPTURA!AZ54,CODIFICACION!$F$2:$F$500,0))="sin dato","",INDEX(CODIFICACION!$E$2:$E$500,MATCH("D3.12|"&amp;CAPTURA!AZ54,CODIFICACION!$F$2:$F$500,0))),"⚠"))</f>
        <v/>
      </c>
      <c r="V54" t="str">
        <f>IF(CAPTURA!BA54="","",IF(AND(ISNUMBER(CAPTURA!BA54),CAPTURA!BA54&gt;=0,CAPTURA!BA54&lt;=4),CAPTURA!BA54*25,"⚠"))</f>
        <v/>
      </c>
      <c r="W54" t="str">
        <f>IF(CAPTURA!BB54="","",IFERROR(IF(INDEX(CODIFICACION!$E$2:$E$500,MATCH("D3.14|"&amp;CAPTURA!BB54,CODIFICACION!$F$2:$F$500,0))="sin dato","",INDEX(CODIFICACION!$E$2:$E$500,MATCH("D3.14|"&amp;CAPTURA!BB54,CODIFICACION!$F$2:$F$500,0))),"⚠"))</f>
        <v/>
      </c>
      <c r="X54" t="str">
        <f>IF(CAPTURA!BC54="","",IFERROR(IF(INDEX(CODIFICACION!$E$2:$E$500,MATCH("D3.14a|"&amp;CAPTURA!BC54,CODIFICACION!$F$2:$F$500,0))="sin dato","",INDEX(CODIFICACION!$E$2:$E$500,MATCH("D3.14a|"&amp;CAPTURA!BC54,CODIFICACION!$F$2:$F$500,0))),"⚠"))</f>
        <v/>
      </c>
      <c r="Y54" t="str">
        <f>IF(CAPTURA!BD54="","",IFERROR(IF(INDEX(CODIFICACION!$E$2:$E$500,MATCH("D3.14b|"&amp;CAPTURA!BD54,CODIFICACION!$F$2:$F$500,0))="sin dato","",INDEX(CODIFICACION!$E$2:$E$500,MATCH("D3.14b|"&amp;CAPTURA!BD54,CODIFICACION!$F$2:$F$500,0))),"⚠"))</f>
        <v/>
      </c>
      <c r="Z54" t="str">
        <f>IF(CAPTURA!BE54="","",IFERROR(IF(INDEX(CODIFICACION!$E$2:$E$500,MATCH("D3.14c|"&amp;CAPTURA!BE54,CODIFICACION!$F$2:$F$500,0))="sin dato","",INDEX(CODIFICACION!$E$2:$E$500,MATCH("D3.14c|"&amp;CAPTURA!BE54,CODIFICACION!$F$2:$F$500,0))),"⚠"))</f>
        <v/>
      </c>
      <c r="AA54" t="str">
        <f>IF(CAPTURA!BF54="","",IFERROR(IF(INDEX(CODIFICACION!$E$2:$E$500,MATCH("D3.14d|"&amp;CAPTURA!BF54,CODIFICACION!$F$2:$F$500,0))="sin dato","",INDEX(CODIFICACION!$E$2:$E$500,MATCH("D3.14d|"&amp;CAPTURA!BF54,CODIFICACION!$F$2:$F$500,0))),"⚠"))</f>
        <v/>
      </c>
      <c r="AB54" t="str">
        <f>IF(CAPTURA!BG54="","",IFERROR(IF(INDEX(CODIFICACION!$E$2:$E$500,MATCH("D3.14e|"&amp;CAPTURA!BG54,CODIFICACION!$F$2:$F$500,0))="sin dato","",INDEX(CODIFICACION!$E$2:$E$500,MATCH("D3.14e|"&amp;CAPTURA!BG54,CODIFICACION!$F$2:$F$500,0))),"⚠"))</f>
        <v/>
      </c>
      <c r="AC54" t="str">
        <f>IF(CAPTURA!BH54="","",IFERROR(IF(INDEX(CODIFICACION!$E$2:$E$500,MATCH("D3.14f|"&amp;CAPTURA!BH54,CODIFICACION!$F$2:$F$500,0))="sin dato","",INDEX(CODIFICACION!$E$2:$E$500,MATCH("D3.14f|"&amp;CAPTURA!BH54,CODIFICACION!$F$2:$F$500,0))),"⚠"))</f>
        <v/>
      </c>
      <c r="AD54" t="str">
        <f>IF(CAPTURA!BI54="","",IFERROR(IF(INDEX(CODIFICACION!$E$2:$E$500,MATCH("D3.14g|"&amp;CAPTURA!BI54,CODIFICACION!$F$2:$F$500,0))="sin dato","",INDEX(CODIFICACION!$E$2:$E$500,MATCH("D3.14g|"&amp;CAPTURA!BI54,CODIFICACION!$F$2:$F$500,0))),"⚠"))</f>
        <v/>
      </c>
      <c r="AE54" t="str">
        <f>IF(CAPTURA!BJ54="","",IFERROR(IF(INDEX(CODIFICACION!$E$2:$E$500,MATCH("D3.14h|"&amp;CAPTURA!BJ54,CODIFICACION!$F$2:$F$500,0))="sin dato","",INDEX(CODIFICACION!$E$2:$E$500,MATCH("D3.14h|"&amp;CAPTURA!BJ54,CODIFICACION!$F$2:$F$500,0))),"⚠"))</f>
        <v/>
      </c>
      <c r="AF54" t="str">
        <f>IF(CAPTURA!BK54="","",IFERROR(IF(INDEX(CODIFICACION!$E$2:$E$500,MATCH("D3.14i|"&amp;CAPTURA!BK54,CODIFICACION!$F$2:$F$500,0))="sin dato","",INDEX(CODIFICACION!$E$2:$E$500,MATCH("D3.14i|"&amp;CAPTURA!BK54,CODIFICACION!$F$2:$F$500,0))),"⚠"))</f>
        <v/>
      </c>
      <c r="AG54" t="str">
        <f>IF(CAPTURA!BL54="","",IFERROR(IF(INDEX(CODIFICACION!$E$2:$E$500,MATCH("D4.15|"&amp;CAPTURA!BL54,CODIFICACION!$F$2:$F$500,0))="sin dato","",INDEX(CODIFICACION!$E$2:$E$500,MATCH("D4.15|"&amp;CAPTURA!BL54,CODIFICACION!$F$2:$F$500,0))),"⚠"))</f>
        <v/>
      </c>
      <c r="AH54" t="str">
        <f>IF(CAPTURA!BM54="","",IF(AND(ISNUMBER(CAPTURA!BM54),CAPTURA!BM54&gt;=0,CAPTURA!BM54&lt;=4),CAPTURA!BM54*25,"⚠"))</f>
        <v/>
      </c>
      <c r="AI54" t="str">
        <f>IF(CAPTURA!BN54="","",IFERROR(IF(INDEX(CODIFICACION!$E$2:$E$500,MATCH("D4.17|"&amp;CAPTURA!BN54,CODIFICACION!$F$2:$F$500,0))="sin dato","",INDEX(CODIFICACION!$E$2:$E$500,MATCH("D4.17|"&amp;CAPTURA!BN54,CODIFICACION!$F$2:$F$500,0))),"⚠"))</f>
        <v/>
      </c>
      <c r="AJ54" t="str">
        <f>IF(CAPTURA!BO54="","",IFERROR(IF(INDEX(CODIFICACION!$E$2:$E$500,MATCH("D4.15a|"&amp;CAPTURA!BO54,CODIFICACION!$F$2:$F$500,0))="sin dato","",INDEX(CODIFICACION!$E$2:$E$500,MATCH("D4.15a|"&amp;CAPTURA!BO54,CODIFICACION!$F$2:$F$500,0))),"⚠"))</f>
        <v/>
      </c>
      <c r="AK54" t="str">
        <f>IF(CAPTURA!BP54="","",IF(AND(ISNUMBER(CAPTURA!BP54),CAPTURA!BP54&gt;=0,CAPTURA!BP54&lt;=4),CAPTURA!BP54*25,"⚠"))</f>
        <v/>
      </c>
      <c r="AL54" t="str">
        <f>IF(CAPTURA!BQ54="","",IF(AND(ISNUMBER(CAPTURA!BQ54),CAPTURA!BQ54&gt;=0,CAPTURA!BQ54&lt;=4),CAPTURA!BQ54*25,"⚠"))</f>
        <v/>
      </c>
      <c r="AM54" t="str">
        <f>IF(CAPTURA!BR54="","",IFERROR(IF(INDEX(CODIFICACION!$E$2:$E$500,MATCH("D5.18b|"&amp;CAPTURA!BR54,CODIFICACION!$F$2:$F$500,0))="sin dato","",INDEX(CODIFICACION!$E$2:$E$500,MATCH("D5.18b|"&amp;CAPTURA!BR54,CODIFICACION!$F$2:$F$500,0))),"⚠"))</f>
        <v/>
      </c>
      <c r="AN54" t="str">
        <f>IF(CAPTURA!BS54="","",IFERROR(IF(INDEX(CODIFICACION!$E$2:$E$500,MATCH("D5.19|"&amp;CAPTURA!BS54,CODIFICACION!$F$2:$F$500,0))="sin dato","",INDEX(CODIFICACION!$E$2:$E$500,MATCH("D5.19|"&amp;CAPTURA!BS54,CODIFICACION!$F$2:$F$500,0))),"⚠"))</f>
        <v/>
      </c>
      <c r="AO54" t="str">
        <f>IF(CAPTURA!BT54="","",MIN(100,ROUND((LEN(CAPTURA!BT54)-LEN(SUBSTITUTE(CAPTURA!BT54,";",""))+1)/7*100,1)))</f>
        <v/>
      </c>
      <c r="AP54" t="str">
        <f>IF(CAPTURA!BU54="","",IFERROR(IF(INDEX(CODIFICACION!$E$2:$E$500,MATCH("D5.20|"&amp;CAPTURA!BU54,CODIFICACION!$F$2:$F$500,0))="sin dato","",INDEX(CODIFICACION!$E$2:$E$500,MATCH("D5.20|"&amp;CAPTURA!BU54,CODIFICACION!$F$2:$F$500,0))),"⚠"))</f>
        <v/>
      </c>
      <c r="AQ54" t="str">
        <f>IF(CAPTURA!BV54="","",IFERROR(IF(INDEX(CODIFICACION!$E$2:$E$500,MATCH("D5.21|"&amp;CAPTURA!BV54,CODIFICACION!$F$2:$F$500,0))="sin dato","",INDEX(CODIFICACION!$E$2:$E$500,MATCH("D5.21|"&amp;CAPTURA!BV54,CODIFICACION!$F$2:$F$500,0))),"⚠"))</f>
        <v/>
      </c>
      <c r="AR54" t="str">
        <f>IF(CAPTURA!BW54="","",IFERROR(IF(INDEX(CODIFICACION!$E$2:$E$500,MATCH("D5.21a|"&amp;CAPTURA!BW54,CODIFICACION!$F$2:$F$500,0))="sin dato","",INDEX(CODIFICACION!$E$2:$E$500,MATCH("D5.21a|"&amp;CAPTURA!BW54,CODIFICACION!$F$2:$F$500,0))),"⚠"))</f>
        <v/>
      </c>
      <c r="AS54" t="str">
        <f>IF(CAPTURA!BX54="","",IFERROR(IF(INDEX(CODIFICACION!$E$2:$E$500,MATCH("D5.21b|"&amp;CAPTURA!BX54,CODIFICACION!$F$2:$F$500,0))="sin dato","",INDEX(CODIFICACION!$E$2:$E$500,MATCH("D5.21b|"&amp;CAPTURA!BX54,CODIFICACION!$F$2:$F$500,0))),"⚠"))</f>
        <v/>
      </c>
      <c r="AT54" t="str">
        <f>IF(CAPTURA!BY54="","",IFERROR(IF(INDEX(CODIFICACION!$E$2:$E$500,MATCH("D6.22|"&amp;CAPTURA!BY54,CODIFICACION!$F$2:$F$500,0))="sin dato","",INDEX(CODIFICACION!$E$2:$E$500,MATCH("D6.22|"&amp;CAPTURA!BY54,CODIFICACION!$F$2:$F$500,0))),"⚠"))</f>
        <v/>
      </c>
      <c r="AU54" t="str">
        <f>IF(CAPTURA!BZ54="","",IFERROR(IF(INDEX(CODIFICACION!$E$2:$E$500,MATCH("D6.22a|"&amp;CAPTURA!BZ54,CODIFICACION!$F$2:$F$500,0))="sin dato","",INDEX(CODIFICACION!$E$2:$E$500,MATCH("D6.22a|"&amp;CAPTURA!BZ54,CODIFICACION!$F$2:$F$500,0))),"⚠"))</f>
        <v/>
      </c>
      <c r="AV54" t="str">
        <f>IF(CAPTURA!CA54="","",IFERROR(IF(INDEX(CODIFICACION!$E$2:$E$500,MATCH("D6.22b|"&amp;CAPTURA!CA54,CODIFICACION!$F$2:$F$500,0))="sin dato","",INDEX(CODIFICACION!$E$2:$E$500,MATCH("D6.22b|"&amp;CAPTURA!CA54,CODIFICACION!$F$2:$F$500,0))),"⚠"))</f>
        <v/>
      </c>
      <c r="AW54" t="str">
        <f>IF(CAPTURA!CB54="","",IFERROR(IF(INDEX(CODIFICACION!$E$2:$E$500,MATCH("D6.23|"&amp;CAPTURA!CB54,CODIFICACION!$F$2:$F$500,0))="sin dato","",INDEX(CODIFICACION!$E$2:$E$500,MATCH("D6.23|"&amp;CAPTURA!CB54,CODIFICACION!$F$2:$F$500,0))),"⚠"))</f>
        <v/>
      </c>
      <c r="AX54" t="str">
        <f>IF(CAPTURA!CC54="","",IFERROR(IF(INDEX(CODIFICACION!$E$2:$E$500,MATCH("D6.24|"&amp;CAPTURA!CC54,CODIFICACION!$F$2:$F$500,0))="sin dato","",INDEX(CODIFICACION!$E$2:$E$500,MATCH("D6.24|"&amp;CAPTURA!CC54,CODIFICACION!$F$2:$F$500,0))),"⚠"))</f>
        <v/>
      </c>
      <c r="AY54" t="str">
        <f>IF(CAPTURA!CD54="","",IFERROR(IF(INDEX(CODIFICACION!$E$2:$E$500,MATCH("D6.25|"&amp;CAPTURA!CD54,CODIFICACION!$F$2:$F$500,0))="sin dato","",INDEX(CODIFICACION!$E$2:$E$500,MATCH("D6.25|"&amp;CAPTURA!CD54,CODIFICACION!$F$2:$F$500,0))),"⚠"))</f>
        <v/>
      </c>
      <c r="AZ54" t="str">
        <f>IF(CAPTURA!CE54="","",IFERROR(IF(INDEX(CODIFICACION!$E$2:$E$500,MATCH("D6.25a|"&amp;CAPTURA!CE54,CODIFICACION!$F$2:$F$500,0))="sin dato","",INDEX(CODIFICACION!$E$2:$E$500,MATCH("D6.25a|"&amp;CAPTURA!CE54,CODIFICACION!$F$2:$F$500,0))),"⚠"))</f>
        <v/>
      </c>
      <c r="BA54" t="str">
        <f>IF(CAPTURA!CF54="","",IFERROR(IF(INDEX(CODIFICACION!$E$2:$E$500,MATCH("D6.25b|"&amp;CAPTURA!CF54,CODIFICACION!$F$2:$F$500,0))="sin dato","",INDEX(CODIFICACION!$E$2:$E$500,MATCH("D6.25b|"&amp;CAPTURA!CF54,CODIFICACION!$F$2:$F$500,0))),"⚠"))</f>
        <v/>
      </c>
      <c r="BB54" t="str">
        <f>IF(CAPTURA!CG54="","",IFERROR(IF(INDEX(CODIFICACION!$E$2:$E$500,MATCH("D6.22c|"&amp;CAPTURA!CG54,CODIFICACION!$F$2:$F$500,0))="sin dato","",INDEX(CODIFICACION!$E$2:$E$500,MATCH("D6.22c|"&amp;CAPTURA!CG54,CODIFICACION!$F$2:$F$500,0))),"⚠"))</f>
        <v/>
      </c>
      <c r="BC54" t="str">
        <f>IF(CAPTURA!CH54="","",IFERROR(IF(INDEX(CODIFICACION!$E$2:$E$500,MATCH("D7.26|"&amp;CAPTURA!CH54,CODIFICACION!$F$2:$F$500,0))="sin dato","",INDEX(CODIFICACION!$E$2:$E$500,MATCH("D7.26|"&amp;CAPTURA!CH54,CODIFICACION!$F$2:$F$500,0))),"⚠"))</f>
        <v/>
      </c>
      <c r="BD54" t="str">
        <f>IF(CAPTURA!CI54="","",IFERROR(IF(INDEX(CODIFICACION!$E$2:$E$500,MATCH("D7.27|"&amp;CAPTURA!CI54,CODIFICACION!$F$2:$F$500,0))="sin dato","",INDEX(CODIFICACION!$E$2:$E$500,MATCH("D7.27|"&amp;CAPTURA!CI54,CODIFICACION!$F$2:$F$500,0))),"⚠"))</f>
        <v/>
      </c>
      <c r="BE54" t="str">
        <f>IF(CAPTURA!CJ54="","",IFERROR(IF(INDEX(CODIFICACION!$E$2:$E$500,MATCH("D7.28|"&amp;CAPTURA!CJ54,CODIFICACION!$F$2:$F$500,0))="sin dato","",INDEX(CODIFICACION!$E$2:$E$500,MATCH("D7.28|"&amp;CAPTURA!CJ54,CODIFICACION!$F$2:$F$500,0))),"⚠"))</f>
        <v/>
      </c>
      <c r="BF54" t="str">
        <f>IF(CAPTURA!CK54="","",IFERROR(IF(INDEX(CODIFICACION!$E$2:$E$500,MATCH("D7.28b|"&amp;CAPTURA!CK54,CODIFICACION!$F$2:$F$500,0))="sin dato","",INDEX(CODIFICACION!$E$2:$E$500,MATCH("D7.28b|"&amp;CAPTURA!CK54,CODIFICACION!$F$2:$F$500,0))),"⚠"))</f>
        <v/>
      </c>
      <c r="BG54" t="str">
        <f>IF(CAPTURA!CL54="","",MIN(100,ROUND((LEN(CAPTURA!CL54)-LEN(SUBSTITUTE(CAPTURA!CL54,";",""))+1)/8*100,1)))</f>
        <v/>
      </c>
      <c r="BH54" t="str">
        <f>IF(CAPTURA!CM54="","",IFERROR(IF(INDEX(CODIFICACION!$E$2:$E$500,MATCH("D7.26a|"&amp;CAPTURA!CM54,CODIFICACION!$F$2:$F$500,0))="sin dato","",INDEX(CODIFICACION!$E$2:$E$500,MATCH("D7.26a|"&amp;CAPTURA!CM54,CODIFICACION!$F$2:$F$500,0))),"⚠"))</f>
        <v/>
      </c>
      <c r="BI54" t="str">
        <f>IF(CAPTURA!CN54="","",IFERROR(IF(INDEX(CODIFICACION!$E$2:$E$500,MATCH("D7.26b|"&amp;CAPTURA!CN54,CODIFICACION!$F$2:$F$500,0))="sin dato","",INDEX(CODIFICACION!$E$2:$E$500,MATCH("D7.26b|"&amp;CAPTURA!CN54,CODIFICACION!$F$2:$F$500,0))),"⚠"))</f>
        <v/>
      </c>
      <c r="BJ54" t="str">
        <f>IF(CAPTURA!CO54="","",IF(AND(ISNUMBER(CAPTURA!CO54),CAPTURA!CO54&gt;=0,CAPTURA!CO54&lt;=4),CAPTURA!CO54*25,"⚠"))</f>
        <v/>
      </c>
      <c r="BK54" t="str">
        <f>IF(CAPTURA!CP54="","",IF(ISNUMBER(CAPTURA!CP54),MAX(0,MIN(100,CAPTURA!CP54)),"⚠"))</f>
        <v/>
      </c>
      <c r="BL54" t="str">
        <f>IF(CAPTURA!CQ54="","",IFERROR(IF(INDEX(CODIFICACION!$E$2:$E$500,MATCH("D8.31|"&amp;CAPTURA!CQ54,CODIFICACION!$F$2:$F$500,0))="sin dato","",INDEX(CODIFICACION!$E$2:$E$500,MATCH("D8.31|"&amp;CAPTURA!CQ54,CODIFICACION!$F$2:$F$500,0))),"⚠"))</f>
        <v/>
      </c>
      <c r="BM54" t="str">
        <f>IF(CAPTURA!CR54="","",IFERROR(IF(INDEX(CODIFICACION!$E$2:$E$500,MATCH("D8.32|"&amp;CAPTURA!CR54,CODIFICACION!$F$2:$F$500,0))="sin dato","",INDEX(CODIFICACION!$E$2:$E$500,MATCH("D8.32|"&amp;CAPTURA!CR54,CODIFICACION!$F$2:$F$500,0))),"⚠"))</f>
        <v/>
      </c>
      <c r="BN54" t="str">
        <f>IF(CAPTURA!CS54="","",IFERROR(IF(INDEX(CODIFICACION!$E$2:$E$500,MATCH("D9.33|"&amp;CAPTURA!CS54,CODIFICACION!$F$2:$F$500,0))="sin dato","",INDEX(CODIFICACION!$E$2:$E$500,MATCH("D9.33|"&amp;CAPTURA!CS54,CODIFICACION!$F$2:$F$500,0))),"⚠"))</f>
        <v/>
      </c>
      <c r="BO54" t="str">
        <f>IF(CAPTURA!CT54="","",IFERROR(IF(INDEX(CODIFICACION!$E$2:$E$500,MATCH("D9.34|"&amp;CAPTURA!CT54,CODIFICACION!$F$2:$F$500,0))="sin dato","",INDEX(CODIFICACION!$E$2:$E$500,MATCH("D9.34|"&amp;CAPTURA!CT54,CODIFICACION!$F$2:$F$500,0))),"⚠"))</f>
        <v/>
      </c>
      <c r="BP54" t="str">
        <f>IF(CAPTURA!CU54="","",IFERROR(IF(INDEX(CODIFICACION!$E$2:$E$500,MATCH("D9.35|"&amp;CAPTURA!CU54,CODIFICACION!$F$2:$F$500,0))="sin dato","",INDEX(CODIFICACION!$E$2:$E$500,MATCH("D9.35|"&amp;CAPTURA!CU54,CODIFICACION!$F$2:$F$500,0))),"⚠"))</f>
        <v/>
      </c>
      <c r="BQ54" t="str">
        <f>IF(CAPTURA!CV54="","",IFERROR(IF(INDEX(CODIFICACION!$E$2:$E$500,MATCH("D10.36|"&amp;CAPTURA!CV54,CODIFICACION!$F$2:$F$500,0))="sin dato","",INDEX(CODIFICACION!$E$2:$E$500,MATCH("D10.36|"&amp;CAPTURA!CV54,CODIFICACION!$F$2:$F$500,0))),"⚠"))</f>
        <v/>
      </c>
      <c r="BR54" t="str">
        <f>IF(CAPTURA!CW54="","",IFERROR(IF(INDEX(CODIFICACION!$E$2:$E$500,MATCH("D10.37|"&amp;CAPTURA!CW54,CODIFICACION!$F$2:$F$500,0))="sin dato","",INDEX(CODIFICACION!$E$2:$E$500,MATCH("D10.37|"&amp;CAPTURA!CW54,CODIFICACION!$F$2:$F$500,0))),"⚠"))</f>
        <v/>
      </c>
      <c r="BS54" t="str">
        <f>IF(CAPTURA!CX54="","",IFERROR(IF(INDEX(CODIFICACION!$E$2:$E$500,MATCH("D10.36a|"&amp;CAPTURA!CX54,CODIFICACION!$F$2:$F$500,0))="sin dato","",INDEX(CODIFICACION!$E$2:$E$500,MATCH("D10.36a|"&amp;CAPTURA!CX54,CODIFICACION!$F$2:$F$500,0))),"⚠"))</f>
        <v/>
      </c>
      <c r="BT54" t="str">
        <f>IF(CAPTURA!CY54="","",IF(ISNUMBER(SEARCH("Ninguno",CAPTURA!CY54)),0,MIN(100,ROUND((LEN(CAPTURA!CY54)-LEN(SUBSTITUTE(CAPTURA!CY54,";",""))+1)/6*100,1))))</f>
        <v/>
      </c>
      <c r="BU54" t="str">
        <f>IF(CAPTURA!DA54="","",IFERROR(IF(INDEX(CODIFICACION!$E$2:$E$500,MATCH("D11.39a|"&amp;CAPTURA!DA54,CODIFICACION!$F$2:$F$500,0))="sin dato","",INDEX(CODIFICACION!$E$2:$E$500,MATCH("D11.39a|"&amp;CAPTURA!DA54,CODIFICACION!$F$2:$F$500,0))),"⚠"))</f>
        <v/>
      </c>
      <c r="BV54" t="str">
        <f>IF(CAPTURA!DB54="","",IFERROR(IF(INDEX(CODIFICACION!$E$2:$E$500,MATCH("D12.42|"&amp;CAPTURA!DB54,CODIFICACION!$F$2:$F$500,0))="sin dato","",INDEX(CODIFICACION!$E$2:$E$500,MATCH("D12.42|"&amp;CAPTURA!DB54,CODIFICACION!$F$2:$F$500,0))),"⚠"))</f>
        <v/>
      </c>
      <c r="BW54" t="str">
        <f>IF(CAPTURA!DC54="","",IFERROR(IF(INDEX(CODIFICACION!$E$2:$E$500,MATCH("D13.45|"&amp;CAPTURA!DC54,CODIFICACION!$F$2:$F$500,0))="sin dato","",INDEX(CODIFICACION!$E$2:$E$500,MATCH("D13.45|"&amp;CAPTURA!DC54,CODIFICACION!$F$2:$F$500,0))),"⚠"))</f>
        <v/>
      </c>
      <c r="BX54" t="str">
        <f>IF(CAPTURA!DD54="","",IFERROR(IF(INDEX(CODIFICACION!$E$2:$E$500,MATCH("D14.51|"&amp;CAPTURA!DD54,CODIFICACION!$F$2:$F$500,0))="sin dato","",INDEX(CODIFICACION!$E$2:$E$500,MATCH("D14.51|"&amp;CAPTURA!DD54,CODIFICACION!$F$2:$F$500,0))),"⚠"))</f>
        <v/>
      </c>
      <c r="BY54" t="str">
        <f>IF(CAPTURA!DE54="","",IFERROR(IF(INDEX(CODIFICACION!$E$2:$E$500,MATCH("D15.58|"&amp;CAPTURA!DE54,CODIFICACION!$F$2:$F$500,0))="sin dato","",INDEX(CODIFICACION!$E$2:$E$500,MATCH("D15.58|"&amp;CAPTURA!DE54,CODIFICACION!$F$2:$F$500,0))),"⚠"))</f>
        <v/>
      </c>
      <c r="BZ54" t="str">
        <f>IF(CAPTURA!DF54="","",IFERROR(IF(INDEX(CODIFICACION!$E$2:$E$500,MATCH("PP1|"&amp;CAPTURA!DF54,CODIFICACION!$F$2:$F$500,0))="sin dato","",INDEX(CODIFICACION!$E$2:$E$500,MATCH("PP1|"&amp;CAPTURA!DF54,CODIFICACION!$F$2:$F$500,0))),"⚠"))</f>
        <v/>
      </c>
      <c r="CA54" t="str">
        <f>IF(CAPTURA!DG54="","",IFERROR(IF(INDEX(CODIFICACION!$E$2:$E$500,MATCH("PP2|"&amp;CAPTURA!DG54,CODIFICACION!$F$2:$F$500,0))="sin dato","",INDEX(CODIFICACION!$E$2:$E$500,MATCH("PP2|"&amp;CAPTURA!DG54,CODIFICACION!$F$2:$F$500,0))),"⚠"))</f>
        <v/>
      </c>
      <c r="CB54" t="str">
        <f t="shared" si="11"/>
        <v/>
      </c>
      <c r="CC54" t="str">
        <f t="shared" si="12"/>
        <v/>
      </c>
      <c r="CD54" t="str">
        <f t="shared" si="13"/>
        <v/>
      </c>
      <c r="CE54" t="str">
        <f t="shared" si="14"/>
        <v/>
      </c>
      <c r="CF54" t="str">
        <f t="shared" si="15"/>
        <v/>
      </c>
      <c r="CG54" t="str">
        <f t="shared" si="16"/>
        <v/>
      </c>
      <c r="CH54" t="str">
        <f t="shared" si="17"/>
        <v/>
      </c>
      <c r="CI54" t="str">
        <f t="shared" si="18"/>
        <v/>
      </c>
      <c r="CJ54" t="str">
        <f t="shared" si="19"/>
        <v/>
      </c>
      <c r="CK54" t="str">
        <f t="shared" si="20"/>
        <v/>
      </c>
      <c r="CL54" t="str">
        <f t="shared" si="21"/>
        <v/>
      </c>
    </row>
    <row r="55" spans="1:90" x14ac:dyDescent="0.3">
      <c r="A55">
        <f>CAPTURA!A55</f>
        <v>20494126819</v>
      </c>
      <c r="B55">
        <f>CAPTURA!C55</f>
        <v>0</v>
      </c>
      <c r="C55" t="str">
        <f>IF(CAPTURA!M55="","",ROUND((ISNUMBER(SEARCH("Alemania",CAPTURA!M55))+ISNUMBER(SEARCH("Bélgica",CAPTURA!M55))+ISNUMBER(SEARCH("Países Bajos",CAPTURA!M55))+ISNUMBER(SEARCH("Francia",CAPTURA!M55))+ISNUMBER(SEARCH("Italia",CAPTURA!M55))+ISNUMBER(SEARCH("España",CAPTURA!M55))+ISNUMBER(SEARCH("Suecia",CAPTURA!M55))+ISNUMBER(SEARCH("Dinamarca",CAPTURA!M55)))/((LEN(CAPTURA!M55)-LEN(SUBSTITUTE(CAPTURA!M55,";","")))+1)*100,1))</f>
        <v/>
      </c>
      <c r="D55" t="str">
        <f>IF(CAPTURA!AE55="","",IFERROR(IF(INDEX(CODIFICACION!$E$2:$E$500,MATCH("P8|"&amp;CAPTURA!AE55,CODIFICACION!$F$2:$F$500,0))="sin dato","",INDEX(CODIFICACION!$E$2:$E$500,MATCH("P8|"&amp;CAPTURA!AE55,CODIFICACION!$F$2:$F$500,0))),"⚠"))</f>
        <v/>
      </c>
      <c r="E55" t="str">
        <f>IF(CAPTURA!AG55="","",IFERROR(IF(INDEX(CODIFICACION!$E$2:$E$500,MATCH("P10|"&amp;CAPTURA!AG55,CODIFICACION!$F$2:$F$500,0))="sin dato","",INDEX(CODIFICACION!$E$2:$E$500,MATCH("P10|"&amp;CAPTURA!AG55,CODIFICACION!$F$2:$F$500,0))),"⚠"))</f>
        <v/>
      </c>
      <c r="F55" t="str">
        <f>IF(CAPTURA!AJ55="","",IFERROR(IF(INDEX(CODIFICACION!$E$2:$E$500,MATCH("P13|"&amp;CAPTURA!AJ55,CODIFICACION!$F$2:$F$500,0))="sin dato","",INDEX(CODIFICACION!$E$2:$E$500,MATCH("P13|"&amp;CAPTURA!AJ55,CODIFICACION!$F$2:$F$500,0))),"⚠"))</f>
        <v/>
      </c>
      <c r="G55" t="str">
        <f>IF(CAPTURA!AK55="","",IFERROR(IF(INDEX(CODIFICACION!$E$2:$E$500,MATCH("P14|"&amp;CAPTURA!AK55,CODIFICACION!$F$2:$F$500,0))="sin dato","",INDEX(CODIFICACION!$E$2:$E$500,MATCH("P14|"&amp;CAPTURA!AK55,CODIFICACION!$F$2:$F$500,0))),"⚠"))</f>
        <v/>
      </c>
      <c r="H55" t="str">
        <f>IF(CAPTURA!AL55="","",IFERROR(IF(INDEX(CODIFICACION!$E$2:$E$500,MATCH("D1.1|"&amp;CAPTURA!AL55,CODIFICACION!$F$2:$F$500,0))="sin dato","",INDEX(CODIFICACION!$E$2:$E$500,MATCH("D1.1|"&amp;CAPTURA!AL55,CODIFICACION!$F$2:$F$500,0))),"⚠"))</f>
        <v/>
      </c>
      <c r="I55" t="str">
        <f>IF(CAPTURA!AN55="","",IFERROR(IF(INDEX(CODIFICACION!$E$2:$E$500,MATCH("D1.3|"&amp;CAPTURA!AN55,CODIFICACION!$F$2:$F$500,0))="sin dato","",INDEX(CODIFICACION!$E$2:$E$500,MATCH("D1.3|"&amp;CAPTURA!AN55,CODIFICACION!$F$2:$F$500,0))),"⚠"))</f>
        <v/>
      </c>
      <c r="J55" t="str">
        <f>IF(CAPTURA!AO55="","",IFERROR(IF(INDEX(CODIFICACION!$E$2:$E$500,MATCH("D1.4|"&amp;CAPTURA!AO55,CODIFICACION!$F$2:$F$500,0))="sin dato","",INDEX(CODIFICACION!$E$2:$E$500,MATCH("D1.4|"&amp;CAPTURA!AO55,CODIFICACION!$F$2:$F$500,0))),"⚠"))</f>
        <v/>
      </c>
      <c r="K55" t="str">
        <f>IF(CAPTURA!AP55="","",IFERROR(IF(INDEX(CODIFICACION!$E$2:$E$500,MATCH("D1.3a|"&amp;CAPTURA!AP55,CODIFICACION!$F$2:$F$500,0))="sin dato","",INDEX(CODIFICACION!$E$2:$E$500,MATCH("D1.3a|"&amp;CAPTURA!AP55,CODIFICACION!$F$2:$F$500,0))),"⚠"))</f>
        <v/>
      </c>
      <c r="L55" t="str">
        <f>IF(CAPTURA!AQ55="","",IF(AND(ISNUMBER(CAPTURA!AQ55),CAPTURA!AQ55&gt;=0,CAPTURA!AQ55&lt;=4),CAPTURA!AQ55*25,"⚠"))</f>
        <v/>
      </c>
      <c r="M55" t="str">
        <f>IF(CAPTURA!AR55="","",IF(ISNUMBER(CAPTURA!AR55),MAX(0,MIN(100,CAPTURA!AR55)),"⚠"))</f>
        <v/>
      </c>
      <c r="N55" t="str">
        <f>IF(CAPTURA!AS55="","",IF(AND(ISNUMBER(CAPTURA!AS55),CAPTURA!AS55&gt;=0,CAPTURA!AS55&lt;=4),CAPTURA!AS55*25,"⚠"))</f>
        <v/>
      </c>
      <c r="O55" t="str">
        <f>IF(CAPTURA!AT55="","",IFERROR(IF(INDEX(CODIFICACION!$E$2:$E$500,MATCH("D2.8|"&amp;CAPTURA!AT55,CODIFICACION!$F$2:$F$500,0))="sin dato","",INDEX(CODIFICACION!$E$2:$E$500,MATCH("D2.8|"&amp;CAPTURA!AT55,CODIFICACION!$F$2:$F$500,0))),"⚠"))</f>
        <v/>
      </c>
      <c r="P55" t="str">
        <f>IF(CAPTURA!AU55="","",IFERROR(IF(INDEX(CODIFICACION!$E$2:$E$500,MATCH("D2.9|"&amp;CAPTURA!AU55,CODIFICACION!$F$2:$F$500,0))="sin dato","",INDEX(CODIFICACION!$E$2:$E$500,MATCH("D2.9|"&amp;CAPTURA!AU55,CODIFICACION!$F$2:$F$500,0))),"⚠"))</f>
        <v/>
      </c>
      <c r="Q55" t="str">
        <f>IF(CAPTURA!AV55="","",IFERROR(IF(INDEX(CODIFICACION!$E$2:$E$500,MATCH("D2.10|"&amp;CAPTURA!AV55,CODIFICACION!$F$2:$F$500,0))="sin dato","",INDEX(CODIFICACION!$E$2:$E$500,MATCH("D2.10|"&amp;CAPTURA!AV55,CODIFICACION!$F$2:$F$500,0))),"⚠"))</f>
        <v/>
      </c>
      <c r="R55" t="str">
        <f>IF(CAPTURA!AW55="","",IFERROR(IF(INDEX(CODIFICACION!$E$2:$E$500,MATCH("D2.5a|"&amp;CAPTURA!AW55,CODIFICACION!$F$2:$F$500,0))="sin dato","",INDEX(CODIFICACION!$E$2:$E$500,MATCH("D2.5a|"&amp;CAPTURA!AW55,CODIFICACION!$F$2:$F$500,0))),"⚠"))</f>
        <v/>
      </c>
      <c r="S55" t="str">
        <f>IF(CAPTURA!AX55="","",IFERROR(IF(INDEX(CODIFICACION!$E$2:$E$500,MATCH("D2.5b|"&amp;CAPTURA!AX55,CODIFICACION!$F$2:$F$500,0))="sin dato","",INDEX(CODIFICACION!$E$2:$E$500,MATCH("D2.5b|"&amp;CAPTURA!AX55,CODIFICACION!$F$2:$F$500,0))),"⚠"))</f>
        <v/>
      </c>
      <c r="T55" t="str">
        <f>IF(CAPTURA!AY55="","",IF(ISNUMBER(CAPTURA!AY55),MAX(0,MIN(100,CAPTURA!AY55)),"⚠"))</f>
        <v/>
      </c>
      <c r="U55" t="str">
        <f>IF(CAPTURA!AZ55="","",IFERROR(IF(INDEX(CODIFICACION!$E$2:$E$500,MATCH("D3.12|"&amp;CAPTURA!AZ55,CODIFICACION!$F$2:$F$500,0))="sin dato","",INDEX(CODIFICACION!$E$2:$E$500,MATCH("D3.12|"&amp;CAPTURA!AZ55,CODIFICACION!$F$2:$F$500,0))),"⚠"))</f>
        <v/>
      </c>
      <c r="V55" t="str">
        <f>IF(CAPTURA!BA55="","",IF(AND(ISNUMBER(CAPTURA!BA55),CAPTURA!BA55&gt;=0,CAPTURA!BA55&lt;=4),CAPTURA!BA55*25,"⚠"))</f>
        <v/>
      </c>
      <c r="W55" t="str">
        <f>IF(CAPTURA!BB55="","",IFERROR(IF(INDEX(CODIFICACION!$E$2:$E$500,MATCH("D3.14|"&amp;CAPTURA!BB55,CODIFICACION!$F$2:$F$500,0))="sin dato","",INDEX(CODIFICACION!$E$2:$E$500,MATCH("D3.14|"&amp;CAPTURA!BB55,CODIFICACION!$F$2:$F$500,0))),"⚠"))</f>
        <v/>
      </c>
      <c r="X55" t="str">
        <f>IF(CAPTURA!BC55="","",IFERROR(IF(INDEX(CODIFICACION!$E$2:$E$500,MATCH("D3.14a|"&amp;CAPTURA!BC55,CODIFICACION!$F$2:$F$500,0))="sin dato","",INDEX(CODIFICACION!$E$2:$E$500,MATCH("D3.14a|"&amp;CAPTURA!BC55,CODIFICACION!$F$2:$F$500,0))),"⚠"))</f>
        <v/>
      </c>
      <c r="Y55" t="str">
        <f>IF(CAPTURA!BD55="","",IFERROR(IF(INDEX(CODIFICACION!$E$2:$E$500,MATCH("D3.14b|"&amp;CAPTURA!BD55,CODIFICACION!$F$2:$F$500,0))="sin dato","",INDEX(CODIFICACION!$E$2:$E$500,MATCH("D3.14b|"&amp;CAPTURA!BD55,CODIFICACION!$F$2:$F$500,0))),"⚠"))</f>
        <v/>
      </c>
      <c r="Z55" t="str">
        <f>IF(CAPTURA!BE55="","",IFERROR(IF(INDEX(CODIFICACION!$E$2:$E$500,MATCH("D3.14c|"&amp;CAPTURA!BE55,CODIFICACION!$F$2:$F$500,0))="sin dato","",INDEX(CODIFICACION!$E$2:$E$500,MATCH("D3.14c|"&amp;CAPTURA!BE55,CODIFICACION!$F$2:$F$500,0))),"⚠"))</f>
        <v/>
      </c>
      <c r="AA55" t="str">
        <f>IF(CAPTURA!BF55="","",IFERROR(IF(INDEX(CODIFICACION!$E$2:$E$500,MATCH("D3.14d|"&amp;CAPTURA!BF55,CODIFICACION!$F$2:$F$500,0))="sin dato","",INDEX(CODIFICACION!$E$2:$E$500,MATCH("D3.14d|"&amp;CAPTURA!BF55,CODIFICACION!$F$2:$F$500,0))),"⚠"))</f>
        <v/>
      </c>
      <c r="AB55" t="str">
        <f>IF(CAPTURA!BG55="","",IFERROR(IF(INDEX(CODIFICACION!$E$2:$E$500,MATCH("D3.14e|"&amp;CAPTURA!BG55,CODIFICACION!$F$2:$F$500,0))="sin dato","",INDEX(CODIFICACION!$E$2:$E$500,MATCH("D3.14e|"&amp;CAPTURA!BG55,CODIFICACION!$F$2:$F$500,0))),"⚠"))</f>
        <v/>
      </c>
      <c r="AC55" t="str">
        <f>IF(CAPTURA!BH55="","",IFERROR(IF(INDEX(CODIFICACION!$E$2:$E$500,MATCH("D3.14f|"&amp;CAPTURA!BH55,CODIFICACION!$F$2:$F$500,0))="sin dato","",INDEX(CODIFICACION!$E$2:$E$500,MATCH("D3.14f|"&amp;CAPTURA!BH55,CODIFICACION!$F$2:$F$500,0))),"⚠"))</f>
        <v/>
      </c>
      <c r="AD55" t="str">
        <f>IF(CAPTURA!BI55="","",IFERROR(IF(INDEX(CODIFICACION!$E$2:$E$500,MATCH("D3.14g|"&amp;CAPTURA!BI55,CODIFICACION!$F$2:$F$500,0))="sin dato","",INDEX(CODIFICACION!$E$2:$E$500,MATCH("D3.14g|"&amp;CAPTURA!BI55,CODIFICACION!$F$2:$F$500,0))),"⚠"))</f>
        <v/>
      </c>
      <c r="AE55" t="str">
        <f>IF(CAPTURA!BJ55="","",IFERROR(IF(INDEX(CODIFICACION!$E$2:$E$500,MATCH("D3.14h|"&amp;CAPTURA!BJ55,CODIFICACION!$F$2:$F$500,0))="sin dato","",INDEX(CODIFICACION!$E$2:$E$500,MATCH("D3.14h|"&amp;CAPTURA!BJ55,CODIFICACION!$F$2:$F$500,0))),"⚠"))</f>
        <v/>
      </c>
      <c r="AF55" t="str">
        <f>IF(CAPTURA!BK55="","",IFERROR(IF(INDEX(CODIFICACION!$E$2:$E$500,MATCH("D3.14i|"&amp;CAPTURA!BK55,CODIFICACION!$F$2:$F$500,0))="sin dato","",INDEX(CODIFICACION!$E$2:$E$500,MATCH("D3.14i|"&amp;CAPTURA!BK55,CODIFICACION!$F$2:$F$500,0))),"⚠"))</f>
        <v/>
      </c>
      <c r="AG55" t="str">
        <f>IF(CAPTURA!BL55="","",IFERROR(IF(INDEX(CODIFICACION!$E$2:$E$500,MATCH("D4.15|"&amp;CAPTURA!BL55,CODIFICACION!$F$2:$F$500,0))="sin dato","",INDEX(CODIFICACION!$E$2:$E$500,MATCH("D4.15|"&amp;CAPTURA!BL55,CODIFICACION!$F$2:$F$500,0))),"⚠"))</f>
        <v/>
      </c>
      <c r="AH55" t="str">
        <f>IF(CAPTURA!BM55="","",IF(AND(ISNUMBER(CAPTURA!BM55),CAPTURA!BM55&gt;=0,CAPTURA!BM55&lt;=4),CAPTURA!BM55*25,"⚠"))</f>
        <v/>
      </c>
      <c r="AI55" t="str">
        <f>IF(CAPTURA!BN55="","",IFERROR(IF(INDEX(CODIFICACION!$E$2:$E$500,MATCH("D4.17|"&amp;CAPTURA!BN55,CODIFICACION!$F$2:$F$500,0))="sin dato","",INDEX(CODIFICACION!$E$2:$E$500,MATCH("D4.17|"&amp;CAPTURA!BN55,CODIFICACION!$F$2:$F$500,0))),"⚠"))</f>
        <v/>
      </c>
      <c r="AJ55" t="str">
        <f>IF(CAPTURA!BO55="","",IFERROR(IF(INDEX(CODIFICACION!$E$2:$E$500,MATCH("D4.15a|"&amp;CAPTURA!BO55,CODIFICACION!$F$2:$F$500,0))="sin dato","",INDEX(CODIFICACION!$E$2:$E$500,MATCH("D4.15a|"&amp;CAPTURA!BO55,CODIFICACION!$F$2:$F$500,0))),"⚠"))</f>
        <v/>
      </c>
      <c r="AK55" t="str">
        <f>IF(CAPTURA!BP55="","",IF(AND(ISNUMBER(CAPTURA!BP55),CAPTURA!BP55&gt;=0,CAPTURA!BP55&lt;=4),CAPTURA!BP55*25,"⚠"))</f>
        <v/>
      </c>
      <c r="AL55" t="str">
        <f>IF(CAPTURA!BQ55="","",IF(AND(ISNUMBER(CAPTURA!BQ55),CAPTURA!BQ55&gt;=0,CAPTURA!BQ55&lt;=4),CAPTURA!BQ55*25,"⚠"))</f>
        <v/>
      </c>
      <c r="AM55" t="str">
        <f>IF(CAPTURA!BR55="","",IFERROR(IF(INDEX(CODIFICACION!$E$2:$E$500,MATCH("D5.18b|"&amp;CAPTURA!BR55,CODIFICACION!$F$2:$F$500,0))="sin dato","",INDEX(CODIFICACION!$E$2:$E$500,MATCH("D5.18b|"&amp;CAPTURA!BR55,CODIFICACION!$F$2:$F$500,0))),"⚠"))</f>
        <v/>
      </c>
      <c r="AN55" t="str">
        <f>IF(CAPTURA!BS55="","",IFERROR(IF(INDEX(CODIFICACION!$E$2:$E$500,MATCH("D5.19|"&amp;CAPTURA!BS55,CODIFICACION!$F$2:$F$500,0))="sin dato","",INDEX(CODIFICACION!$E$2:$E$500,MATCH("D5.19|"&amp;CAPTURA!BS55,CODIFICACION!$F$2:$F$500,0))),"⚠"))</f>
        <v/>
      </c>
      <c r="AO55" t="str">
        <f>IF(CAPTURA!BT55="","",MIN(100,ROUND((LEN(CAPTURA!BT55)-LEN(SUBSTITUTE(CAPTURA!BT55,";",""))+1)/7*100,1)))</f>
        <v/>
      </c>
      <c r="AP55" t="str">
        <f>IF(CAPTURA!BU55="","",IFERROR(IF(INDEX(CODIFICACION!$E$2:$E$500,MATCH("D5.20|"&amp;CAPTURA!BU55,CODIFICACION!$F$2:$F$500,0))="sin dato","",INDEX(CODIFICACION!$E$2:$E$500,MATCH("D5.20|"&amp;CAPTURA!BU55,CODIFICACION!$F$2:$F$500,0))),"⚠"))</f>
        <v/>
      </c>
      <c r="AQ55" t="str">
        <f>IF(CAPTURA!BV55="","",IFERROR(IF(INDEX(CODIFICACION!$E$2:$E$500,MATCH("D5.21|"&amp;CAPTURA!BV55,CODIFICACION!$F$2:$F$500,0))="sin dato","",INDEX(CODIFICACION!$E$2:$E$500,MATCH("D5.21|"&amp;CAPTURA!BV55,CODIFICACION!$F$2:$F$500,0))),"⚠"))</f>
        <v/>
      </c>
      <c r="AR55" t="str">
        <f>IF(CAPTURA!BW55="","",IFERROR(IF(INDEX(CODIFICACION!$E$2:$E$500,MATCH("D5.21a|"&amp;CAPTURA!BW55,CODIFICACION!$F$2:$F$500,0))="sin dato","",INDEX(CODIFICACION!$E$2:$E$500,MATCH("D5.21a|"&amp;CAPTURA!BW55,CODIFICACION!$F$2:$F$500,0))),"⚠"))</f>
        <v/>
      </c>
      <c r="AS55" t="str">
        <f>IF(CAPTURA!BX55="","",IFERROR(IF(INDEX(CODIFICACION!$E$2:$E$500,MATCH("D5.21b|"&amp;CAPTURA!BX55,CODIFICACION!$F$2:$F$500,0))="sin dato","",INDEX(CODIFICACION!$E$2:$E$500,MATCH("D5.21b|"&amp;CAPTURA!BX55,CODIFICACION!$F$2:$F$500,0))),"⚠"))</f>
        <v/>
      </c>
      <c r="AT55" t="str">
        <f>IF(CAPTURA!BY55="","",IFERROR(IF(INDEX(CODIFICACION!$E$2:$E$500,MATCH("D6.22|"&amp;CAPTURA!BY55,CODIFICACION!$F$2:$F$500,0))="sin dato","",INDEX(CODIFICACION!$E$2:$E$500,MATCH("D6.22|"&amp;CAPTURA!BY55,CODIFICACION!$F$2:$F$500,0))),"⚠"))</f>
        <v/>
      </c>
      <c r="AU55" t="str">
        <f>IF(CAPTURA!BZ55="","",IFERROR(IF(INDEX(CODIFICACION!$E$2:$E$500,MATCH("D6.22a|"&amp;CAPTURA!BZ55,CODIFICACION!$F$2:$F$500,0))="sin dato","",INDEX(CODIFICACION!$E$2:$E$500,MATCH("D6.22a|"&amp;CAPTURA!BZ55,CODIFICACION!$F$2:$F$500,0))),"⚠"))</f>
        <v/>
      </c>
      <c r="AV55" t="str">
        <f>IF(CAPTURA!CA55="","",IFERROR(IF(INDEX(CODIFICACION!$E$2:$E$500,MATCH("D6.22b|"&amp;CAPTURA!CA55,CODIFICACION!$F$2:$F$500,0))="sin dato","",INDEX(CODIFICACION!$E$2:$E$500,MATCH("D6.22b|"&amp;CAPTURA!CA55,CODIFICACION!$F$2:$F$500,0))),"⚠"))</f>
        <v/>
      </c>
      <c r="AW55" t="str">
        <f>IF(CAPTURA!CB55="","",IFERROR(IF(INDEX(CODIFICACION!$E$2:$E$500,MATCH("D6.23|"&amp;CAPTURA!CB55,CODIFICACION!$F$2:$F$500,0))="sin dato","",INDEX(CODIFICACION!$E$2:$E$500,MATCH("D6.23|"&amp;CAPTURA!CB55,CODIFICACION!$F$2:$F$500,0))),"⚠"))</f>
        <v/>
      </c>
      <c r="AX55" t="str">
        <f>IF(CAPTURA!CC55="","",IFERROR(IF(INDEX(CODIFICACION!$E$2:$E$500,MATCH("D6.24|"&amp;CAPTURA!CC55,CODIFICACION!$F$2:$F$500,0))="sin dato","",INDEX(CODIFICACION!$E$2:$E$500,MATCH("D6.24|"&amp;CAPTURA!CC55,CODIFICACION!$F$2:$F$500,0))),"⚠"))</f>
        <v/>
      </c>
      <c r="AY55" t="str">
        <f>IF(CAPTURA!CD55="","",IFERROR(IF(INDEX(CODIFICACION!$E$2:$E$500,MATCH("D6.25|"&amp;CAPTURA!CD55,CODIFICACION!$F$2:$F$500,0))="sin dato","",INDEX(CODIFICACION!$E$2:$E$500,MATCH("D6.25|"&amp;CAPTURA!CD55,CODIFICACION!$F$2:$F$500,0))),"⚠"))</f>
        <v/>
      </c>
      <c r="AZ55" t="str">
        <f>IF(CAPTURA!CE55="","",IFERROR(IF(INDEX(CODIFICACION!$E$2:$E$500,MATCH("D6.25a|"&amp;CAPTURA!CE55,CODIFICACION!$F$2:$F$500,0))="sin dato","",INDEX(CODIFICACION!$E$2:$E$500,MATCH("D6.25a|"&amp;CAPTURA!CE55,CODIFICACION!$F$2:$F$500,0))),"⚠"))</f>
        <v/>
      </c>
      <c r="BA55" t="str">
        <f>IF(CAPTURA!CF55="","",IFERROR(IF(INDEX(CODIFICACION!$E$2:$E$500,MATCH("D6.25b|"&amp;CAPTURA!CF55,CODIFICACION!$F$2:$F$500,0))="sin dato","",INDEX(CODIFICACION!$E$2:$E$500,MATCH("D6.25b|"&amp;CAPTURA!CF55,CODIFICACION!$F$2:$F$500,0))),"⚠"))</f>
        <v/>
      </c>
      <c r="BB55" t="str">
        <f>IF(CAPTURA!CG55="","",IFERROR(IF(INDEX(CODIFICACION!$E$2:$E$500,MATCH("D6.22c|"&amp;CAPTURA!CG55,CODIFICACION!$F$2:$F$500,0))="sin dato","",INDEX(CODIFICACION!$E$2:$E$500,MATCH("D6.22c|"&amp;CAPTURA!CG55,CODIFICACION!$F$2:$F$500,0))),"⚠"))</f>
        <v/>
      </c>
      <c r="BC55" t="str">
        <f>IF(CAPTURA!CH55="","",IFERROR(IF(INDEX(CODIFICACION!$E$2:$E$500,MATCH("D7.26|"&amp;CAPTURA!CH55,CODIFICACION!$F$2:$F$500,0))="sin dato","",INDEX(CODIFICACION!$E$2:$E$500,MATCH("D7.26|"&amp;CAPTURA!CH55,CODIFICACION!$F$2:$F$500,0))),"⚠"))</f>
        <v/>
      </c>
      <c r="BD55" t="str">
        <f>IF(CAPTURA!CI55="","",IFERROR(IF(INDEX(CODIFICACION!$E$2:$E$500,MATCH("D7.27|"&amp;CAPTURA!CI55,CODIFICACION!$F$2:$F$500,0))="sin dato","",INDEX(CODIFICACION!$E$2:$E$500,MATCH("D7.27|"&amp;CAPTURA!CI55,CODIFICACION!$F$2:$F$500,0))),"⚠"))</f>
        <v/>
      </c>
      <c r="BE55" t="str">
        <f>IF(CAPTURA!CJ55="","",IFERROR(IF(INDEX(CODIFICACION!$E$2:$E$500,MATCH("D7.28|"&amp;CAPTURA!CJ55,CODIFICACION!$F$2:$F$500,0))="sin dato","",INDEX(CODIFICACION!$E$2:$E$500,MATCH("D7.28|"&amp;CAPTURA!CJ55,CODIFICACION!$F$2:$F$500,0))),"⚠"))</f>
        <v/>
      </c>
      <c r="BF55" t="str">
        <f>IF(CAPTURA!CK55="","",IFERROR(IF(INDEX(CODIFICACION!$E$2:$E$500,MATCH("D7.28b|"&amp;CAPTURA!CK55,CODIFICACION!$F$2:$F$500,0))="sin dato","",INDEX(CODIFICACION!$E$2:$E$500,MATCH("D7.28b|"&amp;CAPTURA!CK55,CODIFICACION!$F$2:$F$500,0))),"⚠"))</f>
        <v/>
      </c>
      <c r="BG55" t="str">
        <f>IF(CAPTURA!CL55="","",MIN(100,ROUND((LEN(CAPTURA!CL55)-LEN(SUBSTITUTE(CAPTURA!CL55,";",""))+1)/8*100,1)))</f>
        <v/>
      </c>
      <c r="BH55" t="str">
        <f>IF(CAPTURA!CM55="","",IFERROR(IF(INDEX(CODIFICACION!$E$2:$E$500,MATCH("D7.26a|"&amp;CAPTURA!CM55,CODIFICACION!$F$2:$F$500,0))="sin dato","",INDEX(CODIFICACION!$E$2:$E$500,MATCH("D7.26a|"&amp;CAPTURA!CM55,CODIFICACION!$F$2:$F$500,0))),"⚠"))</f>
        <v/>
      </c>
      <c r="BI55" t="str">
        <f>IF(CAPTURA!CN55="","",IFERROR(IF(INDEX(CODIFICACION!$E$2:$E$500,MATCH("D7.26b|"&amp;CAPTURA!CN55,CODIFICACION!$F$2:$F$500,0))="sin dato","",INDEX(CODIFICACION!$E$2:$E$500,MATCH("D7.26b|"&amp;CAPTURA!CN55,CODIFICACION!$F$2:$F$500,0))),"⚠"))</f>
        <v/>
      </c>
      <c r="BJ55" t="str">
        <f>IF(CAPTURA!CO55="","",IF(AND(ISNUMBER(CAPTURA!CO55),CAPTURA!CO55&gt;=0,CAPTURA!CO55&lt;=4),CAPTURA!CO55*25,"⚠"))</f>
        <v/>
      </c>
      <c r="BK55" t="str">
        <f>IF(CAPTURA!CP55="","",IF(ISNUMBER(CAPTURA!CP55),MAX(0,MIN(100,CAPTURA!CP55)),"⚠"))</f>
        <v/>
      </c>
      <c r="BL55" t="str">
        <f>IF(CAPTURA!CQ55="","",IFERROR(IF(INDEX(CODIFICACION!$E$2:$E$500,MATCH("D8.31|"&amp;CAPTURA!CQ55,CODIFICACION!$F$2:$F$500,0))="sin dato","",INDEX(CODIFICACION!$E$2:$E$500,MATCH("D8.31|"&amp;CAPTURA!CQ55,CODIFICACION!$F$2:$F$500,0))),"⚠"))</f>
        <v/>
      </c>
      <c r="BM55" t="str">
        <f>IF(CAPTURA!CR55="","",IFERROR(IF(INDEX(CODIFICACION!$E$2:$E$500,MATCH("D8.32|"&amp;CAPTURA!CR55,CODIFICACION!$F$2:$F$500,0))="sin dato","",INDEX(CODIFICACION!$E$2:$E$500,MATCH("D8.32|"&amp;CAPTURA!CR55,CODIFICACION!$F$2:$F$500,0))),"⚠"))</f>
        <v/>
      </c>
      <c r="BN55" t="str">
        <f>IF(CAPTURA!CS55="","",IFERROR(IF(INDEX(CODIFICACION!$E$2:$E$500,MATCH("D9.33|"&amp;CAPTURA!CS55,CODIFICACION!$F$2:$F$500,0))="sin dato","",INDEX(CODIFICACION!$E$2:$E$500,MATCH("D9.33|"&amp;CAPTURA!CS55,CODIFICACION!$F$2:$F$500,0))),"⚠"))</f>
        <v/>
      </c>
      <c r="BO55" t="str">
        <f>IF(CAPTURA!CT55="","",IFERROR(IF(INDEX(CODIFICACION!$E$2:$E$500,MATCH("D9.34|"&amp;CAPTURA!CT55,CODIFICACION!$F$2:$F$500,0))="sin dato","",INDEX(CODIFICACION!$E$2:$E$500,MATCH("D9.34|"&amp;CAPTURA!CT55,CODIFICACION!$F$2:$F$500,0))),"⚠"))</f>
        <v/>
      </c>
      <c r="BP55" t="str">
        <f>IF(CAPTURA!CU55="","",IFERROR(IF(INDEX(CODIFICACION!$E$2:$E$500,MATCH("D9.35|"&amp;CAPTURA!CU55,CODIFICACION!$F$2:$F$500,0))="sin dato","",INDEX(CODIFICACION!$E$2:$E$500,MATCH("D9.35|"&amp;CAPTURA!CU55,CODIFICACION!$F$2:$F$500,0))),"⚠"))</f>
        <v/>
      </c>
      <c r="BQ55" t="str">
        <f>IF(CAPTURA!CV55="","",IFERROR(IF(INDEX(CODIFICACION!$E$2:$E$500,MATCH("D10.36|"&amp;CAPTURA!CV55,CODIFICACION!$F$2:$F$500,0))="sin dato","",INDEX(CODIFICACION!$E$2:$E$500,MATCH("D10.36|"&amp;CAPTURA!CV55,CODIFICACION!$F$2:$F$500,0))),"⚠"))</f>
        <v/>
      </c>
      <c r="BR55" t="str">
        <f>IF(CAPTURA!CW55="","",IFERROR(IF(INDEX(CODIFICACION!$E$2:$E$500,MATCH("D10.37|"&amp;CAPTURA!CW55,CODIFICACION!$F$2:$F$500,0))="sin dato","",INDEX(CODIFICACION!$E$2:$E$500,MATCH("D10.37|"&amp;CAPTURA!CW55,CODIFICACION!$F$2:$F$500,0))),"⚠"))</f>
        <v/>
      </c>
      <c r="BS55" t="str">
        <f>IF(CAPTURA!CX55="","",IFERROR(IF(INDEX(CODIFICACION!$E$2:$E$500,MATCH("D10.36a|"&amp;CAPTURA!CX55,CODIFICACION!$F$2:$F$500,0))="sin dato","",INDEX(CODIFICACION!$E$2:$E$500,MATCH("D10.36a|"&amp;CAPTURA!CX55,CODIFICACION!$F$2:$F$500,0))),"⚠"))</f>
        <v/>
      </c>
      <c r="BT55" t="str">
        <f>IF(CAPTURA!CY55="","",IF(ISNUMBER(SEARCH("Ninguno",CAPTURA!CY55)),0,MIN(100,ROUND((LEN(CAPTURA!CY55)-LEN(SUBSTITUTE(CAPTURA!CY55,";",""))+1)/6*100,1))))</f>
        <v/>
      </c>
      <c r="BU55" t="str">
        <f>IF(CAPTURA!DA55="","",IFERROR(IF(INDEX(CODIFICACION!$E$2:$E$500,MATCH("D11.39a|"&amp;CAPTURA!DA55,CODIFICACION!$F$2:$F$500,0))="sin dato","",INDEX(CODIFICACION!$E$2:$E$500,MATCH("D11.39a|"&amp;CAPTURA!DA55,CODIFICACION!$F$2:$F$500,0))),"⚠"))</f>
        <v/>
      </c>
      <c r="BV55" t="str">
        <f>IF(CAPTURA!DB55="","",IFERROR(IF(INDEX(CODIFICACION!$E$2:$E$500,MATCH("D12.42|"&amp;CAPTURA!DB55,CODIFICACION!$F$2:$F$500,0))="sin dato","",INDEX(CODIFICACION!$E$2:$E$500,MATCH("D12.42|"&amp;CAPTURA!DB55,CODIFICACION!$F$2:$F$500,0))),"⚠"))</f>
        <v/>
      </c>
      <c r="BW55" t="str">
        <f>IF(CAPTURA!DC55="","",IFERROR(IF(INDEX(CODIFICACION!$E$2:$E$500,MATCH("D13.45|"&amp;CAPTURA!DC55,CODIFICACION!$F$2:$F$500,0))="sin dato","",INDEX(CODIFICACION!$E$2:$E$500,MATCH("D13.45|"&amp;CAPTURA!DC55,CODIFICACION!$F$2:$F$500,0))),"⚠"))</f>
        <v/>
      </c>
      <c r="BX55" t="str">
        <f>IF(CAPTURA!DD55="","",IFERROR(IF(INDEX(CODIFICACION!$E$2:$E$500,MATCH("D14.51|"&amp;CAPTURA!DD55,CODIFICACION!$F$2:$F$500,0))="sin dato","",INDEX(CODIFICACION!$E$2:$E$500,MATCH("D14.51|"&amp;CAPTURA!DD55,CODIFICACION!$F$2:$F$500,0))),"⚠"))</f>
        <v/>
      </c>
      <c r="BY55" t="str">
        <f>IF(CAPTURA!DE55="","",IFERROR(IF(INDEX(CODIFICACION!$E$2:$E$500,MATCH("D15.58|"&amp;CAPTURA!DE55,CODIFICACION!$F$2:$F$500,0))="sin dato","",INDEX(CODIFICACION!$E$2:$E$500,MATCH("D15.58|"&amp;CAPTURA!DE55,CODIFICACION!$F$2:$F$500,0))),"⚠"))</f>
        <v/>
      </c>
      <c r="BZ55" t="str">
        <f>IF(CAPTURA!DF55="","",IFERROR(IF(INDEX(CODIFICACION!$E$2:$E$500,MATCH("PP1|"&amp;CAPTURA!DF55,CODIFICACION!$F$2:$F$500,0))="sin dato","",INDEX(CODIFICACION!$E$2:$E$500,MATCH("PP1|"&amp;CAPTURA!DF55,CODIFICACION!$F$2:$F$500,0))),"⚠"))</f>
        <v/>
      </c>
      <c r="CA55" t="str">
        <f>IF(CAPTURA!DG55="","",IFERROR(IF(INDEX(CODIFICACION!$E$2:$E$500,MATCH("PP2|"&amp;CAPTURA!DG55,CODIFICACION!$F$2:$F$500,0))="sin dato","",INDEX(CODIFICACION!$E$2:$E$500,MATCH("PP2|"&amp;CAPTURA!DG55,CODIFICACION!$F$2:$F$500,0))),"⚠"))</f>
        <v/>
      </c>
      <c r="CB55" t="str">
        <f t="shared" si="11"/>
        <v/>
      </c>
      <c r="CC55" t="str">
        <f t="shared" si="12"/>
        <v/>
      </c>
      <c r="CD55" t="str">
        <f t="shared" si="13"/>
        <v/>
      </c>
      <c r="CE55" t="str">
        <f t="shared" si="14"/>
        <v/>
      </c>
      <c r="CF55" t="str">
        <f t="shared" si="15"/>
        <v/>
      </c>
      <c r="CG55" t="str">
        <f t="shared" si="16"/>
        <v/>
      </c>
      <c r="CH55" t="str">
        <f t="shared" si="17"/>
        <v/>
      </c>
      <c r="CI55" t="str">
        <f t="shared" si="18"/>
        <v/>
      </c>
      <c r="CJ55" t="str">
        <f t="shared" si="19"/>
        <v/>
      </c>
      <c r="CK55" t="str">
        <f t="shared" si="20"/>
        <v/>
      </c>
      <c r="CL55" t="str">
        <f t="shared" si="21"/>
        <v/>
      </c>
    </row>
    <row r="56" spans="1:90" x14ac:dyDescent="0.3">
      <c r="A56">
        <f>CAPTURA!A56</f>
        <v>20494145791</v>
      </c>
      <c r="B56">
        <f>CAPTURA!C56</f>
        <v>0</v>
      </c>
      <c r="C56" t="str">
        <f>IF(CAPTURA!M56="","",ROUND((ISNUMBER(SEARCH("Alemania",CAPTURA!M56))+ISNUMBER(SEARCH("Bélgica",CAPTURA!M56))+ISNUMBER(SEARCH("Países Bajos",CAPTURA!M56))+ISNUMBER(SEARCH("Francia",CAPTURA!M56))+ISNUMBER(SEARCH("Italia",CAPTURA!M56))+ISNUMBER(SEARCH("España",CAPTURA!M56))+ISNUMBER(SEARCH("Suecia",CAPTURA!M56))+ISNUMBER(SEARCH("Dinamarca",CAPTURA!M56)))/((LEN(CAPTURA!M56)-LEN(SUBSTITUTE(CAPTURA!M56,";","")))+1)*100,1))</f>
        <v/>
      </c>
      <c r="D56" t="str">
        <f>IF(CAPTURA!AE56="","",IFERROR(IF(INDEX(CODIFICACION!$E$2:$E$500,MATCH("P8|"&amp;CAPTURA!AE56,CODIFICACION!$F$2:$F$500,0))="sin dato","",INDEX(CODIFICACION!$E$2:$E$500,MATCH("P8|"&amp;CAPTURA!AE56,CODIFICACION!$F$2:$F$500,0))),"⚠"))</f>
        <v/>
      </c>
      <c r="E56" t="str">
        <f>IF(CAPTURA!AG56="","",IFERROR(IF(INDEX(CODIFICACION!$E$2:$E$500,MATCH("P10|"&amp;CAPTURA!AG56,CODIFICACION!$F$2:$F$500,0))="sin dato","",INDEX(CODIFICACION!$E$2:$E$500,MATCH("P10|"&amp;CAPTURA!AG56,CODIFICACION!$F$2:$F$500,0))),"⚠"))</f>
        <v/>
      </c>
      <c r="F56" t="str">
        <f>IF(CAPTURA!AJ56="","",IFERROR(IF(INDEX(CODIFICACION!$E$2:$E$500,MATCH("P13|"&amp;CAPTURA!AJ56,CODIFICACION!$F$2:$F$500,0))="sin dato","",INDEX(CODIFICACION!$E$2:$E$500,MATCH("P13|"&amp;CAPTURA!AJ56,CODIFICACION!$F$2:$F$500,0))),"⚠"))</f>
        <v/>
      </c>
      <c r="G56" t="str">
        <f>IF(CAPTURA!AK56="","",IFERROR(IF(INDEX(CODIFICACION!$E$2:$E$500,MATCH("P14|"&amp;CAPTURA!AK56,CODIFICACION!$F$2:$F$500,0))="sin dato","",INDEX(CODIFICACION!$E$2:$E$500,MATCH("P14|"&amp;CAPTURA!AK56,CODIFICACION!$F$2:$F$500,0))),"⚠"))</f>
        <v/>
      </c>
      <c r="H56" t="str">
        <f>IF(CAPTURA!AL56="","",IFERROR(IF(INDEX(CODIFICACION!$E$2:$E$500,MATCH("D1.1|"&amp;CAPTURA!AL56,CODIFICACION!$F$2:$F$500,0))="sin dato","",INDEX(CODIFICACION!$E$2:$E$500,MATCH("D1.1|"&amp;CAPTURA!AL56,CODIFICACION!$F$2:$F$500,0))),"⚠"))</f>
        <v/>
      </c>
      <c r="I56" t="str">
        <f>IF(CAPTURA!AN56="","",IFERROR(IF(INDEX(CODIFICACION!$E$2:$E$500,MATCH("D1.3|"&amp;CAPTURA!AN56,CODIFICACION!$F$2:$F$500,0))="sin dato","",INDEX(CODIFICACION!$E$2:$E$500,MATCH("D1.3|"&amp;CAPTURA!AN56,CODIFICACION!$F$2:$F$500,0))),"⚠"))</f>
        <v/>
      </c>
      <c r="J56" t="str">
        <f>IF(CAPTURA!AO56="","",IFERROR(IF(INDEX(CODIFICACION!$E$2:$E$500,MATCH("D1.4|"&amp;CAPTURA!AO56,CODIFICACION!$F$2:$F$500,0))="sin dato","",INDEX(CODIFICACION!$E$2:$E$500,MATCH("D1.4|"&amp;CAPTURA!AO56,CODIFICACION!$F$2:$F$500,0))),"⚠"))</f>
        <v/>
      </c>
      <c r="K56" t="str">
        <f>IF(CAPTURA!AP56="","",IFERROR(IF(INDEX(CODIFICACION!$E$2:$E$500,MATCH("D1.3a|"&amp;CAPTURA!AP56,CODIFICACION!$F$2:$F$500,0))="sin dato","",INDEX(CODIFICACION!$E$2:$E$500,MATCH("D1.3a|"&amp;CAPTURA!AP56,CODIFICACION!$F$2:$F$500,0))),"⚠"))</f>
        <v/>
      </c>
      <c r="L56" t="str">
        <f>IF(CAPTURA!AQ56="","",IF(AND(ISNUMBER(CAPTURA!AQ56),CAPTURA!AQ56&gt;=0,CAPTURA!AQ56&lt;=4),CAPTURA!AQ56*25,"⚠"))</f>
        <v/>
      </c>
      <c r="M56" t="str">
        <f>IF(CAPTURA!AR56="","",IF(ISNUMBER(CAPTURA!AR56),MAX(0,MIN(100,CAPTURA!AR56)),"⚠"))</f>
        <v/>
      </c>
      <c r="N56" t="str">
        <f>IF(CAPTURA!AS56="","",IF(AND(ISNUMBER(CAPTURA!AS56),CAPTURA!AS56&gt;=0,CAPTURA!AS56&lt;=4),CAPTURA!AS56*25,"⚠"))</f>
        <v/>
      </c>
      <c r="O56" t="str">
        <f>IF(CAPTURA!AT56="","",IFERROR(IF(INDEX(CODIFICACION!$E$2:$E$500,MATCH("D2.8|"&amp;CAPTURA!AT56,CODIFICACION!$F$2:$F$500,0))="sin dato","",INDEX(CODIFICACION!$E$2:$E$500,MATCH("D2.8|"&amp;CAPTURA!AT56,CODIFICACION!$F$2:$F$500,0))),"⚠"))</f>
        <v/>
      </c>
      <c r="P56" t="str">
        <f>IF(CAPTURA!AU56="","",IFERROR(IF(INDEX(CODIFICACION!$E$2:$E$500,MATCH("D2.9|"&amp;CAPTURA!AU56,CODIFICACION!$F$2:$F$500,0))="sin dato","",INDEX(CODIFICACION!$E$2:$E$500,MATCH("D2.9|"&amp;CAPTURA!AU56,CODIFICACION!$F$2:$F$500,0))),"⚠"))</f>
        <v/>
      </c>
      <c r="Q56" t="str">
        <f>IF(CAPTURA!AV56="","",IFERROR(IF(INDEX(CODIFICACION!$E$2:$E$500,MATCH("D2.10|"&amp;CAPTURA!AV56,CODIFICACION!$F$2:$F$500,0))="sin dato","",INDEX(CODIFICACION!$E$2:$E$500,MATCH("D2.10|"&amp;CAPTURA!AV56,CODIFICACION!$F$2:$F$500,0))),"⚠"))</f>
        <v/>
      </c>
      <c r="R56" t="str">
        <f>IF(CAPTURA!AW56="","",IFERROR(IF(INDEX(CODIFICACION!$E$2:$E$500,MATCH("D2.5a|"&amp;CAPTURA!AW56,CODIFICACION!$F$2:$F$500,0))="sin dato","",INDEX(CODIFICACION!$E$2:$E$500,MATCH("D2.5a|"&amp;CAPTURA!AW56,CODIFICACION!$F$2:$F$500,0))),"⚠"))</f>
        <v/>
      </c>
      <c r="S56" t="str">
        <f>IF(CAPTURA!AX56="","",IFERROR(IF(INDEX(CODIFICACION!$E$2:$E$500,MATCH("D2.5b|"&amp;CAPTURA!AX56,CODIFICACION!$F$2:$F$500,0))="sin dato","",INDEX(CODIFICACION!$E$2:$E$500,MATCH("D2.5b|"&amp;CAPTURA!AX56,CODIFICACION!$F$2:$F$500,0))),"⚠"))</f>
        <v/>
      </c>
      <c r="T56" t="str">
        <f>IF(CAPTURA!AY56="","",IF(ISNUMBER(CAPTURA!AY56),MAX(0,MIN(100,CAPTURA!AY56)),"⚠"))</f>
        <v/>
      </c>
      <c r="U56" t="str">
        <f>IF(CAPTURA!AZ56="","",IFERROR(IF(INDEX(CODIFICACION!$E$2:$E$500,MATCH("D3.12|"&amp;CAPTURA!AZ56,CODIFICACION!$F$2:$F$500,0))="sin dato","",INDEX(CODIFICACION!$E$2:$E$500,MATCH("D3.12|"&amp;CAPTURA!AZ56,CODIFICACION!$F$2:$F$500,0))),"⚠"))</f>
        <v/>
      </c>
      <c r="V56" t="str">
        <f>IF(CAPTURA!BA56="","",IF(AND(ISNUMBER(CAPTURA!BA56),CAPTURA!BA56&gt;=0,CAPTURA!BA56&lt;=4),CAPTURA!BA56*25,"⚠"))</f>
        <v/>
      </c>
      <c r="W56" t="str">
        <f>IF(CAPTURA!BB56="","",IFERROR(IF(INDEX(CODIFICACION!$E$2:$E$500,MATCH("D3.14|"&amp;CAPTURA!BB56,CODIFICACION!$F$2:$F$500,0))="sin dato","",INDEX(CODIFICACION!$E$2:$E$500,MATCH("D3.14|"&amp;CAPTURA!BB56,CODIFICACION!$F$2:$F$500,0))),"⚠"))</f>
        <v/>
      </c>
      <c r="X56" t="str">
        <f>IF(CAPTURA!BC56="","",IFERROR(IF(INDEX(CODIFICACION!$E$2:$E$500,MATCH("D3.14a|"&amp;CAPTURA!BC56,CODIFICACION!$F$2:$F$500,0))="sin dato","",INDEX(CODIFICACION!$E$2:$E$500,MATCH("D3.14a|"&amp;CAPTURA!BC56,CODIFICACION!$F$2:$F$500,0))),"⚠"))</f>
        <v/>
      </c>
      <c r="Y56" t="str">
        <f>IF(CAPTURA!BD56="","",IFERROR(IF(INDEX(CODIFICACION!$E$2:$E$500,MATCH("D3.14b|"&amp;CAPTURA!BD56,CODIFICACION!$F$2:$F$500,0))="sin dato","",INDEX(CODIFICACION!$E$2:$E$500,MATCH("D3.14b|"&amp;CAPTURA!BD56,CODIFICACION!$F$2:$F$500,0))),"⚠"))</f>
        <v/>
      </c>
      <c r="Z56" t="str">
        <f>IF(CAPTURA!BE56="","",IFERROR(IF(INDEX(CODIFICACION!$E$2:$E$500,MATCH("D3.14c|"&amp;CAPTURA!BE56,CODIFICACION!$F$2:$F$500,0))="sin dato","",INDEX(CODIFICACION!$E$2:$E$500,MATCH("D3.14c|"&amp;CAPTURA!BE56,CODIFICACION!$F$2:$F$500,0))),"⚠"))</f>
        <v/>
      </c>
      <c r="AA56" t="str">
        <f>IF(CAPTURA!BF56="","",IFERROR(IF(INDEX(CODIFICACION!$E$2:$E$500,MATCH("D3.14d|"&amp;CAPTURA!BF56,CODIFICACION!$F$2:$F$500,0))="sin dato","",INDEX(CODIFICACION!$E$2:$E$500,MATCH("D3.14d|"&amp;CAPTURA!BF56,CODIFICACION!$F$2:$F$500,0))),"⚠"))</f>
        <v/>
      </c>
      <c r="AB56" t="str">
        <f>IF(CAPTURA!BG56="","",IFERROR(IF(INDEX(CODIFICACION!$E$2:$E$500,MATCH("D3.14e|"&amp;CAPTURA!BG56,CODIFICACION!$F$2:$F$500,0))="sin dato","",INDEX(CODIFICACION!$E$2:$E$500,MATCH("D3.14e|"&amp;CAPTURA!BG56,CODIFICACION!$F$2:$F$500,0))),"⚠"))</f>
        <v/>
      </c>
      <c r="AC56" t="str">
        <f>IF(CAPTURA!BH56="","",IFERROR(IF(INDEX(CODIFICACION!$E$2:$E$500,MATCH("D3.14f|"&amp;CAPTURA!BH56,CODIFICACION!$F$2:$F$500,0))="sin dato","",INDEX(CODIFICACION!$E$2:$E$500,MATCH("D3.14f|"&amp;CAPTURA!BH56,CODIFICACION!$F$2:$F$500,0))),"⚠"))</f>
        <v/>
      </c>
      <c r="AD56" t="str">
        <f>IF(CAPTURA!BI56="","",IFERROR(IF(INDEX(CODIFICACION!$E$2:$E$500,MATCH("D3.14g|"&amp;CAPTURA!BI56,CODIFICACION!$F$2:$F$500,0))="sin dato","",INDEX(CODIFICACION!$E$2:$E$500,MATCH("D3.14g|"&amp;CAPTURA!BI56,CODIFICACION!$F$2:$F$500,0))),"⚠"))</f>
        <v/>
      </c>
      <c r="AE56" t="str">
        <f>IF(CAPTURA!BJ56="","",IFERROR(IF(INDEX(CODIFICACION!$E$2:$E$500,MATCH("D3.14h|"&amp;CAPTURA!BJ56,CODIFICACION!$F$2:$F$500,0))="sin dato","",INDEX(CODIFICACION!$E$2:$E$500,MATCH("D3.14h|"&amp;CAPTURA!BJ56,CODIFICACION!$F$2:$F$500,0))),"⚠"))</f>
        <v/>
      </c>
      <c r="AF56" t="str">
        <f>IF(CAPTURA!BK56="","",IFERROR(IF(INDEX(CODIFICACION!$E$2:$E$500,MATCH("D3.14i|"&amp;CAPTURA!BK56,CODIFICACION!$F$2:$F$500,0))="sin dato","",INDEX(CODIFICACION!$E$2:$E$500,MATCH("D3.14i|"&amp;CAPTURA!BK56,CODIFICACION!$F$2:$F$500,0))),"⚠"))</f>
        <v/>
      </c>
      <c r="AG56" t="str">
        <f>IF(CAPTURA!BL56="","",IFERROR(IF(INDEX(CODIFICACION!$E$2:$E$500,MATCH("D4.15|"&amp;CAPTURA!BL56,CODIFICACION!$F$2:$F$500,0))="sin dato","",INDEX(CODIFICACION!$E$2:$E$500,MATCH("D4.15|"&amp;CAPTURA!BL56,CODIFICACION!$F$2:$F$500,0))),"⚠"))</f>
        <v/>
      </c>
      <c r="AH56" t="str">
        <f>IF(CAPTURA!BM56="","",IF(AND(ISNUMBER(CAPTURA!BM56),CAPTURA!BM56&gt;=0,CAPTURA!BM56&lt;=4),CAPTURA!BM56*25,"⚠"))</f>
        <v/>
      </c>
      <c r="AI56" t="str">
        <f>IF(CAPTURA!BN56="","",IFERROR(IF(INDEX(CODIFICACION!$E$2:$E$500,MATCH("D4.17|"&amp;CAPTURA!BN56,CODIFICACION!$F$2:$F$500,0))="sin dato","",INDEX(CODIFICACION!$E$2:$E$500,MATCH("D4.17|"&amp;CAPTURA!BN56,CODIFICACION!$F$2:$F$500,0))),"⚠"))</f>
        <v/>
      </c>
      <c r="AJ56" t="str">
        <f>IF(CAPTURA!BO56="","",IFERROR(IF(INDEX(CODIFICACION!$E$2:$E$500,MATCH("D4.15a|"&amp;CAPTURA!BO56,CODIFICACION!$F$2:$F$500,0))="sin dato","",INDEX(CODIFICACION!$E$2:$E$500,MATCH("D4.15a|"&amp;CAPTURA!BO56,CODIFICACION!$F$2:$F$500,0))),"⚠"))</f>
        <v/>
      </c>
      <c r="AK56" t="str">
        <f>IF(CAPTURA!BP56="","",IF(AND(ISNUMBER(CAPTURA!BP56),CAPTURA!BP56&gt;=0,CAPTURA!BP56&lt;=4),CAPTURA!BP56*25,"⚠"))</f>
        <v/>
      </c>
      <c r="AL56" t="str">
        <f>IF(CAPTURA!BQ56="","",IF(AND(ISNUMBER(CAPTURA!BQ56),CAPTURA!BQ56&gt;=0,CAPTURA!BQ56&lt;=4),CAPTURA!BQ56*25,"⚠"))</f>
        <v/>
      </c>
      <c r="AM56" t="str">
        <f>IF(CAPTURA!BR56="","",IFERROR(IF(INDEX(CODIFICACION!$E$2:$E$500,MATCH("D5.18b|"&amp;CAPTURA!BR56,CODIFICACION!$F$2:$F$500,0))="sin dato","",INDEX(CODIFICACION!$E$2:$E$500,MATCH("D5.18b|"&amp;CAPTURA!BR56,CODIFICACION!$F$2:$F$500,0))),"⚠"))</f>
        <v/>
      </c>
      <c r="AN56" t="str">
        <f>IF(CAPTURA!BS56="","",IFERROR(IF(INDEX(CODIFICACION!$E$2:$E$500,MATCH("D5.19|"&amp;CAPTURA!BS56,CODIFICACION!$F$2:$F$500,0))="sin dato","",INDEX(CODIFICACION!$E$2:$E$500,MATCH("D5.19|"&amp;CAPTURA!BS56,CODIFICACION!$F$2:$F$500,0))),"⚠"))</f>
        <v/>
      </c>
      <c r="AO56" t="str">
        <f>IF(CAPTURA!BT56="","",MIN(100,ROUND((LEN(CAPTURA!BT56)-LEN(SUBSTITUTE(CAPTURA!BT56,";",""))+1)/7*100,1)))</f>
        <v/>
      </c>
      <c r="AP56" t="str">
        <f>IF(CAPTURA!BU56="","",IFERROR(IF(INDEX(CODIFICACION!$E$2:$E$500,MATCH("D5.20|"&amp;CAPTURA!BU56,CODIFICACION!$F$2:$F$500,0))="sin dato","",INDEX(CODIFICACION!$E$2:$E$500,MATCH("D5.20|"&amp;CAPTURA!BU56,CODIFICACION!$F$2:$F$500,0))),"⚠"))</f>
        <v/>
      </c>
      <c r="AQ56" t="str">
        <f>IF(CAPTURA!BV56="","",IFERROR(IF(INDEX(CODIFICACION!$E$2:$E$500,MATCH("D5.21|"&amp;CAPTURA!BV56,CODIFICACION!$F$2:$F$500,0))="sin dato","",INDEX(CODIFICACION!$E$2:$E$500,MATCH("D5.21|"&amp;CAPTURA!BV56,CODIFICACION!$F$2:$F$500,0))),"⚠"))</f>
        <v/>
      </c>
      <c r="AR56" t="str">
        <f>IF(CAPTURA!BW56="","",IFERROR(IF(INDEX(CODIFICACION!$E$2:$E$500,MATCH("D5.21a|"&amp;CAPTURA!BW56,CODIFICACION!$F$2:$F$500,0))="sin dato","",INDEX(CODIFICACION!$E$2:$E$500,MATCH("D5.21a|"&amp;CAPTURA!BW56,CODIFICACION!$F$2:$F$500,0))),"⚠"))</f>
        <v/>
      </c>
      <c r="AS56" t="str">
        <f>IF(CAPTURA!BX56="","",IFERROR(IF(INDEX(CODIFICACION!$E$2:$E$500,MATCH("D5.21b|"&amp;CAPTURA!BX56,CODIFICACION!$F$2:$F$500,0))="sin dato","",INDEX(CODIFICACION!$E$2:$E$500,MATCH("D5.21b|"&amp;CAPTURA!BX56,CODIFICACION!$F$2:$F$500,0))),"⚠"))</f>
        <v/>
      </c>
      <c r="AT56" t="str">
        <f>IF(CAPTURA!BY56="","",IFERROR(IF(INDEX(CODIFICACION!$E$2:$E$500,MATCH("D6.22|"&amp;CAPTURA!BY56,CODIFICACION!$F$2:$F$500,0))="sin dato","",INDEX(CODIFICACION!$E$2:$E$500,MATCH("D6.22|"&amp;CAPTURA!BY56,CODIFICACION!$F$2:$F$500,0))),"⚠"))</f>
        <v/>
      </c>
      <c r="AU56" t="str">
        <f>IF(CAPTURA!BZ56="","",IFERROR(IF(INDEX(CODIFICACION!$E$2:$E$500,MATCH("D6.22a|"&amp;CAPTURA!BZ56,CODIFICACION!$F$2:$F$500,0))="sin dato","",INDEX(CODIFICACION!$E$2:$E$500,MATCH("D6.22a|"&amp;CAPTURA!BZ56,CODIFICACION!$F$2:$F$500,0))),"⚠"))</f>
        <v/>
      </c>
      <c r="AV56" t="str">
        <f>IF(CAPTURA!CA56="","",IFERROR(IF(INDEX(CODIFICACION!$E$2:$E$500,MATCH("D6.22b|"&amp;CAPTURA!CA56,CODIFICACION!$F$2:$F$500,0))="sin dato","",INDEX(CODIFICACION!$E$2:$E$500,MATCH("D6.22b|"&amp;CAPTURA!CA56,CODIFICACION!$F$2:$F$500,0))),"⚠"))</f>
        <v/>
      </c>
      <c r="AW56" t="str">
        <f>IF(CAPTURA!CB56="","",IFERROR(IF(INDEX(CODIFICACION!$E$2:$E$500,MATCH("D6.23|"&amp;CAPTURA!CB56,CODIFICACION!$F$2:$F$500,0))="sin dato","",INDEX(CODIFICACION!$E$2:$E$500,MATCH("D6.23|"&amp;CAPTURA!CB56,CODIFICACION!$F$2:$F$500,0))),"⚠"))</f>
        <v/>
      </c>
      <c r="AX56" t="str">
        <f>IF(CAPTURA!CC56="","",IFERROR(IF(INDEX(CODIFICACION!$E$2:$E$500,MATCH("D6.24|"&amp;CAPTURA!CC56,CODIFICACION!$F$2:$F$500,0))="sin dato","",INDEX(CODIFICACION!$E$2:$E$500,MATCH("D6.24|"&amp;CAPTURA!CC56,CODIFICACION!$F$2:$F$500,0))),"⚠"))</f>
        <v/>
      </c>
      <c r="AY56" t="str">
        <f>IF(CAPTURA!CD56="","",IFERROR(IF(INDEX(CODIFICACION!$E$2:$E$500,MATCH("D6.25|"&amp;CAPTURA!CD56,CODIFICACION!$F$2:$F$500,0))="sin dato","",INDEX(CODIFICACION!$E$2:$E$500,MATCH("D6.25|"&amp;CAPTURA!CD56,CODIFICACION!$F$2:$F$500,0))),"⚠"))</f>
        <v/>
      </c>
      <c r="AZ56" t="str">
        <f>IF(CAPTURA!CE56="","",IFERROR(IF(INDEX(CODIFICACION!$E$2:$E$500,MATCH("D6.25a|"&amp;CAPTURA!CE56,CODIFICACION!$F$2:$F$500,0))="sin dato","",INDEX(CODIFICACION!$E$2:$E$500,MATCH("D6.25a|"&amp;CAPTURA!CE56,CODIFICACION!$F$2:$F$500,0))),"⚠"))</f>
        <v/>
      </c>
      <c r="BA56" t="str">
        <f>IF(CAPTURA!CF56="","",IFERROR(IF(INDEX(CODIFICACION!$E$2:$E$500,MATCH("D6.25b|"&amp;CAPTURA!CF56,CODIFICACION!$F$2:$F$500,0))="sin dato","",INDEX(CODIFICACION!$E$2:$E$500,MATCH("D6.25b|"&amp;CAPTURA!CF56,CODIFICACION!$F$2:$F$500,0))),"⚠"))</f>
        <v/>
      </c>
      <c r="BB56" t="str">
        <f>IF(CAPTURA!CG56="","",IFERROR(IF(INDEX(CODIFICACION!$E$2:$E$500,MATCH("D6.22c|"&amp;CAPTURA!CG56,CODIFICACION!$F$2:$F$500,0))="sin dato","",INDEX(CODIFICACION!$E$2:$E$500,MATCH("D6.22c|"&amp;CAPTURA!CG56,CODIFICACION!$F$2:$F$500,0))),"⚠"))</f>
        <v/>
      </c>
      <c r="BC56" t="str">
        <f>IF(CAPTURA!CH56="","",IFERROR(IF(INDEX(CODIFICACION!$E$2:$E$500,MATCH("D7.26|"&amp;CAPTURA!CH56,CODIFICACION!$F$2:$F$500,0))="sin dato","",INDEX(CODIFICACION!$E$2:$E$500,MATCH("D7.26|"&amp;CAPTURA!CH56,CODIFICACION!$F$2:$F$500,0))),"⚠"))</f>
        <v/>
      </c>
      <c r="BD56" t="str">
        <f>IF(CAPTURA!CI56="","",IFERROR(IF(INDEX(CODIFICACION!$E$2:$E$500,MATCH("D7.27|"&amp;CAPTURA!CI56,CODIFICACION!$F$2:$F$500,0))="sin dato","",INDEX(CODIFICACION!$E$2:$E$500,MATCH("D7.27|"&amp;CAPTURA!CI56,CODIFICACION!$F$2:$F$500,0))),"⚠"))</f>
        <v/>
      </c>
      <c r="BE56" t="str">
        <f>IF(CAPTURA!CJ56="","",IFERROR(IF(INDEX(CODIFICACION!$E$2:$E$500,MATCH("D7.28|"&amp;CAPTURA!CJ56,CODIFICACION!$F$2:$F$500,0))="sin dato","",INDEX(CODIFICACION!$E$2:$E$500,MATCH("D7.28|"&amp;CAPTURA!CJ56,CODIFICACION!$F$2:$F$500,0))),"⚠"))</f>
        <v/>
      </c>
      <c r="BF56" t="str">
        <f>IF(CAPTURA!CK56="","",IFERROR(IF(INDEX(CODIFICACION!$E$2:$E$500,MATCH("D7.28b|"&amp;CAPTURA!CK56,CODIFICACION!$F$2:$F$500,0))="sin dato","",INDEX(CODIFICACION!$E$2:$E$500,MATCH("D7.28b|"&amp;CAPTURA!CK56,CODIFICACION!$F$2:$F$500,0))),"⚠"))</f>
        <v/>
      </c>
      <c r="BG56" t="str">
        <f>IF(CAPTURA!CL56="","",MIN(100,ROUND((LEN(CAPTURA!CL56)-LEN(SUBSTITUTE(CAPTURA!CL56,";",""))+1)/8*100,1)))</f>
        <v/>
      </c>
      <c r="BH56" t="str">
        <f>IF(CAPTURA!CM56="","",IFERROR(IF(INDEX(CODIFICACION!$E$2:$E$500,MATCH("D7.26a|"&amp;CAPTURA!CM56,CODIFICACION!$F$2:$F$500,0))="sin dato","",INDEX(CODIFICACION!$E$2:$E$500,MATCH("D7.26a|"&amp;CAPTURA!CM56,CODIFICACION!$F$2:$F$500,0))),"⚠"))</f>
        <v/>
      </c>
      <c r="BI56" t="str">
        <f>IF(CAPTURA!CN56="","",IFERROR(IF(INDEX(CODIFICACION!$E$2:$E$500,MATCH("D7.26b|"&amp;CAPTURA!CN56,CODIFICACION!$F$2:$F$500,0))="sin dato","",INDEX(CODIFICACION!$E$2:$E$500,MATCH("D7.26b|"&amp;CAPTURA!CN56,CODIFICACION!$F$2:$F$500,0))),"⚠"))</f>
        <v/>
      </c>
      <c r="BJ56" t="str">
        <f>IF(CAPTURA!CO56="","",IF(AND(ISNUMBER(CAPTURA!CO56),CAPTURA!CO56&gt;=0,CAPTURA!CO56&lt;=4),CAPTURA!CO56*25,"⚠"))</f>
        <v/>
      </c>
      <c r="BK56" t="str">
        <f>IF(CAPTURA!CP56="","",IF(ISNUMBER(CAPTURA!CP56),MAX(0,MIN(100,CAPTURA!CP56)),"⚠"))</f>
        <v/>
      </c>
      <c r="BL56" t="str">
        <f>IF(CAPTURA!CQ56="","",IFERROR(IF(INDEX(CODIFICACION!$E$2:$E$500,MATCH("D8.31|"&amp;CAPTURA!CQ56,CODIFICACION!$F$2:$F$500,0))="sin dato","",INDEX(CODIFICACION!$E$2:$E$500,MATCH("D8.31|"&amp;CAPTURA!CQ56,CODIFICACION!$F$2:$F$500,0))),"⚠"))</f>
        <v/>
      </c>
      <c r="BM56" t="str">
        <f>IF(CAPTURA!CR56="","",IFERROR(IF(INDEX(CODIFICACION!$E$2:$E$500,MATCH("D8.32|"&amp;CAPTURA!CR56,CODIFICACION!$F$2:$F$500,0))="sin dato","",INDEX(CODIFICACION!$E$2:$E$500,MATCH("D8.32|"&amp;CAPTURA!CR56,CODIFICACION!$F$2:$F$500,0))),"⚠"))</f>
        <v/>
      </c>
      <c r="BN56" t="str">
        <f>IF(CAPTURA!CS56="","",IFERROR(IF(INDEX(CODIFICACION!$E$2:$E$500,MATCH("D9.33|"&amp;CAPTURA!CS56,CODIFICACION!$F$2:$F$500,0))="sin dato","",INDEX(CODIFICACION!$E$2:$E$500,MATCH("D9.33|"&amp;CAPTURA!CS56,CODIFICACION!$F$2:$F$500,0))),"⚠"))</f>
        <v/>
      </c>
      <c r="BO56" t="str">
        <f>IF(CAPTURA!CT56="","",IFERROR(IF(INDEX(CODIFICACION!$E$2:$E$500,MATCH("D9.34|"&amp;CAPTURA!CT56,CODIFICACION!$F$2:$F$500,0))="sin dato","",INDEX(CODIFICACION!$E$2:$E$500,MATCH("D9.34|"&amp;CAPTURA!CT56,CODIFICACION!$F$2:$F$500,0))),"⚠"))</f>
        <v/>
      </c>
      <c r="BP56" t="str">
        <f>IF(CAPTURA!CU56="","",IFERROR(IF(INDEX(CODIFICACION!$E$2:$E$500,MATCH("D9.35|"&amp;CAPTURA!CU56,CODIFICACION!$F$2:$F$500,0))="sin dato","",INDEX(CODIFICACION!$E$2:$E$500,MATCH("D9.35|"&amp;CAPTURA!CU56,CODIFICACION!$F$2:$F$500,0))),"⚠"))</f>
        <v/>
      </c>
      <c r="BQ56" t="str">
        <f>IF(CAPTURA!CV56="","",IFERROR(IF(INDEX(CODIFICACION!$E$2:$E$500,MATCH("D10.36|"&amp;CAPTURA!CV56,CODIFICACION!$F$2:$F$500,0))="sin dato","",INDEX(CODIFICACION!$E$2:$E$500,MATCH("D10.36|"&amp;CAPTURA!CV56,CODIFICACION!$F$2:$F$500,0))),"⚠"))</f>
        <v/>
      </c>
      <c r="BR56" t="str">
        <f>IF(CAPTURA!CW56="","",IFERROR(IF(INDEX(CODIFICACION!$E$2:$E$500,MATCH("D10.37|"&amp;CAPTURA!CW56,CODIFICACION!$F$2:$F$500,0))="sin dato","",INDEX(CODIFICACION!$E$2:$E$500,MATCH("D10.37|"&amp;CAPTURA!CW56,CODIFICACION!$F$2:$F$500,0))),"⚠"))</f>
        <v/>
      </c>
      <c r="BS56" t="str">
        <f>IF(CAPTURA!CX56="","",IFERROR(IF(INDEX(CODIFICACION!$E$2:$E$500,MATCH("D10.36a|"&amp;CAPTURA!CX56,CODIFICACION!$F$2:$F$500,0))="sin dato","",INDEX(CODIFICACION!$E$2:$E$500,MATCH("D10.36a|"&amp;CAPTURA!CX56,CODIFICACION!$F$2:$F$500,0))),"⚠"))</f>
        <v/>
      </c>
      <c r="BT56" t="str">
        <f>IF(CAPTURA!CY56="","",IF(ISNUMBER(SEARCH("Ninguno",CAPTURA!CY56)),0,MIN(100,ROUND((LEN(CAPTURA!CY56)-LEN(SUBSTITUTE(CAPTURA!CY56,";",""))+1)/6*100,1))))</f>
        <v/>
      </c>
      <c r="BU56" t="str">
        <f>IF(CAPTURA!DA56="","",IFERROR(IF(INDEX(CODIFICACION!$E$2:$E$500,MATCH("D11.39a|"&amp;CAPTURA!DA56,CODIFICACION!$F$2:$F$500,0))="sin dato","",INDEX(CODIFICACION!$E$2:$E$500,MATCH("D11.39a|"&amp;CAPTURA!DA56,CODIFICACION!$F$2:$F$500,0))),"⚠"))</f>
        <v/>
      </c>
      <c r="BV56" t="str">
        <f>IF(CAPTURA!DB56="","",IFERROR(IF(INDEX(CODIFICACION!$E$2:$E$500,MATCH("D12.42|"&amp;CAPTURA!DB56,CODIFICACION!$F$2:$F$500,0))="sin dato","",INDEX(CODIFICACION!$E$2:$E$500,MATCH("D12.42|"&amp;CAPTURA!DB56,CODIFICACION!$F$2:$F$500,0))),"⚠"))</f>
        <v/>
      </c>
      <c r="BW56" t="str">
        <f>IF(CAPTURA!DC56="","",IFERROR(IF(INDEX(CODIFICACION!$E$2:$E$500,MATCH("D13.45|"&amp;CAPTURA!DC56,CODIFICACION!$F$2:$F$500,0))="sin dato","",INDEX(CODIFICACION!$E$2:$E$500,MATCH("D13.45|"&amp;CAPTURA!DC56,CODIFICACION!$F$2:$F$500,0))),"⚠"))</f>
        <v/>
      </c>
      <c r="BX56" t="str">
        <f>IF(CAPTURA!DD56="","",IFERROR(IF(INDEX(CODIFICACION!$E$2:$E$500,MATCH("D14.51|"&amp;CAPTURA!DD56,CODIFICACION!$F$2:$F$500,0))="sin dato","",INDEX(CODIFICACION!$E$2:$E$500,MATCH("D14.51|"&amp;CAPTURA!DD56,CODIFICACION!$F$2:$F$500,0))),"⚠"))</f>
        <v/>
      </c>
      <c r="BY56" t="str">
        <f>IF(CAPTURA!DE56="","",IFERROR(IF(INDEX(CODIFICACION!$E$2:$E$500,MATCH("D15.58|"&amp;CAPTURA!DE56,CODIFICACION!$F$2:$F$500,0))="sin dato","",INDEX(CODIFICACION!$E$2:$E$500,MATCH("D15.58|"&amp;CAPTURA!DE56,CODIFICACION!$F$2:$F$500,0))),"⚠"))</f>
        <v/>
      </c>
      <c r="BZ56" t="str">
        <f>IF(CAPTURA!DF56="","",IFERROR(IF(INDEX(CODIFICACION!$E$2:$E$500,MATCH("PP1|"&amp;CAPTURA!DF56,CODIFICACION!$F$2:$F$500,0))="sin dato","",INDEX(CODIFICACION!$E$2:$E$500,MATCH("PP1|"&amp;CAPTURA!DF56,CODIFICACION!$F$2:$F$500,0))),"⚠"))</f>
        <v/>
      </c>
      <c r="CA56" t="str">
        <f>IF(CAPTURA!DG56="","",IFERROR(IF(INDEX(CODIFICACION!$E$2:$E$500,MATCH("PP2|"&amp;CAPTURA!DG56,CODIFICACION!$F$2:$F$500,0))="sin dato","",INDEX(CODIFICACION!$E$2:$E$500,MATCH("PP2|"&amp;CAPTURA!DG56,CODIFICACION!$F$2:$F$500,0))),"⚠"))</f>
        <v/>
      </c>
      <c r="CB56" t="str">
        <f t="shared" si="11"/>
        <v/>
      </c>
      <c r="CC56" t="str">
        <f t="shared" si="12"/>
        <v/>
      </c>
      <c r="CD56" t="str">
        <f t="shared" si="13"/>
        <v/>
      </c>
      <c r="CE56" t="str">
        <f t="shared" si="14"/>
        <v/>
      </c>
      <c r="CF56" t="str">
        <f t="shared" si="15"/>
        <v/>
      </c>
      <c r="CG56" t="str">
        <f t="shared" si="16"/>
        <v/>
      </c>
      <c r="CH56" t="str">
        <f t="shared" si="17"/>
        <v/>
      </c>
      <c r="CI56" t="str">
        <f t="shared" si="18"/>
        <v/>
      </c>
      <c r="CJ56" t="str">
        <f t="shared" si="19"/>
        <v/>
      </c>
      <c r="CK56" t="str">
        <f t="shared" si="20"/>
        <v/>
      </c>
      <c r="CL56" t="str">
        <f t="shared" si="21"/>
        <v/>
      </c>
    </row>
    <row r="57" spans="1:90" x14ac:dyDescent="0.3">
      <c r="A57">
        <f>CAPTURA!A57</f>
        <v>20494699690</v>
      </c>
      <c r="B57">
        <f>CAPTURA!C57</f>
        <v>0</v>
      </c>
      <c r="C57" t="str">
        <f>IF(CAPTURA!M57="","",ROUND((ISNUMBER(SEARCH("Alemania",CAPTURA!M57))+ISNUMBER(SEARCH("Bélgica",CAPTURA!M57))+ISNUMBER(SEARCH("Países Bajos",CAPTURA!M57))+ISNUMBER(SEARCH("Francia",CAPTURA!M57))+ISNUMBER(SEARCH("Italia",CAPTURA!M57))+ISNUMBER(SEARCH("España",CAPTURA!M57))+ISNUMBER(SEARCH("Suecia",CAPTURA!M57))+ISNUMBER(SEARCH("Dinamarca",CAPTURA!M57)))/((LEN(CAPTURA!M57)-LEN(SUBSTITUTE(CAPTURA!M57,";","")))+1)*100,1))</f>
        <v/>
      </c>
      <c r="D57" t="str">
        <f>IF(CAPTURA!AE57="","",IFERROR(IF(INDEX(CODIFICACION!$E$2:$E$500,MATCH("P8|"&amp;CAPTURA!AE57,CODIFICACION!$F$2:$F$500,0))="sin dato","",INDEX(CODIFICACION!$E$2:$E$500,MATCH("P8|"&amp;CAPTURA!AE57,CODIFICACION!$F$2:$F$500,0))),"⚠"))</f>
        <v/>
      </c>
      <c r="E57" t="str">
        <f>IF(CAPTURA!AG57="","",IFERROR(IF(INDEX(CODIFICACION!$E$2:$E$500,MATCH("P10|"&amp;CAPTURA!AG57,CODIFICACION!$F$2:$F$500,0))="sin dato","",INDEX(CODIFICACION!$E$2:$E$500,MATCH("P10|"&amp;CAPTURA!AG57,CODIFICACION!$F$2:$F$500,0))),"⚠"))</f>
        <v/>
      </c>
      <c r="F57" t="str">
        <f>IF(CAPTURA!AJ57="","",IFERROR(IF(INDEX(CODIFICACION!$E$2:$E$500,MATCH("P13|"&amp;CAPTURA!AJ57,CODIFICACION!$F$2:$F$500,0))="sin dato","",INDEX(CODIFICACION!$E$2:$E$500,MATCH("P13|"&amp;CAPTURA!AJ57,CODIFICACION!$F$2:$F$500,0))),"⚠"))</f>
        <v/>
      </c>
      <c r="G57" t="str">
        <f>IF(CAPTURA!AK57="","",IFERROR(IF(INDEX(CODIFICACION!$E$2:$E$500,MATCH("P14|"&amp;CAPTURA!AK57,CODIFICACION!$F$2:$F$500,0))="sin dato","",INDEX(CODIFICACION!$E$2:$E$500,MATCH("P14|"&amp;CAPTURA!AK57,CODIFICACION!$F$2:$F$500,0))),"⚠"))</f>
        <v/>
      </c>
      <c r="H57" t="str">
        <f>IF(CAPTURA!AL57="","",IFERROR(IF(INDEX(CODIFICACION!$E$2:$E$500,MATCH("D1.1|"&amp;CAPTURA!AL57,CODIFICACION!$F$2:$F$500,0))="sin dato","",INDEX(CODIFICACION!$E$2:$E$500,MATCH("D1.1|"&amp;CAPTURA!AL57,CODIFICACION!$F$2:$F$500,0))),"⚠"))</f>
        <v/>
      </c>
      <c r="I57" t="str">
        <f>IF(CAPTURA!AN57="","",IFERROR(IF(INDEX(CODIFICACION!$E$2:$E$500,MATCH("D1.3|"&amp;CAPTURA!AN57,CODIFICACION!$F$2:$F$500,0))="sin dato","",INDEX(CODIFICACION!$E$2:$E$500,MATCH("D1.3|"&amp;CAPTURA!AN57,CODIFICACION!$F$2:$F$500,0))),"⚠"))</f>
        <v/>
      </c>
      <c r="J57" t="str">
        <f>IF(CAPTURA!AO57="","",IFERROR(IF(INDEX(CODIFICACION!$E$2:$E$500,MATCH("D1.4|"&amp;CAPTURA!AO57,CODIFICACION!$F$2:$F$500,0))="sin dato","",INDEX(CODIFICACION!$E$2:$E$500,MATCH("D1.4|"&amp;CAPTURA!AO57,CODIFICACION!$F$2:$F$500,0))),"⚠"))</f>
        <v/>
      </c>
      <c r="K57" t="str">
        <f>IF(CAPTURA!AP57="","",IFERROR(IF(INDEX(CODIFICACION!$E$2:$E$500,MATCH("D1.3a|"&amp;CAPTURA!AP57,CODIFICACION!$F$2:$F$500,0))="sin dato","",INDEX(CODIFICACION!$E$2:$E$500,MATCH("D1.3a|"&amp;CAPTURA!AP57,CODIFICACION!$F$2:$F$500,0))),"⚠"))</f>
        <v/>
      </c>
      <c r="L57" t="str">
        <f>IF(CAPTURA!AQ57="","",IF(AND(ISNUMBER(CAPTURA!AQ57),CAPTURA!AQ57&gt;=0,CAPTURA!AQ57&lt;=4),CAPTURA!AQ57*25,"⚠"))</f>
        <v/>
      </c>
      <c r="M57" t="str">
        <f>IF(CAPTURA!AR57="","",IF(ISNUMBER(CAPTURA!AR57),MAX(0,MIN(100,CAPTURA!AR57)),"⚠"))</f>
        <v/>
      </c>
      <c r="N57" t="str">
        <f>IF(CAPTURA!AS57="","",IF(AND(ISNUMBER(CAPTURA!AS57),CAPTURA!AS57&gt;=0,CAPTURA!AS57&lt;=4),CAPTURA!AS57*25,"⚠"))</f>
        <v/>
      </c>
      <c r="O57" t="str">
        <f>IF(CAPTURA!AT57="","",IFERROR(IF(INDEX(CODIFICACION!$E$2:$E$500,MATCH("D2.8|"&amp;CAPTURA!AT57,CODIFICACION!$F$2:$F$500,0))="sin dato","",INDEX(CODIFICACION!$E$2:$E$500,MATCH("D2.8|"&amp;CAPTURA!AT57,CODIFICACION!$F$2:$F$500,0))),"⚠"))</f>
        <v/>
      </c>
      <c r="P57" t="str">
        <f>IF(CAPTURA!AU57="","",IFERROR(IF(INDEX(CODIFICACION!$E$2:$E$500,MATCH("D2.9|"&amp;CAPTURA!AU57,CODIFICACION!$F$2:$F$500,0))="sin dato","",INDEX(CODIFICACION!$E$2:$E$500,MATCH("D2.9|"&amp;CAPTURA!AU57,CODIFICACION!$F$2:$F$500,0))),"⚠"))</f>
        <v/>
      </c>
      <c r="Q57" t="str">
        <f>IF(CAPTURA!AV57="","",IFERROR(IF(INDEX(CODIFICACION!$E$2:$E$500,MATCH("D2.10|"&amp;CAPTURA!AV57,CODIFICACION!$F$2:$F$500,0))="sin dato","",INDEX(CODIFICACION!$E$2:$E$500,MATCH("D2.10|"&amp;CAPTURA!AV57,CODIFICACION!$F$2:$F$500,0))),"⚠"))</f>
        <v/>
      </c>
      <c r="R57" t="str">
        <f>IF(CAPTURA!AW57="","",IFERROR(IF(INDEX(CODIFICACION!$E$2:$E$500,MATCH("D2.5a|"&amp;CAPTURA!AW57,CODIFICACION!$F$2:$F$500,0))="sin dato","",INDEX(CODIFICACION!$E$2:$E$500,MATCH("D2.5a|"&amp;CAPTURA!AW57,CODIFICACION!$F$2:$F$500,0))),"⚠"))</f>
        <v/>
      </c>
      <c r="S57" t="str">
        <f>IF(CAPTURA!AX57="","",IFERROR(IF(INDEX(CODIFICACION!$E$2:$E$500,MATCH("D2.5b|"&amp;CAPTURA!AX57,CODIFICACION!$F$2:$F$500,0))="sin dato","",INDEX(CODIFICACION!$E$2:$E$500,MATCH("D2.5b|"&amp;CAPTURA!AX57,CODIFICACION!$F$2:$F$500,0))),"⚠"))</f>
        <v/>
      </c>
      <c r="T57" t="str">
        <f>IF(CAPTURA!AY57="","",IF(ISNUMBER(CAPTURA!AY57),MAX(0,MIN(100,CAPTURA!AY57)),"⚠"))</f>
        <v/>
      </c>
      <c r="U57" t="str">
        <f>IF(CAPTURA!AZ57="","",IFERROR(IF(INDEX(CODIFICACION!$E$2:$E$500,MATCH("D3.12|"&amp;CAPTURA!AZ57,CODIFICACION!$F$2:$F$500,0))="sin dato","",INDEX(CODIFICACION!$E$2:$E$500,MATCH("D3.12|"&amp;CAPTURA!AZ57,CODIFICACION!$F$2:$F$500,0))),"⚠"))</f>
        <v/>
      </c>
      <c r="V57" t="str">
        <f>IF(CAPTURA!BA57="","",IF(AND(ISNUMBER(CAPTURA!BA57),CAPTURA!BA57&gt;=0,CAPTURA!BA57&lt;=4),CAPTURA!BA57*25,"⚠"))</f>
        <v/>
      </c>
      <c r="W57" t="str">
        <f>IF(CAPTURA!BB57="","",IFERROR(IF(INDEX(CODIFICACION!$E$2:$E$500,MATCH("D3.14|"&amp;CAPTURA!BB57,CODIFICACION!$F$2:$F$500,0))="sin dato","",INDEX(CODIFICACION!$E$2:$E$500,MATCH("D3.14|"&amp;CAPTURA!BB57,CODIFICACION!$F$2:$F$500,0))),"⚠"))</f>
        <v/>
      </c>
      <c r="X57" t="str">
        <f>IF(CAPTURA!BC57="","",IFERROR(IF(INDEX(CODIFICACION!$E$2:$E$500,MATCH("D3.14a|"&amp;CAPTURA!BC57,CODIFICACION!$F$2:$F$500,0))="sin dato","",INDEX(CODIFICACION!$E$2:$E$500,MATCH("D3.14a|"&amp;CAPTURA!BC57,CODIFICACION!$F$2:$F$500,0))),"⚠"))</f>
        <v/>
      </c>
      <c r="Y57" t="str">
        <f>IF(CAPTURA!BD57="","",IFERROR(IF(INDEX(CODIFICACION!$E$2:$E$500,MATCH("D3.14b|"&amp;CAPTURA!BD57,CODIFICACION!$F$2:$F$500,0))="sin dato","",INDEX(CODIFICACION!$E$2:$E$500,MATCH("D3.14b|"&amp;CAPTURA!BD57,CODIFICACION!$F$2:$F$500,0))),"⚠"))</f>
        <v/>
      </c>
      <c r="Z57" t="str">
        <f>IF(CAPTURA!BE57="","",IFERROR(IF(INDEX(CODIFICACION!$E$2:$E$500,MATCH("D3.14c|"&amp;CAPTURA!BE57,CODIFICACION!$F$2:$F$500,0))="sin dato","",INDEX(CODIFICACION!$E$2:$E$500,MATCH("D3.14c|"&amp;CAPTURA!BE57,CODIFICACION!$F$2:$F$500,0))),"⚠"))</f>
        <v/>
      </c>
      <c r="AA57" t="str">
        <f>IF(CAPTURA!BF57="","",IFERROR(IF(INDEX(CODIFICACION!$E$2:$E$500,MATCH("D3.14d|"&amp;CAPTURA!BF57,CODIFICACION!$F$2:$F$500,0))="sin dato","",INDEX(CODIFICACION!$E$2:$E$500,MATCH("D3.14d|"&amp;CAPTURA!BF57,CODIFICACION!$F$2:$F$500,0))),"⚠"))</f>
        <v/>
      </c>
      <c r="AB57" t="str">
        <f>IF(CAPTURA!BG57="","",IFERROR(IF(INDEX(CODIFICACION!$E$2:$E$500,MATCH("D3.14e|"&amp;CAPTURA!BG57,CODIFICACION!$F$2:$F$500,0))="sin dato","",INDEX(CODIFICACION!$E$2:$E$500,MATCH("D3.14e|"&amp;CAPTURA!BG57,CODIFICACION!$F$2:$F$500,0))),"⚠"))</f>
        <v/>
      </c>
      <c r="AC57" t="str">
        <f>IF(CAPTURA!BH57="","",IFERROR(IF(INDEX(CODIFICACION!$E$2:$E$500,MATCH("D3.14f|"&amp;CAPTURA!BH57,CODIFICACION!$F$2:$F$500,0))="sin dato","",INDEX(CODIFICACION!$E$2:$E$500,MATCH("D3.14f|"&amp;CAPTURA!BH57,CODIFICACION!$F$2:$F$500,0))),"⚠"))</f>
        <v/>
      </c>
      <c r="AD57" t="str">
        <f>IF(CAPTURA!BI57="","",IFERROR(IF(INDEX(CODIFICACION!$E$2:$E$500,MATCH("D3.14g|"&amp;CAPTURA!BI57,CODIFICACION!$F$2:$F$500,0))="sin dato","",INDEX(CODIFICACION!$E$2:$E$500,MATCH("D3.14g|"&amp;CAPTURA!BI57,CODIFICACION!$F$2:$F$500,0))),"⚠"))</f>
        <v/>
      </c>
      <c r="AE57" t="str">
        <f>IF(CAPTURA!BJ57="","",IFERROR(IF(INDEX(CODIFICACION!$E$2:$E$500,MATCH("D3.14h|"&amp;CAPTURA!BJ57,CODIFICACION!$F$2:$F$500,0))="sin dato","",INDEX(CODIFICACION!$E$2:$E$500,MATCH("D3.14h|"&amp;CAPTURA!BJ57,CODIFICACION!$F$2:$F$500,0))),"⚠"))</f>
        <v/>
      </c>
      <c r="AF57" t="str">
        <f>IF(CAPTURA!BK57="","",IFERROR(IF(INDEX(CODIFICACION!$E$2:$E$500,MATCH("D3.14i|"&amp;CAPTURA!BK57,CODIFICACION!$F$2:$F$500,0))="sin dato","",INDEX(CODIFICACION!$E$2:$E$500,MATCH("D3.14i|"&amp;CAPTURA!BK57,CODIFICACION!$F$2:$F$500,0))),"⚠"))</f>
        <v/>
      </c>
      <c r="AG57" t="str">
        <f>IF(CAPTURA!BL57="","",IFERROR(IF(INDEX(CODIFICACION!$E$2:$E$500,MATCH("D4.15|"&amp;CAPTURA!BL57,CODIFICACION!$F$2:$F$500,0))="sin dato","",INDEX(CODIFICACION!$E$2:$E$500,MATCH("D4.15|"&amp;CAPTURA!BL57,CODIFICACION!$F$2:$F$500,0))),"⚠"))</f>
        <v/>
      </c>
      <c r="AH57" t="str">
        <f>IF(CAPTURA!BM57="","",IF(AND(ISNUMBER(CAPTURA!BM57),CAPTURA!BM57&gt;=0,CAPTURA!BM57&lt;=4),CAPTURA!BM57*25,"⚠"))</f>
        <v/>
      </c>
      <c r="AI57" t="str">
        <f>IF(CAPTURA!BN57="","",IFERROR(IF(INDEX(CODIFICACION!$E$2:$E$500,MATCH("D4.17|"&amp;CAPTURA!BN57,CODIFICACION!$F$2:$F$500,0))="sin dato","",INDEX(CODIFICACION!$E$2:$E$500,MATCH("D4.17|"&amp;CAPTURA!BN57,CODIFICACION!$F$2:$F$500,0))),"⚠"))</f>
        <v/>
      </c>
      <c r="AJ57" t="str">
        <f>IF(CAPTURA!BO57="","",IFERROR(IF(INDEX(CODIFICACION!$E$2:$E$500,MATCH("D4.15a|"&amp;CAPTURA!BO57,CODIFICACION!$F$2:$F$500,0))="sin dato","",INDEX(CODIFICACION!$E$2:$E$500,MATCH("D4.15a|"&amp;CAPTURA!BO57,CODIFICACION!$F$2:$F$500,0))),"⚠"))</f>
        <v/>
      </c>
      <c r="AK57" t="str">
        <f>IF(CAPTURA!BP57="","",IF(AND(ISNUMBER(CAPTURA!BP57),CAPTURA!BP57&gt;=0,CAPTURA!BP57&lt;=4),CAPTURA!BP57*25,"⚠"))</f>
        <v/>
      </c>
      <c r="AL57" t="str">
        <f>IF(CAPTURA!BQ57="","",IF(AND(ISNUMBER(CAPTURA!BQ57),CAPTURA!BQ57&gt;=0,CAPTURA!BQ57&lt;=4),CAPTURA!BQ57*25,"⚠"))</f>
        <v/>
      </c>
      <c r="AM57" t="str">
        <f>IF(CAPTURA!BR57="","",IFERROR(IF(INDEX(CODIFICACION!$E$2:$E$500,MATCH("D5.18b|"&amp;CAPTURA!BR57,CODIFICACION!$F$2:$F$500,0))="sin dato","",INDEX(CODIFICACION!$E$2:$E$500,MATCH("D5.18b|"&amp;CAPTURA!BR57,CODIFICACION!$F$2:$F$500,0))),"⚠"))</f>
        <v/>
      </c>
      <c r="AN57" t="str">
        <f>IF(CAPTURA!BS57="","",IFERROR(IF(INDEX(CODIFICACION!$E$2:$E$500,MATCH("D5.19|"&amp;CAPTURA!BS57,CODIFICACION!$F$2:$F$500,0))="sin dato","",INDEX(CODIFICACION!$E$2:$E$500,MATCH("D5.19|"&amp;CAPTURA!BS57,CODIFICACION!$F$2:$F$500,0))),"⚠"))</f>
        <v/>
      </c>
      <c r="AO57" t="str">
        <f>IF(CAPTURA!BT57="","",MIN(100,ROUND((LEN(CAPTURA!BT57)-LEN(SUBSTITUTE(CAPTURA!BT57,";",""))+1)/7*100,1)))</f>
        <v/>
      </c>
      <c r="AP57" t="str">
        <f>IF(CAPTURA!BU57="","",IFERROR(IF(INDEX(CODIFICACION!$E$2:$E$500,MATCH("D5.20|"&amp;CAPTURA!BU57,CODIFICACION!$F$2:$F$500,0))="sin dato","",INDEX(CODIFICACION!$E$2:$E$500,MATCH("D5.20|"&amp;CAPTURA!BU57,CODIFICACION!$F$2:$F$500,0))),"⚠"))</f>
        <v/>
      </c>
      <c r="AQ57" t="str">
        <f>IF(CAPTURA!BV57="","",IFERROR(IF(INDEX(CODIFICACION!$E$2:$E$500,MATCH("D5.21|"&amp;CAPTURA!BV57,CODIFICACION!$F$2:$F$500,0))="sin dato","",INDEX(CODIFICACION!$E$2:$E$500,MATCH("D5.21|"&amp;CAPTURA!BV57,CODIFICACION!$F$2:$F$500,0))),"⚠"))</f>
        <v/>
      </c>
      <c r="AR57" t="str">
        <f>IF(CAPTURA!BW57="","",IFERROR(IF(INDEX(CODIFICACION!$E$2:$E$500,MATCH("D5.21a|"&amp;CAPTURA!BW57,CODIFICACION!$F$2:$F$500,0))="sin dato","",INDEX(CODIFICACION!$E$2:$E$500,MATCH("D5.21a|"&amp;CAPTURA!BW57,CODIFICACION!$F$2:$F$500,0))),"⚠"))</f>
        <v/>
      </c>
      <c r="AS57" t="str">
        <f>IF(CAPTURA!BX57="","",IFERROR(IF(INDEX(CODIFICACION!$E$2:$E$500,MATCH("D5.21b|"&amp;CAPTURA!BX57,CODIFICACION!$F$2:$F$500,0))="sin dato","",INDEX(CODIFICACION!$E$2:$E$500,MATCH("D5.21b|"&amp;CAPTURA!BX57,CODIFICACION!$F$2:$F$500,0))),"⚠"))</f>
        <v/>
      </c>
      <c r="AT57" t="str">
        <f>IF(CAPTURA!BY57="","",IFERROR(IF(INDEX(CODIFICACION!$E$2:$E$500,MATCH("D6.22|"&amp;CAPTURA!BY57,CODIFICACION!$F$2:$F$500,0))="sin dato","",INDEX(CODIFICACION!$E$2:$E$500,MATCH("D6.22|"&amp;CAPTURA!BY57,CODIFICACION!$F$2:$F$500,0))),"⚠"))</f>
        <v/>
      </c>
      <c r="AU57" t="str">
        <f>IF(CAPTURA!BZ57="","",IFERROR(IF(INDEX(CODIFICACION!$E$2:$E$500,MATCH("D6.22a|"&amp;CAPTURA!BZ57,CODIFICACION!$F$2:$F$500,0))="sin dato","",INDEX(CODIFICACION!$E$2:$E$500,MATCH("D6.22a|"&amp;CAPTURA!BZ57,CODIFICACION!$F$2:$F$500,0))),"⚠"))</f>
        <v/>
      </c>
      <c r="AV57" t="str">
        <f>IF(CAPTURA!CA57="","",IFERROR(IF(INDEX(CODIFICACION!$E$2:$E$500,MATCH("D6.22b|"&amp;CAPTURA!CA57,CODIFICACION!$F$2:$F$500,0))="sin dato","",INDEX(CODIFICACION!$E$2:$E$500,MATCH("D6.22b|"&amp;CAPTURA!CA57,CODIFICACION!$F$2:$F$500,0))),"⚠"))</f>
        <v/>
      </c>
      <c r="AW57" t="str">
        <f>IF(CAPTURA!CB57="","",IFERROR(IF(INDEX(CODIFICACION!$E$2:$E$500,MATCH("D6.23|"&amp;CAPTURA!CB57,CODIFICACION!$F$2:$F$500,0))="sin dato","",INDEX(CODIFICACION!$E$2:$E$500,MATCH("D6.23|"&amp;CAPTURA!CB57,CODIFICACION!$F$2:$F$500,0))),"⚠"))</f>
        <v/>
      </c>
      <c r="AX57" t="str">
        <f>IF(CAPTURA!CC57="","",IFERROR(IF(INDEX(CODIFICACION!$E$2:$E$500,MATCH("D6.24|"&amp;CAPTURA!CC57,CODIFICACION!$F$2:$F$500,0))="sin dato","",INDEX(CODIFICACION!$E$2:$E$500,MATCH("D6.24|"&amp;CAPTURA!CC57,CODIFICACION!$F$2:$F$500,0))),"⚠"))</f>
        <v/>
      </c>
      <c r="AY57" t="str">
        <f>IF(CAPTURA!CD57="","",IFERROR(IF(INDEX(CODIFICACION!$E$2:$E$500,MATCH("D6.25|"&amp;CAPTURA!CD57,CODIFICACION!$F$2:$F$500,0))="sin dato","",INDEX(CODIFICACION!$E$2:$E$500,MATCH("D6.25|"&amp;CAPTURA!CD57,CODIFICACION!$F$2:$F$500,0))),"⚠"))</f>
        <v/>
      </c>
      <c r="AZ57" t="str">
        <f>IF(CAPTURA!CE57="","",IFERROR(IF(INDEX(CODIFICACION!$E$2:$E$500,MATCH("D6.25a|"&amp;CAPTURA!CE57,CODIFICACION!$F$2:$F$500,0))="sin dato","",INDEX(CODIFICACION!$E$2:$E$500,MATCH("D6.25a|"&amp;CAPTURA!CE57,CODIFICACION!$F$2:$F$500,0))),"⚠"))</f>
        <v/>
      </c>
      <c r="BA57" t="str">
        <f>IF(CAPTURA!CF57="","",IFERROR(IF(INDEX(CODIFICACION!$E$2:$E$500,MATCH("D6.25b|"&amp;CAPTURA!CF57,CODIFICACION!$F$2:$F$500,0))="sin dato","",INDEX(CODIFICACION!$E$2:$E$500,MATCH("D6.25b|"&amp;CAPTURA!CF57,CODIFICACION!$F$2:$F$500,0))),"⚠"))</f>
        <v/>
      </c>
      <c r="BB57" t="str">
        <f>IF(CAPTURA!CG57="","",IFERROR(IF(INDEX(CODIFICACION!$E$2:$E$500,MATCH("D6.22c|"&amp;CAPTURA!CG57,CODIFICACION!$F$2:$F$500,0))="sin dato","",INDEX(CODIFICACION!$E$2:$E$500,MATCH("D6.22c|"&amp;CAPTURA!CG57,CODIFICACION!$F$2:$F$500,0))),"⚠"))</f>
        <v/>
      </c>
      <c r="BC57" t="str">
        <f>IF(CAPTURA!CH57="","",IFERROR(IF(INDEX(CODIFICACION!$E$2:$E$500,MATCH("D7.26|"&amp;CAPTURA!CH57,CODIFICACION!$F$2:$F$500,0))="sin dato","",INDEX(CODIFICACION!$E$2:$E$500,MATCH("D7.26|"&amp;CAPTURA!CH57,CODIFICACION!$F$2:$F$500,0))),"⚠"))</f>
        <v/>
      </c>
      <c r="BD57" t="str">
        <f>IF(CAPTURA!CI57="","",IFERROR(IF(INDEX(CODIFICACION!$E$2:$E$500,MATCH("D7.27|"&amp;CAPTURA!CI57,CODIFICACION!$F$2:$F$500,0))="sin dato","",INDEX(CODIFICACION!$E$2:$E$500,MATCH("D7.27|"&amp;CAPTURA!CI57,CODIFICACION!$F$2:$F$500,0))),"⚠"))</f>
        <v/>
      </c>
      <c r="BE57" t="str">
        <f>IF(CAPTURA!CJ57="","",IFERROR(IF(INDEX(CODIFICACION!$E$2:$E$500,MATCH("D7.28|"&amp;CAPTURA!CJ57,CODIFICACION!$F$2:$F$500,0))="sin dato","",INDEX(CODIFICACION!$E$2:$E$500,MATCH("D7.28|"&amp;CAPTURA!CJ57,CODIFICACION!$F$2:$F$500,0))),"⚠"))</f>
        <v/>
      </c>
      <c r="BF57" t="str">
        <f>IF(CAPTURA!CK57="","",IFERROR(IF(INDEX(CODIFICACION!$E$2:$E$500,MATCH("D7.28b|"&amp;CAPTURA!CK57,CODIFICACION!$F$2:$F$500,0))="sin dato","",INDEX(CODIFICACION!$E$2:$E$500,MATCH("D7.28b|"&amp;CAPTURA!CK57,CODIFICACION!$F$2:$F$500,0))),"⚠"))</f>
        <v/>
      </c>
      <c r="BG57" t="str">
        <f>IF(CAPTURA!CL57="","",MIN(100,ROUND((LEN(CAPTURA!CL57)-LEN(SUBSTITUTE(CAPTURA!CL57,";",""))+1)/8*100,1)))</f>
        <v/>
      </c>
      <c r="BH57" t="str">
        <f>IF(CAPTURA!CM57="","",IFERROR(IF(INDEX(CODIFICACION!$E$2:$E$500,MATCH("D7.26a|"&amp;CAPTURA!CM57,CODIFICACION!$F$2:$F$500,0))="sin dato","",INDEX(CODIFICACION!$E$2:$E$500,MATCH("D7.26a|"&amp;CAPTURA!CM57,CODIFICACION!$F$2:$F$500,0))),"⚠"))</f>
        <v/>
      </c>
      <c r="BI57" t="str">
        <f>IF(CAPTURA!CN57="","",IFERROR(IF(INDEX(CODIFICACION!$E$2:$E$500,MATCH("D7.26b|"&amp;CAPTURA!CN57,CODIFICACION!$F$2:$F$500,0))="sin dato","",INDEX(CODIFICACION!$E$2:$E$500,MATCH("D7.26b|"&amp;CAPTURA!CN57,CODIFICACION!$F$2:$F$500,0))),"⚠"))</f>
        <v/>
      </c>
      <c r="BJ57" t="str">
        <f>IF(CAPTURA!CO57="","",IF(AND(ISNUMBER(CAPTURA!CO57),CAPTURA!CO57&gt;=0,CAPTURA!CO57&lt;=4),CAPTURA!CO57*25,"⚠"))</f>
        <v/>
      </c>
      <c r="BK57" t="str">
        <f>IF(CAPTURA!CP57="","",IF(ISNUMBER(CAPTURA!CP57),MAX(0,MIN(100,CAPTURA!CP57)),"⚠"))</f>
        <v/>
      </c>
      <c r="BL57" t="str">
        <f>IF(CAPTURA!CQ57="","",IFERROR(IF(INDEX(CODIFICACION!$E$2:$E$500,MATCH("D8.31|"&amp;CAPTURA!CQ57,CODIFICACION!$F$2:$F$500,0))="sin dato","",INDEX(CODIFICACION!$E$2:$E$500,MATCH("D8.31|"&amp;CAPTURA!CQ57,CODIFICACION!$F$2:$F$500,0))),"⚠"))</f>
        <v/>
      </c>
      <c r="BM57" t="str">
        <f>IF(CAPTURA!CR57="","",IFERROR(IF(INDEX(CODIFICACION!$E$2:$E$500,MATCH("D8.32|"&amp;CAPTURA!CR57,CODIFICACION!$F$2:$F$500,0))="sin dato","",INDEX(CODIFICACION!$E$2:$E$500,MATCH("D8.32|"&amp;CAPTURA!CR57,CODIFICACION!$F$2:$F$500,0))),"⚠"))</f>
        <v/>
      </c>
      <c r="BN57" t="str">
        <f>IF(CAPTURA!CS57="","",IFERROR(IF(INDEX(CODIFICACION!$E$2:$E$500,MATCH("D9.33|"&amp;CAPTURA!CS57,CODIFICACION!$F$2:$F$500,0))="sin dato","",INDEX(CODIFICACION!$E$2:$E$500,MATCH("D9.33|"&amp;CAPTURA!CS57,CODIFICACION!$F$2:$F$500,0))),"⚠"))</f>
        <v/>
      </c>
      <c r="BO57" t="str">
        <f>IF(CAPTURA!CT57="","",IFERROR(IF(INDEX(CODIFICACION!$E$2:$E$500,MATCH("D9.34|"&amp;CAPTURA!CT57,CODIFICACION!$F$2:$F$500,0))="sin dato","",INDEX(CODIFICACION!$E$2:$E$500,MATCH("D9.34|"&amp;CAPTURA!CT57,CODIFICACION!$F$2:$F$500,0))),"⚠"))</f>
        <v/>
      </c>
      <c r="BP57" t="str">
        <f>IF(CAPTURA!CU57="","",IFERROR(IF(INDEX(CODIFICACION!$E$2:$E$500,MATCH("D9.35|"&amp;CAPTURA!CU57,CODIFICACION!$F$2:$F$500,0))="sin dato","",INDEX(CODIFICACION!$E$2:$E$500,MATCH("D9.35|"&amp;CAPTURA!CU57,CODIFICACION!$F$2:$F$500,0))),"⚠"))</f>
        <v/>
      </c>
      <c r="BQ57" t="str">
        <f>IF(CAPTURA!CV57="","",IFERROR(IF(INDEX(CODIFICACION!$E$2:$E$500,MATCH("D10.36|"&amp;CAPTURA!CV57,CODIFICACION!$F$2:$F$500,0))="sin dato","",INDEX(CODIFICACION!$E$2:$E$500,MATCH("D10.36|"&amp;CAPTURA!CV57,CODIFICACION!$F$2:$F$500,0))),"⚠"))</f>
        <v/>
      </c>
      <c r="BR57" t="str">
        <f>IF(CAPTURA!CW57="","",IFERROR(IF(INDEX(CODIFICACION!$E$2:$E$500,MATCH("D10.37|"&amp;CAPTURA!CW57,CODIFICACION!$F$2:$F$500,0))="sin dato","",INDEX(CODIFICACION!$E$2:$E$500,MATCH("D10.37|"&amp;CAPTURA!CW57,CODIFICACION!$F$2:$F$500,0))),"⚠"))</f>
        <v/>
      </c>
      <c r="BS57" t="str">
        <f>IF(CAPTURA!CX57="","",IFERROR(IF(INDEX(CODIFICACION!$E$2:$E$500,MATCH("D10.36a|"&amp;CAPTURA!CX57,CODIFICACION!$F$2:$F$500,0))="sin dato","",INDEX(CODIFICACION!$E$2:$E$500,MATCH("D10.36a|"&amp;CAPTURA!CX57,CODIFICACION!$F$2:$F$500,0))),"⚠"))</f>
        <v/>
      </c>
      <c r="BT57" t="str">
        <f>IF(CAPTURA!CY57="","",IF(ISNUMBER(SEARCH("Ninguno",CAPTURA!CY57)),0,MIN(100,ROUND((LEN(CAPTURA!CY57)-LEN(SUBSTITUTE(CAPTURA!CY57,";",""))+1)/6*100,1))))</f>
        <v/>
      </c>
      <c r="BU57" t="str">
        <f>IF(CAPTURA!DA57="","",IFERROR(IF(INDEX(CODIFICACION!$E$2:$E$500,MATCH("D11.39a|"&amp;CAPTURA!DA57,CODIFICACION!$F$2:$F$500,0))="sin dato","",INDEX(CODIFICACION!$E$2:$E$500,MATCH("D11.39a|"&amp;CAPTURA!DA57,CODIFICACION!$F$2:$F$500,0))),"⚠"))</f>
        <v/>
      </c>
      <c r="BV57" t="str">
        <f>IF(CAPTURA!DB57="","",IFERROR(IF(INDEX(CODIFICACION!$E$2:$E$500,MATCH("D12.42|"&amp;CAPTURA!DB57,CODIFICACION!$F$2:$F$500,0))="sin dato","",INDEX(CODIFICACION!$E$2:$E$500,MATCH("D12.42|"&amp;CAPTURA!DB57,CODIFICACION!$F$2:$F$500,0))),"⚠"))</f>
        <v/>
      </c>
      <c r="BW57" t="str">
        <f>IF(CAPTURA!DC57="","",IFERROR(IF(INDEX(CODIFICACION!$E$2:$E$500,MATCH("D13.45|"&amp;CAPTURA!DC57,CODIFICACION!$F$2:$F$500,0))="sin dato","",INDEX(CODIFICACION!$E$2:$E$500,MATCH("D13.45|"&amp;CAPTURA!DC57,CODIFICACION!$F$2:$F$500,0))),"⚠"))</f>
        <v/>
      </c>
      <c r="BX57" t="str">
        <f>IF(CAPTURA!DD57="","",IFERROR(IF(INDEX(CODIFICACION!$E$2:$E$500,MATCH("D14.51|"&amp;CAPTURA!DD57,CODIFICACION!$F$2:$F$500,0))="sin dato","",INDEX(CODIFICACION!$E$2:$E$500,MATCH("D14.51|"&amp;CAPTURA!DD57,CODIFICACION!$F$2:$F$500,0))),"⚠"))</f>
        <v/>
      </c>
      <c r="BY57" t="str">
        <f>IF(CAPTURA!DE57="","",IFERROR(IF(INDEX(CODIFICACION!$E$2:$E$500,MATCH("D15.58|"&amp;CAPTURA!DE57,CODIFICACION!$F$2:$F$500,0))="sin dato","",INDEX(CODIFICACION!$E$2:$E$500,MATCH("D15.58|"&amp;CAPTURA!DE57,CODIFICACION!$F$2:$F$500,0))),"⚠"))</f>
        <v/>
      </c>
      <c r="BZ57" t="str">
        <f>IF(CAPTURA!DF57="","",IFERROR(IF(INDEX(CODIFICACION!$E$2:$E$500,MATCH("PP1|"&amp;CAPTURA!DF57,CODIFICACION!$F$2:$F$500,0))="sin dato","",INDEX(CODIFICACION!$E$2:$E$500,MATCH("PP1|"&amp;CAPTURA!DF57,CODIFICACION!$F$2:$F$500,0))),"⚠"))</f>
        <v/>
      </c>
      <c r="CA57" t="str">
        <f>IF(CAPTURA!DG57="","",IFERROR(IF(INDEX(CODIFICACION!$E$2:$E$500,MATCH("PP2|"&amp;CAPTURA!DG57,CODIFICACION!$F$2:$F$500,0))="sin dato","",INDEX(CODIFICACION!$E$2:$E$500,MATCH("PP2|"&amp;CAPTURA!DG57,CODIFICACION!$F$2:$F$500,0))),"⚠"))</f>
        <v/>
      </c>
      <c r="CB57" t="str">
        <f t="shared" si="11"/>
        <v/>
      </c>
      <c r="CC57" t="str">
        <f t="shared" si="12"/>
        <v/>
      </c>
      <c r="CD57" t="str">
        <f t="shared" si="13"/>
        <v/>
      </c>
      <c r="CE57" t="str">
        <f t="shared" si="14"/>
        <v/>
      </c>
      <c r="CF57" t="str">
        <f t="shared" si="15"/>
        <v/>
      </c>
      <c r="CG57" t="str">
        <f t="shared" si="16"/>
        <v/>
      </c>
      <c r="CH57" t="str">
        <f t="shared" si="17"/>
        <v/>
      </c>
      <c r="CI57" t="str">
        <f t="shared" si="18"/>
        <v/>
      </c>
      <c r="CJ57" t="str">
        <f t="shared" si="19"/>
        <v/>
      </c>
      <c r="CK57" t="str">
        <f t="shared" si="20"/>
        <v/>
      </c>
      <c r="CL57" t="str">
        <f t="shared" si="21"/>
        <v/>
      </c>
    </row>
    <row r="58" spans="1:90" x14ac:dyDescent="0.3">
      <c r="A58">
        <f>CAPTURA!A58</f>
        <v>20525969551</v>
      </c>
      <c r="B58">
        <f>CAPTURA!C58</f>
        <v>0</v>
      </c>
      <c r="C58" t="str">
        <f>IF(CAPTURA!M58="","",ROUND((ISNUMBER(SEARCH("Alemania",CAPTURA!M58))+ISNUMBER(SEARCH("Bélgica",CAPTURA!M58))+ISNUMBER(SEARCH("Países Bajos",CAPTURA!M58))+ISNUMBER(SEARCH("Francia",CAPTURA!M58))+ISNUMBER(SEARCH("Italia",CAPTURA!M58))+ISNUMBER(SEARCH("España",CAPTURA!M58))+ISNUMBER(SEARCH("Suecia",CAPTURA!M58))+ISNUMBER(SEARCH("Dinamarca",CAPTURA!M58)))/((LEN(CAPTURA!M58)-LEN(SUBSTITUTE(CAPTURA!M58,";","")))+1)*100,1))</f>
        <v/>
      </c>
      <c r="D58" t="str">
        <f>IF(CAPTURA!AE58="","",IFERROR(IF(INDEX(CODIFICACION!$E$2:$E$500,MATCH("P8|"&amp;CAPTURA!AE58,CODIFICACION!$F$2:$F$500,0))="sin dato","",INDEX(CODIFICACION!$E$2:$E$500,MATCH("P8|"&amp;CAPTURA!AE58,CODIFICACION!$F$2:$F$500,0))),"⚠"))</f>
        <v/>
      </c>
      <c r="E58" t="str">
        <f>IF(CAPTURA!AG58="","",IFERROR(IF(INDEX(CODIFICACION!$E$2:$E$500,MATCH("P10|"&amp;CAPTURA!AG58,CODIFICACION!$F$2:$F$500,0))="sin dato","",INDEX(CODIFICACION!$E$2:$E$500,MATCH("P10|"&amp;CAPTURA!AG58,CODIFICACION!$F$2:$F$500,0))),"⚠"))</f>
        <v/>
      </c>
      <c r="F58" t="str">
        <f>IF(CAPTURA!AJ58="","",IFERROR(IF(INDEX(CODIFICACION!$E$2:$E$500,MATCH("P13|"&amp;CAPTURA!AJ58,CODIFICACION!$F$2:$F$500,0))="sin dato","",INDEX(CODIFICACION!$E$2:$E$500,MATCH("P13|"&amp;CAPTURA!AJ58,CODIFICACION!$F$2:$F$500,0))),"⚠"))</f>
        <v/>
      </c>
      <c r="G58" t="str">
        <f>IF(CAPTURA!AK58="","",IFERROR(IF(INDEX(CODIFICACION!$E$2:$E$500,MATCH("P14|"&amp;CAPTURA!AK58,CODIFICACION!$F$2:$F$500,0))="sin dato","",INDEX(CODIFICACION!$E$2:$E$500,MATCH("P14|"&amp;CAPTURA!AK58,CODIFICACION!$F$2:$F$500,0))),"⚠"))</f>
        <v/>
      </c>
      <c r="H58" t="str">
        <f>IF(CAPTURA!AL58="","",IFERROR(IF(INDEX(CODIFICACION!$E$2:$E$500,MATCH("D1.1|"&amp;CAPTURA!AL58,CODIFICACION!$F$2:$F$500,0))="sin dato","",INDEX(CODIFICACION!$E$2:$E$500,MATCH("D1.1|"&amp;CAPTURA!AL58,CODIFICACION!$F$2:$F$500,0))),"⚠"))</f>
        <v/>
      </c>
      <c r="I58" t="str">
        <f>IF(CAPTURA!AN58="","",IFERROR(IF(INDEX(CODIFICACION!$E$2:$E$500,MATCH("D1.3|"&amp;CAPTURA!AN58,CODIFICACION!$F$2:$F$500,0))="sin dato","",INDEX(CODIFICACION!$E$2:$E$500,MATCH("D1.3|"&amp;CAPTURA!AN58,CODIFICACION!$F$2:$F$500,0))),"⚠"))</f>
        <v/>
      </c>
      <c r="J58" t="str">
        <f>IF(CAPTURA!AO58="","",IFERROR(IF(INDEX(CODIFICACION!$E$2:$E$500,MATCH("D1.4|"&amp;CAPTURA!AO58,CODIFICACION!$F$2:$F$500,0))="sin dato","",INDEX(CODIFICACION!$E$2:$E$500,MATCH("D1.4|"&amp;CAPTURA!AO58,CODIFICACION!$F$2:$F$500,0))),"⚠"))</f>
        <v/>
      </c>
      <c r="K58" t="str">
        <f>IF(CAPTURA!AP58="","",IFERROR(IF(INDEX(CODIFICACION!$E$2:$E$500,MATCH("D1.3a|"&amp;CAPTURA!AP58,CODIFICACION!$F$2:$F$500,0))="sin dato","",INDEX(CODIFICACION!$E$2:$E$500,MATCH("D1.3a|"&amp;CAPTURA!AP58,CODIFICACION!$F$2:$F$500,0))),"⚠"))</f>
        <v/>
      </c>
      <c r="L58" t="str">
        <f>IF(CAPTURA!AQ58="","",IF(AND(ISNUMBER(CAPTURA!AQ58),CAPTURA!AQ58&gt;=0,CAPTURA!AQ58&lt;=4),CAPTURA!AQ58*25,"⚠"))</f>
        <v/>
      </c>
      <c r="M58" t="str">
        <f>IF(CAPTURA!AR58="","",IF(ISNUMBER(CAPTURA!AR58),MAX(0,MIN(100,CAPTURA!AR58)),"⚠"))</f>
        <v/>
      </c>
      <c r="N58" t="str">
        <f>IF(CAPTURA!AS58="","",IF(AND(ISNUMBER(CAPTURA!AS58),CAPTURA!AS58&gt;=0,CAPTURA!AS58&lt;=4),CAPTURA!AS58*25,"⚠"))</f>
        <v/>
      </c>
      <c r="O58" t="str">
        <f>IF(CAPTURA!AT58="","",IFERROR(IF(INDEX(CODIFICACION!$E$2:$E$500,MATCH("D2.8|"&amp;CAPTURA!AT58,CODIFICACION!$F$2:$F$500,0))="sin dato","",INDEX(CODIFICACION!$E$2:$E$500,MATCH("D2.8|"&amp;CAPTURA!AT58,CODIFICACION!$F$2:$F$500,0))),"⚠"))</f>
        <v/>
      </c>
      <c r="P58" t="str">
        <f>IF(CAPTURA!AU58="","",IFERROR(IF(INDEX(CODIFICACION!$E$2:$E$500,MATCH("D2.9|"&amp;CAPTURA!AU58,CODIFICACION!$F$2:$F$500,0))="sin dato","",INDEX(CODIFICACION!$E$2:$E$500,MATCH("D2.9|"&amp;CAPTURA!AU58,CODIFICACION!$F$2:$F$500,0))),"⚠"))</f>
        <v/>
      </c>
      <c r="Q58" t="str">
        <f>IF(CAPTURA!AV58="","",IFERROR(IF(INDEX(CODIFICACION!$E$2:$E$500,MATCH("D2.10|"&amp;CAPTURA!AV58,CODIFICACION!$F$2:$F$500,0))="sin dato","",INDEX(CODIFICACION!$E$2:$E$500,MATCH("D2.10|"&amp;CAPTURA!AV58,CODIFICACION!$F$2:$F$500,0))),"⚠"))</f>
        <v/>
      </c>
      <c r="R58" t="str">
        <f>IF(CAPTURA!AW58="","",IFERROR(IF(INDEX(CODIFICACION!$E$2:$E$500,MATCH("D2.5a|"&amp;CAPTURA!AW58,CODIFICACION!$F$2:$F$500,0))="sin dato","",INDEX(CODIFICACION!$E$2:$E$500,MATCH("D2.5a|"&amp;CAPTURA!AW58,CODIFICACION!$F$2:$F$500,0))),"⚠"))</f>
        <v/>
      </c>
      <c r="S58" t="str">
        <f>IF(CAPTURA!AX58="","",IFERROR(IF(INDEX(CODIFICACION!$E$2:$E$500,MATCH("D2.5b|"&amp;CAPTURA!AX58,CODIFICACION!$F$2:$F$500,0))="sin dato","",INDEX(CODIFICACION!$E$2:$E$500,MATCH("D2.5b|"&amp;CAPTURA!AX58,CODIFICACION!$F$2:$F$500,0))),"⚠"))</f>
        <v/>
      </c>
      <c r="T58" t="str">
        <f>IF(CAPTURA!AY58="","",IF(ISNUMBER(CAPTURA!AY58),MAX(0,MIN(100,CAPTURA!AY58)),"⚠"))</f>
        <v/>
      </c>
      <c r="U58" t="str">
        <f>IF(CAPTURA!AZ58="","",IFERROR(IF(INDEX(CODIFICACION!$E$2:$E$500,MATCH("D3.12|"&amp;CAPTURA!AZ58,CODIFICACION!$F$2:$F$500,0))="sin dato","",INDEX(CODIFICACION!$E$2:$E$500,MATCH("D3.12|"&amp;CAPTURA!AZ58,CODIFICACION!$F$2:$F$500,0))),"⚠"))</f>
        <v/>
      </c>
      <c r="V58" t="str">
        <f>IF(CAPTURA!BA58="","",IF(AND(ISNUMBER(CAPTURA!BA58),CAPTURA!BA58&gt;=0,CAPTURA!BA58&lt;=4),CAPTURA!BA58*25,"⚠"))</f>
        <v/>
      </c>
      <c r="W58" t="str">
        <f>IF(CAPTURA!BB58="","",IFERROR(IF(INDEX(CODIFICACION!$E$2:$E$500,MATCH("D3.14|"&amp;CAPTURA!BB58,CODIFICACION!$F$2:$F$500,0))="sin dato","",INDEX(CODIFICACION!$E$2:$E$500,MATCH("D3.14|"&amp;CAPTURA!BB58,CODIFICACION!$F$2:$F$500,0))),"⚠"))</f>
        <v/>
      </c>
      <c r="X58" t="str">
        <f>IF(CAPTURA!BC58="","",IFERROR(IF(INDEX(CODIFICACION!$E$2:$E$500,MATCH("D3.14a|"&amp;CAPTURA!BC58,CODIFICACION!$F$2:$F$500,0))="sin dato","",INDEX(CODIFICACION!$E$2:$E$500,MATCH("D3.14a|"&amp;CAPTURA!BC58,CODIFICACION!$F$2:$F$500,0))),"⚠"))</f>
        <v/>
      </c>
      <c r="Y58" t="str">
        <f>IF(CAPTURA!BD58="","",IFERROR(IF(INDEX(CODIFICACION!$E$2:$E$500,MATCH("D3.14b|"&amp;CAPTURA!BD58,CODIFICACION!$F$2:$F$500,0))="sin dato","",INDEX(CODIFICACION!$E$2:$E$500,MATCH("D3.14b|"&amp;CAPTURA!BD58,CODIFICACION!$F$2:$F$500,0))),"⚠"))</f>
        <v/>
      </c>
      <c r="Z58" t="str">
        <f>IF(CAPTURA!BE58="","",IFERROR(IF(INDEX(CODIFICACION!$E$2:$E$500,MATCH("D3.14c|"&amp;CAPTURA!BE58,CODIFICACION!$F$2:$F$500,0))="sin dato","",INDEX(CODIFICACION!$E$2:$E$500,MATCH("D3.14c|"&amp;CAPTURA!BE58,CODIFICACION!$F$2:$F$500,0))),"⚠"))</f>
        <v/>
      </c>
      <c r="AA58" t="str">
        <f>IF(CAPTURA!BF58="","",IFERROR(IF(INDEX(CODIFICACION!$E$2:$E$500,MATCH("D3.14d|"&amp;CAPTURA!BF58,CODIFICACION!$F$2:$F$500,0))="sin dato","",INDEX(CODIFICACION!$E$2:$E$500,MATCH("D3.14d|"&amp;CAPTURA!BF58,CODIFICACION!$F$2:$F$500,0))),"⚠"))</f>
        <v/>
      </c>
      <c r="AB58" t="str">
        <f>IF(CAPTURA!BG58="","",IFERROR(IF(INDEX(CODIFICACION!$E$2:$E$500,MATCH("D3.14e|"&amp;CAPTURA!BG58,CODIFICACION!$F$2:$F$500,0))="sin dato","",INDEX(CODIFICACION!$E$2:$E$500,MATCH("D3.14e|"&amp;CAPTURA!BG58,CODIFICACION!$F$2:$F$500,0))),"⚠"))</f>
        <v/>
      </c>
      <c r="AC58" t="str">
        <f>IF(CAPTURA!BH58="","",IFERROR(IF(INDEX(CODIFICACION!$E$2:$E$500,MATCH("D3.14f|"&amp;CAPTURA!BH58,CODIFICACION!$F$2:$F$500,0))="sin dato","",INDEX(CODIFICACION!$E$2:$E$500,MATCH("D3.14f|"&amp;CAPTURA!BH58,CODIFICACION!$F$2:$F$500,0))),"⚠"))</f>
        <v/>
      </c>
      <c r="AD58" t="str">
        <f>IF(CAPTURA!BI58="","",IFERROR(IF(INDEX(CODIFICACION!$E$2:$E$500,MATCH("D3.14g|"&amp;CAPTURA!BI58,CODIFICACION!$F$2:$F$500,0))="sin dato","",INDEX(CODIFICACION!$E$2:$E$500,MATCH("D3.14g|"&amp;CAPTURA!BI58,CODIFICACION!$F$2:$F$500,0))),"⚠"))</f>
        <v/>
      </c>
      <c r="AE58" t="str">
        <f>IF(CAPTURA!BJ58="","",IFERROR(IF(INDEX(CODIFICACION!$E$2:$E$500,MATCH("D3.14h|"&amp;CAPTURA!BJ58,CODIFICACION!$F$2:$F$500,0))="sin dato","",INDEX(CODIFICACION!$E$2:$E$500,MATCH("D3.14h|"&amp;CAPTURA!BJ58,CODIFICACION!$F$2:$F$500,0))),"⚠"))</f>
        <v/>
      </c>
      <c r="AF58" t="str">
        <f>IF(CAPTURA!BK58="","",IFERROR(IF(INDEX(CODIFICACION!$E$2:$E$500,MATCH("D3.14i|"&amp;CAPTURA!BK58,CODIFICACION!$F$2:$F$500,0))="sin dato","",INDEX(CODIFICACION!$E$2:$E$500,MATCH("D3.14i|"&amp;CAPTURA!BK58,CODIFICACION!$F$2:$F$500,0))),"⚠"))</f>
        <v/>
      </c>
      <c r="AG58" t="str">
        <f>IF(CAPTURA!BL58="","",IFERROR(IF(INDEX(CODIFICACION!$E$2:$E$500,MATCH("D4.15|"&amp;CAPTURA!BL58,CODIFICACION!$F$2:$F$500,0))="sin dato","",INDEX(CODIFICACION!$E$2:$E$500,MATCH("D4.15|"&amp;CAPTURA!BL58,CODIFICACION!$F$2:$F$500,0))),"⚠"))</f>
        <v/>
      </c>
      <c r="AH58" t="str">
        <f>IF(CAPTURA!BM58="","",IF(AND(ISNUMBER(CAPTURA!BM58),CAPTURA!BM58&gt;=0,CAPTURA!BM58&lt;=4),CAPTURA!BM58*25,"⚠"))</f>
        <v/>
      </c>
      <c r="AI58" t="str">
        <f>IF(CAPTURA!BN58="","",IFERROR(IF(INDEX(CODIFICACION!$E$2:$E$500,MATCH("D4.17|"&amp;CAPTURA!BN58,CODIFICACION!$F$2:$F$500,0))="sin dato","",INDEX(CODIFICACION!$E$2:$E$500,MATCH("D4.17|"&amp;CAPTURA!BN58,CODIFICACION!$F$2:$F$500,0))),"⚠"))</f>
        <v/>
      </c>
      <c r="AJ58" t="str">
        <f>IF(CAPTURA!BO58="","",IFERROR(IF(INDEX(CODIFICACION!$E$2:$E$500,MATCH("D4.15a|"&amp;CAPTURA!BO58,CODIFICACION!$F$2:$F$500,0))="sin dato","",INDEX(CODIFICACION!$E$2:$E$500,MATCH("D4.15a|"&amp;CAPTURA!BO58,CODIFICACION!$F$2:$F$500,0))),"⚠"))</f>
        <v/>
      </c>
      <c r="AK58" t="str">
        <f>IF(CAPTURA!BP58="","",IF(AND(ISNUMBER(CAPTURA!BP58),CAPTURA!BP58&gt;=0,CAPTURA!BP58&lt;=4),CAPTURA!BP58*25,"⚠"))</f>
        <v/>
      </c>
      <c r="AL58" t="str">
        <f>IF(CAPTURA!BQ58="","",IF(AND(ISNUMBER(CAPTURA!BQ58),CAPTURA!BQ58&gt;=0,CAPTURA!BQ58&lt;=4),CAPTURA!BQ58*25,"⚠"))</f>
        <v/>
      </c>
      <c r="AM58" t="str">
        <f>IF(CAPTURA!BR58="","",IFERROR(IF(INDEX(CODIFICACION!$E$2:$E$500,MATCH("D5.18b|"&amp;CAPTURA!BR58,CODIFICACION!$F$2:$F$500,0))="sin dato","",INDEX(CODIFICACION!$E$2:$E$500,MATCH("D5.18b|"&amp;CAPTURA!BR58,CODIFICACION!$F$2:$F$500,0))),"⚠"))</f>
        <v/>
      </c>
      <c r="AN58" t="str">
        <f>IF(CAPTURA!BS58="","",IFERROR(IF(INDEX(CODIFICACION!$E$2:$E$500,MATCH("D5.19|"&amp;CAPTURA!BS58,CODIFICACION!$F$2:$F$500,0))="sin dato","",INDEX(CODIFICACION!$E$2:$E$500,MATCH("D5.19|"&amp;CAPTURA!BS58,CODIFICACION!$F$2:$F$500,0))),"⚠"))</f>
        <v/>
      </c>
      <c r="AO58" t="str">
        <f>IF(CAPTURA!BT58="","",MIN(100,ROUND((LEN(CAPTURA!BT58)-LEN(SUBSTITUTE(CAPTURA!BT58,";",""))+1)/7*100,1)))</f>
        <v/>
      </c>
      <c r="AP58" t="str">
        <f>IF(CAPTURA!BU58="","",IFERROR(IF(INDEX(CODIFICACION!$E$2:$E$500,MATCH("D5.20|"&amp;CAPTURA!BU58,CODIFICACION!$F$2:$F$500,0))="sin dato","",INDEX(CODIFICACION!$E$2:$E$500,MATCH("D5.20|"&amp;CAPTURA!BU58,CODIFICACION!$F$2:$F$500,0))),"⚠"))</f>
        <v/>
      </c>
      <c r="AQ58" t="str">
        <f>IF(CAPTURA!BV58="","",IFERROR(IF(INDEX(CODIFICACION!$E$2:$E$500,MATCH("D5.21|"&amp;CAPTURA!BV58,CODIFICACION!$F$2:$F$500,0))="sin dato","",INDEX(CODIFICACION!$E$2:$E$500,MATCH("D5.21|"&amp;CAPTURA!BV58,CODIFICACION!$F$2:$F$500,0))),"⚠"))</f>
        <v/>
      </c>
      <c r="AR58" t="str">
        <f>IF(CAPTURA!BW58="","",IFERROR(IF(INDEX(CODIFICACION!$E$2:$E$500,MATCH("D5.21a|"&amp;CAPTURA!BW58,CODIFICACION!$F$2:$F$500,0))="sin dato","",INDEX(CODIFICACION!$E$2:$E$500,MATCH("D5.21a|"&amp;CAPTURA!BW58,CODIFICACION!$F$2:$F$500,0))),"⚠"))</f>
        <v/>
      </c>
      <c r="AS58" t="str">
        <f>IF(CAPTURA!BX58="","",IFERROR(IF(INDEX(CODIFICACION!$E$2:$E$500,MATCH("D5.21b|"&amp;CAPTURA!BX58,CODIFICACION!$F$2:$F$500,0))="sin dato","",INDEX(CODIFICACION!$E$2:$E$500,MATCH("D5.21b|"&amp;CAPTURA!BX58,CODIFICACION!$F$2:$F$500,0))),"⚠"))</f>
        <v/>
      </c>
      <c r="AT58" t="str">
        <f>IF(CAPTURA!BY58="","",IFERROR(IF(INDEX(CODIFICACION!$E$2:$E$500,MATCH("D6.22|"&amp;CAPTURA!BY58,CODIFICACION!$F$2:$F$500,0))="sin dato","",INDEX(CODIFICACION!$E$2:$E$500,MATCH("D6.22|"&amp;CAPTURA!BY58,CODIFICACION!$F$2:$F$500,0))),"⚠"))</f>
        <v/>
      </c>
      <c r="AU58" t="str">
        <f>IF(CAPTURA!BZ58="","",IFERROR(IF(INDEX(CODIFICACION!$E$2:$E$500,MATCH("D6.22a|"&amp;CAPTURA!BZ58,CODIFICACION!$F$2:$F$500,0))="sin dato","",INDEX(CODIFICACION!$E$2:$E$500,MATCH("D6.22a|"&amp;CAPTURA!BZ58,CODIFICACION!$F$2:$F$500,0))),"⚠"))</f>
        <v/>
      </c>
      <c r="AV58" t="str">
        <f>IF(CAPTURA!CA58="","",IFERROR(IF(INDEX(CODIFICACION!$E$2:$E$500,MATCH("D6.22b|"&amp;CAPTURA!CA58,CODIFICACION!$F$2:$F$500,0))="sin dato","",INDEX(CODIFICACION!$E$2:$E$500,MATCH("D6.22b|"&amp;CAPTURA!CA58,CODIFICACION!$F$2:$F$500,0))),"⚠"))</f>
        <v/>
      </c>
      <c r="AW58" t="str">
        <f>IF(CAPTURA!CB58="","",IFERROR(IF(INDEX(CODIFICACION!$E$2:$E$500,MATCH("D6.23|"&amp;CAPTURA!CB58,CODIFICACION!$F$2:$F$500,0))="sin dato","",INDEX(CODIFICACION!$E$2:$E$500,MATCH("D6.23|"&amp;CAPTURA!CB58,CODIFICACION!$F$2:$F$500,0))),"⚠"))</f>
        <v/>
      </c>
      <c r="AX58" t="str">
        <f>IF(CAPTURA!CC58="","",IFERROR(IF(INDEX(CODIFICACION!$E$2:$E$500,MATCH("D6.24|"&amp;CAPTURA!CC58,CODIFICACION!$F$2:$F$500,0))="sin dato","",INDEX(CODIFICACION!$E$2:$E$500,MATCH("D6.24|"&amp;CAPTURA!CC58,CODIFICACION!$F$2:$F$500,0))),"⚠"))</f>
        <v/>
      </c>
      <c r="AY58" t="str">
        <f>IF(CAPTURA!CD58="","",IFERROR(IF(INDEX(CODIFICACION!$E$2:$E$500,MATCH("D6.25|"&amp;CAPTURA!CD58,CODIFICACION!$F$2:$F$500,0))="sin dato","",INDEX(CODIFICACION!$E$2:$E$500,MATCH("D6.25|"&amp;CAPTURA!CD58,CODIFICACION!$F$2:$F$500,0))),"⚠"))</f>
        <v/>
      </c>
      <c r="AZ58" t="str">
        <f>IF(CAPTURA!CE58="","",IFERROR(IF(INDEX(CODIFICACION!$E$2:$E$500,MATCH("D6.25a|"&amp;CAPTURA!CE58,CODIFICACION!$F$2:$F$500,0))="sin dato","",INDEX(CODIFICACION!$E$2:$E$500,MATCH("D6.25a|"&amp;CAPTURA!CE58,CODIFICACION!$F$2:$F$500,0))),"⚠"))</f>
        <v/>
      </c>
      <c r="BA58" t="str">
        <f>IF(CAPTURA!CF58="","",IFERROR(IF(INDEX(CODIFICACION!$E$2:$E$500,MATCH("D6.25b|"&amp;CAPTURA!CF58,CODIFICACION!$F$2:$F$500,0))="sin dato","",INDEX(CODIFICACION!$E$2:$E$500,MATCH("D6.25b|"&amp;CAPTURA!CF58,CODIFICACION!$F$2:$F$500,0))),"⚠"))</f>
        <v/>
      </c>
      <c r="BB58" t="str">
        <f>IF(CAPTURA!CG58="","",IFERROR(IF(INDEX(CODIFICACION!$E$2:$E$500,MATCH("D6.22c|"&amp;CAPTURA!CG58,CODIFICACION!$F$2:$F$500,0))="sin dato","",INDEX(CODIFICACION!$E$2:$E$500,MATCH("D6.22c|"&amp;CAPTURA!CG58,CODIFICACION!$F$2:$F$500,0))),"⚠"))</f>
        <v/>
      </c>
      <c r="BC58" t="str">
        <f>IF(CAPTURA!CH58="","",IFERROR(IF(INDEX(CODIFICACION!$E$2:$E$500,MATCH("D7.26|"&amp;CAPTURA!CH58,CODIFICACION!$F$2:$F$500,0))="sin dato","",INDEX(CODIFICACION!$E$2:$E$500,MATCH("D7.26|"&amp;CAPTURA!CH58,CODIFICACION!$F$2:$F$500,0))),"⚠"))</f>
        <v/>
      </c>
      <c r="BD58" t="str">
        <f>IF(CAPTURA!CI58="","",IFERROR(IF(INDEX(CODIFICACION!$E$2:$E$500,MATCH("D7.27|"&amp;CAPTURA!CI58,CODIFICACION!$F$2:$F$500,0))="sin dato","",INDEX(CODIFICACION!$E$2:$E$500,MATCH("D7.27|"&amp;CAPTURA!CI58,CODIFICACION!$F$2:$F$500,0))),"⚠"))</f>
        <v/>
      </c>
      <c r="BE58" t="str">
        <f>IF(CAPTURA!CJ58="","",IFERROR(IF(INDEX(CODIFICACION!$E$2:$E$500,MATCH("D7.28|"&amp;CAPTURA!CJ58,CODIFICACION!$F$2:$F$500,0))="sin dato","",INDEX(CODIFICACION!$E$2:$E$500,MATCH("D7.28|"&amp;CAPTURA!CJ58,CODIFICACION!$F$2:$F$500,0))),"⚠"))</f>
        <v/>
      </c>
      <c r="BF58" t="str">
        <f>IF(CAPTURA!CK58="","",IFERROR(IF(INDEX(CODIFICACION!$E$2:$E$500,MATCH("D7.28b|"&amp;CAPTURA!CK58,CODIFICACION!$F$2:$F$500,0))="sin dato","",INDEX(CODIFICACION!$E$2:$E$500,MATCH("D7.28b|"&amp;CAPTURA!CK58,CODIFICACION!$F$2:$F$500,0))),"⚠"))</f>
        <v/>
      </c>
      <c r="BG58" t="str">
        <f>IF(CAPTURA!CL58="","",MIN(100,ROUND((LEN(CAPTURA!CL58)-LEN(SUBSTITUTE(CAPTURA!CL58,";",""))+1)/8*100,1)))</f>
        <v/>
      </c>
      <c r="BH58" t="str">
        <f>IF(CAPTURA!CM58="","",IFERROR(IF(INDEX(CODIFICACION!$E$2:$E$500,MATCH("D7.26a|"&amp;CAPTURA!CM58,CODIFICACION!$F$2:$F$500,0))="sin dato","",INDEX(CODIFICACION!$E$2:$E$500,MATCH("D7.26a|"&amp;CAPTURA!CM58,CODIFICACION!$F$2:$F$500,0))),"⚠"))</f>
        <v/>
      </c>
      <c r="BI58" t="str">
        <f>IF(CAPTURA!CN58="","",IFERROR(IF(INDEX(CODIFICACION!$E$2:$E$500,MATCH("D7.26b|"&amp;CAPTURA!CN58,CODIFICACION!$F$2:$F$500,0))="sin dato","",INDEX(CODIFICACION!$E$2:$E$500,MATCH("D7.26b|"&amp;CAPTURA!CN58,CODIFICACION!$F$2:$F$500,0))),"⚠"))</f>
        <v/>
      </c>
      <c r="BJ58" t="str">
        <f>IF(CAPTURA!CO58="","",IF(AND(ISNUMBER(CAPTURA!CO58),CAPTURA!CO58&gt;=0,CAPTURA!CO58&lt;=4),CAPTURA!CO58*25,"⚠"))</f>
        <v/>
      </c>
      <c r="BK58" t="str">
        <f>IF(CAPTURA!CP58="","",IF(ISNUMBER(CAPTURA!CP58),MAX(0,MIN(100,CAPTURA!CP58)),"⚠"))</f>
        <v/>
      </c>
      <c r="BL58" t="str">
        <f>IF(CAPTURA!CQ58="","",IFERROR(IF(INDEX(CODIFICACION!$E$2:$E$500,MATCH("D8.31|"&amp;CAPTURA!CQ58,CODIFICACION!$F$2:$F$500,0))="sin dato","",INDEX(CODIFICACION!$E$2:$E$500,MATCH("D8.31|"&amp;CAPTURA!CQ58,CODIFICACION!$F$2:$F$500,0))),"⚠"))</f>
        <v/>
      </c>
      <c r="BM58" t="str">
        <f>IF(CAPTURA!CR58="","",IFERROR(IF(INDEX(CODIFICACION!$E$2:$E$500,MATCH("D8.32|"&amp;CAPTURA!CR58,CODIFICACION!$F$2:$F$500,0))="sin dato","",INDEX(CODIFICACION!$E$2:$E$500,MATCH("D8.32|"&amp;CAPTURA!CR58,CODIFICACION!$F$2:$F$500,0))),"⚠"))</f>
        <v/>
      </c>
      <c r="BN58" t="str">
        <f>IF(CAPTURA!CS58="","",IFERROR(IF(INDEX(CODIFICACION!$E$2:$E$500,MATCH("D9.33|"&amp;CAPTURA!CS58,CODIFICACION!$F$2:$F$500,0))="sin dato","",INDEX(CODIFICACION!$E$2:$E$500,MATCH("D9.33|"&amp;CAPTURA!CS58,CODIFICACION!$F$2:$F$500,0))),"⚠"))</f>
        <v/>
      </c>
      <c r="BO58" t="str">
        <f>IF(CAPTURA!CT58="","",IFERROR(IF(INDEX(CODIFICACION!$E$2:$E$500,MATCH("D9.34|"&amp;CAPTURA!CT58,CODIFICACION!$F$2:$F$500,0))="sin dato","",INDEX(CODIFICACION!$E$2:$E$500,MATCH("D9.34|"&amp;CAPTURA!CT58,CODIFICACION!$F$2:$F$500,0))),"⚠"))</f>
        <v/>
      </c>
      <c r="BP58" t="str">
        <f>IF(CAPTURA!CU58="","",IFERROR(IF(INDEX(CODIFICACION!$E$2:$E$500,MATCH("D9.35|"&amp;CAPTURA!CU58,CODIFICACION!$F$2:$F$500,0))="sin dato","",INDEX(CODIFICACION!$E$2:$E$500,MATCH("D9.35|"&amp;CAPTURA!CU58,CODIFICACION!$F$2:$F$500,0))),"⚠"))</f>
        <v/>
      </c>
      <c r="BQ58" t="str">
        <f>IF(CAPTURA!CV58="","",IFERROR(IF(INDEX(CODIFICACION!$E$2:$E$500,MATCH("D10.36|"&amp;CAPTURA!CV58,CODIFICACION!$F$2:$F$500,0))="sin dato","",INDEX(CODIFICACION!$E$2:$E$500,MATCH("D10.36|"&amp;CAPTURA!CV58,CODIFICACION!$F$2:$F$500,0))),"⚠"))</f>
        <v/>
      </c>
      <c r="BR58" t="str">
        <f>IF(CAPTURA!CW58="","",IFERROR(IF(INDEX(CODIFICACION!$E$2:$E$500,MATCH("D10.37|"&amp;CAPTURA!CW58,CODIFICACION!$F$2:$F$500,0))="sin dato","",INDEX(CODIFICACION!$E$2:$E$500,MATCH("D10.37|"&amp;CAPTURA!CW58,CODIFICACION!$F$2:$F$500,0))),"⚠"))</f>
        <v/>
      </c>
      <c r="BS58" t="str">
        <f>IF(CAPTURA!CX58="","",IFERROR(IF(INDEX(CODIFICACION!$E$2:$E$500,MATCH("D10.36a|"&amp;CAPTURA!CX58,CODIFICACION!$F$2:$F$500,0))="sin dato","",INDEX(CODIFICACION!$E$2:$E$500,MATCH("D10.36a|"&amp;CAPTURA!CX58,CODIFICACION!$F$2:$F$500,0))),"⚠"))</f>
        <v/>
      </c>
      <c r="BT58" t="str">
        <f>IF(CAPTURA!CY58="","",IF(ISNUMBER(SEARCH("Ninguno",CAPTURA!CY58)),0,MIN(100,ROUND((LEN(CAPTURA!CY58)-LEN(SUBSTITUTE(CAPTURA!CY58,";",""))+1)/6*100,1))))</f>
        <v/>
      </c>
      <c r="BU58" t="str">
        <f>IF(CAPTURA!DA58="","",IFERROR(IF(INDEX(CODIFICACION!$E$2:$E$500,MATCH("D11.39a|"&amp;CAPTURA!DA58,CODIFICACION!$F$2:$F$500,0))="sin dato","",INDEX(CODIFICACION!$E$2:$E$500,MATCH("D11.39a|"&amp;CAPTURA!DA58,CODIFICACION!$F$2:$F$500,0))),"⚠"))</f>
        <v/>
      </c>
      <c r="BV58" t="str">
        <f>IF(CAPTURA!DB58="","",IFERROR(IF(INDEX(CODIFICACION!$E$2:$E$500,MATCH("D12.42|"&amp;CAPTURA!DB58,CODIFICACION!$F$2:$F$500,0))="sin dato","",INDEX(CODIFICACION!$E$2:$E$500,MATCH("D12.42|"&amp;CAPTURA!DB58,CODIFICACION!$F$2:$F$500,0))),"⚠"))</f>
        <v/>
      </c>
      <c r="BW58" t="str">
        <f>IF(CAPTURA!DC58="","",IFERROR(IF(INDEX(CODIFICACION!$E$2:$E$500,MATCH("D13.45|"&amp;CAPTURA!DC58,CODIFICACION!$F$2:$F$500,0))="sin dato","",INDEX(CODIFICACION!$E$2:$E$500,MATCH("D13.45|"&amp;CAPTURA!DC58,CODIFICACION!$F$2:$F$500,0))),"⚠"))</f>
        <v/>
      </c>
      <c r="BX58" t="str">
        <f>IF(CAPTURA!DD58="","",IFERROR(IF(INDEX(CODIFICACION!$E$2:$E$500,MATCH("D14.51|"&amp;CAPTURA!DD58,CODIFICACION!$F$2:$F$500,0))="sin dato","",INDEX(CODIFICACION!$E$2:$E$500,MATCH("D14.51|"&amp;CAPTURA!DD58,CODIFICACION!$F$2:$F$500,0))),"⚠"))</f>
        <v/>
      </c>
      <c r="BY58" t="str">
        <f>IF(CAPTURA!DE58="","",IFERROR(IF(INDEX(CODIFICACION!$E$2:$E$500,MATCH("D15.58|"&amp;CAPTURA!DE58,CODIFICACION!$F$2:$F$500,0))="sin dato","",INDEX(CODIFICACION!$E$2:$E$500,MATCH("D15.58|"&amp;CAPTURA!DE58,CODIFICACION!$F$2:$F$500,0))),"⚠"))</f>
        <v/>
      </c>
      <c r="BZ58" t="str">
        <f>IF(CAPTURA!DF58="","",IFERROR(IF(INDEX(CODIFICACION!$E$2:$E$500,MATCH("PP1|"&amp;CAPTURA!DF58,CODIFICACION!$F$2:$F$500,0))="sin dato","",INDEX(CODIFICACION!$E$2:$E$500,MATCH("PP1|"&amp;CAPTURA!DF58,CODIFICACION!$F$2:$F$500,0))),"⚠"))</f>
        <v/>
      </c>
      <c r="CA58" t="str">
        <f>IF(CAPTURA!DG58="","",IFERROR(IF(INDEX(CODIFICACION!$E$2:$E$500,MATCH("PP2|"&amp;CAPTURA!DG58,CODIFICACION!$F$2:$F$500,0))="sin dato","",INDEX(CODIFICACION!$E$2:$E$500,MATCH("PP2|"&amp;CAPTURA!DG58,CODIFICACION!$F$2:$F$500,0))),"⚠"))</f>
        <v/>
      </c>
      <c r="CB58" t="str">
        <f t="shared" si="11"/>
        <v/>
      </c>
      <c r="CC58" t="str">
        <f t="shared" si="12"/>
        <v/>
      </c>
      <c r="CD58" t="str">
        <f t="shared" si="13"/>
        <v/>
      </c>
      <c r="CE58" t="str">
        <f t="shared" si="14"/>
        <v/>
      </c>
      <c r="CF58" t="str">
        <f t="shared" si="15"/>
        <v/>
      </c>
      <c r="CG58" t="str">
        <f t="shared" si="16"/>
        <v/>
      </c>
      <c r="CH58" t="str">
        <f t="shared" si="17"/>
        <v/>
      </c>
      <c r="CI58" t="str">
        <f t="shared" si="18"/>
        <v/>
      </c>
      <c r="CJ58" t="str">
        <f t="shared" si="19"/>
        <v/>
      </c>
      <c r="CK58" t="str">
        <f t="shared" si="20"/>
        <v/>
      </c>
      <c r="CL58" t="str">
        <f t="shared" si="21"/>
        <v/>
      </c>
    </row>
    <row r="59" spans="1:90" x14ac:dyDescent="0.3">
      <c r="A59">
        <f>CAPTURA!A59</f>
        <v>20526514689</v>
      </c>
      <c r="B59">
        <f>CAPTURA!C59</f>
        <v>0</v>
      </c>
      <c r="C59" t="str">
        <f>IF(CAPTURA!M59="","",ROUND((ISNUMBER(SEARCH("Alemania",CAPTURA!M59))+ISNUMBER(SEARCH("Bélgica",CAPTURA!M59))+ISNUMBER(SEARCH("Países Bajos",CAPTURA!M59))+ISNUMBER(SEARCH("Francia",CAPTURA!M59))+ISNUMBER(SEARCH("Italia",CAPTURA!M59))+ISNUMBER(SEARCH("España",CAPTURA!M59))+ISNUMBER(SEARCH("Suecia",CAPTURA!M59))+ISNUMBER(SEARCH("Dinamarca",CAPTURA!M59)))/((LEN(CAPTURA!M59)-LEN(SUBSTITUTE(CAPTURA!M59,";","")))+1)*100,1))</f>
        <v/>
      </c>
      <c r="D59" t="str">
        <f>IF(CAPTURA!AE59="","",IFERROR(IF(INDEX(CODIFICACION!$E$2:$E$500,MATCH("P8|"&amp;CAPTURA!AE59,CODIFICACION!$F$2:$F$500,0))="sin dato","",INDEX(CODIFICACION!$E$2:$E$500,MATCH("P8|"&amp;CAPTURA!AE59,CODIFICACION!$F$2:$F$500,0))),"⚠"))</f>
        <v/>
      </c>
      <c r="E59" t="str">
        <f>IF(CAPTURA!AG59="","",IFERROR(IF(INDEX(CODIFICACION!$E$2:$E$500,MATCH("P10|"&amp;CAPTURA!AG59,CODIFICACION!$F$2:$F$500,0))="sin dato","",INDEX(CODIFICACION!$E$2:$E$500,MATCH("P10|"&amp;CAPTURA!AG59,CODIFICACION!$F$2:$F$500,0))),"⚠"))</f>
        <v/>
      </c>
      <c r="F59" t="str">
        <f>IF(CAPTURA!AJ59="","",IFERROR(IF(INDEX(CODIFICACION!$E$2:$E$500,MATCH("P13|"&amp;CAPTURA!AJ59,CODIFICACION!$F$2:$F$500,0))="sin dato","",INDEX(CODIFICACION!$E$2:$E$500,MATCH("P13|"&amp;CAPTURA!AJ59,CODIFICACION!$F$2:$F$500,0))),"⚠"))</f>
        <v/>
      </c>
      <c r="G59" t="str">
        <f>IF(CAPTURA!AK59="","",IFERROR(IF(INDEX(CODIFICACION!$E$2:$E$500,MATCH("P14|"&amp;CAPTURA!AK59,CODIFICACION!$F$2:$F$500,0))="sin dato","",INDEX(CODIFICACION!$E$2:$E$500,MATCH("P14|"&amp;CAPTURA!AK59,CODIFICACION!$F$2:$F$500,0))),"⚠"))</f>
        <v/>
      </c>
      <c r="H59" t="str">
        <f>IF(CAPTURA!AL59="","",IFERROR(IF(INDEX(CODIFICACION!$E$2:$E$500,MATCH("D1.1|"&amp;CAPTURA!AL59,CODIFICACION!$F$2:$F$500,0))="sin dato","",INDEX(CODIFICACION!$E$2:$E$500,MATCH("D1.1|"&amp;CAPTURA!AL59,CODIFICACION!$F$2:$F$500,0))),"⚠"))</f>
        <v/>
      </c>
      <c r="I59" t="str">
        <f>IF(CAPTURA!AN59="","",IFERROR(IF(INDEX(CODIFICACION!$E$2:$E$500,MATCH("D1.3|"&amp;CAPTURA!AN59,CODIFICACION!$F$2:$F$500,0))="sin dato","",INDEX(CODIFICACION!$E$2:$E$500,MATCH("D1.3|"&amp;CAPTURA!AN59,CODIFICACION!$F$2:$F$500,0))),"⚠"))</f>
        <v/>
      </c>
      <c r="J59" t="str">
        <f>IF(CAPTURA!AO59="","",IFERROR(IF(INDEX(CODIFICACION!$E$2:$E$500,MATCH("D1.4|"&amp;CAPTURA!AO59,CODIFICACION!$F$2:$F$500,0))="sin dato","",INDEX(CODIFICACION!$E$2:$E$500,MATCH("D1.4|"&amp;CAPTURA!AO59,CODIFICACION!$F$2:$F$500,0))),"⚠"))</f>
        <v/>
      </c>
      <c r="K59" t="str">
        <f>IF(CAPTURA!AP59="","",IFERROR(IF(INDEX(CODIFICACION!$E$2:$E$500,MATCH("D1.3a|"&amp;CAPTURA!AP59,CODIFICACION!$F$2:$F$500,0))="sin dato","",INDEX(CODIFICACION!$E$2:$E$500,MATCH("D1.3a|"&amp;CAPTURA!AP59,CODIFICACION!$F$2:$F$500,0))),"⚠"))</f>
        <v/>
      </c>
      <c r="L59" t="str">
        <f>IF(CAPTURA!AQ59="","",IF(AND(ISNUMBER(CAPTURA!AQ59),CAPTURA!AQ59&gt;=0,CAPTURA!AQ59&lt;=4),CAPTURA!AQ59*25,"⚠"))</f>
        <v/>
      </c>
      <c r="M59" t="str">
        <f>IF(CAPTURA!AR59="","",IF(ISNUMBER(CAPTURA!AR59),MAX(0,MIN(100,CAPTURA!AR59)),"⚠"))</f>
        <v/>
      </c>
      <c r="N59" t="str">
        <f>IF(CAPTURA!AS59="","",IF(AND(ISNUMBER(CAPTURA!AS59),CAPTURA!AS59&gt;=0,CAPTURA!AS59&lt;=4),CAPTURA!AS59*25,"⚠"))</f>
        <v/>
      </c>
      <c r="O59" t="str">
        <f>IF(CAPTURA!AT59="","",IFERROR(IF(INDEX(CODIFICACION!$E$2:$E$500,MATCH("D2.8|"&amp;CAPTURA!AT59,CODIFICACION!$F$2:$F$500,0))="sin dato","",INDEX(CODIFICACION!$E$2:$E$500,MATCH("D2.8|"&amp;CAPTURA!AT59,CODIFICACION!$F$2:$F$500,0))),"⚠"))</f>
        <v/>
      </c>
      <c r="P59" t="str">
        <f>IF(CAPTURA!AU59="","",IFERROR(IF(INDEX(CODIFICACION!$E$2:$E$500,MATCH("D2.9|"&amp;CAPTURA!AU59,CODIFICACION!$F$2:$F$500,0))="sin dato","",INDEX(CODIFICACION!$E$2:$E$500,MATCH("D2.9|"&amp;CAPTURA!AU59,CODIFICACION!$F$2:$F$500,0))),"⚠"))</f>
        <v/>
      </c>
      <c r="Q59" t="str">
        <f>IF(CAPTURA!AV59="","",IFERROR(IF(INDEX(CODIFICACION!$E$2:$E$500,MATCH("D2.10|"&amp;CAPTURA!AV59,CODIFICACION!$F$2:$F$500,0))="sin dato","",INDEX(CODIFICACION!$E$2:$E$500,MATCH("D2.10|"&amp;CAPTURA!AV59,CODIFICACION!$F$2:$F$500,0))),"⚠"))</f>
        <v/>
      </c>
      <c r="R59" t="str">
        <f>IF(CAPTURA!AW59="","",IFERROR(IF(INDEX(CODIFICACION!$E$2:$E$500,MATCH("D2.5a|"&amp;CAPTURA!AW59,CODIFICACION!$F$2:$F$500,0))="sin dato","",INDEX(CODIFICACION!$E$2:$E$500,MATCH("D2.5a|"&amp;CAPTURA!AW59,CODIFICACION!$F$2:$F$500,0))),"⚠"))</f>
        <v/>
      </c>
      <c r="S59" t="str">
        <f>IF(CAPTURA!AX59="","",IFERROR(IF(INDEX(CODIFICACION!$E$2:$E$500,MATCH("D2.5b|"&amp;CAPTURA!AX59,CODIFICACION!$F$2:$F$500,0))="sin dato","",INDEX(CODIFICACION!$E$2:$E$500,MATCH("D2.5b|"&amp;CAPTURA!AX59,CODIFICACION!$F$2:$F$500,0))),"⚠"))</f>
        <v/>
      </c>
      <c r="T59" t="str">
        <f>IF(CAPTURA!AY59="","",IF(ISNUMBER(CAPTURA!AY59),MAX(0,MIN(100,CAPTURA!AY59)),"⚠"))</f>
        <v/>
      </c>
      <c r="U59" t="str">
        <f>IF(CAPTURA!AZ59="","",IFERROR(IF(INDEX(CODIFICACION!$E$2:$E$500,MATCH("D3.12|"&amp;CAPTURA!AZ59,CODIFICACION!$F$2:$F$500,0))="sin dato","",INDEX(CODIFICACION!$E$2:$E$500,MATCH("D3.12|"&amp;CAPTURA!AZ59,CODIFICACION!$F$2:$F$500,0))),"⚠"))</f>
        <v/>
      </c>
      <c r="V59" t="str">
        <f>IF(CAPTURA!BA59="","",IF(AND(ISNUMBER(CAPTURA!BA59),CAPTURA!BA59&gt;=0,CAPTURA!BA59&lt;=4),CAPTURA!BA59*25,"⚠"))</f>
        <v/>
      </c>
      <c r="W59" t="str">
        <f>IF(CAPTURA!BB59="","",IFERROR(IF(INDEX(CODIFICACION!$E$2:$E$500,MATCH("D3.14|"&amp;CAPTURA!BB59,CODIFICACION!$F$2:$F$500,0))="sin dato","",INDEX(CODIFICACION!$E$2:$E$500,MATCH("D3.14|"&amp;CAPTURA!BB59,CODIFICACION!$F$2:$F$500,0))),"⚠"))</f>
        <v/>
      </c>
      <c r="X59" t="str">
        <f>IF(CAPTURA!BC59="","",IFERROR(IF(INDEX(CODIFICACION!$E$2:$E$500,MATCH("D3.14a|"&amp;CAPTURA!BC59,CODIFICACION!$F$2:$F$500,0))="sin dato","",INDEX(CODIFICACION!$E$2:$E$500,MATCH("D3.14a|"&amp;CAPTURA!BC59,CODIFICACION!$F$2:$F$500,0))),"⚠"))</f>
        <v/>
      </c>
      <c r="Y59" t="str">
        <f>IF(CAPTURA!BD59="","",IFERROR(IF(INDEX(CODIFICACION!$E$2:$E$500,MATCH("D3.14b|"&amp;CAPTURA!BD59,CODIFICACION!$F$2:$F$500,0))="sin dato","",INDEX(CODIFICACION!$E$2:$E$500,MATCH("D3.14b|"&amp;CAPTURA!BD59,CODIFICACION!$F$2:$F$500,0))),"⚠"))</f>
        <v/>
      </c>
      <c r="Z59" t="str">
        <f>IF(CAPTURA!BE59="","",IFERROR(IF(INDEX(CODIFICACION!$E$2:$E$500,MATCH("D3.14c|"&amp;CAPTURA!BE59,CODIFICACION!$F$2:$F$500,0))="sin dato","",INDEX(CODIFICACION!$E$2:$E$500,MATCH("D3.14c|"&amp;CAPTURA!BE59,CODIFICACION!$F$2:$F$500,0))),"⚠"))</f>
        <v/>
      </c>
      <c r="AA59" t="str">
        <f>IF(CAPTURA!BF59="","",IFERROR(IF(INDEX(CODIFICACION!$E$2:$E$500,MATCH("D3.14d|"&amp;CAPTURA!BF59,CODIFICACION!$F$2:$F$500,0))="sin dato","",INDEX(CODIFICACION!$E$2:$E$500,MATCH("D3.14d|"&amp;CAPTURA!BF59,CODIFICACION!$F$2:$F$500,0))),"⚠"))</f>
        <v/>
      </c>
      <c r="AB59" t="str">
        <f>IF(CAPTURA!BG59="","",IFERROR(IF(INDEX(CODIFICACION!$E$2:$E$500,MATCH("D3.14e|"&amp;CAPTURA!BG59,CODIFICACION!$F$2:$F$500,0))="sin dato","",INDEX(CODIFICACION!$E$2:$E$500,MATCH("D3.14e|"&amp;CAPTURA!BG59,CODIFICACION!$F$2:$F$500,0))),"⚠"))</f>
        <v/>
      </c>
      <c r="AC59" t="str">
        <f>IF(CAPTURA!BH59="","",IFERROR(IF(INDEX(CODIFICACION!$E$2:$E$500,MATCH("D3.14f|"&amp;CAPTURA!BH59,CODIFICACION!$F$2:$F$500,0))="sin dato","",INDEX(CODIFICACION!$E$2:$E$500,MATCH("D3.14f|"&amp;CAPTURA!BH59,CODIFICACION!$F$2:$F$500,0))),"⚠"))</f>
        <v/>
      </c>
      <c r="AD59" t="str">
        <f>IF(CAPTURA!BI59="","",IFERROR(IF(INDEX(CODIFICACION!$E$2:$E$500,MATCH("D3.14g|"&amp;CAPTURA!BI59,CODIFICACION!$F$2:$F$500,0))="sin dato","",INDEX(CODIFICACION!$E$2:$E$500,MATCH("D3.14g|"&amp;CAPTURA!BI59,CODIFICACION!$F$2:$F$500,0))),"⚠"))</f>
        <v/>
      </c>
      <c r="AE59" t="str">
        <f>IF(CAPTURA!BJ59="","",IFERROR(IF(INDEX(CODIFICACION!$E$2:$E$500,MATCH("D3.14h|"&amp;CAPTURA!BJ59,CODIFICACION!$F$2:$F$500,0))="sin dato","",INDEX(CODIFICACION!$E$2:$E$500,MATCH("D3.14h|"&amp;CAPTURA!BJ59,CODIFICACION!$F$2:$F$500,0))),"⚠"))</f>
        <v/>
      </c>
      <c r="AF59" t="str">
        <f>IF(CAPTURA!BK59="","",IFERROR(IF(INDEX(CODIFICACION!$E$2:$E$500,MATCH("D3.14i|"&amp;CAPTURA!BK59,CODIFICACION!$F$2:$F$500,0))="sin dato","",INDEX(CODIFICACION!$E$2:$E$500,MATCH("D3.14i|"&amp;CAPTURA!BK59,CODIFICACION!$F$2:$F$500,0))),"⚠"))</f>
        <v/>
      </c>
      <c r="AG59" t="str">
        <f>IF(CAPTURA!BL59="","",IFERROR(IF(INDEX(CODIFICACION!$E$2:$E$500,MATCH("D4.15|"&amp;CAPTURA!BL59,CODIFICACION!$F$2:$F$500,0))="sin dato","",INDEX(CODIFICACION!$E$2:$E$500,MATCH("D4.15|"&amp;CAPTURA!BL59,CODIFICACION!$F$2:$F$500,0))),"⚠"))</f>
        <v/>
      </c>
      <c r="AH59" t="str">
        <f>IF(CAPTURA!BM59="","",IF(AND(ISNUMBER(CAPTURA!BM59),CAPTURA!BM59&gt;=0,CAPTURA!BM59&lt;=4),CAPTURA!BM59*25,"⚠"))</f>
        <v/>
      </c>
      <c r="AI59" t="str">
        <f>IF(CAPTURA!BN59="","",IFERROR(IF(INDEX(CODIFICACION!$E$2:$E$500,MATCH("D4.17|"&amp;CAPTURA!BN59,CODIFICACION!$F$2:$F$500,0))="sin dato","",INDEX(CODIFICACION!$E$2:$E$500,MATCH("D4.17|"&amp;CAPTURA!BN59,CODIFICACION!$F$2:$F$500,0))),"⚠"))</f>
        <v/>
      </c>
      <c r="AJ59" t="str">
        <f>IF(CAPTURA!BO59="","",IFERROR(IF(INDEX(CODIFICACION!$E$2:$E$500,MATCH("D4.15a|"&amp;CAPTURA!BO59,CODIFICACION!$F$2:$F$500,0))="sin dato","",INDEX(CODIFICACION!$E$2:$E$500,MATCH("D4.15a|"&amp;CAPTURA!BO59,CODIFICACION!$F$2:$F$500,0))),"⚠"))</f>
        <v/>
      </c>
      <c r="AK59" t="str">
        <f>IF(CAPTURA!BP59="","",IF(AND(ISNUMBER(CAPTURA!BP59),CAPTURA!BP59&gt;=0,CAPTURA!BP59&lt;=4),CAPTURA!BP59*25,"⚠"))</f>
        <v/>
      </c>
      <c r="AL59" t="str">
        <f>IF(CAPTURA!BQ59="","",IF(AND(ISNUMBER(CAPTURA!BQ59),CAPTURA!BQ59&gt;=0,CAPTURA!BQ59&lt;=4),CAPTURA!BQ59*25,"⚠"))</f>
        <v/>
      </c>
      <c r="AM59" t="str">
        <f>IF(CAPTURA!BR59="","",IFERROR(IF(INDEX(CODIFICACION!$E$2:$E$500,MATCH("D5.18b|"&amp;CAPTURA!BR59,CODIFICACION!$F$2:$F$500,0))="sin dato","",INDEX(CODIFICACION!$E$2:$E$500,MATCH("D5.18b|"&amp;CAPTURA!BR59,CODIFICACION!$F$2:$F$500,0))),"⚠"))</f>
        <v/>
      </c>
      <c r="AN59" t="str">
        <f>IF(CAPTURA!BS59="","",IFERROR(IF(INDEX(CODIFICACION!$E$2:$E$500,MATCH("D5.19|"&amp;CAPTURA!BS59,CODIFICACION!$F$2:$F$500,0))="sin dato","",INDEX(CODIFICACION!$E$2:$E$500,MATCH("D5.19|"&amp;CAPTURA!BS59,CODIFICACION!$F$2:$F$500,0))),"⚠"))</f>
        <v/>
      </c>
      <c r="AO59" t="str">
        <f>IF(CAPTURA!BT59="","",MIN(100,ROUND((LEN(CAPTURA!BT59)-LEN(SUBSTITUTE(CAPTURA!BT59,";",""))+1)/7*100,1)))</f>
        <v/>
      </c>
      <c r="AP59" t="str">
        <f>IF(CAPTURA!BU59="","",IFERROR(IF(INDEX(CODIFICACION!$E$2:$E$500,MATCH("D5.20|"&amp;CAPTURA!BU59,CODIFICACION!$F$2:$F$500,0))="sin dato","",INDEX(CODIFICACION!$E$2:$E$500,MATCH("D5.20|"&amp;CAPTURA!BU59,CODIFICACION!$F$2:$F$500,0))),"⚠"))</f>
        <v/>
      </c>
      <c r="AQ59" t="str">
        <f>IF(CAPTURA!BV59="","",IFERROR(IF(INDEX(CODIFICACION!$E$2:$E$500,MATCH("D5.21|"&amp;CAPTURA!BV59,CODIFICACION!$F$2:$F$500,0))="sin dato","",INDEX(CODIFICACION!$E$2:$E$500,MATCH("D5.21|"&amp;CAPTURA!BV59,CODIFICACION!$F$2:$F$500,0))),"⚠"))</f>
        <v/>
      </c>
      <c r="AR59" t="str">
        <f>IF(CAPTURA!BW59="","",IFERROR(IF(INDEX(CODIFICACION!$E$2:$E$500,MATCH("D5.21a|"&amp;CAPTURA!BW59,CODIFICACION!$F$2:$F$500,0))="sin dato","",INDEX(CODIFICACION!$E$2:$E$500,MATCH("D5.21a|"&amp;CAPTURA!BW59,CODIFICACION!$F$2:$F$500,0))),"⚠"))</f>
        <v/>
      </c>
      <c r="AS59" t="str">
        <f>IF(CAPTURA!BX59="","",IFERROR(IF(INDEX(CODIFICACION!$E$2:$E$500,MATCH("D5.21b|"&amp;CAPTURA!BX59,CODIFICACION!$F$2:$F$500,0))="sin dato","",INDEX(CODIFICACION!$E$2:$E$500,MATCH("D5.21b|"&amp;CAPTURA!BX59,CODIFICACION!$F$2:$F$500,0))),"⚠"))</f>
        <v/>
      </c>
      <c r="AT59" t="str">
        <f>IF(CAPTURA!BY59="","",IFERROR(IF(INDEX(CODIFICACION!$E$2:$E$500,MATCH("D6.22|"&amp;CAPTURA!BY59,CODIFICACION!$F$2:$F$500,0))="sin dato","",INDEX(CODIFICACION!$E$2:$E$500,MATCH("D6.22|"&amp;CAPTURA!BY59,CODIFICACION!$F$2:$F$500,0))),"⚠"))</f>
        <v/>
      </c>
      <c r="AU59" t="str">
        <f>IF(CAPTURA!BZ59="","",IFERROR(IF(INDEX(CODIFICACION!$E$2:$E$500,MATCH("D6.22a|"&amp;CAPTURA!BZ59,CODIFICACION!$F$2:$F$500,0))="sin dato","",INDEX(CODIFICACION!$E$2:$E$500,MATCH("D6.22a|"&amp;CAPTURA!BZ59,CODIFICACION!$F$2:$F$500,0))),"⚠"))</f>
        <v/>
      </c>
      <c r="AV59" t="str">
        <f>IF(CAPTURA!CA59="","",IFERROR(IF(INDEX(CODIFICACION!$E$2:$E$500,MATCH("D6.22b|"&amp;CAPTURA!CA59,CODIFICACION!$F$2:$F$500,0))="sin dato","",INDEX(CODIFICACION!$E$2:$E$500,MATCH("D6.22b|"&amp;CAPTURA!CA59,CODIFICACION!$F$2:$F$500,0))),"⚠"))</f>
        <v/>
      </c>
      <c r="AW59" t="str">
        <f>IF(CAPTURA!CB59="","",IFERROR(IF(INDEX(CODIFICACION!$E$2:$E$500,MATCH("D6.23|"&amp;CAPTURA!CB59,CODIFICACION!$F$2:$F$500,0))="sin dato","",INDEX(CODIFICACION!$E$2:$E$500,MATCH("D6.23|"&amp;CAPTURA!CB59,CODIFICACION!$F$2:$F$500,0))),"⚠"))</f>
        <v/>
      </c>
      <c r="AX59" t="str">
        <f>IF(CAPTURA!CC59="","",IFERROR(IF(INDEX(CODIFICACION!$E$2:$E$500,MATCH("D6.24|"&amp;CAPTURA!CC59,CODIFICACION!$F$2:$F$500,0))="sin dato","",INDEX(CODIFICACION!$E$2:$E$500,MATCH("D6.24|"&amp;CAPTURA!CC59,CODIFICACION!$F$2:$F$500,0))),"⚠"))</f>
        <v/>
      </c>
      <c r="AY59" t="str">
        <f>IF(CAPTURA!CD59="","",IFERROR(IF(INDEX(CODIFICACION!$E$2:$E$500,MATCH("D6.25|"&amp;CAPTURA!CD59,CODIFICACION!$F$2:$F$500,0))="sin dato","",INDEX(CODIFICACION!$E$2:$E$500,MATCH("D6.25|"&amp;CAPTURA!CD59,CODIFICACION!$F$2:$F$500,0))),"⚠"))</f>
        <v/>
      </c>
      <c r="AZ59" t="str">
        <f>IF(CAPTURA!CE59="","",IFERROR(IF(INDEX(CODIFICACION!$E$2:$E$500,MATCH("D6.25a|"&amp;CAPTURA!CE59,CODIFICACION!$F$2:$F$500,0))="sin dato","",INDEX(CODIFICACION!$E$2:$E$500,MATCH("D6.25a|"&amp;CAPTURA!CE59,CODIFICACION!$F$2:$F$500,0))),"⚠"))</f>
        <v/>
      </c>
      <c r="BA59" t="str">
        <f>IF(CAPTURA!CF59="","",IFERROR(IF(INDEX(CODIFICACION!$E$2:$E$500,MATCH("D6.25b|"&amp;CAPTURA!CF59,CODIFICACION!$F$2:$F$500,0))="sin dato","",INDEX(CODIFICACION!$E$2:$E$500,MATCH("D6.25b|"&amp;CAPTURA!CF59,CODIFICACION!$F$2:$F$500,0))),"⚠"))</f>
        <v/>
      </c>
      <c r="BB59" t="str">
        <f>IF(CAPTURA!CG59="","",IFERROR(IF(INDEX(CODIFICACION!$E$2:$E$500,MATCH("D6.22c|"&amp;CAPTURA!CG59,CODIFICACION!$F$2:$F$500,0))="sin dato","",INDEX(CODIFICACION!$E$2:$E$500,MATCH("D6.22c|"&amp;CAPTURA!CG59,CODIFICACION!$F$2:$F$500,0))),"⚠"))</f>
        <v/>
      </c>
      <c r="BC59" t="str">
        <f>IF(CAPTURA!CH59="","",IFERROR(IF(INDEX(CODIFICACION!$E$2:$E$500,MATCH("D7.26|"&amp;CAPTURA!CH59,CODIFICACION!$F$2:$F$500,0))="sin dato","",INDEX(CODIFICACION!$E$2:$E$500,MATCH("D7.26|"&amp;CAPTURA!CH59,CODIFICACION!$F$2:$F$500,0))),"⚠"))</f>
        <v/>
      </c>
      <c r="BD59" t="str">
        <f>IF(CAPTURA!CI59="","",IFERROR(IF(INDEX(CODIFICACION!$E$2:$E$500,MATCH("D7.27|"&amp;CAPTURA!CI59,CODIFICACION!$F$2:$F$500,0))="sin dato","",INDEX(CODIFICACION!$E$2:$E$500,MATCH("D7.27|"&amp;CAPTURA!CI59,CODIFICACION!$F$2:$F$500,0))),"⚠"))</f>
        <v/>
      </c>
      <c r="BE59" t="str">
        <f>IF(CAPTURA!CJ59="","",IFERROR(IF(INDEX(CODIFICACION!$E$2:$E$500,MATCH("D7.28|"&amp;CAPTURA!CJ59,CODIFICACION!$F$2:$F$500,0))="sin dato","",INDEX(CODIFICACION!$E$2:$E$500,MATCH("D7.28|"&amp;CAPTURA!CJ59,CODIFICACION!$F$2:$F$500,0))),"⚠"))</f>
        <v/>
      </c>
      <c r="BF59" t="str">
        <f>IF(CAPTURA!CK59="","",IFERROR(IF(INDEX(CODIFICACION!$E$2:$E$500,MATCH("D7.28b|"&amp;CAPTURA!CK59,CODIFICACION!$F$2:$F$500,0))="sin dato","",INDEX(CODIFICACION!$E$2:$E$500,MATCH("D7.28b|"&amp;CAPTURA!CK59,CODIFICACION!$F$2:$F$500,0))),"⚠"))</f>
        <v/>
      </c>
      <c r="BG59" t="str">
        <f>IF(CAPTURA!CL59="","",MIN(100,ROUND((LEN(CAPTURA!CL59)-LEN(SUBSTITUTE(CAPTURA!CL59,";",""))+1)/8*100,1)))</f>
        <v/>
      </c>
      <c r="BH59" t="str">
        <f>IF(CAPTURA!CM59="","",IFERROR(IF(INDEX(CODIFICACION!$E$2:$E$500,MATCH("D7.26a|"&amp;CAPTURA!CM59,CODIFICACION!$F$2:$F$500,0))="sin dato","",INDEX(CODIFICACION!$E$2:$E$500,MATCH("D7.26a|"&amp;CAPTURA!CM59,CODIFICACION!$F$2:$F$500,0))),"⚠"))</f>
        <v/>
      </c>
      <c r="BI59" t="str">
        <f>IF(CAPTURA!CN59="","",IFERROR(IF(INDEX(CODIFICACION!$E$2:$E$500,MATCH("D7.26b|"&amp;CAPTURA!CN59,CODIFICACION!$F$2:$F$500,0))="sin dato","",INDEX(CODIFICACION!$E$2:$E$500,MATCH("D7.26b|"&amp;CAPTURA!CN59,CODIFICACION!$F$2:$F$500,0))),"⚠"))</f>
        <v/>
      </c>
      <c r="BJ59" t="str">
        <f>IF(CAPTURA!CO59="","",IF(AND(ISNUMBER(CAPTURA!CO59),CAPTURA!CO59&gt;=0,CAPTURA!CO59&lt;=4),CAPTURA!CO59*25,"⚠"))</f>
        <v/>
      </c>
      <c r="BK59" t="str">
        <f>IF(CAPTURA!CP59="","",IF(ISNUMBER(CAPTURA!CP59),MAX(0,MIN(100,CAPTURA!CP59)),"⚠"))</f>
        <v/>
      </c>
      <c r="BL59" t="str">
        <f>IF(CAPTURA!CQ59="","",IFERROR(IF(INDEX(CODIFICACION!$E$2:$E$500,MATCH("D8.31|"&amp;CAPTURA!CQ59,CODIFICACION!$F$2:$F$500,0))="sin dato","",INDEX(CODIFICACION!$E$2:$E$500,MATCH("D8.31|"&amp;CAPTURA!CQ59,CODIFICACION!$F$2:$F$500,0))),"⚠"))</f>
        <v/>
      </c>
      <c r="BM59" t="str">
        <f>IF(CAPTURA!CR59="","",IFERROR(IF(INDEX(CODIFICACION!$E$2:$E$500,MATCH("D8.32|"&amp;CAPTURA!CR59,CODIFICACION!$F$2:$F$500,0))="sin dato","",INDEX(CODIFICACION!$E$2:$E$500,MATCH("D8.32|"&amp;CAPTURA!CR59,CODIFICACION!$F$2:$F$500,0))),"⚠"))</f>
        <v/>
      </c>
      <c r="BN59" t="str">
        <f>IF(CAPTURA!CS59="","",IFERROR(IF(INDEX(CODIFICACION!$E$2:$E$500,MATCH("D9.33|"&amp;CAPTURA!CS59,CODIFICACION!$F$2:$F$500,0))="sin dato","",INDEX(CODIFICACION!$E$2:$E$500,MATCH("D9.33|"&amp;CAPTURA!CS59,CODIFICACION!$F$2:$F$500,0))),"⚠"))</f>
        <v/>
      </c>
      <c r="BO59" t="str">
        <f>IF(CAPTURA!CT59="","",IFERROR(IF(INDEX(CODIFICACION!$E$2:$E$500,MATCH("D9.34|"&amp;CAPTURA!CT59,CODIFICACION!$F$2:$F$500,0))="sin dato","",INDEX(CODIFICACION!$E$2:$E$500,MATCH("D9.34|"&amp;CAPTURA!CT59,CODIFICACION!$F$2:$F$500,0))),"⚠"))</f>
        <v/>
      </c>
      <c r="BP59" t="str">
        <f>IF(CAPTURA!CU59="","",IFERROR(IF(INDEX(CODIFICACION!$E$2:$E$500,MATCH("D9.35|"&amp;CAPTURA!CU59,CODIFICACION!$F$2:$F$500,0))="sin dato","",INDEX(CODIFICACION!$E$2:$E$500,MATCH("D9.35|"&amp;CAPTURA!CU59,CODIFICACION!$F$2:$F$500,0))),"⚠"))</f>
        <v/>
      </c>
      <c r="BQ59" t="str">
        <f>IF(CAPTURA!CV59="","",IFERROR(IF(INDEX(CODIFICACION!$E$2:$E$500,MATCH("D10.36|"&amp;CAPTURA!CV59,CODIFICACION!$F$2:$F$500,0))="sin dato","",INDEX(CODIFICACION!$E$2:$E$500,MATCH("D10.36|"&amp;CAPTURA!CV59,CODIFICACION!$F$2:$F$500,0))),"⚠"))</f>
        <v/>
      </c>
      <c r="BR59" t="str">
        <f>IF(CAPTURA!CW59="","",IFERROR(IF(INDEX(CODIFICACION!$E$2:$E$500,MATCH("D10.37|"&amp;CAPTURA!CW59,CODIFICACION!$F$2:$F$500,0))="sin dato","",INDEX(CODIFICACION!$E$2:$E$500,MATCH("D10.37|"&amp;CAPTURA!CW59,CODIFICACION!$F$2:$F$500,0))),"⚠"))</f>
        <v/>
      </c>
      <c r="BS59" t="str">
        <f>IF(CAPTURA!CX59="","",IFERROR(IF(INDEX(CODIFICACION!$E$2:$E$500,MATCH("D10.36a|"&amp;CAPTURA!CX59,CODIFICACION!$F$2:$F$500,0))="sin dato","",INDEX(CODIFICACION!$E$2:$E$500,MATCH("D10.36a|"&amp;CAPTURA!CX59,CODIFICACION!$F$2:$F$500,0))),"⚠"))</f>
        <v/>
      </c>
      <c r="BT59" t="str">
        <f>IF(CAPTURA!CY59="","",IF(ISNUMBER(SEARCH("Ninguno",CAPTURA!CY59)),0,MIN(100,ROUND((LEN(CAPTURA!CY59)-LEN(SUBSTITUTE(CAPTURA!CY59,";",""))+1)/6*100,1))))</f>
        <v/>
      </c>
      <c r="BU59" t="str">
        <f>IF(CAPTURA!DA59="","",IFERROR(IF(INDEX(CODIFICACION!$E$2:$E$500,MATCH("D11.39a|"&amp;CAPTURA!DA59,CODIFICACION!$F$2:$F$500,0))="sin dato","",INDEX(CODIFICACION!$E$2:$E$500,MATCH("D11.39a|"&amp;CAPTURA!DA59,CODIFICACION!$F$2:$F$500,0))),"⚠"))</f>
        <v/>
      </c>
      <c r="BV59" t="str">
        <f>IF(CAPTURA!DB59="","",IFERROR(IF(INDEX(CODIFICACION!$E$2:$E$500,MATCH("D12.42|"&amp;CAPTURA!DB59,CODIFICACION!$F$2:$F$500,0))="sin dato","",INDEX(CODIFICACION!$E$2:$E$500,MATCH("D12.42|"&amp;CAPTURA!DB59,CODIFICACION!$F$2:$F$500,0))),"⚠"))</f>
        <v/>
      </c>
      <c r="BW59" t="str">
        <f>IF(CAPTURA!DC59="","",IFERROR(IF(INDEX(CODIFICACION!$E$2:$E$500,MATCH("D13.45|"&amp;CAPTURA!DC59,CODIFICACION!$F$2:$F$500,0))="sin dato","",INDEX(CODIFICACION!$E$2:$E$500,MATCH("D13.45|"&amp;CAPTURA!DC59,CODIFICACION!$F$2:$F$500,0))),"⚠"))</f>
        <v/>
      </c>
      <c r="BX59" t="str">
        <f>IF(CAPTURA!DD59="","",IFERROR(IF(INDEX(CODIFICACION!$E$2:$E$500,MATCH("D14.51|"&amp;CAPTURA!DD59,CODIFICACION!$F$2:$F$500,0))="sin dato","",INDEX(CODIFICACION!$E$2:$E$500,MATCH("D14.51|"&amp;CAPTURA!DD59,CODIFICACION!$F$2:$F$500,0))),"⚠"))</f>
        <v/>
      </c>
      <c r="BY59" t="str">
        <f>IF(CAPTURA!DE59="","",IFERROR(IF(INDEX(CODIFICACION!$E$2:$E$500,MATCH("D15.58|"&amp;CAPTURA!DE59,CODIFICACION!$F$2:$F$500,0))="sin dato","",INDEX(CODIFICACION!$E$2:$E$500,MATCH("D15.58|"&amp;CAPTURA!DE59,CODIFICACION!$F$2:$F$500,0))),"⚠"))</f>
        <v/>
      </c>
      <c r="BZ59" t="str">
        <f>IF(CAPTURA!DF59="","",IFERROR(IF(INDEX(CODIFICACION!$E$2:$E$500,MATCH("PP1|"&amp;CAPTURA!DF59,CODIFICACION!$F$2:$F$500,0))="sin dato","",INDEX(CODIFICACION!$E$2:$E$500,MATCH("PP1|"&amp;CAPTURA!DF59,CODIFICACION!$F$2:$F$500,0))),"⚠"))</f>
        <v/>
      </c>
      <c r="CA59" t="str">
        <f>IF(CAPTURA!DG59="","",IFERROR(IF(INDEX(CODIFICACION!$E$2:$E$500,MATCH("PP2|"&amp;CAPTURA!DG59,CODIFICACION!$F$2:$F$500,0))="sin dato","",INDEX(CODIFICACION!$E$2:$E$500,MATCH("PP2|"&amp;CAPTURA!DG59,CODIFICACION!$F$2:$F$500,0))),"⚠"))</f>
        <v/>
      </c>
      <c r="CB59" t="str">
        <f t="shared" si="11"/>
        <v/>
      </c>
      <c r="CC59" t="str">
        <f t="shared" si="12"/>
        <v/>
      </c>
      <c r="CD59" t="str">
        <f t="shared" si="13"/>
        <v/>
      </c>
      <c r="CE59" t="str">
        <f t="shared" si="14"/>
        <v/>
      </c>
      <c r="CF59" t="str">
        <f t="shared" si="15"/>
        <v/>
      </c>
      <c r="CG59" t="str">
        <f t="shared" si="16"/>
        <v/>
      </c>
      <c r="CH59" t="str">
        <f t="shared" si="17"/>
        <v/>
      </c>
      <c r="CI59" t="str">
        <f t="shared" si="18"/>
        <v/>
      </c>
      <c r="CJ59" t="str">
        <f t="shared" si="19"/>
        <v/>
      </c>
      <c r="CK59" t="str">
        <f t="shared" si="20"/>
        <v/>
      </c>
      <c r="CL59" t="str">
        <f t="shared" si="21"/>
        <v/>
      </c>
    </row>
    <row r="60" spans="1:90" x14ac:dyDescent="0.3">
      <c r="A60">
        <f>CAPTURA!A60</f>
        <v>20527565376</v>
      </c>
      <c r="B60">
        <f>CAPTURA!C60</f>
        <v>0</v>
      </c>
      <c r="C60" t="str">
        <f>IF(CAPTURA!M60="","",ROUND((ISNUMBER(SEARCH("Alemania",CAPTURA!M60))+ISNUMBER(SEARCH("Bélgica",CAPTURA!M60))+ISNUMBER(SEARCH("Países Bajos",CAPTURA!M60))+ISNUMBER(SEARCH("Francia",CAPTURA!M60))+ISNUMBER(SEARCH("Italia",CAPTURA!M60))+ISNUMBER(SEARCH("España",CAPTURA!M60))+ISNUMBER(SEARCH("Suecia",CAPTURA!M60))+ISNUMBER(SEARCH("Dinamarca",CAPTURA!M60)))/((LEN(CAPTURA!M60)-LEN(SUBSTITUTE(CAPTURA!M60,";","")))+1)*100,1))</f>
        <v/>
      </c>
      <c r="D60" t="str">
        <f>IF(CAPTURA!AE60="","",IFERROR(IF(INDEX(CODIFICACION!$E$2:$E$500,MATCH("P8|"&amp;CAPTURA!AE60,CODIFICACION!$F$2:$F$500,0))="sin dato","",INDEX(CODIFICACION!$E$2:$E$500,MATCH("P8|"&amp;CAPTURA!AE60,CODIFICACION!$F$2:$F$500,0))),"⚠"))</f>
        <v/>
      </c>
      <c r="E60" t="str">
        <f>IF(CAPTURA!AG60="","",IFERROR(IF(INDEX(CODIFICACION!$E$2:$E$500,MATCH("P10|"&amp;CAPTURA!AG60,CODIFICACION!$F$2:$F$500,0))="sin dato","",INDEX(CODIFICACION!$E$2:$E$500,MATCH("P10|"&amp;CAPTURA!AG60,CODIFICACION!$F$2:$F$500,0))),"⚠"))</f>
        <v/>
      </c>
      <c r="F60" t="str">
        <f>IF(CAPTURA!AJ60="","",IFERROR(IF(INDEX(CODIFICACION!$E$2:$E$500,MATCH("P13|"&amp;CAPTURA!AJ60,CODIFICACION!$F$2:$F$500,0))="sin dato","",INDEX(CODIFICACION!$E$2:$E$500,MATCH("P13|"&amp;CAPTURA!AJ60,CODIFICACION!$F$2:$F$500,0))),"⚠"))</f>
        <v/>
      </c>
      <c r="G60" t="str">
        <f>IF(CAPTURA!AK60="","",IFERROR(IF(INDEX(CODIFICACION!$E$2:$E$500,MATCH("P14|"&amp;CAPTURA!AK60,CODIFICACION!$F$2:$F$500,0))="sin dato","",INDEX(CODIFICACION!$E$2:$E$500,MATCH("P14|"&amp;CAPTURA!AK60,CODIFICACION!$F$2:$F$500,0))),"⚠"))</f>
        <v/>
      </c>
      <c r="H60" t="str">
        <f>IF(CAPTURA!AL60="","",IFERROR(IF(INDEX(CODIFICACION!$E$2:$E$500,MATCH("D1.1|"&amp;CAPTURA!AL60,CODIFICACION!$F$2:$F$500,0))="sin dato","",INDEX(CODIFICACION!$E$2:$E$500,MATCH("D1.1|"&amp;CAPTURA!AL60,CODIFICACION!$F$2:$F$500,0))),"⚠"))</f>
        <v/>
      </c>
      <c r="I60" t="str">
        <f>IF(CAPTURA!AN60="","",IFERROR(IF(INDEX(CODIFICACION!$E$2:$E$500,MATCH("D1.3|"&amp;CAPTURA!AN60,CODIFICACION!$F$2:$F$500,0))="sin dato","",INDEX(CODIFICACION!$E$2:$E$500,MATCH("D1.3|"&amp;CAPTURA!AN60,CODIFICACION!$F$2:$F$500,0))),"⚠"))</f>
        <v/>
      </c>
      <c r="J60" t="str">
        <f>IF(CAPTURA!AO60="","",IFERROR(IF(INDEX(CODIFICACION!$E$2:$E$500,MATCH("D1.4|"&amp;CAPTURA!AO60,CODIFICACION!$F$2:$F$500,0))="sin dato","",INDEX(CODIFICACION!$E$2:$E$500,MATCH("D1.4|"&amp;CAPTURA!AO60,CODIFICACION!$F$2:$F$500,0))),"⚠"))</f>
        <v/>
      </c>
      <c r="K60" t="str">
        <f>IF(CAPTURA!AP60="","",IFERROR(IF(INDEX(CODIFICACION!$E$2:$E$500,MATCH("D1.3a|"&amp;CAPTURA!AP60,CODIFICACION!$F$2:$F$500,0))="sin dato","",INDEX(CODIFICACION!$E$2:$E$500,MATCH("D1.3a|"&amp;CAPTURA!AP60,CODIFICACION!$F$2:$F$500,0))),"⚠"))</f>
        <v/>
      </c>
      <c r="L60" t="str">
        <f>IF(CAPTURA!AQ60="","",IF(AND(ISNUMBER(CAPTURA!AQ60),CAPTURA!AQ60&gt;=0,CAPTURA!AQ60&lt;=4),CAPTURA!AQ60*25,"⚠"))</f>
        <v/>
      </c>
      <c r="M60" t="str">
        <f>IF(CAPTURA!AR60="","",IF(ISNUMBER(CAPTURA!AR60),MAX(0,MIN(100,CAPTURA!AR60)),"⚠"))</f>
        <v/>
      </c>
      <c r="N60" t="str">
        <f>IF(CAPTURA!AS60="","",IF(AND(ISNUMBER(CAPTURA!AS60),CAPTURA!AS60&gt;=0,CAPTURA!AS60&lt;=4),CAPTURA!AS60*25,"⚠"))</f>
        <v/>
      </c>
      <c r="O60" t="str">
        <f>IF(CAPTURA!AT60="","",IFERROR(IF(INDEX(CODIFICACION!$E$2:$E$500,MATCH("D2.8|"&amp;CAPTURA!AT60,CODIFICACION!$F$2:$F$500,0))="sin dato","",INDEX(CODIFICACION!$E$2:$E$500,MATCH("D2.8|"&amp;CAPTURA!AT60,CODIFICACION!$F$2:$F$500,0))),"⚠"))</f>
        <v/>
      </c>
      <c r="P60" t="str">
        <f>IF(CAPTURA!AU60="","",IFERROR(IF(INDEX(CODIFICACION!$E$2:$E$500,MATCH("D2.9|"&amp;CAPTURA!AU60,CODIFICACION!$F$2:$F$500,0))="sin dato","",INDEX(CODIFICACION!$E$2:$E$500,MATCH("D2.9|"&amp;CAPTURA!AU60,CODIFICACION!$F$2:$F$500,0))),"⚠"))</f>
        <v/>
      </c>
      <c r="Q60" t="str">
        <f>IF(CAPTURA!AV60="","",IFERROR(IF(INDEX(CODIFICACION!$E$2:$E$500,MATCH("D2.10|"&amp;CAPTURA!AV60,CODIFICACION!$F$2:$F$500,0))="sin dato","",INDEX(CODIFICACION!$E$2:$E$500,MATCH("D2.10|"&amp;CAPTURA!AV60,CODIFICACION!$F$2:$F$500,0))),"⚠"))</f>
        <v/>
      </c>
      <c r="R60" t="str">
        <f>IF(CAPTURA!AW60="","",IFERROR(IF(INDEX(CODIFICACION!$E$2:$E$500,MATCH("D2.5a|"&amp;CAPTURA!AW60,CODIFICACION!$F$2:$F$500,0))="sin dato","",INDEX(CODIFICACION!$E$2:$E$500,MATCH("D2.5a|"&amp;CAPTURA!AW60,CODIFICACION!$F$2:$F$500,0))),"⚠"))</f>
        <v/>
      </c>
      <c r="S60" t="str">
        <f>IF(CAPTURA!AX60="","",IFERROR(IF(INDEX(CODIFICACION!$E$2:$E$500,MATCH("D2.5b|"&amp;CAPTURA!AX60,CODIFICACION!$F$2:$F$500,0))="sin dato","",INDEX(CODIFICACION!$E$2:$E$500,MATCH("D2.5b|"&amp;CAPTURA!AX60,CODIFICACION!$F$2:$F$500,0))),"⚠"))</f>
        <v/>
      </c>
      <c r="T60" t="str">
        <f>IF(CAPTURA!AY60="","",IF(ISNUMBER(CAPTURA!AY60),MAX(0,MIN(100,CAPTURA!AY60)),"⚠"))</f>
        <v/>
      </c>
      <c r="U60" t="str">
        <f>IF(CAPTURA!AZ60="","",IFERROR(IF(INDEX(CODIFICACION!$E$2:$E$500,MATCH("D3.12|"&amp;CAPTURA!AZ60,CODIFICACION!$F$2:$F$500,0))="sin dato","",INDEX(CODIFICACION!$E$2:$E$500,MATCH("D3.12|"&amp;CAPTURA!AZ60,CODIFICACION!$F$2:$F$500,0))),"⚠"))</f>
        <v/>
      </c>
      <c r="V60" t="str">
        <f>IF(CAPTURA!BA60="","",IF(AND(ISNUMBER(CAPTURA!BA60),CAPTURA!BA60&gt;=0,CAPTURA!BA60&lt;=4),CAPTURA!BA60*25,"⚠"))</f>
        <v/>
      </c>
      <c r="W60" t="str">
        <f>IF(CAPTURA!BB60="","",IFERROR(IF(INDEX(CODIFICACION!$E$2:$E$500,MATCH("D3.14|"&amp;CAPTURA!BB60,CODIFICACION!$F$2:$F$500,0))="sin dato","",INDEX(CODIFICACION!$E$2:$E$500,MATCH("D3.14|"&amp;CAPTURA!BB60,CODIFICACION!$F$2:$F$500,0))),"⚠"))</f>
        <v/>
      </c>
      <c r="X60" t="str">
        <f>IF(CAPTURA!BC60="","",IFERROR(IF(INDEX(CODIFICACION!$E$2:$E$500,MATCH("D3.14a|"&amp;CAPTURA!BC60,CODIFICACION!$F$2:$F$500,0))="sin dato","",INDEX(CODIFICACION!$E$2:$E$500,MATCH("D3.14a|"&amp;CAPTURA!BC60,CODIFICACION!$F$2:$F$500,0))),"⚠"))</f>
        <v/>
      </c>
      <c r="Y60" t="str">
        <f>IF(CAPTURA!BD60="","",IFERROR(IF(INDEX(CODIFICACION!$E$2:$E$500,MATCH("D3.14b|"&amp;CAPTURA!BD60,CODIFICACION!$F$2:$F$500,0))="sin dato","",INDEX(CODIFICACION!$E$2:$E$500,MATCH("D3.14b|"&amp;CAPTURA!BD60,CODIFICACION!$F$2:$F$500,0))),"⚠"))</f>
        <v/>
      </c>
      <c r="Z60" t="str">
        <f>IF(CAPTURA!BE60="","",IFERROR(IF(INDEX(CODIFICACION!$E$2:$E$500,MATCH("D3.14c|"&amp;CAPTURA!BE60,CODIFICACION!$F$2:$F$500,0))="sin dato","",INDEX(CODIFICACION!$E$2:$E$500,MATCH("D3.14c|"&amp;CAPTURA!BE60,CODIFICACION!$F$2:$F$500,0))),"⚠"))</f>
        <v/>
      </c>
      <c r="AA60" t="str">
        <f>IF(CAPTURA!BF60="","",IFERROR(IF(INDEX(CODIFICACION!$E$2:$E$500,MATCH("D3.14d|"&amp;CAPTURA!BF60,CODIFICACION!$F$2:$F$500,0))="sin dato","",INDEX(CODIFICACION!$E$2:$E$500,MATCH("D3.14d|"&amp;CAPTURA!BF60,CODIFICACION!$F$2:$F$500,0))),"⚠"))</f>
        <v/>
      </c>
      <c r="AB60" t="str">
        <f>IF(CAPTURA!BG60="","",IFERROR(IF(INDEX(CODIFICACION!$E$2:$E$500,MATCH("D3.14e|"&amp;CAPTURA!BG60,CODIFICACION!$F$2:$F$500,0))="sin dato","",INDEX(CODIFICACION!$E$2:$E$500,MATCH("D3.14e|"&amp;CAPTURA!BG60,CODIFICACION!$F$2:$F$500,0))),"⚠"))</f>
        <v/>
      </c>
      <c r="AC60" t="str">
        <f>IF(CAPTURA!BH60="","",IFERROR(IF(INDEX(CODIFICACION!$E$2:$E$500,MATCH("D3.14f|"&amp;CAPTURA!BH60,CODIFICACION!$F$2:$F$500,0))="sin dato","",INDEX(CODIFICACION!$E$2:$E$500,MATCH("D3.14f|"&amp;CAPTURA!BH60,CODIFICACION!$F$2:$F$500,0))),"⚠"))</f>
        <v/>
      </c>
      <c r="AD60" t="str">
        <f>IF(CAPTURA!BI60="","",IFERROR(IF(INDEX(CODIFICACION!$E$2:$E$500,MATCH("D3.14g|"&amp;CAPTURA!BI60,CODIFICACION!$F$2:$F$500,0))="sin dato","",INDEX(CODIFICACION!$E$2:$E$500,MATCH("D3.14g|"&amp;CAPTURA!BI60,CODIFICACION!$F$2:$F$500,0))),"⚠"))</f>
        <v/>
      </c>
      <c r="AE60" t="str">
        <f>IF(CAPTURA!BJ60="","",IFERROR(IF(INDEX(CODIFICACION!$E$2:$E$500,MATCH("D3.14h|"&amp;CAPTURA!BJ60,CODIFICACION!$F$2:$F$500,0))="sin dato","",INDEX(CODIFICACION!$E$2:$E$500,MATCH("D3.14h|"&amp;CAPTURA!BJ60,CODIFICACION!$F$2:$F$500,0))),"⚠"))</f>
        <v/>
      </c>
      <c r="AF60" t="str">
        <f>IF(CAPTURA!BK60="","",IFERROR(IF(INDEX(CODIFICACION!$E$2:$E$500,MATCH("D3.14i|"&amp;CAPTURA!BK60,CODIFICACION!$F$2:$F$500,0))="sin dato","",INDEX(CODIFICACION!$E$2:$E$500,MATCH("D3.14i|"&amp;CAPTURA!BK60,CODIFICACION!$F$2:$F$500,0))),"⚠"))</f>
        <v/>
      </c>
      <c r="AG60" t="str">
        <f>IF(CAPTURA!BL60="","",IFERROR(IF(INDEX(CODIFICACION!$E$2:$E$500,MATCH("D4.15|"&amp;CAPTURA!BL60,CODIFICACION!$F$2:$F$500,0))="sin dato","",INDEX(CODIFICACION!$E$2:$E$500,MATCH("D4.15|"&amp;CAPTURA!BL60,CODIFICACION!$F$2:$F$500,0))),"⚠"))</f>
        <v/>
      </c>
      <c r="AH60" t="str">
        <f>IF(CAPTURA!BM60="","",IF(AND(ISNUMBER(CAPTURA!BM60),CAPTURA!BM60&gt;=0,CAPTURA!BM60&lt;=4),CAPTURA!BM60*25,"⚠"))</f>
        <v/>
      </c>
      <c r="AI60" t="str">
        <f>IF(CAPTURA!BN60="","",IFERROR(IF(INDEX(CODIFICACION!$E$2:$E$500,MATCH("D4.17|"&amp;CAPTURA!BN60,CODIFICACION!$F$2:$F$500,0))="sin dato","",INDEX(CODIFICACION!$E$2:$E$500,MATCH("D4.17|"&amp;CAPTURA!BN60,CODIFICACION!$F$2:$F$500,0))),"⚠"))</f>
        <v/>
      </c>
      <c r="AJ60" t="str">
        <f>IF(CAPTURA!BO60="","",IFERROR(IF(INDEX(CODIFICACION!$E$2:$E$500,MATCH("D4.15a|"&amp;CAPTURA!BO60,CODIFICACION!$F$2:$F$500,0))="sin dato","",INDEX(CODIFICACION!$E$2:$E$500,MATCH("D4.15a|"&amp;CAPTURA!BO60,CODIFICACION!$F$2:$F$500,0))),"⚠"))</f>
        <v/>
      </c>
      <c r="AK60" t="str">
        <f>IF(CAPTURA!BP60="","",IF(AND(ISNUMBER(CAPTURA!BP60),CAPTURA!BP60&gt;=0,CAPTURA!BP60&lt;=4),CAPTURA!BP60*25,"⚠"))</f>
        <v/>
      </c>
      <c r="AL60" t="str">
        <f>IF(CAPTURA!BQ60="","",IF(AND(ISNUMBER(CAPTURA!BQ60),CAPTURA!BQ60&gt;=0,CAPTURA!BQ60&lt;=4),CAPTURA!BQ60*25,"⚠"))</f>
        <v/>
      </c>
      <c r="AM60" t="str">
        <f>IF(CAPTURA!BR60="","",IFERROR(IF(INDEX(CODIFICACION!$E$2:$E$500,MATCH("D5.18b|"&amp;CAPTURA!BR60,CODIFICACION!$F$2:$F$500,0))="sin dato","",INDEX(CODIFICACION!$E$2:$E$500,MATCH("D5.18b|"&amp;CAPTURA!BR60,CODIFICACION!$F$2:$F$500,0))),"⚠"))</f>
        <v/>
      </c>
      <c r="AN60" t="str">
        <f>IF(CAPTURA!BS60="","",IFERROR(IF(INDEX(CODIFICACION!$E$2:$E$500,MATCH("D5.19|"&amp;CAPTURA!BS60,CODIFICACION!$F$2:$F$500,0))="sin dato","",INDEX(CODIFICACION!$E$2:$E$500,MATCH("D5.19|"&amp;CAPTURA!BS60,CODIFICACION!$F$2:$F$500,0))),"⚠"))</f>
        <v/>
      </c>
      <c r="AO60" t="str">
        <f>IF(CAPTURA!BT60="","",MIN(100,ROUND((LEN(CAPTURA!BT60)-LEN(SUBSTITUTE(CAPTURA!BT60,";",""))+1)/7*100,1)))</f>
        <v/>
      </c>
      <c r="AP60" t="str">
        <f>IF(CAPTURA!BU60="","",IFERROR(IF(INDEX(CODIFICACION!$E$2:$E$500,MATCH("D5.20|"&amp;CAPTURA!BU60,CODIFICACION!$F$2:$F$500,0))="sin dato","",INDEX(CODIFICACION!$E$2:$E$500,MATCH("D5.20|"&amp;CAPTURA!BU60,CODIFICACION!$F$2:$F$500,0))),"⚠"))</f>
        <v/>
      </c>
      <c r="AQ60" t="str">
        <f>IF(CAPTURA!BV60="","",IFERROR(IF(INDEX(CODIFICACION!$E$2:$E$500,MATCH("D5.21|"&amp;CAPTURA!BV60,CODIFICACION!$F$2:$F$500,0))="sin dato","",INDEX(CODIFICACION!$E$2:$E$500,MATCH("D5.21|"&amp;CAPTURA!BV60,CODIFICACION!$F$2:$F$500,0))),"⚠"))</f>
        <v/>
      </c>
      <c r="AR60" t="str">
        <f>IF(CAPTURA!BW60="","",IFERROR(IF(INDEX(CODIFICACION!$E$2:$E$500,MATCH("D5.21a|"&amp;CAPTURA!BW60,CODIFICACION!$F$2:$F$500,0))="sin dato","",INDEX(CODIFICACION!$E$2:$E$500,MATCH("D5.21a|"&amp;CAPTURA!BW60,CODIFICACION!$F$2:$F$500,0))),"⚠"))</f>
        <v/>
      </c>
      <c r="AS60" t="str">
        <f>IF(CAPTURA!BX60="","",IFERROR(IF(INDEX(CODIFICACION!$E$2:$E$500,MATCH("D5.21b|"&amp;CAPTURA!BX60,CODIFICACION!$F$2:$F$500,0))="sin dato","",INDEX(CODIFICACION!$E$2:$E$500,MATCH("D5.21b|"&amp;CAPTURA!BX60,CODIFICACION!$F$2:$F$500,0))),"⚠"))</f>
        <v/>
      </c>
      <c r="AT60" t="str">
        <f>IF(CAPTURA!BY60="","",IFERROR(IF(INDEX(CODIFICACION!$E$2:$E$500,MATCH("D6.22|"&amp;CAPTURA!BY60,CODIFICACION!$F$2:$F$500,0))="sin dato","",INDEX(CODIFICACION!$E$2:$E$500,MATCH("D6.22|"&amp;CAPTURA!BY60,CODIFICACION!$F$2:$F$500,0))),"⚠"))</f>
        <v/>
      </c>
      <c r="AU60" t="str">
        <f>IF(CAPTURA!BZ60="","",IFERROR(IF(INDEX(CODIFICACION!$E$2:$E$500,MATCH("D6.22a|"&amp;CAPTURA!BZ60,CODIFICACION!$F$2:$F$500,0))="sin dato","",INDEX(CODIFICACION!$E$2:$E$500,MATCH("D6.22a|"&amp;CAPTURA!BZ60,CODIFICACION!$F$2:$F$500,0))),"⚠"))</f>
        <v/>
      </c>
      <c r="AV60" t="str">
        <f>IF(CAPTURA!CA60="","",IFERROR(IF(INDEX(CODIFICACION!$E$2:$E$500,MATCH("D6.22b|"&amp;CAPTURA!CA60,CODIFICACION!$F$2:$F$500,0))="sin dato","",INDEX(CODIFICACION!$E$2:$E$500,MATCH("D6.22b|"&amp;CAPTURA!CA60,CODIFICACION!$F$2:$F$500,0))),"⚠"))</f>
        <v/>
      </c>
      <c r="AW60" t="str">
        <f>IF(CAPTURA!CB60="","",IFERROR(IF(INDEX(CODIFICACION!$E$2:$E$500,MATCH("D6.23|"&amp;CAPTURA!CB60,CODIFICACION!$F$2:$F$500,0))="sin dato","",INDEX(CODIFICACION!$E$2:$E$500,MATCH("D6.23|"&amp;CAPTURA!CB60,CODIFICACION!$F$2:$F$500,0))),"⚠"))</f>
        <v/>
      </c>
      <c r="AX60" t="str">
        <f>IF(CAPTURA!CC60="","",IFERROR(IF(INDEX(CODIFICACION!$E$2:$E$500,MATCH("D6.24|"&amp;CAPTURA!CC60,CODIFICACION!$F$2:$F$500,0))="sin dato","",INDEX(CODIFICACION!$E$2:$E$500,MATCH("D6.24|"&amp;CAPTURA!CC60,CODIFICACION!$F$2:$F$500,0))),"⚠"))</f>
        <v/>
      </c>
      <c r="AY60" t="str">
        <f>IF(CAPTURA!CD60="","",IFERROR(IF(INDEX(CODIFICACION!$E$2:$E$500,MATCH("D6.25|"&amp;CAPTURA!CD60,CODIFICACION!$F$2:$F$500,0))="sin dato","",INDEX(CODIFICACION!$E$2:$E$500,MATCH("D6.25|"&amp;CAPTURA!CD60,CODIFICACION!$F$2:$F$500,0))),"⚠"))</f>
        <v/>
      </c>
      <c r="AZ60" t="str">
        <f>IF(CAPTURA!CE60="","",IFERROR(IF(INDEX(CODIFICACION!$E$2:$E$500,MATCH("D6.25a|"&amp;CAPTURA!CE60,CODIFICACION!$F$2:$F$500,0))="sin dato","",INDEX(CODIFICACION!$E$2:$E$500,MATCH("D6.25a|"&amp;CAPTURA!CE60,CODIFICACION!$F$2:$F$500,0))),"⚠"))</f>
        <v/>
      </c>
      <c r="BA60" t="str">
        <f>IF(CAPTURA!CF60="","",IFERROR(IF(INDEX(CODIFICACION!$E$2:$E$500,MATCH("D6.25b|"&amp;CAPTURA!CF60,CODIFICACION!$F$2:$F$500,0))="sin dato","",INDEX(CODIFICACION!$E$2:$E$500,MATCH("D6.25b|"&amp;CAPTURA!CF60,CODIFICACION!$F$2:$F$500,0))),"⚠"))</f>
        <v/>
      </c>
      <c r="BB60" t="str">
        <f>IF(CAPTURA!CG60="","",IFERROR(IF(INDEX(CODIFICACION!$E$2:$E$500,MATCH("D6.22c|"&amp;CAPTURA!CG60,CODIFICACION!$F$2:$F$500,0))="sin dato","",INDEX(CODIFICACION!$E$2:$E$500,MATCH("D6.22c|"&amp;CAPTURA!CG60,CODIFICACION!$F$2:$F$500,0))),"⚠"))</f>
        <v/>
      </c>
      <c r="BC60" t="str">
        <f>IF(CAPTURA!CH60="","",IFERROR(IF(INDEX(CODIFICACION!$E$2:$E$500,MATCH("D7.26|"&amp;CAPTURA!CH60,CODIFICACION!$F$2:$F$500,0))="sin dato","",INDEX(CODIFICACION!$E$2:$E$500,MATCH("D7.26|"&amp;CAPTURA!CH60,CODIFICACION!$F$2:$F$500,0))),"⚠"))</f>
        <v/>
      </c>
      <c r="BD60" t="str">
        <f>IF(CAPTURA!CI60="","",IFERROR(IF(INDEX(CODIFICACION!$E$2:$E$500,MATCH("D7.27|"&amp;CAPTURA!CI60,CODIFICACION!$F$2:$F$500,0))="sin dato","",INDEX(CODIFICACION!$E$2:$E$500,MATCH("D7.27|"&amp;CAPTURA!CI60,CODIFICACION!$F$2:$F$500,0))),"⚠"))</f>
        <v/>
      </c>
      <c r="BE60" t="str">
        <f>IF(CAPTURA!CJ60="","",IFERROR(IF(INDEX(CODIFICACION!$E$2:$E$500,MATCH("D7.28|"&amp;CAPTURA!CJ60,CODIFICACION!$F$2:$F$500,0))="sin dato","",INDEX(CODIFICACION!$E$2:$E$500,MATCH("D7.28|"&amp;CAPTURA!CJ60,CODIFICACION!$F$2:$F$500,0))),"⚠"))</f>
        <v/>
      </c>
      <c r="BF60" t="str">
        <f>IF(CAPTURA!CK60="","",IFERROR(IF(INDEX(CODIFICACION!$E$2:$E$500,MATCH("D7.28b|"&amp;CAPTURA!CK60,CODIFICACION!$F$2:$F$500,0))="sin dato","",INDEX(CODIFICACION!$E$2:$E$500,MATCH("D7.28b|"&amp;CAPTURA!CK60,CODIFICACION!$F$2:$F$500,0))),"⚠"))</f>
        <v/>
      </c>
      <c r="BG60" t="str">
        <f>IF(CAPTURA!CL60="","",MIN(100,ROUND((LEN(CAPTURA!CL60)-LEN(SUBSTITUTE(CAPTURA!CL60,";",""))+1)/8*100,1)))</f>
        <v/>
      </c>
      <c r="BH60" t="str">
        <f>IF(CAPTURA!CM60="","",IFERROR(IF(INDEX(CODIFICACION!$E$2:$E$500,MATCH("D7.26a|"&amp;CAPTURA!CM60,CODIFICACION!$F$2:$F$500,0))="sin dato","",INDEX(CODIFICACION!$E$2:$E$500,MATCH("D7.26a|"&amp;CAPTURA!CM60,CODIFICACION!$F$2:$F$500,0))),"⚠"))</f>
        <v/>
      </c>
      <c r="BI60" t="str">
        <f>IF(CAPTURA!CN60="","",IFERROR(IF(INDEX(CODIFICACION!$E$2:$E$500,MATCH("D7.26b|"&amp;CAPTURA!CN60,CODIFICACION!$F$2:$F$500,0))="sin dato","",INDEX(CODIFICACION!$E$2:$E$500,MATCH("D7.26b|"&amp;CAPTURA!CN60,CODIFICACION!$F$2:$F$500,0))),"⚠"))</f>
        <v/>
      </c>
      <c r="BJ60" t="str">
        <f>IF(CAPTURA!CO60="","",IF(AND(ISNUMBER(CAPTURA!CO60),CAPTURA!CO60&gt;=0,CAPTURA!CO60&lt;=4),CAPTURA!CO60*25,"⚠"))</f>
        <v/>
      </c>
      <c r="BK60" t="str">
        <f>IF(CAPTURA!CP60="","",IF(ISNUMBER(CAPTURA!CP60),MAX(0,MIN(100,CAPTURA!CP60)),"⚠"))</f>
        <v/>
      </c>
      <c r="BL60" t="str">
        <f>IF(CAPTURA!CQ60="","",IFERROR(IF(INDEX(CODIFICACION!$E$2:$E$500,MATCH("D8.31|"&amp;CAPTURA!CQ60,CODIFICACION!$F$2:$F$500,0))="sin dato","",INDEX(CODIFICACION!$E$2:$E$500,MATCH("D8.31|"&amp;CAPTURA!CQ60,CODIFICACION!$F$2:$F$500,0))),"⚠"))</f>
        <v/>
      </c>
      <c r="BM60" t="str">
        <f>IF(CAPTURA!CR60="","",IFERROR(IF(INDEX(CODIFICACION!$E$2:$E$500,MATCH("D8.32|"&amp;CAPTURA!CR60,CODIFICACION!$F$2:$F$500,0))="sin dato","",INDEX(CODIFICACION!$E$2:$E$500,MATCH("D8.32|"&amp;CAPTURA!CR60,CODIFICACION!$F$2:$F$500,0))),"⚠"))</f>
        <v/>
      </c>
      <c r="BN60" t="str">
        <f>IF(CAPTURA!CS60="","",IFERROR(IF(INDEX(CODIFICACION!$E$2:$E$500,MATCH("D9.33|"&amp;CAPTURA!CS60,CODIFICACION!$F$2:$F$500,0))="sin dato","",INDEX(CODIFICACION!$E$2:$E$500,MATCH("D9.33|"&amp;CAPTURA!CS60,CODIFICACION!$F$2:$F$500,0))),"⚠"))</f>
        <v/>
      </c>
      <c r="BO60" t="str">
        <f>IF(CAPTURA!CT60="","",IFERROR(IF(INDEX(CODIFICACION!$E$2:$E$500,MATCH("D9.34|"&amp;CAPTURA!CT60,CODIFICACION!$F$2:$F$500,0))="sin dato","",INDEX(CODIFICACION!$E$2:$E$500,MATCH("D9.34|"&amp;CAPTURA!CT60,CODIFICACION!$F$2:$F$500,0))),"⚠"))</f>
        <v/>
      </c>
      <c r="BP60" t="str">
        <f>IF(CAPTURA!CU60="","",IFERROR(IF(INDEX(CODIFICACION!$E$2:$E$500,MATCH("D9.35|"&amp;CAPTURA!CU60,CODIFICACION!$F$2:$F$500,0))="sin dato","",INDEX(CODIFICACION!$E$2:$E$500,MATCH("D9.35|"&amp;CAPTURA!CU60,CODIFICACION!$F$2:$F$500,0))),"⚠"))</f>
        <v/>
      </c>
      <c r="BQ60" t="str">
        <f>IF(CAPTURA!CV60="","",IFERROR(IF(INDEX(CODIFICACION!$E$2:$E$500,MATCH("D10.36|"&amp;CAPTURA!CV60,CODIFICACION!$F$2:$F$500,0))="sin dato","",INDEX(CODIFICACION!$E$2:$E$500,MATCH("D10.36|"&amp;CAPTURA!CV60,CODIFICACION!$F$2:$F$500,0))),"⚠"))</f>
        <v/>
      </c>
      <c r="BR60" t="str">
        <f>IF(CAPTURA!CW60="","",IFERROR(IF(INDEX(CODIFICACION!$E$2:$E$500,MATCH("D10.37|"&amp;CAPTURA!CW60,CODIFICACION!$F$2:$F$500,0))="sin dato","",INDEX(CODIFICACION!$E$2:$E$500,MATCH("D10.37|"&amp;CAPTURA!CW60,CODIFICACION!$F$2:$F$500,0))),"⚠"))</f>
        <v/>
      </c>
      <c r="BS60" t="str">
        <f>IF(CAPTURA!CX60="","",IFERROR(IF(INDEX(CODIFICACION!$E$2:$E$500,MATCH("D10.36a|"&amp;CAPTURA!CX60,CODIFICACION!$F$2:$F$500,0))="sin dato","",INDEX(CODIFICACION!$E$2:$E$500,MATCH("D10.36a|"&amp;CAPTURA!CX60,CODIFICACION!$F$2:$F$500,0))),"⚠"))</f>
        <v/>
      </c>
      <c r="BT60" t="str">
        <f>IF(CAPTURA!CY60="","",IF(ISNUMBER(SEARCH("Ninguno",CAPTURA!CY60)),0,MIN(100,ROUND((LEN(CAPTURA!CY60)-LEN(SUBSTITUTE(CAPTURA!CY60,";",""))+1)/6*100,1))))</f>
        <v/>
      </c>
      <c r="BU60" t="str">
        <f>IF(CAPTURA!DA60="","",IFERROR(IF(INDEX(CODIFICACION!$E$2:$E$500,MATCH("D11.39a|"&amp;CAPTURA!DA60,CODIFICACION!$F$2:$F$500,0))="sin dato","",INDEX(CODIFICACION!$E$2:$E$500,MATCH("D11.39a|"&amp;CAPTURA!DA60,CODIFICACION!$F$2:$F$500,0))),"⚠"))</f>
        <v/>
      </c>
      <c r="BV60" t="str">
        <f>IF(CAPTURA!DB60="","",IFERROR(IF(INDEX(CODIFICACION!$E$2:$E$500,MATCH("D12.42|"&amp;CAPTURA!DB60,CODIFICACION!$F$2:$F$500,0))="sin dato","",INDEX(CODIFICACION!$E$2:$E$500,MATCH("D12.42|"&amp;CAPTURA!DB60,CODIFICACION!$F$2:$F$500,0))),"⚠"))</f>
        <v/>
      </c>
      <c r="BW60" t="str">
        <f>IF(CAPTURA!DC60="","",IFERROR(IF(INDEX(CODIFICACION!$E$2:$E$500,MATCH("D13.45|"&amp;CAPTURA!DC60,CODIFICACION!$F$2:$F$500,0))="sin dato","",INDEX(CODIFICACION!$E$2:$E$500,MATCH("D13.45|"&amp;CAPTURA!DC60,CODIFICACION!$F$2:$F$500,0))),"⚠"))</f>
        <v/>
      </c>
      <c r="BX60" t="str">
        <f>IF(CAPTURA!DD60="","",IFERROR(IF(INDEX(CODIFICACION!$E$2:$E$500,MATCH("D14.51|"&amp;CAPTURA!DD60,CODIFICACION!$F$2:$F$500,0))="sin dato","",INDEX(CODIFICACION!$E$2:$E$500,MATCH("D14.51|"&amp;CAPTURA!DD60,CODIFICACION!$F$2:$F$500,0))),"⚠"))</f>
        <v/>
      </c>
      <c r="BY60" t="str">
        <f>IF(CAPTURA!DE60="","",IFERROR(IF(INDEX(CODIFICACION!$E$2:$E$500,MATCH("D15.58|"&amp;CAPTURA!DE60,CODIFICACION!$F$2:$F$500,0))="sin dato","",INDEX(CODIFICACION!$E$2:$E$500,MATCH("D15.58|"&amp;CAPTURA!DE60,CODIFICACION!$F$2:$F$500,0))),"⚠"))</f>
        <v/>
      </c>
      <c r="BZ60" t="str">
        <f>IF(CAPTURA!DF60="","",IFERROR(IF(INDEX(CODIFICACION!$E$2:$E$500,MATCH("PP1|"&amp;CAPTURA!DF60,CODIFICACION!$F$2:$F$500,0))="sin dato","",INDEX(CODIFICACION!$E$2:$E$500,MATCH("PP1|"&amp;CAPTURA!DF60,CODIFICACION!$F$2:$F$500,0))),"⚠"))</f>
        <v/>
      </c>
      <c r="CA60" t="str">
        <f>IF(CAPTURA!DG60="","",IFERROR(IF(INDEX(CODIFICACION!$E$2:$E$500,MATCH("PP2|"&amp;CAPTURA!DG60,CODIFICACION!$F$2:$F$500,0))="sin dato","",INDEX(CODIFICACION!$E$2:$E$500,MATCH("PP2|"&amp;CAPTURA!DG60,CODIFICACION!$F$2:$F$500,0))),"⚠"))</f>
        <v/>
      </c>
      <c r="CB60" t="str">
        <f t="shared" si="11"/>
        <v/>
      </c>
      <c r="CC60" t="str">
        <f t="shared" si="12"/>
        <v/>
      </c>
      <c r="CD60" t="str">
        <f t="shared" si="13"/>
        <v/>
      </c>
      <c r="CE60" t="str">
        <f t="shared" si="14"/>
        <v/>
      </c>
      <c r="CF60" t="str">
        <f t="shared" si="15"/>
        <v/>
      </c>
      <c r="CG60" t="str">
        <f t="shared" si="16"/>
        <v/>
      </c>
      <c r="CH60" t="str">
        <f t="shared" si="17"/>
        <v/>
      </c>
      <c r="CI60" t="str">
        <f t="shared" si="18"/>
        <v/>
      </c>
      <c r="CJ60" t="str">
        <f t="shared" si="19"/>
        <v/>
      </c>
      <c r="CK60" t="str">
        <f t="shared" si="20"/>
        <v/>
      </c>
      <c r="CL60" t="str">
        <f t="shared" si="21"/>
        <v/>
      </c>
    </row>
    <row r="61" spans="1:90" x14ac:dyDescent="0.3">
      <c r="A61">
        <f>CAPTURA!A61</f>
        <v>20528996214</v>
      </c>
      <c r="B61">
        <f>CAPTURA!C61</f>
        <v>0</v>
      </c>
      <c r="C61" t="str">
        <f>IF(CAPTURA!M61="","",ROUND((ISNUMBER(SEARCH("Alemania",CAPTURA!M61))+ISNUMBER(SEARCH("Bélgica",CAPTURA!M61))+ISNUMBER(SEARCH("Países Bajos",CAPTURA!M61))+ISNUMBER(SEARCH("Francia",CAPTURA!M61))+ISNUMBER(SEARCH("Italia",CAPTURA!M61))+ISNUMBER(SEARCH("España",CAPTURA!M61))+ISNUMBER(SEARCH("Suecia",CAPTURA!M61))+ISNUMBER(SEARCH("Dinamarca",CAPTURA!M61)))/((LEN(CAPTURA!M61)-LEN(SUBSTITUTE(CAPTURA!M61,";","")))+1)*100,1))</f>
        <v/>
      </c>
      <c r="D61" t="str">
        <f>IF(CAPTURA!AE61="","",IFERROR(IF(INDEX(CODIFICACION!$E$2:$E$500,MATCH("P8|"&amp;CAPTURA!AE61,CODIFICACION!$F$2:$F$500,0))="sin dato","",INDEX(CODIFICACION!$E$2:$E$500,MATCH("P8|"&amp;CAPTURA!AE61,CODIFICACION!$F$2:$F$500,0))),"⚠"))</f>
        <v/>
      </c>
      <c r="E61" t="str">
        <f>IF(CAPTURA!AG61="","",IFERROR(IF(INDEX(CODIFICACION!$E$2:$E$500,MATCH("P10|"&amp;CAPTURA!AG61,CODIFICACION!$F$2:$F$500,0))="sin dato","",INDEX(CODIFICACION!$E$2:$E$500,MATCH("P10|"&amp;CAPTURA!AG61,CODIFICACION!$F$2:$F$500,0))),"⚠"))</f>
        <v/>
      </c>
      <c r="F61" t="str">
        <f>IF(CAPTURA!AJ61="","",IFERROR(IF(INDEX(CODIFICACION!$E$2:$E$500,MATCH("P13|"&amp;CAPTURA!AJ61,CODIFICACION!$F$2:$F$500,0))="sin dato","",INDEX(CODIFICACION!$E$2:$E$500,MATCH("P13|"&amp;CAPTURA!AJ61,CODIFICACION!$F$2:$F$500,0))),"⚠"))</f>
        <v/>
      </c>
      <c r="G61" t="str">
        <f>IF(CAPTURA!AK61="","",IFERROR(IF(INDEX(CODIFICACION!$E$2:$E$500,MATCH("P14|"&amp;CAPTURA!AK61,CODIFICACION!$F$2:$F$500,0))="sin dato","",INDEX(CODIFICACION!$E$2:$E$500,MATCH("P14|"&amp;CAPTURA!AK61,CODIFICACION!$F$2:$F$500,0))),"⚠"))</f>
        <v/>
      </c>
      <c r="H61" t="str">
        <f>IF(CAPTURA!AL61="","",IFERROR(IF(INDEX(CODIFICACION!$E$2:$E$500,MATCH("D1.1|"&amp;CAPTURA!AL61,CODIFICACION!$F$2:$F$500,0))="sin dato","",INDEX(CODIFICACION!$E$2:$E$500,MATCH("D1.1|"&amp;CAPTURA!AL61,CODIFICACION!$F$2:$F$500,0))),"⚠"))</f>
        <v/>
      </c>
      <c r="I61" t="str">
        <f>IF(CAPTURA!AN61="","",IFERROR(IF(INDEX(CODIFICACION!$E$2:$E$500,MATCH("D1.3|"&amp;CAPTURA!AN61,CODIFICACION!$F$2:$F$500,0))="sin dato","",INDEX(CODIFICACION!$E$2:$E$500,MATCH("D1.3|"&amp;CAPTURA!AN61,CODIFICACION!$F$2:$F$500,0))),"⚠"))</f>
        <v/>
      </c>
      <c r="J61" t="str">
        <f>IF(CAPTURA!AO61="","",IFERROR(IF(INDEX(CODIFICACION!$E$2:$E$500,MATCH("D1.4|"&amp;CAPTURA!AO61,CODIFICACION!$F$2:$F$500,0))="sin dato","",INDEX(CODIFICACION!$E$2:$E$500,MATCH("D1.4|"&amp;CAPTURA!AO61,CODIFICACION!$F$2:$F$500,0))),"⚠"))</f>
        <v/>
      </c>
      <c r="K61" t="str">
        <f>IF(CAPTURA!AP61="","",IFERROR(IF(INDEX(CODIFICACION!$E$2:$E$500,MATCH("D1.3a|"&amp;CAPTURA!AP61,CODIFICACION!$F$2:$F$500,0))="sin dato","",INDEX(CODIFICACION!$E$2:$E$500,MATCH("D1.3a|"&amp;CAPTURA!AP61,CODIFICACION!$F$2:$F$500,0))),"⚠"))</f>
        <v/>
      </c>
      <c r="L61" t="str">
        <f>IF(CAPTURA!AQ61="","",IF(AND(ISNUMBER(CAPTURA!AQ61),CAPTURA!AQ61&gt;=0,CAPTURA!AQ61&lt;=4),CAPTURA!AQ61*25,"⚠"))</f>
        <v/>
      </c>
      <c r="M61" t="str">
        <f>IF(CAPTURA!AR61="","",IF(ISNUMBER(CAPTURA!AR61),MAX(0,MIN(100,CAPTURA!AR61)),"⚠"))</f>
        <v/>
      </c>
      <c r="N61" t="str">
        <f>IF(CAPTURA!AS61="","",IF(AND(ISNUMBER(CAPTURA!AS61),CAPTURA!AS61&gt;=0,CAPTURA!AS61&lt;=4),CAPTURA!AS61*25,"⚠"))</f>
        <v/>
      </c>
      <c r="O61" t="str">
        <f>IF(CAPTURA!AT61="","",IFERROR(IF(INDEX(CODIFICACION!$E$2:$E$500,MATCH("D2.8|"&amp;CAPTURA!AT61,CODIFICACION!$F$2:$F$500,0))="sin dato","",INDEX(CODIFICACION!$E$2:$E$500,MATCH("D2.8|"&amp;CAPTURA!AT61,CODIFICACION!$F$2:$F$500,0))),"⚠"))</f>
        <v/>
      </c>
      <c r="P61" t="str">
        <f>IF(CAPTURA!AU61="","",IFERROR(IF(INDEX(CODIFICACION!$E$2:$E$500,MATCH("D2.9|"&amp;CAPTURA!AU61,CODIFICACION!$F$2:$F$500,0))="sin dato","",INDEX(CODIFICACION!$E$2:$E$500,MATCH("D2.9|"&amp;CAPTURA!AU61,CODIFICACION!$F$2:$F$500,0))),"⚠"))</f>
        <v/>
      </c>
      <c r="Q61" t="str">
        <f>IF(CAPTURA!AV61="","",IFERROR(IF(INDEX(CODIFICACION!$E$2:$E$500,MATCH("D2.10|"&amp;CAPTURA!AV61,CODIFICACION!$F$2:$F$500,0))="sin dato","",INDEX(CODIFICACION!$E$2:$E$500,MATCH("D2.10|"&amp;CAPTURA!AV61,CODIFICACION!$F$2:$F$500,0))),"⚠"))</f>
        <v/>
      </c>
      <c r="R61" t="str">
        <f>IF(CAPTURA!AW61="","",IFERROR(IF(INDEX(CODIFICACION!$E$2:$E$500,MATCH("D2.5a|"&amp;CAPTURA!AW61,CODIFICACION!$F$2:$F$500,0))="sin dato","",INDEX(CODIFICACION!$E$2:$E$500,MATCH("D2.5a|"&amp;CAPTURA!AW61,CODIFICACION!$F$2:$F$500,0))),"⚠"))</f>
        <v/>
      </c>
      <c r="S61" t="str">
        <f>IF(CAPTURA!AX61="","",IFERROR(IF(INDEX(CODIFICACION!$E$2:$E$500,MATCH("D2.5b|"&amp;CAPTURA!AX61,CODIFICACION!$F$2:$F$500,0))="sin dato","",INDEX(CODIFICACION!$E$2:$E$500,MATCH("D2.5b|"&amp;CAPTURA!AX61,CODIFICACION!$F$2:$F$500,0))),"⚠"))</f>
        <v/>
      </c>
      <c r="T61" t="str">
        <f>IF(CAPTURA!AY61="","",IF(ISNUMBER(CAPTURA!AY61),MAX(0,MIN(100,CAPTURA!AY61)),"⚠"))</f>
        <v/>
      </c>
      <c r="U61" t="str">
        <f>IF(CAPTURA!AZ61="","",IFERROR(IF(INDEX(CODIFICACION!$E$2:$E$500,MATCH("D3.12|"&amp;CAPTURA!AZ61,CODIFICACION!$F$2:$F$500,0))="sin dato","",INDEX(CODIFICACION!$E$2:$E$500,MATCH("D3.12|"&amp;CAPTURA!AZ61,CODIFICACION!$F$2:$F$500,0))),"⚠"))</f>
        <v/>
      </c>
      <c r="V61" t="str">
        <f>IF(CAPTURA!BA61="","",IF(AND(ISNUMBER(CAPTURA!BA61),CAPTURA!BA61&gt;=0,CAPTURA!BA61&lt;=4),CAPTURA!BA61*25,"⚠"))</f>
        <v/>
      </c>
      <c r="W61" t="str">
        <f>IF(CAPTURA!BB61="","",IFERROR(IF(INDEX(CODIFICACION!$E$2:$E$500,MATCH("D3.14|"&amp;CAPTURA!BB61,CODIFICACION!$F$2:$F$500,0))="sin dato","",INDEX(CODIFICACION!$E$2:$E$500,MATCH("D3.14|"&amp;CAPTURA!BB61,CODIFICACION!$F$2:$F$500,0))),"⚠"))</f>
        <v/>
      </c>
      <c r="X61" t="str">
        <f>IF(CAPTURA!BC61="","",IFERROR(IF(INDEX(CODIFICACION!$E$2:$E$500,MATCH("D3.14a|"&amp;CAPTURA!BC61,CODIFICACION!$F$2:$F$500,0))="sin dato","",INDEX(CODIFICACION!$E$2:$E$500,MATCH("D3.14a|"&amp;CAPTURA!BC61,CODIFICACION!$F$2:$F$500,0))),"⚠"))</f>
        <v/>
      </c>
      <c r="Y61" t="str">
        <f>IF(CAPTURA!BD61="","",IFERROR(IF(INDEX(CODIFICACION!$E$2:$E$500,MATCH("D3.14b|"&amp;CAPTURA!BD61,CODIFICACION!$F$2:$F$500,0))="sin dato","",INDEX(CODIFICACION!$E$2:$E$500,MATCH("D3.14b|"&amp;CAPTURA!BD61,CODIFICACION!$F$2:$F$500,0))),"⚠"))</f>
        <v/>
      </c>
      <c r="Z61" t="str">
        <f>IF(CAPTURA!BE61="","",IFERROR(IF(INDEX(CODIFICACION!$E$2:$E$500,MATCH("D3.14c|"&amp;CAPTURA!BE61,CODIFICACION!$F$2:$F$500,0))="sin dato","",INDEX(CODIFICACION!$E$2:$E$500,MATCH("D3.14c|"&amp;CAPTURA!BE61,CODIFICACION!$F$2:$F$500,0))),"⚠"))</f>
        <v/>
      </c>
      <c r="AA61" t="str">
        <f>IF(CAPTURA!BF61="","",IFERROR(IF(INDEX(CODIFICACION!$E$2:$E$500,MATCH("D3.14d|"&amp;CAPTURA!BF61,CODIFICACION!$F$2:$F$500,0))="sin dato","",INDEX(CODIFICACION!$E$2:$E$500,MATCH("D3.14d|"&amp;CAPTURA!BF61,CODIFICACION!$F$2:$F$500,0))),"⚠"))</f>
        <v/>
      </c>
      <c r="AB61" t="str">
        <f>IF(CAPTURA!BG61="","",IFERROR(IF(INDEX(CODIFICACION!$E$2:$E$500,MATCH("D3.14e|"&amp;CAPTURA!BG61,CODIFICACION!$F$2:$F$500,0))="sin dato","",INDEX(CODIFICACION!$E$2:$E$500,MATCH("D3.14e|"&amp;CAPTURA!BG61,CODIFICACION!$F$2:$F$500,0))),"⚠"))</f>
        <v/>
      </c>
      <c r="AC61" t="str">
        <f>IF(CAPTURA!BH61="","",IFERROR(IF(INDEX(CODIFICACION!$E$2:$E$500,MATCH("D3.14f|"&amp;CAPTURA!BH61,CODIFICACION!$F$2:$F$500,0))="sin dato","",INDEX(CODIFICACION!$E$2:$E$500,MATCH("D3.14f|"&amp;CAPTURA!BH61,CODIFICACION!$F$2:$F$500,0))),"⚠"))</f>
        <v/>
      </c>
      <c r="AD61" t="str">
        <f>IF(CAPTURA!BI61="","",IFERROR(IF(INDEX(CODIFICACION!$E$2:$E$500,MATCH("D3.14g|"&amp;CAPTURA!BI61,CODIFICACION!$F$2:$F$500,0))="sin dato","",INDEX(CODIFICACION!$E$2:$E$500,MATCH("D3.14g|"&amp;CAPTURA!BI61,CODIFICACION!$F$2:$F$500,0))),"⚠"))</f>
        <v/>
      </c>
      <c r="AE61" t="str">
        <f>IF(CAPTURA!BJ61="","",IFERROR(IF(INDEX(CODIFICACION!$E$2:$E$500,MATCH("D3.14h|"&amp;CAPTURA!BJ61,CODIFICACION!$F$2:$F$500,0))="sin dato","",INDEX(CODIFICACION!$E$2:$E$500,MATCH("D3.14h|"&amp;CAPTURA!BJ61,CODIFICACION!$F$2:$F$500,0))),"⚠"))</f>
        <v/>
      </c>
      <c r="AF61" t="str">
        <f>IF(CAPTURA!BK61="","",IFERROR(IF(INDEX(CODIFICACION!$E$2:$E$500,MATCH("D3.14i|"&amp;CAPTURA!BK61,CODIFICACION!$F$2:$F$500,0))="sin dato","",INDEX(CODIFICACION!$E$2:$E$500,MATCH("D3.14i|"&amp;CAPTURA!BK61,CODIFICACION!$F$2:$F$500,0))),"⚠"))</f>
        <v/>
      </c>
      <c r="AG61" t="str">
        <f>IF(CAPTURA!BL61="","",IFERROR(IF(INDEX(CODIFICACION!$E$2:$E$500,MATCH("D4.15|"&amp;CAPTURA!BL61,CODIFICACION!$F$2:$F$500,0))="sin dato","",INDEX(CODIFICACION!$E$2:$E$500,MATCH("D4.15|"&amp;CAPTURA!BL61,CODIFICACION!$F$2:$F$500,0))),"⚠"))</f>
        <v/>
      </c>
      <c r="AH61" t="str">
        <f>IF(CAPTURA!BM61="","",IF(AND(ISNUMBER(CAPTURA!BM61),CAPTURA!BM61&gt;=0,CAPTURA!BM61&lt;=4),CAPTURA!BM61*25,"⚠"))</f>
        <v/>
      </c>
      <c r="AI61" t="str">
        <f>IF(CAPTURA!BN61="","",IFERROR(IF(INDEX(CODIFICACION!$E$2:$E$500,MATCH("D4.17|"&amp;CAPTURA!BN61,CODIFICACION!$F$2:$F$500,0))="sin dato","",INDEX(CODIFICACION!$E$2:$E$500,MATCH("D4.17|"&amp;CAPTURA!BN61,CODIFICACION!$F$2:$F$500,0))),"⚠"))</f>
        <v/>
      </c>
      <c r="AJ61" t="str">
        <f>IF(CAPTURA!BO61="","",IFERROR(IF(INDEX(CODIFICACION!$E$2:$E$500,MATCH("D4.15a|"&amp;CAPTURA!BO61,CODIFICACION!$F$2:$F$500,0))="sin dato","",INDEX(CODIFICACION!$E$2:$E$500,MATCH("D4.15a|"&amp;CAPTURA!BO61,CODIFICACION!$F$2:$F$500,0))),"⚠"))</f>
        <v/>
      </c>
      <c r="AK61" t="str">
        <f>IF(CAPTURA!BP61="","",IF(AND(ISNUMBER(CAPTURA!BP61),CAPTURA!BP61&gt;=0,CAPTURA!BP61&lt;=4),CAPTURA!BP61*25,"⚠"))</f>
        <v/>
      </c>
      <c r="AL61" t="str">
        <f>IF(CAPTURA!BQ61="","",IF(AND(ISNUMBER(CAPTURA!BQ61),CAPTURA!BQ61&gt;=0,CAPTURA!BQ61&lt;=4),CAPTURA!BQ61*25,"⚠"))</f>
        <v/>
      </c>
      <c r="AM61" t="str">
        <f>IF(CAPTURA!BR61="","",IFERROR(IF(INDEX(CODIFICACION!$E$2:$E$500,MATCH("D5.18b|"&amp;CAPTURA!BR61,CODIFICACION!$F$2:$F$500,0))="sin dato","",INDEX(CODIFICACION!$E$2:$E$500,MATCH("D5.18b|"&amp;CAPTURA!BR61,CODIFICACION!$F$2:$F$500,0))),"⚠"))</f>
        <v/>
      </c>
      <c r="AN61" t="str">
        <f>IF(CAPTURA!BS61="","",IFERROR(IF(INDEX(CODIFICACION!$E$2:$E$500,MATCH("D5.19|"&amp;CAPTURA!BS61,CODIFICACION!$F$2:$F$500,0))="sin dato","",INDEX(CODIFICACION!$E$2:$E$500,MATCH("D5.19|"&amp;CAPTURA!BS61,CODIFICACION!$F$2:$F$500,0))),"⚠"))</f>
        <v/>
      </c>
      <c r="AO61" t="str">
        <f>IF(CAPTURA!BT61="","",MIN(100,ROUND((LEN(CAPTURA!BT61)-LEN(SUBSTITUTE(CAPTURA!BT61,";",""))+1)/7*100,1)))</f>
        <v/>
      </c>
      <c r="AP61" t="str">
        <f>IF(CAPTURA!BU61="","",IFERROR(IF(INDEX(CODIFICACION!$E$2:$E$500,MATCH("D5.20|"&amp;CAPTURA!BU61,CODIFICACION!$F$2:$F$500,0))="sin dato","",INDEX(CODIFICACION!$E$2:$E$500,MATCH("D5.20|"&amp;CAPTURA!BU61,CODIFICACION!$F$2:$F$500,0))),"⚠"))</f>
        <v/>
      </c>
      <c r="AQ61" t="str">
        <f>IF(CAPTURA!BV61="","",IFERROR(IF(INDEX(CODIFICACION!$E$2:$E$500,MATCH("D5.21|"&amp;CAPTURA!BV61,CODIFICACION!$F$2:$F$500,0))="sin dato","",INDEX(CODIFICACION!$E$2:$E$500,MATCH("D5.21|"&amp;CAPTURA!BV61,CODIFICACION!$F$2:$F$500,0))),"⚠"))</f>
        <v/>
      </c>
      <c r="AR61" t="str">
        <f>IF(CAPTURA!BW61="","",IFERROR(IF(INDEX(CODIFICACION!$E$2:$E$500,MATCH("D5.21a|"&amp;CAPTURA!BW61,CODIFICACION!$F$2:$F$500,0))="sin dato","",INDEX(CODIFICACION!$E$2:$E$500,MATCH("D5.21a|"&amp;CAPTURA!BW61,CODIFICACION!$F$2:$F$500,0))),"⚠"))</f>
        <v/>
      </c>
      <c r="AS61" t="str">
        <f>IF(CAPTURA!BX61="","",IFERROR(IF(INDEX(CODIFICACION!$E$2:$E$500,MATCH("D5.21b|"&amp;CAPTURA!BX61,CODIFICACION!$F$2:$F$500,0))="sin dato","",INDEX(CODIFICACION!$E$2:$E$500,MATCH("D5.21b|"&amp;CAPTURA!BX61,CODIFICACION!$F$2:$F$500,0))),"⚠"))</f>
        <v/>
      </c>
      <c r="AT61" t="str">
        <f>IF(CAPTURA!BY61="","",IFERROR(IF(INDEX(CODIFICACION!$E$2:$E$500,MATCH("D6.22|"&amp;CAPTURA!BY61,CODIFICACION!$F$2:$F$500,0))="sin dato","",INDEX(CODIFICACION!$E$2:$E$500,MATCH("D6.22|"&amp;CAPTURA!BY61,CODIFICACION!$F$2:$F$500,0))),"⚠"))</f>
        <v/>
      </c>
      <c r="AU61" t="str">
        <f>IF(CAPTURA!BZ61="","",IFERROR(IF(INDEX(CODIFICACION!$E$2:$E$500,MATCH("D6.22a|"&amp;CAPTURA!BZ61,CODIFICACION!$F$2:$F$500,0))="sin dato","",INDEX(CODIFICACION!$E$2:$E$500,MATCH("D6.22a|"&amp;CAPTURA!BZ61,CODIFICACION!$F$2:$F$500,0))),"⚠"))</f>
        <v/>
      </c>
      <c r="AV61" t="str">
        <f>IF(CAPTURA!CA61="","",IFERROR(IF(INDEX(CODIFICACION!$E$2:$E$500,MATCH("D6.22b|"&amp;CAPTURA!CA61,CODIFICACION!$F$2:$F$500,0))="sin dato","",INDEX(CODIFICACION!$E$2:$E$500,MATCH("D6.22b|"&amp;CAPTURA!CA61,CODIFICACION!$F$2:$F$500,0))),"⚠"))</f>
        <v/>
      </c>
      <c r="AW61" t="str">
        <f>IF(CAPTURA!CB61="","",IFERROR(IF(INDEX(CODIFICACION!$E$2:$E$500,MATCH("D6.23|"&amp;CAPTURA!CB61,CODIFICACION!$F$2:$F$500,0))="sin dato","",INDEX(CODIFICACION!$E$2:$E$500,MATCH("D6.23|"&amp;CAPTURA!CB61,CODIFICACION!$F$2:$F$500,0))),"⚠"))</f>
        <v/>
      </c>
      <c r="AX61" t="str">
        <f>IF(CAPTURA!CC61="","",IFERROR(IF(INDEX(CODIFICACION!$E$2:$E$500,MATCH("D6.24|"&amp;CAPTURA!CC61,CODIFICACION!$F$2:$F$500,0))="sin dato","",INDEX(CODIFICACION!$E$2:$E$500,MATCH("D6.24|"&amp;CAPTURA!CC61,CODIFICACION!$F$2:$F$500,0))),"⚠"))</f>
        <v/>
      </c>
      <c r="AY61" t="str">
        <f>IF(CAPTURA!CD61="","",IFERROR(IF(INDEX(CODIFICACION!$E$2:$E$500,MATCH("D6.25|"&amp;CAPTURA!CD61,CODIFICACION!$F$2:$F$500,0))="sin dato","",INDEX(CODIFICACION!$E$2:$E$500,MATCH("D6.25|"&amp;CAPTURA!CD61,CODIFICACION!$F$2:$F$500,0))),"⚠"))</f>
        <v/>
      </c>
      <c r="AZ61" t="str">
        <f>IF(CAPTURA!CE61="","",IFERROR(IF(INDEX(CODIFICACION!$E$2:$E$500,MATCH("D6.25a|"&amp;CAPTURA!CE61,CODIFICACION!$F$2:$F$500,0))="sin dato","",INDEX(CODIFICACION!$E$2:$E$500,MATCH("D6.25a|"&amp;CAPTURA!CE61,CODIFICACION!$F$2:$F$500,0))),"⚠"))</f>
        <v/>
      </c>
      <c r="BA61" t="str">
        <f>IF(CAPTURA!CF61="","",IFERROR(IF(INDEX(CODIFICACION!$E$2:$E$500,MATCH("D6.25b|"&amp;CAPTURA!CF61,CODIFICACION!$F$2:$F$500,0))="sin dato","",INDEX(CODIFICACION!$E$2:$E$500,MATCH("D6.25b|"&amp;CAPTURA!CF61,CODIFICACION!$F$2:$F$500,0))),"⚠"))</f>
        <v/>
      </c>
      <c r="BB61" t="str">
        <f>IF(CAPTURA!CG61="","",IFERROR(IF(INDEX(CODIFICACION!$E$2:$E$500,MATCH("D6.22c|"&amp;CAPTURA!CG61,CODIFICACION!$F$2:$F$500,0))="sin dato","",INDEX(CODIFICACION!$E$2:$E$500,MATCH("D6.22c|"&amp;CAPTURA!CG61,CODIFICACION!$F$2:$F$500,0))),"⚠"))</f>
        <v/>
      </c>
      <c r="BC61" t="str">
        <f>IF(CAPTURA!CH61="","",IFERROR(IF(INDEX(CODIFICACION!$E$2:$E$500,MATCH("D7.26|"&amp;CAPTURA!CH61,CODIFICACION!$F$2:$F$500,0))="sin dato","",INDEX(CODIFICACION!$E$2:$E$500,MATCH("D7.26|"&amp;CAPTURA!CH61,CODIFICACION!$F$2:$F$500,0))),"⚠"))</f>
        <v/>
      </c>
      <c r="BD61" t="str">
        <f>IF(CAPTURA!CI61="","",IFERROR(IF(INDEX(CODIFICACION!$E$2:$E$500,MATCH("D7.27|"&amp;CAPTURA!CI61,CODIFICACION!$F$2:$F$500,0))="sin dato","",INDEX(CODIFICACION!$E$2:$E$500,MATCH("D7.27|"&amp;CAPTURA!CI61,CODIFICACION!$F$2:$F$500,0))),"⚠"))</f>
        <v/>
      </c>
      <c r="BE61" t="str">
        <f>IF(CAPTURA!CJ61="","",IFERROR(IF(INDEX(CODIFICACION!$E$2:$E$500,MATCH("D7.28|"&amp;CAPTURA!CJ61,CODIFICACION!$F$2:$F$500,0))="sin dato","",INDEX(CODIFICACION!$E$2:$E$500,MATCH("D7.28|"&amp;CAPTURA!CJ61,CODIFICACION!$F$2:$F$500,0))),"⚠"))</f>
        <v/>
      </c>
      <c r="BF61" t="str">
        <f>IF(CAPTURA!CK61="","",IFERROR(IF(INDEX(CODIFICACION!$E$2:$E$500,MATCH("D7.28b|"&amp;CAPTURA!CK61,CODIFICACION!$F$2:$F$500,0))="sin dato","",INDEX(CODIFICACION!$E$2:$E$500,MATCH("D7.28b|"&amp;CAPTURA!CK61,CODIFICACION!$F$2:$F$500,0))),"⚠"))</f>
        <v/>
      </c>
      <c r="BG61" t="str">
        <f>IF(CAPTURA!CL61="","",MIN(100,ROUND((LEN(CAPTURA!CL61)-LEN(SUBSTITUTE(CAPTURA!CL61,";",""))+1)/8*100,1)))</f>
        <v/>
      </c>
      <c r="BH61" t="str">
        <f>IF(CAPTURA!CM61="","",IFERROR(IF(INDEX(CODIFICACION!$E$2:$E$500,MATCH("D7.26a|"&amp;CAPTURA!CM61,CODIFICACION!$F$2:$F$500,0))="sin dato","",INDEX(CODIFICACION!$E$2:$E$500,MATCH("D7.26a|"&amp;CAPTURA!CM61,CODIFICACION!$F$2:$F$500,0))),"⚠"))</f>
        <v/>
      </c>
      <c r="BI61" t="str">
        <f>IF(CAPTURA!CN61="","",IFERROR(IF(INDEX(CODIFICACION!$E$2:$E$500,MATCH("D7.26b|"&amp;CAPTURA!CN61,CODIFICACION!$F$2:$F$500,0))="sin dato","",INDEX(CODIFICACION!$E$2:$E$500,MATCH("D7.26b|"&amp;CAPTURA!CN61,CODIFICACION!$F$2:$F$500,0))),"⚠"))</f>
        <v/>
      </c>
      <c r="BJ61" t="str">
        <f>IF(CAPTURA!CO61="","",IF(AND(ISNUMBER(CAPTURA!CO61),CAPTURA!CO61&gt;=0,CAPTURA!CO61&lt;=4),CAPTURA!CO61*25,"⚠"))</f>
        <v/>
      </c>
      <c r="BK61" t="str">
        <f>IF(CAPTURA!CP61="","",IF(ISNUMBER(CAPTURA!CP61),MAX(0,MIN(100,CAPTURA!CP61)),"⚠"))</f>
        <v/>
      </c>
      <c r="BL61" t="str">
        <f>IF(CAPTURA!CQ61="","",IFERROR(IF(INDEX(CODIFICACION!$E$2:$E$500,MATCH("D8.31|"&amp;CAPTURA!CQ61,CODIFICACION!$F$2:$F$500,0))="sin dato","",INDEX(CODIFICACION!$E$2:$E$500,MATCH("D8.31|"&amp;CAPTURA!CQ61,CODIFICACION!$F$2:$F$500,0))),"⚠"))</f>
        <v/>
      </c>
      <c r="BM61" t="str">
        <f>IF(CAPTURA!CR61="","",IFERROR(IF(INDEX(CODIFICACION!$E$2:$E$500,MATCH("D8.32|"&amp;CAPTURA!CR61,CODIFICACION!$F$2:$F$500,0))="sin dato","",INDEX(CODIFICACION!$E$2:$E$500,MATCH("D8.32|"&amp;CAPTURA!CR61,CODIFICACION!$F$2:$F$500,0))),"⚠"))</f>
        <v/>
      </c>
      <c r="BN61" t="str">
        <f>IF(CAPTURA!CS61="","",IFERROR(IF(INDEX(CODIFICACION!$E$2:$E$500,MATCH("D9.33|"&amp;CAPTURA!CS61,CODIFICACION!$F$2:$F$500,0))="sin dato","",INDEX(CODIFICACION!$E$2:$E$500,MATCH("D9.33|"&amp;CAPTURA!CS61,CODIFICACION!$F$2:$F$500,0))),"⚠"))</f>
        <v/>
      </c>
      <c r="BO61" t="str">
        <f>IF(CAPTURA!CT61="","",IFERROR(IF(INDEX(CODIFICACION!$E$2:$E$500,MATCH("D9.34|"&amp;CAPTURA!CT61,CODIFICACION!$F$2:$F$500,0))="sin dato","",INDEX(CODIFICACION!$E$2:$E$500,MATCH("D9.34|"&amp;CAPTURA!CT61,CODIFICACION!$F$2:$F$500,0))),"⚠"))</f>
        <v/>
      </c>
      <c r="BP61" t="str">
        <f>IF(CAPTURA!CU61="","",IFERROR(IF(INDEX(CODIFICACION!$E$2:$E$500,MATCH("D9.35|"&amp;CAPTURA!CU61,CODIFICACION!$F$2:$F$500,0))="sin dato","",INDEX(CODIFICACION!$E$2:$E$500,MATCH("D9.35|"&amp;CAPTURA!CU61,CODIFICACION!$F$2:$F$500,0))),"⚠"))</f>
        <v/>
      </c>
      <c r="BQ61" t="str">
        <f>IF(CAPTURA!CV61="","",IFERROR(IF(INDEX(CODIFICACION!$E$2:$E$500,MATCH("D10.36|"&amp;CAPTURA!CV61,CODIFICACION!$F$2:$F$500,0))="sin dato","",INDEX(CODIFICACION!$E$2:$E$500,MATCH("D10.36|"&amp;CAPTURA!CV61,CODIFICACION!$F$2:$F$500,0))),"⚠"))</f>
        <v/>
      </c>
      <c r="BR61" t="str">
        <f>IF(CAPTURA!CW61="","",IFERROR(IF(INDEX(CODIFICACION!$E$2:$E$500,MATCH("D10.37|"&amp;CAPTURA!CW61,CODIFICACION!$F$2:$F$500,0))="sin dato","",INDEX(CODIFICACION!$E$2:$E$500,MATCH("D10.37|"&amp;CAPTURA!CW61,CODIFICACION!$F$2:$F$500,0))),"⚠"))</f>
        <v/>
      </c>
      <c r="BS61" t="str">
        <f>IF(CAPTURA!CX61="","",IFERROR(IF(INDEX(CODIFICACION!$E$2:$E$500,MATCH("D10.36a|"&amp;CAPTURA!CX61,CODIFICACION!$F$2:$F$500,0))="sin dato","",INDEX(CODIFICACION!$E$2:$E$500,MATCH("D10.36a|"&amp;CAPTURA!CX61,CODIFICACION!$F$2:$F$500,0))),"⚠"))</f>
        <v/>
      </c>
      <c r="BT61" t="str">
        <f>IF(CAPTURA!CY61="","",IF(ISNUMBER(SEARCH("Ninguno",CAPTURA!CY61)),0,MIN(100,ROUND((LEN(CAPTURA!CY61)-LEN(SUBSTITUTE(CAPTURA!CY61,";",""))+1)/6*100,1))))</f>
        <v/>
      </c>
      <c r="BU61" t="str">
        <f>IF(CAPTURA!DA61="","",IFERROR(IF(INDEX(CODIFICACION!$E$2:$E$500,MATCH("D11.39a|"&amp;CAPTURA!DA61,CODIFICACION!$F$2:$F$500,0))="sin dato","",INDEX(CODIFICACION!$E$2:$E$500,MATCH("D11.39a|"&amp;CAPTURA!DA61,CODIFICACION!$F$2:$F$500,0))),"⚠"))</f>
        <v/>
      </c>
      <c r="BV61" t="str">
        <f>IF(CAPTURA!DB61="","",IFERROR(IF(INDEX(CODIFICACION!$E$2:$E$500,MATCH("D12.42|"&amp;CAPTURA!DB61,CODIFICACION!$F$2:$F$500,0))="sin dato","",INDEX(CODIFICACION!$E$2:$E$500,MATCH("D12.42|"&amp;CAPTURA!DB61,CODIFICACION!$F$2:$F$500,0))),"⚠"))</f>
        <v/>
      </c>
      <c r="BW61" t="str">
        <f>IF(CAPTURA!DC61="","",IFERROR(IF(INDEX(CODIFICACION!$E$2:$E$500,MATCH("D13.45|"&amp;CAPTURA!DC61,CODIFICACION!$F$2:$F$500,0))="sin dato","",INDEX(CODIFICACION!$E$2:$E$500,MATCH("D13.45|"&amp;CAPTURA!DC61,CODIFICACION!$F$2:$F$500,0))),"⚠"))</f>
        <v/>
      </c>
      <c r="BX61" t="str">
        <f>IF(CAPTURA!DD61="","",IFERROR(IF(INDEX(CODIFICACION!$E$2:$E$500,MATCH("D14.51|"&amp;CAPTURA!DD61,CODIFICACION!$F$2:$F$500,0))="sin dato","",INDEX(CODIFICACION!$E$2:$E$500,MATCH("D14.51|"&amp;CAPTURA!DD61,CODIFICACION!$F$2:$F$500,0))),"⚠"))</f>
        <v/>
      </c>
      <c r="BY61" t="str">
        <f>IF(CAPTURA!DE61="","",IFERROR(IF(INDEX(CODIFICACION!$E$2:$E$500,MATCH("D15.58|"&amp;CAPTURA!DE61,CODIFICACION!$F$2:$F$500,0))="sin dato","",INDEX(CODIFICACION!$E$2:$E$500,MATCH("D15.58|"&amp;CAPTURA!DE61,CODIFICACION!$F$2:$F$500,0))),"⚠"))</f>
        <v/>
      </c>
      <c r="BZ61" t="str">
        <f>IF(CAPTURA!DF61="","",IFERROR(IF(INDEX(CODIFICACION!$E$2:$E$500,MATCH("PP1|"&amp;CAPTURA!DF61,CODIFICACION!$F$2:$F$500,0))="sin dato","",INDEX(CODIFICACION!$E$2:$E$500,MATCH("PP1|"&amp;CAPTURA!DF61,CODIFICACION!$F$2:$F$500,0))),"⚠"))</f>
        <v/>
      </c>
      <c r="CA61" t="str">
        <f>IF(CAPTURA!DG61="","",IFERROR(IF(INDEX(CODIFICACION!$E$2:$E$500,MATCH("PP2|"&amp;CAPTURA!DG61,CODIFICACION!$F$2:$F$500,0))="sin dato","",INDEX(CODIFICACION!$E$2:$E$500,MATCH("PP2|"&amp;CAPTURA!DG61,CODIFICACION!$F$2:$F$500,0))),"⚠"))</f>
        <v/>
      </c>
      <c r="CB61" t="str">
        <f t="shared" si="11"/>
        <v/>
      </c>
      <c r="CC61" t="str">
        <f t="shared" si="12"/>
        <v/>
      </c>
      <c r="CD61" t="str">
        <f t="shared" si="13"/>
        <v/>
      </c>
      <c r="CE61" t="str">
        <f t="shared" si="14"/>
        <v/>
      </c>
      <c r="CF61" t="str">
        <f t="shared" si="15"/>
        <v/>
      </c>
      <c r="CG61" t="str">
        <f t="shared" si="16"/>
        <v/>
      </c>
      <c r="CH61" t="str">
        <f t="shared" si="17"/>
        <v/>
      </c>
      <c r="CI61" t="str">
        <f t="shared" si="18"/>
        <v/>
      </c>
      <c r="CJ61" t="str">
        <f t="shared" si="19"/>
        <v/>
      </c>
      <c r="CK61" t="str">
        <f t="shared" si="20"/>
        <v/>
      </c>
      <c r="CL61" t="str">
        <f t="shared" si="21"/>
        <v/>
      </c>
    </row>
    <row r="62" spans="1:90" x14ac:dyDescent="0.3">
      <c r="A62">
        <f>CAPTURA!A62</f>
        <v>20529801433</v>
      </c>
      <c r="B62">
        <f>CAPTURA!C62</f>
        <v>0</v>
      </c>
      <c r="C62" t="str">
        <f>IF(CAPTURA!M62="","",ROUND((ISNUMBER(SEARCH("Alemania",CAPTURA!M62))+ISNUMBER(SEARCH("Bélgica",CAPTURA!M62))+ISNUMBER(SEARCH("Países Bajos",CAPTURA!M62))+ISNUMBER(SEARCH("Francia",CAPTURA!M62))+ISNUMBER(SEARCH("Italia",CAPTURA!M62))+ISNUMBER(SEARCH("España",CAPTURA!M62))+ISNUMBER(SEARCH("Suecia",CAPTURA!M62))+ISNUMBER(SEARCH("Dinamarca",CAPTURA!M62)))/((LEN(CAPTURA!M62)-LEN(SUBSTITUTE(CAPTURA!M62,";","")))+1)*100,1))</f>
        <v/>
      </c>
      <c r="D62" t="str">
        <f>IF(CAPTURA!AE62="","",IFERROR(IF(INDEX(CODIFICACION!$E$2:$E$500,MATCH("P8|"&amp;CAPTURA!AE62,CODIFICACION!$F$2:$F$500,0))="sin dato","",INDEX(CODIFICACION!$E$2:$E$500,MATCH("P8|"&amp;CAPTURA!AE62,CODIFICACION!$F$2:$F$500,0))),"⚠"))</f>
        <v/>
      </c>
      <c r="E62" t="str">
        <f>IF(CAPTURA!AG62="","",IFERROR(IF(INDEX(CODIFICACION!$E$2:$E$500,MATCH("P10|"&amp;CAPTURA!AG62,CODIFICACION!$F$2:$F$500,0))="sin dato","",INDEX(CODIFICACION!$E$2:$E$500,MATCH("P10|"&amp;CAPTURA!AG62,CODIFICACION!$F$2:$F$500,0))),"⚠"))</f>
        <v/>
      </c>
      <c r="F62" t="str">
        <f>IF(CAPTURA!AJ62="","",IFERROR(IF(INDEX(CODIFICACION!$E$2:$E$500,MATCH("P13|"&amp;CAPTURA!AJ62,CODIFICACION!$F$2:$F$500,0))="sin dato","",INDEX(CODIFICACION!$E$2:$E$500,MATCH("P13|"&amp;CAPTURA!AJ62,CODIFICACION!$F$2:$F$500,0))),"⚠"))</f>
        <v/>
      </c>
      <c r="G62" t="str">
        <f>IF(CAPTURA!AK62="","",IFERROR(IF(INDEX(CODIFICACION!$E$2:$E$500,MATCH("P14|"&amp;CAPTURA!AK62,CODIFICACION!$F$2:$F$500,0))="sin dato","",INDEX(CODIFICACION!$E$2:$E$500,MATCH("P14|"&amp;CAPTURA!AK62,CODIFICACION!$F$2:$F$500,0))),"⚠"))</f>
        <v/>
      </c>
      <c r="H62" t="str">
        <f>IF(CAPTURA!AL62="","",IFERROR(IF(INDEX(CODIFICACION!$E$2:$E$500,MATCH("D1.1|"&amp;CAPTURA!AL62,CODIFICACION!$F$2:$F$500,0))="sin dato","",INDEX(CODIFICACION!$E$2:$E$500,MATCH("D1.1|"&amp;CAPTURA!AL62,CODIFICACION!$F$2:$F$500,0))),"⚠"))</f>
        <v/>
      </c>
      <c r="I62" t="str">
        <f>IF(CAPTURA!AN62="","",IFERROR(IF(INDEX(CODIFICACION!$E$2:$E$500,MATCH("D1.3|"&amp;CAPTURA!AN62,CODIFICACION!$F$2:$F$500,0))="sin dato","",INDEX(CODIFICACION!$E$2:$E$500,MATCH("D1.3|"&amp;CAPTURA!AN62,CODIFICACION!$F$2:$F$500,0))),"⚠"))</f>
        <v/>
      </c>
      <c r="J62" t="str">
        <f>IF(CAPTURA!AO62="","",IFERROR(IF(INDEX(CODIFICACION!$E$2:$E$500,MATCH("D1.4|"&amp;CAPTURA!AO62,CODIFICACION!$F$2:$F$500,0))="sin dato","",INDEX(CODIFICACION!$E$2:$E$500,MATCH("D1.4|"&amp;CAPTURA!AO62,CODIFICACION!$F$2:$F$500,0))),"⚠"))</f>
        <v/>
      </c>
      <c r="K62" t="str">
        <f>IF(CAPTURA!AP62="","",IFERROR(IF(INDEX(CODIFICACION!$E$2:$E$500,MATCH("D1.3a|"&amp;CAPTURA!AP62,CODIFICACION!$F$2:$F$500,0))="sin dato","",INDEX(CODIFICACION!$E$2:$E$500,MATCH("D1.3a|"&amp;CAPTURA!AP62,CODIFICACION!$F$2:$F$500,0))),"⚠"))</f>
        <v/>
      </c>
      <c r="L62" t="str">
        <f>IF(CAPTURA!AQ62="","",IF(AND(ISNUMBER(CAPTURA!AQ62),CAPTURA!AQ62&gt;=0,CAPTURA!AQ62&lt;=4),CAPTURA!AQ62*25,"⚠"))</f>
        <v/>
      </c>
      <c r="M62" t="str">
        <f>IF(CAPTURA!AR62="","",IF(ISNUMBER(CAPTURA!AR62),MAX(0,MIN(100,CAPTURA!AR62)),"⚠"))</f>
        <v/>
      </c>
      <c r="N62" t="str">
        <f>IF(CAPTURA!AS62="","",IF(AND(ISNUMBER(CAPTURA!AS62),CAPTURA!AS62&gt;=0,CAPTURA!AS62&lt;=4),CAPTURA!AS62*25,"⚠"))</f>
        <v/>
      </c>
      <c r="O62" t="str">
        <f>IF(CAPTURA!AT62="","",IFERROR(IF(INDEX(CODIFICACION!$E$2:$E$500,MATCH("D2.8|"&amp;CAPTURA!AT62,CODIFICACION!$F$2:$F$500,0))="sin dato","",INDEX(CODIFICACION!$E$2:$E$500,MATCH("D2.8|"&amp;CAPTURA!AT62,CODIFICACION!$F$2:$F$500,0))),"⚠"))</f>
        <v/>
      </c>
      <c r="P62" t="str">
        <f>IF(CAPTURA!AU62="","",IFERROR(IF(INDEX(CODIFICACION!$E$2:$E$500,MATCH("D2.9|"&amp;CAPTURA!AU62,CODIFICACION!$F$2:$F$500,0))="sin dato","",INDEX(CODIFICACION!$E$2:$E$500,MATCH("D2.9|"&amp;CAPTURA!AU62,CODIFICACION!$F$2:$F$500,0))),"⚠"))</f>
        <v/>
      </c>
      <c r="Q62" t="str">
        <f>IF(CAPTURA!AV62="","",IFERROR(IF(INDEX(CODIFICACION!$E$2:$E$500,MATCH("D2.10|"&amp;CAPTURA!AV62,CODIFICACION!$F$2:$F$500,0))="sin dato","",INDEX(CODIFICACION!$E$2:$E$500,MATCH("D2.10|"&amp;CAPTURA!AV62,CODIFICACION!$F$2:$F$500,0))),"⚠"))</f>
        <v/>
      </c>
      <c r="R62" t="str">
        <f>IF(CAPTURA!AW62="","",IFERROR(IF(INDEX(CODIFICACION!$E$2:$E$500,MATCH("D2.5a|"&amp;CAPTURA!AW62,CODIFICACION!$F$2:$F$500,0))="sin dato","",INDEX(CODIFICACION!$E$2:$E$500,MATCH("D2.5a|"&amp;CAPTURA!AW62,CODIFICACION!$F$2:$F$500,0))),"⚠"))</f>
        <v/>
      </c>
      <c r="S62" t="str">
        <f>IF(CAPTURA!AX62="","",IFERROR(IF(INDEX(CODIFICACION!$E$2:$E$500,MATCH("D2.5b|"&amp;CAPTURA!AX62,CODIFICACION!$F$2:$F$500,0))="sin dato","",INDEX(CODIFICACION!$E$2:$E$500,MATCH("D2.5b|"&amp;CAPTURA!AX62,CODIFICACION!$F$2:$F$500,0))),"⚠"))</f>
        <v/>
      </c>
      <c r="T62" t="str">
        <f>IF(CAPTURA!AY62="","",IF(ISNUMBER(CAPTURA!AY62),MAX(0,MIN(100,CAPTURA!AY62)),"⚠"))</f>
        <v/>
      </c>
      <c r="U62" t="str">
        <f>IF(CAPTURA!AZ62="","",IFERROR(IF(INDEX(CODIFICACION!$E$2:$E$500,MATCH("D3.12|"&amp;CAPTURA!AZ62,CODIFICACION!$F$2:$F$500,0))="sin dato","",INDEX(CODIFICACION!$E$2:$E$500,MATCH("D3.12|"&amp;CAPTURA!AZ62,CODIFICACION!$F$2:$F$500,0))),"⚠"))</f>
        <v/>
      </c>
      <c r="V62" t="str">
        <f>IF(CAPTURA!BA62="","",IF(AND(ISNUMBER(CAPTURA!BA62),CAPTURA!BA62&gt;=0,CAPTURA!BA62&lt;=4),CAPTURA!BA62*25,"⚠"))</f>
        <v/>
      </c>
      <c r="W62" t="str">
        <f>IF(CAPTURA!BB62="","",IFERROR(IF(INDEX(CODIFICACION!$E$2:$E$500,MATCH("D3.14|"&amp;CAPTURA!BB62,CODIFICACION!$F$2:$F$500,0))="sin dato","",INDEX(CODIFICACION!$E$2:$E$500,MATCH("D3.14|"&amp;CAPTURA!BB62,CODIFICACION!$F$2:$F$500,0))),"⚠"))</f>
        <v/>
      </c>
      <c r="X62" t="str">
        <f>IF(CAPTURA!BC62="","",IFERROR(IF(INDEX(CODIFICACION!$E$2:$E$500,MATCH("D3.14a|"&amp;CAPTURA!BC62,CODIFICACION!$F$2:$F$500,0))="sin dato","",INDEX(CODIFICACION!$E$2:$E$500,MATCH("D3.14a|"&amp;CAPTURA!BC62,CODIFICACION!$F$2:$F$500,0))),"⚠"))</f>
        <v/>
      </c>
      <c r="Y62" t="str">
        <f>IF(CAPTURA!BD62="","",IFERROR(IF(INDEX(CODIFICACION!$E$2:$E$500,MATCH("D3.14b|"&amp;CAPTURA!BD62,CODIFICACION!$F$2:$F$500,0))="sin dato","",INDEX(CODIFICACION!$E$2:$E$500,MATCH("D3.14b|"&amp;CAPTURA!BD62,CODIFICACION!$F$2:$F$500,0))),"⚠"))</f>
        <v/>
      </c>
      <c r="Z62" t="str">
        <f>IF(CAPTURA!BE62="","",IFERROR(IF(INDEX(CODIFICACION!$E$2:$E$500,MATCH("D3.14c|"&amp;CAPTURA!BE62,CODIFICACION!$F$2:$F$500,0))="sin dato","",INDEX(CODIFICACION!$E$2:$E$500,MATCH("D3.14c|"&amp;CAPTURA!BE62,CODIFICACION!$F$2:$F$500,0))),"⚠"))</f>
        <v/>
      </c>
      <c r="AA62" t="str">
        <f>IF(CAPTURA!BF62="","",IFERROR(IF(INDEX(CODIFICACION!$E$2:$E$500,MATCH("D3.14d|"&amp;CAPTURA!BF62,CODIFICACION!$F$2:$F$500,0))="sin dato","",INDEX(CODIFICACION!$E$2:$E$500,MATCH("D3.14d|"&amp;CAPTURA!BF62,CODIFICACION!$F$2:$F$500,0))),"⚠"))</f>
        <v/>
      </c>
      <c r="AB62" t="str">
        <f>IF(CAPTURA!BG62="","",IFERROR(IF(INDEX(CODIFICACION!$E$2:$E$500,MATCH("D3.14e|"&amp;CAPTURA!BG62,CODIFICACION!$F$2:$F$500,0))="sin dato","",INDEX(CODIFICACION!$E$2:$E$500,MATCH("D3.14e|"&amp;CAPTURA!BG62,CODIFICACION!$F$2:$F$500,0))),"⚠"))</f>
        <v/>
      </c>
      <c r="AC62" t="str">
        <f>IF(CAPTURA!BH62="","",IFERROR(IF(INDEX(CODIFICACION!$E$2:$E$500,MATCH("D3.14f|"&amp;CAPTURA!BH62,CODIFICACION!$F$2:$F$500,0))="sin dato","",INDEX(CODIFICACION!$E$2:$E$500,MATCH("D3.14f|"&amp;CAPTURA!BH62,CODIFICACION!$F$2:$F$500,0))),"⚠"))</f>
        <v/>
      </c>
      <c r="AD62" t="str">
        <f>IF(CAPTURA!BI62="","",IFERROR(IF(INDEX(CODIFICACION!$E$2:$E$500,MATCH("D3.14g|"&amp;CAPTURA!BI62,CODIFICACION!$F$2:$F$500,0))="sin dato","",INDEX(CODIFICACION!$E$2:$E$500,MATCH("D3.14g|"&amp;CAPTURA!BI62,CODIFICACION!$F$2:$F$500,0))),"⚠"))</f>
        <v/>
      </c>
      <c r="AE62" t="str">
        <f>IF(CAPTURA!BJ62="","",IFERROR(IF(INDEX(CODIFICACION!$E$2:$E$500,MATCH("D3.14h|"&amp;CAPTURA!BJ62,CODIFICACION!$F$2:$F$500,0))="sin dato","",INDEX(CODIFICACION!$E$2:$E$500,MATCH("D3.14h|"&amp;CAPTURA!BJ62,CODIFICACION!$F$2:$F$500,0))),"⚠"))</f>
        <v/>
      </c>
      <c r="AF62" t="str">
        <f>IF(CAPTURA!BK62="","",IFERROR(IF(INDEX(CODIFICACION!$E$2:$E$500,MATCH("D3.14i|"&amp;CAPTURA!BK62,CODIFICACION!$F$2:$F$500,0))="sin dato","",INDEX(CODIFICACION!$E$2:$E$500,MATCH("D3.14i|"&amp;CAPTURA!BK62,CODIFICACION!$F$2:$F$500,0))),"⚠"))</f>
        <v/>
      </c>
      <c r="AG62" t="str">
        <f>IF(CAPTURA!BL62="","",IFERROR(IF(INDEX(CODIFICACION!$E$2:$E$500,MATCH("D4.15|"&amp;CAPTURA!BL62,CODIFICACION!$F$2:$F$500,0))="sin dato","",INDEX(CODIFICACION!$E$2:$E$500,MATCH("D4.15|"&amp;CAPTURA!BL62,CODIFICACION!$F$2:$F$500,0))),"⚠"))</f>
        <v/>
      </c>
      <c r="AH62" t="str">
        <f>IF(CAPTURA!BM62="","",IF(AND(ISNUMBER(CAPTURA!BM62),CAPTURA!BM62&gt;=0,CAPTURA!BM62&lt;=4),CAPTURA!BM62*25,"⚠"))</f>
        <v/>
      </c>
      <c r="AI62" t="str">
        <f>IF(CAPTURA!BN62="","",IFERROR(IF(INDEX(CODIFICACION!$E$2:$E$500,MATCH("D4.17|"&amp;CAPTURA!BN62,CODIFICACION!$F$2:$F$500,0))="sin dato","",INDEX(CODIFICACION!$E$2:$E$500,MATCH("D4.17|"&amp;CAPTURA!BN62,CODIFICACION!$F$2:$F$500,0))),"⚠"))</f>
        <v/>
      </c>
      <c r="AJ62" t="str">
        <f>IF(CAPTURA!BO62="","",IFERROR(IF(INDEX(CODIFICACION!$E$2:$E$500,MATCH("D4.15a|"&amp;CAPTURA!BO62,CODIFICACION!$F$2:$F$500,0))="sin dato","",INDEX(CODIFICACION!$E$2:$E$500,MATCH("D4.15a|"&amp;CAPTURA!BO62,CODIFICACION!$F$2:$F$500,0))),"⚠"))</f>
        <v/>
      </c>
      <c r="AK62" t="str">
        <f>IF(CAPTURA!BP62="","",IF(AND(ISNUMBER(CAPTURA!BP62),CAPTURA!BP62&gt;=0,CAPTURA!BP62&lt;=4),CAPTURA!BP62*25,"⚠"))</f>
        <v/>
      </c>
      <c r="AL62" t="str">
        <f>IF(CAPTURA!BQ62="","",IF(AND(ISNUMBER(CAPTURA!BQ62),CAPTURA!BQ62&gt;=0,CAPTURA!BQ62&lt;=4),CAPTURA!BQ62*25,"⚠"))</f>
        <v/>
      </c>
      <c r="AM62" t="str">
        <f>IF(CAPTURA!BR62="","",IFERROR(IF(INDEX(CODIFICACION!$E$2:$E$500,MATCH("D5.18b|"&amp;CAPTURA!BR62,CODIFICACION!$F$2:$F$500,0))="sin dato","",INDEX(CODIFICACION!$E$2:$E$500,MATCH("D5.18b|"&amp;CAPTURA!BR62,CODIFICACION!$F$2:$F$500,0))),"⚠"))</f>
        <v/>
      </c>
      <c r="AN62" t="str">
        <f>IF(CAPTURA!BS62="","",IFERROR(IF(INDEX(CODIFICACION!$E$2:$E$500,MATCH("D5.19|"&amp;CAPTURA!BS62,CODIFICACION!$F$2:$F$500,0))="sin dato","",INDEX(CODIFICACION!$E$2:$E$500,MATCH("D5.19|"&amp;CAPTURA!BS62,CODIFICACION!$F$2:$F$500,0))),"⚠"))</f>
        <v/>
      </c>
      <c r="AO62" t="str">
        <f>IF(CAPTURA!BT62="","",MIN(100,ROUND((LEN(CAPTURA!BT62)-LEN(SUBSTITUTE(CAPTURA!BT62,";",""))+1)/7*100,1)))</f>
        <v/>
      </c>
      <c r="AP62" t="str">
        <f>IF(CAPTURA!BU62="","",IFERROR(IF(INDEX(CODIFICACION!$E$2:$E$500,MATCH("D5.20|"&amp;CAPTURA!BU62,CODIFICACION!$F$2:$F$500,0))="sin dato","",INDEX(CODIFICACION!$E$2:$E$500,MATCH("D5.20|"&amp;CAPTURA!BU62,CODIFICACION!$F$2:$F$500,0))),"⚠"))</f>
        <v/>
      </c>
      <c r="AQ62" t="str">
        <f>IF(CAPTURA!BV62="","",IFERROR(IF(INDEX(CODIFICACION!$E$2:$E$500,MATCH("D5.21|"&amp;CAPTURA!BV62,CODIFICACION!$F$2:$F$500,0))="sin dato","",INDEX(CODIFICACION!$E$2:$E$500,MATCH("D5.21|"&amp;CAPTURA!BV62,CODIFICACION!$F$2:$F$500,0))),"⚠"))</f>
        <v/>
      </c>
      <c r="AR62" t="str">
        <f>IF(CAPTURA!BW62="","",IFERROR(IF(INDEX(CODIFICACION!$E$2:$E$500,MATCH("D5.21a|"&amp;CAPTURA!BW62,CODIFICACION!$F$2:$F$500,0))="sin dato","",INDEX(CODIFICACION!$E$2:$E$500,MATCH("D5.21a|"&amp;CAPTURA!BW62,CODIFICACION!$F$2:$F$500,0))),"⚠"))</f>
        <v/>
      </c>
      <c r="AS62" t="str">
        <f>IF(CAPTURA!BX62="","",IFERROR(IF(INDEX(CODIFICACION!$E$2:$E$500,MATCH("D5.21b|"&amp;CAPTURA!BX62,CODIFICACION!$F$2:$F$500,0))="sin dato","",INDEX(CODIFICACION!$E$2:$E$500,MATCH("D5.21b|"&amp;CAPTURA!BX62,CODIFICACION!$F$2:$F$500,0))),"⚠"))</f>
        <v/>
      </c>
      <c r="AT62" t="str">
        <f>IF(CAPTURA!BY62="","",IFERROR(IF(INDEX(CODIFICACION!$E$2:$E$500,MATCH("D6.22|"&amp;CAPTURA!BY62,CODIFICACION!$F$2:$F$500,0))="sin dato","",INDEX(CODIFICACION!$E$2:$E$500,MATCH("D6.22|"&amp;CAPTURA!BY62,CODIFICACION!$F$2:$F$500,0))),"⚠"))</f>
        <v/>
      </c>
      <c r="AU62" t="str">
        <f>IF(CAPTURA!BZ62="","",IFERROR(IF(INDEX(CODIFICACION!$E$2:$E$500,MATCH("D6.22a|"&amp;CAPTURA!BZ62,CODIFICACION!$F$2:$F$500,0))="sin dato","",INDEX(CODIFICACION!$E$2:$E$500,MATCH("D6.22a|"&amp;CAPTURA!BZ62,CODIFICACION!$F$2:$F$500,0))),"⚠"))</f>
        <v/>
      </c>
      <c r="AV62" t="str">
        <f>IF(CAPTURA!CA62="","",IFERROR(IF(INDEX(CODIFICACION!$E$2:$E$500,MATCH("D6.22b|"&amp;CAPTURA!CA62,CODIFICACION!$F$2:$F$500,0))="sin dato","",INDEX(CODIFICACION!$E$2:$E$500,MATCH("D6.22b|"&amp;CAPTURA!CA62,CODIFICACION!$F$2:$F$500,0))),"⚠"))</f>
        <v/>
      </c>
      <c r="AW62" t="str">
        <f>IF(CAPTURA!CB62="","",IFERROR(IF(INDEX(CODIFICACION!$E$2:$E$500,MATCH("D6.23|"&amp;CAPTURA!CB62,CODIFICACION!$F$2:$F$500,0))="sin dato","",INDEX(CODIFICACION!$E$2:$E$500,MATCH("D6.23|"&amp;CAPTURA!CB62,CODIFICACION!$F$2:$F$500,0))),"⚠"))</f>
        <v/>
      </c>
      <c r="AX62" t="str">
        <f>IF(CAPTURA!CC62="","",IFERROR(IF(INDEX(CODIFICACION!$E$2:$E$500,MATCH("D6.24|"&amp;CAPTURA!CC62,CODIFICACION!$F$2:$F$500,0))="sin dato","",INDEX(CODIFICACION!$E$2:$E$500,MATCH("D6.24|"&amp;CAPTURA!CC62,CODIFICACION!$F$2:$F$500,0))),"⚠"))</f>
        <v/>
      </c>
      <c r="AY62" t="str">
        <f>IF(CAPTURA!CD62="","",IFERROR(IF(INDEX(CODIFICACION!$E$2:$E$500,MATCH("D6.25|"&amp;CAPTURA!CD62,CODIFICACION!$F$2:$F$500,0))="sin dato","",INDEX(CODIFICACION!$E$2:$E$500,MATCH("D6.25|"&amp;CAPTURA!CD62,CODIFICACION!$F$2:$F$500,0))),"⚠"))</f>
        <v/>
      </c>
      <c r="AZ62" t="str">
        <f>IF(CAPTURA!CE62="","",IFERROR(IF(INDEX(CODIFICACION!$E$2:$E$500,MATCH("D6.25a|"&amp;CAPTURA!CE62,CODIFICACION!$F$2:$F$500,0))="sin dato","",INDEX(CODIFICACION!$E$2:$E$500,MATCH("D6.25a|"&amp;CAPTURA!CE62,CODIFICACION!$F$2:$F$500,0))),"⚠"))</f>
        <v/>
      </c>
      <c r="BA62" t="str">
        <f>IF(CAPTURA!CF62="","",IFERROR(IF(INDEX(CODIFICACION!$E$2:$E$500,MATCH("D6.25b|"&amp;CAPTURA!CF62,CODIFICACION!$F$2:$F$500,0))="sin dato","",INDEX(CODIFICACION!$E$2:$E$500,MATCH("D6.25b|"&amp;CAPTURA!CF62,CODIFICACION!$F$2:$F$500,0))),"⚠"))</f>
        <v/>
      </c>
      <c r="BB62" t="str">
        <f>IF(CAPTURA!CG62="","",IFERROR(IF(INDEX(CODIFICACION!$E$2:$E$500,MATCH("D6.22c|"&amp;CAPTURA!CG62,CODIFICACION!$F$2:$F$500,0))="sin dato","",INDEX(CODIFICACION!$E$2:$E$500,MATCH("D6.22c|"&amp;CAPTURA!CG62,CODIFICACION!$F$2:$F$500,0))),"⚠"))</f>
        <v/>
      </c>
      <c r="BC62" t="str">
        <f>IF(CAPTURA!CH62="","",IFERROR(IF(INDEX(CODIFICACION!$E$2:$E$500,MATCH("D7.26|"&amp;CAPTURA!CH62,CODIFICACION!$F$2:$F$500,0))="sin dato","",INDEX(CODIFICACION!$E$2:$E$500,MATCH("D7.26|"&amp;CAPTURA!CH62,CODIFICACION!$F$2:$F$500,0))),"⚠"))</f>
        <v/>
      </c>
      <c r="BD62" t="str">
        <f>IF(CAPTURA!CI62="","",IFERROR(IF(INDEX(CODIFICACION!$E$2:$E$500,MATCH("D7.27|"&amp;CAPTURA!CI62,CODIFICACION!$F$2:$F$500,0))="sin dato","",INDEX(CODIFICACION!$E$2:$E$500,MATCH("D7.27|"&amp;CAPTURA!CI62,CODIFICACION!$F$2:$F$500,0))),"⚠"))</f>
        <v/>
      </c>
      <c r="BE62" t="str">
        <f>IF(CAPTURA!CJ62="","",IFERROR(IF(INDEX(CODIFICACION!$E$2:$E$500,MATCH("D7.28|"&amp;CAPTURA!CJ62,CODIFICACION!$F$2:$F$500,0))="sin dato","",INDEX(CODIFICACION!$E$2:$E$500,MATCH("D7.28|"&amp;CAPTURA!CJ62,CODIFICACION!$F$2:$F$500,0))),"⚠"))</f>
        <v/>
      </c>
      <c r="BF62" t="str">
        <f>IF(CAPTURA!CK62="","",IFERROR(IF(INDEX(CODIFICACION!$E$2:$E$500,MATCH("D7.28b|"&amp;CAPTURA!CK62,CODIFICACION!$F$2:$F$500,0))="sin dato","",INDEX(CODIFICACION!$E$2:$E$500,MATCH("D7.28b|"&amp;CAPTURA!CK62,CODIFICACION!$F$2:$F$500,0))),"⚠"))</f>
        <v/>
      </c>
      <c r="BG62" t="str">
        <f>IF(CAPTURA!CL62="","",MIN(100,ROUND((LEN(CAPTURA!CL62)-LEN(SUBSTITUTE(CAPTURA!CL62,";",""))+1)/8*100,1)))</f>
        <v/>
      </c>
      <c r="BH62" t="str">
        <f>IF(CAPTURA!CM62="","",IFERROR(IF(INDEX(CODIFICACION!$E$2:$E$500,MATCH("D7.26a|"&amp;CAPTURA!CM62,CODIFICACION!$F$2:$F$500,0))="sin dato","",INDEX(CODIFICACION!$E$2:$E$500,MATCH("D7.26a|"&amp;CAPTURA!CM62,CODIFICACION!$F$2:$F$500,0))),"⚠"))</f>
        <v/>
      </c>
      <c r="BI62" t="str">
        <f>IF(CAPTURA!CN62="","",IFERROR(IF(INDEX(CODIFICACION!$E$2:$E$500,MATCH("D7.26b|"&amp;CAPTURA!CN62,CODIFICACION!$F$2:$F$500,0))="sin dato","",INDEX(CODIFICACION!$E$2:$E$500,MATCH("D7.26b|"&amp;CAPTURA!CN62,CODIFICACION!$F$2:$F$500,0))),"⚠"))</f>
        <v/>
      </c>
      <c r="BJ62" t="str">
        <f>IF(CAPTURA!CO62="","",IF(AND(ISNUMBER(CAPTURA!CO62),CAPTURA!CO62&gt;=0,CAPTURA!CO62&lt;=4),CAPTURA!CO62*25,"⚠"))</f>
        <v/>
      </c>
      <c r="BK62" t="str">
        <f>IF(CAPTURA!CP62="","",IF(ISNUMBER(CAPTURA!CP62),MAX(0,MIN(100,CAPTURA!CP62)),"⚠"))</f>
        <v/>
      </c>
      <c r="BL62" t="str">
        <f>IF(CAPTURA!CQ62="","",IFERROR(IF(INDEX(CODIFICACION!$E$2:$E$500,MATCH("D8.31|"&amp;CAPTURA!CQ62,CODIFICACION!$F$2:$F$500,0))="sin dato","",INDEX(CODIFICACION!$E$2:$E$500,MATCH("D8.31|"&amp;CAPTURA!CQ62,CODIFICACION!$F$2:$F$500,0))),"⚠"))</f>
        <v/>
      </c>
      <c r="BM62" t="str">
        <f>IF(CAPTURA!CR62="","",IFERROR(IF(INDEX(CODIFICACION!$E$2:$E$500,MATCH("D8.32|"&amp;CAPTURA!CR62,CODIFICACION!$F$2:$F$500,0))="sin dato","",INDEX(CODIFICACION!$E$2:$E$500,MATCH("D8.32|"&amp;CAPTURA!CR62,CODIFICACION!$F$2:$F$500,0))),"⚠"))</f>
        <v/>
      </c>
      <c r="BN62" t="str">
        <f>IF(CAPTURA!CS62="","",IFERROR(IF(INDEX(CODIFICACION!$E$2:$E$500,MATCH("D9.33|"&amp;CAPTURA!CS62,CODIFICACION!$F$2:$F$500,0))="sin dato","",INDEX(CODIFICACION!$E$2:$E$500,MATCH("D9.33|"&amp;CAPTURA!CS62,CODIFICACION!$F$2:$F$500,0))),"⚠"))</f>
        <v/>
      </c>
      <c r="BO62" t="str">
        <f>IF(CAPTURA!CT62="","",IFERROR(IF(INDEX(CODIFICACION!$E$2:$E$500,MATCH("D9.34|"&amp;CAPTURA!CT62,CODIFICACION!$F$2:$F$500,0))="sin dato","",INDEX(CODIFICACION!$E$2:$E$500,MATCH("D9.34|"&amp;CAPTURA!CT62,CODIFICACION!$F$2:$F$500,0))),"⚠"))</f>
        <v/>
      </c>
      <c r="BP62" t="str">
        <f>IF(CAPTURA!CU62="","",IFERROR(IF(INDEX(CODIFICACION!$E$2:$E$500,MATCH("D9.35|"&amp;CAPTURA!CU62,CODIFICACION!$F$2:$F$500,0))="sin dato","",INDEX(CODIFICACION!$E$2:$E$500,MATCH("D9.35|"&amp;CAPTURA!CU62,CODIFICACION!$F$2:$F$500,0))),"⚠"))</f>
        <v/>
      </c>
      <c r="BQ62" t="str">
        <f>IF(CAPTURA!CV62="","",IFERROR(IF(INDEX(CODIFICACION!$E$2:$E$500,MATCH("D10.36|"&amp;CAPTURA!CV62,CODIFICACION!$F$2:$F$500,0))="sin dato","",INDEX(CODIFICACION!$E$2:$E$500,MATCH("D10.36|"&amp;CAPTURA!CV62,CODIFICACION!$F$2:$F$500,0))),"⚠"))</f>
        <v/>
      </c>
      <c r="BR62" t="str">
        <f>IF(CAPTURA!CW62="","",IFERROR(IF(INDEX(CODIFICACION!$E$2:$E$500,MATCH("D10.37|"&amp;CAPTURA!CW62,CODIFICACION!$F$2:$F$500,0))="sin dato","",INDEX(CODIFICACION!$E$2:$E$500,MATCH("D10.37|"&amp;CAPTURA!CW62,CODIFICACION!$F$2:$F$500,0))),"⚠"))</f>
        <v/>
      </c>
      <c r="BS62" t="str">
        <f>IF(CAPTURA!CX62="","",IFERROR(IF(INDEX(CODIFICACION!$E$2:$E$500,MATCH("D10.36a|"&amp;CAPTURA!CX62,CODIFICACION!$F$2:$F$500,0))="sin dato","",INDEX(CODIFICACION!$E$2:$E$500,MATCH("D10.36a|"&amp;CAPTURA!CX62,CODIFICACION!$F$2:$F$500,0))),"⚠"))</f>
        <v/>
      </c>
      <c r="BT62" t="str">
        <f>IF(CAPTURA!CY62="","",IF(ISNUMBER(SEARCH("Ninguno",CAPTURA!CY62)),0,MIN(100,ROUND((LEN(CAPTURA!CY62)-LEN(SUBSTITUTE(CAPTURA!CY62,";",""))+1)/6*100,1))))</f>
        <v/>
      </c>
      <c r="BU62" t="str">
        <f>IF(CAPTURA!DA62="","",IFERROR(IF(INDEX(CODIFICACION!$E$2:$E$500,MATCH("D11.39a|"&amp;CAPTURA!DA62,CODIFICACION!$F$2:$F$500,0))="sin dato","",INDEX(CODIFICACION!$E$2:$E$500,MATCH("D11.39a|"&amp;CAPTURA!DA62,CODIFICACION!$F$2:$F$500,0))),"⚠"))</f>
        <v/>
      </c>
      <c r="BV62" t="str">
        <f>IF(CAPTURA!DB62="","",IFERROR(IF(INDEX(CODIFICACION!$E$2:$E$500,MATCH("D12.42|"&amp;CAPTURA!DB62,CODIFICACION!$F$2:$F$500,0))="sin dato","",INDEX(CODIFICACION!$E$2:$E$500,MATCH("D12.42|"&amp;CAPTURA!DB62,CODIFICACION!$F$2:$F$500,0))),"⚠"))</f>
        <v/>
      </c>
      <c r="BW62" t="str">
        <f>IF(CAPTURA!DC62="","",IFERROR(IF(INDEX(CODIFICACION!$E$2:$E$500,MATCH("D13.45|"&amp;CAPTURA!DC62,CODIFICACION!$F$2:$F$500,0))="sin dato","",INDEX(CODIFICACION!$E$2:$E$500,MATCH("D13.45|"&amp;CAPTURA!DC62,CODIFICACION!$F$2:$F$500,0))),"⚠"))</f>
        <v/>
      </c>
      <c r="BX62" t="str">
        <f>IF(CAPTURA!DD62="","",IFERROR(IF(INDEX(CODIFICACION!$E$2:$E$500,MATCH("D14.51|"&amp;CAPTURA!DD62,CODIFICACION!$F$2:$F$500,0))="sin dato","",INDEX(CODIFICACION!$E$2:$E$500,MATCH("D14.51|"&amp;CAPTURA!DD62,CODIFICACION!$F$2:$F$500,0))),"⚠"))</f>
        <v/>
      </c>
      <c r="BY62" t="str">
        <f>IF(CAPTURA!DE62="","",IFERROR(IF(INDEX(CODIFICACION!$E$2:$E$500,MATCH("D15.58|"&amp;CAPTURA!DE62,CODIFICACION!$F$2:$F$500,0))="sin dato","",INDEX(CODIFICACION!$E$2:$E$500,MATCH("D15.58|"&amp;CAPTURA!DE62,CODIFICACION!$F$2:$F$500,0))),"⚠"))</f>
        <v/>
      </c>
      <c r="BZ62" t="str">
        <f>IF(CAPTURA!DF62="","",IFERROR(IF(INDEX(CODIFICACION!$E$2:$E$500,MATCH("PP1|"&amp;CAPTURA!DF62,CODIFICACION!$F$2:$F$500,0))="sin dato","",INDEX(CODIFICACION!$E$2:$E$500,MATCH("PP1|"&amp;CAPTURA!DF62,CODIFICACION!$F$2:$F$500,0))),"⚠"))</f>
        <v/>
      </c>
      <c r="CA62" t="str">
        <f>IF(CAPTURA!DG62="","",IFERROR(IF(INDEX(CODIFICACION!$E$2:$E$500,MATCH("PP2|"&amp;CAPTURA!DG62,CODIFICACION!$F$2:$F$500,0))="sin dato","",INDEX(CODIFICACION!$E$2:$E$500,MATCH("PP2|"&amp;CAPTURA!DG62,CODIFICACION!$F$2:$F$500,0))),"⚠"))</f>
        <v/>
      </c>
      <c r="CB62" t="str">
        <f t="shared" si="11"/>
        <v/>
      </c>
      <c r="CC62" t="str">
        <f t="shared" si="12"/>
        <v/>
      </c>
      <c r="CD62" t="str">
        <f t="shared" si="13"/>
        <v/>
      </c>
      <c r="CE62" t="str">
        <f t="shared" si="14"/>
        <v/>
      </c>
      <c r="CF62" t="str">
        <f t="shared" si="15"/>
        <v/>
      </c>
      <c r="CG62" t="str">
        <f t="shared" si="16"/>
        <v/>
      </c>
      <c r="CH62" t="str">
        <f t="shared" si="17"/>
        <v/>
      </c>
      <c r="CI62" t="str">
        <f t="shared" si="18"/>
        <v/>
      </c>
      <c r="CJ62" t="str">
        <f t="shared" si="19"/>
        <v/>
      </c>
      <c r="CK62" t="str">
        <f t="shared" si="20"/>
        <v/>
      </c>
      <c r="CL62" t="str">
        <f t="shared" si="21"/>
        <v/>
      </c>
    </row>
    <row r="63" spans="1:90" x14ac:dyDescent="0.3">
      <c r="A63">
        <f>CAPTURA!A63</f>
        <v>20529822350</v>
      </c>
      <c r="B63">
        <f>CAPTURA!C63</f>
        <v>0</v>
      </c>
      <c r="C63" t="str">
        <f>IF(CAPTURA!M63="","",ROUND((ISNUMBER(SEARCH("Alemania",CAPTURA!M63))+ISNUMBER(SEARCH("Bélgica",CAPTURA!M63))+ISNUMBER(SEARCH("Países Bajos",CAPTURA!M63))+ISNUMBER(SEARCH("Francia",CAPTURA!M63))+ISNUMBER(SEARCH("Italia",CAPTURA!M63))+ISNUMBER(SEARCH("España",CAPTURA!M63))+ISNUMBER(SEARCH("Suecia",CAPTURA!M63))+ISNUMBER(SEARCH("Dinamarca",CAPTURA!M63)))/((LEN(CAPTURA!M63)-LEN(SUBSTITUTE(CAPTURA!M63,";","")))+1)*100,1))</f>
        <v/>
      </c>
      <c r="D63" t="str">
        <f>IF(CAPTURA!AE63="","",IFERROR(IF(INDEX(CODIFICACION!$E$2:$E$500,MATCH("P8|"&amp;CAPTURA!AE63,CODIFICACION!$F$2:$F$500,0))="sin dato","",INDEX(CODIFICACION!$E$2:$E$500,MATCH("P8|"&amp;CAPTURA!AE63,CODIFICACION!$F$2:$F$500,0))),"⚠"))</f>
        <v/>
      </c>
      <c r="E63" t="str">
        <f>IF(CAPTURA!AG63="","",IFERROR(IF(INDEX(CODIFICACION!$E$2:$E$500,MATCH("P10|"&amp;CAPTURA!AG63,CODIFICACION!$F$2:$F$500,0))="sin dato","",INDEX(CODIFICACION!$E$2:$E$500,MATCH("P10|"&amp;CAPTURA!AG63,CODIFICACION!$F$2:$F$500,0))),"⚠"))</f>
        <v/>
      </c>
      <c r="F63" t="str">
        <f>IF(CAPTURA!AJ63="","",IFERROR(IF(INDEX(CODIFICACION!$E$2:$E$500,MATCH("P13|"&amp;CAPTURA!AJ63,CODIFICACION!$F$2:$F$500,0))="sin dato","",INDEX(CODIFICACION!$E$2:$E$500,MATCH("P13|"&amp;CAPTURA!AJ63,CODIFICACION!$F$2:$F$500,0))),"⚠"))</f>
        <v/>
      </c>
      <c r="G63" t="str">
        <f>IF(CAPTURA!AK63="","",IFERROR(IF(INDEX(CODIFICACION!$E$2:$E$500,MATCH("P14|"&amp;CAPTURA!AK63,CODIFICACION!$F$2:$F$500,0))="sin dato","",INDEX(CODIFICACION!$E$2:$E$500,MATCH("P14|"&amp;CAPTURA!AK63,CODIFICACION!$F$2:$F$500,0))),"⚠"))</f>
        <v/>
      </c>
      <c r="H63" t="str">
        <f>IF(CAPTURA!AL63="","",IFERROR(IF(INDEX(CODIFICACION!$E$2:$E$500,MATCH("D1.1|"&amp;CAPTURA!AL63,CODIFICACION!$F$2:$F$500,0))="sin dato","",INDEX(CODIFICACION!$E$2:$E$500,MATCH("D1.1|"&amp;CAPTURA!AL63,CODIFICACION!$F$2:$F$500,0))),"⚠"))</f>
        <v/>
      </c>
      <c r="I63" t="str">
        <f>IF(CAPTURA!AN63="","",IFERROR(IF(INDEX(CODIFICACION!$E$2:$E$500,MATCH("D1.3|"&amp;CAPTURA!AN63,CODIFICACION!$F$2:$F$500,0))="sin dato","",INDEX(CODIFICACION!$E$2:$E$500,MATCH("D1.3|"&amp;CAPTURA!AN63,CODIFICACION!$F$2:$F$500,0))),"⚠"))</f>
        <v/>
      </c>
      <c r="J63" t="str">
        <f>IF(CAPTURA!AO63="","",IFERROR(IF(INDEX(CODIFICACION!$E$2:$E$500,MATCH("D1.4|"&amp;CAPTURA!AO63,CODIFICACION!$F$2:$F$500,0))="sin dato","",INDEX(CODIFICACION!$E$2:$E$500,MATCH("D1.4|"&amp;CAPTURA!AO63,CODIFICACION!$F$2:$F$500,0))),"⚠"))</f>
        <v/>
      </c>
      <c r="K63" t="str">
        <f>IF(CAPTURA!AP63="","",IFERROR(IF(INDEX(CODIFICACION!$E$2:$E$500,MATCH("D1.3a|"&amp;CAPTURA!AP63,CODIFICACION!$F$2:$F$500,0))="sin dato","",INDEX(CODIFICACION!$E$2:$E$500,MATCH("D1.3a|"&amp;CAPTURA!AP63,CODIFICACION!$F$2:$F$500,0))),"⚠"))</f>
        <v/>
      </c>
      <c r="L63" t="str">
        <f>IF(CAPTURA!AQ63="","",IF(AND(ISNUMBER(CAPTURA!AQ63),CAPTURA!AQ63&gt;=0,CAPTURA!AQ63&lt;=4),CAPTURA!AQ63*25,"⚠"))</f>
        <v/>
      </c>
      <c r="M63" t="str">
        <f>IF(CAPTURA!AR63="","",IF(ISNUMBER(CAPTURA!AR63),MAX(0,MIN(100,CAPTURA!AR63)),"⚠"))</f>
        <v/>
      </c>
      <c r="N63" t="str">
        <f>IF(CAPTURA!AS63="","",IF(AND(ISNUMBER(CAPTURA!AS63),CAPTURA!AS63&gt;=0,CAPTURA!AS63&lt;=4),CAPTURA!AS63*25,"⚠"))</f>
        <v/>
      </c>
      <c r="O63" t="str">
        <f>IF(CAPTURA!AT63="","",IFERROR(IF(INDEX(CODIFICACION!$E$2:$E$500,MATCH("D2.8|"&amp;CAPTURA!AT63,CODIFICACION!$F$2:$F$500,0))="sin dato","",INDEX(CODIFICACION!$E$2:$E$500,MATCH("D2.8|"&amp;CAPTURA!AT63,CODIFICACION!$F$2:$F$500,0))),"⚠"))</f>
        <v/>
      </c>
      <c r="P63" t="str">
        <f>IF(CAPTURA!AU63="","",IFERROR(IF(INDEX(CODIFICACION!$E$2:$E$500,MATCH("D2.9|"&amp;CAPTURA!AU63,CODIFICACION!$F$2:$F$500,0))="sin dato","",INDEX(CODIFICACION!$E$2:$E$500,MATCH("D2.9|"&amp;CAPTURA!AU63,CODIFICACION!$F$2:$F$500,0))),"⚠"))</f>
        <v/>
      </c>
      <c r="Q63" t="str">
        <f>IF(CAPTURA!AV63="","",IFERROR(IF(INDEX(CODIFICACION!$E$2:$E$500,MATCH("D2.10|"&amp;CAPTURA!AV63,CODIFICACION!$F$2:$F$500,0))="sin dato","",INDEX(CODIFICACION!$E$2:$E$500,MATCH("D2.10|"&amp;CAPTURA!AV63,CODIFICACION!$F$2:$F$500,0))),"⚠"))</f>
        <v/>
      </c>
      <c r="R63" t="str">
        <f>IF(CAPTURA!AW63="","",IFERROR(IF(INDEX(CODIFICACION!$E$2:$E$500,MATCH("D2.5a|"&amp;CAPTURA!AW63,CODIFICACION!$F$2:$F$500,0))="sin dato","",INDEX(CODIFICACION!$E$2:$E$500,MATCH("D2.5a|"&amp;CAPTURA!AW63,CODIFICACION!$F$2:$F$500,0))),"⚠"))</f>
        <v/>
      </c>
      <c r="S63" t="str">
        <f>IF(CAPTURA!AX63="","",IFERROR(IF(INDEX(CODIFICACION!$E$2:$E$500,MATCH("D2.5b|"&amp;CAPTURA!AX63,CODIFICACION!$F$2:$F$500,0))="sin dato","",INDEX(CODIFICACION!$E$2:$E$500,MATCH("D2.5b|"&amp;CAPTURA!AX63,CODIFICACION!$F$2:$F$500,0))),"⚠"))</f>
        <v/>
      </c>
      <c r="T63" t="str">
        <f>IF(CAPTURA!AY63="","",IF(ISNUMBER(CAPTURA!AY63),MAX(0,MIN(100,CAPTURA!AY63)),"⚠"))</f>
        <v/>
      </c>
      <c r="U63" t="str">
        <f>IF(CAPTURA!AZ63="","",IFERROR(IF(INDEX(CODIFICACION!$E$2:$E$500,MATCH("D3.12|"&amp;CAPTURA!AZ63,CODIFICACION!$F$2:$F$500,0))="sin dato","",INDEX(CODIFICACION!$E$2:$E$500,MATCH("D3.12|"&amp;CAPTURA!AZ63,CODIFICACION!$F$2:$F$500,0))),"⚠"))</f>
        <v/>
      </c>
      <c r="V63" t="str">
        <f>IF(CAPTURA!BA63="","",IF(AND(ISNUMBER(CAPTURA!BA63),CAPTURA!BA63&gt;=0,CAPTURA!BA63&lt;=4),CAPTURA!BA63*25,"⚠"))</f>
        <v/>
      </c>
      <c r="W63" t="str">
        <f>IF(CAPTURA!BB63="","",IFERROR(IF(INDEX(CODIFICACION!$E$2:$E$500,MATCH("D3.14|"&amp;CAPTURA!BB63,CODIFICACION!$F$2:$F$500,0))="sin dato","",INDEX(CODIFICACION!$E$2:$E$500,MATCH("D3.14|"&amp;CAPTURA!BB63,CODIFICACION!$F$2:$F$500,0))),"⚠"))</f>
        <v/>
      </c>
      <c r="X63" t="str">
        <f>IF(CAPTURA!BC63="","",IFERROR(IF(INDEX(CODIFICACION!$E$2:$E$500,MATCH("D3.14a|"&amp;CAPTURA!BC63,CODIFICACION!$F$2:$F$500,0))="sin dato","",INDEX(CODIFICACION!$E$2:$E$500,MATCH("D3.14a|"&amp;CAPTURA!BC63,CODIFICACION!$F$2:$F$500,0))),"⚠"))</f>
        <v/>
      </c>
      <c r="Y63" t="str">
        <f>IF(CAPTURA!BD63="","",IFERROR(IF(INDEX(CODIFICACION!$E$2:$E$500,MATCH("D3.14b|"&amp;CAPTURA!BD63,CODIFICACION!$F$2:$F$500,0))="sin dato","",INDEX(CODIFICACION!$E$2:$E$500,MATCH("D3.14b|"&amp;CAPTURA!BD63,CODIFICACION!$F$2:$F$500,0))),"⚠"))</f>
        <v/>
      </c>
      <c r="Z63" t="str">
        <f>IF(CAPTURA!BE63="","",IFERROR(IF(INDEX(CODIFICACION!$E$2:$E$500,MATCH("D3.14c|"&amp;CAPTURA!BE63,CODIFICACION!$F$2:$F$500,0))="sin dato","",INDEX(CODIFICACION!$E$2:$E$500,MATCH("D3.14c|"&amp;CAPTURA!BE63,CODIFICACION!$F$2:$F$500,0))),"⚠"))</f>
        <v/>
      </c>
      <c r="AA63" t="str">
        <f>IF(CAPTURA!BF63="","",IFERROR(IF(INDEX(CODIFICACION!$E$2:$E$500,MATCH("D3.14d|"&amp;CAPTURA!BF63,CODIFICACION!$F$2:$F$500,0))="sin dato","",INDEX(CODIFICACION!$E$2:$E$500,MATCH("D3.14d|"&amp;CAPTURA!BF63,CODIFICACION!$F$2:$F$500,0))),"⚠"))</f>
        <v/>
      </c>
      <c r="AB63" t="str">
        <f>IF(CAPTURA!BG63="","",IFERROR(IF(INDEX(CODIFICACION!$E$2:$E$500,MATCH("D3.14e|"&amp;CAPTURA!BG63,CODIFICACION!$F$2:$F$500,0))="sin dato","",INDEX(CODIFICACION!$E$2:$E$500,MATCH("D3.14e|"&amp;CAPTURA!BG63,CODIFICACION!$F$2:$F$500,0))),"⚠"))</f>
        <v/>
      </c>
      <c r="AC63" t="str">
        <f>IF(CAPTURA!BH63="","",IFERROR(IF(INDEX(CODIFICACION!$E$2:$E$500,MATCH("D3.14f|"&amp;CAPTURA!BH63,CODIFICACION!$F$2:$F$500,0))="sin dato","",INDEX(CODIFICACION!$E$2:$E$500,MATCH("D3.14f|"&amp;CAPTURA!BH63,CODIFICACION!$F$2:$F$500,0))),"⚠"))</f>
        <v/>
      </c>
      <c r="AD63" t="str">
        <f>IF(CAPTURA!BI63="","",IFERROR(IF(INDEX(CODIFICACION!$E$2:$E$500,MATCH("D3.14g|"&amp;CAPTURA!BI63,CODIFICACION!$F$2:$F$500,0))="sin dato","",INDEX(CODIFICACION!$E$2:$E$500,MATCH("D3.14g|"&amp;CAPTURA!BI63,CODIFICACION!$F$2:$F$500,0))),"⚠"))</f>
        <v/>
      </c>
      <c r="AE63" t="str">
        <f>IF(CAPTURA!BJ63="","",IFERROR(IF(INDEX(CODIFICACION!$E$2:$E$500,MATCH("D3.14h|"&amp;CAPTURA!BJ63,CODIFICACION!$F$2:$F$500,0))="sin dato","",INDEX(CODIFICACION!$E$2:$E$500,MATCH("D3.14h|"&amp;CAPTURA!BJ63,CODIFICACION!$F$2:$F$500,0))),"⚠"))</f>
        <v/>
      </c>
      <c r="AF63" t="str">
        <f>IF(CAPTURA!BK63="","",IFERROR(IF(INDEX(CODIFICACION!$E$2:$E$500,MATCH("D3.14i|"&amp;CAPTURA!BK63,CODIFICACION!$F$2:$F$500,0))="sin dato","",INDEX(CODIFICACION!$E$2:$E$500,MATCH("D3.14i|"&amp;CAPTURA!BK63,CODIFICACION!$F$2:$F$500,0))),"⚠"))</f>
        <v/>
      </c>
      <c r="AG63" t="str">
        <f>IF(CAPTURA!BL63="","",IFERROR(IF(INDEX(CODIFICACION!$E$2:$E$500,MATCH("D4.15|"&amp;CAPTURA!BL63,CODIFICACION!$F$2:$F$500,0))="sin dato","",INDEX(CODIFICACION!$E$2:$E$500,MATCH("D4.15|"&amp;CAPTURA!BL63,CODIFICACION!$F$2:$F$500,0))),"⚠"))</f>
        <v/>
      </c>
      <c r="AH63" t="str">
        <f>IF(CAPTURA!BM63="","",IF(AND(ISNUMBER(CAPTURA!BM63),CAPTURA!BM63&gt;=0,CAPTURA!BM63&lt;=4),CAPTURA!BM63*25,"⚠"))</f>
        <v/>
      </c>
      <c r="AI63" t="str">
        <f>IF(CAPTURA!BN63="","",IFERROR(IF(INDEX(CODIFICACION!$E$2:$E$500,MATCH("D4.17|"&amp;CAPTURA!BN63,CODIFICACION!$F$2:$F$500,0))="sin dato","",INDEX(CODIFICACION!$E$2:$E$500,MATCH("D4.17|"&amp;CAPTURA!BN63,CODIFICACION!$F$2:$F$500,0))),"⚠"))</f>
        <v/>
      </c>
      <c r="AJ63" t="str">
        <f>IF(CAPTURA!BO63="","",IFERROR(IF(INDEX(CODIFICACION!$E$2:$E$500,MATCH("D4.15a|"&amp;CAPTURA!BO63,CODIFICACION!$F$2:$F$500,0))="sin dato","",INDEX(CODIFICACION!$E$2:$E$500,MATCH("D4.15a|"&amp;CAPTURA!BO63,CODIFICACION!$F$2:$F$500,0))),"⚠"))</f>
        <v/>
      </c>
      <c r="AK63" t="str">
        <f>IF(CAPTURA!BP63="","",IF(AND(ISNUMBER(CAPTURA!BP63),CAPTURA!BP63&gt;=0,CAPTURA!BP63&lt;=4),CAPTURA!BP63*25,"⚠"))</f>
        <v/>
      </c>
      <c r="AL63" t="str">
        <f>IF(CAPTURA!BQ63="","",IF(AND(ISNUMBER(CAPTURA!BQ63),CAPTURA!BQ63&gt;=0,CAPTURA!BQ63&lt;=4),CAPTURA!BQ63*25,"⚠"))</f>
        <v/>
      </c>
      <c r="AM63" t="str">
        <f>IF(CAPTURA!BR63="","",IFERROR(IF(INDEX(CODIFICACION!$E$2:$E$500,MATCH("D5.18b|"&amp;CAPTURA!BR63,CODIFICACION!$F$2:$F$500,0))="sin dato","",INDEX(CODIFICACION!$E$2:$E$500,MATCH("D5.18b|"&amp;CAPTURA!BR63,CODIFICACION!$F$2:$F$500,0))),"⚠"))</f>
        <v/>
      </c>
      <c r="AN63" t="str">
        <f>IF(CAPTURA!BS63="","",IFERROR(IF(INDEX(CODIFICACION!$E$2:$E$500,MATCH("D5.19|"&amp;CAPTURA!BS63,CODIFICACION!$F$2:$F$500,0))="sin dato","",INDEX(CODIFICACION!$E$2:$E$500,MATCH("D5.19|"&amp;CAPTURA!BS63,CODIFICACION!$F$2:$F$500,0))),"⚠"))</f>
        <v/>
      </c>
      <c r="AO63" t="str">
        <f>IF(CAPTURA!BT63="","",MIN(100,ROUND((LEN(CAPTURA!BT63)-LEN(SUBSTITUTE(CAPTURA!BT63,";",""))+1)/7*100,1)))</f>
        <v/>
      </c>
      <c r="AP63" t="str">
        <f>IF(CAPTURA!BU63="","",IFERROR(IF(INDEX(CODIFICACION!$E$2:$E$500,MATCH("D5.20|"&amp;CAPTURA!BU63,CODIFICACION!$F$2:$F$500,0))="sin dato","",INDEX(CODIFICACION!$E$2:$E$500,MATCH("D5.20|"&amp;CAPTURA!BU63,CODIFICACION!$F$2:$F$500,0))),"⚠"))</f>
        <v/>
      </c>
      <c r="AQ63" t="str">
        <f>IF(CAPTURA!BV63="","",IFERROR(IF(INDEX(CODIFICACION!$E$2:$E$500,MATCH("D5.21|"&amp;CAPTURA!BV63,CODIFICACION!$F$2:$F$500,0))="sin dato","",INDEX(CODIFICACION!$E$2:$E$500,MATCH("D5.21|"&amp;CAPTURA!BV63,CODIFICACION!$F$2:$F$500,0))),"⚠"))</f>
        <v/>
      </c>
      <c r="AR63" t="str">
        <f>IF(CAPTURA!BW63="","",IFERROR(IF(INDEX(CODIFICACION!$E$2:$E$500,MATCH("D5.21a|"&amp;CAPTURA!BW63,CODIFICACION!$F$2:$F$500,0))="sin dato","",INDEX(CODIFICACION!$E$2:$E$500,MATCH("D5.21a|"&amp;CAPTURA!BW63,CODIFICACION!$F$2:$F$500,0))),"⚠"))</f>
        <v/>
      </c>
      <c r="AS63" t="str">
        <f>IF(CAPTURA!BX63="","",IFERROR(IF(INDEX(CODIFICACION!$E$2:$E$500,MATCH("D5.21b|"&amp;CAPTURA!BX63,CODIFICACION!$F$2:$F$500,0))="sin dato","",INDEX(CODIFICACION!$E$2:$E$500,MATCH("D5.21b|"&amp;CAPTURA!BX63,CODIFICACION!$F$2:$F$500,0))),"⚠"))</f>
        <v/>
      </c>
      <c r="AT63" t="str">
        <f>IF(CAPTURA!BY63="","",IFERROR(IF(INDEX(CODIFICACION!$E$2:$E$500,MATCH("D6.22|"&amp;CAPTURA!BY63,CODIFICACION!$F$2:$F$500,0))="sin dato","",INDEX(CODIFICACION!$E$2:$E$500,MATCH("D6.22|"&amp;CAPTURA!BY63,CODIFICACION!$F$2:$F$500,0))),"⚠"))</f>
        <v/>
      </c>
      <c r="AU63" t="str">
        <f>IF(CAPTURA!BZ63="","",IFERROR(IF(INDEX(CODIFICACION!$E$2:$E$500,MATCH("D6.22a|"&amp;CAPTURA!BZ63,CODIFICACION!$F$2:$F$500,0))="sin dato","",INDEX(CODIFICACION!$E$2:$E$500,MATCH("D6.22a|"&amp;CAPTURA!BZ63,CODIFICACION!$F$2:$F$500,0))),"⚠"))</f>
        <v/>
      </c>
      <c r="AV63" t="str">
        <f>IF(CAPTURA!CA63="","",IFERROR(IF(INDEX(CODIFICACION!$E$2:$E$500,MATCH("D6.22b|"&amp;CAPTURA!CA63,CODIFICACION!$F$2:$F$500,0))="sin dato","",INDEX(CODIFICACION!$E$2:$E$500,MATCH("D6.22b|"&amp;CAPTURA!CA63,CODIFICACION!$F$2:$F$500,0))),"⚠"))</f>
        <v/>
      </c>
      <c r="AW63" t="str">
        <f>IF(CAPTURA!CB63="","",IFERROR(IF(INDEX(CODIFICACION!$E$2:$E$500,MATCH("D6.23|"&amp;CAPTURA!CB63,CODIFICACION!$F$2:$F$500,0))="sin dato","",INDEX(CODIFICACION!$E$2:$E$500,MATCH("D6.23|"&amp;CAPTURA!CB63,CODIFICACION!$F$2:$F$500,0))),"⚠"))</f>
        <v/>
      </c>
      <c r="AX63" t="str">
        <f>IF(CAPTURA!CC63="","",IFERROR(IF(INDEX(CODIFICACION!$E$2:$E$500,MATCH("D6.24|"&amp;CAPTURA!CC63,CODIFICACION!$F$2:$F$500,0))="sin dato","",INDEX(CODIFICACION!$E$2:$E$500,MATCH("D6.24|"&amp;CAPTURA!CC63,CODIFICACION!$F$2:$F$500,0))),"⚠"))</f>
        <v/>
      </c>
      <c r="AY63" t="str">
        <f>IF(CAPTURA!CD63="","",IFERROR(IF(INDEX(CODIFICACION!$E$2:$E$500,MATCH("D6.25|"&amp;CAPTURA!CD63,CODIFICACION!$F$2:$F$500,0))="sin dato","",INDEX(CODIFICACION!$E$2:$E$500,MATCH("D6.25|"&amp;CAPTURA!CD63,CODIFICACION!$F$2:$F$500,0))),"⚠"))</f>
        <v/>
      </c>
      <c r="AZ63" t="str">
        <f>IF(CAPTURA!CE63="","",IFERROR(IF(INDEX(CODIFICACION!$E$2:$E$500,MATCH("D6.25a|"&amp;CAPTURA!CE63,CODIFICACION!$F$2:$F$500,0))="sin dato","",INDEX(CODIFICACION!$E$2:$E$500,MATCH("D6.25a|"&amp;CAPTURA!CE63,CODIFICACION!$F$2:$F$500,0))),"⚠"))</f>
        <v/>
      </c>
      <c r="BA63" t="str">
        <f>IF(CAPTURA!CF63="","",IFERROR(IF(INDEX(CODIFICACION!$E$2:$E$500,MATCH("D6.25b|"&amp;CAPTURA!CF63,CODIFICACION!$F$2:$F$500,0))="sin dato","",INDEX(CODIFICACION!$E$2:$E$500,MATCH("D6.25b|"&amp;CAPTURA!CF63,CODIFICACION!$F$2:$F$500,0))),"⚠"))</f>
        <v/>
      </c>
      <c r="BB63" t="str">
        <f>IF(CAPTURA!CG63="","",IFERROR(IF(INDEX(CODIFICACION!$E$2:$E$500,MATCH("D6.22c|"&amp;CAPTURA!CG63,CODIFICACION!$F$2:$F$500,0))="sin dato","",INDEX(CODIFICACION!$E$2:$E$500,MATCH("D6.22c|"&amp;CAPTURA!CG63,CODIFICACION!$F$2:$F$500,0))),"⚠"))</f>
        <v/>
      </c>
      <c r="BC63" t="str">
        <f>IF(CAPTURA!CH63="","",IFERROR(IF(INDEX(CODIFICACION!$E$2:$E$500,MATCH("D7.26|"&amp;CAPTURA!CH63,CODIFICACION!$F$2:$F$500,0))="sin dato","",INDEX(CODIFICACION!$E$2:$E$500,MATCH("D7.26|"&amp;CAPTURA!CH63,CODIFICACION!$F$2:$F$500,0))),"⚠"))</f>
        <v/>
      </c>
      <c r="BD63" t="str">
        <f>IF(CAPTURA!CI63="","",IFERROR(IF(INDEX(CODIFICACION!$E$2:$E$500,MATCH("D7.27|"&amp;CAPTURA!CI63,CODIFICACION!$F$2:$F$500,0))="sin dato","",INDEX(CODIFICACION!$E$2:$E$500,MATCH("D7.27|"&amp;CAPTURA!CI63,CODIFICACION!$F$2:$F$500,0))),"⚠"))</f>
        <v/>
      </c>
      <c r="BE63" t="str">
        <f>IF(CAPTURA!CJ63="","",IFERROR(IF(INDEX(CODIFICACION!$E$2:$E$500,MATCH("D7.28|"&amp;CAPTURA!CJ63,CODIFICACION!$F$2:$F$500,0))="sin dato","",INDEX(CODIFICACION!$E$2:$E$500,MATCH("D7.28|"&amp;CAPTURA!CJ63,CODIFICACION!$F$2:$F$500,0))),"⚠"))</f>
        <v/>
      </c>
      <c r="BF63" t="str">
        <f>IF(CAPTURA!CK63="","",IFERROR(IF(INDEX(CODIFICACION!$E$2:$E$500,MATCH("D7.28b|"&amp;CAPTURA!CK63,CODIFICACION!$F$2:$F$500,0))="sin dato","",INDEX(CODIFICACION!$E$2:$E$500,MATCH("D7.28b|"&amp;CAPTURA!CK63,CODIFICACION!$F$2:$F$500,0))),"⚠"))</f>
        <v/>
      </c>
      <c r="BG63" t="str">
        <f>IF(CAPTURA!CL63="","",MIN(100,ROUND((LEN(CAPTURA!CL63)-LEN(SUBSTITUTE(CAPTURA!CL63,";",""))+1)/8*100,1)))</f>
        <v/>
      </c>
      <c r="BH63" t="str">
        <f>IF(CAPTURA!CM63="","",IFERROR(IF(INDEX(CODIFICACION!$E$2:$E$500,MATCH("D7.26a|"&amp;CAPTURA!CM63,CODIFICACION!$F$2:$F$500,0))="sin dato","",INDEX(CODIFICACION!$E$2:$E$500,MATCH("D7.26a|"&amp;CAPTURA!CM63,CODIFICACION!$F$2:$F$500,0))),"⚠"))</f>
        <v/>
      </c>
      <c r="BI63" t="str">
        <f>IF(CAPTURA!CN63="","",IFERROR(IF(INDEX(CODIFICACION!$E$2:$E$500,MATCH("D7.26b|"&amp;CAPTURA!CN63,CODIFICACION!$F$2:$F$500,0))="sin dato","",INDEX(CODIFICACION!$E$2:$E$500,MATCH("D7.26b|"&amp;CAPTURA!CN63,CODIFICACION!$F$2:$F$500,0))),"⚠"))</f>
        <v/>
      </c>
      <c r="BJ63" t="str">
        <f>IF(CAPTURA!CO63="","",IF(AND(ISNUMBER(CAPTURA!CO63),CAPTURA!CO63&gt;=0,CAPTURA!CO63&lt;=4),CAPTURA!CO63*25,"⚠"))</f>
        <v/>
      </c>
      <c r="BK63" t="str">
        <f>IF(CAPTURA!CP63="","",IF(ISNUMBER(CAPTURA!CP63),MAX(0,MIN(100,CAPTURA!CP63)),"⚠"))</f>
        <v/>
      </c>
      <c r="BL63" t="str">
        <f>IF(CAPTURA!CQ63="","",IFERROR(IF(INDEX(CODIFICACION!$E$2:$E$500,MATCH("D8.31|"&amp;CAPTURA!CQ63,CODIFICACION!$F$2:$F$500,0))="sin dato","",INDEX(CODIFICACION!$E$2:$E$500,MATCH("D8.31|"&amp;CAPTURA!CQ63,CODIFICACION!$F$2:$F$500,0))),"⚠"))</f>
        <v/>
      </c>
      <c r="BM63" t="str">
        <f>IF(CAPTURA!CR63="","",IFERROR(IF(INDEX(CODIFICACION!$E$2:$E$500,MATCH("D8.32|"&amp;CAPTURA!CR63,CODIFICACION!$F$2:$F$500,0))="sin dato","",INDEX(CODIFICACION!$E$2:$E$500,MATCH("D8.32|"&amp;CAPTURA!CR63,CODIFICACION!$F$2:$F$500,0))),"⚠"))</f>
        <v/>
      </c>
      <c r="BN63" t="str">
        <f>IF(CAPTURA!CS63="","",IFERROR(IF(INDEX(CODIFICACION!$E$2:$E$500,MATCH("D9.33|"&amp;CAPTURA!CS63,CODIFICACION!$F$2:$F$500,0))="sin dato","",INDEX(CODIFICACION!$E$2:$E$500,MATCH("D9.33|"&amp;CAPTURA!CS63,CODIFICACION!$F$2:$F$500,0))),"⚠"))</f>
        <v/>
      </c>
      <c r="BO63" t="str">
        <f>IF(CAPTURA!CT63="","",IFERROR(IF(INDEX(CODIFICACION!$E$2:$E$500,MATCH("D9.34|"&amp;CAPTURA!CT63,CODIFICACION!$F$2:$F$500,0))="sin dato","",INDEX(CODIFICACION!$E$2:$E$500,MATCH("D9.34|"&amp;CAPTURA!CT63,CODIFICACION!$F$2:$F$500,0))),"⚠"))</f>
        <v/>
      </c>
      <c r="BP63" t="str">
        <f>IF(CAPTURA!CU63="","",IFERROR(IF(INDEX(CODIFICACION!$E$2:$E$500,MATCH("D9.35|"&amp;CAPTURA!CU63,CODIFICACION!$F$2:$F$500,0))="sin dato","",INDEX(CODIFICACION!$E$2:$E$500,MATCH("D9.35|"&amp;CAPTURA!CU63,CODIFICACION!$F$2:$F$500,0))),"⚠"))</f>
        <v/>
      </c>
      <c r="BQ63" t="str">
        <f>IF(CAPTURA!CV63="","",IFERROR(IF(INDEX(CODIFICACION!$E$2:$E$500,MATCH("D10.36|"&amp;CAPTURA!CV63,CODIFICACION!$F$2:$F$500,0))="sin dato","",INDEX(CODIFICACION!$E$2:$E$500,MATCH("D10.36|"&amp;CAPTURA!CV63,CODIFICACION!$F$2:$F$500,0))),"⚠"))</f>
        <v/>
      </c>
      <c r="BR63" t="str">
        <f>IF(CAPTURA!CW63="","",IFERROR(IF(INDEX(CODIFICACION!$E$2:$E$500,MATCH("D10.37|"&amp;CAPTURA!CW63,CODIFICACION!$F$2:$F$500,0))="sin dato","",INDEX(CODIFICACION!$E$2:$E$500,MATCH("D10.37|"&amp;CAPTURA!CW63,CODIFICACION!$F$2:$F$500,0))),"⚠"))</f>
        <v/>
      </c>
      <c r="BS63" t="str">
        <f>IF(CAPTURA!CX63="","",IFERROR(IF(INDEX(CODIFICACION!$E$2:$E$500,MATCH("D10.36a|"&amp;CAPTURA!CX63,CODIFICACION!$F$2:$F$500,0))="sin dato","",INDEX(CODIFICACION!$E$2:$E$500,MATCH("D10.36a|"&amp;CAPTURA!CX63,CODIFICACION!$F$2:$F$500,0))),"⚠"))</f>
        <v/>
      </c>
      <c r="BT63" t="str">
        <f>IF(CAPTURA!CY63="","",IF(ISNUMBER(SEARCH("Ninguno",CAPTURA!CY63)),0,MIN(100,ROUND((LEN(CAPTURA!CY63)-LEN(SUBSTITUTE(CAPTURA!CY63,";",""))+1)/6*100,1))))</f>
        <v/>
      </c>
      <c r="BU63" t="str">
        <f>IF(CAPTURA!DA63="","",IFERROR(IF(INDEX(CODIFICACION!$E$2:$E$500,MATCH("D11.39a|"&amp;CAPTURA!DA63,CODIFICACION!$F$2:$F$500,0))="sin dato","",INDEX(CODIFICACION!$E$2:$E$500,MATCH("D11.39a|"&amp;CAPTURA!DA63,CODIFICACION!$F$2:$F$500,0))),"⚠"))</f>
        <v/>
      </c>
      <c r="BV63" t="str">
        <f>IF(CAPTURA!DB63="","",IFERROR(IF(INDEX(CODIFICACION!$E$2:$E$500,MATCH("D12.42|"&amp;CAPTURA!DB63,CODIFICACION!$F$2:$F$500,0))="sin dato","",INDEX(CODIFICACION!$E$2:$E$500,MATCH("D12.42|"&amp;CAPTURA!DB63,CODIFICACION!$F$2:$F$500,0))),"⚠"))</f>
        <v/>
      </c>
      <c r="BW63" t="str">
        <f>IF(CAPTURA!DC63="","",IFERROR(IF(INDEX(CODIFICACION!$E$2:$E$500,MATCH("D13.45|"&amp;CAPTURA!DC63,CODIFICACION!$F$2:$F$500,0))="sin dato","",INDEX(CODIFICACION!$E$2:$E$500,MATCH("D13.45|"&amp;CAPTURA!DC63,CODIFICACION!$F$2:$F$500,0))),"⚠"))</f>
        <v/>
      </c>
      <c r="BX63" t="str">
        <f>IF(CAPTURA!DD63="","",IFERROR(IF(INDEX(CODIFICACION!$E$2:$E$500,MATCH("D14.51|"&amp;CAPTURA!DD63,CODIFICACION!$F$2:$F$500,0))="sin dato","",INDEX(CODIFICACION!$E$2:$E$500,MATCH("D14.51|"&amp;CAPTURA!DD63,CODIFICACION!$F$2:$F$500,0))),"⚠"))</f>
        <v/>
      </c>
      <c r="BY63" t="str">
        <f>IF(CAPTURA!DE63="","",IFERROR(IF(INDEX(CODIFICACION!$E$2:$E$500,MATCH("D15.58|"&amp;CAPTURA!DE63,CODIFICACION!$F$2:$F$500,0))="sin dato","",INDEX(CODIFICACION!$E$2:$E$500,MATCH("D15.58|"&amp;CAPTURA!DE63,CODIFICACION!$F$2:$F$500,0))),"⚠"))</f>
        <v/>
      </c>
      <c r="BZ63" t="str">
        <f>IF(CAPTURA!DF63="","",IFERROR(IF(INDEX(CODIFICACION!$E$2:$E$500,MATCH("PP1|"&amp;CAPTURA!DF63,CODIFICACION!$F$2:$F$500,0))="sin dato","",INDEX(CODIFICACION!$E$2:$E$500,MATCH("PP1|"&amp;CAPTURA!DF63,CODIFICACION!$F$2:$F$500,0))),"⚠"))</f>
        <v/>
      </c>
      <c r="CA63" t="str">
        <f>IF(CAPTURA!DG63="","",IFERROR(IF(INDEX(CODIFICACION!$E$2:$E$500,MATCH("PP2|"&amp;CAPTURA!DG63,CODIFICACION!$F$2:$F$500,0))="sin dato","",INDEX(CODIFICACION!$E$2:$E$500,MATCH("PP2|"&amp;CAPTURA!DG63,CODIFICACION!$F$2:$F$500,0))),"⚠"))</f>
        <v/>
      </c>
      <c r="CB63" t="str">
        <f t="shared" si="11"/>
        <v/>
      </c>
      <c r="CC63" t="str">
        <f t="shared" si="12"/>
        <v/>
      </c>
      <c r="CD63" t="str">
        <f t="shared" si="13"/>
        <v/>
      </c>
      <c r="CE63" t="str">
        <f t="shared" si="14"/>
        <v/>
      </c>
      <c r="CF63" t="str">
        <f t="shared" si="15"/>
        <v/>
      </c>
      <c r="CG63" t="str">
        <f t="shared" si="16"/>
        <v/>
      </c>
      <c r="CH63" t="str">
        <f t="shared" si="17"/>
        <v/>
      </c>
      <c r="CI63" t="str">
        <f t="shared" si="18"/>
        <v/>
      </c>
      <c r="CJ63" t="str">
        <f t="shared" si="19"/>
        <v/>
      </c>
      <c r="CK63" t="str">
        <f t="shared" si="20"/>
        <v/>
      </c>
      <c r="CL63" t="str">
        <f t="shared" si="21"/>
        <v/>
      </c>
    </row>
    <row r="64" spans="1:90" x14ac:dyDescent="0.3">
      <c r="A64">
        <f>CAPTURA!A64</f>
        <v>20531405723</v>
      </c>
      <c r="B64">
        <f>CAPTURA!C64</f>
        <v>0</v>
      </c>
      <c r="C64" t="str">
        <f>IF(CAPTURA!M64="","",ROUND((ISNUMBER(SEARCH("Alemania",CAPTURA!M64))+ISNUMBER(SEARCH("Bélgica",CAPTURA!M64))+ISNUMBER(SEARCH("Países Bajos",CAPTURA!M64))+ISNUMBER(SEARCH("Francia",CAPTURA!M64))+ISNUMBER(SEARCH("Italia",CAPTURA!M64))+ISNUMBER(SEARCH("España",CAPTURA!M64))+ISNUMBER(SEARCH("Suecia",CAPTURA!M64))+ISNUMBER(SEARCH("Dinamarca",CAPTURA!M64)))/((LEN(CAPTURA!M64)-LEN(SUBSTITUTE(CAPTURA!M64,";","")))+1)*100,1))</f>
        <v/>
      </c>
      <c r="D64" t="str">
        <f>IF(CAPTURA!AE64="","",IFERROR(IF(INDEX(CODIFICACION!$E$2:$E$500,MATCH("P8|"&amp;CAPTURA!AE64,CODIFICACION!$F$2:$F$500,0))="sin dato","",INDEX(CODIFICACION!$E$2:$E$500,MATCH("P8|"&amp;CAPTURA!AE64,CODIFICACION!$F$2:$F$500,0))),"⚠"))</f>
        <v/>
      </c>
      <c r="E64" t="str">
        <f>IF(CAPTURA!AG64="","",IFERROR(IF(INDEX(CODIFICACION!$E$2:$E$500,MATCH("P10|"&amp;CAPTURA!AG64,CODIFICACION!$F$2:$F$500,0))="sin dato","",INDEX(CODIFICACION!$E$2:$E$500,MATCH("P10|"&amp;CAPTURA!AG64,CODIFICACION!$F$2:$F$500,0))),"⚠"))</f>
        <v/>
      </c>
      <c r="F64" t="str">
        <f>IF(CAPTURA!AJ64="","",IFERROR(IF(INDEX(CODIFICACION!$E$2:$E$500,MATCH("P13|"&amp;CAPTURA!AJ64,CODIFICACION!$F$2:$F$500,0))="sin dato","",INDEX(CODIFICACION!$E$2:$E$500,MATCH("P13|"&amp;CAPTURA!AJ64,CODIFICACION!$F$2:$F$500,0))),"⚠"))</f>
        <v/>
      </c>
      <c r="G64" t="str">
        <f>IF(CAPTURA!AK64="","",IFERROR(IF(INDEX(CODIFICACION!$E$2:$E$500,MATCH("P14|"&amp;CAPTURA!AK64,CODIFICACION!$F$2:$F$500,0))="sin dato","",INDEX(CODIFICACION!$E$2:$E$500,MATCH("P14|"&amp;CAPTURA!AK64,CODIFICACION!$F$2:$F$500,0))),"⚠"))</f>
        <v/>
      </c>
      <c r="H64" t="str">
        <f>IF(CAPTURA!AL64="","",IFERROR(IF(INDEX(CODIFICACION!$E$2:$E$500,MATCH("D1.1|"&amp;CAPTURA!AL64,CODIFICACION!$F$2:$F$500,0))="sin dato","",INDEX(CODIFICACION!$E$2:$E$500,MATCH("D1.1|"&amp;CAPTURA!AL64,CODIFICACION!$F$2:$F$500,0))),"⚠"))</f>
        <v/>
      </c>
      <c r="I64" t="str">
        <f>IF(CAPTURA!AN64="","",IFERROR(IF(INDEX(CODIFICACION!$E$2:$E$500,MATCH("D1.3|"&amp;CAPTURA!AN64,CODIFICACION!$F$2:$F$500,0))="sin dato","",INDEX(CODIFICACION!$E$2:$E$500,MATCH("D1.3|"&amp;CAPTURA!AN64,CODIFICACION!$F$2:$F$500,0))),"⚠"))</f>
        <v/>
      </c>
      <c r="J64" t="str">
        <f>IF(CAPTURA!AO64="","",IFERROR(IF(INDEX(CODIFICACION!$E$2:$E$500,MATCH("D1.4|"&amp;CAPTURA!AO64,CODIFICACION!$F$2:$F$500,0))="sin dato","",INDEX(CODIFICACION!$E$2:$E$500,MATCH("D1.4|"&amp;CAPTURA!AO64,CODIFICACION!$F$2:$F$500,0))),"⚠"))</f>
        <v/>
      </c>
      <c r="K64" t="str">
        <f>IF(CAPTURA!AP64="","",IFERROR(IF(INDEX(CODIFICACION!$E$2:$E$500,MATCH("D1.3a|"&amp;CAPTURA!AP64,CODIFICACION!$F$2:$F$500,0))="sin dato","",INDEX(CODIFICACION!$E$2:$E$500,MATCH("D1.3a|"&amp;CAPTURA!AP64,CODIFICACION!$F$2:$F$500,0))),"⚠"))</f>
        <v/>
      </c>
      <c r="L64" t="str">
        <f>IF(CAPTURA!AQ64="","",IF(AND(ISNUMBER(CAPTURA!AQ64),CAPTURA!AQ64&gt;=0,CAPTURA!AQ64&lt;=4),CAPTURA!AQ64*25,"⚠"))</f>
        <v/>
      </c>
      <c r="M64" t="str">
        <f>IF(CAPTURA!AR64="","",IF(ISNUMBER(CAPTURA!AR64),MAX(0,MIN(100,CAPTURA!AR64)),"⚠"))</f>
        <v/>
      </c>
      <c r="N64" t="str">
        <f>IF(CAPTURA!AS64="","",IF(AND(ISNUMBER(CAPTURA!AS64),CAPTURA!AS64&gt;=0,CAPTURA!AS64&lt;=4),CAPTURA!AS64*25,"⚠"))</f>
        <v/>
      </c>
      <c r="O64" t="str">
        <f>IF(CAPTURA!AT64="","",IFERROR(IF(INDEX(CODIFICACION!$E$2:$E$500,MATCH("D2.8|"&amp;CAPTURA!AT64,CODIFICACION!$F$2:$F$500,0))="sin dato","",INDEX(CODIFICACION!$E$2:$E$500,MATCH("D2.8|"&amp;CAPTURA!AT64,CODIFICACION!$F$2:$F$500,0))),"⚠"))</f>
        <v/>
      </c>
      <c r="P64" t="str">
        <f>IF(CAPTURA!AU64="","",IFERROR(IF(INDEX(CODIFICACION!$E$2:$E$500,MATCH("D2.9|"&amp;CAPTURA!AU64,CODIFICACION!$F$2:$F$500,0))="sin dato","",INDEX(CODIFICACION!$E$2:$E$500,MATCH("D2.9|"&amp;CAPTURA!AU64,CODIFICACION!$F$2:$F$500,0))),"⚠"))</f>
        <v/>
      </c>
      <c r="Q64" t="str">
        <f>IF(CAPTURA!AV64="","",IFERROR(IF(INDEX(CODIFICACION!$E$2:$E$500,MATCH("D2.10|"&amp;CAPTURA!AV64,CODIFICACION!$F$2:$F$500,0))="sin dato","",INDEX(CODIFICACION!$E$2:$E$500,MATCH("D2.10|"&amp;CAPTURA!AV64,CODIFICACION!$F$2:$F$500,0))),"⚠"))</f>
        <v/>
      </c>
      <c r="R64" t="str">
        <f>IF(CAPTURA!AW64="","",IFERROR(IF(INDEX(CODIFICACION!$E$2:$E$500,MATCH("D2.5a|"&amp;CAPTURA!AW64,CODIFICACION!$F$2:$F$500,0))="sin dato","",INDEX(CODIFICACION!$E$2:$E$500,MATCH("D2.5a|"&amp;CAPTURA!AW64,CODIFICACION!$F$2:$F$500,0))),"⚠"))</f>
        <v/>
      </c>
      <c r="S64" t="str">
        <f>IF(CAPTURA!AX64="","",IFERROR(IF(INDEX(CODIFICACION!$E$2:$E$500,MATCH("D2.5b|"&amp;CAPTURA!AX64,CODIFICACION!$F$2:$F$500,0))="sin dato","",INDEX(CODIFICACION!$E$2:$E$500,MATCH("D2.5b|"&amp;CAPTURA!AX64,CODIFICACION!$F$2:$F$500,0))),"⚠"))</f>
        <v/>
      </c>
      <c r="T64" t="str">
        <f>IF(CAPTURA!AY64="","",IF(ISNUMBER(CAPTURA!AY64),MAX(0,MIN(100,CAPTURA!AY64)),"⚠"))</f>
        <v/>
      </c>
      <c r="U64" t="str">
        <f>IF(CAPTURA!AZ64="","",IFERROR(IF(INDEX(CODIFICACION!$E$2:$E$500,MATCH("D3.12|"&amp;CAPTURA!AZ64,CODIFICACION!$F$2:$F$500,0))="sin dato","",INDEX(CODIFICACION!$E$2:$E$500,MATCH("D3.12|"&amp;CAPTURA!AZ64,CODIFICACION!$F$2:$F$500,0))),"⚠"))</f>
        <v/>
      </c>
      <c r="V64" t="str">
        <f>IF(CAPTURA!BA64="","",IF(AND(ISNUMBER(CAPTURA!BA64),CAPTURA!BA64&gt;=0,CAPTURA!BA64&lt;=4),CAPTURA!BA64*25,"⚠"))</f>
        <v/>
      </c>
      <c r="W64" t="str">
        <f>IF(CAPTURA!BB64="","",IFERROR(IF(INDEX(CODIFICACION!$E$2:$E$500,MATCH("D3.14|"&amp;CAPTURA!BB64,CODIFICACION!$F$2:$F$500,0))="sin dato","",INDEX(CODIFICACION!$E$2:$E$500,MATCH("D3.14|"&amp;CAPTURA!BB64,CODIFICACION!$F$2:$F$500,0))),"⚠"))</f>
        <v/>
      </c>
      <c r="X64" t="str">
        <f>IF(CAPTURA!BC64="","",IFERROR(IF(INDEX(CODIFICACION!$E$2:$E$500,MATCH("D3.14a|"&amp;CAPTURA!BC64,CODIFICACION!$F$2:$F$500,0))="sin dato","",INDEX(CODIFICACION!$E$2:$E$500,MATCH("D3.14a|"&amp;CAPTURA!BC64,CODIFICACION!$F$2:$F$500,0))),"⚠"))</f>
        <v/>
      </c>
      <c r="Y64" t="str">
        <f>IF(CAPTURA!BD64="","",IFERROR(IF(INDEX(CODIFICACION!$E$2:$E$500,MATCH("D3.14b|"&amp;CAPTURA!BD64,CODIFICACION!$F$2:$F$500,0))="sin dato","",INDEX(CODIFICACION!$E$2:$E$500,MATCH("D3.14b|"&amp;CAPTURA!BD64,CODIFICACION!$F$2:$F$500,0))),"⚠"))</f>
        <v/>
      </c>
      <c r="Z64" t="str">
        <f>IF(CAPTURA!BE64="","",IFERROR(IF(INDEX(CODIFICACION!$E$2:$E$500,MATCH("D3.14c|"&amp;CAPTURA!BE64,CODIFICACION!$F$2:$F$500,0))="sin dato","",INDEX(CODIFICACION!$E$2:$E$500,MATCH("D3.14c|"&amp;CAPTURA!BE64,CODIFICACION!$F$2:$F$500,0))),"⚠"))</f>
        <v/>
      </c>
      <c r="AA64" t="str">
        <f>IF(CAPTURA!BF64="","",IFERROR(IF(INDEX(CODIFICACION!$E$2:$E$500,MATCH("D3.14d|"&amp;CAPTURA!BF64,CODIFICACION!$F$2:$F$500,0))="sin dato","",INDEX(CODIFICACION!$E$2:$E$500,MATCH("D3.14d|"&amp;CAPTURA!BF64,CODIFICACION!$F$2:$F$500,0))),"⚠"))</f>
        <v/>
      </c>
      <c r="AB64" t="str">
        <f>IF(CAPTURA!BG64="","",IFERROR(IF(INDEX(CODIFICACION!$E$2:$E$500,MATCH("D3.14e|"&amp;CAPTURA!BG64,CODIFICACION!$F$2:$F$500,0))="sin dato","",INDEX(CODIFICACION!$E$2:$E$500,MATCH("D3.14e|"&amp;CAPTURA!BG64,CODIFICACION!$F$2:$F$500,0))),"⚠"))</f>
        <v/>
      </c>
      <c r="AC64" t="str">
        <f>IF(CAPTURA!BH64="","",IFERROR(IF(INDEX(CODIFICACION!$E$2:$E$500,MATCH("D3.14f|"&amp;CAPTURA!BH64,CODIFICACION!$F$2:$F$500,0))="sin dato","",INDEX(CODIFICACION!$E$2:$E$500,MATCH("D3.14f|"&amp;CAPTURA!BH64,CODIFICACION!$F$2:$F$500,0))),"⚠"))</f>
        <v/>
      </c>
      <c r="AD64" t="str">
        <f>IF(CAPTURA!BI64="","",IFERROR(IF(INDEX(CODIFICACION!$E$2:$E$500,MATCH("D3.14g|"&amp;CAPTURA!BI64,CODIFICACION!$F$2:$F$500,0))="sin dato","",INDEX(CODIFICACION!$E$2:$E$500,MATCH("D3.14g|"&amp;CAPTURA!BI64,CODIFICACION!$F$2:$F$500,0))),"⚠"))</f>
        <v/>
      </c>
      <c r="AE64" t="str">
        <f>IF(CAPTURA!BJ64="","",IFERROR(IF(INDEX(CODIFICACION!$E$2:$E$500,MATCH("D3.14h|"&amp;CAPTURA!BJ64,CODIFICACION!$F$2:$F$500,0))="sin dato","",INDEX(CODIFICACION!$E$2:$E$500,MATCH("D3.14h|"&amp;CAPTURA!BJ64,CODIFICACION!$F$2:$F$500,0))),"⚠"))</f>
        <v/>
      </c>
      <c r="AF64" t="str">
        <f>IF(CAPTURA!BK64="","",IFERROR(IF(INDEX(CODIFICACION!$E$2:$E$500,MATCH("D3.14i|"&amp;CAPTURA!BK64,CODIFICACION!$F$2:$F$500,0))="sin dato","",INDEX(CODIFICACION!$E$2:$E$500,MATCH("D3.14i|"&amp;CAPTURA!BK64,CODIFICACION!$F$2:$F$500,0))),"⚠"))</f>
        <v/>
      </c>
      <c r="AG64" t="str">
        <f>IF(CAPTURA!BL64="","",IFERROR(IF(INDEX(CODIFICACION!$E$2:$E$500,MATCH("D4.15|"&amp;CAPTURA!BL64,CODIFICACION!$F$2:$F$500,0))="sin dato","",INDEX(CODIFICACION!$E$2:$E$500,MATCH("D4.15|"&amp;CAPTURA!BL64,CODIFICACION!$F$2:$F$500,0))),"⚠"))</f>
        <v/>
      </c>
      <c r="AH64" t="str">
        <f>IF(CAPTURA!BM64="","",IF(AND(ISNUMBER(CAPTURA!BM64),CAPTURA!BM64&gt;=0,CAPTURA!BM64&lt;=4),CAPTURA!BM64*25,"⚠"))</f>
        <v/>
      </c>
      <c r="AI64" t="str">
        <f>IF(CAPTURA!BN64="","",IFERROR(IF(INDEX(CODIFICACION!$E$2:$E$500,MATCH("D4.17|"&amp;CAPTURA!BN64,CODIFICACION!$F$2:$F$500,0))="sin dato","",INDEX(CODIFICACION!$E$2:$E$500,MATCH("D4.17|"&amp;CAPTURA!BN64,CODIFICACION!$F$2:$F$500,0))),"⚠"))</f>
        <v/>
      </c>
      <c r="AJ64" t="str">
        <f>IF(CAPTURA!BO64="","",IFERROR(IF(INDEX(CODIFICACION!$E$2:$E$500,MATCH("D4.15a|"&amp;CAPTURA!BO64,CODIFICACION!$F$2:$F$500,0))="sin dato","",INDEX(CODIFICACION!$E$2:$E$500,MATCH("D4.15a|"&amp;CAPTURA!BO64,CODIFICACION!$F$2:$F$500,0))),"⚠"))</f>
        <v/>
      </c>
      <c r="AK64" t="str">
        <f>IF(CAPTURA!BP64="","",IF(AND(ISNUMBER(CAPTURA!BP64),CAPTURA!BP64&gt;=0,CAPTURA!BP64&lt;=4),CAPTURA!BP64*25,"⚠"))</f>
        <v/>
      </c>
      <c r="AL64" t="str">
        <f>IF(CAPTURA!BQ64="","",IF(AND(ISNUMBER(CAPTURA!BQ64),CAPTURA!BQ64&gt;=0,CAPTURA!BQ64&lt;=4),CAPTURA!BQ64*25,"⚠"))</f>
        <v/>
      </c>
      <c r="AM64" t="str">
        <f>IF(CAPTURA!BR64="","",IFERROR(IF(INDEX(CODIFICACION!$E$2:$E$500,MATCH("D5.18b|"&amp;CAPTURA!BR64,CODIFICACION!$F$2:$F$500,0))="sin dato","",INDEX(CODIFICACION!$E$2:$E$500,MATCH("D5.18b|"&amp;CAPTURA!BR64,CODIFICACION!$F$2:$F$500,0))),"⚠"))</f>
        <v/>
      </c>
      <c r="AN64" t="str">
        <f>IF(CAPTURA!BS64="","",IFERROR(IF(INDEX(CODIFICACION!$E$2:$E$500,MATCH("D5.19|"&amp;CAPTURA!BS64,CODIFICACION!$F$2:$F$500,0))="sin dato","",INDEX(CODIFICACION!$E$2:$E$500,MATCH("D5.19|"&amp;CAPTURA!BS64,CODIFICACION!$F$2:$F$500,0))),"⚠"))</f>
        <v/>
      </c>
      <c r="AO64" t="str">
        <f>IF(CAPTURA!BT64="","",MIN(100,ROUND((LEN(CAPTURA!BT64)-LEN(SUBSTITUTE(CAPTURA!BT64,";",""))+1)/7*100,1)))</f>
        <v/>
      </c>
      <c r="AP64" t="str">
        <f>IF(CAPTURA!BU64="","",IFERROR(IF(INDEX(CODIFICACION!$E$2:$E$500,MATCH("D5.20|"&amp;CAPTURA!BU64,CODIFICACION!$F$2:$F$500,0))="sin dato","",INDEX(CODIFICACION!$E$2:$E$500,MATCH("D5.20|"&amp;CAPTURA!BU64,CODIFICACION!$F$2:$F$500,0))),"⚠"))</f>
        <v/>
      </c>
      <c r="AQ64" t="str">
        <f>IF(CAPTURA!BV64="","",IFERROR(IF(INDEX(CODIFICACION!$E$2:$E$500,MATCH("D5.21|"&amp;CAPTURA!BV64,CODIFICACION!$F$2:$F$500,0))="sin dato","",INDEX(CODIFICACION!$E$2:$E$500,MATCH("D5.21|"&amp;CAPTURA!BV64,CODIFICACION!$F$2:$F$500,0))),"⚠"))</f>
        <v/>
      </c>
      <c r="AR64" t="str">
        <f>IF(CAPTURA!BW64="","",IFERROR(IF(INDEX(CODIFICACION!$E$2:$E$500,MATCH("D5.21a|"&amp;CAPTURA!BW64,CODIFICACION!$F$2:$F$500,0))="sin dato","",INDEX(CODIFICACION!$E$2:$E$500,MATCH("D5.21a|"&amp;CAPTURA!BW64,CODIFICACION!$F$2:$F$500,0))),"⚠"))</f>
        <v/>
      </c>
      <c r="AS64" t="str">
        <f>IF(CAPTURA!BX64="","",IFERROR(IF(INDEX(CODIFICACION!$E$2:$E$500,MATCH("D5.21b|"&amp;CAPTURA!BX64,CODIFICACION!$F$2:$F$500,0))="sin dato","",INDEX(CODIFICACION!$E$2:$E$500,MATCH("D5.21b|"&amp;CAPTURA!BX64,CODIFICACION!$F$2:$F$500,0))),"⚠"))</f>
        <v/>
      </c>
      <c r="AT64" t="str">
        <f>IF(CAPTURA!BY64="","",IFERROR(IF(INDEX(CODIFICACION!$E$2:$E$500,MATCH("D6.22|"&amp;CAPTURA!BY64,CODIFICACION!$F$2:$F$500,0))="sin dato","",INDEX(CODIFICACION!$E$2:$E$500,MATCH("D6.22|"&amp;CAPTURA!BY64,CODIFICACION!$F$2:$F$500,0))),"⚠"))</f>
        <v/>
      </c>
      <c r="AU64" t="str">
        <f>IF(CAPTURA!BZ64="","",IFERROR(IF(INDEX(CODIFICACION!$E$2:$E$500,MATCH("D6.22a|"&amp;CAPTURA!BZ64,CODIFICACION!$F$2:$F$500,0))="sin dato","",INDEX(CODIFICACION!$E$2:$E$500,MATCH("D6.22a|"&amp;CAPTURA!BZ64,CODIFICACION!$F$2:$F$500,0))),"⚠"))</f>
        <v/>
      </c>
      <c r="AV64" t="str">
        <f>IF(CAPTURA!CA64="","",IFERROR(IF(INDEX(CODIFICACION!$E$2:$E$500,MATCH("D6.22b|"&amp;CAPTURA!CA64,CODIFICACION!$F$2:$F$500,0))="sin dato","",INDEX(CODIFICACION!$E$2:$E$500,MATCH("D6.22b|"&amp;CAPTURA!CA64,CODIFICACION!$F$2:$F$500,0))),"⚠"))</f>
        <v/>
      </c>
      <c r="AW64" t="str">
        <f>IF(CAPTURA!CB64="","",IFERROR(IF(INDEX(CODIFICACION!$E$2:$E$500,MATCH("D6.23|"&amp;CAPTURA!CB64,CODIFICACION!$F$2:$F$500,0))="sin dato","",INDEX(CODIFICACION!$E$2:$E$500,MATCH("D6.23|"&amp;CAPTURA!CB64,CODIFICACION!$F$2:$F$500,0))),"⚠"))</f>
        <v/>
      </c>
      <c r="AX64" t="str">
        <f>IF(CAPTURA!CC64="","",IFERROR(IF(INDEX(CODIFICACION!$E$2:$E$500,MATCH("D6.24|"&amp;CAPTURA!CC64,CODIFICACION!$F$2:$F$500,0))="sin dato","",INDEX(CODIFICACION!$E$2:$E$500,MATCH("D6.24|"&amp;CAPTURA!CC64,CODIFICACION!$F$2:$F$500,0))),"⚠"))</f>
        <v/>
      </c>
      <c r="AY64" t="str">
        <f>IF(CAPTURA!CD64="","",IFERROR(IF(INDEX(CODIFICACION!$E$2:$E$500,MATCH("D6.25|"&amp;CAPTURA!CD64,CODIFICACION!$F$2:$F$500,0))="sin dato","",INDEX(CODIFICACION!$E$2:$E$500,MATCH("D6.25|"&amp;CAPTURA!CD64,CODIFICACION!$F$2:$F$500,0))),"⚠"))</f>
        <v/>
      </c>
      <c r="AZ64" t="str">
        <f>IF(CAPTURA!CE64="","",IFERROR(IF(INDEX(CODIFICACION!$E$2:$E$500,MATCH("D6.25a|"&amp;CAPTURA!CE64,CODIFICACION!$F$2:$F$500,0))="sin dato","",INDEX(CODIFICACION!$E$2:$E$500,MATCH("D6.25a|"&amp;CAPTURA!CE64,CODIFICACION!$F$2:$F$500,0))),"⚠"))</f>
        <v/>
      </c>
      <c r="BA64" t="str">
        <f>IF(CAPTURA!CF64="","",IFERROR(IF(INDEX(CODIFICACION!$E$2:$E$500,MATCH("D6.25b|"&amp;CAPTURA!CF64,CODIFICACION!$F$2:$F$500,0))="sin dato","",INDEX(CODIFICACION!$E$2:$E$500,MATCH("D6.25b|"&amp;CAPTURA!CF64,CODIFICACION!$F$2:$F$500,0))),"⚠"))</f>
        <v/>
      </c>
      <c r="BB64" t="str">
        <f>IF(CAPTURA!CG64="","",IFERROR(IF(INDEX(CODIFICACION!$E$2:$E$500,MATCH("D6.22c|"&amp;CAPTURA!CG64,CODIFICACION!$F$2:$F$500,0))="sin dato","",INDEX(CODIFICACION!$E$2:$E$500,MATCH("D6.22c|"&amp;CAPTURA!CG64,CODIFICACION!$F$2:$F$500,0))),"⚠"))</f>
        <v/>
      </c>
      <c r="BC64" t="str">
        <f>IF(CAPTURA!CH64="","",IFERROR(IF(INDEX(CODIFICACION!$E$2:$E$500,MATCH("D7.26|"&amp;CAPTURA!CH64,CODIFICACION!$F$2:$F$500,0))="sin dato","",INDEX(CODIFICACION!$E$2:$E$500,MATCH("D7.26|"&amp;CAPTURA!CH64,CODIFICACION!$F$2:$F$500,0))),"⚠"))</f>
        <v/>
      </c>
      <c r="BD64" t="str">
        <f>IF(CAPTURA!CI64="","",IFERROR(IF(INDEX(CODIFICACION!$E$2:$E$500,MATCH("D7.27|"&amp;CAPTURA!CI64,CODIFICACION!$F$2:$F$500,0))="sin dato","",INDEX(CODIFICACION!$E$2:$E$500,MATCH("D7.27|"&amp;CAPTURA!CI64,CODIFICACION!$F$2:$F$500,0))),"⚠"))</f>
        <v/>
      </c>
      <c r="BE64" t="str">
        <f>IF(CAPTURA!CJ64="","",IFERROR(IF(INDEX(CODIFICACION!$E$2:$E$500,MATCH("D7.28|"&amp;CAPTURA!CJ64,CODIFICACION!$F$2:$F$500,0))="sin dato","",INDEX(CODIFICACION!$E$2:$E$500,MATCH("D7.28|"&amp;CAPTURA!CJ64,CODIFICACION!$F$2:$F$500,0))),"⚠"))</f>
        <v/>
      </c>
      <c r="BF64" t="str">
        <f>IF(CAPTURA!CK64="","",IFERROR(IF(INDEX(CODIFICACION!$E$2:$E$500,MATCH("D7.28b|"&amp;CAPTURA!CK64,CODIFICACION!$F$2:$F$500,0))="sin dato","",INDEX(CODIFICACION!$E$2:$E$500,MATCH("D7.28b|"&amp;CAPTURA!CK64,CODIFICACION!$F$2:$F$500,0))),"⚠"))</f>
        <v/>
      </c>
      <c r="BG64" t="str">
        <f>IF(CAPTURA!CL64="","",MIN(100,ROUND((LEN(CAPTURA!CL64)-LEN(SUBSTITUTE(CAPTURA!CL64,";",""))+1)/8*100,1)))</f>
        <v/>
      </c>
      <c r="BH64" t="str">
        <f>IF(CAPTURA!CM64="","",IFERROR(IF(INDEX(CODIFICACION!$E$2:$E$500,MATCH("D7.26a|"&amp;CAPTURA!CM64,CODIFICACION!$F$2:$F$500,0))="sin dato","",INDEX(CODIFICACION!$E$2:$E$500,MATCH("D7.26a|"&amp;CAPTURA!CM64,CODIFICACION!$F$2:$F$500,0))),"⚠"))</f>
        <v/>
      </c>
      <c r="BI64" t="str">
        <f>IF(CAPTURA!CN64="","",IFERROR(IF(INDEX(CODIFICACION!$E$2:$E$500,MATCH("D7.26b|"&amp;CAPTURA!CN64,CODIFICACION!$F$2:$F$500,0))="sin dato","",INDEX(CODIFICACION!$E$2:$E$500,MATCH("D7.26b|"&amp;CAPTURA!CN64,CODIFICACION!$F$2:$F$500,0))),"⚠"))</f>
        <v/>
      </c>
      <c r="BJ64" t="str">
        <f>IF(CAPTURA!CO64="","",IF(AND(ISNUMBER(CAPTURA!CO64),CAPTURA!CO64&gt;=0,CAPTURA!CO64&lt;=4),CAPTURA!CO64*25,"⚠"))</f>
        <v/>
      </c>
      <c r="BK64" t="str">
        <f>IF(CAPTURA!CP64="","",IF(ISNUMBER(CAPTURA!CP64),MAX(0,MIN(100,CAPTURA!CP64)),"⚠"))</f>
        <v/>
      </c>
      <c r="BL64" t="str">
        <f>IF(CAPTURA!CQ64="","",IFERROR(IF(INDEX(CODIFICACION!$E$2:$E$500,MATCH("D8.31|"&amp;CAPTURA!CQ64,CODIFICACION!$F$2:$F$500,0))="sin dato","",INDEX(CODIFICACION!$E$2:$E$500,MATCH("D8.31|"&amp;CAPTURA!CQ64,CODIFICACION!$F$2:$F$500,0))),"⚠"))</f>
        <v/>
      </c>
      <c r="BM64" t="str">
        <f>IF(CAPTURA!CR64="","",IFERROR(IF(INDEX(CODIFICACION!$E$2:$E$500,MATCH("D8.32|"&amp;CAPTURA!CR64,CODIFICACION!$F$2:$F$500,0))="sin dato","",INDEX(CODIFICACION!$E$2:$E$500,MATCH("D8.32|"&amp;CAPTURA!CR64,CODIFICACION!$F$2:$F$500,0))),"⚠"))</f>
        <v/>
      </c>
      <c r="BN64" t="str">
        <f>IF(CAPTURA!CS64="","",IFERROR(IF(INDEX(CODIFICACION!$E$2:$E$500,MATCH("D9.33|"&amp;CAPTURA!CS64,CODIFICACION!$F$2:$F$500,0))="sin dato","",INDEX(CODIFICACION!$E$2:$E$500,MATCH("D9.33|"&amp;CAPTURA!CS64,CODIFICACION!$F$2:$F$500,0))),"⚠"))</f>
        <v/>
      </c>
      <c r="BO64" t="str">
        <f>IF(CAPTURA!CT64="","",IFERROR(IF(INDEX(CODIFICACION!$E$2:$E$500,MATCH("D9.34|"&amp;CAPTURA!CT64,CODIFICACION!$F$2:$F$500,0))="sin dato","",INDEX(CODIFICACION!$E$2:$E$500,MATCH("D9.34|"&amp;CAPTURA!CT64,CODIFICACION!$F$2:$F$500,0))),"⚠"))</f>
        <v/>
      </c>
      <c r="BP64" t="str">
        <f>IF(CAPTURA!CU64="","",IFERROR(IF(INDEX(CODIFICACION!$E$2:$E$500,MATCH("D9.35|"&amp;CAPTURA!CU64,CODIFICACION!$F$2:$F$500,0))="sin dato","",INDEX(CODIFICACION!$E$2:$E$500,MATCH("D9.35|"&amp;CAPTURA!CU64,CODIFICACION!$F$2:$F$500,0))),"⚠"))</f>
        <v/>
      </c>
      <c r="BQ64" t="str">
        <f>IF(CAPTURA!CV64="","",IFERROR(IF(INDEX(CODIFICACION!$E$2:$E$500,MATCH("D10.36|"&amp;CAPTURA!CV64,CODIFICACION!$F$2:$F$500,0))="sin dato","",INDEX(CODIFICACION!$E$2:$E$500,MATCH("D10.36|"&amp;CAPTURA!CV64,CODIFICACION!$F$2:$F$500,0))),"⚠"))</f>
        <v/>
      </c>
      <c r="BR64" t="str">
        <f>IF(CAPTURA!CW64="","",IFERROR(IF(INDEX(CODIFICACION!$E$2:$E$500,MATCH("D10.37|"&amp;CAPTURA!CW64,CODIFICACION!$F$2:$F$500,0))="sin dato","",INDEX(CODIFICACION!$E$2:$E$500,MATCH("D10.37|"&amp;CAPTURA!CW64,CODIFICACION!$F$2:$F$500,0))),"⚠"))</f>
        <v/>
      </c>
      <c r="BS64" t="str">
        <f>IF(CAPTURA!CX64="","",IFERROR(IF(INDEX(CODIFICACION!$E$2:$E$500,MATCH("D10.36a|"&amp;CAPTURA!CX64,CODIFICACION!$F$2:$F$500,0))="sin dato","",INDEX(CODIFICACION!$E$2:$E$500,MATCH("D10.36a|"&amp;CAPTURA!CX64,CODIFICACION!$F$2:$F$500,0))),"⚠"))</f>
        <v/>
      </c>
      <c r="BT64" t="str">
        <f>IF(CAPTURA!CY64="","",IF(ISNUMBER(SEARCH("Ninguno",CAPTURA!CY64)),0,MIN(100,ROUND((LEN(CAPTURA!CY64)-LEN(SUBSTITUTE(CAPTURA!CY64,";",""))+1)/6*100,1))))</f>
        <v/>
      </c>
      <c r="BU64" t="str">
        <f>IF(CAPTURA!DA64="","",IFERROR(IF(INDEX(CODIFICACION!$E$2:$E$500,MATCH("D11.39a|"&amp;CAPTURA!DA64,CODIFICACION!$F$2:$F$500,0))="sin dato","",INDEX(CODIFICACION!$E$2:$E$500,MATCH("D11.39a|"&amp;CAPTURA!DA64,CODIFICACION!$F$2:$F$500,0))),"⚠"))</f>
        <v/>
      </c>
      <c r="BV64" t="str">
        <f>IF(CAPTURA!DB64="","",IFERROR(IF(INDEX(CODIFICACION!$E$2:$E$500,MATCH("D12.42|"&amp;CAPTURA!DB64,CODIFICACION!$F$2:$F$500,0))="sin dato","",INDEX(CODIFICACION!$E$2:$E$500,MATCH("D12.42|"&amp;CAPTURA!DB64,CODIFICACION!$F$2:$F$500,0))),"⚠"))</f>
        <v/>
      </c>
      <c r="BW64" t="str">
        <f>IF(CAPTURA!DC64="","",IFERROR(IF(INDEX(CODIFICACION!$E$2:$E$500,MATCH("D13.45|"&amp;CAPTURA!DC64,CODIFICACION!$F$2:$F$500,0))="sin dato","",INDEX(CODIFICACION!$E$2:$E$500,MATCH("D13.45|"&amp;CAPTURA!DC64,CODIFICACION!$F$2:$F$500,0))),"⚠"))</f>
        <v/>
      </c>
      <c r="BX64" t="str">
        <f>IF(CAPTURA!DD64="","",IFERROR(IF(INDEX(CODIFICACION!$E$2:$E$500,MATCH("D14.51|"&amp;CAPTURA!DD64,CODIFICACION!$F$2:$F$500,0))="sin dato","",INDEX(CODIFICACION!$E$2:$E$500,MATCH("D14.51|"&amp;CAPTURA!DD64,CODIFICACION!$F$2:$F$500,0))),"⚠"))</f>
        <v/>
      </c>
      <c r="BY64" t="str">
        <f>IF(CAPTURA!DE64="","",IFERROR(IF(INDEX(CODIFICACION!$E$2:$E$500,MATCH("D15.58|"&amp;CAPTURA!DE64,CODIFICACION!$F$2:$F$500,0))="sin dato","",INDEX(CODIFICACION!$E$2:$E$500,MATCH("D15.58|"&amp;CAPTURA!DE64,CODIFICACION!$F$2:$F$500,0))),"⚠"))</f>
        <v/>
      </c>
      <c r="BZ64" t="str">
        <f>IF(CAPTURA!DF64="","",IFERROR(IF(INDEX(CODIFICACION!$E$2:$E$500,MATCH("PP1|"&amp;CAPTURA!DF64,CODIFICACION!$F$2:$F$500,0))="sin dato","",INDEX(CODIFICACION!$E$2:$E$500,MATCH("PP1|"&amp;CAPTURA!DF64,CODIFICACION!$F$2:$F$500,0))),"⚠"))</f>
        <v/>
      </c>
      <c r="CA64" t="str">
        <f>IF(CAPTURA!DG64="","",IFERROR(IF(INDEX(CODIFICACION!$E$2:$E$500,MATCH("PP2|"&amp;CAPTURA!DG64,CODIFICACION!$F$2:$F$500,0))="sin dato","",INDEX(CODIFICACION!$E$2:$E$500,MATCH("PP2|"&amp;CAPTURA!DG64,CODIFICACION!$F$2:$F$500,0))),"⚠"))</f>
        <v/>
      </c>
      <c r="CB64" t="str">
        <f t="shared" si="11"/>
        <v/>
      </c>
      <c r="CC64" t="str">
        <f t="shared" si="12"/>
        <v/>
      </c>
      <c r="CD64" t="str">
        <f t="shared" si="13"/>
        <v/>
      </c>
      <c r="CE64" t="str">
        <f t="shared" si="14"/>
        <v/>
      </c>
      <c r="CF64" t="str">
        <f t="shared" si="15"/>
        <v/>
      </c>
      <c r="CG64" t="str">
        <f t="shared" si="16"/>
        <v/>
      </c>
      <c r="CH64" t="str">
        <f t="shared" si="17"/>
        <v/>
      </c>
      <c r="CI64" t="str">
        <f t="shared" si="18"/>
        <v/>
      </c>
      <c r="CJ64" t="str">
        <f t="shared" si="19"/>
        <v/>
      </c>
      <c r="CK64" t="str">
        <f t="shared" si="20"/>
        <v/>
      </c>
      <c r="CL64" t="str">
        <f t="shared" si="21"/>
        <v/>
      </c>
    </row>
    <row r="65" spans="1:90" x14ac:dyDescent="0.3">
      <c r="A65">
        <f>CAPTURA!A65</f>
        <v>20531441797</v>
      </c>
      <c r="B65">
        <f>CAPTURA!C65</f>
        <v>0</v>
      </c>
      <c r="C65" t="str">
        <f>IF(CAPTURA!M65="","",ROUND((ISNUMBER(SEARCH("Alemania",CAPTURA!M65))+ISNUMBER(SEARCH("Bélgica",CAPTURA!M65))+ISNUMBER(SEARCH("Países Bajos",CAPTURA!M65))+ISNUMBER(SEARCH("Francia",CAPTURA!M65))+ISNUMBER(SEARCH("Italia",CAPTURA!M65))+ISNUMBER(SEARCH("España",CAPTURA!M65))+ISNUMBER(SEARCH("Suecia",CAPTURA!M65))+ISNUMBER(SEARCH("Dinamarca",CAPTURA!M65)))/((LEN(CAPTURA!M65)-LEN(SUBSTITUTE(CAPTURA!M65,";","")))+1)*100,1))</f>
        <v/>
      </c>
      <c r="D65" t="str">
        <f>IF(CAPTURA!AE65="","",IFERROR(IF(INDEX(CODIFICACION!$E$2:$E$500,MATCH("P8|"&amp;CAPTURA!AE65,CODIFICACION!$F$2:$F$500,0))="sin dato","",INDEX(CODIFICACION!$E$2:$E$500,MATCH("P8|"&amp;CAPTURA!AE65,CODIFICACION!$F$2:$F$500,0))),"⚠"))</f>
        <v/>
      </c>
      <c r="E65" t="str">
        <f>IF(CAPTURA!AG65="","",IFERROR(IF(INDEX(CODIFICACION!$E$2:$E$500,MATCH("P10|"&amp;CAPTURA!AG65,CODIFICACION!$F$2:$F$500,0))="sin dato","",INDEX(CODIFICACION!$E$2:$E$500,MATCH("P10|"&amp;CAPTURA!AG65,CODIFICACION!$F$2:$F$500,0))),"⚠"))</f>
        <v/>
      </c>
      <c r="F65" t="str">
        <f>IF(CAPTURA!AJ65="","",IFERROR(IF(INDEX(CODIFICACION!$E$2:$E$500,MATCH("P13|"&amp;CAPTURA!AJ65,CODIFICACION!$F$2:$F$500,0))="sin dato","",INDEX(CODIFICACION!$E$2:$E$500,MATCH("P13|"&amp;CAPTURA!AJ65,CODIFICACION!$F$2:$F$500,0))),"⚠"))</f>
        <v/>
      </c>
      <c r="G65" t="str">
        <f>IF(CAPTURA!AK65="","",IFERROR(IF(INDEX(CODIFICACION!$E$2:$E$500,MATCH("P14|"&amp;CAPTURA!AK65,CODIFICACION!$F$2:$F$500,0))="sin dato","",INDEX(CODIFICACION!$E$2:$E$500,MATCH("P14|"&amp;CAPTURA!AK65,CODIFICACION!$F$2:$F$500,0))),"⚠"))</f>
        <v/>
      </c>
      <c r="H65" t="str">
        <f>IF(CAPTURA!AL65="","",IFERROR(IF(INDEX(CODIFICACION!$E$2:$E$500,MATCH("D1.1|"&amp;CAPTURA!AL65,CODIFICACION!$F$2:$F$500,0))="sin dato","",INDEX(CODIFICACION!$E$2:$E$500,MATCH("D1.1|"&amp;CAPTURA!AL65,CODIFICACION!$F$2:$F$500,0))),"⚠"))</f>
        <v/>
      </c>
      <c r="I65" t="str">
        <f>IF(CAPTURA!AN65="","",IFERROR(IF(INDEX(CODIFICACION!$E$2:$E$500,MATCH("D1.3|"&amp;CAPTURA!AN65,CODIFICACION!$F$2:$F$500,0))="sin dato","",INDEX(CODIFICACION!$E$2:$E$500,MATCH("D1.3|"&amp;CAPTURA!AN65,CODIFICACION!$F$2:$F$500,0))),"⚠"))</f>
        <v/>
      </c>
      <c r="J65" t="str">
        <f>IF(CAPTURA!AO65="","",IFERROR(IF(INDEX(CODIFICACION!$E$2:$E$500,MATCH("D1.4|"&amp;CAPTURA!AO65,CODIFICACION!$F$2:$F$500,0))="sin dato","",INDEX(CODIFICACION!$E$2:$E$500,MATCH("D1.4|"&amp;CAPTURA!AO65,CODIFICACION!$F$2:$F$500,0))),"⚠"))</f>
        <v/>
      </c>
      <c r="K65" t="str">
        <f>IF(CAPTURA!AP65="","",IFERROR(IF(INDEX(CODIFICACION!$E$2:$E$500,MATCH("D1.3a|"&amp;CAPTURA!AP65,CODIFICACION!$F$2:$F$500,0))="sin dato","",INDEX(CODIFICACION!$E$2:$E$500,MATCH("D1.3a|"&amp;CAPTURA!AP65,CODIFICACION!$F$2:$F$500,0))),"⚠"))</f>
        <v/>
      </c>
      <c r="L65" t="str">
        <f>IF(CAPTURA!AQ65="","",IF(AND(ISNUMBER(CAPTURA!AQ65),CAPTURA!AQ65&gt;=0,CAPTURA!AQ65&lt;=4),CAPTURA!AQ65*25,"⚠"))</f>
        <v/>
      </c>
      <c r="M65" t="str">
        <f>IF(CAPTURA!AR65="","",IF(ISNUMBER(CAPTURA!AR65),MAX(0,MIN(100,CAPTURA!AR65)),"⚠"))</f>
        <v/>
      </c>
      <c r="N65" t="str">
        <f>IF(CAPTURA!AS65="","",IF(AND(ISNUMBER(CAPTURA!AS65),CAPTURA!AS65&gt;=0,CAPTURA!AS65&lt;=4),CAPTURA!AS65*25,"⚠"))</f>
        <v/>
      </c>
      <c r="O65" t="str">
        <f>IF(CAPTURA!AT65="","",IFERROR(IF(INDEX(CODIFICACION!$E$2:$E$500,MATCH("D2.8|"&amp;CAPTURA!AT65,CODIFICACION!$F$2:$F$500,0))="sin dato","",INDEX(CODIFICACION!$E$2:$E$500,MATCH("D2.8|"&amp;CAPTURA!AT65,CODIFICACION!$F$2:$F$500,0))),"⚠"))</f>
        <v/>
      </c>
      <c r="P65" t="str">
        <f>IF(CAPTURA!AU65="","",IFERROR(IF(INDEX(CODIFICACION!$E$2:$E$500,MATCH("D2.9|"&amp;CAPTURA!AU65,CODIFICACION!$F$2:$F$500,0))="sin dato","",INDEX(CODIFICACION!$E$2:$E$500,MATCH("D2.9|"&amp;CAPTURA!AU65,CODIFICACION!$F$2:$F$500,0))),"⚠"))</f>
        <v/>
      </c>
      <c r="Q65" t="str">
        <f>IF(CAPTURA!AV65="","",IFERROR(IF(INDEX(CODIFICACION!$E$2:$E$500,MATCH("D2.10|"&amp;CAPTURA!AV65,CODIFICACION!$F$2:$F$500,0))="sin dato","",INDEX(CODIFICACION!$E$2:$E$500,MATCH("D2.10|"&amp;CAPTURA!AV65,CODIFICACION!$F$2:$F$500,0))),"⚠"))</f>
        <v/>
      </c>
      <c r="R65" t="str">
        <f>IF(CAPTURA!AW65="","",IFERROR(IF(INDEX(CODIFICACION!$E$2:$E$500,MATCH("D2.5a|"&amp;CAPTURA!AW65,CODIFICACION!$F$2:$F$500,0))="sin dato","",INDEX(CODIFICACION!$E$2:$E$500,MATCH("D2.5a|"&amp;CAPTURA!AW65,CODIFICACION!$F$2:$F$500,0))),"⚠"))</f>
        <v/>
      </c>
      <c r="S65" t="str">
        <f>IF(CAPTURA!AX65="","",IFERROR(IF(INDEX(CODIFICACION!$E$2:$E$500,MATCH("D2.5b|"&amp;CAPTURA!AX65,CODIFICACION!$F$2:$F$500,0))="sin dato","",INDEX(CODIFICACION!$E$2:$E$500,MATCH("D2.5b|"&amp;CAPTURA!AX65,CODIFICACION!$F$2:$F$500,0))),"⚠"))</f>
        <v/>
      </c>
      <c r="T65" t="str">
        <f>IF(CAPTURA!AY65="","",IF(ISNUMBER(CAPTURA!AY65),MAX(0,MIN(100,CAPTURA!AY65)),"⚠"))</f>
        <v/>
      </c>
      <c r="U65" t="str">
        <f>IF(CAPTURA!AZ65="","",IFERROR(IF(INDEX(CODIFICACION!$E$2:$E$500,MATCH("D3.12|"&amp;CAPTURA!AZ65,CODIFICACION!$F$2:$F$500,0))="sin dato","",INDEX(CODIFICACION!$E$2:$E$500,MATCH("D3.12|"&amp;CAPTURA!AZ65,CODIFICACION!$F$2:$F$500,0))),"⚠"))</f>
        <v/>
      </c>
      <c r="V65" t="str">
        <f>IF(CAPTURA!BA65="","",IF(AND(ISNUMBER(CAPTURA!BA65),CAPTURA!BA65&gt;=0,CAPTURA!BA65&lt;=4),CAPTURA!BA65*25,"⚠"))</f>
        <v/>
      </c>
      <c r="W65" t="str">
        <f>IF(CAPTURA!BB65="","",IFERROR(IF(INDEX(CODIFICACION!$E$2:$E$500,MATCH("D3.14|"&amp;CAPTURA!BB65,CODIFICACION!$F$2:$F$500,0))="sin dato","",INDEX(CODIFICACION!$E$2:$E$500,MATCH("D3.14|"&amp;CAPTURA!BB65,CODIFICACION!$F$2:$F$500,0))),"⚠"))</f>
        <v/>
      </c>
      <c r="X65" t="str">
        <f>IF(CAPTURA!BC65="","",IFERROR(IF(INDEX(CODIFICACION!$E$2:$E$500,MATCH("D3.14a|"&amp;CAPTURA!BC65,CODIFICACION!$F$2:$F$500,0))="sin dato","",INDEX(CODIFICACION!$E$2:$E$500,MATCH("D3.14a|"&amp;CAPTURA!BC65,CODIFICACION!$F$2:$F$500,0))),"⚠"))</f>
        <v/>
      </c>
      <c r="Y65" t="str">
        <f>IF(CAPTURA!BD65="","",IFERROR(IF(INDEX(CODIFICACION!$E$2:$E$500,MATCH("D3.14b|"&amp;CAPTURA!BD65,CODIFICACION!$F$2:$F$500,0))="sin dato","",INDEX(CODIFICACION!$E$2:$E$500,MATCH("D3.14b|"&amp;CAPTURA!BD65,CODIFICACION!$F$2:$F$500,0))),"⚠"))</f>
        <v/>
      </c>
      <c r="Z65" t="str">
        <f>IF(CAPTURA!BE65="","",IFERROR(IF(INDEX(CODIFICACION!$E$2:$E$500,MATCH("D3.14c|"&amp;CAPTURA!BE65,CODIFICACION!$F$2:$F$500,0))="sin dato","",INDEX(CODIFICACION!$E$2:$E$500,MATCH("D3.14c|"&amp;CAPTURA!BE65,CODIFICACION!$F$2:$F$500,0))),"⚠"))</f>
        <v/>
      </c>
      <c r="AA65" t="str">
        <f>IF(CAPTURA!BF65="","",IFERROR(IF(INDEX(CODIFICACION!$E$2:$E$500,MATCH("D3.14d|"&amp;CAPTURA!BF65,CODIFICACION!$F$2:$F$500,0))="sin dato","",INDEX(CODIFICACION!$E$2:$E$500,MATCH("D3.14d|"&amp;CAPTURA!BF65,CODIFICACION!$F$2:$F$500,0))),"⚠"))</f>
        <v/>
      </c>
      <c r="AB65" t="str">
        <f>IF(CAPTURA!BG65="","",IFERROR(IF(INDEX(CODIFICACION!$E$2:$E$500,MATCH("D3.14e|"&amp;CAPTURA!BG65,CODIFICACION!$F$2:$F$500,0))="sin dato","",INDEX(CODIFICACION!$E$2:$E$500,MATCH("D3.14e|"&amp;CAPTURA!BG65,CODIFICACION!$F$2:$F$500,0))),"⚠"))</f>
        <v/>
      </c>
      <c r="AC65" t="str">
        <f>IF(CAPTURA!BH65="","",IFERROR(IF(INDEX(CODIFICACION!$E$2:$E$500,MATCH("D3.14f|"&amp;CAPTURA!BH65,CODIFICACION!$F$2:$F$500,0))="sin dato","",INDEX(CODIFICACION!$E$2:$E$500,MATCH("D3.14f|"&amp;CAPTURA!BH65,CODIFICACION!$F$2:$F$500,0))),"⚠"))</f>
        <v/>
      </c>
      <c r="AD65" t="str">
        <f>IF(CAPTURA!BI65="","",IFERROR(IF(INDEX(CODIFICACION!$E$2:$E$500,MATCH("D3.14g|"&amp;CAPTURA!BI65,CODIFICACION!$F$2:$F$500,0))="sin dato","",INDEX(CODIFICACION!$E$2:$E$500,MATCH("D3.14g|"&amp;CAPTURA!BI65,CODIFICACION!$F$2:$F$500,0))),"⚠"))</f>
        <v/>
      </c>
      <c r="AE65" t="str">
        <f>IF(CAPTURA!BJ65="","",IFERROR(IF(INDEX(CODIFICACION!$E$2:$E$500,MATCH("D3.14h|"&amp;CAPTURA!BJ65,CODIFICACION!$F$2:$F$500,0))="sin dato","",INDEX(CODIFICACION!$E$2:$E$500,MATCH("D3.14h|"&amp;CAPTURA!BJ65,CODIFICACION!$F$2:$F$500,0))),"⚠"))</f>
        <v/>
      </c>
      <c r="AF65" t="str">
        <f>IF(CAPTURA!BK65="","",IFERROR(IF(INDEX(CODIFICACION!$E$2:$E$500,MATCH("D3.14i|"&amp;CAPTURA!BK65,CODIFICACION!$F$2:$F$500,0))="sin dato","",INDEX(CODIFICACION!$E$2:$E$500,MATCH("D3.14i|"&amp;CAPTURA!BK65,CODIFICACION!$F$2:$F$500,0))),"⚠"))</f>
        <v/>
      </c>
      <c r="AG65" t="str">
        <f>IF(CAPTURA!BL65="","",IFERROR(IF(INDEX(CODIFICACION!$E$2:$E$500,MATCH("D4.15|"&amp;CAPTURA!BL65,CODIFICACION!$F$2:$F$500,0))="sin dato","",INDEX(CODIFICACION!$E$2:$E$500,MATCH("D4.15|"&amp;CAPTURA!BL65,CODIFICACION!$F$2:$F$500,0))),"⚠"))</f>
        <v/>
      </c>
      <c r="AH65" t="str">
        <f>IF(CAPTURA!BM65="","",IF(AND(ISNUMBER(CAPTURA!BM65),CAPTURA!BM65&gt;=0,CAPTURA!BM65&lt;=4),CAPTURA!BM65*25,"⚠"))</f>
        <v/>
      </c>
      <c r="AI65" t="str">
        <f>IF(CAPTURA!BN65="","",IFERROR(IF(INDEX(CODIFICACION!$E$2:$E$500,MATCH("D4.17|"&amp;CAPTURA!BN65,CODIFICACION!$F$2:$F$500,0))="sin dato","",INDEX(CODIFICACION!$E$2:$E$500,MATCH("D4.17|"&amp;CAPTURA!BN65,CODIFICACION!$F$2:$F$500,0))),"⚠"))</f>
        <v/>
      </c>
      <c r="AJ65" t="str">
        <f>IF(CAPTURA!BO65="","",IFERROR(IF(INDEX(CODIFICACION!$E$2:$E$500,MATCH("D4.15a|"&amp;CAPTURA!BO65,CODIFICACION!$F$2:$F$500,0))="sin dato","",INDEX(CODIFICACION!$E$2:$E$500,MATCH("D4.15a|"&amp;CAPTURA!BO65,CODIFICACION!$F$2:$F$500,0))),"⚠"))</f>
        <v/>
      </c>
      <c r="AK65" t="str">
        <f>IF(CAPTURA!BP65="","",IF(AND(ISNUMBER(CAPTURA!BP65),CAPTURA!BP65&gt;=0,CAPTURA!BP65&lt;=4),CAPTURA!BP65*25,"⚠"))</f>
        <v/>
      </c>
      <c r="AL65" t="str">
        <f>IF(CAPTURA!BQ65="","",IF(AND(ISNUMBER(CAPTURA!BQ65),CAPTURA!BQ65&gt;=0,CAPTURA!BQ65&lt;=4),CAPTURA!BQ65*25,"⚠"))</f>
        <v/>
      </c>
      <c r="AM65" t="str">
        <f>IF(CAPTURA!BR65="","",IFERROR(IF(INDEX(CODIFICACION!$E$2:$E$500,MATCH("D5.18b|"&amp;CAPTURA!BR65,CODIFICACION!$F$2:$F$500,0))="sin dato","",INDEX(CODIFICACION!$E$2:$E$500,MATCH("D5.18b|"&amp;CAPTURA!BR65,CODIFICACION!$F$2:$F$500,0))),"⚠"))</f>
        <v/>
      </c>
      <c r="AN65" t="str">
        <f>IF(CAPTURA!BS65="","",IFERROR(IF(INDEX(CODIFICACION!$E$2:$E$500,MATCH("D5.19|"&amp;CAPTURA!BS65,CODIFICACION!$F$2:$F$500,0))="sin dato","",INDEX(CODIFICACION!$E$2:$E$500,MATCH("D5.19|"&amp;CAPTURA!BS65,CODIFICACION!$F$2:$F$500,0))),"⚠"))</f>
        <v/>
      </c>
      <c r="AO65" t="str">
        <f>IF(CAPTURA!BT65="","",MIN(100,ROUND((LEN(CAPTURA!BT65)-LEN(SUBSTITUTE(CAPTURA!BT65,";",""))+1)/7*100,1)))</f>
        <v/>
      </c>
      <c r="AP65" t="str">
        <f>IF(CAPTURA!BU65="","",IFERROR(IF(INDEX(CODIFICACION!$E$2:$E$500,MATCH("D5.20|"&amp;CAPTURA!BU65,CODIFICACION!$F$2:$F$500,0))="sin dato","",INDEX(CODIFICACION!$E$2:$E$500,MATCH("D5.20|"&amp;CAPTURA!BU65,CODIFICACION!$F$2:$F$500,0))),"⚠"))</f>
        <v/>
      </c>
      <c r="AQ65" t="str">
        <f>IF(CAPTURA!BV65="","",IFERROR(IF(INDEX(CODIFICACION!$E$2:$E$500,MATCH("D5.21|"&amp;CAPTURA!BV65,CODIFICACION!$F$2:$F$500,0))="sin dato","",INDEX(CODIFICACION!$E$2:$E$500,MATCH("D5.21|"&amp;CAPTURA!BV65,CODIFICACION!$F$2:$F$500,0))),"⚠"))</f>
        <v/>
      </c>
      <c r="AR65" t="str">
        <f>IF(CAPTURA!BW65="","",IFERROR(IF(INDEX(CODIFICACION!$E$2:$E$500,MATCH("D5.21a|"&amp;CAPTURA!BW65,CODIFICACION!$F$2:$F$500,0))="sin dato","",INDEX(CODIFICACION!$E$2:$E$500,MATCH("D5.21a|"&amp;CAPTURA!BW65,CODIFICACION!$F$2:$F$500,0))),"⚠"))</f>
        <v/>
      </c>
      <c r="AS65" t="str">
        <f>IF(CAPTURA!BX65="","",IFERROR(IF(INDEX(CODIFICACION!$E$2:$E$500,MATCH("D5.21b|"&amp;CAPTURA!BX65,CODIFICACION!$F$2:$F$500,0))="sin dato","",INDEX(CODIFICACION!$E$2:$E$500,MATCH("D5.21b|"&amp;CAPTURA!BX65,CODIFICACION!$F$2:$F$500,0))),"⚠"))</f>
        <v/>
      </c>
      <c r="AT65" t="str">
        <f>IF(CAPTURA!BY65="","",IFERROR(IF(INDEX(CODIFICACION!$E$2:$E$500,MATCH("D6.22|"&amp;CAPTURA!BY65,CODIFICACION!$F$2:$F$500,0))="sin dato","",INDEX(CODIFICACION!$E$2:$E$500,MATCH("D6.22|"&amp;CAPTURA!BY65,CODIFICACION!$F$2:$F$500,0))),"⚠"))</f>
        <v/>
      </c>
      <c r="AU65" t="str">
        <f>IF(CAPTURA!BZ65="","",IFERROR(IF(INDEX(CODIFICACION!$E$2:$E$500,MATCH("D6.22a|"&amp;CAPTURA!BZ65,CODIFICACION!$F$2:$F$500,0))="sin dato","",INDEX(CODIFICACION!$E$2:$E$500,MATCH("D6.22a|"&amp;CAPTURA!BZ65,CODIFICACION!$F$2:$F$500,0))),"⚠"))</f>
        <v/>
      </c>
      <c r="AV65" t="str">
        <f>IF(CAPTURA!CA65="","",IFERROR(IF(INDEX(CODIFICACION!$E$2:$E$500,MATCH("D6.22b|"&amp;CAPTURA!CA65,CODIFICACION!$F$2:$F$500,0))="sin dato","",INDEX(CODIFICACION!$E$2:$E$500,MATCH("D6.22b|"&amp;CAPTURA!CA65,CODIFICACION!$F$2:$F$500,0))),"⚠"))</f>
        <v/>
      </c>
      <c r="AW65" t="str">
        <f>IF(CAPTURA!CB65="","",IFERROR(IF(INDEX(CODIFICACION!$E$2:$E$500,MATCH("D6.23|"&amp;CAPTURA!CB65,CODIFICACION!$F$2:$F$500,0))="sin dato","",INDEX(CODIFICACION!$E$2:$E$500,MATCH("D6.23|"&amp;CAPTURA!CB65,CODIFICACION!$F$2:$F$500,0))),"⚠"))</f>
        <v/>
      </c>
      <c r="AX65" t="str">
        <f>IF(CAPTURA!CC65="","",IFERROR(IF(INDEX(CODIFICACION!$E$2:$E$500,MATCH("D6.24|"&amp;CAPTURA!CC65,CODIFICACION!$F$2:$F$500,0))="sin dato","",INDEX(CODIFICACION!$E$2:$E$500,MATCH("D6.24|"&amp;CAPTURA!CC65,CODIFICACION!$F$2:$F$500,0))),"⚠"))</f>
        <v/>
      </c>
      <c r="AY65" t="str">
        <f>IF(CAPTURA!CD65="","",IFERROR(IF(INDEX(CODIFICACION!$E$2:$E$500,MATCH("D6.25|"&amp;CAPTURA!CD65,CODIFICACION!$F$2:$F$500,0))="sin dato","",INDEX(CODIFICACION!$E$2:$E$500,MATCH("D6.25|"&amp;CAPTURA!CD65,CODIFICACION!$F$2:$F$500,0))),"⚠"))</f>
        <v/>
      </c>
      <c r="AZ65" t="str">
        <f>IF(CAPTURA!CE65="","",IFERROR(IF(INDEX(CODIFICACION!$E$2:$E$500,MATCH("D6.25a|"&amp;CAPTURA!CE65,CODIFICACION!$F$2:$F$500,0))="sin dato","",INDEX(CODIFICACION!$E$2:$E$500,MATCH("D6.25a|"&amp;CAPTURA!CE65,CODIFICACION!$F$2:$F$500,0))),"⚠"))</f>
        <v/>
      </c>
      <c r="BA65" t="str">
        <f>IF(CAPTURA!CF65="","",IFERROR(IF(INDEX(CODIFICACION!$E$2:$E$500,MATCH("D6.25b|"&amp;CAPTURA!CF65,CODIFICACION!$F$2:$F$500,0))="sin dato","",INDEX(CODIFICACION!$E$2:$E$500,MATCH("D6.25b|"&amp;CAPTURA!CF65,CODIFICACION!$F$2:$F$500,0))),"⚠"))</f>
        <v/>
      </c>
      <c r="BB65" t="str">
        <f>IF(CAPTURA!CG65="","",IFERROR(IF(INDEX(CODIFICACION!$E$2:$E$500,MATCH("D6.22c|"&amp;CAPTURA!CG65,CODIFICACION!$F$2:$F$500,0))="sin dato","",INDEX(CODIFICACION!$E$2:$E$500,MATCH("D6.22c|"&amp;CAPTURA!CG65,CODIFICACION!$F$2:$F$500,0))),"⚠"))</f>
        <v/>
      </c>
      <c r="BC65" t="str">
        <f>IF(CAPTURA!CH65="","",IFERROR(IF(INDEX(CODIFICACION!$E$2:$E$500,MATCH("D7.26|"&amp;CAPTURA!CH65,CODIFICACION!$F$2:$F$500,0))="sin dato","",INDEX(CODIFICACION!$E$2:$E$500,MATCH("D7.26|"&amp;CAPTURA!CH65,CODIFICACION!$F$2:$F$500,0))),"⚠"))</f>
        <v/>
      </c>
      <c r="BD65" t="str">
        <f>IF(CAPTURA!CI65="","",IFERROR(IF(INDEX(CODIFICACION!$E$2:$E$500,MATCH("D7.27|"&amp;CAPTURA!CI65,CODIFICACION!$F$2:$F$500,0))="sin dato","",INDEX(CODIFICACION!$E$2:$E$500,MATCH("D7.27|"&amp;CAPTURA!CI65,CODIFICACION!$F$2:$F$500,0))),"⚠"))</f>
        <v/>
      </c>
      <c r="BE65" t="str">
        <f>IF(CAPTURA!CJ65="","",IFERROR(IF(INDEX(CODIFICACION!$E$2:$E$500,MATCH("D7.28|"&amp;CAPTURA!CJ65,CODIFICACION!$F$2:$F$500,0))="sin dato","",INDEX(CODIFICACION!$E$2:$E$500,MATCH("D7.28|"&amp;CAPTURA!CJ65,CODIFICACION!$F$2:$F$500,0))),"⚠"))</f>
        <v/>
      </c>
      <c r="BF65" t="str">
        <f>IF(CAPTURA!CK65="","",IFERROR(IF(INDEX(CODIFICACION!$E$2:$E$500,MATCH("D7.28b|"&amp;CAPTURA!CK65,CODIFICACION!$F$2:$F$500,0))="sin dato","",INDEX(CODIFICACION!$E$2:$E$500,MATCH("D7.28b|"&amp;CAPTURA!CK65,CODIFICACION!$F$2:$F$500,0))),"⚠"))</f>
        <v/>
      </c>
      <c r="BG65" t="str">
        <f>IF(CAPTURA!CL65="","",MIN(100,ROUND((LEN(CAPTURA!CL65)-LEN(SUBSTITUTE(CAPTURA!CL65,";",""))+1)/8*100,1)))</f>
        <v/>
      </c>
      <c r="BH65" t="str">
        <f>IF(CAPTURA!CM65="","",IFERROR(IF(INDEX(CODIFICACION!$E$2:$E$500,MATCH("D7.26a|"&amp;CAPTURA!CM65,CODIFICACION!$F$2:$F$500,0))="sin dato","",INDEX(CODIFICACION!$E$2:$E$500,MATCH("D7.26a|"&amp;CAPTURA!CM65,CODIFICACION!$F$2:$F$500,0))),"⚠"))</f>
        <v/>
      </c>
      <c r="BI65" t="str">
        <f>IF(CAPTURA!CN65="","",IFERROR(IF(INDEX(CODIFICACION!$E$2:$E$500,MATCH("D7.26b|"&amp;CAPTURA!CN65,CODIFICACION!$F$2:$F$500,0))="sin dato","",INDEX(CODIFICACION!$E$2:$E$500,MATCH("D7.26b|"&amp;CAPTURA!CN65,CODIFICACION!$F$2:$F$500,0))),"⚠"))</f>
        <v/>
      </c>
      <c r="BJ65" t="str">
        <f>IF(CAPTURA!CO65="","",IF(AND(ISNUMBER(CAPTURA!CO65),CAPTURA!CO65&gt;=0,CAPTURA!CO65&lt;=4),CAPTURA!CO65*25,"⚠"))</f>
        <v/>
      </c>
      <c r="BK65" t="str">
        <f>IF(CAPTURA!CP65="","",IF(ISNUMBER(CAPTURA!CP65),MAX(0,MIN(100,CAPTURA!CP65)),"⚠"))</f>
        <v/>
      </c>
      <c r="BL65" t="str">
        <f>IF(CAPTURA!CQ65="","",IFERROR(IF(INDEX(CODIFICACION!$E$2:$E$500,MATCH("D8.31|"&amp;CAPTURA!CQ65,CODIFICACION!$F$2:$F$500,0))="sin dato","",INDEX(CODIFICACION!$E$2:$E$500,MATCH("D8.31|"&amp;CAPTURA!CQ65,CODIFICACION!$F$2:$F$500,0))),"⚠"))</f>
        <v/>
      </c>
      <c r="BM65" t="str">
        <f>IF(CAPTURA!CR65="","",IFERROR(IF(INDEX(CODIFICACION!$E$2:$E$500,MATCH("D8.32|"&amp;CAPTURA!CR65,CODIFICACION!$F$2:$F$500,0))="sin dato","",INDEX(CODIFICACION!$E$2:$E$500,MATCH("D8.32|"&amp;CAPTURA!CR65,CODIFICACION!$F$2:$F$500,0))),"⚠"))</f>
        <v/>
      </c>
      <c r="BN65" t="str">
        <f>IF(CAPTURA!CS65="","",IFERROR(IF(INDEX(CODIFICACION!$E$2:$E$500,MATCH("D9.33|"&amp;CAPTURA!CS65,CODIFICACION!$F$2:$F$500,0))="sin dato","",INDEX(CODIFICACION!$E$2:$E$500,MATCH("D9.33|"&amp;CAPTURA!CS65,CODIFICACION!$F$2:$F$500,0))),"⚠"))</f>
        <v/>
      </c>
      <c r="BO65" t="str">
        <f>IF(CAPTURA!CT65="","",IFERROR(IF(INDEX(CODIFICACION!$E$2:$E$500,MATCH("D9.34|"&amp;CAPTURA!CT65,CODIFICACION!$F$2:$F$500,0))="sin dato","",INDEX(CODIFICACION!$E$2:$E$500,MATCH("D9.34|"&amp;CAPTURA!CT65,CODIFICACION!$F$2:$F$500,0))),"⚠"))</f>
        <v/>
      </c>
      <c r="BP65" t="str">
        <f>IF(CAPTURA!CU65="","",IFERROR(IF(INDEX(CODIFICACION!$E$2:$E$500,MATCH("D9.35|"&amp;CAPTURA!CU65,CODIFICACION!$F$2:$F$500,0))="sin dato","",INDEX(CODIFICACION!$E$2:$E$500,MATCH("D9.35|"&amp;CAPTURA!CU65,CODIFICACION!$F$2:$F$500,0))),"⚠"))</f>
        <v/>
      </c>
      <c r="BQ65" t="str">
        <f>IF(CAPTURA!CV65="","",IFERROR(IF(INDEX(CODIFICACION!$E$2:$E$500,MATCH("D10.36|"&amp;CAPTURA!CV65,CODIFICACION!$F$2:$F$500,0))="sin dato","",INDEX(CODIFICACION!$E$2:$E$500,MATCH("D10.36|"&amp;CAPTURA!CV65,CODIFICACION!$F$2:$F$500,0))),"⚠"))</f>
        <v/>
      </c>
      <c r="BR65" t="str">
        <f>IF(CAPTURA!CW65="","",IFERROR(IF(INDEX(CODIFICACION!$E$2:$E$500,MATCH("D10.37|"&amp;CAPTURA!CW65,CODIFICACION!$F$2:$F$500,0))="sin dato","",INDEX(CODIFICACION!$E$2:$E$500,MATCH("D10.37|"&amp;CAPTURA!CW65,CODIFICACION!$F$2:$F$500,0))),"⚠"))</f>
        <v/>
      </c>
      <c r="BS65" t="str">
        <f>IF(CAPTURA!CX65="","",IFERROR(IF(INDEX(CODIFICACION!$E$2:$E$500,MATCH("D10.36a|"&amp;CAPTURA!CX65,CODIFICACION!$F$2:$F$500,0))="sin dato","",INDEX(CODIFICACION!$E$2:$E$500,MATCH("D10.36a|"&amp;CAPTURA!CX65,CODIFICACION!$F$2:$F$500,0))),"⚠"))</f>
        <v/>
      </c>
      <c r="BT65" t="str">
        <f>IF(CAPTURA!CY65="","",IF(ISNUMBER(SEARCH("Ninguno",CAPTURA!CY65)),0,MIN(100,ROUND((LEN(CAPTURA!CY65)-LEN(SUBSTITUTE(CAPTURA!CY65,";",""))+1)/6*100,1))))</f>
        <v/>
      </c>
      <c r="BU65" t="str">
        <f>IF(CAPTURA!DA65="","",IFERROR(IF(INDEX(CODIFICACION!$E$2:$E$500,MATCH("D11.39a|"&amp;CAPTURA!DA65,CODIFICACION!$F$2:$F$500,0))="sin dato","",INDEX(CODIFICACION!$E$2:$E$500,MATCH("D11.39a|"&amp;CAPTURA!DA65,CODIFICACION!$F$2:$F$500,0))),"⚠"))</f>
        <v/>
      </c>
      <c r="BV65" t="str">
        <f>IF(CAPTURA!DB65="","",IFERROR(IF(INDEX(CODIFICACION!$E$2:$E$500,MATCH("D12.42|"&amp;CAPTURA!DB65,CODIFICACION!$F$2:$F$500,0))="sin dato","",INDEX(CODIFICACION!$E$2:$E$500,MATCH("D12.42|"&amp;CAPTURA!DB65,CODIFICACION!$F$2:$F$500,0))),"⚠"))</f>
        <v/>
      </c>
      <c r="BW65" t="str">
        <f>IF(CAPTURA!DC65="","",IFERROR(IF(INDEX(CODIFICACION!$E$2:$E$500,MATCH("D13.45|"&amp;CAPTURA!DC65,CODIFICACION!$F$2:$F$500,0))="sin dato","",INDEX(CODIFICACION!$E$2:$E$500,MATCH("D13.45|"&amp;CAPTURA!DC65,CODIFICACION!$F$2:$F$500,0))),"⚠"))</f>
        <v/>
      </c>
      <c r="BX65" t="str">
        <f>IF(CAPTURA!DD65="","",IFERROR(IF(INDEX(CODIFICACION!$E$2:$E$500,MATCH("D14.51|"&amp;CAPTURA!DD65,CODIFICACION!$F$2:$F$500,0))="sin dato","",INDEX(CODIFICACION!$E$2:$E$500,MATCH("D14.51|"&amp;CAPTURA!DD65,CODIFICACION!$F$2:$F$500,0))),"⚠"))</f>
        <v/>
      </c>
      <c r="BY65" t="str">
        <f>IF(CAPTURA!DE65="","",IFERROR(IF(INDEX(CODIFICACION!$E$2:$E$500,MATCH("D15.58|"&amp;CAPTURA!DE65,CODIFICACION!$F$2:$F$500,0))="sin dato","",INDEX(CODIFICACION!$E$2:$E$500,MATCH("D15.58|"&amp;CAPTURA!DE65,CODIFICACION!$F$2:$F$500,0))),"⚠"))</f>
        <v/>
      </c>
      <c r="BZ65" t="str">
        <f>IF(CAPTURA!DF65="","",IFERROR(IF(INDEX(CODIFICACION!$E$2:$E$500,MATCH("PP1|"&amp;CAPTURA!DF65,CODIFICACION!$F$2:$F$500,0))="sin dato","",INDEX(CODIFICACION!$E$2:$E$500,MATCH("PP1|"&amp;CAPTURA!DF65,CODIFICACION!$F$2:$F$500,0))),"⚠"))</f>
        <v/>
      </c>
      <c r="CA65" t="str">
        <f>IF(CAPTURA!DG65="","",IFERROR(IF(INDEX(CODIFICACION!$E$2:$E$500,MATCH("PP2|"&amp;CAPTURA!DG65,CODIFICACION!$F$2:$F$500,0))="sin dato","",INDEX(CODIFICACION!$E$2:$E$500,MATCH("PP2|"&amp;CAPTURA!DG65,CODIFICACION!$F$2:$F$500,0))),"⚠"))</f>
        <v/>
      </c>
      <c r="CB65" t="str">
        <f t="shared" si="11"/>
        <v/>
      </c>
      <c r="CC65" t="str">
        <f t="shared" si="12"/>
        <v/>
      </c>
      <c r="CD65" t="str">
        <f t="shared" si="13"/>
        <v/>
      </c>
      <c r="CE65" t="str">
        <f t="shared" si="14"/>
        <v/>
      </c>
      <c r="CF65" t="str">
        <f t="shared" si="15"/>
        <v/>
      </c>
      <c r="CG65" t="str">
        <f t="shared" si="16"/>
        <v/>
      </c>
      <c r="CH65" t="str">
        <f t="shared" si="17"/>
        <v/>
      </c>
      <c r="CI65" t="str">
        <f t="shared" si="18"/>
        <v/>
      </c>
      <c r="CJ65" t="str">
        <f t="shared" si="19"/>
        <v/>
      </c>
      <c r="CK65" t="str">
        <f t="shared" si="20"/>
        <v/>
      </c>
      <c r="CL65" t="str">
        <f t="shared" si="21"/>
        <v/>
      </c>
    </row>
    <row r="66" spans="1:90" x14ac:dyDescent="0.3">
      <c r="A66">
        <f>CAPTURA!A66</f>
        <v>20534524774</v>
      </c>
      <c r="B66">
        <f>CAPTURA!C66</f>
        <v>0</v>
      </c>
      <c r="C66" t="str">
        <f>IF(CAPTURA!M66="","",ROUND((ISNUMBER(SEARCH("Alemania",CAPTURA!M66))+ISNUMBER(SEARCH("Bélgica",CAPTURA!M66))+ISNUMBER(SEARCH("Países Bajos",CAPTURA!M66))+ISNUMBER(SEARCH("Francia",CAPTURA!M66))+ISNUMBER(SEARCH("Italia",CAPTURA!M66))+ISNUMBER(SEARCH("España",CAPTURA!M66))+ISNUMBER(SEARCH("Suecia",CAPTURA!M66))+ISNUMBER(SEARCH("Dinamarca",CAPTURA!M66)))/((LEN(CAPTURA!M66)-LEN(SUBSTITUTE(CAPTURA!M66,";","")))+1)*100,1))</f>
        <v/>
      </c>
      <c r="D66" t="str">
        <f>IF(CAPTURA!AE66="","",IFERROR(IF(INDEX(CODIFICACION!$E$2:$E$500,MATCH("P8|"&amp;CAPTURA!AE66,CODIFICACION!$F$2:$F$500,0))="sin dato","",INDEX(CODIFICACION!$E$2:$E$500,MATCH("P8|"&amp;CAPTURA!AE66,CODIFICACION!$F$2:$F$500,0))),"⚠"))</f>
        <v/>
      </c>
      <c r="E66" t="str">
        <f>IF(CAPTURA!AG66="","",IFERROR(IF(INDEX(CODIFICACION!$E$2:$E$500,MATCH("P10|"&amp;CAPTURA!AG66,CODIFICACION!$F$2:$F$500,0))="sin dato","",INDEX(CODIFICACION!$E$2:$E$500,MATCH("P10|"&amp;CAPTURA!AG66,CODIFICACION!$F$2:$F$500,0))),"⚠"))</f>
        <v/>
      </c>
      <c r="F66" t="str">
        <f>IF(CAPTURA!AJ66="","",IFERROR(IF(INDEX(CODIFICACION!$E$2:$E$500,MATCH("P13|"&amp;CAPTURA!AJ66,CODIFICACION!$F$2:$F$500,0))="sin dato","",INDEX(CODIFICACION!$E$2:$E$500,MATCH("P13|"&amp;CAPTURA!AJ66,CODIFICACION!$F$2:$F$500,0))),"⚠"))</f>
        <v/>
      </c>
      <c r="G66" t="str">
        <f>IF(CAPTURA!AK66="","",IFERROR(IF(INDEX(CODIFICACION!$E$2:$E$500,MATCH("P14|"&amp;CAPTURA!AK66,CODIFICACION!$F$2:$F$500,0))="sin dato","",INDEX(CODIFICACION!$E$2:$E$500,MATCH("P14|"&amp;CAPTURA!AK66,CODIFICACION!$F$2:$F$500,0))),"⚠"))</f>
        <v/>
      </c>
      <c r="H66" t="str">
        <f>IF(CAPTURA!AL66="","",IFERROR(IF(INDEX(CODIFICACION!$E$2:$E$500,MATCH("D1.1|"&amp;CAPTURA!AL66,CODIFICACION!$F$2:$F$500,0))="sin dato","",INDEX(CODIFICACION!$E$2:$E$500,MATCH("D1.1|"&amp;CAPTURA!AL66,CODIFICACION!$F$2:$F$500,0))),"⚠"))</f>
        <v/>
      </c>
      <c r="I66" t="str">
        <f>IF(CAPTURA!AN66="","",IFERROR(IF(INDEX(CODIFICACION!$E$2:$E$500,MATCH("D1.3|"&amp;CAPTURA!AN66,CODIFICACION!$F$2:$F$500,0))="sin dato","",INDEX(CODIFICACION!$E$2:$E$500,MATCH("D1.3|"&amp;CAPTURA!AN66,CODIFICACION!$F$2:$F$500,0))),"⚠"))</f>
        <v/>
      </c>
      <c r="J66" t="str">
        <f>IF(CAPTURA!AO66="","",IFERROR(IF(INDEX(CODIFICACION!$E$2:$E$500,MATCH("D1.4|"&amp;CAPTURA!AO66,CODIFICACION!$F$2:$F$500,0))="sin dato","",INDEX(CODIFICACION!$E$2:$E$500,MATCH("D1.4|"&amp;CAPTURA!AO66,CODIFICACION!$F$2:$F$500,0))),"⚠"))</f>
        <v/>
      </c>
      <c r="K66" t="str">
        <f>IF(CAPTURA!AP66="","",IFERROR(IF(INDEX(CODIFICACION!$E$2:$E$500,MATCH("D1.3a|"&amp;CAPTURA!AP66,CODIFICACION!$F$2:$F$500,0))="sin dato","",INDEX(CODIFICACION!$E$2:$E$500,MATCH("D1.3a|"&amp;CAPTURA!AP66,CODIFICACION!$F$2:$F$500,0))),"⚠"))</f>
        <v/>
      </c>
      <c r="L66" t="str">
        <f>IF(CAPTURA!AQ66="","",IF(AND(ISNUMBER(CAPTURA!AQ66),CAPTURA!AQ66&gt;=0,CAPTURA!AQ66&lt;=4),CAPTURA!AQ66*25,"⚠"))</f>
        <v/>
      </c>
      <c r="M66" t="str">
        <f>IF(CAPTURA!AR66="","",IF(ISNUMBER(CAPTURA!AR66),MAX(0,MIN(100,CAPTURA!AR66)),"⚠"))</f>
        <v/>
      </c>
      <c r="N66" t="str">
        <f>IF(CAPTURA!AS66="","",IF(AND(ISNUMBER(CAPTURA!AS66),CAPTURA!AS66&gt;=0,CAPTURA!AS66&lt;=4),CAPTURA!AS66*25,"⚠"))</f>
        <v/>
      </c>
      <c r="O66" t="str">
        <f>IF(CAPTURA!AT66="","",IFERROR(IF(INDEX(CODIFICACION!$E$2:$E$500,MATCH("D2.8|"&amp;CAPTURA!AT66,CODIFICACION!$F$2:$F$500,0))="sin dato","",INDEX(CODIFICACION!$E$2:$E$500,MATCH("D2.8|"&amp;CAPTURA!AT66,CODIFICACION!$F$2:$F$500,0))),"⚠"))</f>
        <v/>
      </c>
      <c r="P66" t="str">
        <f>IF(CAPTURA!AU66="","",IFERROR(IF(INDEX(CODIFICACION!$E$2:$E$500,MATCH("D2.9|"&amp;CAPTURA!AU66,CODIFICACION!$F$2:$F$500,0))="sin dato","",INDEX(CODIFICACION!$E$2:$E$500,MATCH("D2.9|"&amp;CAPTURA!AU66,CODIFICACION!$F$2:$F$500,0))),"⚠"))</f>
        <v/>
      </c>
      <c r="Q66" t="str">
        <f>IF(CAPTURA!AV66="","",IFERROR(IF(INDEX(CODIFICACION!$E$2:$E$500,MATCH("D2.10|"&amp;CAPTURA!AV66,CODIFICACION!$F$2:$F$500,0))="sin dato","",INDEX(CODIFICACION!$E$2:$E$500,MATCH("D2.10|"&amp;CAPTURA!AV66,CODIFICACION!$F$2:$F$500,0))),"⚠"))</f>
        <v/>
      </c>
      <c r="R66" t="str">
        <f>IF(CAPTURA!AW66="","",IFERROR(IF(INDEX(CODIFICACION!$E$2:$E$500,MATCH("D2.5a|"&amp;CAPTURA!AW66,CODIFICACION!$F$2:$F$500,0))="sin dato","",INDEX(CODIFICACION!$E$2:$E$500,MATCH("D2.5a|"&amp;CAPTURA!AW66,CODIFICACION!$F$2:$F$500,0))),"⚠"))</f>
        <v/>
      </c>
      <c r="S66" t="str">
        <f>IF(CAPTURA!AX66="","",IFERROR(IF(INDEX(CODIFICACION!$E$2:$E$500,MATCH("D2.5b|"&amp;CAPTURA!AX66,CODIFICACION!$F$2:$F$500,0))="sin dato","",INDEX(CODIFICACION!$E$2:$E$500,MATCH("D2.5b|"&amp;CAPTURA!AX66,CODIFICACION!$F$2:$F$500,0))),"⚠"))</f>
        <v/>
      </c>
      <c r="T66" t="str">
        <f>IF(CAPTURA!AY66="","",IF(ISNUMBER(CAPTURA!AY66),MAX(0,MIN(100,CAPTURA!AY66)),"⚠"))</f>
        <v/>
      </c>
      <c r="U66" t="str">
        <f>IF(CAPTURA!AZ66="","",IFERROR(IF(INDEX(CODIFICACION!$E$2:$E$500,MATCH("D3.12|"&amp;CAPTURA!AZ66,CODIFICACION!$F$2:$F$500,0))="sin dato","",INDEX(CODIFICACION!$E$2:$E$500,MATCH("D3.12|"&amp;CAPTURA!AZ66,CODIFICACION!$F$2:$F$500,0))),"⚠"))</f>
        <v/>
      </c>
      <c r="V66" t="str">
        <f>IF(CAPTURA!BA66="","",IF(AND(ISNUMBER(CAPTURA!BA66),CAPTURA!BA66&gt;=0,CAPTURA!BA66&lt;=4),CAPTURA!BA66*25,"⚠"))</f>
        <v/>
      </c>
      <c r="W66" t="str">
        <f>IF(CAPTURA!BB66="","",IFERROR(IF(INDEX(CODIFICACION!$E$2:$E$500,MATCH("D3.14|"&amp;CAPTURA!BB66,CODIFICACION!$F$2:$F$500,0))="sin dato","",INDEX(CODIFICACION!$E$2:$E$500,MATCH("D3.14|"&amp;CAPTURA!BB66,CODIFICACION!$F$2:$F$500,0))),"⚠"))</f>
        <v/>
      </c>
      <c r="X66" t="str">
        <f>IF(CAPTURA!BC66="","",IFERROR(IF(INDEX(CODIFICACION!$E$2:$E$500,MATCH("D3.14a|"&amp;CAPTURA!BC66,CODIFICACION!$F$2:$F$500,0))="sin dato","",INDEX(CODIFICACION!$E$2:$E$500,MATCH("D3.14a|"&amp;CAPTURA!BC66,CODIFICACION!$F$2:$F$500,0))),"⚠"))</f>
        <v/>
      </c>
      <c r="Y66" t="str">
        <f>IF(CAPTURA!BD66="","",IFERROR(IF(INDEX(CODIFICACION!$E$2:$E$500,MATCH("D3.14b|"&amp;CAPTURA!BD66,CODIFICACION!$F$2:$F$500,0))="sin dato","",INDEX(CODIFICACION!$E$2:$E$500,MATCH("D3.14b|"&amp;CAPTURA!BD66,CODIFICACION!$F$2:$F$500,0))),"⚠"))</f>
        <v/>
      </c>
      <c r="Z66" t="str">
        <f>IF(CAPTURA!BE66="","",IFERROR(IF(INDEX(CODIFICACION!$E$2:$E$500,MATCH("D3.14c|"&amp;CAPTURA!BE66,CODIFICACION!$F$2:$F$500,0))="sin dato","",INDEX(CODIFICACION!$E$2:$E$500,MATCH("D3.14c|"&amp;CAPTURA!BE66,CODIFICACION!$F$2:$F$500,0))),"⚠"))</f>
        <v/>
      </c>
      <c r="AA66" t="str">
        <f>IF(CAPTURA!BF66="","",IFERROR(IF(INDEX(CODIFICACION!$E$2:$E$500,MATCH("D3.14d|"&amp;CAPTURA!BF66,CODIFICACION!$F$2:$F$500,0))="sin dato","",INDEX(CODIFICACION!$E$2:$E$500,MATCH("D3.14d|"&amp;CAPTURA!BF66,CODIFICACION!$F$2:$F$500,0))),"⚠"))</f>
        <v/>
      </c>
      <c r="AB66" t="str">
        <f>IF(CAPTURA!BG66="","",IFERROR(IF(INDEX(CODIFICACION!$E$2:$E$500,MATCH("D3.14e|"&amp;CAPTURA!BG66,CODIFICACION!$F$2:$F$500,0))="sin dato","",INDEX(CODIFICACION!$E$2:$E$500,MATCH("D3.14e|"&amp;CAPTURA!BG66,CODIFICACION!$F$2:$F$500,0))),"⚠"))</f>
        <v/>
      </c>
      <c r="AC66" t="str">
        <f>IF(CAPTURA!BH66="","",IFERROR(IF(INDEX(CODIFICACION!$E$2:$E$500,MATCH("D3.14f|"&amp;CAPTURA!BH66,CODIFICACION!$F$2:$F$500,0))="sin dato","",INDEX(CODIFICACION!$E$2:$E$500,MATCH("D3.14f|"&amp;CAPTURA!BH66,CODIFICACION!$F$2:$F$500,0))),"⚠"))</f>
        <v/>
      </c>
      <c r="AD66" t="str">
        <f>IF(CAPTURA!BI66="","",IFERROR(IF(INDEX(CODIFICACION!$E$2:$E$500,MATCH("D3.14g|"&amp;CAPTURA!BI66,CODIFICACION!$F$2:$F$500,0))="sin dato","",INDEX(CODIFICACION!$E$2:$E$500,MATCH("D3.14g|"&amp;CAPTURA!BI66,CODIFICACION!$F$2:$F$500,0))),"⚠"))</f>
        <v/>
      </c>
      <c r="AE66" t="str">
        <f>IF(CAPTURA!BJ66="","",IFERROR(IF(INDEX(CODIFICACION!$E$2:$E$500,MATCH("D3.14h|"&amp;CAPTURA!BJ66,CODIFICACION!$F$2:$F$500,0))="sin dato","",INDEX(CODIFICACION!$E$2:$E$500,MATCH("D3.14h|"&amp;CAPTURA!BJ66,CODIFICACION!$F$2:$F$500,0))),"⚠"))</f>
        <v/>
      </c>
      <c r="AF66" t="str">
        <f>IF(CAPTURA!BK66="","",IFERROR(IF(INDEX(CODIFICACION!$E$2:$E$500,MATCH("D3.14i|"&amp;CAPTURA!BK66,CODIFICACION!$F$2:$F$500,0))="sin dato","",INDEX(CODIFICACION!$E$2:$E$500,MATCH("D3.14i|"&amp;CAPTURA!BK66,CODIFICACION!$F$2:$F$500,0))),"⚠"))</f>
        <v/>
      </c>
      <c r="AG66" t="str">
        <f>IF(CAPTURA!BL66="","",IFERROR(IF(INDEX(CODIFICACION!$E$2:$E$500,MATCH("D4.15|"&amp;CAPTURA!BL66,CODIFICACION!$F$2:$F$500,0))="sin dato","",INDEX(CODIFICACION!$E$2:$E$500,MATCH("D4.15|"&amp;CAPTURA!BL66,CODIFICACION!$F$2:$F$500,0))),"⚠"))</f>
        <v/>
      </c>
      <c r="AH66" t="str">
        <f>IF(CAPTURA!BM66="","",IF(AND(ISNUMBER(CAPTURA!BM66),CAPTURA!BM66&gt;=0,CAPTURA!BM66&lt;=4),CAPTURA!BM66*25,"⚠"))</f>
        <v/>
      </c>
      <c r="AI66" t="str">
        <f>IF(CAPTURA!BN66="","",IFERROR(IF(INDEX(CODIFICACION!$E$2:$E$500,MATCH("D4.17|"&amp;CAPTURA!BN66,CODIFICACION!$F$2:$F$500,0))="sin dato","",INDEX(CODIFICACION!$E$2:$E$500,MATCH("D4.17|"&amp;CAPTURA!BN66,CODIFICACION!$F$2:$F$500,0))),"⚠"))</f>
        <v/>
      </c>
      <c r="AJ66" t="str">
        <f>IF(CAPTURA!BO66="","",IFERROR(IF(INDEX(CODIFICACION!$E$2:$E$500,MATCH("D4.15a|"&amp;CAPTURA!BO66,CODIFICACION!$F$2:$F$500,0))="sin dato","",INDEX(CODIFICACION!$E$2:$E$500,MATCH("D4.15a|"&amp;CAPTURA!BO66,CODIFICACION!$F$2:$F$500,0))),"⚠"))</f>
        <v/>
      </c>
      <c r="AK66" t="str">
        <f>IF(CAPTURA!BP66="","",IF(AND(ISNUMBER(CAPTURA!BP66),CAPTURA!BP66&gt;=0,CAPTURA!BP66&lt;=4),CAPTURA!BP66*25,"⚠"))</f>
        <v/>
      </c>
      <c r="AL66" t="str">
        <f>IF(CAPTURA!BQ66="","",IF(AND(ISNUMBER(CAPTURA!BQ66),CAPTURA!BQ66&gt;=0,CAPTURA!BQ66&lt;=4),CAPTURA!BQ66*25,"⚠"))</f>
        <v/>
      </c>
      <c r="AM66" t="str">
        <f>IF(CAPTURA!BR66="","",IFERROR(IF(INDEX(CODIFICACION!$E$2:$E$500,MATCH("D5.18b|"&amp;CAPTURA!BR66,CODIFICACION!$F$2:$F$500,0))="sin dato","",INDEX(CODIFICACION!$E$2:$E$500,MATCH("D5.18b|"&amp;CAPTURA!BR66,CODIFICACION!$F$2:$F$500,0))),"⚠"))</f>
        <v/>
      </c>
      <c r="AN66" t="str">
        <f>IF(CAPTURA!BS66="","",IFERROR(IF(INDEX(CODIFICACION!$E$2:$E$500,MATCH("D5.19|"&amp;CAPTURA!BS66,CODIFICACION!$F$2:$F$500,0))="sin dato","",INDEX(CODIFICACION!$E$2:$E$500,MATCH("D5.19|"&amp;CAPTURA!BS66,CODIFICACION!$F$2:$F$500,0))),"⚠"))</f>
        <v/>
      </c>
      <c r="AO66" t="str">
        <f>IF(CAPTURA!BT66="","",MIN(100,ROUND((LEN(CAPTURA!BT66)-LEN(SUBSTITUTE(CAPTURA!BT66,";",""))+1)/7*100,1)))</f>
        <v/>
      </c>
      <c r="AP66" t="str">
        <f>IF(CAPTURA!BU66="","",IFERROR(IF(INDEX(CODIFICACION!$E$2:$E$500,MATCH("D5.20|"&amp;CAPTURA!BU66,CODIFICACION!$F$2:$F$500,0))="sin dato","",INDEX(CODIFICACION!$E$2:$E$500,MATCH("D5.20|"&amp;CAPTURA!BU66,CODIFICACION!$F$2:$F$500,0))),"⚠"))</f>
        <v/>
      </c>
      <c r="AQ66" t="str">
        <f>IF(CAPTURA!BV66="","",IFERROR(IF(INDEX(CODIFICACION!$E$2:$E$500,MATCH("D5.21|"&amp;CAPTURA!BV66,CODIFICACION!$F$2:$F$500,0))="sin dato","",INDEX(CODIFICACION!$E$2:$E$500,MATCH("D5.21|"&amp;CAPTURA!BV66,CODIFICACION!$F$2:$F$500,0))),"⚠"))</f>
        <v/>
      </c>
      <c r="AR66" t="str">
        <f>IF(CAPTURA!BW66="","",IFERROR(IF(INDEX(CODIFICACION!$E$2:$E$500,MATCH("D5.21a|"&amp;CAPTURA!BW66,CODIFICACION!$F$2:$F$500,0))="sin dato","",INDEX(CODIFICACION!$E$2:$E$500,MATCH("D5.21a|"&amp;CAPTURA!BW66,CODIFICACION!$F$2:$F$500,0))),"⚠"))</f>
        <v/>
      </c>
      <c r="AS66" t="str">
        <f>IF(CAPTURA!BX66="","",IFERROR(IF(INDEX(CODIFICACION!$E$2:$E$500,MATCH("D5.21b|"&amp;CAPTURA!BX66,CODIFICACION!$F$2:$F$500,0))="sin dato","",INDEX(CODIFICACION!$E$2:$E$500,MATCH("D5.21b|"&amp;CAPTURA!BX66,CODIFICACION!$F$2:$F$500,0))),"⚠"))</f>
        <v/>
      </c>
      <c r="AT66" t="str">
        <f>IF(CAPTURA!BY66="","",IFERROR(IF(INDEX(CODIFICACION!$E$2:$E$500,MATCH("D6.22|"&amp;CAPTURA!BY66,CODIFICACION!$F$2:$F$500,0))="sin dato","",INDEX(CODIFICACION!$E$2:$E$500,MATCH("D6.22|"&amp;CAPTURA!BY66,CODIFICACION!$F$2:$F$500,0))),"⚠"))</f>
        <v/>
      </c>
      <c r="AU66" t="str">
        <f>IF(CAPTURA!BZ66="","",IFERROR(IF(INDEX(CODIFICACION!$E$2:$E$500,MATCH("D6.22a|"&amp;CAPTURA!BZ66,CODIFICACION!$F$2:$F$500,0))="sin dato","",INDEX(CODIFICACION!$E$2:$E$500,MATCH("D6.22a|"&amp;CAPTURA!BZ66,CODIFICACION!$F$2:$F$500,0))),"⚠"))</f>
        <v/>
      </c>
      <c r="AV66" t="str">
        <f>IF(CAPTURA!CA66="","",IFERROR(IF(INDEX(CODIFICACION!$E$2:$E$500,MATCH("D6.22b|"&amp;CAPTURA!CA66,CODIFICACION!$F$2:$F$500,0))="sin dato","",INDEX(CODIFICACION!$E$2:$E$500,MATCH("D6.22b|"&amp;CAPTURA!CA66,CODIFICACION!$F$2:$F$500,0))),"⚠"))</f>
        <v/>
      </c>
      <c r="AW66" t="str">
        <f>IF(CAPTURA!CB66="","",IFERROR(IF(INDEX(CODIFICACION!$E$2:$E$500,MATCH("D6.23|"&amp;CAPTURA!CB66,CODIFICACION!$F$2:$F$500,0))="sin dato","",INDEX(CODIFICACION!$E$2:$E$500,MATCH("D6.23|"&amp;CAPTURA!CB66,CODIFICACION!$F$2:$F$500,0))),"⚠"))</f>
        <v/>
      </c>
      <c r="AX66" t="str">
        <f>IF(CAPTURA!CC66="","",IFERROR(IF(INDEX(CODIFICACION!$E$2:$E$500,MATCH("D6.24|"&amp;CAPTURA!CC66,CODIFICACION!$F$2:$F$500,0))="sin dato","",INDEX(CODIFICACION!$E$2:$E$500,MATCH("D6.24|"&amp;CAPTURA!CC66,CODIFICACION!$F$2:$F$500,0))),"⚠"))</f>
        <v/>
      </c>
      <c r="AY66" t="str">
        <f>IF(CAPTURA!CD66="","",IFERROR(IF(INDEX(CODIFICACION!$E$2:$E$500,MATCH("D6.25|"&amp;CAPTURA!CD66,CODIFICACION!$F$2:$F$500,0))="sin dato","",INDEX(CODIFICACION!$E$2:$E$500,MATCH("D6.25|"&amp;CAPTURA!CD66,CODIFICACION!$F$2:$F$500,0))),"⚠"))</f>
        <v/>
      </c>
      <c r="AZ66" t="str">
        <f>IF(CAPTURA!CE66="","",IFERROR(IF(INDEX(CODIFICACION!$E$2:$E$500,MATCH("D6.25a|"&amp;CAPTURA!CE66,CODIFICACION!$F$2:$F$500,0))="sin dato","",INDEX(CODIFICACION!$E$2:$E$500,MATCH("D6.25a|"&amp;CAPTURA!CE66,CODIFICACION!$F$2:$F$500,0))),"⚠"))</f>
        <v/>
      </c>
      <c r="BA66" t="str">
        <f>IF(CAPTURA!CF66="","",IFERROR(IF(INDEX(CODIFICACION!$E$2:$E$500,MATCH("D6.25b|"&amp;CAPTURA!CF66,CODIFICACION!$F$2:$F$500,0))="sin dato","",INDEX(CODIFICACION!$E$2:$E$500,MATCH("D6.25b|"&amp;CAPTURA!CF66,CODIFICACION!$F$2:$F$500,0))),"⚠"))</f>
        <v/>
      </c>
      <c r="BB66" t="str">
        <f>IF(CAPTURA!CG66="","",IFERROR(IF(INDEX(CODIFICACION!$E$2:$E$500,MATCH("D6.22c|"&amp;CAPTURA!CG66,CODIFICACION!$F$2:$F$500,0))="sin dato","",INDEX(CODIFICACION!$E$2:$E$500,MATCH("D6.22c|"&amp;CAPTURA!CG66,CODIFICACION!$F$2:$F$500,0))),"⚠"))</f>
        <v/>
      </c>
      <c r="BC66" t="str">
        <f>IF(CAPTURA!CH66="","",IFERROR(IF(INDEX(CODIFICACION!$E$2:$E$500,MATCH("D7.26|"&amp;CAPTURA!CH66,CODIFICACION!$F$2:$F$500,0))="sin dato","",INDEX(CODIFICACION!$E$2:$E$500,MATCH("D7.26|"&amp;CAPTURA!CH66,CODIFICACION!$F$2:$F$500,0))),"⚠"))</f>
        <v/>
      </c>
      <c r="BD66" t="str">
        <f>IF(CAPTURA!CI66="","",IFERROR(IF(INDEX(CODIFICACION!$E$2:$E$500,MATCH("D7.27|"&amp;CAPTURA!CI66,CODIFICACION!$F$2:$F$500,0))="sin dato","",INDEX(CODIFICACION!$E$2:$E$500,MATCH("D7.27|"&amp;CAPTURA!CI66,CODIFICACION!$F$2:$F$500,0))),"⚠"))</f>
        <v/>
      </c>
      <c r="BE66" t="str">
        <f>IF(CAPTURA!CJ66="","",IFERROR(IF(INDEX(CODIFICACION!$E$2:$E$500,MATCH("D7.28|"&amp;CAPTURA!CJ66,CODIFICACION!$F$2:$F$500,0))="sin dato","",INDEX(CODIFICACION!$E$2:$E$500,MATCH("D7.28|"&amp;CAPTURA!CJ66,CODIFICACION!$F$2:$F$500,0))),"⚠"))</f>
        <v/>
      </c>
      <c r="BF66" t="str">
        <f>IF(CAPTURA!CK66="","",IFERROR(IF(INDEX(CODIFICACION!$E$2:$E$500,MATCH("D7.28b|"&amp;CAPTURA!CK66,CODIFICACION!$F$2:$F$500,0))="sin dato","",INDEX(CODIFICACION!$E$2:$E$500,MATCH("D7.28b|"&amp;CAPTURA!CK66,CODIFICACION!$F$2:$F$500,0))),"⚠"))</f>
        <v/>
      </c>
      <c r="BG66" t="str">
        <f>IF(CAPTURA!CL66="","",MIN(100,ROUND((LEN(CAPTURA!CL66)-LEN(SUBSTITUTE(CAPTURA!CL66,";",""))+1)/8*100,1)))</f>
        <v/>
      </c>
      <c r="BH66" t="str">
        <f>IF(CAPTURA!CM66="","",IFERROR(IF(INDEX(CODIFICACION!$E$2:$E$500,MATCH("D7.26a|"&amp;CAPTURA!CM66,CODIFICACION!$F$2:$F$500,0))="sin dato","",INDEX(CODIFICACION!$E$2:$E$500,MATCH("D7.26a|"&amp;CAPTURA!CM66,CODIFICACION!$F$2:$F$500,0))),"⚠"))</f>
        <v/>
      </c>
      <c r="BI66" t="str">
        <f>IF(CAPTURA!CN66="","",IFERROR(IF(INDEX(CODIFICACION!$E$2:$E$500,MATCH("D7.26b|"&amp;CAPTURA!CN66,CODIFICACION!$F$2:$F$500,0))="sin dato","",INDEX(CODIFICACION!$E$2:$E$500,MATCH("D7.26b|"&amp;CAPTURA!CN66,CODIFICACION!$F$2:$F$500,0))),"⚠"))</f>
        <v/>
      </c>
      <c r="BJ66" t="str">
        <f>IF(CAPTURA!CO66="","",IF(AND(ISNUMBER(CAPTURA!CO66),CAPTURA!CO66&gt;=0,CAPTURA!CO66&lt;=4),CAPTURA!CO66*25,"⚠"))</f>
        <v/>
      </c>
      <c r="BK66" t="str">
        <f>IF(CAPTURA!CP66="","",IF(ISNUMBER(CAPTURA!CP66),MAX(0,MIN(100,CAPTURA!CP66)),"⚠"))</f>
        <v/>
      </c>
      <c r="BL66" t="str">
        <f>IF(CAPTURA!CQ66="","",IFERROR(IF(INDEX(CODIFICACION!$E$2:$E$500,MATCH("D8.31|"&amp;CAPTURA!CQ66,CODIFICACION!$F$2:$F$500,0))="sin dato","",INDEX(CODIFICACION!$E$2:$E$500,MATCH("D8.31|"&amp;CAPTURA!CQ66,CODIFICACION!$F$2:$F$500,0))),"⚠"))</f>
        <v/>
      </c>
      <c r="BM66" t="str">
        <f>IF(CAPTURA!CR66="","",IFERROR(IF(INDEX(CODIFICACION!$E$2:$E$500,MATCH("D8.32|"&amp;CAPTURA!CR66,CODIFICACION!$F$2:$F$500,0))="sin dato","",INDEX(CODIFICACION!$E$2:$E$500,MATCH("D8.32|"&amp;CAPTURA!CR66,CODIFICACION!$F$2:$F$500,0))),"⚠"))</f>
        <v/>
      </c>
      <c r="BN66" t="str">
        <f>IF(CAPTURA!CS66="","",IFERROR(IF(INDEX(CODIFICACION!$E$2:$E$500,MATCH("D9.33|"&amp;CAPTURA!CS66,CODIFICACION!$F$2:$F$500,0))="sin dato","",INDEX(CODIFICACION!$E$2:$E$500,MATCH("D9.33|"&amp;CAPTURA!CS66,CODIFICACION!$F$2:$F$500,0))),"⚠"))</f>
        <v/>
      </c>
      <c r="BO66" t="str">
        <f>IF(CAPTURA!CT66="","",IFERROR(IF(INDEX(CODIFICACION!$E$2:$E$500,MATCH("D9.34|"&amp;CAPTURA!CT66,CODIFICACION!$F$2:$F$500,0))="sin dato","",INDEX(CODIFICACION!$E$2:$E$500,MATCH("D9.34|"&amp;CAPTURA!CT66,CODIFICACION!$F$2:$F$500,0))),"⚠"))</f>
        <v/>
      </c>
      <c r="BP66" t="str">
        <f>IF(CAPTURA!CU66="","",IFERROR(IF(INDEX(CODIFICACION!$E$2:$E$500,MATCH("D9.35|"&amp;CAPTURA!CU66,CODIFICACION!$F$2:$F$500,0))="sin dato","",INDEX(CODIFICACION!$E$2:$E$500,MATCH("D9.35|"&amp;CAPTURA!CU66,CODIFICACION!$F$2:$F$500,0))),"⚠"))</f>
        <v/>
      </c>
      <c r="BQ66" t="str">
        <f>IF(CAPTURA!CV66="","",IFERROR(IF(INDEX(CODIFICACION!$E$2:$E$500,MATCH("D10.36|"&amp;CAPTURA!CV66,CODIFICACION!$F$2:$F$500,0))="sin dato","",INDEX(CODIFICACION!$E$2:$E$500,MATCH("D10.36|"&amp;CAPTURA!CV66,CODIFICACION!$F$2:$F$500,0))),"⚠"))</f>
        <v/>
      </c>
      <c r="BR66" t="str">
        <f>IF(CAPTURA!CW66="","",IFERROR(IF(INDEX(CODIFICACION!$E$2:$E$500,MATCH("D10.37|"&amp;CAPTURA!CW66,CODIFICACION!$F$2:$F$500,0))="sin dato","",INDEX(CODIFICACION!$E$2:$E$500,MATCH("D10.37|"&amp;CAPTURA!CW66,CODIFICACION!$F$2:$F$500,0))),"⚠"))</f>
        <v/>
      </c>
      <c r="BS66" t="str">
        <f>IF(CAPTURA!CX66="","",IFERROR(IF(INDEX(CODIFICACION!$E$2:$E$500,MATCH("D10.36a|"&amp;CAPTURA!CX66,CODIFICACION!$F$2:$F$500,0))="sin dato","",INDEX(CODIFICACION!$E$2:$E$500,MATCH("D10.36a|"&amp;CAPTURA!CX66,CODIFICACION!$F$2:$F$500,0))),"⚠"))</f>
        <v/>
      </c>
      <c r="BT66" t="str">
        <f>IF(CAPTURA!CY66="","",IF(ISNUMBER(SEARCH("Ninguno",CAPTURA!CY66)),0,MIN(100,ROUND((LEN(CAPTURA!CY66)-LEN(SUBSTITUTE(CAPTURA!CY66,";",""))+1)/6*100,1))))</f>
        <v/>
      </c>
      <c r="BU66" t="str">
        <f>IF(CAPTURA!DA66="","",IFERROR(IF(INDEX(CODIFICACION!$E$2:$E$500,MATCH("D11.39a|"&amp;CAPTURA!DA66,CODIFICACION!$F$2:$F$500,0))="sin dato","",INDEX(CODIFICACION!$E$2:$E$500,MATCH("D11.39a|"&amp;CAPTURA!DA66,CODIFICACION!$F$2:$F$500,0))),"⚠"))</f>
        <v/>
      </c>
      <c r="BV66" t="str">
        <f>IF(CAPTURA!DB66="","",IFERROR(IF(INDEX(CODIFICACION!$E$2:$E$500,MATCH("D12.42|"&amp;CAPTURA!DB66,CODIFICACION!$F$2:$F$500,0))="sin dato","",INDEX(CODIFICACION!$E$2:$E$500,MATCH("D12.42|"&amp;CAPTURA!DB66,CODIFICACION!$F$2:$F$500,0))),"⚠"))</f>
        <v/>
      </c>
      <c r="BW66" t="str">
        <f>IF(CAPTURA!DC66="","",IFERROR(IF(INDEX(CODIFICACION!$E$2:$E$500,MATCH("D13.45|"&amp;CAPTURA!DC66,CODIFICACION!$F$2:$F$500,0))="sin dato","",INDEX(CODIFICACION!$E$2:$E$500,MATCH("D13.45|"&amp;CAPTURA!DC66,CODIFICACION!$F$2:$F$500,0))),"⚠"))</f>
        <v/>
      </c>
      <c r="BX66" t="str">
        <f>IF(CAPTURA!DD66="","",IFERROR(IF(INDEX(CODIFICACION!$E$2:$E$500,MATCH("D14.51|"&amp;CAPTURA!DD66,CODIFICACION!$F$2:$F$500,0))="sin dato","",INDEX(CODIFICACION!$E$2:$E$500,MATCH("D14.51|"&amp;CAPTURA!DD66,CODIFICACION!$F$2:$F$500,0))),"⚠"))</f>
        <v/>
      </c>
      <c r="BY66" t="str">
        <f>IF(CAPTURA!DE66="","",IFERROR(IF(INDEX(CODIFICACION!$E$2:$E$500,MATCH("D15.58|"&amp;CAPTURA!DE66,CODIFICACION!$F$2:$F$500,0))="sin dato","",INDEX(CODIFICACION!$E$2:$E$500,MATCH("D15.58|"&amp;CAPTURA!DE66,CODIFICACION!$F$2:$F$500,0))),"⚠"))</f>
        <v/>
      </c>
      <c r="BZ66" t="str">
        <f>IF(CAPTURA!DF66="","",IFERROR(IF(INDEX(CODIFICACION!$E$2:$E$500,MATCH("PP1|"&amp;CAPTURA!DF66,CODIFICACION!$F$2:$F$500,0))="sin dato","",INDEX(CODIFICACION!$E$2:$E$500,MATCH("PP1|"&amp;CAPTURA!DF66,CODIFICACION!$F$2:$F$500,0))),"⚠"))</f>
        <v/>
      </c>
      <c r="CA66" t="str">
        <f>IF(CAPTURA!DG66="","",IFERROR(IF(INDEX(CODIFICACION!$E$2:$E$500,MATCH("PP2|"&amp;CAPTURA!DG66,CODIFICACION!$F$2:$F$500,0))="sin dato","",INDEX(CODIFICACION!$E$2:$E$500,MATCH("PP2|"&amp;CAPTURA!DG66,CODIFICACION!$F$2:$F$500,0))),"⚠"))</f>
        <v/>
      </c>
      <c r="CB66" t="str">
        <f t="shared" si="11"/>
        <v/>
      </c>
      <c r="CC66" t="str">
        <f t="shared" si="12"/>
        <v/>
      </c>
      <c r="CD66" t="str">
        <f t="shared" si="13"/>
        <v/>
      </c>
      <c r="CE66" t="str">
        <f t="shared" si="14"/>
        <v/>
      </c>
      <c r="CF66" t="str">
        <f t="shared" si="15"/>
        <v/>
      </c>
      <c r="CG66" t="str">
        <f t="shared" si="16"/>
        <v/>
      </c>
      <c r="CH66" t="str">
        <f t="shared" si="17"/>
        <v/>
      </c>
      <c r="CI66" t="str">
        <f t="shared" si="18"/>
        <v/>
      </c>
      <c r="CJ66" t="str">
        <f t="shared" si="19"/>
        <v/>
      </c>
      <c r="CK66" t="str">
        <f t="shared" si="20"/>
        <v/>
      </c>
      <c r="CL66" t="str">
        <f t="shared" si="21"/>
        <v/>
      </c>
    </row>
    <row r="67" spans="1:90" x14ac:dyDescent="0.3">
      <c r="A67">
        <f>CAPTURA!A67</f>
        <v>20539205600</v>
      </c>
      <c r="B67">
        <f>CAPTURA!C67</f>
        <v>0</v>
      </c>
      <c r="C67" t="str">
        <f>IF(CAPTURA!M67="","",ROUND((ISNUMBER(SEARCH("Alemania",CAPTURA!M67))+ISNUMBER(SEARCH("Bélgica",CAPTURA!M67))+ISNUMBER(SEARCH("Países Bajos",CAPTURA!M67))+ISNUMBER(SEARCH("Francia",CAPTURA!M67))+ISNUMBER(SEARCH("Italia",CAPTURA!M67))+ISNUMBER(SEARCH("España",CAPTURA!M67))+ISNUMBER(SEARCH("Suecia",CAPTURA!M67))+ISNUMBER(SEARCH("Dinamarca",CAPTURA!M67)))/((LEN(CAPTURA!M67)-LEN(SUBSTITUTE(CAPTURA!M67,";","")))+1)*100,1))</f>
        <v/>
      </c>
      <c r="D67" t="str">
        <f>IF(CAPTURA!AE67="","",IFERROR(IF(INDEX(CODIFICACION!$E$2:$E$500,MATCH("P8|"&amp;CAPTURA!AE67,CODIFICACION!$F$2:$F$500,0))="sin dato","",INDEX(CODIFICACION!$E$2:$E$500,MATCH("P8|"&amp;CAPTURA!AE67,CODIFICACION!$F$2:$F$500,0))),"⚠"))</f>
        <v/>
      </c>
      <c r="E67" t="str">
        <f>IF(CAPTURA!AG67="","",IFERROR(IF(INDEX(CODIFICACION!$E$2:$E$500,MATCH("P10|"&amp;CAPTURA!AG67,CODIFICACION!$F$2:$F$500,0))="sin dato","",INDEX(CODIFICACION!$E$2:$E$500,MATCH("P10|"&amp;CAPTURA!AG67,CODIFICACION!$F$2:$F$500,0))),"⚠"))</f>
        <v/>
      </c>
      <c r="F67" t="str">
        <f>IF(CAPTURA!AJ67="","",IFERROR(IF(INDEX(CODIFICACION!$E$2:$E$500,MATCH("P13|"&amp;CAPTURA!AJ67,CODIFICACION!$F$2:$F$500,0))="sin dato","",INDEX(CODIFICACION!$E$2:$E$500,MATCH("P13|"&amp;CAPTURA!AJ67,CODIFICACION!$F$2:$F$500,0))),"⚠"))</f>
        <v/>
      </c>
      <c r="G67" t="str">
        <f>IF(CAPTURA!AK67="","",IFERROR(IF(INDEX(CODIFICACION!$E$2:$E$500,MATCH("P14|"&amp;CAPTURA!AK67,CODIFICACION!$F$2:$F$500,0))="sin dato","",INDEX(CODIFICACION!$E$2:$E$500,MATCH("P14|"&amp;CAPTURA!AK67,CODIFICACION!$F$2:$F$500,0))),"⚠"))</f>
        <v/>
      </c>
      <c r="H67" t="str">
        <f>IF(CAPTURA!AL67="","",IFERROR(IF(INDEX(CODIFICACION!$E$2:$E$500,MATCH("D1.1|"&amp;CAPTURA!AL67,CODIFICACION!$F$2:$F$500,0))="sin dato","",INDEX(CODIFICACION!$E$2:$E$500,MATCH("D1.1|"&amp;CAPTURA!AL67,CODIFICACION!$F$2:$F$500,0))),"⚠"))</f>
        <v/>
      </c>
      <c r="I67" t="str">
        <f>IF(CAPTURA!AN67="","",IFERROR(IF(INDEX(CODIFICACION!$E$2:$E$500,MATCH("D1.3|"&amp;CAPTURA!AN67,CODIFICACION!$F$2:$F$500,0))="sin dato","",INDEX(CODIFICACION!$E$2:$E$500,MATCH("D1.3|"&amp;CAPTURA!AN67,CODIFICACION!$F$2:$F$500,0))),"⚠"))</f>
        <v/>
      </c>
      <c r="J67" t="str">
        <f>IF(CAPTURA!AO67="","",IFERROR(IF(INDEX(CODIFICACION!$E$2:$E$500,MATCH("D1.4|"&amp;CAPTURA!AO67,CODIFICACION!$F$2:$F$500,0))="sin dato","",INDEX(CODIFICACION!$E$2:$E$500,MATCH("D1.4|"&amp;CAPTURA!AO67,CODIFICACION!$F$2:$F$500,0))),"⚠"))</f>
        <v/>
      </c>
      <c r="K67" t="str">
        <f>IF(CAPTURA!AP67="","",IFERROR(IF(INDEX(CODIFICACION!$E$2:$E$500,MATCH("D1.3a|"&amp;CAPTURA!AP67,CODIFICACION!$F$2:$F$500,0))="sin dato","",INDEX(CODIFICACION!$E$2:$E$500,MATCH("D1.3a|"&amp;CAPTURA!AP67,CODIFICACION!$F$2:$F$500,0))),"⚠"))</f>
        <v/>
      </c>
      <c r="L67" t="str">
        <f>IF(CAPTURA!AQ67="","",IF(AND(ISNUMBER(CAPTURA!AQ67),CAPTURA!AQ67&gt;=0,CAPTURA!AQ67&lt;=4),CAPTURA!AQ67*25,"⚠"))</f>
        <v/>
      </c>
      <c r="M67" t="str">
        <f>IF(CAPTURA!AR67="","",IF(ISNUMBER(CAPTURA!AR67),MAX(0,MIN(100,CAPTURA!AR67)),"⚠"))</f>
        <v/>
      </c>
      <c r="N67" t="str">
        <f>IF(CAPTURA!AS67="","",IF(AND(ISNUMBER(CAPTURA!AS67),CAPTURA!AS67&gt;=0,CAPTURA!AS67&lt;=4),CAPTURA!AS67*25,"⚠"))</f>
        <v/>
      </c>
      <c r="O67" t="str">
        <f>IF(CAPTURA!AT67="","",IFERROR(IF(INDEX(CODIFICACION!$E$2:$E$500,MATCH("D2.8|"&amp;CAPTURA!AT67,CODIFICACION!$F$2:$F$500,0))="sin dato","",INDEX(CODIFICACION!$E$2:$E$500,MATCH("D2.8|"&amp;CAPTURA!AT67,CODIFICACION!$F$2:$F$500,0))),"⚠"))</f>
        <v/>
      </c>
      <c r="P67" t="str">
        <f>IF(CAPTURA!AU67="","",IFERROR(IF(INDEX(CODIFICACION!$E$2:$E$500,MATCH("D2.9|"&amp;CAPTURA!AU67,CODIFICACION!$F$2:$F$500,0))="sin dato","",INDEX(CODIFICACION!$E$2:$E$500,MATCH("D2.9|"&amp;CAPTURA!AU67,CODIFICACION!$F$2:$F$500,0))),"⚠"))</f>
        <v/>
      </c>
      <c r="Q67" t="str">
        <f>IF(CAPTURA!AV67="","",IFERROR(IF(INDEX(CODIFICACION!$E$2:$E$500,MATCH("D2.10|"&amp;CAPTURA!AV67,CODIFICACION!$F$2:$F$500,0))="sin dato","",INDEX(CODIFICACION!$E$2:$E$500,MATCH("D2.10|"&amp;CAPTURA!AV67,CODIFICACION!$F$2:$F$500,0))),"⚠"))</f>
        <v/>
      </c>
      <c r="R67" t="str">
        <f>IF(CAPTURA!AW67="","",IFERROR(IF(INDEX(CODIFICACION!$E$2:$E$500,MATCH("D2.5a|"&amp;CAPTURA!AW67,CODIFICACION!$F$2:$F$500,0))="sin dato","",INDEX(CODIFICACION!$E$2:$E$500,MATCH("D2.5a|"&amp;CAPTURA!AW67,CODIFICACION!$F$2:$F$500,0))),"⚠"))</f>
        <v/>
      </c>
      <c r="S67" t="str">
        <f>IF(CAPTURA!AX67="","",IFERROR(IF(INDEX(CODIFICACION!$E$2:$E$500,MATCH("D2.5b|"&amp;CAPTURA!AX67,CODIFICACION!$F$2:$F$500,0))="sin dato","",INDEX(CODIFICACION!$E$2:$E$500,MATCH("D2.5b|"&amp;CAPTURA!AX67,CODIFICACION!$F$2:$F$500,0))),"⚠"))</f>
        <v/>
      </c>
      <c r="T67" t="str">
        <f>IF(CAPTURA!AY67="","",IF(ISNUMBER(CAPTURA!AY67),MAX(0,MIN(100,CAPTURA!AY67)),"⚠"))</f>
        <v/>
      </c>
      <c r="U67" t="str">
        <f>IF(CAPTURA!AZ67="","",IFERROR(IF(INDEX(CODIFICACION!$E$2:$E$500,MATCH("D3.12|"&amp;CAPTURA!AZ67,CODIFICACION!$F$2:$F$500,0))="sin dato","",INDEX(CODIFICACION!$E$2:$E$500,MATCH("D3.12|"&amp;CAPTURA!AZ67,CODIFICACION!$F$2:$F$500,0))),"⚠"))</f>
        <v/>
      </c>
      <c r="V67" t="str">
        <f>IF(CAPTURA!BA67="","",IF(AND(ISNUMBER(CAPTURA!BA67),CAPTURA!BA67&gt;=0,CAPTURA!BA67&lt;=4),CAPTURA!BA67*25,"⚠"))</f>
        <v/>
      </c>
      <c r="W67" t="str">
        <f>IF(CAPTURA!BB67="","",IFERROR(IF(INDEX(CODIFICACION!$E$2:$E$500,MATCH("D3.14|"&amp;CAPTURA!BB67,CODIFICACION!$F$2:$F$500,0))="sin dato","",INDEX(CODIFICACION!$E$2:$E$500,MATCH("D3.14|"&amp;CAPTURA!BB67,CODIFICACION!$F$2:$F$500,0))),"⚠"))</f>
        <v/>
      </c>
      <c r="X67" t="str">
        <f>IF(CAPTURA!BC67="","",IFERROR(IF(INDEX(CODIFICACION!$E$2:$E$500,MATCH("D3.14a|"&amp;CAPTURA!BC67,CODIFICACION!$F$2:$F$500,0))="sin dato","",INDEX(CODIFICACION!$E$2:$E$500,MATCH("D3.14a|"&amp;CAPTURA!BC67,CODIFICACION!$F$2:$F$500,0))),"⚠"))</f>
        <v/>
      </c>
      <c r="Y67" t="str">
        <f>IF(CAPTURA!BD67="","",IFERROR(IF(INDEX(CODIFICACION!$E$2:$E$500,MATCH("D3.14b|"&amp;CAPTURA!BD67,CODIFICACION!$F$2:$F$500,0))="sin dato","",INDEX(CODIFICACION!$E$2:$E$500,MATCH("D3.14b|"&amp;CAPTURA!BD67,CODIFICACION!$F$2:$F$500,0))),"⚠"))</f>
        <v/>
      </c>
      <c r="Z67" t="str">
        <f>IF(CAPTURA!BE67="","",IFERROR(IF(INDEX(CODIFICACION!$E$2:$E$500,MATCH("D3.14c|"&amp;CAPTURA!BE67,CODIFICACION!$F$2:$F$500,0))="sin dato","",INDEX(CODIFICACION!$E$2:$E$500,MATCH("D3.14c|"&amp;CAPTURA!BE67,CODIFICACION!$F$2:$F$500,0))),"⚠"))</f>
        <v/>
      </c>
      <c r="AA67" t="str">
        <f>IF(CAPTURA!BF67="","",IFERROR(IF(INDEX(CODIFICACION!$E$2:$E$500,MATCH("D3.14d|"&amp;CAPTURA!BF67,CODIFICACION!$F$2:$F$500,0))="sin dato","",INDEX(CODIFICACION!$E$2:$E$500,MATCH("D3.14d|"&amp;CAPTURA!BF67,CODIFICACION!$F$2:$F$500,0))),"⚠"))</f>
        <v/>
      </c>
      <c r="AB67" t="str">
        <f>IF(CAPTURA!BG67="","",IFERROR(IF(INDEX(CODIFICACION!$E$2:$E$500,MATCH("D3.14e|"&amp;CAPTURA!BG67,CODIFICACION!$F$2:$F$500,0))="sin dato","",INDEX(CODIFICACION!$E$2:$E$500,MATCH("D3.14e|"&amp;CAPTURA!BG67,CODIFICACION!$F$2:$F$500,0))),"⚠"))</f>
        <v/>
      </c>
      <c r="AC67" t="str">
        <f>IF(CAPTURA!BH67="","",IFERROR(IF(INDEX(CODIFICACION!$E$2:$E$500,MATCH("D3.14f|"&amp;CAPTURA!BH67,CODIFICACION!$F$2:$F$500,0))="sin dato","",INDEX(CODIFICACION!$E$2:$E$500,MATCH("D3.14f|"&amp;CAPTURA!BH67,CODIFICACION!$F$2:$F$500,0))),"⚠"))</f>
        <v/>
      </c>
      <c r="AD67" t="str">
        <f>IF(CAPTURA!BI67="","",IFERROR(IF(INDEX(CODIFICACION!$E$2:$E$500,MATCH("D3.14g|"&amp;CAPTURA!BI67,CODIFICACION!$F$2:$F$500,0))="sin dato","",INDEX(CODIFICACION!$E$2:$E$500,MATCH("D3.14g|"&amp;CAPTURA!BI67,CODIFICACION!$F$2:$F$500,0))),"⚠"))</f>
        <v/>
      </c>
      <c r="AE67" t="str">
        <f>IF(CAPTURA!BJ67="","",IFERROR(IF(INDEX(CODIFICACION!$E$2:$E$500,MATCH("D3.14h|"&amp;CAPTURA!BJ67,CODIFICACION!$F$2:$F$500,0))="sin dato","",INDEX(CODIFICACION!$E$2:$E$500,MATCH("D3.14h|"&amp;CAPTURA!BJ67,CODIFICACION!$F$2:$F$500,0))),"⚠"))</f>
        <v/>
      </c>
      <c r="AF67" t="str">
        <f>IF(CAPTURA!BK67="","",IFERROR(IF(INDEX(CODIFICACION!$E$2:$E$500,MATCH("D3.14i|"&amp;CAPTURA!BK67,CODIFICACION!$F$2:$F$500,0))="sin dato","",INDEX(CODIFICACION!$E$2:$E$500,MATCH("D3.14i|"&amp;CAPTURA!BK67,CODIFICACION!$F$2:$F$500,0))),"⚠"))</f>
        <v/>
      </c>
      <c r="AG67" t="str">
        <f>IF(CAPTURA!BL67="","",IFERROR(IF(INDEX(CODIFICACION!$E$2:$E$500,MATCH("D4.15|"&amp;CAPTURA!BL67,CODIFICACION!$F$2:$F$500,0))="sin dato","",INDEX(CODIFICACION!$E$2:$E$500,MATCH("D4.15|"&amp;CAPTURA!BL67,CODIFICACION!$F$2:$F$500,0))),"⚠"))</f>
        <v/>
      </c>
      <c r="AH67" t="str">
        <f>IF(CAPTURA!BM67="","",IF(AND(ISNUMBER(CAPTURA!BM67),CAPTURA!BM67&gt;=0,CAPTURA!BM67&lt;=4),CAPTURA!BM67*25,"⚠"))</f>
        <v/>
      </c>
      <c r="AI67" t="str">
        <f>IF(CAPTURA!BN67="","",IFERROR(IF(INDEX(CODIFICACION!$E$2:$E$500,MATCH("D4.17|"&amp;CAPTURA!BN67,CODIFICACION!$F$2:$F$500,0))="sin dato","",INDEX(CODIFICACION!$E$2:$E$500,MATCH("D4.17|"&amp;CAPTURA!BN67,CODIFICACION!$F$2:$F$500,0))),"⚠"))</f>
        <v/>
      </c>
      <c r="AJ67" t="str">
        <f>IF(CAPTURA!BO67="","",IFERROR(IF(INDEX(CODIFICACION!$E$2:$E$500,MATCH("D4.15a|"&amp;CAPTURA!BO67,CODIFICACION!$F$2:$F$500,0))="sin dato","",INDEX(CODIFICACION!$E$2:$E$500,MATCH("D4.15a|"&amp;CAPTURA!BO67,CODIFICACION!$F$2:$F$500,0))),"⚠"))</f>
        <v/>
      </c>
      <c r="AK67" t="str">
        <f>IF(CAPTURA!BP67="","",IF(AND(ISNUMBER(CAPTURA!BP67),CAPTURA!BP67&gt;=0,CAPTURA!BP67&lt;=4),CAPTURA!BP67*25,"⚠"))</f>
        <v/>
      </c>
      <c r="AL67" t="str">
        <f>IF(CAPTURA!BQ67="","",IF(AND(ISNUMBER(CAPTURA!BQ67),CAPTURA!BQ67&gt;=0,CAPTURA!BQ67&lt;=4),CAPTURA!BQ67*25,"⚠"))</f>
        <v/>
      </c>
      <c r="AM67" t="str">
        <f>IF(CAPTURA!BR67="","",IFERROR(IF(INDEX(CODIFICACION!$E$2:$E$500,MATCH("D5.18b|"&amp;CAPTURA!BR67,CODIFICACION!$F$2:$F$500,0))="sin dato","",INDEX(CODIFICACION!$E$2:$E$500,MATCH("D5.18b|"&amp;CAPTURA!BR67,CODIFICACION!$F$2:$F$500,0))),"⚠"))</f>
        <v/>
      </c>
      <c r="AN67" t="str">
        <f>IF(CAPTURA!BS67="","",IFERROR(IF(INDEX(CODIFICACION!$E$2:$E$500,MATCH("D5.19|"&amp;CAPTURA!BS67,CODIFICACION!$F$2:$F$500,0))="sin dato","",INDEX(CODIFICACION!$E$2:$E$500,MATCH("D5.19|"&amp;CAPTURA!BS67,CODIFICACION!$F$2:$F$500,0))),"⚠"))</f>
        <v/>
      </c>
      <c r="AO67" t="str">
        <f>IF(CAPTURA!BT67="","",MIN(100,ROUND((LEN(CAPTURA!BT67)-LEN(SUBSTITUTE(CAPTURA!BT67,";",""))+1)/7*100,1)))</f>
        <v/>
      </c>
      <c r="AP67" t="str">
        <f>IF(CAPTURA!BU67="","",IFERROR(IF(INDEX(CODIFICACION!$E$2:$E$500,MATCH("D5.20|"&amp;CAPTURA!BU67,CODIFICACION!$F$2:$F$500,0))="sin dato","",INDEX(CODIFICACION!$E$2:$E$500,MATCH("D5.20|"&amp;CAPTURA!BU67,CODIFICACION!$F$2:$F$500,0))),"⚠"))</f>
        <v/>
      </c>
      <c r="AQ67" t="str">
        <f>IF(CAPTURA!BV67="","",IFERROR(IF(INDEX(CODIFICACION!$E$2:$E$500,MATCH("D5.21|"&amp;CAPTURA!BV67,CODIFICACION!$F$2:$F$500,0))="sin dato","",INDEX(CODIFICACION!$E$2:$E$500,MATCH("D5.21|"&amp;CAPTURA!BV67,CODIFICACION!$F$2:$F$500,0))),"⚠"))</f>
        <v/>
      </c>
      <c r="AR67" t="str">
        <f>IF(CAPTURA!BW67="","",IFERROR(IF(INDEX(CODIFICACION!$E$2:$E$500,MATCH("D5.21a|"&amp;CAPTURA!BW67,CODIFICACION!$F$2:$F$500,0))="sin dato","",INDEX(CODIFICACION!$E$2:$E$500,MATCH("D5.21a|"&amp;CAPTURA!BW67,CODIFICACION!$F$2:$F$500,0))),"⚠"))</f>
        <v/>
      </c>
      <c r="AS67" t="str">
        <f>IF(CAPTURA!BX67="","",IFERROR(IF(INDEX(CODIFICACION!$E$2:$E$500,MATCH("D5.21b|"&amp;CAPTURA!BX67,CODIFICACION!$F$2:$F$500,0))="sin dato","",INDEX(CODIFICACION!$E$2:$E$500,MATCH("D5.21b|"&amp;CAPTURA!BX67,CODIFICACION!$F$2:$F$500,0))),"⚠"))</f>
        <v/>
      </c>
      <c r="AT67" t="str">
        <f>IF(CAPTURA!BY67="","",IFERROR(IF(INDEX(CODIFICACION!$E$2:$E$500,MATCH("D6.22|"&amp;CAPTURA!BY67,CODIFICACION!$F$2:$F$500,0))="sin dato","",INDEX(CODIFICACION!$E$2:$E$500,MATCH("D6.22|"&amp;CAPTURA!BY67,CODIFICACION!$F$2:$F$500,0))),"⚠"))</f>
        <v/>
      </c>
      <c r="AU67" t="str">
        <f>IF(CAPTURA!BZ67="","",IFERROR(IF(INDEX(CODIFICACION!$E$2:$E$500,MATCH("D6.22a|"&amp;CAPTURA!BZ67,CODIFICACION!$F$2:$F$500,0))="sin dato","",INDEX(CODIFICACION!$E$2:$E$500,MATCH("D6.22a|"&amp;CAPTURA!BZ67,CODIFICACION!$F$2:$F$500,0))),"⚠"))</f>
        <v/>
      </c>
      <c r="AV67" t="str">
        <f>IF(CAPTURA!CA67="","",IFERROR(IF(INDEX(CODIFICACION!$E$2:$E$500,MATCH("D6.22b|"&amp;CAPTURA!CA67,CODIFICACION!$F$2:$F$500,0))="sin dato","",INDEX(CODIFICACION!$E$2:$E$500,MATCH("D6.22b|"&amp;CAPTURA!CA67,CODIFICACION!$F$2:$F$500,0))),"⚠"))</f>
        <v/>
      </c>
      <c r="AW67" t="str">
        <f>IF(CAPTURA!CB67="","",IFERROR(IF(INDEX(CODIFICACION!$E$2:$E$500,MATCH("D6.23|"&amp;CAPTURA!CB67,CODIFICACION!$F$2:$F$500,0))="sin dato","",INDEX(CODIFICACION!$E$2:$E$500,MATCH("D6.23|"&amp;CAPTURA!CB67,CODIFICACION!$F$2:$F$500,0))),"⚠"))</f>
        <v/>
      </c>
      <c r="AX67" t="str">
        <f>IF(CAPTURA!CC67="","",IFERROR(IF(INDEX(CODIFICACION!$E$2:$E$500,MATCH("D6.24|"&amp;CAPTURA!CC67,CODIFICACION!$F$2:$F$500,0))="sin dato","",INDEX(CODIFICACION!$E$2:$E$500,MATCH("D6.24|"&amp;CAPTURA!CC67,CODIFICACION!$F$2:$F$500,0))),"⚠"))</f>
        <v/>
      </c>
      <c r="AY67" t="str">
        <f>IF(CAPTURA!CD67="","",IFERROR(IF(INDEX(CODIFICACION!$E$2:$E$500,MATCH("D6.25|"&amp;CAPTURA!CD67,CODIFICACION!$F$2:$F$500,0))="sin dato","",INDEX(CODIFICACION!$E$2:$E$500,MATCH("D6.25|"&amp;CAPTURA!CD67,CODIFICACION!$F$2:$F$500,0))),"⚠"))</f>
        <v/>
      </c>
      <c r="AZ67" t="str">
        <f>IF(CAPTURA!CE67="","",IFERROR(IF(INDEX(CODIFICACION!$E$2:$E$500,MATCH("D6.25a|"&amp;CAPTURA!CE67,CODIFICACION!$F$2:$F$500,0))="sin dato","",INDEX(CODIFICACION!$E$2:$E$500,MATCH("D6.25a|"&amp;CAPTURA!CE67,CODIFICACION!$F$2:$F$500,0))),"⚠"))</f>
        <v/>
      </c>
      <c r="BA67" t="str">
        <f>IF(CAPTURA!CF67="","",IFERROR(IF(INDEX(CODIFICACION!$E$2:$E$500,MATCH("D6.25b|"&amp;CAPTURA!CF67,CODIFICACION!$F$2:$F$500,0))="sin dato","",INDEX(CODIFICACION!$E$2:$E$500,MATCH("D6.25b|"&amp;CAPTURA!CF67,CODIFICACION!$F$2:$F$500,0))),"⚠"))</f>
        <v/>
      </c>
      <c r="BB67" t="str">
        <f>IF(CAPTURA!CG67="","",IFERROR(IF(INDEX(CODIFICACION!$E$2:$E$500,MATCH("D6.22c|"&amp;CAPTURA!CG67,CODIFICACION!$F$2:$F$500,0))="sin dato","",INDEX(CODIFICACION!$E$2:$E$500,MATCH("D6.22c|"&amp;CAPTURA!CG67,CODIFICACION!$F$2:$F$500,0))),"⚠"))</f>
        <v/>
      </c>
      <c r="BC67" t="str">
        <f>IF(CAPTURA!CH67="","",IFERROR(IF(INDEX(CODIFICACION!$E$2:$E$500,MATCH("D7.26|"&amp;CAPTURA!CH67,CODIFICACION!$F$2:$F$500,0))="sin dato","",INDEX(CODIFICACION!$E$2:$E$500,MATCH("D7.26|"&amp;CAPTURA!CH67,CODIFICACION!$F$2:$F$500,0))),"⚠"))</f>
        <v/>
      </c>
      <c r="BD67" t="str">
        <f>IF(CAPTURA!CI67="","",IFERROR(IF(INDEX(CODIFICACION!$E$2:$E$500,MATCH("D7.27|"&amp;CAPTURA!CI67,CODIFICACION!$F$2:$F$500,0))="sin dato","",INDEX(CODIFICACION!$E$2:$E$500,MATCH("D7.27|"&amp;CAPTURA!CI67,CODIFICACION!$F$2:$F$500,0))),"⚠"))</f>
        <v/>
      </c>
      <c r="BE67" t="str">
        <f>IF(CAPTURA!CJ67="","",IFERROR(IF(INDEX(CODIFICACION!$E$2:$E$500,MATCH("D7.28|"&amp;CAPTURA!CJ67,CODIFICACION!$F$2:$F$500,0))="sin dato","",INDEX(CODIFICACION!$E$2:$E$500,MATCH("D7.28|"&amp;CAPTURA!CJ67,CODIFICACION!$F$2:$F$500,0))),"⚠"))</f>
        <v/>
      </c>
      <c r="BF67" t="str">
        <f>IF(CAPTURA!CK67="","",IFERROR(IF(INDEX(CODIFICACION!$E$2:$E$500,MATCH("D7.28b|"&amp;CAPTURA!CK67,CODIFICACION!$F$2:$F$500,0))="sin dato","",INDEX(CODIFICACION!$E$2:$E$500,MATCH("D7.28b|"&amp;CAPTURA!CK67,CODIFICACION!$F$2:$F$500,0))),"⚠"))</f>
        <v/>
      </c>
      <c r="BG67" t="str">
        <f>IF(CAPTURA!CL67="","",MIN(100,ROUND((LEN(CAPTURA!CL67)-LEN(SUBSTITUTE(CAPTURA!CL67,";",""))+1)/8*100,1)))</f>
        <v/>
      </c>
      <c r="BH67" t="str">
        <f>IF(CAPTURA!CM67="","",IFERROR(IF(INDEX(CODIFICACION!$E$2:$E$500,MATCH("D7.26a|"&amp;CAPTURA!CM67,CODIFICACION!$F$2:$F$500,0))="sin dato","",INDEX(CODIFICACION!$E$2:$E$500,MATCH("D7.26a|"&amp;CAPTURA!CM67,CODIFICACION!$F$2:$F$500,0))),"⚠"))</f>
        <v/>
      </c>
      <c r="BI67" t="str">
        <f>IF(CAPTURA!CN67="","",IFERROR(IF(INDEX(CODIFICACION!$E$2:$E$500,MATCH("D7.26b|"&amp;CAPTURA!CN67,CODIFICACION!$F$2:$F$500,0))="sin dato","",INDEX(CODIFICACION!$E$2:$E$500,MATCH("D7.26b|"&amp;CAPTURA!CN67,CODIFICACION!$F$2:$F$500,0))),"⚠"))</f>
        <v/>
      </c>
      <c r="BJ67" t="str">
        <f>IF(CAPTURA!CO67="","",IF(AND(ISNUMBER(CAPTURA!CO67),CAPTURA!CO67&gt;=0,CAPTURA!CO67&lt;=4),CAPTURA!CO67*25,"⚠"))</f>
        <v/>
      </c>
      <c r="BK67" t="str">
        <f>IF(CAPTURA!CP67="","",IF(ISNUMBER(CAPTURA!CP67),MAX(0,MIN(100,CAPTURA!CP67)),"⚠"))</f>
        <v/>
      </c>
      <c r="BL67" t="str">
        <f>IF(CAPTURA!CQ67="","",IFERROR(IF(INDEX(CODIFICACION!$E$2:$E$500,MATCH("D8.31|"&amp;CAPTURA!CQ67,CODIFICACION!$F$2:$F$500,0))="sin dato","",INDEX(CODIFICACION!$E$2:$E$500,MATCH("D8.31|"&amp;CAPTURA!CQ67,CODIFICACION!$F$2:$F$500,0))),"⚠"))</f>
        <v/>
      </c>
      <c r="BM67" t="str">
        <f>IF(CAPTURA!CR67="","",IFERROR(IF(INDEX(CODIFICACION!$E$2:$E$500,MATCH("D8.32|"&amp;CAPTURA!CR67,CODIFICACION!$F$2:$F$500,0))="sin dato","",INDEX(CODIFICACION!$E$2:$E$500,MATCH("D8.32|"&amp;CAPTURA!CR67,CODIFICACION!$F$2:$F$500,0))),"⚠"))</f>
        <v/>
      </c>
      <c r="BN67" t="str">
        <f>IF(CAPTURA!CS67="","",IFERROR(IF(INDEX(CODIFICACION!$E$2:$E$500,MATCH("D9.33|"&amp;CAPTURA!CS67,CODIFICACION!$F$2:$F$500,0))="sin dato","",INDEX(CODIFICACION!$E$2:$E$500,MATCH("D9.33|"&amp;CAPTURA!CS67,CODIFICACION!$F$2:$F$500,0))),"⚠"))</f>
        <v/>
      </c>
      <c r="BO67" t="str">
        <f>IF(CAPTURA!CT67="","",IFERROR(IF(INDEX(CODIFICACION!$E$2:$E$500,MATCH("D9.34|"&amp;CAPTURA!CT67,CODIFICACION!$F$2:$F$500,0))="sin dato","",INDEX(CODIFICACION!$E$2:$E$500,MATCH("D9.34|"&amp;CAPTURA!CT67,CODIFICACION!$F$2:$F$500,0))),"⚠"))</f>
        <v/>
      </c>
      <c r="BP67" t="str">
        <f>IF(CAPTURA!CU67="","",IFERROR(IF(INDEX(CODIFICACION!$E$2:$E$500,MATCH("D9.35|"&amp;CAPTURA!CU67,CODIFICACION!$F$2:$F$500,0))="sin dato","",INDEX(CODIFICACION!$E$2:$E$500,MATCH("D9.35|"&amp;CAPTURA!CU67,CODIFICACION!$F$2:$F$500,0))),"⚠"))</f>
        <v/>
      </c>
      <c r="BQ67" t="str">
        <f>IF(CAPTURA!CV67="","",IFERROR(IF(INDEX(CODIFICACION!$E$2:$E$500,MATCH("D10.36|"&amp;CAPTURA!CV67,CODIFICACION!$F$2:$F$500,0))="sin dato","",INDEX(CODIFICACION!$E$2:$E$500,MATCH("D10.36|"&amp;CAPTURA!CV67,CODIFICACION!$F$2:$F$500,0))),"⚠"))</f>
        <v/>
      </c>
      <c r="BR67" t="str">
        <f>IF(CAPTURA!CW67="","",IFERROR(IF(INDEX(CODIFICACION!$E$2:$E$500,MATCH("D10.37|"&amp;CAPTURA!CW67,CODIFICACION!$F$2:$F$500,0))="sin dato","",INDEX(CODIFICACION!$E$2:$E$500,MATCH("D10.37|"&amp;CAPTURA!CW67,CODIFICACION!$F$2:$F$500,0))),"⚠"))</f>
        <v/>
      </c>
      <c r="BS67" t="str">
        <f>IF(CAPTURA!CX67="","",IFERROR(IF(INDEX(CODIFICACION!$E$2:$E$500,MATCH("D10.36a|"&amp;CAPTURA!CX67,CODIFICACION!$F$2:$F$500,0))="sin dato","",INDEX(CODIFICACION!$E$2:$E$500,MATCH("D10.36a|"&amp;CAPTURA!CX67,CODIFICACION!$F$2:$F$500,0))),"⚠"))</f>
        <v/>
      </c>
      <c r="BT67" t="str">
        <f>IF(CAPTURA!CY67="","",IF(ISNUMBER(SEARCH("Ninguno",CAPTURA!CY67)),0,MIN(100,ROUND((LEN(CAPTURA!CY67)-LEN(SUBSTITUTE(CAPTURA!CY67,";",""))+1)/6*100,1))))</f>
        <v/>
      </c>
      <c r="BU67" t="str">
        <f>IF(CAPTURA!DA67="","",IFERROR(IF(INDEX(CODIFICACION!$E$2:$E$500,MATCH("D11.39a|"&amp;CAPTURA!DA67,CODIFICACION!$F$2:$F$500,0))="sin dato","",INDEX(CODIFICACION!$E$2:$E$500,MATCH("D11.39a|"&amp;CAPTURA!DA67,CODIFICACION!$F$2:$F$500,0))),"⚠"))</f>
        <v/>
      </c>
      <c r="BV67" t="str">
        <f>IF(CAPTURA!DB67="","",IFERROR(IF(INDEX(CODIFICACION!$E$2:$E$500,MATCH("D12.42|"&amp;CAPTURA!DB67,CODIFICACION!$F$2:$F$500,0))="sin dato","",INDEX(CODIFICACION!$E$2:$E$500,MATCH("D12.42|"&amp;CAPTURA!DB67,CODIFICACION!$F$2:$F$500,0))),"⚠"))</f>
        <v/>
      </c>
      <c r="BW67" t="str">
        <f>IF(CAPTURA!DC67="","",IFERROR(IF(INDEX(CODIFICACION!$E$2:$E$500,MATCH("D13.45|"&amp;CAPTURA!DC67,CODIFICACION!$F$2:$F$500,0))="sin dato","",INDEX(CODIFICACION!$E$2:$E$500,MATCH("D13.45|"&amp;CAPTURA!DC67,CODIFICACION!$F$2:$F$500,0))),"⚠"))</f>
        <v/>
      </c>
      <c r="BX67" t="str">
        <f>IF(CAPTURA!DD67="","",IFERROR(IF(INDEX(CODIFICACION!$E$2:$E$500,MATCH("D14.51|"&amp;CAPTURA!DD67,CODIFICACION!$F$2:$F$500,0))="sin dato","",INDEX(CODIFICACION!$E$2:$E$500,MATCH("D14.51|"&amp;CAPTURA!DD67,CODIFICACION!$F$2:$F$500,0))),"⚠"))</f>
        <v/>
      </c>
      <c r="BY67" t="str">
        <f>IF(CAPTURA!DE67="","",IFERROR(IF(INDEX(CODIFICACION!$E$2:$E$500,MATCH("D15.58|"&amp;CAPTURA!DE67,CODIFICACION!$F$2:$F$500,0))="sin dato","",INDEX(CODIFICACION!$E$2:$E$500,MATCH("D15.58|"&amp;CAPTURA!DE67,CODIFICACION!$F$2:$F$500,0))),"⚠"))</f>
        <v/>
      </c>
      <c r="BZ67" t="str">
        <f>IF(CAPTURA!DF67="","",IFERROR(IF(INDEX(CODIFICACION!$E$2:$E$500,MATCH("PP1|"&amp;CAPTURA!DF67,CODIFICACION!$F$2:$F$500,0))="sin dato","",INDEX(CODIFICACION!$E$2:$E$500,MATCH("PP1|"&amp;CAPTURA!DF67,CODIFICACION!$F$2:$F$500,0))),"⚠"))</f>
        <v/>
      </c>
      <c r="CA67" t="str">
        <f>IF(CAPTURA!DG67="","",IFERROR(IF(INDEX(CODIFICACION!$E$2:$E$500,MATCH("PP2|"&amp;CAPTURA!DG67,CODIFICACION!$F$2:$F$500,0))="sin dato","",INDEX(CODIFICACION!$E$2:$E$500,MATCH("PP2|"&amp;CAPTURA!DG67,CODIFICACION!$F$2:$F$500,0))),"⚠"))</f>
        <v/>
      </c>
      <c r="CB67" t="str">
        <f t="shared" ref="CB67:CB98" si="22">IFERROR(AVERAGE(H67,I67,J67,K67),"")</f>
        <v/>
      </c>
      <c r="CC67" t="str">
        <f t="shared" ref="CC67:CC98" si="23">IFERROR(AVERAGE(L67,M67,N67,O67,P67,Q67,R67,S67),"")</f>
        <v/>
      </c>
      <c r="CD67" t="str">
        <f t="shared" ref="CD67:CD98" si="24">IFERROR(AVERAGE(T67,U67,V67,W67,X67,Y67,Z67,AA67,AB67,AC67,AD67,AE67,AF67),"")</f>
        <v/>
      </c>
      <c r="CE67" t="str">
        <f t="shared" ref="CE67:CE98" si="25">IFERROR(AVERAGE(AG67,AH67,AI67,AJ67),"")</f>
        <v/>
      </c>
      <c r="CF67" t="str">
        <f t="shared" ref="CF67:CF98" si="26">IFERROR(AVERAGE(D67,AK67,AL67,AM67,AN67,AO67,AP67,AQ67,AR67,AS67),"")</f>
        <v/>
      </c>
      <c r="CG67" t="str">
        <f t="shared" ref="CG67:CG98" si="27">IFERROR(AVERAGE(AT67,AU67,AV67,BB67,AW67,AX67,AY67,AZ67,BA67),"")</f>
        <v/>
      </c>
      <c r="CH67" t="str">
        <f t="shared" ref="CH67:CH98" si="28">IFERROR(AVERAGE(C67,E67,F67,BC67,BH67,BI67,BD67,BE67,BF67,BG67),"")</f>
        <v/>
      </c>
      <c r="CI67" t="str">
        <f t="shared" ref="CI67:CI98" si="29">IFERROR(AVERAGE(BJ67,BK67,BL67,BM67),"")</f>
        <v/>
      </c>
      <c r="CJ67" t="str">
        <f t="shared" ref="CJ67:CJ98" si="30">IFERROR(AVERAGE(G67,BN67,BO67,BP67),"")</f>
        <v/>
      </c>
      <c r="CK67" t="str">
        <f t="shared" ref="CK67:CK98" si="31">IFERROR(AVERAGE(BQ67,BS67,BR67),"")</f>
        <v/>
      </c>
      <c r="CL67" t="str">
        <f t="shared" ref="CL67:CL98" si="32">IFERROR(AVERAGE(BT67,BU67),"")</f>
        <v/>
      </c>
    </row>
    <row r="68" spans="1:90" x14ac:dyDescent="0.3">
      <c r="A68">
        <f>CAPTURA!A68</f>
        <v>20539241665</v>
      </c>
      <c r="B68">
        <f>CAPTURA!C68</f>
        <v>0</v>
      </c>
      <c r="C68" t="str">
        <f>IF(CAPTURA!M68="","",ROUND((ISNUMBER(SEARCH("Alemania",CAPTURA!M68))+ISNUMBER(SEARCH("Bélgica",CAPTURA!M68))+ISNUMBER(SEARCH("Países Bajos",CAPTURA!M68))+ISNUMBER(SEARCH("Francia",CAPTURA!M68))+ISNUMBER(SEARCH("Italia",CAPTURA!M68))+ISNUMBER(SEARCH("España",CAPTURA!M68))+ISNUMBER(SEARCH("Suecia",CAPTURA!M68))+ISNUMBER(SEARCH("Dinamarca",CAPTURA!M68)))/((LEN(CAPTURA!M68)-LEN(SUBSTITUTE(CAPTURA!M68,";","")))+1)*100,1))</f>
        <v/>
      </c>
      <c r="D68" t="str">
        <f>IF(CAPTURA!AE68="","",IFERROR(IF(INDEX(CODIFICACION!$E$2:$E$500,MATCH("P8|"&amp;CAPTURA!AE68,CODIFICACION!$F$2:$F$500,0))="sin dato","",INDEX(CODIFICACION!$E$2:$E$500,MATCH("P8|"&amp;CAPTURA!AE68,CODIFICACION!$F$2:$F$500,0))),"⚠"))</f>
        <v/>
      </c>
      <c r="E68" t="str">
        <f>IF(CAPTURA!AG68="","",IFERROR(IF(INDEX(CODIFICACION!$E$2:$E$500,MATCH("P10|"&amp;CAPTURA!AG68,CODIFICACION!$F$2:$F$500,0))="sin dato","",INDEX(CODIFICACION!$E$2:$E$500,MATCH("P10|"&amp;CAPTURA!AG68,CODIFICACION!$F$2:$F$500,0))),"⚠"))</f>
        <v/>
      </c>
      <c r="F68" t="str">
        <f>IF(CAPTURA!AJ68="","",IFERROR(IF(INDEX(CODIFICACION!$E$2:$E$500,MATCH("P13|"&amp;CAPTURA!AJ68,CODIFICACION!$F$2:$F$500,0))="sin dato","",INDEX(CODIFICACION!$E$2:$E$500,MATCH("P13|"&amp;CAPTURA!AJ68,CODIFICACION!$F$2:$F$500,0))),"⚠"))</f>
        <v/>
      </c>
      <c r="G68" t="str">
        <f>IF(CAPTURA!AK68="","",IFERROR(IF(INDEX(CODIFICACION!$E$2:$E$500,MATCH("P14|"&amp;CAPTURA!AK68,CODIFICACION!$F$2:$F$500,0))="sin dato","",INDEX(CODIFICACION!$E$2:$E$500,MATCH("P14|"&amp;CAPTURA!AK68,CODIFICACION!$F$2:$F$500,0))),"⚠"))</f>
        <v/>
      </c>
      <c r="H68" t="str">
        <f>IF(CAPTURA!AL68="","",IFERROR(IF(INDEX(CODIFICACION!$E$2:$E$500,MATCH("D1.1|"&amp;CAPTURA!AL68,CODIFICACION!$F$2:$F$500,0))="sin dato","",INDEX(CODIFICACION!$E$2:$E$500,MATCH("D1.1|"&amp;CAPTURA!AL68,CODIFICACION!$F$2:$F$500,0))),"⚠"))</f>
        <v/>
      </c>
      <c r="I68" t="str">
        <f>IF(CAPTURA!AN68="","",IFERROR(IF(INDEX(CODIFICACION!$E$2:$E$500,MATCH("D1.3|"&amp;CAPTURA!AN68,CODIFICACION!$F$2:$F$500,0))="sin dato","",INDEX(CODIFICACION!$E$2:$E$500,MATCH("D1.3|"&amp;CAPTURA!AN68,CODIFICACION!$F$2:$F$500,0))),"⚠"))</f>
        <v/>
      </c>
      <c r="J68" t="str">
        <f>IF(CAPTURA!AO68="","",IFERROR(IF(INDEX(CODIFICACION!$E$2:$E$500,MATCH("D1.4|"&amp;CAPTURA!AO68,CODIFICACION!$F$2:$F$500,0))="sin dato","",INDEX(CODIFICACION!$E$2:$E$500,MATCH("D1.4|"&amp;CAPTURA!AO68,CODIFICACION!$F$2:$F$500,0))),"⚠"))</f>
        <v/>
      </c>
      <c r="K68" t="str">
        <f>IF(CAPTURA!AP68="","",IFERROR(IF(INDEX(CODIFICACION!$E$2:$E$500,MATCH("D1.3a|"&amp;CAPTURA!AP68,CODIFICACION!$F$2:$F$500,0))="sin dato","",INDEX(CODIFICACION!$E$2:$E$500,MATCH("D1.3a|"&amp;CAPTURA!AP68,CODIFICACION!$F$2:$F$500,0))),"⚠"))</f>
        <v/>
      </c>
      <c r="L68" t="str">
        <f>IF(CAPTURA!AQ68="","",IF(AND(ISNUMBER(CAPTURA!AQ68),CAPTURA!AQ68&gt;=0,CAPTURA!AQ68&lt;=4),CAPTURA!AQ68*25,"⚠"))</f>
        <v/>
      </c>
      <c r="M68" t="str">
        <f>IF(CAPTURA!AR68="","",IF(ISNUMBER(CAPTURA!AR68),MAX(0,MIN(100,CAPTURA!AR68)),"⚠"))</f>
        <v/>
      </c>
      <c r="N68" t="str">
        <f>IF(CAPTURA!AS68="","",IF(AND(ISNUMBER(CAPTURA!AS68),CAPTURA!AS68&gt;=0,CAPTURA!AS68&lt;=4),CAPTURA!AS68*25,"⚠"))</f>
        <v/>
      </c>
      <c r="O68" t="str">
        <f>IF(CAPTURA!AT68="","",IFERROR(IF(INDEX(CODIFICACION!$E$2:$E$500,MATCH("D2.8|"&amp;CAPTURA!AT68,CODIFICACION!$F$2:$F$500,0))="sin dato","",INDEX(CODIFICACION!$E$2:$E$500,MATCH("D2.8|"&amp;CAPTURA!AT68,CODIFICACION!$F$2:$F$500,0))),"⚠"))</f>
        <v/>
      </c>
      <c r="P68" t="str">
        <f>IF(CAPTURA!AU68="","",IFERROR(IF(INDEX(CODIFICACION!$E$2:$E$500,MATCH("D2.9|"&amp;CAPTURA!AU68,CODIFICACION!$F$2:$F$500,0))="sin dato","",INDEX(CODIFICACION!$E$2:$E$500,MATCH("D2.9|"&amp;CAPTURA!AU68,CODIFICACION!$F$2:$F$500,0))),"⚠"))</f>
        <v/>
      </c>
      <c r="Q68" t="str">
        <f>IF(CAPTURA!AV68="","",IFERROR(IF(INDEX(CODIFICACION!$E$2:$E$500,MATCH("D2.10|"&amp;CAPTURA!AV68,CODIFICACION!$F$2:$F$500,0))="sin dato","",INDEX(CODIFICACION!$E$2:$E$500,MATCH("D2.10|"&amp;CAPTURA!AV68,CODIFICACION!$F$2:$F$500,0))),"⚠"))</f>
        <v/>
      </c>
      <c r="R68" t="str">
        <f>IF(CAPTURA!AW68="","",IFERROR(IF(INDEX(CODIFICACION!$E$2:$E$500,MATCH("D2.5a|"&amp;CAPTURA!AW68,CODIFICACION!$F$2:$F$500,0))="sin dato","",INDEX(CODIFICACION!$E$2:$E$500,MATCH("D2.5a|"&amp;CAPTURA!AW68,CODIFICACION!$F$2:$F$500,0))),"⚠"))</f>
        <v/>
      </c>
      <c r="S68" t="str">
        <f>IF(CAPTURA!AX68="","",IFERROR(IF(INDEX(CODIFICACION!$E$2:$E$500,MATCH("D2.5b|"&amp;CAPTURA!AX68,CODIFICACION!$F$2:$F$500,0))="sin dato","",INDEX(CODIFICACION!$E$2:$E$500,MATCH("D2.5b|"&amp;CAPTURA!AX68,CODIFICACION!$F$2:$F$500,0))),"⚠"))</f>
        <v/>
      </c>
      <c r="T68" t="str">
        <f>IF(CAPTURA!AY68="","",IF(ISNUMBER(CAPTURA!AY68),MAX(0,MIN(100,CAPTURA!AY68)),"⚠"))</f>
        <v/>
      </c>
      <c r="U68" t="str">
        <f>IF(CAPTURA!AZ68="","",IFERROR(IF(INDEX(CODIFICACION!$E$2:$E$500,MATCH("D3.12|"&amp;CAPTURA!AZ68,CODIFICACION!$F$2:$F$500,0))="sin dato","",INDEX(CODIFICACION!$E$2:$E$500,MATCH("D3.12|"&amp;CAPTURA!AZ68,CODIFICACION!$F$2:$F$500,0))),"⚠"))</f>
        <v/>
      </c>
      <c r="V68" t="str">
        <f>IF(CAPTURA!BA68="","",IF(AND(ISNUMBER(CAPTURA!BA68),CAPTURA!BA68&gt;=0,CAPTURA!BA68&lt;=4),CAPTURA!BA68*25,"⚠"))</f>
        <v/>
      </c>
      <c r="W68" t="str">
        <f>IF(CAPTURA!BB68="","",IFERROR(IF(INDEX(CODIFICACION!$E$2:$E$500,MATCH("D3.14|"&amp;CAPTURA!BB68,CODIFICACION!$F$2:$F$500,0))="sin dato","",INDEX(CODIFICACION!$E$2:$E$500,MATCH("D3.14|"&amp;CAPTURA!BB68,CODIFICACION!$F$2:$F$500,0))),"⚠"))</f>
        <v/>
      </c>
      <c r="X68" t="str">
        <f>IF(CAPTURA!BC68="","",IFERROR(IF(INDEX(CODIFICACION!$E$2:$E$500,MATCH("D3.14a|"&amp;CAPTURA!BC68,CODIFICACION!$F$2:$F$500,0))="sin dato","",INDEX(CODIFICACION!$E$2:$E$500,MATCH("D3.14a|"&amp;CAPTURA!BC68,CODIFICACION!$F$2:$F$500,0))),"⚠"))</f>
        <v/>
      </c>
      <c r="Y68" t="str">
        <f>IF(CAPTURA!BD68="","",IFERROR(IF(INDEX(CODIFICACION!$E$2:$E$500,MATCH("D3.14b|"&amp;CAPTURA!BD68,CODIFICACION!$F$2:$F$500,0))="sin dato","",INDEX(CODIFICACION!$E$2:$E$500,MATCH("D3.14b|"&amp;CAPTURA!BD68,CODIFICACION!$F$2:$F$500,0))),"⚠"))</f>
        <v/>
      </c>
      <c r="Z68" t="str">
        <f>IF(CAPTURA!BE68="","",IFERROR(IF(INDEX(CODIFICACION!$E$2:$E$500,MATCH("D3.14c|"&amp;CAPTURA!BE68,CODIFICACION!$F$2:$F$500,0))="sin dato","",INDEX(CODIFICACION!$E$2:$E$500,MATCH("D3.14c|"&amp;CAPTURA!BE68,CODIFICACION!$F$2:$F$500,0))),"⚠"))</f>
        <v/>
      </c>
      <c r="AA68" t="str">
        <f>IF(CAPTURA!BF68="","",IFERROR(IF(INDEX(CODIFICACION!$E$2:$E$500,MATCH("D3.14d|"&amp;CAPTURA!BF68,CODIFICACION!$F$2:$F$500,0))="sin dato","",INDEX(CODIFICACION!$E$2:$E$500,MATCH("D3.14d|"&amp;CAPTURA!BF68,CODIFICACION!$F$2:$F$500,0))),"⚠"))</f>
        <v/>
      </c>
      <c r="AB68" t="str">
        <f>IF(CAPTURA!BG68="","",IFERROR(IF(INDEX(CODIFICACION!$E$2:$E$500,MATCH("D3.14e|"&amp;CAPTURA!BG68,CODIFICACION!$F$2:$F$500,0))="sin dato","",INDEX(CODIFICACION!$E$2:$E$500,MATCH("D3.14e|"&amp;CAPTURA!BG68,CODIFICACION!$F$2:$F$500,0))),"⚠"))</f>
        <v/>
      </c>
      <c r="AC68" t="str">
        <f>IF(CAPTURA!BH68="","",IFERROR(IF(INDEX(CODIFICACION!$E$2:$E$500,MATCH("D3.14f|"&amp;CAPTURA!BH68,CODIFICACION!$F$2:$F$500,0))="sin dato","",INDEX(CODIFICACION!$E$2:$E$500,MATCH("D3.14f|"&amp;CAPTURA!BH68,CODIFICACION!$F$2:$F$500,0))),"⚠"))</f>
        <v/>
      </c>
      <c r="AD68" t="str">
        <f>IF(CAPTURA!BI68="","",IFERROR(IF(INDEX(CODIFICACION!$E$2:$E$500,MATCH("D3.14g|"&amp;CAPTURA!BI68,CODIFICACION!$F$2:$F$500,0))="sin dato","",INDEX(CODIFICACION!$E$2:$E$500,MATCH("D3.14g|"&amp;CAPTURA!BI68,CODIFICACION!$F$2:$F$500,0))),"⚠"))</f>
        <v/>
      </c>
      <c r="AE68" t="str">
        <f>IF(CAPTURA!BJ68="","",IFERROR(IF(INDEX(CODIFICACION!$E$2:$E$500,MATCH("D3.14h|"&amp;CAPTURA!BJ68,CODIFICACION!$F$2:$F$500,0))="sin dato","",INDEX(CODIFICACION!$E$2:$E$500,MATCH("D3.14h|"&amp;CAPTURA!BJ68,CODIFICACION!$F$2:$F$500,0))),"⚠"))</f>
        <v/>
      </c>
      <c r="AF68" t="str">
        <f>IF(CAPTURA!BK68="","",IFERROR(IF(INDEX(CODIFICACION!$E$2:$E$500,MATCH("D3.14i|"&amp;CAPTURA!BK68,CODIFICACION!$F$2:$F$500,0))="sin dato","",INDEX(CODIFICACION!$E$2:$E$500,MATCH("D3.14i|"&amp;CAPTURA!BK68,CODIFICACION!$F$2:$F$500,0))),"⚠"))</f>
        <v/>
      </c>
      <c r="AG68" t="str">
        <f>IF(CAPTURA!BL68="","",IFERROR(IF(INDEX(CODIFICACION!$E$2:$E$500,MATCH("D4.15|"&amp;CAPTURA!BL68,CODIFICACION!$F$2:$F$500,0))="sin dato","",INDEX(CODIFICACION!$E$2:$E$500,MATCH("D4.15|"&amp;CAPTURA!BL68,CODIFICACION!$F$2:$F$500,0))),"⚠"))</f>
        <v/>
      </c>
      <c r="AH68" t="str">
        <f>IF(CAPTURA!BM68="","",IF(AND(ISNUMBER(CAPTURA!BM68),CAPTURA!BM68&gt;=0,CAPTURA!BM68&lt;=4),CAPTURA!BM68*25,"⚠"))</f>
        <v/>
      </c>
      <c r="AI68" t="str">
        <f>IF(CAPTURA!BN68="","",IFERROR(IF(INDEX(CODIFICACION!$E$2:$E$500,MATCH("D4.17|"&amp;CAPTURA!BN68,CODIFICACION!$F$2:$F$500,0))="sin dato","",INDEX(CODIFICACION!$E$2:$E$500,MATCH("D4.17|"&amp;CAPTURA!BN68,CODIFICACION!$F$2:$F$500,0))),"⚠"))</f>
        <v/>
      </c>
      <c r="AJ68" t="str">
        <f>IF(CAPTURA!BO68="","",IFERROR(IF(INDEX(CODIFICACION!$E$2:$E$500,MATCH("D4.15a|"&amp;CAPTURA!BO68,CODIFICACION!$F$2:$F$500,0))="sin dato","",INDEX(CODIFICACION!$E$2:$E$500,MATCH("D4.15a|"&amp;CAPTURA!BO68,CODIFICACION!$F$2:$F$500,0))),"⚠"))</f>
        <v/>
      </c>
      <c r="AK68" t="str">
        <f>IF(CAPTURA!BP68="","",IF(AND(ISNUMBER(CAPTURA!BP68),CAPTURA!BP68&gt;=0,CAPTURA!BP68&lt;=4),CAPTURA!BP68*25,"⚠"))</f>
        <v/>
      </c>
      <c r="AL68" t="str">
        <f>IF(CAPTURA!BQ68="","",IF(AND(ISNUMBER(CAPTURA!BQ68),CAPTURA!BQ68&gt;=0,CAPTURA!BQ68&lt;=4),CAPTURA!BQ68*25,"⚠"))</f>
        <v/>
      </c>
      <c r="AM68" t="str">
        <f>IF(CAPTURA!BR68="","",IFERROR(IF(INDEX(CODIFICACION!$E$2:$E$500,MATCH("D5.18b|"&amp;CAPTURA!BR68,CODIFICACION!$F$2:$F$500,0))="sin dato","",INDEX(CODIFICACION!$E$2:$E$500,MATCH("D5.18b|"&amp;CAPTURA!BR68,CODIFICACION!$F$2:$F$500,0))),"⚠"))</f>
        <v/>
      </c>
      <c r="AN68" t="str">
        <f>IF(CAPTURA!BS68="","",IFERROR(IF(INDEX(CODIFICACION!$E$2:$E$500,MATCH("D5.19|"&amp;CAPTURA!BS68,CODIFICACION!$F$2:$F$500,0))="sin dato","",INDEX(CODIFICACION!$E$2:$E$500,MATCH("D5.19|"&amp;CAPTURA!BS68,CODIFICACION!$F$2:$F$500,0))),"⚠"))</f>
        <v/>
      </c>
      <c r="AO68" t="str">
        <f>IF(CAPTURA!BT68="","",MIN(100,ROUND((LEN(CAPTURA!BT68)-LEN(SUBSTITUTE(CAPTURA!BT68,";",""))+1)/7*100,1)))</f>
        <v/>
      </c>
      <c r="AP68" t="str">
        <f>IF(CAPTURA!BU68="","",IFERROR(IF(INDEX(CODIFICACION!$E$2:$E$500,MATCH("D5.20|"&amp;CAPTURA!BU68,CODIFICACION!$F$2:$F$500,0))="sin dato","",INDEX(CODIFICACION!$E$2:$E$500,MATCH("D5.20|"&amp;CAPTURA!BU68,CODIFICACION!$F$2:$F$500,0))),"⚠"))</f>
        <v/>
      </c>
      <c r="AQ68" t="str">
        <f>IF(CAPTURA!BV68="","",IFERROR(IF(INDEX(CODIFICACION!$E$2:$E$500,MATCH("D5.21|"&amp;CAPTURA!BV68,CODIFICACION!$F$2:$F$500,0))="sin dato","",INDEX(CODIFICACION!$E$2:$E$500,MATCH("D5.21|"&amp;CAPTURA!BV68,CODIFICACION!$F$2:$F$500,0))),"⚠"))</f>
        <v/>
      </c>
      <c r="AR68" t="str">
        <f>IF(CAPTURA!BW68="","",IFERROR(IF(INDEX(CODIFICACION!$E$2:$E$500,MATCH("D5.21a|"&amp;CAPTURA!BW68,CODIFICACION!$F$2:$F$500,0))="sin dato","",INDEX(CODIFICACION!$E$2:$E$500,MATCH("D5.21a|"&amp;CAPTURA!BW68,CODIFICACION!$F$2:$F$500,0))),"⚠"))</f>
        <v/>
      </c>
      <c r="AS68" t="str">
        <f>IF(CAPTURA!BX68="","",IFERROR(IF(INDEX(CODIFICACION!$E$2:$E$500,MATCH("D5.21b|"&amp;CAPTURA!BX68,CODIFICACION!$F$2:$F$500,0))="sin dato","",INDEX(CODIFICACION!$E$2:$E$500,MATCH("D5.21b|"&amp;CAPTURA!BX68,CODIFICACION!$F$2:$F$500,0))),"⚠"))</f>
        <v/>
      </c>
      <c r="AT68" t="str">
        <f>IF(CAPTURA!BY68="","",IFERROR(IF(INDEX(CODIFICACION!$E$2:$E$500,MATCH("D6.22|"&amp;CAPTURA!BY68,CODIFICACION!$F$2:$F$500,0))="sin dato","",INDEX(CODIFICACION!$E$2:$E$500,MATCH("D6.22|"&amp;CAPTURA!BY68,CODIFICACION!$F$2:$F$500,0))),"⚠"))</f>
        <v/>
      </c>
      <c r="AU68" t="str">
        <f>IF(CAPTURA!BZ68="","",IFERROR(IF(INDEX(CODIFICACION!$E$2:$E$500,MATCH("D6.22a|"&amp;CAPTURA!BZ68,CODIFICACION!$F$2:$F$500,0))="sin dato","",INDEX(CODIFICACION!$E$2:$E$500,MATCH("D6.22a|"&amp;CAPTURA!BZ68,CODIFICACION!$F$2:$F$500,0))),"⚠"))</f>
        <v/>
      </c>
      <c r="AV68" t="str">
        <f>IF(CAPTURA!CA68="","",IFERROR(IF(INDEX(CODIFICACION!$E$2:$E$500,MATCH("D6.22b|"&amp;CAPTURA!CA68,CODIFICACION!$F$2:$F$500,0))="sin dato","",INDEX(CODIFICACION!$E$2:$E$500,MATCH("D6.22b|"&amp;CAPTURA!CA68,CODIFICACION!$F$2:$F$500,0))),"⚠"))</f>
        <v/>
      </c>
      <c r="AW68" t="str">
        <f>IF(CAPTURA!CB68="","",IFERROR(IF(INDEX(CODIFICACION!$E$2:$E$500,MATCH("D6.23|"&amp;CAPTURA!CB68,CODIFICACION!$F$2:$F$500,0))="sin dato","",INDEX(CODIFICACION!$E$2:$E$500,MATCH("D6.23|"&amp;CAPTURA!CB68,CODIFICACION!$F$2:$F$500,0))),"⚠"))</f>
        <v/>
      </c>
      <c r="AX68" t="str">
        <f>IF(CAPTURA!CC68="","",IFERROR(IF(INDEX(CODIFICACION!$E$2:$E$500,MATCH("D6.24|"&amp;CAPTURA!CC68,CODIFICACION!$F$2:$F$500,0))="sin dato","",INDEX(CODIFICACION!$E$2:$E$500,MATCH("D6.24|"&amp;CAPTURA!CC68,CODIFICACION!$F$2:$F$500,0))),"⚠"))</f>
        <v/>
      </c>
      <c r="AY68" t="str">
        <f>IF(CAPTURA!CD68="","",IFERROR(IF(INDEX(CODIFICACION!$E$2:$E$500,MATCH("D6.25|"&amp;CAPTURA!CD68,CODIFICACION!$F$2:$F$500,0))="sin dato","",INDEX(CODIFICACION!$E$2:$E$500,MATCH("D6.25|"&amp;CAPTURA!CD68,CODIFICACION!$F$2:$F$500,0))),"⚠"))</f>
        <v/>
      </c>
      <c r="AZ68" t="str">
        <f>IF(CAPTURA!CE68="","",IFERROR(IF(INDEX(CODIFICACION!$E$2:$E$500,MATCH("D6.25a|"&amp;CAPTURA!CE68,CODIFICACION!$F$2:$F$500,0))="sin dato","",INDEX(CODIFICACION!$E$2:$E$500,MATCH("D6.25a|"&amp;CAPTURA!CE68,CODIFICACION!$F$2:$F$500,0))),"⚠"))</f>
        <v/>
      </c>
      <c r="BA68" t="str">
        <f>IF(CAPTURA!CF68="","",IFERROR(IF(INDEX(CODIFICACION!$E$2:$E$500,MATCH("D6.25b|"&amp;CAPTURA!CF68,CODIFICACION!$F$2:$F$500,0))="sin dato","",INDEX(CODIFICACION!$E$2:$E$500,MATCH("D6.25b|"&amp;CAPTURA!CF68,CODIFICACION!$F$2:$F$500,0))),"⚠"))</f>
        <v/>
      </c>
      <c r="BB68" t="str">
        <f>IF(CAPTURA!CG68="","",IFERROR(IF(INDEX(CODIFICACION!$E$2:$E$500,MATCH("D6.22c|"&amp;CAPTURA!CG68,CODIFICACION!$F$2:$F$500,0))="sin dato","",INDEX(CODIFICACION!$E$2:$E$500,MATCH("D6.22c|"&amp;CAPTURA!CG68,CODIFICACION!$F$2:$F$500,0))),"⚠"))</f>
        <v/>
      </c>
      <c r="BC68" t="str">
        <f>IF(CAPTURA!CH68="","",IFERROR(IF(INDEX(CODIFICACION!$E$2:$E$500,MATCH("D7.26|"&amp;CAPTURA!CH68,CODIFICACION!$F$2:$F$500,0))="sin dato","",INDEX(CODIFICACION!$E$2:$E$500,MATCH("D7.26|"&amp;CAPTURA!CH68,CODIFICACION!$F$2:$F$500,0))),"⚠"))</f>
        <v/>
      </c>
      <c r="BD68" t="str">
        <f>IF(CAPTURA!CI68="","",IFERROR(IF(INDEX(CODIFICACION!$E$2:$E$500,MATCH("D7.27|"&amp;CAPTURA!CI68,CODIFICACION!$F$2:$F$500,0))="sin dato","",INDEX(CODIFICACION!$E$2:$E$500,MATCH("D7.27|"&amp;CAPTURA!CI68,CODIFICACION!$F$2:$F$500,0))),"⚠"))</f>
        <v/>
      </c>
      <c r="BE68" t="str">
        <f>IF(CAPTURA!CJ68="","",IFERROR(IF(INDEX(CODIFICACION!$E$2:$E$500,MATCH("D7.28|"&amp;CAPTURA!CJ68,CODIFICACION!$F$2:$F$500,0))="sin dato","",INDEX(CODIFICACION!$E$2:$E$500,MATCH("D7.28|"&amp;CAPTURA!CJ68,CODIFICACION!$F$2:$F$500,0))),"⚠"))</f>
        <v/>
      </c>
      <c r="BF68" t="str">
        <f>IF(CAPTURA!CK68="","",IFERROR(IF(INDEX(CODIFICACION!$E$2:$E$500,MATCH("D7.28b|"&amp;CAPTURA!CK68,CODIFICACION!$F$2:$F$500,0))="sin dato","",INDEX(CODIFICACION!$E$2:$E$500,MATCH("D7.28b|"&amp;CAPTURA!CK68,CODIFICACION!$F$2:$F$500,0))),"⚠"))</f>
        <v/>
      </c>
      <c r="BG68" t="str">
        <f>IF(CAPTURA!CL68="","",MIN(100,ROUND((LEN(CAPTURA!CL68)-LEN(SUBSTITUTE(CAPTURA!CL68,";",""))+1)/8*100,1)))</f>
        <v/>
      </c>
      <c r="BH68" t="str">
        <f>IF(CAPTURA!CM68="","",IFERROR(IF(INDEX(CODIFICACION!$E$2:$E$500,MATCH("D7.26a|"&amp;CAPTURA!CM68,CODIFICACION!$F$2:$F$500,0))="sin dato","",INDEX(CODIFICACION!$E$2:$E$500,MATCH("D7.26a|"&amp;CAPTURA!CM68,CODIFICACION!$F$2:$F$500,0))),"⚠"))</f>
        <v/>
      </c>
      <c r="BI68" t="str">
        <f>IF(CAPTURA!CN68="","",IFERROR(IF(INDEX(CODIFICACION!$E$2:$E$500,MATCH("D7.26b|"&amp;CAPTURA!CN68,CODIFICACION!$F$2:$F$500,0))="sin dato","",INDEX(CODIFICACION!$E$2:$E$500,MATCH("D7.26b|"&amp;CAPTURA!CN68,CODIFICACION!$F$2:$F$500,0))),"⚠"))</f>
        <v/>
      </c>
      <c r="BJ68" t="str">
        <f>IF(CAPTURA!CO68="","",IF(AND(ISNUMBER(CAPTURA!CO68),CAPTURA!CO68&gt;=0,CAPTURA!CO68&lt;=4),CAPTURA!CO68*25,"⚠"))</f>
        <v/>
      </c>
      <c r="BK68" t="str">
        <f>IF(CAPTURA!CP68="","",IF(ISNUMBER(CAPTURA!CP68),MAX(0,MIN(100,CAPTURA!CP68)),"⚠"))</f>
        <v/>
      </c>
      <c r="BL68" t="str">
        <f>IF(CAPTURA!CQ68="","",IFERROR(IF(INDEX(CODIFICACION!$E$2:$E$500,MATCH("D8.31|"&amp;CAPTURA!CQ68,CODIFICACION!$F$2:$F$500,0))="sin dato","",INDEX(CODIFICACION!$E$2:$E$500,MATCH("D8.31|"&amp;CAPTURA!CQ68,CODIFICACION!$F$2:$F$500,0))),"⚠"))</f>
        <v/>
      </c>
      <c r="BM68" t="str">
        <f>IF(CAPTURA!CR68="","",IFERROR(IF(INDEX(CODIFICACION!$E$2:$E$500,MATCH("D8.32|"&amp;CAPTURA!CR68,CODIFICACION!$F$2:$F$500,0))="sin dato","",INDEX(CODIFICACION!$E$2:$E$500,MATCH("D8.32|"&amp;CAPTURA!CR68,CODIFICACION!$F$2:$F$500,0))),"⚠"))</f>
        <v/>
      </c>
      <c r="BN68" t="str">
        <f>IF(CAPTURA!CS68="","",IFERROR(IF(INDEX(CODIFICACION!$E$2:$E$500,MATCH("D9.33|"&amp;CAPTURA!CS68,CODIFICACION!$F$2:$F$500,0))="sin dato","",INDEX(CODIFICACION!$E$2:$E$500,MATCH("D9.33|"&amp;CAPTURA!CS68,CODIFICACION!$F$2:$F$500,0))),"⚠"))</f>
        <v/>
      </c>
      <c r="BO68" t="str">
        <f>IF(CAPTURA!CT68="","",IFERROR(IF(INDEX(CODIFICACION!$E$2:$E$500,MATCH("D9.34|"&amp;CAPTURA!CT68,CODIFICACION!$F$2:$F$500,0))="sin dato","",INDEX(CODIFICACION!$E$2:$E$500,MATCH("D9.34|"&amp;CAPTURA!CT68,CODIFICACION!$F$2:$F$500,0))),"⚠"))</f>
        <v/>
      </c>
      <c r="BP68" t="str">
        <f>IF(CAPTURA!CU68="","",IFERROR(IF(INDEX(CODIFICACION!$E$2:$E$500,MATCH("D9.35|"&amp;CAPTURA!CU68,CODIFICACION!$F$2:$F$500,0))="sin dato","",INDEX(CODIFICACION!$E$2:$E$500,MATCH("D9.35|"&amp;CAPTURA!CU68,CODIFICACION!$F$2:$F$500,0))),"⚠"))</f>
        <v/>
      </c>
      <c r="BQ68" t="str">
        <f>IF(CAPTURA!CV68="","",IFERROR(IF(INDEX(CODIFICACION!$E$2:$E$500,MATCH("D10.36|"&amp;CAPTURA!CV68,CODIFICACION!$F$2:$F$500,0))="sin dato","",INDEX(CODIFICACION!$E$2:$E$500,MATCH("D10.36|"&amp;CAPTURA!CV68,CODIFICACION!$F$2:$F$500,0))),"⚠"))</f>
        <v/>
      </c>
      <c r="BR68" t="str">
        <f>IF(CAPTURA!CW68="","",IFERROR(IF(INDEX(CODIFICACION!$E$2:$E$500,MATCH("D10.37|"&amp;CAPTURA!CW68,CODIFICACION!$F$2:$F$500,0))="sin dato","",INDEX(CODIFICACION!$E$2:$E$500,MATCH("D10.37|"&amp;CAPTURA!CW68,CODIFICACION!$F$2:$F$500,0))),"⚠"))</f>
        <v/>
      </c>
      <c r="BS68" t="str">
        <f>IF(CAPTURA!CX68="","",IFERROR(IF(INDEX(CODIFICACION!$E$2:$E$500,MATCH("D10.36a|"&amp;CAPTURA!CX68,CODIFICACION!$F$2:$F$500,0))="sin dato","",INDEX(CODIFICACION!$E$2:$E$500,MATCH("D10.36a|"&amp;CAPTURA!CX68,CODIFICACION!$F$2:$F$500,0))),"⚠"))</f>
        <v/>
      </c>
      <c r="BT68" t="str">
        <f>IF(CAPTURA!CY68="","",IF(ISNUMBER(SEARCH("Ninguno",CAPTURA!CY68)),0,MIN(100,ROUND((LEN(CAPTURA!CY68)-LEN(SUBSTITUTE(CAPTURA!CY68,";",""))+1)/6*100,1))))</f>
        <v/>
      </c>
      <c r="BU68" t="str">
        <f>IF(CAPTURA!DA68="","",IFERROR(IF(INDEX(CODIFICACION!$E$2:$E$500,MATCH("D11.39a|"&amp;CAPTURA!DA68,CODIFICACION!$F$2:$F$500,0))="sin dato","",INDEX(CODIFICACION!$E$2:$E$500,MATCH("D11.39a|"&amp;CAPTURA!DA68,CODIFICACION!$F$2:$F$500,0))),"⚠"))</f>
        <v/>
      </c>
      <c r="BV68" t="str">
        <f>IF(CAPTURA!DB68="","",IFERROR(IF(INDEX(CODIFICACION!$E$2:$E$500,MATCH("D12.42|"&amp;CAPTURA!DB68,CODIFICACION!$F$2:$F$500,0))="sin dato","",INDEX(CODIFICACION!$E$2:$E$500,MATCH("D12.42|"&amp;CAPTURA!DB68,CODIFICACION!$F$2:$F$500,0))),"⚠"))</f>
        <v/>
      </c>
      <c r="BW68" t="str">
        <f>IF(CAPTURA!DC68="","",IFERROR(IF(INDEX(CODIFICACION!$E$2:$E$500,MATCH("D13.45|"&amp;CAPTURA!DC68,CODIFICACION!$F$2:$F$500,0))="sin dato","",INDEX(CODIFICACION!$E$2:$E$500,MATCH("D13.45|"&amp;CAPTURA!DC68,CODIFICACION!$F$2:$F$500,0))),"⚠"))</f>
        <v/>
      </c>
      <c r="BX68" t="str">
        <f>IF(CAPTURA!DD68="","",IFERROR(IF(INDEX(CODIFICACION!$E$2:$E$500,MATCH("D14.51|"&amp;CAPTURA!DD68,CODIFICACION!$F$2:$F$500,0))="sin dato","",INDEX(CODIFICACION!$E$2:$E$500,MATCH("D14.51|"&amp;CAPTURA!DD68,CODIFICACION!$F$2:$F$500,0))),"⚠"))</f>
        <v/>
      </c>
      <c r="BY68" t="str">
        <f>IF(CAPTURA!DE68="","",IFERROR(IF(INDEX(CODIFICACION!$E$2:$E$500,MATCH("D15.58|"&amp;CAPTURA!DE68,CODIFICACION!$F$2:$F$500,0))="sin dato","",INDEX(CODIFICACION!$E$2:$E$500,MATCH("D15.58|"&amp;CAPTURA!DE68,CODIFICACION!$F$2:$F$500,0))),"⚠"))</f>
        <v/>
      </c>
      <c r="BZ68" t="str">
        <f>IF(CAPTURA!DF68="","",IFERROR(IF(INDEX(CODIFICACION!$E$2:$E$500,MATCH("PP1|"&amp;CAPTURA!DF68,CODIFICACION!$F$2:$F$500,0))="sin dato","",INDEX(CODIFICACION!$E$2:$E$500,MATCH("PP1|"&amp;CAPTURA!DF68,CODIFICACION!$F$2:$F$500,0))),"⚠"))</f>
        <v/>
      </c>
      <c r="CA68" t="str">
        <f>IF(CAPTURA!DG68="","",IFERROR(IF(INDEX(CODIFICACION!$E$2:$E$500,MATCH("PP2|"&amp;CAPTURA!DG68,CODIFICACION!$F$2:$F$500,0))="sin dato","",INDEX(CODIFICACION!$E$2:$E$500,MATCH("PP2|"&amp;CAPTURA!DG68,CODIFICACION!$F$2:$F$500,0))),"⚠"))</f>
        <v/>
      </c>
      <c r="CB68" t="str">
        <f t="shared" si="22"/>
        <v/>
      </c>
      <c r="CC68" t="str">
        <f t="shared" si="23"/>
        <v/>
      </c>
      <c r="CD68" t="str">
        <f t="shared" si="24"/>
        <v/>
      </c>
      <c r="CE68" t="str">
        <f t="shared" si="25"/>
        <v/>
      </c>
      <c r="CF68" t="str">
        <f t="shared" si="26"/>
        <v/>
      </c>
      <c r="CG68" t="str">
        <f t="shared" si="27"/>
        <v/>
      </c>
      <c r="CH68" t="str">
        <f t="shared" si="28"/>
        <v/>
      </c>
      <c r="CI68" t="str">
        <f t="shared" si="29"/>
        <v/>
      </c>
      <c r="CJ68" t="str">
        <f t="shared" si="30"/>
        <v/>
      </c>
      <c r="CK68" t="str">
        <f t="shared" si="31"/>
        <v/>
      </c>
      <c r="CL68" t="str">
        <f t="shared" si="32"/>
        <v/>
      </c>
    </row>
    <row r="69" spans="1:90" x14ac:dyDescent="0.3">
      <c r="A69">
        <f>CAPTURA!A69</f>
        <v>20539280644</v>
      </c>
      <c r="B69">
        <f>CAPTURA!C69</f>
        <v>0</v>
      </c>
      <c r="C69" t="str">
        <f>IF(CAPTURA!M69="","",ROUND((ISNUMBER(SEARCH("Alemania",CAPTURA!M69))+ISNUMBER(SEARCH("Bélgica",CAPTURA!M69))+ISNUMBER(SEARCH("Países Bajos",CAPTURA!M69))+ISNUMBER(SEARCH("Francia",CAPTURA!M69))+ISNUMBER(SEARCH("Italia",CAPTURA!M69))+ISNUMBER(SEARCH("España",CAPTURA!M69))+ISNUMBER(SEARCH("Suecia",CAPTURA!M69))+ISNUMBER(SEARCH("Dinamarca",CAPTURA!M69)))/((LEN(CAPTURA!M69)-LEN(SUBSTITUTE(CAPTURA!M69,";","")))+1)*100,1))</f>
        <v/>
      </c>
      <c r="D69" t="str">
        <f>IF(CAPTURA!AE69="","",IFERROR(IF(INDEX(CODIFICACION!$E$2:$E$500,MATCH("P8|"&amp;CAPTURA!AE69,CODIFICACION!$F$2:$F$500,0))="sin dato","",INDEX(CODIFICACION!$E$2:$E$500,MATCH("P8|"&amp;CAPTURA!AE69,CODIFICACION!$F$2:$F$500,0))),"⚠"))</f>
        <v/>
      </c>
      <c r="E69" t="str">
        <f>IF(CAPTURA!AG69="","",IFERROR(IF(INDEX(CODIFICACION!$E$2:$E$500,MATCH("P10|"&amp;CAPTURA!AG69,CODIFICACION!$F$2:$F$500,0))="sin dato","",INDEX(CODIFICACION!$E$2:$E$500,MATCH("P10|"&amp;CAPTURA!AG69,CODIFICACION!$F$2:$F$500,0))),"⚠"))</f>
        <v/>
      </c>
      <c r="F69" t="str">
        <f>IF(CAPTURA!AJ69="","",IFERROR(IF(INDEX(CODIFICACION!$E$2:$E$500,MATCH("P13|"&amp;CAPTURA!AJ69,CODIFICACION!$F$2:$F$500,0))="sin dato","",INDEX(CODIFICACION!$E$2:$E$500,MATCH("P13|"&amp;CAPTURA!AJ69,CODIFICACION!$F$2:$F$500,0))),"⚠"))</f>
        <v/>
      </c>
      <c r="G69" t="str">
        <f>IF(CAPTURA!AK69="","",IFERROR(IF(INDEX(CODIFICACION!$E$2:$E$500,MATCH("P14|"&amp;CAPTURA!AK69,CODIFICACION!$F$2:$F$500,0))="sin dato","",INDEX(CODIFICACION!$E$2:$E$500,MATCH("P14|"&amp;CAPTURA!AK69,CODIFICACION!$F$2:$F$500,0))),"⚠"))</f>
        <v/>
      </c>
      <c r="H69" t="str">
        <f>IF(CAPTURA!AL69="","",IFERROR(IF(INDEX(CODIFICACION!$E$2:$E$500,MATCH("D1.1|"&amp;CAPTURA!AL69,CODIFICACION!$F$2:$F$500,0))="sin dato","",INDEX(CODIFICACION!$E$2:$E$500,MATCH("D1.1|"&amp;CAPTURA!AL69,CODIFICACION!$F$2:$F$500,0))),"⚠"))</f>
        <v/>
      </c>
      <c r="I69" t="str">
        <f>IF(CAPTURA!AN69="","",IFERROR(IF(INDEX(CODIFICACION!$E$2:$E$500,MATCH("D1.3|"&amp;CAPTURA!AN69,CODIFICACION!$F$2:$F$500,0))="sin dato","",INDEX(CODIFICACION!$E$2:$E$500,MATCH("D1.3|"&amp;CAPTURA!AN69,CODIFICACION!$F$2:$F$500,0))),"⚠"))</f>
        <v/>
      </c>
      <c r="J69" t="str">
        <f>IF(CAPTURA!AO69="","",IFERROR(IF(INDEX(CODIFICACION!$E$2:$E$500,MATCH("D1.4|"&amp;CAPTURA!AO69,CODIFICACION!$F$2:$F$500,0))="sin dato","",INDEX(CODIFICACION!$E$2:$E$500,MATCH("D1.4|"&amp;CAPTURA!AO69,CODIFICACION!$F$2:$F$500,0))),"⚠"))</f>
        <v/>
      </c>
      <c r="K69" t="str">
        <f>IF(CAPTURA!AP69="","",IFERROR(IF(INDEX(CODIFICACION!$E$2:$E$500,MATCH("D1.3a|"&amp;CAPTURA!AP69,CODIFICACION!$F$2:$F$500,0))="sin dato","",INDEX(CODIFICACION!$E$2:$E$500,MATCH("D1.3a|"&amp;CAPTURA!AP69,CODIFICACION!$F$2:$F$500,0))),"⚠"))</f>
        <v/>
      </c>
      <c r="L69" t="str">
        <f>IF(CAPTURA!AQ69="","",IF(AND(ISNUMBER(CAPTURA!AQ69),CAPTURA!AQ69&gt;=0,CAPTURA!AQ69&lt;=4),CAPTURA!AQ69*25,"⚠"))</f>
        <v/>
      </c>
      <c r="M69" t="str">
        <f>IF(CAPTURA!AR69="","",IF(ISNUMBER(CAPTURA!AR69),MAX(0,MIN(100,CAPTURA!AR69)),"⚠"))</f>
        <v/>
      </c>
      <c r="N69" t="str">
        <f>IF(CAPTURA!AS69="","",IF(AND(ISNUMBER(CAPTURA!AS69),CAPTURA!AS69&gt;=0,CAPTURA!AS69&lt;=4),CAPTURA!AS69*25,"⚠"))</f>
        <v/>
      </c>
      <c r="O69" t="str">
        <f>IF(CAPTURA!AT69="","",IFERROR(IF(INDEX(CODIFICACION!$E$2:$E$500,MATCH("D2.8|"&amp;CAPTURA!AT69,CODIFICACION!$F$2:$F$500,0))="sin dato","",INDEX(CODIFICACION!$E$2:$E$500,MATCH("D2.8|"&amp;CAPTURA!AT69,CODIFICACION!$F$2:$F$500,0))),"⚠"))</f>
        <v/>
      </c>
      <c r="P69" t="str">
        <f>IF(CAPTURA!AU69="","",IFERROR(IF(INDEX(CODIFICACION!$E$2:$E$500,MATCH("D2.9|"&amp;CAPTURA!AU69,CODIFICACION!$F$2:$F$500,0))="sin dato","",INDEX(CODIFICACION!$E$2:$E$500,MATCH("D2.9|"&amp;CAPTURA!AU69,CODIFICACION!$F$2:$F$500,0))),"⚠"))</f>
        <v/>
      </c>
      <c r="Q69" t="str">
        <f>IF(CAPTURA!AV69="","",IFERROR(IF(INDEX(CODIFICACION!$E$2:$E$500,MATCH("D2.10|"&amp;CAPTURA!AV69,CODIFICACION!$F$2:$F$500,0))="sin dato","",INDEX(CODIFICACION!$E$2:$E$500,MATCH("D2.10|"&amp;CAPTURA!AV69,CODIFICACION!$F$2:$F$500,0))),"⚠"))</f>
        <v/>
      </c>
      <c r="R69" t="str">
        <f>IF(CAPTURA!AW69="","",IFERROR(IF(INDEX(CODIFICACION!$E$2:$E$500,MATCH("D2.5a|"&amp;CAPTURA!AW69,CODIFICACION!$F$2:$F$500,0))="sin dato","",INDEX(CODIFICACION!$E$2:$E$500,MATCH("D2.5a|"&amp;CAPTURA!AW69,CODIFICACION!$F$2:$F$500,0))),"⚠"))</f>
        <v/>
      </c>
      <c r="S69" t="str">
        <f>IF(CAPTURA!AX69="","",IFERROR(IF(INDEX(CODIFICACION!$E$2:$E$500,MATCH("D2.5b|"&amp;CAPTURA!AX69,CODIFICACION!$F$2:$F$500,0))="sin dato","",INDEX(CODIFICACION!$E$2:$E$500,MATCH("D2.5b|"&amp;CAPTURA!AX69,CODIFICACION!$F$2:$F$500,0))),"⚠"))</f>
        <v/>
      </c>
      <c r="T69" t="str">
        <f>IF(CAPTURA!AY69="","",IF(ISNUMBER(CAPTURA!AY69),MAX(0,MIN(100,CAPTURA!AY69)),"⚠"))</f>
        <v/>
      </c>
      <c r="U69" t="str">
        <f>IF(CAPTURA!AZ69="","",IFERROR(IF(INDEX(CODIFICACION!$E$2:$E$500,MATCH("D3.12|"&amp;CAPTURA!AZ69,CODIFICACION!$F$2:$F$500,0))="sin dato","",INDEX(CODIFICACION!$E$2:$E$500,MATCH("D3.12|"&amp;CAPTURA!AZ69,CODIFICACION!$F$2:$F$500,0))),"⚠"))</f>
        <v/>
      </c>
      <c r="V69" t="str">
        <f>IF(CAPTURA!BA69="","",IF(AND(ISNUMBER(CAPTURA!BA69),CAPTURA!BA69&gt;=0,CAPTURA!BA69&lt;=4),CAPTURA!BA69*25,"⚠"))</f>
        <v/>
      </c>
      <c r="W69" t="str">
        <f>IF(CAPTURA!BB69="","",IFERROR(IF(INDEX(CODIFICACION!$E$2:$E$500,MATCH("D3.14|"&amp;CAPTURA!BB69,CODIFICACION!$F$2:$F$500,0))="sin dato","",INDEX(CODIFICACION!$E$2:$E$500,MATCH("D3.14|"&amp;CAPTURA!BB69,CODIFICACION!$F$2:$F$500,0))),"⚠"))</f>
        <v/>
      </c>
      <c r="X69" t="str">
        <f>IF(CAPTURA!BC69="","",IFERROR(IF(INDEX(CODIFICACION!$E$2:$E$500,MATCH("D3.14a|"&amp;CAPTURA!BC69,CODIFICACION!$F$2:$F$500,0))="sin dato","",INDEX(CODIFICACION!$E$2:$E$500,MATCH("D3.14a|"&amp;CAPTURA!BC69,CODIFICACION!$F$2:$F$500,0))),"⚠"))</f>
        <v/>
      </c>
      <c r="Y69" t="str">
        <f>IF(CAPTURA!BD69="","",IFERROR(IF(INDEX(CODIFICACION!$E$2:$E$500,MATCH("D3.14b|"&amp;CAPTURA!BD69,CODIFICACION!$F$2:$F$500,0))="sin dato","",INDEX(CODIFICACION!$E$2:$E$500,MATCH("D3.14b|"&amp;CAPTURA!BD69,CODIFICACION!$F$2:$F$500,0))),"⚠"))</f>
        <v/>
      </c>
      <c r="Z69" t="str">
        <f>IF(CAPTURA!BE69="","",IFERROR(IF(INDEX(CODIFICACION!$E$2:$E$500,MATCH("D3.14c|"&amp;CAPTURA!BE69,CODIFICACION!$F$2:$F$500,0))="sin dato","",INDEX(CODIFICACION!$E$2:$E$500,MATCH("D3.14c|"&amp;CAPTURA!BE69,CODIFICACION!$F$2:$F$500,0))),"⚠"))</f>
        <v/>
      </c>
      <c r="AA69" t="str">
        <f>IF(CAPTURA!BF69="","",IFERROR(IF(INDEX(CODIFICACION!$E$2:$E$500,MATCH("D3.14d|"&amp;CAPTURA!BF69,CODIFICACION!$F$2:$F$500,0))="sin dato","",INDEX(CODIFICACION!$E$2:$E$500,MATCH("D3.14d|"&amp;CAPTURA!BF69,CODIFICACION!$F$2:$F$500,0))),"⚠"))</f>
        <v/>
      </c>
      <c r="AB69" t="str">
        <f>IF(CAPTURA!BG69="","",IFERROR(IF(INDEX(CODIFICACION!$E$2:$E$500,MATCH("D3.14e|"&amp;CAPTURA!BG69,CODIFICACION!$F$2:$F$500,0))="sin dato","",INDEX(CODIFICACION!$E$2:$E$500,MATCH("D3.14e|"&amp;CAPTURA!BG69,CODIFICACION!$F$2:$F$500,0))),"⚠"))</f>
        <v/>
      </c>
      <c r="AC69" t="str">
        <f>IF(CAPTURA!BH69="","",IFERROR(IF(INDEX(CODIFICACION!$E$2:$E$500,MATCH("D3.14f|"&amp;CAPTURA!BH69,CODIFICACION!$F$2:$F$500,0))="sin dato","",INDEX(CODIFICACION!$E$2:$E$500,MATCH("D3.14f|"&amp;CAPTURA!BH69,CODIFICACION!$F$2:$F$500,0))),"⚠"))</f>
        <v/>
      </c>
      <c r="AD69" t="str">
        <f>IF(CAPTURA!BI69="","",IFERROR(IF(INDEX(CODIFICACION!$E$2:$E$500,MATCH("D3.14g|"&amp;CAPTURA!BI69,CODIFICACION!$F$2:$F$500,0))="sin dato","",INDEX(CODIFICACION!$E$2:$E$500,MATCH("D3.14g|"&amp;CAPTURA!BI69,CODIFICACION!$F$2:$F$500,0))),"⚠"))</f>
        <v/>
      </c>
      <c r="AE69" t="str">
        <f>IF(CAPTURA!BJ69="","",IFERROR(IF(INDEX(CODIFICACION!$E$2:$E$500,MATCH("D3.14h|"&amp;CAPTURA!BJ69,CODIFICACION!$F$2:$F$500,0))="sin dato","",INDEX(CODIFICACION!$E$2:$E$500,MATCH("D3.14h|"&amp;CAPTURA!BJ69,CODIFICACION!$F$2:$F$500,0))),"⚠"))</f>
        <v/>
      </c>
      <c r="AF69" t="str">
        <f>IF(CAPTURA!BK69="","",IFERROR(IF(INDEX(CODIFICACION!$E$2:$E$500,MATCH("D3.14i|"&amp;CAPTURA!BK69,CODIFICACION!$F$2:$F$500,0))="sin dato","",INDEX(CODIFICACION!$E$2:$E$500,MATCH("D3.14i|"&amp;CAPTURA!BK69,CODIFICACION!$F$2:$F$500,0))),"⚠"))</f>
        <v/>
      </c>
      <c r="AG69" t="str">
        <f>IF(CAPTURA!BL69="","",IFERROR(IF(INDEX(CODIFICACION!$E$2:$E$500,MATCH("D4.15|"&amp;CAPTURA!BL69,CODIFICACION!$F$2:$F$500,0))="sin dato","",INDEX(CODIFICACION!$E$2:$E$500,MATCH("D4.15|"&amp;CAPTURA!BL69,CODIFICACION!$F$2:$F$500,0))),"⚠"))</f>
        <v/>
      </c>
      <c r="AH69" t="str">
        <f>IF(CAPTURA!BM69="","",IF(AND(ISNUMBER(CAPTURA!BM69),CAPTURA!BM69&gt;=0,CAPTURA!BM69&lt;=4),CAPTURA!BM69*25,"⚠"))</f>
        <v/>
      </c>
      <c r="AI69" t="str">
        <f>IF(CAPTURA!BN69="","",IFERROR(IF(INDEX(CODIFICACION!$E$2:$E$500,MATCH("D4.17|"&amp;CAPTURA!BN69,CODIFICACION!$F$2:$F$500,0))="sin dato","",INDEX(CODIFICACION!$E$2:$E$500,MATCH("D4.17|"&amp;CAPTURA!BN69,CODIFICACION!$F$2:$F$500,0))),"⚠"))</f>
        <v/>
      </c>
      <c r="AJ69" t="str">
        <f>IF(CAPTURA!BO69="","",IFERROR(IF(INDEX(CODIFICACION!$E$2:$E$500,MATCH("D4.15a|"&amp;CAPTURA!BO69,CODIFICACION!$F$2:$F$500,0))="sin dato","",INDEX(CODIFICACION!$E$2:$E$500,MATCH("D4.15a|"&amp;CAPTURA!BO69,CODIFICACION!$F$2:$F$500,0))),"⚠"))</f>
        <v/>
      </c>
      <c r="AK69" t="str">
        <f>IF(CAPTURA!BP69="","",IF(AND(ISNUMBER(CAPTURA!BP69),CAPTURA!BP69&gt;=0,CAPTURA!BP69&lt;=4),CAPTURA!BP69*25,"⚠"))</f>
        <v/>
      </c>
      <c r="AL69" t="str">
        <f>IF(CAPTURA!BQ69="","",IF(AND(ISNUMBER(CAPTURA!BQ69),CAPTURA!BQ69&gt;=0,CAPTURA!BQ69&lt;=4),CAPTURA!BQ69*25,"⚠"))</f>
        <v/>
      </c>
      <c r="AM69" t="str">
        <f>IF(CAPTURA!BR69="","",IFERROR(IF(INDEX(CODIFICACION!$E$2:$E$500,MATCH("D5.18b|"&amp;CAPTURA!BR69,CODIFICACION!$F$2:$F$500,0))="sin dato","",INDEX(CODIFICACION!$E$2:$E$500,MATCH("D5.18b|"&amp;CAPTURA!BR69,CODIFICACION!$F$2:$F$500,0))),"⚠"))</f>
        <v/>
      </c>
      <c r="AN69" t="str">
        <f>IF(CAPTURA!BS69="","",IFERROR(IF(INDEX(CODIFICACION!$E$2:$E$500,MATCH("D5.19|"&amp;CAPTURA!BS69,CODIFICACION!$F$2:$F$500,0))="sin dato","",INDEX(CODIFICACION!$E$2:$E$500,MATCH("D5.19|"&amp;CAPTURA!BS69,CODIFICACION!$F$2:$F$500,0))),"⚠"))</f>
        <v/>
      </c>
      <c r="AO69" t="str">
        <f>IF(CAPTURA!BT69="","",MIN(100,ROUND((LEN(CAPTURA!BT69)-LEN(SUBSTITUTE(CAPTURA!BT69,";",""))+1)/7*100,1)))</f>
        <v/>
      </c>
      <c r="AP69" t="str">
        <f>IF(CAPTURA!BU69="","",IFERROR(IF(INDEX(CODIFICACION!$E$2:$E$500,MATCH("D5.20|"&amp;CAPTURA!BU69,CODIFICACION!$F$2:$F$500,0))="sin dato","",INDEX(CODIFICACION!$E$2:$E$500,MATCH("D5.20|"&amp;CAPTURA!BU69,CODIFICACION!$F$2:$F$500,0))),"⚠"))</f>
        <v/>
      </c>
      <c r="AQ69" t="str">
        <f>IF(CAPTURA!BV69="","",IFERROR(IF(INDEX(CODIFICACION!$E$2:$E$500,MATCH("D5.21|"&amp;CAPTURA!BV69,CODIFICACION!$F$2:$F$500,0))="sin dato","",INDEX(CODIFICACION!$E$2:$E$500,MATCH("D5.21|"&amp;CAPTURA!BV69,CODIFICACION!$F$2:$F$500,0))),"⚠"))</f>
        <v/>
      </c>
      <c r="AR69" t="str">
        <f>IF(CAPTURA!BW69="","",IFERROR(IF(INDEX(CODIFICACION!$E$2:$E$500,MATCH("D5.21a|"&amp;CAPTURA!BW69,CODIFICACION!$F$2:$F$500,0))="sin dato","",INDEX(CODIFICACION!$E$2:$E$500,MATCH("D5.21a|"&amp;CAPTURA!BW69,CODIFICACION!$F$2:$F$500,0))),"⚠"))</f>
        <v/>
      </c>
      <c r="AS69" t="str">
        <f>IF(CAPTURA!BX69="","",IFERROR(IF(INDEX(CODIFICACION!$E$2:$E$500,MATCH("D5.21b|"&amp;CAPTURA!BX69,CODIFICACION!$F$2:$F$500,0))="sin dato","",INDEX(CODIFICACION!$E$2:$E$500,MATCH("D5.21b|"&amp;CAPTURA!BX69,CODIFICACION!$F$2:$F$500,0))),"⚠"))</f>
        <v/>
      </c>
      <c r="AT69" t="str">
        <f>IF(CAPTURA!BY69="","",IFERROR(IF(INDEX(CODIFICACION!$E$2:$E$500,MATCH("D6.22|"&amp;CAPTURA!BY69,CODIFICACION!$F$2:$F$500,0))="sin dato","",INDEX(CODIFICACION!$E$2:$E$500,MATCH("D6.22|"&amp;CAPTURA!BY69,CODIFICACION!$F$2:$F$500,0))),"⚠"))</f>
        <v/>
      </c>
      <c r="AU69" t="str">
        <f>IF(CAPTURA!BZ69="","",IFERROR(IF(INDEX(CODIFICACION!$E$2:$E$500,MATCH("D6.22a|"&amp;CAPTURA!BZ69,CODIFICACION!$F$2:$F$500,0))="sin dato","",INDEX(CODIFICACION!$E$2:$E$500,MATCH("D6.22a|"&amp;CAPTURA!BZ69,CODIFICACION!$F$2:$F$500,0))),"⚠"))</f>
        <v/>
      </c>
      <c r="AV69" t="str">
        <f>IF(CAPTURA!CA69="","",IFERROR(IF(INDEX(CODIFICACION!$E$2:$E$500,MATCH("D6.22b|"&amp;CAPTURA!CA69,CODIFICACION!$F$2:$F$500,0))="sin dato","",INDEX(CODIFICACION!$E$2:$E$500,MATCH("D6.22b|"&amp;CAPTURA!CA69,CODIFICACION!$F$2:$F$500,0))),"⚠"))</f>
        <v/>
      </c>
      <c r="AW69" t="str">
        <f>IF(CAPTURA!CB69="","",IFERROR(IF(INDEX(CODIFICACION!$E$2:$E$500,MATCH("D6.23|"&amp;CAPTURA!CB69,CODIFICACION!$F$2:$F$500,0))="sin dato","",INDEX(CODIFICACION!$E$2:$E$500,MATCH("D6.23|"&amp;CAPTURA!CB69,CODIFICACION!$F$2:$F$500,0))),"⚠"))</f>
        <v/>
      </c>
      <c r="AX69" t="str">
        <f>IF(CAPTURA!CC69="","",IFERROR(IF(INDEX(CODIFICACION!$E$2:$E$500,MATCH("D6.24|"&amp;CAPTURA!CC69,CODIFICACION!$F$2:$F$500,0))="sin dato","",INDEX(CODIFICACION!$E$2:$E$500,MATCH("D6.24|"&amp;CAPTURA!CC69,CODIFICACION!$F$2:$F$500,0))),"⚠"))</f>
        <v/>
      </c>
      <c r="AY69" t="str">
        <f>IF(CAPTURA!CD69="","",IFERROR(IF(INDEX(CODIFICACION!$E$2:$E$500,MATCH("D6.25|"&amp;CAPTURA!CD69,CODIFICACION!$F$2:$F$500,0))="sin dato","",INDEX(CODIFICACION!$E$2:$E$500,MATCH("D6.25|"&amp;CAPTURA!CD69,CODIFICACION!$F$2:$F$500,0))),"⚠"))</f>
        <v/>
      </c>
      <c r="AZ69" t="str">
        <f>IF(CAPTURA!CE69="","",IFERROR(IF(INDEX(CODIFICACION!$E$2:$E$500,MATCH("D6.25a|"&amp;CAPTURA!CE69,CODIFICACION!$F$2:$F$500,0))="sin dato","",INDEX(CODIFICACION!$E$2:$E$500,MATCH("D6.25a|"&amp;CAPTURA!CE69,CODIFICACION!$F$2:$F$500,0))),"⚠"))</f>
        <v/>
      </c>
      <c r="BA69" t="str">
        <f>IF(CAPTURA!CF69="","",IFERROR(IF(INDEX(CODIFICACION!$E$2:$E$500,MATCH("D6.25b|"&amp;CAPTURA!CF69,CODIFICACION!$F$2:$F$500,0))="sin dato","",INDEX(CODIFICACION!$E$2:$E$500,MATCH("D6.25b|"&amp;CAPTURA!CF69,CODIFICACION!$F$2:$F$500,0))),"⚠"))</f>
        <v/>
      </c>
      <c r="BB69" t="str">
        <f>IF(CAPTURA!CG69="","",IFERROR(IF(INDEX(CODIFICACION!$E$2:$E$500,MATCH("D6.22c|"&amp;CAPTURA!CG69,CODIFICACION!$F$2:$F$500,0))="sin dato","",INDEX(CODIFICACION!$E$2:$E$500,MATCH("D6.22c|"&amp;CAPTURA!CG69,CODIFICACION!$F$2:$F$500,0))),"⚠"))</f>
        <v/>
      </c>
      <c r="BC69" t="str">
        <f>IF(CAPTURA!CH69="","",IFERROR(IF(INDEX(CODIFICACION!$E$2:$E$500,MATCH("D7.26|"&amp;CAPTURA!CH69,CODIFICACION!$F$2:$F$500,0))="sin dato","",INDEX(CODIFICACION!$E$2:$E$500,MATCH("D7.26|"&amp;CAPTURA!CH69,CODIFICACION!$F$2:$F$500,0))),"⚠"))</f>
        <v/>
      </c>
      <c r="BD69" t="str">
        <f>IF(CAPTURA!CI69="","",IFERROR(IF(INDEX(CODIFICACION!$E$2:$E$500,MATCH("D7.27|"&amp;CAPTURA!CI69,CODIFICACION!$F$2:$F$500,0))="sin dato","",INDEX(CODIFICACION!$E$2:$E$500,MATCH("D7.27|"&amp;CAPTURA!CI69,CODIFICACION!$F$2:$F$500,0))),"⚠"))</f>
        <v/>
      </c>
      <c r="BE69" t="str">
        <f>IF(CAPTURA!CJ69="","",IFERROR(IF(INDEX(CODIFICACION!$E$2:$E$500,MATCH("D7.28|"&amp;CAPTURA!CJ69,CODIFICACION!$F$2:$F$500,0))="sin dato","",INDEX(CODIFICACION!$E$2:$E$500,MATCH("D7.28|"&amp;CAPTURA!CJ69,CODIFICACION!$F$2:$F$500,0))),"⚠"))</f>
        <v/>
      </c>
      <c r="BF69" t="str">
        <f>IF(CAPTURA!CK69="","",IFERROR(IF(INDEX(CODIFICACION!$E$2:$E$500,MATCH("D7.28b|"&amp;CAPTURA!CK69,CODIFICACION!$F$2:$F$500,0))="sin dato","",INDEX(CODIFICACION!$E$2:$E$500,MATCH("D7.28b|"&amp;CAPTURA!CK69,CODIFICACION!$F$2:$F$500,0))),"⚠"))</f>
        <v/>
      </c>
      <c r="BG69" t="str">
        <f>IF(CAPTURA!CL69="","",MIN(100,ROUND((LEN(CAPTURA!CL69)-LEN(SUBSTITUTE(CAPTURA!CL69,";",""))+1)/8*100,1)))</f>
        <v/>
      </c>
      <c r="BH69" t="str">
        <f>IF(CAPTURA!CM69="","",IFERROR(IF(INDEX(CODIFICACION!$E$2:$E$500,MATCH("D7.26a|"&amp;CAPTURA!CM69,CODIFICACION!$F$2:$F$500,0))="sin dato","",INDEX(CODIFICACION!$E$2:$E$500,MATCH("D7.26a|"&amp;CAPTURA!CM69,CODIFICACION!$F$2:$F$500,0))),"⚠"))</f>
        <v/>
      </c>
      <c r="BI69" t="str">
        <f>IF(CAPTURA!CN69="","",IFERROR(IF(INDEX(CODIFICACION!$E$2:$E$500,MATCH("D7.26b|"&amp;CAPTURA!CN69,CODIFICACION!$F$2:$F$500,0))="sin dato","",INDEX(CODIFICACION!$E$2:$E$500,MATCH("D7.26b|"&amp;CAPTURA!CN69,CODIFICACION!$F$2:$F$500,0))),"⚠"))</f>
        <v/>
      </c>
      <c r="BJ69" t="str">
        <f>IF(CAPTURA!CO69="","",IF(AND(ISNUMBER(CAPTURA!CO69),CAPTURA!CO69&gt;=0,CAPTURA!CO69&lt;=4),CAPTURA!CO69*25,"⚠"))</f>
        <v/>
      </c>
      <c r="BK69" t="str">
        <f>IF(CAPTURA!CP69="","",IF(ISNUMBER(CAPTURA!CP69),MAX(0,MIN(100,CAPTURA!CP69)),"⚠"))</f>
        <v/>
      </c>
      <c r="BL69" t="str">
        <f>IF(CAPTURA!CQ69="","",IFERROR(IF(INDEX(CODIFICACION!$E$2:$E$500,MATCH("D8.31|"&amp;CAPTURA!CQ69,CODIFICACION!$F$2:$F$500,0))="sin dato","",INDEX(CODIFICACION!$E$2:$E$500,MATCH("D8.31|"&amp;CAPTURA!CQ69,CODIFICACION!$F$2:$F$500,0))),"⚠"))</f>
        <v/>
      </c>
      <c r="BM69" t="str">
        <f>IF(CAPTURA!CR69="","",IFERROR(IF(INDEX(CODIFICACION!$E$2:$E$500,MATCH("D8.32|"&amp;CAPTURA!CR69,CODIFICACION!$F$2:$F$500,0))="sin dato","",INDEX(CODIFICACION!$E$2:$E$500,MATCH("D8.32|"&amp;CAPTURA!CR69,CODIFICACION!$F$2:$F$500,0))),"⚠"))</f>
        <v/>
      </c>
      <c r="BN69" t="str">
        <f>IF(CAPTURA!CS69="","",IFERROR(IF(INDEX(CODIFICACION!$E$2:$E$500,MATCH("D9.33|"&amp;CAPTURA!CS69,CODIFICACION!$F$2:$F$500,0))="sin dato","",INDEX(CODIFICACION!$E$2:$E$500,MATCH("D9.33|"&amp;CAPTURA!CS69,CODIFICACION!$F$2:$F$500,0))),"⚠"))</f>
        <v/>
      </c>
      <c r="BO69" t="str">
        <f>IF(CAPTURA!CT69="","",IFERROR(IF(INDEX(CODIFICACION!$E$2:$E$500,MATCH("D9.34|"&amp;CAPTURA!CT69,CODIFICACION!$F$2:$F$500,0))="sin dato","",INDEX(CODIFICACION!$E$2:$E$500,MATCH("D9.34|"&amp;CAPTURA!CT69,CODIFICACION!$F$2:$F$500,0))),"⚠"))</f>
        <v/>
      </c>
      <c r="BP69" t="str">
        <f>IF(CAPTURA!CU69="","",IFERROR(IF(INDEX(CODIFICACION!$E$2:$E$500,MATCH("D9.35|"&amp;CAPTURA!CU69,CODIFICACION!$F$2:$F$500,0))="sin dato","",INDEX(CODIFICACION!$E$2:$E$500,MATCH("D9.35|"&amp;CAPTURA!CU69,CODIFICACION!$F$2:$F$500,0))),"⚠"))</f>
        <v/>
      </c>
      <c r="BQ69" t="str">
        <f>IF(CAPTURA!CV69="","",IFERROR(IF(INDEX(CODIFICACION!$E$2:$E$500,MATCH("D10.36|"&amp;CAPTURA!CV69,CODIFICACION!$F$2:$F$500,0))="sin dato","",INDEX(CODIFICACION!$E$2:$E$500,MATCH("D10.36|"&amp;CAPTURA!CV69,CODIFICACION!$F$2:$F$500,0))),"⚠"))</f>
        <v/>
      </c>
      <c r="BR69" t="str">
        <f>IF(CAPTURA!CW69="","",IFERROR(IF(INDEX(CODIFICACION!$E$2:$E$500,MATCH("D10.37|"&amp;CAPTURA!CW69,CODIFICACION!$F$2:$F$500,0))="sin dato","",INDEX(CODIFICACION!$E$2:$E$500,MATCH("D10.37|"&amp;CAPTURA!CW69,CODIFICACION!$F$2:$F$500,0))),"⚠"))</f>
        <v/>
      </c>
      <c r="BS69" t="str">
        <f>IF(CAPTURA!CX69="","",IFERROR(IF(INDEX(CODIFICACION!$E$2:$E$500,MATCH("D10.36a|"&amp;CAPTURA!CX69,CODIFICACION!$F$2:$F$500,0))="sin dato","",INDEX(CODIFICACION!$E$2:$E$500,MATCH("D10.36a|"&amp;CAPTURA!CX69,CODIFICACION!$F$2:$F$500,0))),"⚠"))</f>
        <v/>
      </c>
      <c r="BT69" t="str">
        <f>IF(CAPTURA!CY69="","",IF(ISNUMBER(SEARCH("Ninguno",CAPTURA!CY69)),0,MIN(100,ROUND((LEN(CAPTURA!CY69)-LEN(SUBSTITUTE(CAPTURA!CY69,";",""))+1)/6*100,1))))</f>
        <v/>
      </c>
      <c r="BU69" t="str">
        <f>IF(CAPTURA!DA69="","",IFERROR(IF(INDEX(CODIFICACION!$E$2:$E$500,MATCH("D11.39a|"&amp;CAPTURA!DA69,CODIFICACION!$F$2:$F$500,0))="sin dato","",INDEX(CODIFICACION!$E$2:$E$500,MATCH("D11.39a|"&amp;CAPTURA!DA69,CODIFICACION!$F$2:$F$500,0))),"⚠"))</f>
        <v/>
      </c>
      <c r="BV69" t="str">
        <f>IF(CAPTURA!DB69="","",IFERROR(IF(INDEX(CODIFICACION!$E$2:$E$500,MATCH("D12.42|"&amp;CAPTURA!DB69,CODIFICACION!$F$2:$F$500,0))="sin dato","",INDEX(CODIFICACION!$E$2:$E$500,MATCH("D12.42|"&amp;CAPTURA!DB69,CODIFICACION!$F$2:$F$500,0))),"⚠"))</f>
        <v/>
      </c>
      <c r="BW69" t="str">
        <f>IF(CAPTURA!DC69="","",IFERROR(IF(INDEX(CODIFICACION!$E$2:$E$500,MATCH("D13.45|"&amp;CAPTURA!DC69,CODIFICACION!$F$2:$F$500,0))="sin dato","",INDEX(CODIFICACION!$E$2:$E$500,MATCH("D13.45|"&amp;CAPTURA!DC69,CODIFICACION!$F$2:$F$500,0))),"⚠"))</f>
        <v/>
      </c>
      <c r="BX69" t="str">
        <f>IF(CAPTURA!DD69="","",IFERROR(IF(INDEX(CODIFICACION!$E$2:$E$500,MATCH("D14.51|"&amp;CAPTURA!DD69,CODIFICACION!$F$2:$F$500,0))="sin dato","",INDEX(CODIFICACION!$E$2:$E$500,MATCH("D14.51|"&amp;CAPTURA!DD69,CODIFICACION!$F$2:$F$500,0))),"⚠"))</f>
        <v/>
      </c>
      <c r="BY69" t="str">
        <f>IF(CAPTURA!DE69="","",IFERROR(IF(INDEX(CODIFICACION!$E$2:$E$500,MATCH("D15.58|"&amp;CAPTURA!DE69,CODIFICACION!$F$2:$F$500,0))="sin dato","",INDEX(CODIFICACION!$E$2:$E$500,MATCH("D15.58|"&amp;CAPTURA!DE69,CODIFICACION!$F$2:$F$500,0))),"⚠"))</f>
        <v/>
      </c>
      <c r="BZ69" t="str">
        <f>IF(CAPTURA!DF69="","",IFERROR(IF(INDEX(CODIFICACION!$E$2:$E$500,MATCH("PP1|"&amp;CAPTURA!DF69,CODIFICACION!$F$2:$F$500,0))="sin dato","",INDEX(CODIFICACION!$E$2:$E$500,MATCH("PP1|"&amp;CAPTURA!DF69,CODIFICACION!$F$2:$F$500,0))),"⚠"))</f>
        <v/>
      </c>
      <c r="CA69" t="str">
        <f>IF(CAPTURA!DG69="","",IFERROR(IF(INDEX(CODIFICACION!$E$2:$E$500,MATCH("PP2|"&amp;CAPTURA!DG69,CODIFICACION!$F$2:$F$500,0))="sin dato","",INDEX(CODIFICACION!$E$2:$E$500,MATCH("PP2|"&amp;CAPTURA!DG69,CODIFICACION!$F$2:$F$500,0))),"⚠"))</f>
        <v/>
      </c>
      <c r="CB69" t="str">
        <f t="shared" si="22"/>
        <v/>
      </c>
      <c r="CC69" t="str">
        <f t="shared" si="23"/>
        <v/>
      </c>
      <c r="CD69" t="str">
        <f t="shared" si="24"/>
        <v/>
      </c>
      <c r="CE69" t="str">
        <f t="shared" si="25"/>
        <v/>
      </c>
      <c r="CF69" t="str">
        <f t="shared" si="26"/>
        <v/>
      </c>
      <c r="CG69" t="str">
        <f t="shared" si="27"/>
        <v/>
      </c>
      <c r="CH69" t="str">
        <f t="shared" si="28"/>
        <v/>
      </c>
      <c r="CI69" t="str">
        <f t="shared" si="29"/>
        <v/>
      </c>
      <c r="CJ69" t="str">
        <f t="shared" si="30"/>
        <v/>
      </c>
      <c r="CK69" t="str">
        <f t="shared" si="31"/>
        <v/>
      </c>
      <c r="CL69" t="str">
        <f t="shared" si="32"/>
        <v/>
      </c>
    </row>
    <row r="70" spans="1:90" x14ac:dyDescent="0.3">
      <c r="A70">
        <f>CAPTURA!A70</f>
        <v>20542209951</v>
      </c>
      <c r="B70">
        <f>CAPTURA!C70</f>
        <v>0</v>
      </c>
      <c r="C70" t="str">
        <f>IF(CAPTURA!M70="","",ROUND((ISNUMBER(SEARCH("Alemania",CAPTURA!M70))+ISNUMBER(SEARCH("Bélgica",CAPTURA!M70))+ISNUMBER(SEARCH("Países Bajos",CAPTURA!M70))+ISNUMBER(SEARCH("Francia",CAPTURA!M70))+ISNUMBER(SEARCH("Italia",CAPTURA!M70))+ISNUMBER(SEARCH("España",CAPTURA!M70))+ISNUMBER(SEARCH("Suecia",CAPTURA!M70))+ISNUMBER(SEARCH("Dinamarca",CAPTURA!M70)))/((LEN(CAPTURA!M70)-LEN(SUBSTITUTE(CAPTURA!M70,";","")))+1)*100,1))</f>
        <v/>
      </c>
      <c r="D70" t="str">
        <f>IF(CAPTURA!AE70="","",IFERROR(IF(INDEX(CODIFICACION!$E$2:$E$500,MATCH("P8|"&amp;CAPTURA!AE70,CODIFICACION!$F$2:$F$500,0))="sin dato","",INDEX(CODIFICACION!$E$2:$E$500,MATCH("P8|"&amp;CAPTURA!AE70,CODIFICACION!$F$2:$F$500,0))),"⚠"))</f>
        <v/>
      </c>
      <c r="E70" t="str">
        <f>IF(CAPTURA!AG70="","",IFERROR(IF(INDEX(CODIFICACION!$E$2:$E$500,MATCH("P10|"&amp;CAPTURA!AG70,CODIFICACION!$F$2:$F$500,0))="sin dato","",INDEX(CODIFICACION!$E$2:$E$500,MATCH("P10|"&amp;CAPTURA!AG70,CODIFICACION!$F$2:$F$500,0))),"⚠"))</f>
        <v/>
      </c>
      <c r="F70" t="str">
        <f>IF(CAPTURA!AJ70="","",IFERROR(IF(INDEX(CODIFICACION!$E$2:$E$500,MATCH("P13|"&amp;CAPTURA!AJ70,CODIFICACION!$F$2:$F$500,0))="sin dato","",INDEX(CODIFICACION!$E$2:$E$500,MATCH("P13|"&amp;CAPTURA!AJ70,CODIFICACION!$F$2:$F$500,0))),"⚠"))</f>
        <v/>
      </c>
      <c r="G70" t="str">
        <f>IF(CAPTURA!AK70="","",IFERROR(IF(INDEX(CODIFICACION!$E$2:$E$500,MATCH("P14|"&amp;CAPTURA!AK70,CODIFICACION!$F$2:$F$500,0))="sin dato","",INDEX(CODIFICACION!$E$2:$E$500,MATCH("P14|"&amp;CAPTURA!AK70,CODIFICACION!$F$2:$F$500,0))),"⚠"))</f>
        <v/>
      </c>
      <c r="H70" t="str">
        <f>IF(CAPTURA!AL70="","",IFERROR(IF(INDEX(CODIFICACION!$E$2:$E$500,MATCH("D1.1|"&amp;CAPTURA!AL70,CODIFICACION!$F$2:$F$500,0))="sin dato","",INDEX(CODIFICACION!$E$2:$E$500,MATCH("D1.1|"&amp;CAPTURA!AL70,CODIFICACION!$F$2:$F$500,0))),"⚠"))</f>
        <v/>
      </c>
      <c r="I70" t="str">
        <f>IF(CAPTURA!AN70="","",IFERROR(IF(INDEX(CODIFICACION!$E$2:$E$500,MATCH("D1.3|"&amp;CAPTURA!AN70,CODIFICACION!$F$2:$F$500,0))="sin dato","",INDEX(CODIFICACION!$E$2:$E$500,MATCH("D1.3|"&amp;CAPTURA!AN70,CODIFICACION!$F$2:$F$500,0))),"⚠"))</f>
        <v/>
      </c>
      <c r="J70" t="str">
        <f>IF(CAPTURA!AO70="","",IFERROR(IF(INDEX(CODIFICACION!$E$2:$E$500,MATCH("D1.4|"&amp;CAPTURA!AO70,CODIFICACION!$F$2:$F$500,0))="sin dato","",INDEX(CODIFICACION!$E$2:$E$500,MATCH("D1.4|"&amp;CAPTURA!AO70,CODIFICACION!$F$2:$F$500,0))),"⚠"))</f>
        <v/>
      </c>
      <c r="K70" t="str">
        <f>IF(CAPTURA!AP70="","",IFERROR(IF(INDEX(CODIFICACION!$E$2:$E$500,MATCH("D1.3a|"&amp;CAPTURA!AP70,CODIFICACION!$F$2:$F$500,0))="sin dato","",INDEX(CODIFICACION!$E$2:$E$500,MATCH("D1.3a|"&amp;CAPTURA!AP70,CODIFICACION!$F$2:$F$500,0))),"⚠"))</f>
        <v/>
      </c>
      <c r="L70" t="str">
        <f>IF(CAPTURA!AQ70="","",IF(AND(ISNUMBER(CAPTURA!AQ70),CAPTURA!AQ70&gt;=0,CAPTURA!AQ70&lt;=4),CAPTURA!AQ70*25,"⚠"))</f>
        <v/>
      </c>
      <c r="M70" t="str">
        <f>IF(CAPTURA!AR70="","",IF(ISNUMBER(CAPTURA!AR70),MAX(0,MIN(100,CAPTURA!AR70)),"⚠"))</f>
        <v/>
      </c>
      <c r="N70" t="str">
        <f>IF(CAPTURA!AS70="","",IF(AND(ISNUMBER(CAPTURA!AS70),CAPTURA!AS70&gt;=0,CAPTURA!AS70&lt;=4),CAPTURA!AS70*25,"⚠"))</f>
        <v/>
      </c>
      <c r="O70" t="str">
        <f>IF(CAPTURA!AT70="","",IFERROR(IF(INDEX(CODIFICACION!$E$2:$E$500,MATCH("D2.8|"&amp;CAPTURA!AT70,CODIFICACION!$F$2:$F$500,0))="sin dato","",INDEX(CODIFICACION!$E$2:$E$500,MATCH("D2.8|"&amp;CAPTURA!AT70,CODIFICACION!$F$2:$F$500,0))),"⚠"))</f>
        <v/>
      </c>
      <c r="P70" t="str">
        <f>IF(CAPTURA!AU70="","",IFERROR(IF(INDEX(CODIFICACION!$E$2:$E$500,MATCH("D2.9|"&amp;CAPTURA!AU70,CODIFICACION!$F$2:$F$500,0))="sin dato","",INDEX(CODIFICACION!$E$2:$E$500,MATCH("D2.9|"&amp;CAPTURA!AU70,CODIFICACION!$F$2:$F$500,0))),"⚠"))</f>
        <v/>
      </c>
      <c r="Q70" t="str">
        <f>IF(CAPTURA!AV70="","",IFERROR(IF(INDEX(CODIFICACION!$E$2:$E$500,MATCH("D2.10|"&amp;CAPTURA!AV70,CODIFICACION!$F$2:$F$500,0))="sin dato","",INDEX(CODIFICACION!$E$2:$E$500,MATCH("D2.10|"&amp;CAPTURA!AV70,CODIFICACION!$F$2:$F$500,0))),"⚠"))</f>
        <v/>
      </c>
      <c r="R70" t="str">
        <f>IF(CAPTURA!AW70="","",IFERROR(IF(INDEX(CODIFICACION!$E$2:$E$500,MATCH("D2.5a|"&amp;CAPTURA!AW70,CODIFICACION!$F$2:$F$500,0))="sin dato","",INDEX(CODIFICACION!$E$2:$E$500,MATCH("D2.5a|"&amp;CAPTURA!AW70,CODIFICACION!$F$2:$F$500,0))),"⚠"))</f>
        <v/>
      </c>
      <c r="S70" t="str">
        <f>IF(CAPTURA!AX70="","",IFERROR(IF(INDEX(CODIFICACION!$E$2:$E$500,MATCH("D2.5b|"&amp;CAPTURA!AX70,CODIFICACION!$F$2:$F$500,0))="sin dato","",INDEX(CODIFICACION!$E$2:$E$500,MATCH("D2.5b|"&amp;CAPTURA!AX70,CODIFICACION!$F$2:$F$500,0))),"⚠"))</f>
        <v/>
      </c>
      <c r="T70" t="str">
        <f>IF(CAPTURA!AY70="","",IF(ISNUMBER(CAPTURA!AY70),MAX(0,MIN(100,CAPTURA!AY70)),"⚠"))</f>
        <v/>
      </c>
      <c r="U70" t="str">
        <f>IF(CAPTURA!AZ70="","",IFERROR(IF(INDEX(CODIFICACION!$E$2:$E$500,MATCH("D3.12|"&amp;CAPTURA!AZ70,CODIFICACION!$F$2:$F$500,0))="sin dato","",INDEX(CODIFICACION!$E$2:$E$500,MATCH("D3.12|"&amp;CAPTURA!AZ70,CODIFICACION!$F$2:$F$500,0))),"⚠"))</f>
        <v/>
      </c>
      <c r="V70" t="str">
        <f>IF(CAPTURA!BA70="","",IF(AND(ISNUMBER(CAPTURA!BA70),CAPTURA!BA70&gt;=0,CAPTURA!BA70&lt;=4),CAPTURA!BA70*25,"⚠"))</f>
        <v/>
      </c>
      <c r="W70" t="str">
        <f>IF(CAPTURA!BB70="","",IFERROR(IF(INDEX(CODIFICACION!$E$2:$E$500,MATCH("D3.14|"&amp;CAPTURA!BB70,CODIFICACION!$F$2:$F$500,0))="sin dato","",INDEX(CODIFICACION!$E$2:$E$500,MATCH("D3.14|"&amp;CAPTURA!BB70,CODIFICACION!$F$2:$F$500,0))),"⚠"))</f>
        <v/>
      </c>
      <c r="X70" t="str">
        <f>IF(CAPTURA!BC70="","",IFERROR(IF(INDEX(CODIFICACION!$E$2:$E$500,MATCH("D3.14a|"&amp;CAPTURA!BC70,CODIFICACION!$F$2:$F$500,0))="sin dato","",INDEX(CODIFICACION!$E$2:$E$500,MATCH("D3.14a|"&amp;CAPTURA!BC70,CODIFICACION!$F$2:$F$500,0))),"⚠"))</f>
        <v/>
      </c>
      <c r="Y70" t="str">
        <f>IF(CAPTURA!BD70="","",IFERROR(IF(INDEX(CODIFICACION!$E$2:$E$500,MATCH("D3.14b|"&amp;CAPTURA!BD70,CODIFICACION!$F$2:$F$500,0))="sin dato","",INDEX(CODIFICACION!$E$2:$E$500,MATCH("D3.14b|"&amp;CAPTURA!BD70,CODIFICACION!$F$2:$F$500,0))),"⚠"))</f>
        <v/>
      </c>
      <c r="Z70" t="str">
        <f>IF(CAPTURA!BE70="","",IFERROR(IF(INDEX(CODIFICACION!$E$2:$E$500,MATCH("D3.14c|"&amp;CAPTURA!BE70,CODIFICACION!$F$2:$F$500,0))="sin dato","",INDEX(CODIFICACION!$E$2:$E$500,MATCH("D3.14c|"&amp;CAPTURA!BE70,CODIFICACION!$F$2:$F$500,0))),"⚠"))</f>
        <v/>
      </c>
      <c r="AA70" t="str">
        <f>IF(CAPTURA!BF70="","",IFERROR(IF(INDEX(CODIFICACION!$E$2:$E$500,MATCH("D3.14d|"&amp;CAPTURA!BF70,CODIFICACION!$F$2:$F$500,0))="sin dato","",INDEX(CODIFICACION!$E$2:$E$500,MATCH("D3.14d|"&amp;CAPTURA!BF70,CODIFICACION!$F$2:$F$500,0))),"⚠"))</f>
        <v/>
      </c>
      <c r="AB70" t="str">
        <f>IF(CAPTURA!BG70="","",IFERROR(IF(INDEX(CODIFICACION!$E$2:$E$500,MATCH("D3.14e|"&amp;CAPTURA!BG70,CODIFICACION!$F$2:$F$500,0))="sin dato","",INDEX(CODIFICACION!$E$2:$E$500,MATCH("D3.14e|"&amp;CAPTURA!BG70,CODIFICACION!$F$2:$F$500,0))),"⚠"))</f>
        <v/>
      </c>
      <c r="AC70" t="str">
        <f>IF(CAPTURA!BH70="","",IFERROR(IF(INDEX(CODIFICACION!$E$2:$E$500,MATCH("D3.14f|"&amp;CAPTURA!BH70,CODIFICACION!$F$2:$F$500,0))="sin dato","",INDEX(CODIFICACION!$E$2:$E$500,MATCH("D3.14f|"&amp;CAPTURA!BH70,CODIFICACION!$F$2:$F$500,0))),"⚠"))</f>
        <v/>
      </c>
      <c r="AD70" t="str">
        <f>IF(CAPTURA!BI70="","",IFERROR(IF(INDEX(CODIFICACION!$E$2:$E$500,MATCH("D3.14g|"&amp;CAPTURA!BI70,CODIFICACION!$F$2:$F$500,0))="sin dato","",INDEX(CODIFICACION!$E$2:$E$500,MATCH("D3.14g|"&amp;CAPTURA!BI70,CODIFICACION!$F$2:$F$500,0))),"⚠"))</f>
        <v/>
      </c>
      <c r="AE70" t="str">
        <f>IF(CAPTURA!BJ70="","",IFERROR(IF(INDEX(CODIFICACION!$E$2:$E$500,MATCH("D3.14h|"&amp;CAPTURA!BJ70,CODIFICACION!$F$2:$F$500,0))="sin dato","",INDEX(CODIFICACION!$E$2:$E$500,MATCH("D3.14h|"&amp;CAPTURA!BJ70,CODIFICACION!$F$2:$F$500,0))),"⚠"))</f>
        <v/>
      </c>
      <c r="AF70" t="str">
        <f>IF(CAPTURA!BK70="","",IFERROR(IF(INDEX(CODIFICACION!$E$2:$E$500,MATCH("D3.14i|"&amp;CAPTURA!BK70,CODIFICACION!$F$2:$F$500,0))="sin dato","",INDEX(CODIFICACION!$E$2:$E$500,MATCH("D3.14i|"&amp;CAPTURA!BK70,CODIFICACION!$F$2:$F$500,0))),"⚠"))</f>
        <v/>
      </c>
      <c r="AG70" t="str">
        <f>IF(CAPTURA!BL70="","",IFERROR(IF(INDEX(CODIFICACION!$E$2:$E$500,MATCH("D4.15|"&amp;CAPTURA!BL70,CODIFICACION!$F$2:$F$500,0))="sin dato","",INDEX(CODIFICACION!$E$2:$E$500,MATCH("D4.15|"&amp;CAPTURA!BL70,CODIFICACION!$F$2:$F$500,0))),"⚠"))</f>
        <v/>
      </c>
      <c r="AH70" t="str">
        <f>IF(CAPTURA!BM70="","",IF(AND(ISNUMBER(CAPTURA!BM70),CAPTURA!BM70&gt;=0,CAPTURA!BM70&lt;=4),CAPTURA!BM70*25,"⚠"))</f>
        <v/>
      </c>
      <c r="AI70" t="str">
        <f>IF(CAPTURA!BN70="","",IFERROR(IF(INDEX(CODIFICACION!$E$2:$E$500,MATCH("D4.17|"&amp;CAPTURA!BN70,CODIFICACION!$F$2:$F$500,0))="sin dato","",INDEX(CODIFICACION!$E$2:$E$500,MATCH("D4.17|"&amp;CAPTURA!BN70,CODIFICACION!$F$2:$F$500,0))),"⚠"))</f>
        <v/>
      </c>
      <c r="AJ70" t="str">
        <f>IF(CAPTURA!BO70="","",IFERROR(IF(INDEX(CODIFICACION!$E$2:$E$500,MATCH("D4.15a|"&amp;CAPTURA!BO70,CODIFICACION!$F$2:$F$500,0))="sin dato","",INDEX(CODIFICACION!$E$2:$E$500,MATCH("D4.15a|"&amp;CAPTURA!BO70,CODIFICACION!$F$2:$F$500,0))),"⚠"))</f>
        <v/>
      </c>
      <c r="AK70" t="str">
        <f>IF(CAPTURA!BP70="","",IF(AND(ISNUMBER(CAPTURA!BP70),CAPTURA!BP70&gt;=0,CAPTURA!BP70&lt;=4),CAPTURA!BP70*25,"⚠"))</f>
        <v/>
      </c>
      <c r="AL70" t="str">
        <f>IF(CAPTURA!BQ70="","",IF(AND(ISNUMBER(CAPTURA!BQ70),CAPTURA!BQ70&gt;=0,CAPTURA!BQ70&lt;=4),CAPTURA!BQ70*25,"⚠"))</f>
        <v/>
      </c>
      <c r="AM70" t="str">
        <f>IF(CAPTURA!BR70="","",IFERROR(IF(INDEX(CODIFICACION!$E$2:$E$500,MATCH("D5.18b|"&amp;CAPTURA!BR70,CODIFICACION!$F$2:$F$500,0))="sin dato","",INDEX(CODIFICACION!$E$2:$E$500,MATCH("D5.18b|"&amp;CAPTURA!BR70,CODIFICACION!$F$2:$F$500,0))),"⚠"))</f>
        <v/>
      </c>
      <c r="AN70" t="str">
        <f>IF(CAPTURA!BS70="","",IFERROR(IF(INDEX(CODIFICACION!$E$2:$E$500,MATCH("D5.19|"&amp;CAPTURA!BS70,CODIFICACION!$F$2:$F$500,0))="sin dato","",INDEX(CODIFICACION!$E$2:$E$500,MATCH("D5.19|"&amp;CAPTURA!BS70,CODIFICACION!$F$2:$F$500,0))),"⚠"))</f>
        <v/>
      </c>
      <c r="AO70" t="str">
        <f>IF(CAPTURA!BT70="","",MIN(100,ROUND((LEN(CAPTURA!BT70)-LEN(SUBSTITUTE(CAPTURA!BT70,";",""))+1)/7*100,1)))</f>
        <v/>
      </c>
      <c r="AP70" t="str">
        <f>IF(CAPTURA!BU70="","",IFERROR(IF(INDEX(CODIFICACION!$E$2:$E$500,MATCH("D5.20|"&amp;CAPTURA!BU70,CODIFICACION!$F$2:$F$500,0))="sin dato","",INDEX(CODIFICACION!$E$2:$E$500,MATCH("D5.20|"&amp;CAPTURA!BU70,CODIFICACION!$F$2:$F$500,0))),"⚠"))</f>
        <v/>
      </c>
      <c r="AQ70" t="str">
        <f>IF(CAPTURA!BV70="","",IFERROR(IF(INDEX(CODIFICACION!$E$2:$E$500,MATCH("D5.21|"&amp;CAPTURA!BV70,CODIFICACION!$F$2:$F$500,0))="sin dato","",INDEX(CODIFICACION!$E$2:$E$500,MATCH("D5.21|"&amp;CAPTURA!BV70,CODIFICACION!$F$2:$F$500,0))),"⚠"))</f>
        <v/>
      </c>
      <c r="AR70" t="str">
        <f>IF(CAPTURA!BW70="","",IFERROR(IF(INDEX(CODIFICACION!$E$2:$E$500,MATCH("D5.21a|"&amp;CAPTURA!BW70,CODIFICACION!$F$2:$F$500,0))="sin dato","",INDEX(CODIFICACION!$E$2:$E$500,MATCH("D5.21a|"&amp;CAPTURA!BW70,CODIFICACION!$F$2:$F$500,0))),"⚠"))</f>
        <v/>
      </c>
      <c r="AS70" t="str">
        <f>IF(CAPTURA!BX70="","",IFERROR(IF(INDEX(CODIFICACION!$E$2:$E$500,MATCH("D5.21b|"&amp;CAPTURA!BX70,CODIFICACION!$F$2:$F$500,0))="sin dato","",INDEX(CODIFICACION!$E$2:$E$500,MATCH("D5.21b|"&amp;CAPTURA!BX70,CODIFICACION!$F$2:$F$500,0))),"⚠"))</f>
        <v/>
      </c>
      <c r="AT70" t="str">
        <f>IF(CAPTURA!BY70="","",IFERROR(IF(INDEX(CODIFICACION!$E$2:$E$500,MATCH("D6.22|"&amp;CAPTURA!BY70,CODIFICACION!$F$2:$F$500,0))="sin dato","",INDEX(CODIFICACION!$E$2:$E$500,MATCH("D6.22|"&amp;CAPTURA!BY70,CODIFICACION!$F$2:$F$500,0))),"⚠"))</f>
        <v/>
      </c>
      <c r="AU70" t="str">
        <f>IF(CAPTURA!BZ70="","",IFERROR(IF(INDEX(CODIFICACION!$E$2:$E$500,MATCH("D6.22a|"&amp;CAPTURA!BZ70,CODIFICACION!$F$2:$F$500,0))="sin dato","",INDEX(CODIFICACION!$E$2:$E$500,MATCH("D6.22a|"&amp;CAPTURA!BZ70,CODIFICACION!$F$2:$F$500,0))),"⚠"))</f>
        <v/>
      </c>
      <c r="AV70" t="str">
        <f>IF(CAPTURA!CA70="","",IFERROR(IF(INDEX(CODIFICACION!$E$2:$E$500,MATCH("D6.22b|"&amp;CAPTURA!CA70,CODIFICACION!$F$2:$F$500,0))="sin dato","",INDEX(CODIFICACION!$E$2:$E$500,MATCH("D6.22b|"&amp;CAPTURA!CA70,CODIFICACION!$F$2:$F$500,0))),"⚠"))</f>
        <v/>
      </c>
      <c r="AW70" t="str">
        <f>IF(CAPTURA!CB70="","",IFERROR(IF(INDEX(CODIFICACION!$E$2:$E$500,MATCH("D6.23|"&amp;CAPTURA!CB70,CODIFICACION!$F$2:$F$500,0))="sin dato","",INDEX(CODIFICACION!$E$2:$E$500,MATCH("D6.23|"&amp;CAPTURA!CB70,CODIFICACION!$F$2:$F$500,0))),"⚠"))</f>
        <v/>
      </c>
      <c r="AX70" t="str">
        <f>IF(CAPTURA!CC70="","",IFERROR(IF(INDEX(CODIFICACION!$E$2:$E$500,MATCH("D6.24|"&amp;CAPTURA!CC70,CODIFICACION!$F$2:$F$500,0))="sin dato","",INDEX(CODIFICACION!$E$2:$E$500,MATCH("D6.24|"&amp;CAPTURA!CC70,CODIFICACION!$F$2:$F$500,0))),"⚠"))</f>
        <v/>
      </c>
      <c r="AY70" t="str">
        <f>IF(CAPTURA!CD70="","",IFERROR(IF(INDEX(CODIFICACION!$E$2:$E$500,MATCH("D6.25|"&amp;CAPTURA!CD70,CODIFICACION!$F$2:$F$500,0))="sin dato","",INDEX(CODIFICACION!$E$2:$E$500,MATCH("D6.25|"&amp;CAPTURA!CD70,CODIFICACION!$F$2:$F$500,0))),"⚠"))</f>
        <v/>
      </c>
      <c r="AZ70" t="str">
        <f>IF(CAPTURA!CE70="","",IFERROR(IF(INDEX(CODIFICACION!$E$2:$E$500,MATCH("D6.25a|"&amp;CAPTURA!CE70,CODIFICACION!$F$2:$F$500,0))="sin dato","",INDEX(CODIFICACION!$E$2:$E$500,MATCH("D6.25a|"&amp;CAPTURA!CE70,CODIFICACION!$F$2:$F$500,0))),"⚠"))</f>
        <v/>
      </c>
      <c r="BA70" t="str">
        <f>IF(CAPTURA!CF70="","",IFERROR(IF(INDEX(CODIFICACION!$E$2:$E$500,MATCH("D6.25b|"&amp;CAPTURA!CF70,CODIFICACION!$F$2:$F$500,0))="sin dato","",INDEX(CODIFICACION!$E$2:$E$500,MATCH("D6.25b|"&amp;CAPTURA!CF70,CODIFICACION!$F$2:$F$500,0))),"⚠"))</f>
        <v/>
      </c>
      <c r="BB70" t="str">
        <f>IF(CAPTURA!CG70="","",IFERROR(IF(INDEX(CODIFICACION!$E$2:$E$500,MATCH("D6.22c|"&amp;CAPTURA!CG70,CODIFICACION!$F$2:$F$500,0))="sin dato","",INDEX(CODIFICACION!$E$2:$E$500,MATCH("D6.22c|"&amp;CAPTURA!CG70,CODIFICACION!$F$2:$F$500,0))),"⚠"))</f>
        <v/>
      </c>
      <c r="BC70" t="str">
        <f>IF(CAPTURA!CH70="","",IFERROR(IF(INDEX(CODIFICACION!$E$2:$E$500,MATCH("D7.26|"&amp;CAPTURA!CH70,CODIFICACION!$F$2:$F$500,0))="sin dato","",INDEX(CODIFICACION!$E$2:$E$500,MATCH("D7.26|"&amp;CAPTURA!CH70,CODIFICACION!$F$2:$F$500,0))),"⚠"))</f>
        <v/>
      </c>
      <c r="BD70" t="str">
        <f>IF(CAPTURA!CI70="","",IFERROR(IF(INDEX(CODIFICACION!$E$2:$E$500,MATCH("D7.27|"&amp;CAPTURA!CI70,CODIFICACION!$F$2:$F$500,0))="sin dato","",INDEX(CODIFICACION!$E$2:$E$500,MATCH("D7.27|"&amp;CAPTURA!CI70,CODIFICACION!$F$2:$F$500,0))),"⚠"))</f>
        <v/>
      </c>
      <c r="BE70" t="str">
        <f>IF(CAPTURA!CJ70="","",IFERROR(IF(INDEX(CODIFICACION!$E$2:$E$500,MATCH("D7.28|"&amp;CAPTURA!CJ70,CODIFICACION!$F$2:$F$500,0))="sin dato","",INDEX(CODIFICACION!$E$2:$E$500,MATCH("D7.28|"&amp;CAPTURA!CJ70,CODIFICACION!$F$2:$F$500,0))),"⚠"))</f>
        <v/>
      </c>
      <c r="BF70" t="str">
        <f>IF(CAPTURA!CK70="","",IFERROR(IF(INDEX(CODIFICACION!$E$2:$E$500,MATCH("D7.28b|"&amp;CAPTURA!CK70,CODIFICACION!$F$2:$F$500,0))="sin dato","",INDEX(CODIFICACION!$E$2:$E$500,MATCH("D7.28b|"&amp;CAPTURA!CK70,CODIFICACION!$F$2:$F$500,0))),"⚠"))</f>
        <v/>
      </c>
      <c r="BG70" t="str">
        <f>IF(CAPTURA!CL70="","",MIN(100,ROUND((LEN(CAPTURA!CL70)-LEN(SUBSTITUTE(CAPTURA!CL70,";",""))+1)/8*100,1)))</f>
        <v/>
      </c>
      <c r="BH70" t="str">
        <f>IF(CAPTURA!CM70="","",IFERROR(IF(INDEX(CODIFICACION!$E$2:$E$500,MATCH("D7.26a|"&amp;CAPTURA!CM70,CODIFICACION!$F$2:$F$500,0))="sin dato","",INDEX(CODIFICACION!$E$2:$E$500,MATCH("D7.26a|"&amp;CAPTURA!CM70,CODIFICACION!$F$2:$F$500,0))),"⚠"))</f>
        <v/>
      </c>
      <c r="BI70" t="str">
        <f>IF(CAPTURA!CN70="","",IFERROR(IF(INDEX(CODIFICACION!$E$2:$E$500,MATCH("D7.26b|"&amp;CAPTURA!CN70,CODIFICACION!$F$2:$F$500,0))="sin dato","",INDEX(CODIFICACION!$E$2:$E$500,MATCH("D7.26b|"&amp;CAPTURA!CN70,CODIFICACION!$F$2:$F$500,0))),"⚠"))</f>
        <v/>
      </c>
      <c r="BJ70" t="str">
        <f>IF(CAPTURA!CO70="","",IF(AND(ISNUMBER(CAPTURA!CO70),CAPTURA!CO70&gt;=0,CAPTURA!CO70&lt;=4),CAPTURA!CO70*25,"⚠"))</f>
        <v/>
      </c>
      <c r="BK70" t="str">
        <f>IF(CAPTURA!CP70="","",IF(ISNUMBER(CAPTURA!CP70),MAX(0,MIN(100,CAPTURA!CP70)),"⚠"))</f>
        <v/>
      </c>
      <c r="BL70" t="str">
        <f>IF(CAPTURA!CQ70="","",IFERROR(IF(INDEX(CODIFICACION!$E$2:$E$500,MATCH("D8.31|"&amp;CAPTURA!CQ70,CODIFICACION!$F$2:$F$500,0))="sin dato","",INDEX(CODIFICACION!$E$2:$E$500,MATCH("D8.31|"&amp;CAPTURA!CQ70,CODIFICACION!$F$2:$F$500,0))),"⚠"))</f>
        <v/>
      </c>
      <c r="BM70" t="str">
        <f>IF(CAPTURA!CR70="","",IFERROR(IF(INDEX(CODIFICACION!$E$2:$E$500,MATCH("D8.32|"&amp;CAPTURA!CR70,CODIFICACION!$F$2:$F$500,0))="sin dato","",INDEX(CODIFICACION!$E$2:$E$500,MATCH("D8.32|"&amp;CAPTURA!CR70,CODIFICACION!$F$2:$F$500,0))),"⚠"))</f>
        <v/>
      </c>
      <c r="BN70" t="str">
        <f>IF(CAPTURA!CS70="","",IFERROR(IF(INDEX(CODIFICACION!$E$2:$E$500,MATCH("D9.33|"&amp;CAPTURA!CS70,CODIFICACION!$F$2:$F$500,0))="sin dato","",INDEX(CODIFICACION!$E$2:$E$500,MATCH("D9.33|"&amp;CAPTURA!CS70,CODIFICACION!$F$2:$F$500,0))),"⚠"))</f>
        <v/>
      </c>
      <c r="BO70" t="str">
        <f>IF(CAPTURA!CT70="","",IFERROR(IF(INDEX(CODIFICACION!$E$2:$E$500,MATCH("D9.34|"&amp;CAPTURA!CT70,CODIFICACION!$F$2:$F$500,0))="sin dato","",INDEX(CODIFICACION!$E$2:$E$500,MATCH("D9.34|"&amp;CAPTURA!CT70,CODIFICACION!$F$2:$F$500,0))),"⚠"))</f>
        <v/>
      </c>
      <c r="BP70" t="str">
        <f>IF(CAPTURA!CU70="","",IFERROR(IF(INDEX(CODIFICACION!$E$2:$E$500,MATCH("D9.35|"&amp;CAPTURA!CU70,CODIFICACION!$F$2:$F$500,0))="sin dato","",INDEX(CODIFICACION!$E$2:$E$500,MATCH("D9.35|"&amp;CAPTURA!CU70,CODIFICACION!$F$2:$F$500,0))),"⚠"))</f>
        <v/>
      </c>
      <c r="BQ70" t="str">
        <f>IF(CAPTURA!CV70="","",IFERROR(IF(INDEX(CODIFICACION!$E$2:$E$500,MATCH("D10.36|"&amp;CAPTURA!CV70,CODIFICACION!$F$2:$F$500,0))="sin dato","",INDEX(CODIFICACION!$E$2:$E$500,MATCH("D10.36|"&amp;CAPTURA!CV70,CODIFICACION!$F$2:$F$500,0))),"⚠"))</f>
        <v/>
      </c>
      <c r="BR70" t="str">
        <f>IF(CAPTURA!CW70="","",IFERROR(IF(INDEX(CODIFICACION!$E$2:$E$500,MATCH("D10.37|"&amp;CAPTURA!CW70,CODIFICACION!$F$2:$F$500,0))="sin dato","",INDEX(CODIFICACION!$E$2:$E$500,MATCH("D10.37|"&amp;CAPTURA!CW70,CODIFICACION!$F$2:$F$500,0))),"⚠"))</f>
        <v/>
      </c>
      <c r="BS70" t="str">
        <f>IF(CAPTURA!CX70="","",IFERROR(IF(INDEX(CODIFICACION!$E$2:$E$500,MATCH("D10.36a|"&amp;CAPTURA!CX70,CODIFICACION!$F$2:$F$500,0))="sin dato","",INDEX(CODIFICACION!$E$2:$E$500,MATCH("D10.36a|"&amp;CAPTURA!CX70,CODIFICACION!$F$2:$F$500,0))),"⚠"))</f>
        <v/>
      </c>
      <c r="BT70" t="str">
        <f>IF(CAPTURA!CY70="","",IF(ISNUMBER(SEARCH("Ninguno",CAPTURA!CY70)),0,MIN(100,ROUND((LEN(CAPTURA!CY70)-LEN(SUBSTITUTE(CAPTURA!CY70,";",""))+1)/6*100,1))))</f>
        <v/>
      </c>
      <c r="BU70" t="str">
        <f>IF(CAPTURA!DA70="","",IFERROR(IF(INDEX(CODIFICACION!$E$2:$E$500,MATCH("D11.39a|"&amp;CAPTURA!DA70,CODIFICACION!$F$2:$F$500,0))="sin dato","",INDEX(CODIFICACION!$E$2:$E$500,MATCH("D11.39a|"&amp;CAPTURA!DA70,CODIFICACION!$F$2:$F$500,0))),"⚠"))</f>
        <v/>
      </c>
      <c r="BV70" t="str">
        <f>IF(CAPTURA!DB70="","",IFERROR(IF(INDEX(CODIFICACION!$E$2:$E$500,MATCH("D12.42|"&amp;CAPTURA!DB70,CODIFICACION!$F$2:$F$500,0))="sin dato","",INDEX(CODIFICACION!$E$2:$E$500,MATCH("D12.42|"&amp;CAPTURA!DB70,CODIFICACION!$F$2:$F$500,0))),"⚠"))</f>
        <v/>
      </c>
      <c r="BW70" t="str">
        <f>IF(CAPTURA!DC70="","",IFERROR(IF(INDEX(CODIFICACION!$E$2:$E$500,MATCH("D13.45|"&amp;CAPTURA!DC70,CODIFICACION!$F$2:$F$500,0))="sin dato","",INDEX(CODIFICACION!$E$2:$E$500,MATCH("D13.45|"&amp;CAPTURA!DC70,CODIFICACION!$F$2:$F$500,0))),"⚠"))</f>
        <v/>
      </c>
      <c r="BX70" t="str">
        <f>IF(CAPTURA!DD70="","",IFERROR(IF(INDEX(CODIFICACION!$E$2:$E$500,MATCH("D14.51|"&amp;CAPTURA!DD70,CODIFICACION!$F$2:$F$500,0))="sin dato","",INDEX(CODIFICACION!$E$2:$E$500,MATCH("D14.51|"&amp;CAPTURA!DD70,CODIFICACION!$F$2:$F$500,0))),"⚠"))</f>
        <v/>
      </c>
      <c r="BY70" t="str">
        <f>IF(CAPTURA!DE70="","",IFERROR(IF(INDEX(CODIFICACION!$E$2:$E$500,MATCH("D15.58|"&amp;CAPTURA!DE70,CODIFICACION!$F$2:$F$500,0))="sin dato","",INDEX(CODIFICACION!$E$2:$E$500,MATCH("D15.58|"&amp;CAPTURA!DE70,CODIFICACION!$F$2:$F$500,0))),"⚠"))</f>
        <v/>
      </c>
      <c r="BZ70" t="str">
        <f>IF(CAPTURA!DF70="","",IFERROR(IF(INDEX(CODIFICACION!$E$2:$E$500,MATCH("PP1|"&amp;CAPTURA!DF70,CODIFICACION!$F$2:$F$500,0))="sin dato","",INDEX(CODIFICACION!$E$2:$E$500,MATCH("PP1|"&amp;CAPTURA!DF70,CODIFICACION!$F$2:$F$500,0))),"⚠"))</f>
        <v/>
      </c>
      <c r="CA70" t="str">
        <f>IF(CAPTURA!DG70="","",IFERROR(IF(INDEX(CODIFICACION!$E$2:$E$500,MATCH("PP2|"&amp;CAPTURA!DG70,CODIFICACION!$F$2:$F$500,0))="sin dato","",INDEX(CODIFICACION!$E$2:$E$500,MATCH("PP2|"&amp;CAPTURA!DG70,CODIFICACION!$F$2:$F$500,0))),"⚠"))</f>
        <v/>
      </c>
      <c r="CB70" t="str">
        <f t="shared" si="22"/>
        <v/>
      </c>
      <c r="CC70" t="str">
        <f t="shared" si="23"/>
        <v/>
      </c>
      <c r="CD70" t="str">
        <f t="shared" si="24"/>
        <v/>
      </c>
      <c r="CE70" t="str">
        <f t="shared" si="25"/>
        <v/>
      </c>
      <c r="CF70" t="str">
        <f t="shared" si="26"/>
        <v/>
      </c>
      <c r="CG70" t="str">
        <f t="shared" si="27"/>
        <v/>
      </c>
      <c r="CH70" t="str">
        <f t="shared" si="28"/>
        <v/>
      </c>
      <c r="CI70" t="str">
        <f t="shared" si="29"/>
        <v/>
      </c>
      <c r="CJ70" t="str">
        <f t="shared" si="30"/>
        <v/>
      </c>
      <c r="CK70" t="str">
        <f t="shared" si="31"/>
        <v/>
      </c>
      <c r="CL70" t="str">
        <f t="shared" si="32"/>
        <v/>
      </c>
    </row>
    <row r="71" spans="1:90" x14ac:dyDescent="0.3">
      <c r="A71">
        <f>CAPTURA!A71</f>
        <v>20542251990</v>
      </c>
      <c r="B71">
        <f>CAPTURA!C71</f>
        <v>0</v>
      </c>
      <c r="C71" t="str">
        <f>IF(CAPTURA!M71="","",ROUND((ISNUMBER(SEARCH("Alemania",CAPTURA!M71))+ISNUMBER(SEARCH("Bélgica",CAPTURA!M71))+ISNUMBER(SEARCH("Países Bajos",CAPTURA!M71))+ISNUMBER(SEARCH("Francia",CAPTURA!M71))+ISNUMBER(SEARCH("Italia",CAPTURA!M71))+ISNUMBER(SEARCH("España",CAPTURA!M71))+ISNUMBER(SEARCH("Suecia",CAPTURA!M71))+ISNUMBER(SEARCH("Dinamarca",CAPTURA!M71)))/((LEN(CAPTURA!M71)-LEN(SUBSTITUTE(CAPTURA!M71,";","")))+1)*100,1))</f>
        <v/>
      </c>
      <c r="D71" t="str">
        <f>IF(CAPTURA!AE71="","",IFERROR(IF(INDEX(CODIFICACION!$E$2:$E$500,MATCH("P8|"&amp;CAPTURA!AE71,CODIFICACION!$F$2:$F$500,0))="sin dato","",INDEX(CODIFICACION!$E$2:$E$500,MATCH("P8|"&amp;CAPTURA!AE71,CODIFICACION!$F$2:$F$500,0))),"⚠"))</f>
        <v/>
      </c>
      <c r="E71" t="str">
        <f>IF(CAPTURA!AG71="","",IFERROR(IF(INDEX(CODIFICACION!$E$2:$E$500,MATCH("P10|"&amp;CAPTURA!AG71,CODIFICACION!$F$2:$F$500,0))="sin dato","",INDEX(CODIFICACION!$E$2:$E$500,MATCH("P10|"&amp;CAPTURA!AG71,CODIFICACION!$F$2:$F$500,0))),"⚠"))</f>
        <v/>
      </c>
      <c r="F71" t="str">
        <f>IF(CAPTURA!AJ71="","",IFERROR(IF(INDEX(CODIFICACION!$E$2:$E$500,MATCH("P13|"&amp;CAPTURA!AJ71,CODIFICACION!$F$2:$F$500,0))="sin dato","",INDEX(CODIFICACION!$E$2:$E$500,MATCH("P13|"&amp;CAPTURA!AJ71,CODIFICACION!$F$2:$F$500,0))),"⚠"))</f>
        <v/>
      </c>
      <c r="G71" t="str">
        <f>IF(CAPTURA!AK71="","",IFERROR(IF(INDEX(CODIFICACION!$E$2:$E$500,MATCH("P14|"&amp;CAPTURA!AK71,CODIFICACION!$F$2:$F$500,0))="sin dato","",INDEX(CODIFICACION!$E$2:$E$500,MATCH("P14|"&amp;CAPTURA!AK71,CODIFICACION!$F$2:$F$500,0))),"⚠"))</f>
        <v/>
      </c>
      <c r="H71" t="str">
        <f>IF(CAPTURA!AL71="","",IFERROR(IF(INDEX(CODIFICACION!$E$2:$E$500,MATCH("D1.1|"&amp;CAPTURA!AL71,CODIFICACION!$F$2:$F$500,0))="sin dato","",INDEX(CODIFICACION!$E$2:$E$500,MATCH("D1.1|"&amp;CAPTURA!AL71,CODIFICACION!$F$2:$F$500,0))),"⚠"))</f>
        <v/>
      </c>
      <c r="I71" t="str">
        <f>IF(CAPTURA!AN71="","",IFERROR(IF(INDEX(CODIFICACION!$E$2:$E$500,MATCH("D1.3|"&amp;CAPTURA!AN71,CODIFICACION!$F$2:$F$500,0))="sin dato","",INDEX(CODIFICACION!$E$2:$E$500,MATCH("D1.3|"&amp;CAPTURA!AN71,CODIFICACION!$F$2:$F$500,0))),"⚠"))</f>
        <v/>
      </c>
      <c r="J71" t="str">
        <f>IF(CAPTURA!AO71="","",IFERROR(IF(INDEX(CODIFICACION!$E$2:$E$500,MATCH("D1.4|"&amp;CAPTURA!AO71,CODIFICACION!$F$2:$F$500,0))="sin dato","",INDEX(CODIFICACION!$E$2:$E$500,MATCH("D1.4|"&amp;CAPTURA!AO71,CODIFICACION!$F$2:$F$500,0))),"⚠"))</f>
        <v/>
      </c>
      <c r="K71" t="str">
        <f>IF(CAPTURA!AP71="","",IFERROR(IF(INDEX(CODIFICACION!$E$2:$E$500,MATCH("D1.3a|"&amp;CAPTURA!AP71,CODIFICACION!$F$2:$F$500,0))="sin dato","",INDEX(CODIFICACION!$E$2:$E$500,MATCH("D1.3a|"&amp;CAPTURA!AP71,CODIFICACION!$F$2:$F$500,0))),"⚠"))</f>
        <v/>
      </c>
      <c r="L71" t="str">
        <f>IF(CAPTURA!AQ71="","",IF(AND(ISNUMBER(CAPTURA!AQ71),CAPTURA!AQ71&gt;=0,CAPTURA!AQ71&lt;=4),CAPTURA!AQ71*25,"⚠"))</f>
        <v/>
      </c>
      <c r="M71" t="str">
        <f>IF(CAPTURA!AR71="","",IF(ISNUMBER(CAPTURA!AR71),MAX(0,MIN(100,CAPTURA!AR71)),"⚠"))</f>
        <v/>
      </c>
      <c r="N71" t="str">
        <f>IF(CAPTURA!AS71="","",IF(AND(ISNUMBER(CAPTURA!AS71),CAPTURA!AS71&gt;=0,CAPTURA!AS71&lt;=4),CAPTURA!AS71*25,"⚠"))</f>
        <v/>
      </c>
      <c r="O71" t="str">
        <f>IF(CAPTURA!AT71="","",IFERROR(IF(INDEX(CODIFICACION!$E$2:$E$500,MATCH("D2.8|"&amp;CAPTURA!AT71,CODIFICACION!$F$2:$F$500,0))="sin dato","",INDEX(CODIFICACION!$E$2:$E$500,MATCH("D2.8|"&amp;CAPTURA!AT71,CODIFICACION!$F$2:$F$500,0))),"⚠"))</f>
        <v/>
      </c>
      <c r="P71" t="str">
        <f>IF(CAPTURA!AU71="","",IFERROR(IF(INDEX(CODIFICACION!$E$2:$E$500,MATCH("D2.9|"&amp;CAPTURA!AU71,CODIFICACION!$F$2:$F$500,0))="sin dato","",INDEX(CODIFICACION!$E$2:$E$500,MATCH("D2.9|"&amp;CAPTURA!AU71,CODIFICACION!$F$2:$F$500,0))),"⚠"))</f>
        <v/>
      </c>
      <c r="Q71" t="str">
        <f>IF(CAPTURA!AV71="","",IFERROR(IF(INDEX(CODIFICACION!$E$2:$E$500,MATCH("D2.10|"&amp;CAPTURA!AV71,CODIFICACION!$F$2:$F$500,0))="sin dato","",INDEX(CODIFICACION!$E$2:$E$500,MATCH("D2.10|"&amp;CAPTURA!AV71,CODIFICACION!$F$2:$F$500,0))),"⚠"))</f>
        <v/>
      </c>
      <c r="R71" t="str">
        <f>IF(CAPTURA!AW71="","",IFERROR(IF(INDEX(CODIFICACION!$E$2:$E$500,MATCH("D2.5a|"&amp;CAPTURA!AW71,CODIFICACION!$F$2:$F$500,0))="sin dato","",INDEX(CODIFICACION!$E$2:$E$500,MATCH("D2.5a|"&amp;CAPTURA!AW71,CODIFICACION!$F$2:$F$500,0))),"⚠"))</f>
        <v/>
      </c>
      <c r="S71" t="str">
        <f>IF(CAPTURA!AX71="","",IFERROR(IF(INDEX(CODIFICACION!$E$2:$E$500,MATCH("D2.5b|"&amp;CAPTURA!AX71,CODIFICACION!$F$2:$F$500,0))="sin dato","",INDEX(CODIFICACION!$E$2:$E$500,MATCH("D2.5b|"&amp;CAPTURA!AX71,CODIFICACION!$F$2:$F$500,0))),"⚠"))</f>
        <v/>
      </c>
      <c r="T71" t="str">
        <f>IF(CAPTURA!AY71="","",IF(ISNUMBER(CAPTURA!AY71),MAX(0,MIN(100,CAPTURA!AY71)),"⚠"))</f>
        <v/>
      </c>
      <c r="U71" t="str">
        <f>IF(CAPTURA!AZ71="","",IFERROR(IF(INDEX(CODIFICACION!$E$2:$E$500,MATCH("D3.12|"&amp;CAPTURA!AZ71,CODIFICACION!$F$2:$F$500,0))="sin dato","",INDEX(CODIFICACION!$E$2:$E$500,MATCH("D3.12|"&amp;CAPTURA!AZ71,CODIFICACION!$F$2:$F$500,0))),"⚠"))</f>
        <v/>
      </c>
      <c r="V71" t="str">
        <f>IF(CAPTURA!BA71="","",IF(AND(ISNUMBER(CAPTURA!BA71),CAPTURA!BA71&gt;=0,CAPTURA!BA71&lt;=4),CAPTURA!BA71*25,"⚠"))</f>
        <v/>
      </c>
      <c r="W71" t="str">
        <f>IF(CAPTURA!BB71="","",IFERROR(IF(INDEX(CODIFICACION!$E$2:$E$500,MATCH("D3.14|"&amp;CAPTURA!BB71,CODIFICACION!$F$2:$F$500,0))="sin dato","",INDEX(CODIFICACION!$E$2:$E$500,MATCH("D3.14|"&amp;CAPTURA!BB71,CODIFICACION!$F$2:$F$500,0))),"⚠"))</f>
        <v/>
      </c>
      <c r="X71" t="str">
        <f>IF(CAPTURA!BC71="","",IFERROR(IF(INDEX(CODIFICACION!$E$2:$E$500,MATCH("D3.14a|"&amp;CAPTURA!BC71,CODIFICACION!$F$2:$F$500,0))="sin dato","",INDEX(CODIFICACION!$E$2:$E$500,MATCH("D3.14a|"&amp;CAPTURA!BC71,CODIFICACION!$F$2:$F$500,0))),"⚠"))</f>
        <v/>
      </c>
      <c r="Y71" t="str">
        <f>IF(CAPTURA!BD71="","",IFERROR(IF(INDEX(CODIFICACION!$E$2:$E$500,MATCH("D3.14b|"&amp;CAPTURA!BD71,CODIFICACION!$F$2:$F$500,0))="sin dato","",INDEX(CODIFICACION!$E$2:$E$500,MATCH("D3.14b|"&amp;CAPTURA!BD71,CODIFICACION!$F$2:$F$500,0))),"⚠"))</f>
        <v/>
      </c>
      <c r="Z71" t="str">
        <f>IF(CAPTURA!BE71="","",IFERROR(IF(INDEX(CODIFICACION!$E$2:$E$500,MATCH("D3.14c|"&amp;CAPTURA!BE71,CODIFICACION!$F$2:$F$500,0))="sin dato","",INDEX(CODIFICACION!$E$2:$E$500,MATCH("D3.14c|"&amp;CAPTURA!BE71,CODIFICACION!$F$2:$F$500,0))),"⚠"))</f>
        <v/>
      </c>
      <c r="AA71" t="str">
        <f>IF(CAPTURA!BF71="","",IFERROR(IF(INDEX(CODIFICACION!$E$2:$E$500,MATCH("D3.14d|"&amp;CAPTURA!BF71,CODIFICACION!$F$2:$F$500,0))="sin dato","",INDEX(CODIFICACION!$E$2:$E$500,MATCH("D3.14d|"&amp;CAPTURA!BF71,CODIFICACION!$F$2:$F$500,0))),"⚠"))</f>
        <v/>
      </c>
      <c r="AB71" t="str">
        <f>IF(CAPTURA!BG71="","",IFERROR(IF(INDEX(CODIFICACION!$E$2:$E$500,MATCH("D3.14e|"&amp;CAPTURA!BG71,CODIFICACION!$F$2:$F$500,0))="sin dato","",INDEX(CODIFICACION!$E$2:$E$500,MATCH("D3.14e|"&amp;CAPTURA!BG71,CODIFICACION!$F$2:$F$500,0))),"⚠"))</f>
        <v/>
      </c>
      <c r="AC71" t="str">
        <f>IF(CAPTURA!BH71="","",IFERROR(IF(INDEX(CODIFICACION!$E$2:$E$500,MATCH("D3.14f|"&amp;CAPTURA!BH71,CODIFICACION!$F$2:$F$500,0))="sin dato","",INDEX(CODIFICACION!$E$2:$E$500,MATCH("D3.14f|"&amp;CAPTURA!BH71,CODIFICACION!$F$2:$F$500,0))),"⚠"))</f>
        <v/>
      </c>
      <c r="AD71" t="str">
        <f>IF(CAPTURA!BI71="","",IFERROR(IF(INDEX(CODIFICACION!$E$2:$E$500,MATCH("D3.14g|"&amp;CAPTURA!BI71,CODIFICACION!$F$2:$F$500,0))="sin dato","",INDEX(CODIFICACION!$E$2:$E$500,MATCH("D3.14g|"&amp;CAPTURA!BI71,CODIFICACION!$F$2:$F$500,0))),"⚠"))</f>
        <v/>
      </c>
      <c r="AE71" t="str">
        <f>IF(CAPTURA!BJ71="","",IFERROR(IF(INDEX(CODIFICACION!$E$2:$E$500,MATCH("D3.14h|"&amp;CAPTURA!BJ71,CODIFICACION!$F$2:$F$500,0))="sin dato","",INDEX(CODIFICACION!$E$2:$E$500,MATCH("D3.14h|"&amp;CAPTURA!BJ71,CODIFICACION!$F$2:$F$500,0))),"⚠"))</f>
        <v/>
      </c>
      <c r="AF71" t="str">
        <f>IF(CAPTURA!BK71="","",IFERROR(IF(INDEX(CODIFICACION!$E$2:$E$500,MATCH("D3.14i|"&amp;CAPTURA!BK71,CODIFICACION!$F$2:$F$500,0))="sin dato","",INDEX(CODIFICACION!$E$2:$E$500,MATCH("D3.14i|"&amp;CAPTURA!BK71,CODIFICACION!$F$2:$F$500,0))),"⚠"))</f>
        <v/>
      </c>
      <c r="AG71" t="str">
        <f>IF(CAPTURA!BL71="","",IFERROR(IF(INDEX(CODIFICACION!$E$2:$E$500,MATCH("D4.15|"&amp;CAPTURA!BL71,CODIFICACION!$F$2:$F$500,0))="sin dato","",INDEX(CODIFICACION!$E$2:$E$500,MATCH("D4.15|"&amp;CAPTURA!BL71,CODIFICACION!$F$2:$F$500,0))),"⚠"))</f>
        <v/>
      </c>
      <c r="AH71" t="str">
        <f>IF(CAPTURA!BM71="","",IF(AND(ISNUMBER(CAPTURA!BM71),CAPTURA!BM71&gt;=0,CAPTURA!BM71&lt;=4),CAPTURA!BM71*25,"⚠"))</f>
        <v/>
      </c>
      <c r="AI71" t="str">
        <f>IF(CAPTURA!BN71="","",IFERROR(IF(INDEX(CODIFICACION!$E$2:$E$500,MATCH("D4.17|"&amp;CAPTURA!BN71,CODIFICACION!$F$2:$F$500,0))="sin dato","",INDEX(CODIFICACION!$E$2:$E$500,MATCH("D4.17|"&amp;CAPTURA!BN71,CODIFICACION!$F$2:$F$500,0))),"⚠"))</f>
        <v/>
      </c>
      <c r="AJ71" t="str">
        <f>IF(CAPTURA!BO71="","",IFERROR(IF(INDEX(CODIFICACION!$E$2:$E$500,MATCH("D4.15a|"&amp;CAPTURA!BO71,CODIFICACION!$F$2:$F$500,0))="sin dato","",INDEX(CODIFICACION!$E$2:$E$500,MATCH("D4.15a|"&amp;CAPTURA!BO71,CODIFICACION!$F$2:$F$500,0))),"⚠"))</f>
        <v/>
      </c>
      <c r="AK71" t="str">
        <f>IF(CAPTURA!BP71="","",IF(AND(ISNUMBER(CAPTURA!BP71),CAPTURA!BP71&gt;=0,CAPTURA!BP71&lt;=4),CAPTURA!BP71*25,"⚠"))</f>
        <v/>
      </c>
      <c r="AL71" t="str">
        <f>IF(CAPTURA!BQ71="","",IF(AND(ISNUMBER(CAPTURA!BQ71),CAPTURA!BQ71&gt;=0,CAPTURA!BQ71&lt;=4),CAPTURA!BQ71*25,"⚠"))</f>
        <v/>
      </c>
      <c r="AM71" t="str">
        <f>IF(CAPTURA!BR71="","",IFERROR(IF(INDEX(CODIFICACION!$E$2:$E$500,MATCH("D5.18b|"&amp;CAPTURA!BR71,CODIFICACION!$F$2:$F$500,0))="sin dato","",INDEX(CODIFICACION!$E$2:$E$500,MATCH("D5.18b|"&amp;CAPTURA!BR71,CODIFICACION!$F$2:$F$500,0))),"⚠"))</f>
        <v/>
      </c>
      <c r="AN71" t="str">
        <f>IF(CAPTURA!BS71="","",IFERROR(IF(INDEX(CODIFICACION!$E$2:$E$500,MATCH("D5.19|"&amp;CAPTURA!BS71,CODIFICACION!$F$2:$F$500,0))="sin dato","",INDEX(CODIFICACION!$E$2:$E$500,MATCH("D5.19|"&amp;CAPTURA!BS71,CODIFICACION!$F$2:$F$500,0))),"⚠"))</f>
        <v/>
      </c>
      <c r="AO71" t="str">
        <f>IF(CAPTURA!BT71="","",MIN(100,ROUND((LEN(CAPTURA!BT71)-LEN(SUBSTITUTE(CAPTURA!BT71,";",""))+1)/7*100,1)))</f>
        <v/>
      </c>
      <c r="AP71" t="str">
        <f>IF(CAPTURA!BU71="","",IFERROR(IF(INDEX(CODIFICACION!$E$2:$E$500,MATCH("D5.20|"&amp;CAPTURA!BU71,CODIFICACION!$F$2:$F$500,0))="sin dato","",INDEX(CODIFICACION!$E$2:$E$500,MATCH("D5.20|"&amp;CAPTURA!BU71,CODIFICACION!$F$2:$F$500,0))),"⚠"))</f>
        <v/>
      </c>
      <c r="AQ71" t="str">
        <f>IF(CAPTURA!BV71="","",IFERROR(IF(INDEX(CODIFICACION!$E$2:$E$500,MATCH("D5.21|"&amp;CAPTURA!BV71,CODIFICACION!$F$2:$F$500,0))="sin dato","",INDEX(CODIFICACION!$E$2:$E$500,MATCH("D5.21|"&amp;CAPTURA!BV71,CODIFICACION!$F$2:$F$500,0))),"⚠"))</f>
        <v/>
      </c>
      <c r="AR71" t="str">
        <f>IF(CAPTURA!BW71="","",IFERROR(IF(INDEX(CODIFICACION!$E$2:$E$500,MATCH("D5.21a|"&amp;CAPTURA!BW71,CODIFICACION!$F$2:$F$500,0))="sin dato","",INDEX(CODIFICACION!$E$2:$E$500,MATCH("D5.21a|"&amp;CAPTURA!BW71,CODIFICACION!$F$2:$F$500,0))),"⚠"))</f>
        <v/>
      </c>
      <c r="AS71" t="str">
        <f>IF(CAPTURA!BX71="","",IFERROR(IF(INDEX(CODIFICACION!$E$2:$E$500,MATCH("D5.21b|"&amp;CAPTURA!BX71,CODIFICACION!$F$2:$F$500,0))="sin dato","",INDEX(CODIFICACION!$E$2:$E$500,MATCH("D5.21b|"&amp;CAPTURA!BX71,CODIFICACION!$F$2:$F$500,0))),"⚠"))</f>
        <v/>
      </c>
      <c r="AT71" t="str">
        <f>IF(CAPTURA!BY71="","",IFERROR(IF(INDEX(CODIFICACION!$E$2:$E$500,MATCH("D6.22|"&amp;CAPTURA!BY71,CODIFICACION!$F$2:$F$500,0))="sin dato","",INDEX(CODIFICACION!$E$2:$E$500,MATCH("D6.22|"&amp;CAPTURA!BY71,CODIFICACION!$F$2:$F$500,0))),"⚠"))</f>
        <v/>
      </c>
      <c r="AU71" t="str">
        <f>IF(CAPTURA!BZ71="","",IFERROR(IF(INDEX(CODIFICACION!$E$2:$E$500,MATCH("D6.22a|"&amp;CAPTURA!BZ71,CODIFICACION!$F$2:$F$500,0))="sin dato","",INDEX(CODIFICACION!$E$2:$E$500,MATCH("D6.22a|"&amp;CAPTURA!BZ71,CODIFICACION!$F$2:$F$500,0))),"⚠"))</f>
        <v/>
      </c>
      <c r="AV71" t="str">
        <f>IF(CAPTURA!CA71="","",IFERROR(IF(INDEX(CODIFICACION!$E$2:$E$500,MATCH("D6.22b|"&amp;CAPTURA!CA71,CODIFICACION!$F$2:$F$500,0))="sin dato","",INDEX(CODIFICACION!$E$2:$E$500,MATCH("D6.22b|"&amp;CAPTURA!CA71,CODIFICACION!$F$2:$F$500,0))),"⚠"))</f>
        <v/>
      </c>
      <c r="AW71" t="str">
        <f>IF(CAPTURA!CB71="","",IFERROR(IF(INDEX(CODIFICACION!$E$2:$E$500,MATCH("D6.23|"&amp;CAPTURA!CB71,CODIFICACION!$F$2:$F$500,0))="sin dato","",INDEX(CODIFICACION!$E$2:$E$500,MATCH("D6.23|"&amp;CAPTURA!CB71,CODIFICACION!$F$2:$F$500,0))),"⚠"))</f>
        <v/>
      </c>
      <c r="AX71" t="str">
        <f>IF(CAPTURA!CC71="","",IFERROR(IF(INDEX(CODIFICACION!$E$2:$E$500,MATCH("D6.24|"&amp;CAPTURA!CC71,CODIFICACION!$F$2:$F$500,0))="sin dato","",INDEX(CODIFICACION!$E$2:$E$500,MATCH("D6.24|"&amp;CAPTURA!CC71,CODIFICACION!$F$2:$F$500,0))),"⚠"))</f>
        <v/>
      </c>
      <c r="AY71" t="str">
        <f>IF(CAPTURA!CD71="","",IFERROR(IF(INDEX(CODIFICACION!$E$2:$E$500,MATCH("D6.25|"&amp;CAPTURA!CD71,CODIFICACION!$F$2:$F$500,0))="sin dato","",INDEX(CODIFICACION!$E$2:$E$500,MATCH("D6.25|"&amp;CAPTURA!CD71,CODIFICACION!$F$2:$F$500,0))),"⚠"))</f>
        <v/>
      </c>
      <c r="AZ71" t="str">
        <f>IF(CAPTURA!CE71="","",IFERROR(IF(INDEX(CODIFICACION!$E$2:$E$500,MATCH("D6.25a|"&amp;CAPTURA!CE71,CODIFICACION!$F$2:$F$500,0))="sin dato","",INDEX(CODIFICACION!$E$2:$E$500,MATCH("D6.25a|"&amp;CAPTURA!CE71,CODIFICACION!$F$2:$F$500,0))),"⚠"))</f>
        <v/>
      </c>
      <c r="BA71" t="str">
        <f>IF(CAPTURA!CF71="","",IFERROR(IF(INDEX(CODIFICACION!$E$2:$E$500,MATCH("D6.25b|"&amp;CAPTURA!CF71,CODIFICACION!$F$2:$F$500,0))="sin dato","",INDEX(CODIFICACION!$E$2:$E$500,MATCH("D6.25b|"&amp;CAPTURA!CF71,CODIFICACION!$F$2:$F$500,0))),"⚠"))</f>
        <v/>
      </c>
      <c r="BB71" t="str">
        <f>IF(CAPTURA!CG71="","",IFERROR(IF(INDEX(CODIFICACION!$E$2:$E$500,MATCH("D6.22c|"&amp;CAPTURA!CG71,CODIFICACION!$F$2:$F$500,0))="sin dato","",INDEX(CODIFICACION!$E$2:$E$500,MATCH("D6.22c|"&amp;CAPTURA!CG71,CODIFICACION!$F$2:$F$500,0))),"⚠"))</f>
        <v/>
      </c>
      <c r="BC71" t="str">
        <f>IF(CAPTURA!CH71="","",IFERROR(IF(INDEX(CODIFICACION!$E$2:$E$500,MATCH("D7.26|"&amp;CAPTURA!CH71,CODIFICACION!$F$2:$F$500,0))="sin dato","",INDEX(CODIFICACION!$E$2:$E$500,MATCH("D7.26|"&amp;CAPTURA!CH71,CODIFICACION!$F$2:$F$500,0))),"⚠"))</f>
        <v/>
      </c>
      <c r="BD71" t="str">
        <f>IF(CAPTURA!CI71="","",IFERROR(IF(INDEX(CODIFICACION!$E$2:$E$500,MATCH("D7.27|"&amp;CAPTURA!CI71,CODIFICACION!$F$2:$F$500,0))="sin dato","",INDEX(CODIFICACION!$E$2:$E$500,MATCH("D7.27|"&amp;CAPTURA!CI71,CODIFICACION!$F$2:$F$500,0))),"⚠"))</f>
        <v/>
      </c>
      <c r="BE71" t="str">
        <f>IF(CAPTURA!CJ71="","",IFERROR(IF(INDEX(CODIFICACION!$E$2:$E$500,MATCH("D7.28|"&amp;CAPTURA!CJ71,CODIFICACION!$F$2:$F$500,0))="sin dato","",INDEX(CODIFICACION!$E$2:$E$500,MATCH("D7.28|"&amp;CAPTURA!CJ71,CODIFICACION!$F$2:$F$500,0))),"⚠"))</f>
        <v/>
      </c>
      <c r="BF71" t="str">
        <f>IF(CAPTURA!CK71="","",IFERROR(IF(INDEX(CODIFICACION!$E$2:$E$500,MATCH("D7.28b|"&amp;CAPTURA!CK71,CODIFICACION!$F$2:$F$500,0))="sin dato","",INDEX(CODIFICACION!$E$2:$E$500,MATCH("D7.28b|"&amp;CAPTURA!CK71,CODIFICACION!$F$2:$F$500,0))),"⚠"))</f>
        <v/>
      </c>
      <c r="BG71" t="str">
        <f>IF(CAPTURA!CL71="","",MIN(100,ROUND((LEN(CAPTURA!CL71)-LEN(SUBSTITUTE(CAPTURA!CL71,";",""))+1)/8*100,1)))</f>
        <v/>
      </c>
      <c r="BH71" t="str">
        <f>IF(CAPTURA!CM71="","",IFERROR(IF(INDEX(CODIFICACION!$E$2:$E$500,MATCH("D7.26a|"&amp;CAPTURA!CM71,CODIFICACION!$F$2:$F$500,0))="sin dato","",INDEX(CODIFICACION!$E$2:$E$500,MATCH("D7.26a|"&amp;CAPTURA!CM71,CODIFICACION!$F$2:$F$500,0))),"⚠"))</f>
        <v/>
      </c>
      <c r="BI71" t="str">
        <f>IF(CAPTURA!CN71="","",IFERROR(IF(INDEX(CODIFICACION!$E$2:$E$500,MATCH("D7.26b|"&amp;CAPTURA!CN71,CODIFICACION!$F$2:$F$500,0))="sin dato","",INDEX(CODIFICACION!$E$2:$E$500,MATCH("D7.26b|"&amp;CAPTURA!CN71,CODIFICACION!$F$2:$F$500,0))),"⚠"))</f>
        <v/>
      </c>
      <c r="BJ71" t="str">
        <f>IF(CAPTURA!CO71="","",IF(AND(ISNUMBER(CAPTURA!CO71),CAPTURA!CO71&gt;=0,CAPTURA!CO71&lt;=4),CAPTURA!CO71*25,"⚠"))</f>
        <v/>
      </c>
      <c r="BK71" t="str">
        <f>IF(CAPTURA!CP71="","",IF(ISNUMBER(CAPTURA!CP71),MAX(0,MIN(100,CAPTURA!CP71)),"⚠"))</f>
        <v/>
      </c>
      <c r="BL71" t="str">
        <f>IF(CAPTURA!CQ71="","",IFERROR(IF(INDEX(CODIFICACION!$E$2:$E$500,MATCH("D8.31|"&amp;CAPTURA!CQ71,CODIFICACION!$F$2:$F$500,0))="sin dato","",INDEX(CODIFICACION!$E$2:$E$500,MATCH("D8.31|"&amp;CAPTURA!CQ71,CODIFICACION!$F$2:$F$500,0))),"⚠"))</f>
        <v/>
      </c>
      <c r="BM71" t="str">
        <f>IF(CAPTURA!CR71="","",IFERROR(IF(INDEX(CODIFICACION!$E$2:$E$500,MATCH("D8.32|"&amp;CAPTURA!CR71,CODIFICACION!$F$2:$F$500,0))="sin dato","",INDEX(CODIFICACION!$E$2:$E$500,MATCH("D8.32|"&amp;CAPTURA!CR71,CODIFICACION!$F$2:$F$500,0))),"⚠"))</f>
        <v/>
      </c>
      <c r="BN71" t="str">
        <f>IF(CAPTURA!CS71="","",IFERROR(IF(INDEX(CODIFICACION!$E$2:$E$500,MATCH("D9.33|"&amp;CAPTURA!CS71,CODIFICACION!$F$2:$F$500,0))="sin dato","",INDEX(CODIFICACION!$E$2:$E$500,MATCH("D9.33|"&amp;CAPTURA!CS71,CODIFICACION!$F$2:$F$500,0))),"⚠"))</f>
        <v/>
      </c>
      <c r="BO71" t="str">
        <f>IF(CAPTURA!CT71="","",IFERROR(IF(INDEX(CODIFICACION!$E$2:$E$500,MATCH("D9.34|"&amp;CAPTURA!CT71,CODIFICACION!$F$2:$F$500,0))="sin dato","",INDEX(CODIFICACION!$E$2:$E$500,MATCH("D9.34|"&amp;CAPTURA!CT71,CODIFICACION!$F$2:$F$500,0))),"⚠"))</f>
        <v/>
      </c>
      <c r="BP71" t="str">
        <f>IF(CAPTURA!CU71="","",IFERROR(IF(INDEX(CODIFICACION!$E$2:$E$500,MATCH("D9.35|"&amp;CAPTURA!CU71,CODIFICACION!$F$2:$F$500,0))="sin dato","",INDEX(CODIFICACION!$E$2:$E$500,MATCH("D9.35|"&amp;CAPTURA!CU71,CODIFICACION!$F$2:$F$500,0))),"⚠"))</f>
        <v/>
      </c>
      <c r="BQ71" t="str">
        <f>IF(CAPTURA!CV71="","",IFERROR(IF(INDEX(CODIFICACION!$E$2:$E$500,MATCH("D10.36|"&amp;CAPTURA!CV71,CODIFICACION!$F$2:$F$500,0))="sin dato","",INDEX(CODIFICACION!$E$2:$E$500,MATCH("D10.36|"&amp;CAPTURA!CV71,CODIFICACION!$F$2:$F$500,0))),"⚠"))</f>
        <v/>
      </c>
      <c r="BR71" t="str">
        <f>IF(CAPTURA!CW71="","",IFERROR(IF(INDEX(CODIFICACION!$E$2:$E$500,MATCH("D10.37|"&amp;CAPTURA!CW71,CODIFICACION!$F$2:$F$500,0))="sin dato","",INDEX(CODIFICACION!$E$2:$E$500,MATCH("D10.37|"&amp;CAPTURA!CW71,CODIFICACION!$F$2:$F$500,0))),"⚠"))</f>
        <v/>
      </c>
      <c r="BS71" t="str">
        <f>IF(CAPTURA!CX71="","",IFERROR(IF(INDEX(CODIFICACION!$E$2:$E$500,MATCH("D10.36a|"&amp;CAPTURA!CX71,CODIFICACION!$F$2:$F$500,0))="sin dato","",INDEX(CODIFICACION!$E$2:$E$500,MATCH("D10.36a|"&amp;CAPTURA!CX71,CODIFICACION!$F$2:$F$500,0))),"⚠"))</f>
        <v/>
      </c>
      <c r="BT71" t="str">
        <f>IF(CAPTURA!CY71="","",IF(ISNUMBER(SEARCH("Ninguno",CAPTURA!CY71)),0,MIN(100,ROUND((LEN(CAPTURA!CY71)-LEN(SUBSTITUTE(CAPTURA!CY71,";",""))+1)/6*100,1))))</f>
        <v/>
      </c>
      <c r="BU71" t="str">
        <f>IF(CAPTURA!DA71="","",IFERROR(IF(INDEX(CODIFICACION!$E$2:$E$500,MATCH("D11.39a|"&amp;CAPTURA!DA71,CODIFICACION!$F$2:$F$500,0))="sin dato","",INDEX(CODIFICACION!$E$2:$E$500,MATCH("D11.39a|"&amp;CAPTURA!DA71,CODIFICACION!$F$2:$F$500,0))),"⚠"))</f>
        <v/>
      </c>
      <c r="BV71" t="str">
        <f>IF(CAPTURA!DB71="","",IFERROR(IF(INDEX(CODIFICACION!$E$2:$E$500,MATCH("D12.42|"&amp;CAPTURA!DB71,CODIFICACION!$F$2:$F$500,0))="sin dato","",INDEX(CODIFICACION!$E$2:$E$500,MATCH("D12.42|"&amp;CAPTURA!DB71,CODIFICACION!$F$2:$F$500,0))),"⚠"))</f>
        <v/>
      </c>
      <c r="BW71" t="str">
        <f>IF(CAPTURA!DC71="","",IFERROR(IF(INDEX(CODIFICACION!$E$2:$E$500,MATCH("D13.45|"&amp;CAPTURA!DC71,CODIFICACION!$F$2:$F$500,0))="sin dato","",INDEX(CODIFICACION!$E$2:$E$500,MATCH("D13.45|"&amp;CAPTURA!DC71,CODIFICACION!$F$2:$F$500,0))),"⚠"))</f>
        <v/>
      </c>
      <c r="BX71" t="str">
        <f>IF(CAPTURA!DD71="","",IFERROR(IF(INDEX(CODIFICACION!$E$2:$E$500,MATCH("D14.51|"&amp;CAPTURA!DD71,CODIFICACION!$F$2:$F$500,0))="sin dato","",INDEX(CODIFICACION!$E$2:$E$500,MATCH("D14.51|"&amp;CAPTURA!DD71,CODIFICACION!$F$2:$F$500,0))),"⚠"))</f>
        <v/>
      </c>
      <c r="BY71" t="str">
        <f>IF(CAPTURA!DE71="","",IFERROR(IF(INDEX(CODIFICACION!$E$2:$E$500,MATCH("D15.58|"&amp;CAPTURA!DE71,CODIFICACION!$F$2:$F$500,0))="sin dato","",INDEX(CODIFICACION!$E$2:$E$500,MATCH("D15.58|"&amp;CAPTURA!DE71,CODIFICACION!$F$2:$F$500,0))),"⚠"))</f>
        <v/>
      </c>
      <c r="BZ71" t="str">
        <f>IF(CAPTURA!DF71="","",IFERROR(IF(INDEX(CODIFICACION!$E$2:$E$500,MATCH("PP1|"&amp;CAPTURA!DF71,CODIFICACION!$F$2:$F$500,0))="sin dato","",INDEX(CODIFICACION!$E$2:$E$500,MATCH("PP1|"&amp;CAPTURA!DF71,CODIFICACION!$F$2:$F$500,0))),"⚠"))</f>
        <v/>
      </c>
      <c r="CA71" t="str">
        <f>IF(CAPTURA!DG71="","",IFERROR(IF(INDEX(CODIFICACION!$E$2:$E$500,MATCH("PP2|"&amp;CAPTURA!DG71,CODIFICACION!$F$2:$F$500,0))="sin dato","",INDEX(CODIFICACION!$E$2:$E$500,MATCH("PP2|"&amp;CAPTURA!DG71,CODIFICACION!$F$2:$F$500,0))),"⚠"))</f>
        <v/>
      </c>
      <c r="CB71" t="str">
        <f t="shared" si="22"/>
        <v/>
      </c>
      <c r="CC71" t="str">
        <f t="shared" si="23"/>
        <v/>
      </c>
      <c r="CD71" t="str">
        <f t="shared" si="24"/>
        <v/>
      </c>
      <c r="CE71" t="str">
        <f t="shared" si="25"/>
        <v/>
      </c>
      <c r="CF71" t="str">
        <f t="shared" si="26"/>
        <v/>
      </c>
      <c r="CG71" t="str">
        <f t="shared" si="27"/>
        <v/>
      </c>
      <c r="CH71" t="str">
        <f t="shared" si="28"/>
        <v/>
      </c>
      <c r="CI71" t="str">
        <f t="shared" si="29"/>
        <v/>
      </c>
      <c r="CJ71" t="str">
        <f t="shared" si="30"/>
        <v/>
      </c>
      <c r="CK71" t="str">
        <f t="shared" si="31"/>
        <v/>
      </c>
      <c r="CL71" t="str">
        <f t="shared" si="32"/>
        <v/>
      </c>
    </row>
    <row r="72" spans="1:90" x14ac:dyDescent="0.3">
      <c r="A72">
        <f>CAPTURA!A72</f>
        <v>20542257416</v>
      </c>
      <c r="B72">
        <f>CAPTURA!C72</f>
        <v>0</v>
      </c>
      <c r="C72" t="str">
        <f>IF(CAPTURA!M72="","",ROUND((ISNUMBER(SEARCH("Alemania",CAPTURA!M72))+ISNUMBER(SEARCH("Bélgica",CAPTURA!M72))+ISNUMBER(SEARCH("Países Bajos",CAPTURA!M72))+ISNUMBER(SEARCH("Francia",CAPTURA!M72))+ISNUMBER(SEARCH("Italia",CAPTURA!M72))+ISNUMBER(SEARCH("España",CAPTURA!M72))+ISNUMBER(SEARCH("Suecia",CAPTURA!M72))+ISNUMBER(SEARCH("Dinamarca",CAPTURA!M72)))/((LEN(CAPTURA!M72)-LEN(SUBSTITUTE(CAPTURA!M72,";","")))+1)*100,1))</f>
        <v/>
      </c>
      <c r="D72" t="str">
        <f>IF(CAPTURA!AE72="","",IFERROR(IF(INDEX(CODIFICACION!$E$2:$E$500,MATCH("P8|"&amp;CAPTURA!AE72,CODIFICACION!$F$2:$F$500,0))="sin dato","",INDEX(CODIFICACION!$E$2:$E$500,MATCH("P8|"&amp;CAPTURA!AE72,CODIFICACION!$F$2:$F$500,0))),"⚠"))</f>
        <v/>
      </c>
      <c r="E72" t="str">
        <f>IF(CAPTURA!AG72="","",IFERROR(IF(INDEX(CODIFICACION!$E$2:$E$500,MATCH("P10|"&amp;CAPTURA!AG72,CODIFICACION!$F$2:$F$500,0))="sin dato","",INDEX(CODIFICACION!$E$2:$E$500,MATCH("P10|"&amp;CAPTURA!AG72,CODIFICACION!$F$2:$F$500,0))),"⚠"))</f>
        <v/>
      </c>
      <c r="F72" t="str">
        <f>IF(CAPTURA!AJ72="","",IFERROR(IF(INDEX(CODIFICACION!$E$2:$E$500,MATCH("P13|"&amp;CAPTURA!AJ72,CODIFICACION!$F$2:$F$500,0))="sin dato","",INDEX(CODIFICACION!$E$2:$E$500,MATCH("P13|"&amp;CAPTURA!AJ72,CODIFICACION!$F$2:$F$500,0))),"⚠"))</f>
        <v/>
      </c>
      <c r="G72" t="str">
        <f>IF(CAPTURA!AK72="","",IFERROR(IF(INDEX(CODIFICACION!$E$2:$E$500,MATCH("P14|"&amp;CAPTURA!AK72,CODIFICACION!$F$2:$F$500,0))="sin dato","",INDEX(CODIFICACION!$E$2:$E$500,MATCH("P14|"&amp;CAPTURA!AK72,CODIFICACION!$F$2:$F$500,0))),"⚠"))</f>
        <v/>
      </c>
      <c r="H72" t="str">
        <f>IF(CAPTURA!AL72="","",IFERROR(IF(INDEX(CODIFICACION!$E$2:$E$500,MATCH("D1.1|"&amp;CAPTURA!AL72,CODIFICACION!$F$2:$F$500,0))="sin dato","",INDEX(CODIFICACION!$E$2:$E$500,MATCH("D1.1|"&amp;CAPTURA!AL72,CODIFICACION!$F$2:$F$500,0))),"⚠"))</f>
        <v/>
      </c>
      <c r="I72" t="str">
        <f>IF(CAPTURA!AN72="","",IFERROR(IF(INDEX(CODIFICACION!$E$2:$E$500,MATCH("D1.3|"&amp;CAPTURA!AN72,CODIFICACION!$F$2:$F$500,0))="sin dato","",INDEX(CODIFICACION!$E$2:$E$500,MATCH("D1.3|"&amp;CAPTURA!AN72,CODIFICACION!$F$2:$F$500,0))),"⚠"))</f>
        <v/>
      </c>
      <c r="J72" t="str">
        <f>IF(CAPTURA!AO72="","",IFERROR(IF(INDEX(CODIFICACION!$E$2:$E$500,MATCH("D1.4|"&amp;CAPTURA!AO72,CODIFICACION!$F$2:$F$500,0))="sin dato","",INDEX(CODIFICACION!$E$2:$E$500,MATCH("D1.4|"&amp;CAPTURA!AO72,CODIFICACION!$F$2:$F$500,0))),"⚠"))</f>
        <v/>
      </c>
      <c r="K72" t="str">
        <f>IF(CAPTURA!AP72="","",IFERROR(IF(INDEX(CODIFICACION!$E$2:$E$500,MATCH("D1.3a|"&amp;CAPTURA!AP72,CODIFICACION!$F$2:$F$500,0))="sin dato","",INDEX(CODIFICACION!$E$2:$E$500,MATCH("D1.3a|"&amp;CAPTURA!AP72,CODIFICACION!$F$2:$F$500,0))),"⚠"))</f>
        <v/>
      </c>
      <c r="L72" t="str">
        <f>IF(CAPTURA!AQ72="","",IF(AND(ISNUMBER(CAPTURA!AQ72),CAPTURA!AQ72&gt;=0,CAPTURA!AQ72&lt;=4),CAPTURA!AQ72*25,"⚠"))</f>
        <v/>
      </c>
      <c r="M72" t="str">
        <f>IF(CAPTURA!AR72="","",IF(ISNUMBER(CAPTURA!AR72),MAX(0,MIN(100,CAPTURA!AR72)),"⚠"))</f>
        <v/>
      </c>
      <c r="N72" t="str">
        <f>IF(CAPTURA!AS72="","",IF(AND(ISNUMBER(CAPTURA!AS72),CAPTURA!AS72&gt;=0,CAPTURA!AS72&lt;=4),CAPTURA!AS72*25,"⚠"))</f>
        <v/>
      </c>
      <c r="O72" t="str">
        <f>IF(CAPTURA!AT72="","",IFERROR(IF(INDEX(CODIFICACION!$E$2:$E$500,MATCH("D2.8|"&amp;CAPTURA!AT72,CODIFICACION!$F$2:$F$500,0))="sin dato","",INDEX(CODIFICACION!$E$2:$E$500,MATCH("D2.8|"&amp;CAPTURA!AT72,CODIFICACION!$F$2:$F$500,0))),"⚠"))</f>
        <v/>
      </c>
      <c r="P72" t="str">
        <f>IF(CAPTURA!AU72="","",IFERROR(IF(INDEX(CODIFICACION!$E$2:$E$500,MATCH("D2.9|"&amp;CAPTURA!AU72,CODIFICACION!$F$2:$F$500,0))="sin dato","",INDEX(CODIFICACION!$E$2:$E$500,MATCH("D2.9|"&amp;CAPTURA!AU72,CODIFICACION!$F$2:$F$500,0))),"⚠"))</f>
        <v/>
      </c>
      <c r="Q72" t="str">
        <f>IF(CAPTURA!AV72="","",IFERROR(IF(INDEX(CODIFICACION!$E$2:$E$500,MATCH("D2.10|"&amp;CAPTURA!AV72,CODIFICACION!$F$2:$F$500,0))="sin dato","",INDEX(CODIFICACION!$E$2:$E$500,MATCH("D2.10|"&amp;CAPTURA!AV72,CODIFICACION!$F$2:$F$500,0))),"⚠"))</f>
        <v/>
      </c>
      <c r="R72" t="str">
        <f>IF(CAPTURA!AW72="","",IFERROR(IF(INDEX(CODIFICACION!$E$2:$E$500,MATCH("D2.5a|"&amp;CAPTURA!AW72,CODIFICACION!$F$2:$F$500,0))="sin dato","",INDEX(CODIFICACION!$E$2:$E$500,MATCH("D2.5a|"&amp;CAPTURA!AW72,CODIFICACION!$F$2:$F$500,0))),"⚠"))</f>
        <v/>
      </c>
      <c r="S72" t="str">
        <f>IF(CAPTURA!AX72="","",IFERROR(IF(INDEX(CODIFICACION!$E$2:$E$500,MATCH("D2.5b|"&amp;CAPTURA!AX72,CODIFICACION!$F$2:$F$500,0))="sin dato","",INDEX(CODIFICACION!$E$2:$E$500,MATCH("D2.5b|"&amp;CAPTURA!AX72,CODIFICACION!$F$2:$F$500,0))),"⚠"))</f>
        <v/>
      </c>
      <c r="T72" t="str">
        <f>IF(CAPTURA!AY72="","",IF(ISNUMBER(CAPTURA!AY72),MAX(0,MIN(100,CAPTURA!AY72)),"⚠"))</f>
        <v/>
      </c>
      <c r="U72" t="str">
        <f>IF(CAPTURA!AZ72="","",IFERROR(IF(INDEX(CODIFICACION!$E$2:$E$500,MATCH("D3.12|"&amp;CAPTURA!AZ72,CODIFICACION!$F$2:$F$500,0))="sin dato","",INDEX(CODIFICACION!$E$2:$E$500,MATCH("D3.12|"&amp;CAPTURA!AZ72,CODIFICACION!$F$2:$F$500,0))),"⚠"))</f>
        <v/>
      </c>
      <c r="V72" t="str">
        <f>IF(CAPTURA!BA72="","",IF(AND(ISNUMBER(CAPTURA!BA72),CAPTURA!BA72&gt;=0,CAPTURA!BA72&lt;=4),CAPTURA!BA72*25,"⚠"))</f>
        <v/>
      </c>
      <c r="W72" t="str">
        <f>IF(CAPTURA!BB72="","",IFERROR(IF(INDEX(CODIFICACION!$E$2:$E$500,MATCH("D3.14|"&amp;CAPTURA!BB72,CODIFICACION!$F$2:$F$500,0))="sin dato","",INDEX(CODIFICACION!$E$2:$E$500,MATCH("D3.14|"&amp;CAPTURA!BB72,CODIFICACION!$F$2:$F$500,0))),"⚠"))</f>
        <v/>
      </c>
      <c r="X72" t="str">
        <f>IF(CAPTURA!BC72="","",IFERROR(IF(INDEX(CODIFICACION!$E$2:$E$500,MATCH("D3.14a|"&amp;CAPTURA!BC72,CODIFICACION!$F$2:$F$500,0))="sin dato","",INDEX(CODIFICACION!$E$2:$E$500,MATCH("D3.14a|"&amp;CAPTURA!BC72,CODIFICACION!$F$2:$F$500,0))),"⚠"))</f>
        <v/>
      </c>
      <c r="Y72" t="str">
        <f>IF(CAPTURA!BD72="","",IFERROR(IF(INDEX(CODIFICACION!$E$2:$E$500,MATCH("D3.14b|"&amp;CAPTURA!BD72,CODIFICACION!$F$2:$F$500,0))="sin dato","",INDEX(CODIFICACION!$E$2:$E$500,MATCH("D3.14b|"&amp;CAPTURA!BD72,CODIFICACION!$F$2:$F$500,0))),"⚠"))</f>
        <v/>
      </c>
      <c r="Z72" t="str">
        <f>IF(CAPTURA!BE72="","",IFERROR(IF(INDEX(CODIFICACION!$E$2:$E$500,MATCH("D3.14c|"&amp;CAPTURA!BE72,CODIFICACION!$F$2:$F$500,0))="sin dato","",INDEX(CODIFICACION!$E$2:$E$500,MATCH("D3.14c|"&amp;CAPTURA!BE72,CODIFICACION!$F$2:$F$500,0))),"⚠"))</f>
        <v/>
      </c>
      <c r="AA72" t="str">
        <f>IF(CAPTURA!BF72="","",IFERROR(IF(INDEX(CODIFICACION!$E$2:$E$500,MATCH("D3.14d|"&amp;CAPTURA!BF72,CODIFICACION!$F$2:$F$500,0))="sin dato","",INDEX(CODIFICACION!$E$2:$E$500,MATCH("D3.14d|"&amp;CAPTURA!BF72,CODIFICACION!$F$2:$F$500,0))),"⚠"))</f>
        <v/>
      </c>
      <c r="AB72" t="str">
        <f>IF(CAPTURA!BG72="","",IFERROR(IF(INDEX(CODIFICACION!$E$2:$E$500,MATCH("D3.14e|"&amp;CAPTURA!BG72,CODIFICACION!$F$2:$F$500,0))="sin dato","",INDEX(CODIFICACION!$E$2:$E$500,MATCH("D3.14e|"&amp;CAPTURA!BG72,CODIFICACION!$F$2:$F$500,0))),"⚠"))</f>
        <v/>
      </c>
      <c r="AC72" t="str">
        <f>IF(CAPTURA!BH72="","",IFERROR(IF(INDEX(CODIFICACION!$E$2:$E$500,MATCH("D3.14f|"&amp;CAPTURA!BH72,CODIFICACION!$F$2:$F$500,0))="sin dato","",INDEX(CODIFICACION!$E$2:$E$500,MATCH("D3.14f|"&amp;CAPTURA!BH72,CODIFICACION!$F$2:$F$500,0))),"⚠"))</f>
        <v/>
      </c>
      <c r="AD72" t="str">
        <f>IF(CAPTURA!BI72="","",IFERROR(IF(INDEX(CODIFICACION!$E$2:$E$500,MATCH("D3.14g|"&amp;CAPTURA!BI72,CODIFICACION!$F$2:$F$500,0))="sin dato","",INDEX(CODIFICACION!$E$2:$E$500,MATCH("D3.14g|"&amp;CAPTURA!BI72,CODIFICACION!$F$2:$F$500,0))),"⚠"))</f>
        <v/>
      </c>
      <c r="AE72" t="str">
        <f>IF(CAPTURA!BJ72="","",IFERROR(IF(INDEX(CODIFICACION!$E$2:$E$500,MATCH("D3.14h|"&amp;CAPTURA!BJ72,CODIFICACION!$F$2:$F$500,0))="sin dato","",INDEX(CODIFICACION!$E$2:$E$500,MATCH("D3.14h|"&amp;CAPTURA!BJ72,CODIFICACION!$F$2:$F$500,0))),"⚠"))</f>
        <v/>
      </c>
      <c r="AF72" t="str">
        <f>IF(CAPTURA!BK72="","",IFERROR(IF(INDEX(CODIFICACION!$E$2:$E$500,MATCH("D3.14i|"&amp;CAPTURA!BK72,CODIFICACION!$F$2:$F$500,0))="sin dato","",INDEX(CODIFICACION!$E$2:$E$500,MATCH("D3.14i|"&amp;CAPTURA!BK72,CODIFICACION!$F$2:$F$500,0))),"⚠"))</f>
        <v/>
      </c>
      <c r="AG72" t="str">
        <f>IF(CAPTURA!BL72="","",IFERROR(IF(INDEX(CODIFICACION!$E$2:$E$500,MATCH("D4.15|"&amp;CAPTURA!BL72,CODIFICACION!$F$2:$F$500,0))="sin dato","",INDEX(CODIFICACION!$E$2:$E$500,MATCH("D4.15|"&amp;CAPTURA!BL72,CODIFICACION!$F$2:$F$500,0))),"⚠"))</f>
        <v/>
      </c>
      <c r="AH72" t="str">
        <f>IF(CAPTURA!BM72="","",IF(AND(ISNUMBER(CAPTURA!BM72),CAPTURA!BM72&gt;=0,CAPTURA!BM72&lt;=4),CAPTURA!BM72*25,"⚠"))</f>
        <v/>
      </c>
      <c r="AI72" t="str">
        <f>IF(CAPTURA!BN72="","",IFERROR(IF(INDEX(CODIFICACION!$E$2:$E$500,MATCH("D4.17|"&amp;CAPTURA!BN72,CODIFICACION!$F$2:$F$500,0))="sin dato","",INDEX(CODIFICACION!$E$2:$E$500,MATCH("D4.17|"&amp;CAPTURA!BN72,CODIFICACION!$F$2:$F$500,0))),"⚠"))</f>
        <v/>
      </c>
      <c r="AJ72" t="str">
        <f>IF(CAPTURA!BO72="","",IFERROR(IF(INDEX(CODIFICACION!$E$2:$E$500,MATCH("D4.15a|"&amp;CAPTURA!BO72,CODIFICACION!$F$2:$F$500,0))="sin dato","",INDEX(CODIFICACION!$E$2:$E$500,MATCH("D4.15a|"&amp;CAPTURA!BO72,CODIFICACION!$F$2:$F$500,0))),"⚠"))</f>
        <v/>
      </c>
      <c r="AK72" t="str">
        <f>IF(CAPTURA!BP72="","",IF(AND(ISNUMBER(CAPTURA!BP72),CAPTURA!BP72&gt;=0,CAPTURA!BP72&lt;=4),CAPTURA!BP72*25,"⚠"))</f>
        <v/>
      </c>
      <c r="AL72" t="str">
        <f>IF(CAPTURA!BQ72="","",IF(AND(ISNUMBER(CAPTURA!BQ72),CAPTURA!BQ72&gt;=0,CAPTURA!BQ72&lt;=4),CAPTURA!BQ72*25,"⚠"))</f>
        <v/>
      </c>
      <c r="AM72" t="str">
        <f>IF(CAPTURA!BR72="","",IFERROR(IF(INDEX(CODIFICACION!$E$2:$E$500,MATCH("D5.18b|"&amp;CAPTURA!BR72,CODIFICACION!$F$2:$F$500,0))="sin dato","",INDEX(CODIFICACION!$E$2:$E$500,MATCH("D5.18b|"&amp;CAPTURA!BR72,CODIFICACION!$F$2:$F$500,0))),"⚠"))</f>
        <v/>
      </c>
      <c r="AN72" t="str">
        <f>IF(CAPTURA!BS72="","",IFERROR(IF(INDEX(CODIFICACION!$E$2:$E$500,MATCH("D5.19|"&amp;CAPTURA!BS72,CODIFICACION!$F$2:$F$500,0))="sin dato","",INDEX(CODIFICACION!$E$2:$E$500,MATCH("D5.19|"&amp;CAPTURA!BS72,CODIFICACION!$F$2:$F$500,0))),"⚠"))</f>
        <v/>
      </c>
      <c r="AO72" t="str">
        <f>IF(CAPTURA!BT72="","",MIN(100,ROUND((LEN(CAPTURA!BT72)-LEN(SUBSTITUTE(CAPTURA!BT72,";",""))+1)/7*100,1)))</f>
        <v/>
      </c>
      <c r="AP72" t="str">
        <f>IF(CAPTURA!BU72="","",IFERROR(IF(INDEX(CODIFICACION!$E$2:$E$500,MATCH("D5.20|"&amp;CAPTURA!BU72,CODIFICACION!$F$2:$F$500,0))="sin dato","",INDEX(CODIFICACION!$E$2:$E$500,MATCH("D5.20|"&amp;CAPTURA!BU72,CODIFICACION!$F$2:$F$500,0))),"⚠"))</f>
        <v/>
      </c>
      <c r="AQ72" t="str">
        <f>IF(CAPTURA!BV72="","",IFERROR(IF(INDEX(CODIFICACION!$E$2:$E$500,MATCH("D5.21|"&amp;CAPTURA!BV72,CODIFICACION!$F$2:$F$500,0))="sin dato","",INDEX(CODIFICACION!$E$2:$E$500,MATCH("D5.21|"&amp;CAPTURA!BV72,CODIFICACION!$F$2:$F$500,0))),"⚠"))</f>
        <v/>
      </c>
      <c r="AR72" t="str">
        <f>IF(CAPTURA!BW72="","",IFERROR(IF(INDEX(CODIFICACION!$E$2:$E$500,MATCH("D5.21a|"&amp;CAPTURA!BW72,CODIFICACION!$F$2:$F$500,0))="sin dato","",INDEX(CODIFICACION!$E$2:$E$500,MATCH("D5.21a|"&amp;CAPTURA!BW72,CODIFICACION!$F$2:$F$500,0))),"⚠"))</f>
        <v/>
      </c>
      <c r="AS72" t="str">
        <f>IF(CAPTURA!BX72="","",IFERROR(IF(INDEX(CODIFICACION!$E$2:$E$500,MATCH("D5.21b|"&amp;CAPTURA!BX72,CODIFICACION!$F$2:$F$500,0))="sin dato","",INDEX(CODIFICACION!$E$2:$E$500,MATCH("D5.21b|"&amp;CAPTURA!BX72,CODIFICACION!$F$2:$F$500,0))),"⚠"))</f>
        <v/>
      </c>
      <c r="AT72" t="str">
        <f>IF(CAPTURA!BY72="","",IFERROR(IF(INDEX(CODIFICACION!$E$2:$E$500,MATCH("D6.22|"&amp;CAPTURA!BY72,CODIFICACION!$F$2:$F$500,0))="sin dato","",INDEX(CODIFICACION!$E$2:$E$500,MATCH("D6.22|"&amp;CAPTURA!BY72,CODIFICACION!$F$2:$F$500,0))),"⚠"))</f>
        <v/>
      </c>
      <c r="AU72" t="str">
        <f>IF(CAPTURA!BZ72="","",IFERROR(IF(INDEX(CODIFICACION!$E$2:$E$500,MATCH("D6.22a|"&amp;CAPTURA!BZ72,CODIFICACION!$F$2:$F$500,0))="sin dato","",INDEX(CODIFICACION!$E$2:$E$500,MATCH("D6.22a|"&amp;CAPTURA!BZ72,CODIFICACION!$F$2:$F$500,0))),"⚠"))</f>
        <v/>
      </c>
      <c r="AV72" t="str">
        <f>IF(CAPTURA!CA72="","",IFERROR(IF(INDEX(CODIFICACION!$E$2:$E$500,MATCH("D6.22b|"&amp;CAPTURA!CA72,CODIFICACION!$F$2:$F$500,0))="sin dato","",INDEX(CODIFICACION!$E$2:$E$500,MATCH("D6.22b|"&amp;CAPTURA!CA72,CODIFICACION!$F$2:$F$500,0))),"⚠"))</f>
        <v/>
      </c>
      <c r="AW72" t="str">
        <f>IF(CAPTURA!CB72="","",IFERROR(IF(INDEX(CODIFICACION!$E$2:$E$500,MATCH("D6.23|"&amp;CAPTURA!CB72,CODIFICACION!$F$2:$F$500,0))="sin dato","",INDEX(CODIFICACION!$E$2:$E$500,MATCH("D6.23|"&amp;CAPTURA!CB72,CODIFICACION!$F$2:$F$500,0))),"⚠"))</f>
        <v/>
      </c>
      <c r="AX72" t="str">
        <f>IF(CAPTURA!CC72="","",IFERROR(IF(INDEX(CODIFICACION!$E$2:$E$500,MATCH("D6.24|"&amp;CAPTURA!CC72,CODIFICACION!$F$2:$F$500,0))="sin dato","",INDEX(CODIFICACION!$E$2:$E$500,MATCH("D6.24|"&amp;CAPTURA!CC72,CODIFICACION!$F$2:$F$500,0))),"⚠"))</f>
        <v/>
      </c>
      <c r="AY72" t="str">
        <f>IF(CAPTURA!CD72="","",IFERROR(IF(INDEX(CODIFICACION!$E$2:$E$500,MATCH("D6.25|"&amp;CAPTURA!CD72,CODIFICACION!$F$2:$F$500,0))="sin dato","",INDEX(CODIFICACION!$E$2:$E$500,MATCH("D6.25|"&amp;CAPTURA!CD72,CODIFICACION!$F$2:$F$500,0))),"⚠"))</f>
        <v/>
      </c>
      <c r="AZ72" t="str">
        <f>IF(CAPTURA!CE72="","",IFERROR(IF(INDEX(CODIFICACION!$E$2:$E$500,MATCH("D6.25a|"&amp;CAPTURA!CE72,CODIFICACION!$F$2:$F$500,0))="sin dato","",INDEX(CODIFICACION!$E$2:$E$500,MATCH("D6.25a|"&amp;CAPTURA!CE72,CODIFICACION!$F$2:$F$500,0))),"⚠"))</f>
        <v/>
      </c>
      <c r="BA72" t="str">
        <f>IF(CAPTURA!CF72="","",IFERROR(IF(INDEX(CODIFICACION!$E$2:$E$500,MATCH("D6.25b|"&amp;CAPTURA!CF72,CODIFICACION!$F$2:$F$500,0))="sin dato","",INDEX(CODIFICACION!$E$2:$E$500,MATCH("D6.25b|"&amp;CAPTURA!CF72,CODIFICACION!$F$2:$F$500,0))),"⚠"))</f>
        <v/>
      </c>
      <c r="BB72" t="str">
        <f>IF(CAPTURA!CG72="","",IFERROR(IF(INDEX(CODIFICACION!$E$2:$E$500,MATCH("D6.22c|"&amp;CAPTURA!CG72,CODIFICACION!$F$2:$F$500,0))="sin dato","",INDEX(CODIFICACION!$E$2:$E$500,MATCH("D6.22c|"&amp;CAPTURA!CG72,CODIFICACION!$F$2:$F$500,0))),"⚠"))</f>
        <v/>
      </c>
      <c r="BC72" t="str">
        <f>IF(CAPTURA!CH72="","",IFERROR(IF(INDEX(CODIFICACION!$E$2:$E$500,MATCH("D7.26|"&amp;CAPTURA!CH72,CODIFICACION!$F$2:$F$500,0))="sin dato","",INDEX(CODIFICACION!$E$2:$E$500,MATCH("D7.26|"&amp;CAPTURA!CH72,CODIFICACION!$F$2:$F$500,0))),"⚠"))</f>
        <v/>
      </c>
      <c r="BD72" t="str">
        <f>IF(CAPTURA!CI72="","",IFERROR(IF(INDEX(CODIFICACION!$E$2:$E$500,MATCH("D7.27|"&amp;CAPTURA!CI72,CODIFICACION!$F$2:$F$500,0))="sin dato","",INDEX(CODIFICACION!$E$2:$E$500,MATCH("D7.27|"&amp;CAPTURA!CI72,CODIFICACION!$F$2:$F$500,0))),"⚠"))</f>
        <v/>
      </c>
      <c r="BE72" t="str">
        <f>IF(CAPTURA!CJ72="","",IFERROR(IF(INDEX(CODIFICACION!$E$2:$E$500,MATCH("D7.28|"&amp;CAPTURA!CJ72,CODIFICACION!$F$2:$F$500,0))="sin dato","",INDEX(CODIFICACION!$E$2:$E$500,MATCH("D7.28|"&amp;CAPTURA!CJ72,CODIFICACION!$F$2:$F$500,0))),"⚠"))</f>
        <v/>
      </c>
      <c r="BF72" t="str">
        <f>IF(CAPTURA!CK72="","",IFERROR(IF(INDEX(CODIFICACION!$E$2:$E$500,MATCH("D7.28b|"&amp;CAPTURA!CK72,CODIFICACION!$F$2:$F$500,0))="sin dato","",INDEX(CODIFICACION!$E$2:$E$500,MATCH("D7.28b|"&amp;CAPTURA!CK72,CODIFICACION!$F$2:$F$500,0))),"⚠"))</f>
        <v/>
      </c>
      <c r="BG72" t="str">
        <f>IF(CAPTURA!CL72="","",MIN(100,ROUND((LEN(CAPTURA!CL72)-LEN(SUBSTITUTE(CAPTURA!CL72,";",""))+1)/8*100,1)))</f>
        <v/>
      </c>
      <c r="BH72" t="str">
        <f>IF(CAPTURA!CM72="","",IFERROR(IF(INDEX(CODIFICACION!$E$2:$E$500,MATCH("D7.26a|"&amp;CAPTURA!CM72,CODIFICACION!$F$2:$F$500,0))="sin dato","",INDEX(CODIFICACION!$E$2:$E$500,MATCH("D7.26a|"&amp;CAPTURA!CM72,CODIFICACION!$F$2:$F$500,0))),"⚠"))</f>
        <v/>
      </c>
      <c r="BI72" t="str">
        <f>IF(CAPTURA!CN72="","",IFERROR(IF(INDEX(CODIFICACION!$E$2:$E$500,MATCH("D7.26b|"&amp;CAPTURA!CN72,CODIFICACION!$F$2:$F$500,0))="sin dato","",INDEX(CODIFICACION!$E$2:$E$500,MATCH("D7.26b|"&amp;CAPTURA!CN72,CODIFICACION!$F$2:$F$500,0))),"⚠"))</f>
        <v/>
      </c>
      <c r="BJ72" t="str">
        <f>IF(CAPTURA!CO72="","",IF(AND(ISNUMBER(CAPTURA!CO72),CAPTURA!CO72&gt;=0,CAPTURA!CO72&lt;=4),CAPTURA!CO72*25,"⚠"))</f>
        <v/>
      </c>
      <c r="BK72" t="str">
        <f>IF(CAPTURA!CP72="","",IF(ISNUMBER(CAPTURA!CP72),MAX(0,MIN(100,CAPTURA!CP72)),"⚠"))</f>
        <v/>
      </c>
      <c r="BL72" t="str">
        <f>IF(CAPTURA!CQ72="","",IFERROR(IF(INDEX(CODIFICACION!$E$2:$E$500,MATCH("D8.31|"&amp;CAPTURA!CQ72,CODIFICACION!$F$2:$F$500,0))="sin dato","",INDEX(CODIFICACION!$E$2:$E$500,MATCH("D8.31|"&amp;CAPTURA!CQ72,CODIFICACION!$F$2:$F$500,0))),"⚠"))</f>
        <v/>
      </c>
      <c r="BM72" t="str">
        <f>IF(CAPTURA!CR72="","",IFERROR(IF(INDEX(CODIFICACION!$E$2:$E$500,MATCH("D8.32|"&amp;CAPTURA!CR72,CODIFICACION!$F$2:$F$500,0))="sin dato","",INDEX(CODIFICACION!$E$2:$E$500,MATCH("D8.32|"&amp;CAPTURA!CR72,CODIFICACION!$F$2:$F$500,0))),"⚠"))</f>
        <v/>
      </c>
      <c r="BN72" t="str">
        <f>IF(CAPTURA!CS72="","",IFERROR(IF(INDEX(CODIFICACION!$E$2:$E$500,MATCH("D9.33|"&amp;CAPTURA!CS72,CODIFICACION!$F$2:$F$500,0))="sin dato","",INDEX(CODIFICACION!$E$2:$E$500,MATCH("D9.33|"&amp;CAPTURA!CS72,CODIFICACION!$F$2:$F$500,0))),"⚠"))</f>
        <v/>
      </c>
      <c r="BO72" t="str">
        <f>IF(CAPTURA!CT72="","",IFERROR(IF(INDEX(CODIFICACION!$E$2:$E$500,MATCH("D9.34|"&amp;CAPTURA!CT72,CODIFICACION!$F$2:$F$500,0))="sin dato","",INDEX(CODIFICACION!$E$2:$E$500,MATCH("D9.34|"&amp;CAPTURA!CT72,CODIFICACION!$F$2:$F$500,0))),"⚠"))</f>
        <v/>
      </c>
      <c r="BP72" t="str">
        <f>IF(CAPTURA!CU72="","",IFERROR(IF(INDEX(CODIFICACION!$E$2:$E$500,MATCH("D9.35|"&amp;CAPTURA!CU72,CODIFICACION!$F$2:$F$500,0))="sin dato","",INDEX(CODIFICACION!$E$2:$E$500,MATCH("D9.35|"&amp;CAPTURA!CU72,CODIFICACION!$F$2:$F$500,0))),"⚠"))</f>
        <v/>
      </c>
      <c r="BQ72" t="str">
        <f>IF(CAPTURA!CV72="","",IFERROR(IF(INDEX(CODIFICACION!$E$2:$E$500,MATCH("D10.36|"&amp;CAPTURA!CV72,CODIFICACION!$F$2:$F$500,0))="sin dato","",INDEX(CODIFICACION!$E$2:$E$500,MATCH("D10.36|"&amp;CAPTURA!CV72,CODIFICACION!$F$2:$F$500,0))),"⚠"))</f>
        <v/>
      </c>
      <c r="BR72" t="str">
        <f>IF(CAPTURA!CW72="","",IFERROR(IF(INDEX(CODIFICACION!$E$2:$E$500,MATCH("D10.37|"&amp;CAPTURA!CW72,CODIFICACION!$F$2:$F$500,0))="sin dato","",INDEX(CODIFICACION!$E$2:$E$500,MATCH("D10.37|"&amp;CAPTURA!CW72,CODIFICACION!$F$2:$F$500,0))),"⚠"))</f>
        <v/>
      </c>
      <c r="BS72" t="str">
        <f>IF(CAPTURA!CX72="","",IFERROR(IF(INDEX(CODIFICACION!$E$2:$E$500,MATCH("D10.36a|"&amp;CAPTURA!CX72,CODIFICACION!$F$2:$F$500,0))="sin dato","",INDEX(CODIFICACION!$E$2:$E$500,MATCH("D10.36a|"&amp;CAPTURA!CX72,CODIFICACION!$F$2:$F$500,0))),"⚠"))</f>
        <v/>
      </c>
      <c r="BT72" t="str">
        <f>IF(CAPTURA!CY72="","",IF(ISNUMBER(SEARCH("Ninguno",CAPTURA!CY72)),0,MIN(100,ROUND((LEN(CAPTURA!CY72)-LEN(SUBSTITUTE(CAPTURA!CY72,";",""))+1)/6*100,1))))</f>
        <v/>
      </c>
      <c r="BU72" t="str">
        <f>IF(CAPTURA!DA72="","",IFERROR(IF(INDEX(CODIFICACION!$E$2:$E$500,MATCH("D11.39a|"&amp;CAPTURA!DA72,CODIFICACION!$F$2:$F$500,0))="sin dato","",INDEX(CODIFICACION!$E$2:$E$500,MATCH("D11.39a|"&amp;CAPTURA!DA72,CODIFICACION!$F$2:$F$500,0))),"⚠"))</f>
        <v/>
      </c>
      <c r="BV72" t="str">
        <f>IF(CAPTURA!DB72="","",IFERROR(IF(INDEX(CODIFICACION!$E$2:$E$500,MATCH("D12.42|"&amp;CAPTURA!DB72,CODIFICACION!$F$2:$F$500,0))="sin dato","",INDEX(CODIFICACION!$E$2:$E$500,MATCH("D12.42|"&amp;CAPTURA!DB72,CODIFICACION!$F$2:$F$500,0))),"⚠"))</f>
        <v/>
      </c>
      <c r="BW72" t="str">
        <f>IF(CAPTURA!DC72="","",IFERROR(IF(INDEX(CODIFICACION!$E$2:$E$500,MATCH("D13.45|"&amp;CAPTURA!DC72,CODIFICACION!$F$2:$F$500,0))="sin dato","",INDEX(CODIFICACION!$E$2:$E$500,MATCH("D13.45|"&amp;CAPTURA!DC72,CODIFICACION!$F$2:$F$500,0))),"⚠"))</f>
        <v/>
      </c>
      <c r="BX72" t="str">
        <f>IF(CAPTURA!DD72="","",IFERROR(IF(INDEX(CODIFICACION!$E$2:$E$500,MATCH("D14.51|"&amp;CAPTURA!DD72,CODIFICACION!$F$2:$F$500,0))="sin dato","",INDEX(CODIFICACION!$E$2:$E$500,MATCH("D14.51|"&amp;CAPTURA!DD72,CODIFICACION!$F$2:$F$500,0))),"⚠"))</f>
        <v/>
      </c>
      <c r="BY72" t="str">
        <f>IF(CAPTURA!DE72="","",IFERROR(IF(INDEX(CODIFICACION!$E$2:$E$500,MATCH("D15.58|"&amp;CAPTURA!DE72,CODIFICACION!$F$2:$F$500,0))="sin dato","",INDEX(CODIFICACION!$E$2:$E$500,MATCH("D15.58|"&amp;CAPTURA!DE72,CODIFICACION!$F$2:$F$500,0))),"⚠"))</f>
        <v/>
      </c>
      <c r="BZ72" t="str">
        <f>IF(CAPTURA!DF72="","",IFERROR(IF(INDEX(CODIFICACION!$E$2:$E$500,MATCH("PP1|"&amp;CAPTURA!DF72,CODIFICACION!$F$2:$F$500,0))="sin dato","",INDEX(CODIFICACION!$E$2:$E$500,MATCH("PP1|"&amp;CAPTURA!DF72,CODIFICACION!$F$2:$F$500,0))),"⚠"))</f>
        <v/>
      </c>
      <c r="CA72" t="str">
        <f>IF(CAPTURA!DG72="","",IFERROR(IF(INDEX(CODIFICACION!$E$2:$E$500,MATCH("PP2|"&amp;CAPTURA!DG72,CODIFICACION!$F$2:$F$500,0))="sin dato","",INDEX(CODIFICACION!$E$2:$E$500,MATCH("PP2|"&amp;CAPTURA!DG72,CODIFICACION!$F$2:$F$500,0))),"⚠"))</f>
        <v/>
      </c>
      <c r="CB72" t="str">
        <f t="shared" si="22"/>
        <v/>
      </c>
      <c r="CC72" t="str">
        <f t="shared" si="23"/>
        <v/>
      </c>
      <c r="CD72" t="str">
        <f t="shared" si="24"/>
        <v/>
      </c>
      <c r="CE72" t="str">
        <f t="shared" si="25"/>
        <v/>
      </c>
      <c r="CF72" t="str">
        <f t="shared" si="26"/>
        <v/>
      </c>
      <c r="CG72" t="str">
        <f t="shared" si="27"/>
        <v/>
      </c>
      <c r="CH72" t="str">
        <f t="shared" si="28"/>
        <v/>
      </c>
      <c r="CI72" t="str">
        <f t="shared" si="29"/>
        <v/>
      </c>
      <c r="CJ72" t="str">
        <f t="shared" si="30"/>
        <v/>
      </c>
      <c r="CK72" t="str">
        <f t="shared" si="31"/>
        <v/>
      </c>
      <c r="CL72" t="str">
        <f t="shared" si="32"/>
        <v/>
      </c>
    </row>
    <row r="73" spans="1:90" x14ac:dyDescent="0.3">
      <c r="A73">
        <f>CAPTURA!A73</f>
        <v>20542264544</v>
      </c>
      <c r="B73">
        <f>CAPTURA!C73</f>
        <v>0</v>
      </c>
      <c r="C73" t="str">
        <f>IF(CAPTURA!M73="","",ROUND((ISNUMBER(SEARCH("Alemania",CAPTURA!M73))+ISNUMBER(SEARCH("Bélgica",CAPTURA!M73))+ISNUMBER(SEARCH("Países Bajos",CAPTURA!M73))+ISNUMBER(SEARCH("Francia",CAPTURA!M73))+ISNUMBER(SEARCH("Italia",CAPTURA!M73))+ISNUMBER(SEARCH("España",CAPTURA!M73))+ISNUMBER(SEARCH("Suecia",CAPTURA!M73))+ISNUMBER(SEARCH("Dinamarca",CAPTURA!M73)))/((LEN(CAPTURA!M73)-LEN(SUBSTITUTE(CAPTURA!M73,";","")))+1)*100,1))</f>
        <v/>
      </c>
      <c r="D73" t="str">
        <f>IF(CAPTURA!AE73="","",IFERROR(IF(INDEX(CODIFICACION!$E$2:$E$500,MATCH("P8|"&amp;CAPTURA!AE73,CODIFICACION!$F$2:$F$500,0))="sin dato","",INDEX(CODIFICACION!$E$2:$E$500,MATCH("P8|"&amp;CAPTURA!AE73,CODIFICACION!$F$2:$F$500,0))),"⚠"))</f>
        <v/>
      </c>
      <c r="E73" t="str">
        <f>IF(CAPTURA!AG73="","",IFERROR(IF(INDEX(CODIFICACION!$E$2:$E$500,MATCH("P10|"&amp;CAPTURA!AG73,CODIFICACION!$F$2:$F$500,0))="sin dato","",INDEX(CODIFICACION!$E$2:$E$500,MATCH("P10|"&amp;CAPTURA!AG73,CODIFICACION!$F$2:$F$500,0))),"⚠"))</f>
        <v/>
      </c>
      <c r="F73" t="str">
        <f>IF(CAPTURA!AJ73="","",IFERROR(IF(INDEX(CODIFICACION!$E$2:$E$500,MATCH("P13|"&amp;CAPTURA!AJ73,CODIFICACION!$F$2:$F$500,0))="sin dato","",INDEX(CODIFICACION!$E$2:$E$500,MATCH("P13|"&amp;CAPTURA!AJ73,CODIFICACION!$F$2:$F$500,0))),"⚠"))</f>
        <v/>
      </c>
      <c r="G73" t="str">
        <f>IF(CAPTURA!AK73="","",IFERROR(IF(INDEX(CODIFICACION!$E$2:$E$500,MATCH("P14|"&amp;CAPTURA!AK73,CODIFICACION!$F$2:$F$500,0))="sin dato","",INDEX(CODIFICACION!$E$2:$E$500,MATCH("P14|"&amp;CAPTURA!AK73,CODIFICACION!$F$2:$F$500,0))),"⚠"))</f>
        <v/>
      </c>
      <c r="H73" t="str">
        <f>IF(CAPTURA!AL73="","",IFERROR(IF(INDEX(CODIFICACION!$E$2:$E$500,MATCH("D1.1|"&amp;CAPTURA!AL73,CODIFICACION!$F$2:$F$500,0))="sin dato","",INDEX(CODIFICACION!$E$2:$E$500,MATCH("D1.1|"&amp;CAPTURA!AL73,CODIFICACION!$F$2:$F$500,0))),"⚠"))</f>
        <v/>
      </c>
      <c r="I73" t="str">
        <f>IF(CAPTURA!AN73="","",IFERROR(IF(INDEX(CODIFICACION!$E$2:$E$500,MATCH("D1.3|"&amp;CAPTURA!AN73,CODIFICACION!$F$2:$F$500,0))="sin dato","",INDEX(CODIFICACION!$E$2:$E$500,MATCH("D1.3|"&amp;CAPTURA!AN73,CODIFICACION!$F$2:$F$500,0))),"⚠"))</f>
        <v/>
      </c>
      <c r="J73" t="str">
        <f>IF(CAPTURA!AO73="","",IFERROR(IF(INDEX(CODIFICACION!$E$2:$E$500,MATCH("D1.4|"&amp;CAPTURA!AO73,CODIFICACION!$F$2:$F$500,0))="sin dato","",INDEX(CODIFICACION!$E$2:$E$500,MATCH("D1.4|"&amp;CAPTURA!AO73,CODIFICACION!$F$2:$F$500,0))),"⚠"))</f>
        <v/>
      </c>
      <c r="K73" t="str">
        <f>IF(CAPTURA!AP73="","",IFERROR(IF(INDEX(CODIFICACION!$E$2:$E$500,MATCH("D1.3a|"&amp;CAPTURA!AP73,CODIFICACION!$F$2:$F$500,0))="sin dato","",INDEX(CODIFICACION!$E$2:$E$500,MATCH("D1.3a|"&amp;CAPTURA!AP73,CODIFICACION!$F$2:$F$500,0))),"⚠"))</f>
        <v/>
      </c>
      <c r="L73" t="str">
        <f>IF(CAPTURA!AQ73="","",IF(AND(ISNUMBER(CAPTURA!AQ73),CAPTURA!AQ73&gt;=0,CAPTURA!AQ73&lt;=4),CAPTURA!AQ73*25,"⚠"))</f>
        <v/>
      </c>
      <c r="M73" t="str">
        <f>IF(CAPTURA!AR73="","",IF(ISNUMBER(CAPTURA!AR73),MAX(0,MIN(100,CAPTURA!AR73)),"⚠"))</f>
        <v/>
      </c>
      <c r="N73" t="str">
        <f>IF(CAPTURA!AS73="","",IF(AND(ISNUMBER(CAPTURA!AS73),CAPTURA!AS73&gt;=0,CAPTURA!AS73&lt;=4),CAPTURA!AS73*25,"⚠"))</f>
        <v/>
      </c>
      <c r="O73" t="str">
        <f>IF(CAPTURA!AT73="","",IFERROR(IF(INDEX(CODIFICACION!$E$2:$E$500,MATCH("D2.8|"&amp;CAPTURA!AT73,CODIFICACION!$F$2:$F$500,0))="sin dato","",INDEX(CODIFICACION!$E$2:$E$500,MATCH("D2.8|"&amp;CAPTURA!AT73,CODIFICACION!$F$2:$F$500,0))),"⚠"))</f>
        <v/>
      </c>
      <c r="P73" t="str">
        <f>IF(CAPTURA!AU73="","",IFERROR(IF(INDEX(CODIFICACION!$E$2:$E$500,MATCH("D2.9|"&amp;CAPTURA!AU73,CODIFICACION!$F$2:$F$500,0))="sin dato","",INDEX(CODIFICACION!$E$2:$E$500,MATCH("D2.9|"&amp;CAPTURA!AU73,CODIFICACION!$F$2:$F$500,0))),"⚠"))</f>
        <v/>
      </c>
      <c r="Q73" t="str">
        <f>IF(CAPTURA!AV73="","",IFERROR(IF(INDEX(CODIFICACION!$E$2:$E$500,MATCH("D2.10|"&amp;CAPTURA!AV73,CODIFICACION!$F$2:$F$500,0))="sin dato","",INDEX(CODIFICACION!$E$2:$E$500,MATCH("D2.10|"&amp;CAPTURA!AV73,CODIFICACION!$F$2:$F$500,0))),"⚠"))</f>
        <v/>
      </c>
      <c r="R73" t="str">
        <f>IF(CAPTURA!AW73="","",IFERROR(IF(INDEX(CODIFICACION!$E$2:$E$500,MATCH("D2.5a|"&amp;CAPTURA!AW73,CODIFICACION!$F$2:$F$500,0))="sin dato","",INDEX(CODIFICACION!$E$2:$E$500,MATCH("D2.5a|"&amp;CAPTURA!AW73,CODIFICACION!$F$2:$F$500,0))),"⚠"))</f>
        <v/>
      </c>
      <c r="S73" t="str">
        <f>IF(CAPTURA!AX73="","",IFERROR(IF(INDEX(CODIFICACION!$E$2:$E$500,MATCH("D2.5b|"&amp;CAPTURA!AX73,CODIFICACION!$F$2:$F$500,0))="sin dato","",INDEX(CODIFICACION!$E$2:$E$500,MATCH("D2.5b|"&amp;CAPTURA!AX73,CODIFICACION!$F$2:$F$500,0))),"⚠"))</f>
        <v/>
      </c>
      <c r="T73" t="str">
        <f>IF(CAPTURA!AY73="","",IF(ISNUMBER(CAPTURA!AY73),MAX(0,MIN(100,CAPTURA!AY73)),"⚠"))</f>
        <v/>
      </c>
      <c r="U73" t="str">
        <f>IF(CAPTURA!AZ73="","",IFERROR(IF(INDEX(CODIFICACION!$E$2:$E$500,MATCH("D3.12|"&amp;CAPTURA!AZ73,CODIFICACION!$F$2:$F$500,0))="sin dato","",INDEX(CODIFICACION!$E$2:$E$500,MATCH("D3.12|"&amp;CAPTURA!AZ73,CODIFICACION!$F$2:$F$500,0))),"⚠"))</f>
        <v/>
      </c>
      <c r="V73" t="str">
        <f>IF(CAPTURA!BA73="","",IF(AND(ISNUMBER(CAPTURA!BA73),CAPTURA!BA73&gt;=0,CAPTURA!BA73&lt;=4),CAPTURA!BA73*25,"⚠"))</f>
        <v/>
      </c>
      <c r="W73" t="str">
        <f>IF(CAPTURA!BB73="","",IFERROR(IF(INDEX(CODIFICACION!$E$2:$E$500,MATCH("D3.14|"&amp;CAPTURA!BB73,CODIFICACION!$F$2:$F$500,0))="sin dato","",INDEX(CODIFICACION!$E$2:$E$500,MATCH("D3.14|"&amp;CAPTURA!BB73,CODIFICACION!$F$2:$F$500,0))),"⚠"))</f>
        <v/>
      </c>
      <c r="X73" t="str">
        <f>IF(CAPTURA!BC73="","",IFERROR(IF(INDEX(CODIFICACION!$E$2:$E$500,MATCH("D3.14a|"&amp;CAPTURA!BC73,CODIFICACION!$F$2:$F$500,0))="sin dato","",INDEX(CODIFICACION!$E$2:$E$500,MATCH("D3.14a|"&amp;CAPTURA!BC73,CODIFICACION!$F$2:$F$500,0))),"⚠"))</f>
        <v/>
      </c>
      <c r="Y73" t="str">
        <f>IF(CAPTURA!BD73="","",IFERROR(IF(INDEX(CODIFICACION!$E$2:$E$500,MATCH("D3.14b|"&amp;CAPTURA!BD73,CODIFICACION!$F$2:$F$500,0))="sin dato","",INDEX(CODIFICACION!$E$2:$E$500,MATCH("D3.14b|"&amp;CAPTURA!BD73,CODIFICACION!$F$2:$F$500,0))),"⚠"))</f>
        <v/>
      </c>
      <c r="Z73" t="str">
        <f>IF(CAPTURA!BE73="","",IFERROR(IF(INDEX(CODIFICACION!$E$2:$E$500,MATCH("D3.14c|"&amp;CAPTURA!BE73,CODIFICACION!$F$2:$F$500,0))="sin dato","",INDEX(CODIFICACION!$E$2:$E$500,MATCH("D3.14c|"&amp;CAPTURA!BE73,CODIFICACION!$F$2:$F$500,0))),"⚠"))</f>
        <v/>
      </c>
      <c r="AA73" t="str">
        <f>IF(CAPTURA!BF73="","",IFERROR(IF(INDEX(CODIFICACION!$E$2:$E$500,MATCH("D3.14d|"&amp;CAPTURA!BF73,CODIFICACION!$F$2:$F$500,0))="sin dato","",INDEX(CODIFICACION!$E$2:$E$500,MATCH("D3.14d|"&amp;CAPTURA!BF73,CODIFICACION!$F$2:$F$500,0))),"⚠"))</f>
        <v/>
      </c>
      <c r="AB73" t="str">
        <f>IF(CAPTURA!BG73="","",IFERROR(IF(INDEX(CODIFICACION!$E$2:$E$500,MATCH("D3.14e|"&amp;CAPTURA!BG73,CODIFICACION!$F$2:$F$500,0))="sin dato","",INDEX(CODIFICACION!$E$2:$E$500,MATCH("D3.14e|"&amp;CAPTURA!BG73,CODIFICACION!$F$2:$F$500,0))),"⚠"))</f>
        <v/>
      </c>
      <c r="AC73" t="str">
        <f>IF(CAPTURA!BH73="","",IFERROR(IF(INDEX(CODIFICACION!$E$2:$E$500,MATCH("D3.14f|"&amp;CAPTURA!BH73,CODIFICACION!$F$2:$F$500,0))="sin dato","",INDEX(CODIFICACION!$E$2:$E$500,MATCH("D3.14f|"&amp;CAPTURA!BH73,CODIFICACION!$F$2:$F$500,0))),"⚠"))</f>
        <v/>
      </c>
      <c r="AD73" t="str">
        <f>IF(CAPTURA!BI73="","",IFERROR(IF(INDEX(CODIFICACION!$E$2:$E$500,MATCH("D3.14g|"&amp;CAPTURA!BI73,CODIFICACION!$F$2:$F$500,0))="sin dato","",INDEX(CODIFICACION!$E$2:$E$500,MATCH("D3.14g|"&amp;CAPTURA!BI73,CODIFICACION!$F$2:$F$500,0))),"⚠"))</f>
        <v/>
      </c>
      <c r="AE73" t="str">
        <f>IF(CAPTURA!BJ73="","",IFERROR(IF(INDEX(CODIFICACION!$E$2:$E$500,MATCH("D3.14h|"&amp;CAPTURA!BJ73,CODIFICACION!$F$2:$F$500,0))="sin dato","",INDEX(CODIFICACION!$E$2:$E$500,MATCH("D3.14h|"&amp;CAPTURA!BJ73,CODIFICACION!$F$2:$F$500,0))),"⚠"))</f>
        <v/>
      </c>
      <c r="AF73" t="str">
        <f>IF(CAPTURA!BK73="","",IFERROR(IF(INDEX(CODIFICACION!$E$2:$E$500,MATCH("D3.14i|"&amp;CAPTURA!BK73,CODIFICACION!$F$2:$F$500,0))="sin dato","",INDEX(CODIFICACION!$E$2:$E$500,MATCH("D3.14i|"&amp;CAPTURA!BK73,CODIFICACION!$F$2:$F$500,0))),"⚠"))</f>
        <v/>
      </c>
      <c r="AG73" t="str">
        <f>IF(CAPTURA!BL73="","",IFERROR(IF(INDEX(CODIFICACION!$E$2:$E$500,MATCH("D4.15|"&amp;CAPTURA!BL73,CODIFICACION!$F$2:$F$500,0))="sin dato","",INDEX(CODIFICACION!$E$2:$E$500,MATCH("D4.15|"&amp;CAPTURA!BL73,CODIFICACION!$F$2:$F$500,0))),"⚠"))</f>
        <v/>
      </c>
      <c r="AH73" t="str">
        <f>IF(CAPTURA!BM73="","",IF(AND(ISNUMBER(CAPTURA!BM73),CAPTURA!BM73&gt;=0,CAPTURA!BM73&lt;=4),CAPTURA!BM73*25,"⚠"))</f>
        <v/>
      </c>
      <c r="AI73" t="str">
        <f>IF(CAPTURA!BN73="","",IFERROR(IF(INDEX(CODIFICACION!$E$2:$E$500,MATCH("D4.17|"&amp;CAPTURA!BN73,CODIFICACION!$F$2:$F$500,0))="sin dato","",INDEX(CODIFICACION!$E$2:$E$500,MATCH("D4.17|"&amp;CAPTURA!BN73,CODIFICACION!$F$2:$F$500,0))),"⚠"))</f>
        <v/>
      </c>
      <c r="AJ73" t="str">
        <f>IF(CAPTURA!BO73="","",IFERROR(IF(INDEX(CODIFICACION!$E$2:$E$500,MATCH("D4.15a|"&amp;CAPTURA!BO73,CODIFICACION!$F$2:$F$500,0))="sin dato","",INDEX(CODIFICACION!$E$2:$E$500,MATCH("D4.15a|"&amp;CAPTURA!BO73,CODIFICACION!$F$2:$F$500,0))),"⚠"))</f>
        <v/>
      </c>
      <c r="AK73" t="str">
        <f>IF(CAPTURA!BP73="","",IF(AND(ISNUMBER(CAPTURA!BP73),CAPTURA!BP73&gt;=0,CAPTURA!BP73&lt;=4),CAPTURA!BP73*25,"⚠"))</f>
        <v/>
      </c>
      <c r="AL73" t="str">
        <f>IF(CAPTURA!BQ73="","",IF(AND(ISNUMBER(CAPTURA!BQ73),CAPTURA!BQ73&gt;=0,CAPTURA!BQ73&lt;=4),CAPTURA!BQ73*25,"⚠"))</f>
        <v/>
      </c>
      <c r="AM73" t="str">
        <f>IF(CAPTURA!BR73="","",IFERROR(IF(INDEX(CODIFICACION!$E$2:$E$500,MATCH("D5.18b|"&amp;CAPTURA!BR73,CODIFICACION!$F$2:$F$500,0))="sin dato","",INDEX(CODIFICACION!$E$2:$E$500,MATCH("D5.18b|"&amp;CAPTURA!BR73,CODIFICACION!$F$2:$F$500,0))),"⚠"))</f>
        <v/>
      </c>
      <c r="AN73" t="str">
        <f>IF(CAPTURA!BS73="","",IFERROR(IF(INDEX(CODIFICACION!$E$2:$E$500,MATCH("D5.19|"&amp;CAPTURA!BS73,CODIFICACION!$F$2:$F$500,0))="sin dato","",INDEX(CODIFICACION!$E$2:$E$500,MATCH("D5.19|"&amp;CAPTURA!BS73,CODIFICACION!$F$2:$F$500,0))),"⚠"))</f>
        <v/>
      </c>
      <c r="AO73" t="str">
        <f>IF(CAPTURA!BT73="","",MIN(100,ROUND((LEN(CAPTURA!BT73)-LEN(SUBSTITUTE(CAPTURA!BT73,";",""))+1)/7*100,1)))</f>
        <v/>
      </c>
      <c r="AP73" t="str">
        <f>IF(CAPTURA!BU73="","",IFERROR(IF(INDEX(CODIFICACION!$E$2:$E$500,MATCH("D5.20|"&amp;CAPTURA!BU73,CODIFICACION!$F$2:$F$500,0))="sin dato","",INDEX(CODIFICACION!$E$2:$E$500,MATCH("D5.20|"&amp;CAPTURA!BU73,CODIFICACION!$F$2:$F$500,0))),"⚠"))</f>
        <v/>
      </c>
      <c r="AQ73" t="str">
        <f>IF(CAPTURA!BV73="","",IFERROR(IF(INDEX(CODIFICACION!$E$2:$E$500,MATCH("D5.21|"&amp;CAPTURA!BV73,CODIFICACION!$F$2:$F$500,0))="sin dato","",INDEX(CODIFICACION!$E$2:$E$500,MATCH("D5.21|"&amp;CAPTURA!BV73,CODIFICACION!$F$2:$F$500,0))),"⚠"))</f>
        <v/>
      </c>
      <c r="AR73" t="str">
        <f>IF(CAPTURA!BW73="","",IFERROR(IF(INDEX(CODIFICACION!$E$2:$E$500,MATCH("D5.21a|"&amp;CAPTURA!BW73,CODIFICACION!$F$2:$F$500,0))="sin dato","",INDEX(CODIFICACION!$E$2:$E$500,MATCH("D5.21a|"&amp;CAPTURA!BW73,CODIFICACION!$F$2:$F$500,0))),"⚠"))</f>
        <v/>
      </c>
      <c r="AS73" t="str">
        <f>IF(CAPTURA!BX73="","",IFERROR(IF(INDEX(CODIFICACION!$E$2:$E$500,MATCH("D5.21b|"&amp;CAPTURA!BX73,CODIFICACION!$F$2:$F$500,0))="sin dato","",INDEX(CODIFICACION!$E$2:$E$500,MATCH("D5.21b|"&amp;CAPTURA!BX73,CODIFICACION!$F$2:$F$500,0))),"⚠"))</f>
        <v/>
      </c>
      <c r="AT73" t="str">
        <f>IF(CAPTURA!BY73="","",IFERROR(IF(INDEX(CODIFICACION!$E$2:$E$500,MATCH("D6.22|"&amp;CAPTURA!BY73,CODIFICACION!$F$2:$F$500,0))="sin dato","",INDEX(CODIFICACION!$E$2:$E$500,MATCH("D6.22|"&amp;CAPTURA!BY73,CODIFICACION!$F$2:$F$500,0))),"⚠"))</f>
        <v/>
      </c>
      <c r="AU73" t="str">
        <f>IF(CAPTURA!BZ73="","",IFERROR(IF(INDEX(CODIFICACION!$E$2:$E$500,MATCH("D6.22a|"&amp;CAPTURA!BZ73,CODIFICACION!$F$2:$F$500,0))="sin dato","",INDEX(CODIFICACION!$E$2:$E$500,MATCH("D6.22a|"&amp;CAPTURA!BZ73,CODIFICACION!$F$2:$F$500,0))),"⚠"))</f>
        <v/>
      </c>
      <c r="AV73" t="str">
        <f>IF(CAPTURA!CA73="","",IFERROR(IF(INDEX(CODIFICACION!$E$2:$E$500,MATCH("D6.22b|"&amp;CAPTURA!CA73,CODIFICACION!$F$2:$F$500,0))="sin dato","",INDEX(CODIFICACION!$E$2:$E$500,MATCH("D6.22b|"&amp;CAPTURA!CA73,CODIFICACION!$F$2:$F$500,0))),"⚠"))</f>
        <v/>
      </c>
      <c r="AW73" t="str">
        <f>IF(CAPTURA!CB73="","",IFERROR(IF(INDEX(CODIFICACION!$E$2:$E$500,MATCH("D6.23|"&amp;CAPTURA!CB73,CODIFICACION!$F$2:$F$500,0))="sin dato","",INDEX(CODIFICACION!$E$2:$E$500,MATCH("D6.23|"&amp;CAPTURA!CB73,CODIFICACION!$F$2:$F$500,0))),"⚠"))</f>
        <v/>
      </c>
      <c r="AX73" t="str">
        <f>IF(CAPTURA!CC73="","",IFERROR(IF(INDEX(CODIFICACION!$E$2:$E$500,MATCH("D6.24|"&amp;CAPTURA!CC73,CODIFICACION!$F$2:$F$500,0))="sin dato","",INDEX(CODIFICACION!$E$2:$E$500,MATCH("D6.24|"&amp;CAPTURA!CC73,CODIFICACION!$F$2:$F$500,0))),"⚠"))</f>
        <v/>
      </c>
      <c r="AY73" t="str">
        <f>IF(CAPTURA!CD73="","",IFERROR(IF(INDEX(CODIFICACION!$E$2:$E$500,MATCH("D6.25|"&amp;CAPTURA!CD73,CODIFICACION!$F$2:$F$500,0))="sin dato","",INDEX(CODIFICACION!$E$2:$E$500,MATCH("D6.25|"&amp;CAPTURA!CD73,CODIFICACION!$F$2:$F$500,0))),"⚠"))</f>
        <v/>
      </c>
      <c r="AZ73" t="str">
        <f>IF(CAPTURA!CE73="","",IFERROR(IF(INDEX(CODIFICACION!$E$2:$E$500,MATCH("D6.25a|"&amp;CAPTURA!CE73,CODIFICACION!$F$2:$F$500,0))="sin dato","",INDEX(CODIFICACION!$E$2:$E$500,MATCH("D6.25a|"&amp;CAPTURA!CE73,CODIFICACION!$F$2:$F$500,0))),"⚠"))</f>
        <v/>
      </c>
      <c r="BA73" t="str">
        <f>IF(CAPTURA!CF73="","",IFERROR(IF(INDEX(CODIFICACION!$E$2:$E$500,MATCH("D6.25b|"&amp;CAPTURA!CF73,CODIFICACION!$F$2:$F$500,0))="sin dato","",INDEX(CODIFICACION!$E$2:$E$500,MATCH("D6.25b|"&amp;CAPTURA!CF73,CODIFICACION!$F$2:$F$500,0))),"⚠"))</f>
        <v/>
      </c>
      <c r="BB73" t="str">
        <f>IF(CAPTURA!CG73="","",IFERROR(IF(INDEX(CODIFICACION!$E$2:$E$500,MATCH("D6.22c|"&amp;CAPTURA!CG73,CODIFICACION!$F$2:$F$500,0))="sin dato","",INDEX(CODIFICACION!$E$2:$E$500,MATCH("D6.22c|"&amp;CAPTURA!CG73,CODIFICACION!$F$2:$F$500,0))),"⚠"))</f>
        <v/>
      </c>
      <c r="BC73" t="str">
        <f>IF(CAPTURA!CH73="","",IFERROR(IF(INDEX(CODIFICACION!$E$2:$E$500,MATCH("D7.26|"&amp;CAPTURA!CH73,CODIFICACION!$F$2:$F$500,0))="sin dato","",INDEX(CODIFICACION!$E$2:$E$500,MATCH("D7.26|"&amp;CAPTURA!CH73,CODIFICACION!$F$2:$F$500,0))),"⚠"))</f>
        <v/>
      </c>
      <c r="BD73" t="str">
        <f>IF(CAPTURA!CI73="","",IFERROR(IF(INDEX(CODIFICACION!$E$2:$E$500,MATCH("D7.27|"&amp;CAPTURA!CI73,CODIFICACION!$F$2:$F$500,0))="sin dato","",INDEX(CODIFICACION!$E$2:$E$500,MATCH("D7.27|"&amp;CAPTURA!CI73,CODIFICACION!$F$2:$F$500,0))),"⚠"))</f>
        <v/>
      </c>
      <c r="BE73" t="str">
        <f>IF(CAPTURA!CJ73="","",IFERROR(IF(INDEX(CODIFICACION!$E$2:$E$500,MATCH("D7.28|"&amp;CAPTURA!CJ73,CODIFICACION!$F$2:$F$500,0))="sin dato","",INDEX(CODIFICACION!$E$2:$E$500,MATCH("D7.28|"&amp;CAPTURA!CJ73,CODIFICACION!$F$2:$F$500,0))),"⚠"))</f>
        <v/>
      </c>
      <c r="BF73" t="str">
        <f>IF(CAPTURA!CK73="","",IFERROR(IF(INDEX(CODIFICACION!$E$2:$E$500,MATCH("D7.28b|"&amp;CAPTURA!CK73,CODIFICACION!$F$2:$F$500,0))="sin dato","",INDEX(CODIFICACION!$E$2:$E$500,MATCH("D7.28b|"&amp;CAPTURA!CK73,CODIFICACION!$F$2:$F$500,0))),"⚠"))</f>
        <v/>
      </c>
      <c r="BG73" t="str">
        <f>IF(CAPTURA!CL73="","",MIN(100,ROUND((LEN(CAPTURA!CL73)-LEN(SUBSTITUTE(CAPTURA!CL73,";",""))+1)/8*100,1)))</f>
        <v/>
      </c>
      <c r="BH73" t="str">
        <f>IF(CAPTURA!CM73="","",IFERROR(IF(INDEX(CODIFICACION!$E$2:$E$500,MATCH("D7.26a|"&amp;CAPTURA!CM73,CODIFICACION!$F$2:$F$500,0))="sin dato","",INDEX(CODIFICACION!$E$2:$E$500,MATCH("D7.26a|"&amp;CAPTURA!CM73,CODIFICACION!$F$2:$F$500,0))),"⚠"))</f>
        <v/>
      </c>
      <c r="BI73" t="str">
        <f>IF(CAPTURA!CN73="","",IFERROR(IF(INDEX(CODIFICACION!$E$2:$E$500,MATCH("D7.26b|"&amp;CAPTURA!CN73,CODIFICACION!$F$2:$F$500,0))="sin dato","",INDEX(CODIFICACION!$E$2:$E$500,MATCH("D7.26b|"&amp;CAPTURA!CN73,CODIFICACION!$F$2:$F$500,0))),"⚠"))</f>
        <v/>
      </c>
      <c r="BJ73" t="str">
        <f>IF(CAPTURA!CO73="","",IF(AND(ISNUMBER(CAPTURA!CO73),CAPTURA!CO73&gt;=0,CAPTURA!CO73&lt;=4),CAPTURA!CO73*25,"⚠"))</f>
        <v/>
      </c>
      <c r="BK73" t="str">
        <f>IF(CAPTURA!CP73="","",IF(ISNUMBER(CAPTURA!CP73),MAX(0,MIN(100,CAPTURA!CP73)),"⚠"))</f>
        <v/>
      </c>
      <c r="BL73" t="str">
        <f>IF(CAPTURA!CQ73="","",IFERROR(IF(INDEX(CODIFICACION!$E$2:$E$500,MATCH("D8.31|"&amp;CAPTURA!CQ73,CODIFICACION!$F$2:$F$500,0))="sin dato","",INDEX(CODIFICACION!$E$2:$E$500,MATCH("D8.31|"&amp;CAPTURA!CQ73,CODIFICACION!$F$2:$F$500,0))),"⚠"))</f>
        <v/>
      </c>
      <c r="BM73" t="str">
        <f>IF(CAPTURA!CR73="","",IFERROR(IF(INDEX(CODIFICACION!$E$2:$E$500,MATCH("D8.32|"&amp;CAPTURA!CR73,CODIFICACION!$F$2:$F$500,0))="sin dato","",INDEX(CODIFICACION!$E$2:$E$500,MATCH("D8.32|"&amp;CAPTURA!CR73,CODIFICACION!$F$2:$F$500,0))),"⚠"))</f>
        <v/>
      </c>
      <c r="BN73" t="str">
        <f>IF(CAPTURA!CS73="","",IFERROR(IF(INDEX(CODIFICACION!$E$2:$E$500,MATCH("D9.33|"&amp;CAPTURA!CS73,CODIFICACION!$F$2:$F$500,0))="sin dato","",INDEX(CODIFICACION!$E$2:$E$500,MATCH("D9.33|"&amp;CAPTURA!CS73,CODIFICACION!$F$2:$F$500,0))),"⚠"))</f>
        <v/>
      </c>
      <c r="BO73" t="str">
        <f>IF(CAPTURA!CT73="","",IFERROR(IF(INDEX(CODIFICACION!$E$2:$E$500,MATCH("D9.34|"&amp;CAPTURA!CT73,CODIFICACION!$F$2:$F$500,0))="sin dato","",INDEX(CODIFICACION!$E$2:$E$500,MATCH("D9.34|"&amp;CAPTURA!CT73,CODIFICACION!$F$2:$F$500,0))),"⚠"))</f>
        <v/>
      </c>
      <c r="BP73" t="str">
        <f>IF(CAPTURA!CU73="","",IFERROR(IF(INDEX(CODIFICACION!$E$2:$E$500,MATCH("D9.35|"&amp;CAPTURA!CU73,CODIFICACION!$F$2:$F$500,0))="sin dato","",INDEX(CODIFICACION!$E$2:$E$500,MATCH("D9.35|"&amp;CAPTURA!CU73,CODIFICACION!$F$2:$F$500,0))),"⚠"))</f>
        <v/>
      </c>
      <c r="BQ73" t="str">
        <f>IF(CAPTURA!CV73="","",IFERROR(IF(INDEX(CODIFICACION!$E$2:$E$500,MATCH("D10.36|"&amp;CAPTURA!CV73,CODIFICACION!$F$2:$F$500,0))="sin dato","",INDEX(CODIFICACION!$E$2:$E$500,MATCH("D10.36|"&amp;CAPTURA!CV73,CODIFICACION!$F$2:$F$500,0))),"⚠"))</f>
        <v/>
      </c>
      <c r="BR73" t="str">
        <f>IF(CAPTURA!CW73="","",IFERROR(IF(INDEX(CODIFICACION!$E$2:$E$500,MATCH("D10.37|"&amp;CAPTURA!CW73,CODIFICACION!$F$2:$F$500,0))="sin dato","",INDEX(CODIFICACION!$E$2:$E$500,MATCH("D10.37|"&amp;CAPTURA!CW73,CODIFICACION!$F$2:$F$500,0))),"⚠"))</f>
        <v/>
      </c>
      <c r="BS73" t="str">
        <f>IF(CAPTURA!CX73="","",IFERROR(IF(INDEX(CODIFICACION!$E$2:$E$500,MATCH("D10.36a|"&amp;CAPTURA!CX73,CODIFICACION!$F$2:$F$500,0))="sin dato","",INDEX(CODIFICACION!$E$2:$E$500,MATCH("D10.36a|"&amp;CAPTURA!CX73,CODIFICACION!$F$2:$F$500,0))),"⚠"))</f>
        <v/>
      </c>
      <c r="BT73" t="str">
        <f>IF(CAPTURA!CY73="","",IF(ISNUMBER(SEARCH("Ninguno",CAPTURA!CY73)),0,MIN(100,ROUND((LEN(CAPTURA!CY73)-LEN(SUBSTITUTE(CAPTURA!CY73,";",""))+1)/6*100,1))))</f>
        <v/>
      </c>
      <c r="BU73" t="str">
        <f>IF(CAPTURA!DA73="","",IFERROR(IF(INDEX(CODIFICACION!$E$2:$E$500,MATCH("D11.39a|"&amp;CAPTURA!DA73,CODIFICACION!$F$2:$F$500,0))="sin dato","",INDEX(CODIFICACION!$E$2:$E$500,MATCH("D11.39a|"&amp;CAPTURA!DA73,CODIFICACION!$F$2:$F$500,0))),"⚠"))</f>
        <v/>
      </c>
      <c r="BV73" t="str">
        <f>IF(CAPTURA!DB73="","",IFERROR(IF(INDEX(CODIFICACION!$E$2:$E$500,MATCH("D12.42|"&amp;CAPTURA!DB73,CODIFICACION!$F$2:$F$500,0))="sin dato","",INDEX(CODIFICACION!$E$2:$E$500,MATCH("D12.42|"&amp;CAPTURA!DB73,CODIFICACION!$F$2:$F$500,0))),"⚠"))</f>
        <v/>
      </c>
      <c r="BW73" t="str">
        <f>IF(CAPTURA!DC73="","",IFERROR(IF(INDEX(CODIFICACION!$E$2:$E$500,MATCH("D13.45|"&amp;CAPTURA!DC73,CODIFICACION!$F$2:$F$500,0))="sin dato","",INDEX(CODIFICACION!$E$2:$E$500,MATCH("D13.45|"&amp;CAPTURA!DC73,CODIFICACION!$F$2:$F$500,0))),"⚠"))</f>
        <v/>
      </c>
      <c r="BX73" t="str">
        <f>IF(CAPTURA!DD73="","",IFERROR(IF(INDEX(CODIFICACION!$E$2:$E$500,MATCH("D14.51|"&amp;CAPTURA!DD73,CODIFICACION!$F$2:$F$500,0))="sin dato","",INDEX(CODIFICACION!$E$2:$E$500,MATCH("D14.51|"&amp;CAPTURA!DD73,CODIFICACION!$F$2:$F$500,0))),"⚠"))</f>
        <v/>
      </c>
      <c r="BY73" t="str">
        <f>IF(CAPTURA!DE73="","",IFERROR(IF(INDEX(CODIFICACION!$E$2:$E$500,MATCH("D15.58|"&amp;CAPTURA!DE73,CODIFICACION!$F$2:$F$500,0))="sin dato","",INDEX(CODIFICACION!$E$2:$E$500,MATCH("D15.58|"&amp;CAPTURA!DE73,CODIFICACION!$F$2:$F$500,0))),"⚠"))</f>
        <v/>
      </c>
      <c r="BZ73" t="str">
        <f>IF(CAPTURA!DF73="","",IFERROR(IF(INDEX(CODIFICACION!$E$2:$E$500,MATCH("PP1|"&amp;CAPTURA!DF73,CODIFICACION!$F$2:$F$500,0))="sin dato","",INDEX(CODIFICACION!$E$2:$E$500,MATCH("PP1|"&amp;CAPTURA!DF73,CODIFICACION!$F$2:$F$500,0))),"⚠"))</f>
        <v/>
      </c>
      <c r="CA73" t="str">
        <f>IF(CAPTURA!DG73="","",IFERROR(IF(INDEX(CODIFICACION!$E$2:$E$500,MATCH("PP2|"&amp;CAPTURA!DG73,CODIFICACION!$F$2:$F$500,0))="sin dato","",INDEX(CODIFICACION!$E$2:$E$500,MATCH("PP2|"&amp;CAPTURA!DG73,CODIFICACION!$F$2:$F$500,0))),"⚠"))</f>
        <v/>
      </c>
      <c r="CB73" t="str">
        <f t="shared" si="22"/>
        <v/>
      </c>
      <c r="CC73" t="str">
        <f t="shared" si="23"/>
        <v/>
      </c>
      <c r="CD73" t="str">
        <f t="shared" si="24"/>
        <v/>
      </c>
      <c r="CE73" t="str">
        <f t="shared" si="25"/>
        <v/>
      </c>
      <c r="CF73" t="str">
        <f t="shared" si="26"/>
        <v/>
      </c>
      <c r="CG73" t="str">
        <f t="shared" si="27"/>
        <v/>
      </c>
      <c r="CH73" t="str">
        <f t="shared" si="28"/>
        <v/>
      </c>
      <c r="CI73" t="str">
        <f t="shared" si="29"/>
        <v/>
      </c>
      <c r="CJ73" t="str">
        <f t="shared" si="30"/>
        <v/>
      </c>
      <c r="CK73" t="str">
        <f t="shared" si="31"/>
        <v/>
      </c>
      <c r="CL73" t="str">
        <f t="shared" si="32"/>
        <v/>
      </c>
    </row>
    <row r="74" spans="1:90" x14ac:dyDescent="0.3">
      <c r="A74">
        <f>CAPTURA!A74</f>
        <v>20542289024</v>
      </c>
      <c r="B74">
        <f>CAPTURA!C74</f>
        <v>0</v>
      </c>
      <c r="C74" t="str">
        <f>IF(CAPTURA!M74="","",ROUND((ISNUMBER(SEARCH("Alemania",CAPTURA!M74))+ISNUMBER(SEARCH("Bélgica",CAPTURA!M74))+ISNUMBER(SEARCH("Países Bajos",CAPTURA!M74))+ISNUMBER(SEARCH("Francia",CAPTURA!M74))+ISNUMBER(SEARCH("Italia",CAPTURA!M74))+ISNUMBER(SEARCH("España",CAPTURA!M74))+ISNUMBER(SEARCH("Suecia",CAPTURA!M74))+ISNUMBER(SEARCH("Dinamarca",CAPTURA!M74)))/((LEN(CAPTURA!M74)-LEN(SUBSTITUTE(CAPTURA!M74,";","")))+1)*100,1))</f>
        <v/>
      </c>
      <c r="D74" t="str">
        <f>IF(CAPTURA!AE74="","",IFERROR(IF(INDEX(CODIFICACION!$E$2:$E$500,MATCH("P8|"&amp;CAPTURA!AE74,CODIFICACION!$F$2:$F$500,0))="sin dato","",INDEX(CODIFICACION!$E$2:$E$500,MATCH("P8|"&amp;CAPTURA!AE74,CODIFICACION!$F$2:$F$500,0))),"⚠"))</f>
        <v/>
      </c>
      <c r="E74" t="str">
        <f>IF(CAPTURA!AG74="","",IFERROR(IF(INDEX(CODIFICACION!$E$2:$E$500,MATCH("P10|"&amp;CAPTURA!AG74,CODIFICACION!$F$2:$F$500,0))="sin dato","",INDEX(CODIFICACION!$E$2:$E$500,MATCH("P10|"&amp;CAPTURA!AG74,CODIFICACION!$F$2:$F$500,0))),"⚠"))</f>
        <v/>
      </c>
      <c r="F74" t="str">
        <f>IF(CAPTURA!AJ74="","",IFERROR(IF(INDEX(CODIFICACION!$E$2:$E$500,MATCH("P13|"&amp;CAPTURA!AJ74,CODIFICACION!$F$2:$F$500,0))="sin dato","",INDEX(CODIFICACION!$E$2:$E$500,MATCH("P13|"&amp;CAPTURA!AJ74,CODIFICACION!$F$2:$F$500,0))),"⚠"))</f>
        <v/>
      </c>
      <c r="G74" t="str">
        <f>IF(CAPTURA!AK74="","",IFERROR(IF(INDEX(CODIFICACION!$E$2:$E$500,MATCH("P14|"&amp;CAPTURA!AK74,CODIFICACION!$F$2:$F$500,0))="sin dato","",INDEX(CODIFICACION!$E$2:$E$500,MATCH("P14|"&amp;CAPTURA!AK74,CODIFICACION!$F$2:$F$500,0))),"⚠"))</f>
        <v/>
      </c>
      <c r="H74" t="str">
        <f>IF(CAPTURA!AL74="","",IFERROR(IF(INDEX(CODIFICACION!$E$2:$E$500,MATCH("D1.1|"&amp;CAPTURA!AL74,CODIFICACION!$F$2:$F$500,0))="sin dato","",INDEX(CODIFICACION!$E$2:$E$500,MATCH("D1.1|"&amp;CAPTURA!AL74,CODIFICACION!$F$2:$F$500,0))),"⚠"))</f>
        <v/>
      </c>
      <c r="I74" t="str">
        <f>IF(CAPTURA!AN74="","",IFERROR(IF(INDEX(CODIFICACION!$E$2:$E$500,MATCH("D1.3|"&amp;CAPTURA!AN74,CODIFICACION!$F$2:$F$500,0))="sin dato","",INDEX(CODIFICACION!$E$2:$E$500,MATCH("D1.3|"&amp;CAPTURA!AN74,CODIFICACION!$F$2:$F$500,0))),"⚠"))</f>
        <v/>
      </c>
      <c r="J74" t="str">
        <f>IF(CAPTURA!AO74="","",IFERROR(IF(INDEX(CODIFICACION!$E$2:$E$500,MATCH("D1.4|"&amp;CAPTURA!AO74,CODIFICACION!$F$2:$F$500,0))="sin dato","",INDEX(CODIFICACION!$E$2:$E$500,MATCH("D1.4|"&amp;CAPTURA!AO74,CODIFICACION!$F$2:$F$500,0))),"⚠"))</f>
        <v/>
      </c>
      <c r="K74" t="str">
        <f>IF(CAPTURA!AP74="","",IFERROR(IF(INDEX(CODIFICACION!$E$2:$E$500,MATCH("D1.3a|"&amp;CAPTURA!AP74,CODIFICACION!$F$2:$F$500,0))="sin dato","",INDEX(CODIFICACION!$E$2:$E$500,MATCH("D1.3a|"&amp;CAPTURA!AP74,CODIFICACION!$F$2:$F$500,0))),"⚠"))</f>
        <v/>
      </c>
      <c r="L74" t="str">
        <f>IF(CAPTURA!AQ74="","",IF(AND(ISNUMBER(CAPTURA!AQ74),CAPTURA!AQ74&gt;=0,CAPTURA!AQ74&lt;=4),CAPTURA!AQ74*25,"⚠"))</f>
        <v/>
      </c>
      <c r="M74" t="str">
        <f>IF(CAPTURA!AR74="","",IF(ISNUMBER(CAPTURA!AR74),MAX(0,MIN(100,CAPTURA!AR74)),"⚠"))</f>
        <v/>
      </c>
      <c r="N74" t="str">
        <f>IF(CAPTURA!AS74="","",IF(AND(ISNUMBER(CAPTURA!AS74),CAPTURA!AS74&gt;=0,CAPTURA!AS74&lt;=4),CAPTURA!AS74*25,"⚠"))</f>
        <v/>
      </c>
      <c r="O74" t="str">
        <f>IF(CAPTURA!AT74="","",IFERROR(IF(INDEX(CODIFICACION!$E$2:$E$500,MATCH("D2.8|"&amp;CAPTURA!AT74,CODIFICACION!$F$2:$F$500,0))="sin dato","",INDEX(CODIFICACION!$E$2:$E$500,MATCH("D2.8|"&amp;CAPTURA!AT74,CODIFICACION!$F$2:$F$500,0))),"⚠"))</f>
        <v/>
      </c>
      <c r="P74" t="str">
        <f>IF(CAPTURA!AU74="","",IFERROR(IF(INDEX(CODIFICACION!$E$2:$E$500,MATCH("D2.9|"&amp;CAPTURA!AU74,CODIFICACION!$F$2:$F$500,0))="sin dato","",INDEX(CODIFICACION!$E$2:$E$500,MATCH("D2.9|"&amp;CAPTURA!AU74,CODIFICACION!$F$2:$F$500,0))),"⚠"))</f>
        <v/>
      </c>
      <c r="Q74" t="str">
        <f>IF(CAPTURA!AV74="","",IFERROR(IF(INDEX(CODIFICACION!$E$2:$E$500,MATCH("D2.10|"&amp;CAPTURA!AV74,CODIFICACION!$F$2:$F$500,0))="sin dato","",INDEX(CODIFICACION!$E$2:$E$500,MATCH("D2.10|"&amp;CAPTURA!AV74,CODIFICACION!$F$2:$F$500,0))),"⚠"))</f>
        <v/>
      </c>
      <c r="R74" t="str">
        <f>IF(CAPTURA!AW74="","",IFERROR(IF(INDEX(CODIFICACION!$E$2:$E$500,MATCH("D2.5a|"&amp;CAPTURA!AW74,CODIFICACION!$F$2:$F$500,0))="sin dato","",INDEX(CODIFICACION!$E$2:$E$500,MATCH("D2.5a|"&amp;CAPTURA!AW74,CODIFICACION!$F$2:$F$500,0))),"⚠"))</f>
        <v/>
      </c>
      <c r="S74" t="str">
        <f>IF(CAPTURA!AX74="","",IFERROR(IF(INDEX(CODIFICACION!$E$2:$E$500,MATCH("D2.5b|"&amp;CAPTURA!AX74,CODIFICACION!$F$2:$F$500,0))="sin dato","",INDEX(CODIFICACION!$E$2:$E$500,MATCH("D2.5b|"&amp;CAPTURA!AX74,CODIFICACION!$F$2:$F$500,0))),"⚠"))</f>
        <v/>
      </c>
      <c r="T74" t="str">
        <f>IF(CAPTURA!AY74="","",IF(ISNUMBER(CAPTURA!AY74),MAX(0,MIN(100,CAPTURA!AY74)),"⚠"))</f>
        <v/>
      </c>
      <c r="U74" t="str">
        <f>IF(CAPTURA!AZ74="","",IFERROR(IF(INDEX(CODIFICACION!$E$2:$E$500,MATCH("D3.12|"&amp;CAPTURA!AZ74,CODIFICACION!$F$2:$F$500,0))="sin dato","",INDEX(CODIFICACION!$E$2:$E$500,MATCH("D3.12|"&amp;CAPTURA!AZ74,CODIFICACION!$F$2:$F$500,0))),"⚠"))</f>
        <v/>
      </c>
      <c r="V74" t="str">
        <f>IF(CAPTURA!BA74="","",IF(AND(ISNUMBER(CAPTURA!BA74),CAPTURA!BA74&gt;=0,CAPTURA!BA74&lt;=4),CAPTURA!BA74*25,"⚠"))</f>
        <v/>
      </c>
      <c r="W74" t="str">
        <f>IF(CAPTURA!BB74="","",IFERROR(IF(INDEX(CODIFICACION!$E$2:$E$500,MATCH("D3.14|"&amp;CAPTURA!BB74,CODIFICACION!$F$2:$F$500,0))="sin dato","",INDEX(CODIFICACION!$E$2:$E$500,MATCH("D3.14|"&amp;CAPTURA!BB74,CODIFICACION!$F$2:$F$500,0))),"⚠"))</f>
        <v/>
      </c>
      <c r="X74" t="str">
        <f>IF(CAPTURA!BC74="","",IFERROR(IF(INDEX(CODIFICACION!$E$2:$E$500,MATCH("D3.14a|"&amp;CAPTURA!BC74,CODIFICACION!$F$2:$F$500,0))="sin dato","",INDEX(CODIFICACION!$E$2:$E$500,MATCH("D3.14a|"&amp;CAPTURA!BC74,CODIFICACION!$F$2:$F$500,0))),"⚠"))</f>
        <v/>
      </c>
      <c r="Y74" t="str">
        <f>IF(CAPTURA!BD74="","",IFERROR(IF(INDEX(CODIFICACION!$E$2:$E$500,MATCH("D3.14b|"&amp;CAPTURA!BD74,CODIFICACION!$F$2:$F$500,0))="sin dato","",INDEX(CODIFICACION!$E$2:$E$500,MATCH("D3.14b|"&amp;CAPTURA!BD74,CODIFICACION!$F$2:$F$500,0))),"⚠"))</f>
        <v/>
      </c>
      <c r="Z74" t="str">
        <f>IF(CAPTURA!BE74="","",IFERROR(IF(INDEX(CODIFICACION!$E$2:$E$500,MATCH("D3.14c|"&amp;CAPTURA!BE74,CODIFICACION!$F$2:$F$500,0))="sin dato","",INDEX(CODIFICACION!$E$2:$E$500,MATCH("D3.14c|"&amp;CAPTURA!BE74,CODIFICACION!$F$2:$F$500,0))),"⚠"))</f>
        <v/>
      </c>
      <c r="AA74" t="str">
        <f>IF(CAPTURA!BF74="","",IFERROR(IF(INDEX(CODIFICACION!$E$2:$E$500,MATCH("D3.14d|"&amp;CAPTURA!BF74,CODIFICACION!$F$2:$F$500,0))="sin dato","",INDEX(CODIFICACION!$E$2:$E$500,MATCH("D3.14d|"&amp;CAPTURA!BF74,CODIFICACION!$F$2:$F$500,0))),"⚠"))</f>
        <v/>
      </c>
      <c r="AB74" t="str">
        <f>IF(CAPTURA!BG74="","",IFERROR(IF(INDEX(CODIFICACION!$E$2:$E$500,MATCH("D3.14e|"&amp;CAPTURA!BG74,CODIFICACION!$F$2:$F$500,0))="sin dato","",INDEX(CODIFICACION!$E$2:$E$500,MATCH("D3.14e|"&amp;CAPTURA!BG74,CODIFICACION!$F$2:$F$500,0))),"⚠"))</f>
        <v/>
      </c>
      <c r="AC74" t="str">
        <f>IF(CAPTURA!BH74="","",IFERROR(IF(INDEX(CODIFICACION!$E$2:$E$500,MATCH("D3.14f|"&amp;CAPTURA!BH74,CODIFICACION!$F$2:$F$500,0))="sin dato","",INDEX(CODIFICACION!$E$2:$E$500,MATCH("D3.14f|"&amp;CAPTURA!BH74,CODIFICACION!$F$2:$F$500,0))),"⚠"))</f>
        <v/>
      </c>
      <c r="AD74" t="str">
        <f>IF(CAPTURA!BI74="","",IFERROR(IF(INDEX(CODIFICACION!$E$2:$E$500,MATCH("D3.14g|"&amp;CAPTURA!BI74,CODIFICACION!$F$2:$F$500,0))="sin dato","",INDEX(CODIFICACION!$E$2:$E$500,MATCH("D3.14g|"&amp;CAPTURA!BI74,CODIFICACION!$F$2:$F$500,0))),"⚠"))</f>
        <v/>
      </c>
      <c r="AE74" t="str">
        <f>IF(CAPTURA!BJ74="","",IFERROR(IF(INDEX(CODIFICACION!$E$2:$E$500,MATCH("D3.14h|"&amp;CAPTURA!BJ74,CODIFICACION!$F$2:$F$500,0))="sin dato","",INDEX(CODIFICACION!$E$2:$E$500,MATCH("D3.14h|"&amp;CAPTURA!BJ74,CODIFICACION!$F$2:$F$500,0))),"⚠"))</f>
        <v/>
      </c>
      <c r="AF74" t="str">
        <f>IF(CAPTURA!BK74="","",IFERROR(IF(INDEX(CODIFICACION!$E$2:$E$500,MATCH("D3.14i|"&amp;CAPTURA!BK74,CODIFICACION!$F$2:$F$500,0))="sin dato","",INDEX(CODIFICACION!$E$2:$E$500,MATCH("D3.14i|"&amp;CAPTURA!BK74,CODIFICACION!$F$2:$F$500,0))),"⚠"))</f>
        <v/>
      </c>
      <c r="AG74" t="str">
        <f>IF(CAPTURA!BL74="","",IFERROR(IF(INDEX(CODIFICACION!$E$2:$E$500,MATCH("D4.15|"&amp;CAPTURA!BL74,CODIFICACION!$F$2:$F$500,0))="sin dato","",INDEX(CODIFICACION!$E$2:$E$500,MATCH("D4.15|"&amp;CAPTURA!BL74,CODIFICACION!$F$2:$F$500,0))),"⚠"))</f>
        <v/>
      </c>
      <c r="AH74" t="str">
        <f>IF(CAPTURA!BM74="","",IF(AND(ISNUMBER(CAPTURA!BM74),CAPTURA!BM74&gt;=0,CAPTURA!BM74&lt;=4),CAPTURA!BM74*25,"⚠"))</f>
        <v/>
      </c>
      <c r="AI74" t="str">
        <f>IF(CAPTURA!BN74="","",IFERROR(IF(INDEX(CODIFICACION!$E$2:$E$500,MATCH("D4.17|"&amp;CAPTURA!BN74,CODIFICACION!$F$2:$F$500,0))="sin dato","",INDEX(CODIFICACION!$E$2:$E$500,MATCH("D4.17|"&amp;CAPTURA!BN74,CODIFICACION!$F$2:$F$500,0))),"⚠"))</f>
        <v/>
      </c>
      <c r="AJ74" t="str">
        <f>IF(CAPTURA!BO74="","",IFERROR(IF(INDEX(CODIFICACION!$E$2:$E$500,MATCH("D4.15a|"&amp;CAPTURA!BO74,CODIFICACION!$F$2:$F$500,0))="sin dato","",INDEX(CODIFICACION!$E$2:$E$500,MATCH("D4.15a|"&amp;CAPTURA!BO74,CODIFICACION!$F$2:$F$500,0))),"⚠"))</f>
        <v/>
      </c>
      <c r="AK74" t="str">
        <f>IF(CAPTURA!BP74="","",IF(AND(ISNUMBER(CAPTURA!BP74),CAPTURA!BP74&gt;=0,CAPTURA!BP74&lt;=4),CAPTURA!BP74*25,"⚠"))</f>
        <v/>
      </c>
      <c r="AL74" t="str">
        <f>IF(CAPTURA!BQ74="","",IF(AND(ISNUMBER(CAPTURA!BQ74),CAPTURA!BQ74&gt;=0,CAPTURA!BQ74&lt;=4),CAPTURA!BQ74*25,"⚠"))</f>
        <v/>
      </c>
      <c r="AM74" t="str">
        <f>IF(CAPTURA!BR74="","",IFERROR(IF(INDEX(CODIFICACION!$E$2:$E$500,MATCH("D5.18b|"&amp;CAPTURA!BR74,CODIFICACION!$F$2:$F$500,0))="sin dato","",INDEX(CODIFICACION!$E$2:$E$500,MATCH("D5.18b|"&amp;CAPTURA!BR74,CODIFICACION!$F$2:$F$500,0))),"⚠"))</f>
        <v/>
      </c>
      <c r="AN74" t="str">
        <f>IF(CAPTURA!BS74="","",IFERROR(IF(INDEX(CODIFICACION!$E$2:$E$500,MATCH("D5.19|"&amp;CAPTURA!BS74,CODIFICACION!$F$2:$F$500,0))="sin dato","",INDEX(CODIFICACION!$E$2:$E$500,MATCH("D5.19|"&amp;CAPTURA!BS74,CODIFICACION!$F$2:$F$500,0))),"⚠"))</f>
        <v/>
      </c>
      <c r="AO74" t="str">
        <f>IF(CAPTURA!BT74="","",MIN(100,ROUND((LEN(CAPTURA!BT74)-LEN(SUBSTITUTE(CAPTURA!BT74,";",""))+1)/7*100,1)))</f>
        <v/>
      </c>
      <c r="AP74" t="str">
        <f>IF(CAPTURA!BU74="","",IFERROR(IF(INDEX(CODIFICACION!$E$2:$E$500,MATCH("D5.20|"&amp;CAPTURA!BU74,CODIFICACION!$F$2:$F$500,0))="sin dato","",INDEX(CODIFICACION!$E$2:$E$500,MATCH("D5.20|"&amp;CAPTURA!BU74,CODIFICACION!$F$2:$F$500,0))),"⚠"))</f>
        <v/>
      </c>
      <c r="AQ74" t="str">
        <f>IF(CAPTURA!BV74="","",IFERROR(IF(INDEX(CODIFICACION!$E$2:$E$500,MATCH("D5.21|"&amp;CAPTURA!BV74,CODIFICACION!$F$2:$F$500,0))="sin dato","",INDEX(CODIFICACION!$E$2:$E$500,MATCH("D5.21|"&amp;CAPTURA!BV74,CODIFICACION!$F$2:$F$500,0))),"⚠"))</f>
        <v/>
      </c>
      <c r="AR74" t="str">
        <f>IF(CAPTURA!BW74="","",IFERROR(IF(INDEX(CODIFICACION!$E$2:$E$500,MATCH("D5.21a|"&amp;CAPTURA!BW74,CODIFICACION!$F$2:$F$500,0))="sin dato","",INDEX(CODIFICACION!$E$2:$E$500,MATCH("D5.21a|"&amp;CAPTURA!BW74,CODIFICACION!$F$2:$F$500,0))),"⚠"))</f>
        <v/>
      </c>
      <c r="AS74" t="str">
        <f>IF(CAPTURA!BX74="","",IFERROR(IF(INDEX(CODIFICACION!$E$2:$E$500,MATCH("D5.21b|"&amp;CAPTURA!BX74,CODIFICACION!$F$2:$F$500,0))="sin dato","",INDEX(CODIFICACION!$E$2:$E$500,MATCH("D5.21b|"&amp;CAPTURA!BX74,CODIFICACION!$F$2:$F$500,0))),"⚠"))</f>
        <v/>
      </c>
      <c r="AT74" t="str">
        <f>IF(CAPTURA!BY74="","",IFERROR(IF(INDEX(CODIFICACION!$E$2:$E$500,MATCH("D6.22|"&amp;CAPTURA!BY74,CODIFICACION!$F$2:$F$500,0))="sin dato","",INDEX(CODIFICACION!$E$2:$E$500,MATCH("D6.22|"&amp;CAPTURA!BY74,CODIFICACION!$F$2:$F$500,0))),"⚠"))</f>
        <v/>
      </c>
      <c r="AU74" t="str">
        <f>IF(CAPTURA!BZ74="","",IFERROR(IF(INDEX(CODIFICACION!$E$2:$E$500,MATCH("D6.22a|"&amp;CAPTURA!BZ74,CODIFICACION!$F$2:$F$500,0))="sin dato","",INDEX(CODIFICACION!$E$2:$E$500,MATCH("D6.22a|"&amp;CAPTURA!BZ74,CODIFICACION!$F$2:$F$500,0))),"⚠"))</f>
        <v/>
      </c>
      <c r="AV74" t="str">
        <f>IF(CAPTURA!CA74="","",IFERROR(IF(INDEX(CODIFICACION!$E$2:$E$500,MATCH("D6.22b|"&amp;CAPTURA!CA74,CODIFICACION!$F$2:$F$500,0))="sin dato","",INDEX(CODIFICACION!$E$2:$E$500,MATCH("D6.22b|"&amp;CAPTURA!CA74,CODIFICACION!$F$2:$F$500,0))),"⚠"))</f>
        <v/>
      </c>
      <c r="AW74" t="str">
        <f>IF(CAPTURA!CB74="","",IFERROR(IF(INDEX(CODIFICACION!$E$2:$E$500,MATCH("D6.23|"&amp;CAPTURA!CB74,CODIFICACION!$F$2:$F$500,0))="sin dato","",INDEX(CODIFICACION!$E$2:$E$500,MATCH("D6.23|"&amp;CAPTURA!CB74,CODIFICACION!$F$2:$F$500,0))),"⚠"))</f>
        <v/>
      </c>
      <c r="AX74" t="str">
        <f>IF(CAPTURA!CC74="","",IFERROR(IF(INDEX(CODIFICACION!$E$2:$E$500,MATCH("D6.24|"&amp;CAPTURA!CC74,CODIFICACION!$F$2:$F$500,0))="sin dato","",INDEX(CODIFICACION!$E$2:$E$500,MATCH("D6.24|"&amp;CAPTURA!CC74,CODIFICACION!$F$2:$F$500,0))),"⚠"))</f>
        <v/>
      </c>
      <c r="AY74" t="str">
        <f>IF(CAPTURA!CD74="","",IFERROR(IF(INDEX(CODIFICACION!$E$2:$E$500,MATCH("D6.25|"&amp;CAPTURA!CD74,CODIFICACION!$F$2:$F$500,0))="sin dato","",INDEX(CODIFICACION!$E$2:$E$500,MATCH("D6.25|"&amp;CAPTURA!CD74,CODIFICACION!$F$2:$F$500,0))),"⚠"))</f>
        <v/>
      </c>
      <c r="AZ74" t="str">
        <f>IF(CAPTURA!CE74="","",IFERROR(IF(INDEX(CODIFICACION!$E$2:$E$500,MATCH("D6.25a|"&amp;CAPTURA!CE74,CODIFICACION!$F$2:$F$500,0))="sin dato","",INDEX(CODIFICACION!$E$2:$E$500,MATCH("D6.25a|"&amp;CAPTURA!CE74,CODIFICACION!$F$2:$F$500,0))),"⚠"))</f>
        <v/>
      </c>
      <c r="BA74" t="str">
        <f>IF(CAPTURA!CF74="","",IFERROR(IF(INDEX(CODIFICACION!$E$2:$E$500,MATCH("D6.25b|"&amp;CAPTURA!CF74,CODIFICACION!$F$2:$F$500,0))="sin dato","",INDEX(CODIFICACION!$E$2:$E$500,MATCH("D6.25b|"&amp;CAPTURA!CF74,CODIFICACION!$F$2:$F$500,0))),"⚠"))</f>
        <v/>
      </c>
      <c r="BB74" t="str">
        <f>IF(CAPTURA!CG74="","",IFERROR(IF(INDEX(CODIFICACION!$E$2:$E$500,MATCH("D6.22c|"&amp;CAPTURA!CG74,CODIFICACION!$F$2:$F$500,0))="sin dato","",INDEX(CODIFICACION!$E$2:$E$500,MATCH("D6.22c|"&amp;CAPTURA!CG74,CODIFICACION!$F$2:$F$500,0))),"⚠"))</f>
        <v/>
      </c>
      <c r="BC74" t="str">
        <f>IF(CAPTURA!CH74="","",IFERROR(IF(INDEX(CODIFICACION!$E$2:$E$500,MATCH("D7.26|"&amp;CAPTURA!CH74,CODIFICACION!$F$2:$F$500,0))="sin dato","",INDEX(CODIFICACION!$E$2:$E$500,MATCH("D7.26|"&amp;CAPTURA!CH74,CODIFICACION!$F$2:$F$500,0))),"⚠"))</f>
        <v/>
      </c>
      <c r="BD74" t="str">
        <f>IF(CAPTURA!CI74="","",IFERROR(IF(INDEX(CODIFICACION!$E$2:$E$500,MATCH("D7.27|"&amp;CAPTURA!CI74,CODIFICACION!$F$2:$F$500,0))="sin dato","",INDEX(CODIFICACION!$E$2:$E$500,MATCH("D7.27|"&amp;CAPTURA!CI74,CODIFICACION!$F$2:$F$500,0))),"⚠"))</f>
        <v/>
      </c>
      <c r="BE74" t="str">
        <f>IF(CAPTURA!CJ74="","",IFERROR(IF(INDEX(CODIFICACION!$E$2:$E$500,MATCH("D7.28|"&amp;CAPTURA!CJ74,CODIFICACION!$F$2:$F$500,0))="sin dato","",INDEX(CODIFICACION!$E$2:$E$500,MATCH("D7.28|"&amp;CAPTURA!CJ74,CODIFICACION!$F$2:$F$500,0))),"⚠"))</f>
        <v/>
      </c>
      <c r="BF74" t="str">
        <f>IF(CAPTURA!CK74="","",IFERROR(IF(INDEX(CODIFICACION!$E$2:$E$500,MATCH("D7.28b|"&amp;CAPTURA!CK74,CODIFICACION!$F$2:$F$500,0))="sin dato","",INDEX(CODIFICACION!$E$2:$E$500,MATCH("D7.28b|"&amp;CAPTURA!CK74,CODIFICACION!$F$2:$F$500,0))),"⚠"))</f>
        <v/>
      </c>
      <c r="BG74" t="str">
        <f>IF(CAPTURA!CL74="","",MIN(100,ROUND((LEN(CAPTURA!CL74)-LEN(SUBSTITUTE(CAPTURA!CL74,";",""))+1)/8*100,1)))</f>
        <v/>
      </c>
      <c r="BH74" t="str">
        <f>IF(CAPTURA!CM74="","",IFERROR(IF(INDEX(CODIFICACION!$E$2:$E$500,MATCH("D7.26a|"&amp;CAPTURA!CM74,CODIFICACION!$F$2:$F$500,0))="sin dato","",INDEX(CODIFICACION!$E$2:$E$500,MATCH("D7.26a|"&amp;CAPTURA!CM74,CODIFICACION!$F$2:$F$500,0))),"⚠"))</f>
        <v/>
      </c>
      <c r="BI74" t="str">
        <f>IF(CAPTURA!CN74="","",IFERROR(IF(INDEX(CODIFICACION!$E$2:$E$500,MATCH("D7.26b|"&amp;CAPTURA!CN74,CODIFICACION!$F$2:$F$500,0))="sin dato","",INDEX(CODIFICACION!$E$2:$E$500,MATCH("D7.26b|"&amp;CAPTURA!CN74,CODIFICACION!$F$2:$F$500,0))),"⚠"))</f>
        <v/>
      </c>
      <c r="BJ74" t="str">
        <f>IF(CAPTURA!CO74="","",IF(AND(ISNUMBER(CAPTURA!CO74),CAPTURA!CO74&gt;=0,CAPTURA!CO74&lt;=4),CAPTURA!CO74*25,"⚠"))</f>
        <v/>
      </c>
      <c r="BK74" t="str">
        <f>IF(CAPTURA!CP74="","",IF(ISNUMBER(CAPTURA!CP74),MAX(0,MIN(100,CAPTURA!CP74)),"⚠"))</f>
        <v/>
      </c>
      <c r="BL74" t="str">
        <f>IF(CAPTURA!CQ74="","",IFERROR(IF(INDEX(CODIFICACION!$E$2:$E$500,MATCH("D8.31|"&amp;CAPTURA!CQ74,CODIFICACION!$F$2:$F$500,0))="sin dato","",INDEX(CODIFICACION!$E$2:$E$500,MATCH("D8.31|"&amp;CAPTURA!CQ74,CODIFICACION!$F$2:$F$500,0))),"⚠"))</f>
        <v/>
      </c>
      <c r="BM74" t="str">
        <f>IF(CAPTURA!CR74="","",IFERROR(IF(INDEX(CODIFICACION!$E$2:$E$500,MATCH("D8.32|"&amp;CAPTURA!CR74,CODIFICACION!$F$2:$F$500,0))="sin dato","",INDEX(CODIFICACION!$E$2:$E$500,MATCH("D8.32|"&amp;CAPTURA!CR74,CODIFICACION!$F$2:$F$500,0))),"⚠"))</f>
        <v/>
      </c>
      <c r="BN74" t="str">
        <f>IF(CAPTURA!CS74="","",IFERROR(IF(INDEX(CODIFICACION!$E$2:$E$500,MATCH("D9.33|"&amp;CAPTURA!CS74,CODIFICACION!$F$2:$F$500,0))="sin dato","",INDEX(CODIFICACION!$E$2:$E$500,MATCH("D9.33|"&amp;CAPTURA!CS74,CODIFICACION!$F$2:$F$500,0))),"⚠"))</f>
        <v/>
      </c>
      <c r="BO74" t="str">
        <f>IF(CAPTURA!CT74="","",IFERROR(IF(INDEX(CODIFICACION!$E$2:$E$500,MATCH("D9.34|"&amp;CAPTURA!CT74,CODIFICACION!$F$2:$F$500,0))="sin dato","",INDEX(CODIFICACION!$E$2:$E$500,MATCH("D9.34|"&amp;CAPTURA!CT74,CODIFICACION!$F$2:$F$500,0))),"⚠"))</f>
        <v/>
      </c>
      <c r="BP74" t="str">
        <f>IF(CAPTURA!CU74="","",IFERROR(IF(INDEX(CODIFICACION!$E$2:$E$500,MATCH("D9.35|"&amp;CAPTURA!CU74,CODIFICACION!$F$2:$F$500,0))="sin dato","",INDEX(CODIFICACION!$E$2:$E$500,MATCH("D9.35|"&amp;CAPTURA!CU74,CODIFICACION!$F$2:$F$500,0))),"⚠"))</f>
        <v/>
      </c>
      <c r="BQ74" t="str">
        <f>IF(CAPTURA!CV74="","",IFERROR(IF(INDEX(CODIFICACION!$E$2:$E$500,MATCH("D10.36|"&amp;CAPTURA!CV74,CODIFICACION!$F$2:$F$500,0))="sin dato","",INDEX(CODIFICACION!$E$2:$E$500,MATCH("D10.36|"&amp;CAPTURA!CV74,CODIFICACION!$F$2:$F$500,0))),"⚠"))</f>
        <v/>
      </c>
      <c r="BR74" t="str">
        <f>IF(CAPTURA!CW74="","",IFERROR(IF(INDEX(CODIFICACION!$E$2:$E$500,MATCH("D10.37|"&amp;CAPTURA!CW74,CODIFICACION!$F$2:$F$500,0))="sin dato","",INDEX(CODIFICACION!$E$2:$E$500,MATCH("D10.37|"&amp;CAPTURA!CW74,CODIFICACION!$F$2:$F$500,0))),"⚠"))</f>
        <v/>
      </c>
      <c r="BS74" t="str">
        <f>IF(CAPTURA!CX74="","",IFERROR(IF(INDEX(CODIFICACION!$E$2:$E$500,MATCH("D10.36a|"&amp;CAPTURA!CX74,CODIFICACION!$F$2:$F$500,0))="sin dato","",INDEX(CODIFICACION!$E$2:$E$500,MATCH("D10.36a|"&amp;CAPTURA!CX74,CODIFICACION!$F$2:$F$500,0))),"⚠"))</f>
        <v/>
      </c>
      <c r="BT74" t="str">
        <f>IF(CAPTURA!CY74="","",IF(ISNUMBER(SEARCH("Ninguno",CAPTURA!CY74)),0,MIN(100,ROUND((LEN(CAPTURA!CY74)-LEN(SUBSTITUTE(CAPTURA!CY74,";",""))+1)/6*100,1))))</f>
        <v/>
      </c>
      <c r="BU74" t="str">
        <f>IF(CAPTURA!DA74="","",IFERROR(IF(INDEX(CODIFICACION!$E$2:$E$500,MATCH("D11.39a|"&amp;CAPTURA!DA74,CODIFICACION!$F$2:$F$500,0))="sin dato","",INDEX(CODIFICACION!$E$2:$E$500,MATCH("D11.39a|"&amp;CAPTURA!DA74,CODIFICACION!$F$2:$F$500,0))),"⚠"))</f>
        <v/>
      </c>
      <c r="BV74" t="str">
        <f>IF(CAPTURA!DB74="","",IFERROR(IF(INDEX(CODIFICACION!$E$2:$E$500,MATCH("D12.42|"&amp;CAPTURA!DB74,CODIFICACION!$F$2:$F$500,0))="sin dato","",INDEX(CODIFICACION!$E$2:$E$500,MATCH("D12.42|"&amp;CAPTURA!DB74,CODIFICACION!$F$2:$F$500,0))),"⚠"))</f>
        <v/>
      </c>
      <c r="BW74" t="str">
        <f>IF(CAPTURA!DC74="","",IFERROR(IF(INDEX(CODIFICACION!$E$2:$E$500,MATCH("D13.45|"&amp;CAPTURA!DC74,CODIFICACION!$F$2:$F$500,0))="sin dato","",INDEX(CODIFICACION!$E$2:$E$500,MATCH("D13.45|"&amp;CAPTURA!DC74,CODIFICACION!$F$2:$F$500,0))),"⚠"))</f>
        <v/>
      </c>
      <c r="BX74" t="str">
        <f>IF(CAPTURA!DD74="","",IFERROR(IF(INDEX(CODIFICACION!$E$2:$E$500,MATCH("D14.51|"&amp;CAPTURA!DD74,CODIFICACION!$F$2:$F$500,0))="sin dato","",INDEX(CODIFICACION!$E$2:$E$500,MATCH("D14.51|"&amp;CAPTURA!DD74,CODIFICACION!$F$2:$F$500,0))),"⚠"))</f>
        <v/>
      </c>
      <c r="BY74" t="str">
        <f>IF(CAPTURA!DE74="","",IFERROR(IF(INDEX(CODIFICACION!$E$2:$E$500,MATCH("D15.58|"&amp;CAPTURA!DE74,CODIFICACION!$F$2:$F$500,0))="sin dato","",INDEX(CODIFICACION!$E$2:$E$500,MATCH("D15.58|"&amp;CAPTURA!DE74,CODIFICACION!$F$2:$F$500,0))),"⚠"))</f>
        <v/>
      </c>
      <c r="BZ74" t="str">
        <f>IF(CAPTURA!DF74="","",IFERROR(IF(INDEX(CODIFICACION!$E$2:$E$500,MATCH("PP1|"&amp;CAPTURA!DF74,CODIFICACION!$F$2:$F$500,0))="sin dato","",INDEX(CODIFICACION!$E$2:$E$500,MATCH("PP1|"&amp;CAPTURA!DF74,CODIFICACION!$F$2:$F$500,0))),"⚠"))</f>
        <v/>
      </c>
      <c r="CA74" t="str">
        <f>IF(CAPTURA!DG74="","",IFERROR(IF(INDEX(CODIFICACION!$E$2:$E$500,MATCH("PP2|"&amp;CAPTURA!DG74,CODIFICACION!$F$2:$F$500,0))="sin dato","",INDEX(CODIFICACION!$E$2:$E$500,MATCH("PP2|"&amp;CAPTURA!DG74,CODIFICACION!$F$2:$F$500,0))),"⚠"))</f>
        <v/>
      </c>
      <c r="CB74" t="str">
        <f t="shared" si="22"/>
        <v/>
      </c>
      <c r="CC74" t="str">
        <f t="shared" si="23"/>
        <v/>
      </c>
      <c r="CD74" t="str">
        <f t="shared" si="24"/>
        <v/>
      </c>
      <c r="CE74" t="str">
        <f t="shared" si="25"/>
        <v/>
      </c>
      <c r="CF74" t="str">
        <f t="shared" si="26"/>
        <v/>
      </c>
      <c r="CG74" t="str">
        <f t="shared" si="27"/>
        <v/>
      </c>
      <c r="CH74" t="str">
        <f t="shared" si="28"/>
        <v/>
      </c>
      <c r="CI74" t="str">
        <f t="shared" si="29"/>
        <v/>
      </c>
      <c r="CJ74" t="str">
        <f t="shared" si="30"/>
        <v/>
      </c>
      <c r="CK74" t="str">
        <f t="shared" si="31"/>
        <v/>
      </c>
      <c r="CL74" t="str">
        <f t="shared" si="32"/>
        <v/>
      </c>
    </row>
    <row r="75" spans="1:90" x14ac:dyDescent="0.3">
      <c r="A75">
        <f>CAPTURA!A75</f>
        <v>20542299330</v>
      </c>
      <c r="B75">
        <f>CAPTURA!C75</f>
        <v>0</v>
      </c>
      <c r="C75" t="str">
        <f>IF(CAPTURA!M75="","",ROUND((ISNUMBER(SEARCH("Alemania",CAPTURA!M75))+ISNUMBER(SEARCH("Bélgica",CAPTURA!M75))+ISNUMBER(SEARCH("Países Bajos",CAPTURA!M75))+ISNUMBER(SEARCH("Francia",CAPTURA!M75))+ISNUMBER(SEARCH("Italia",CAPTURA!M75))+ISNUMBER(SEARCH("España",CAPTURA!M75))+ISNUMBER(SEARCH("Suecia",CAPTURA!M75))+ISNUMBER(SEARCH("Dinamarca",CAPTURA!M75)))/((LEN(CAPTURA!M75)-LEN(SUBSTITUTE(CAPTURA!M75,";","")))+1)*100,1))</f>
        <v/>
      </c>
      <c r="D75" t="str">
        <f>IF(CAPTURA!AE75="","",IFERROR(IF(INDEX(CODIFICACION!$E$2:$E$500,MATCH("P8|"&amp;CAPTURA!AE75,CODIFICACION!$F$2:$F$500,0))="sin dato","",INDEX(CODIFICACION!$E$2:$E$500,MATCH("P8|"&amp;CAPTURA!AE75,CODIFICACION!$F$2:$F$500,0))),"⚠"))</f>
        <v/>
      </c>
      <c r="E75" t="str">
        <f>IF(CAPTURA!AG75="","",IFERROR(IF(INDEX(CODIFICACION!$E$2:$E$500,MATCH("P10|"&amp;CAPTURA!AG75,CODIFICACION!$F$2:$F$500,0))="sin dato","",INDEX(CODIFICACION!$E$2:$E$500,MATCH("P10|"&amp;CAPTURA!AG75,CODIFICACION!$F$2:$F$500,0))),"⚠"))</f>
        <v/>
      </c>
      <c r="F75" t="str">
        <f>IF(CAPTURA!AJ75="","",IFERROR(IF(INDEX(CODIFICACION!$E$2:$E$500,MATCH("P13|"&amp;CAPTURA!AJ75,CODIFICACION!$F$2:$F$500,0))="sin dato","",INDEX(CODIFICACION!$E$2:$E$500,MATCH("P13|"&amp;CAPTURA!AJ75,CODIFICACION!$F$2:$F$500,0))),"⚠"))</f>
        <v/>
      </c>
      <c r="G75" t="str">
        <f>IF(CAPTURA!AK75="","",IFERROR(IF(INDEX(CODIFICACION!$E$2:$E$500,MATCH("P14|"&amp;CAPTURA!AK75,CODIFICACION!$F$2:$F$500,0))="sin dato","",INDEX(CODIFICACION!$E$2:$E$500,MATCH("P14|"&amp;CAPTURA!AK75,CODIFICACION!$F$2:$F$500,0))),"⚠"))</f>
        <v/>
      </c>
      <c r="H75" t="str">
        <f>IF(CAPTURA!AL75="","",IFERROR(IF(INDEX(CODIFICACION!$E$2:$E$500,MATCH("D1.1|"&amp;CAPTURA!AL75,CODIFICACION!$F$2:$F$500,0))="sin dato","",INDEX(CODIFICACION!$E$2:$E$500,MATCH("D1.1|"&amp;CAPTURA!AL75,CODIFICACION!$F$2:$F$500,0))),"⚠"))</f>
        <v/>
      </c>
      <c r="I75" t="str">
        <f>IF(CAPTURA!AN75="","",IFERROR(IF(INDEX(CODIFICACION!$E$2:$E$500,MATCH("D1.3|"&amp;CAPTURA!AN75,CODIFICACION!$F$2:$F$500,0))="sin dato","",INDEX(CODIFICACION!$E$2:$E$500,MATCH("D1.3|"&amp;CAPTURA!AN75,CODIFICACION!$F$2:$F$500,0))),"⚠"))</f>
        <v/>
      </c>
      <c r="J75" t="str">
        <f>IF(CAPTURA!AO75="","",IFERROR(IF(INDEX(CODIFICACION!$E$2:$E$500,MATCH("D1.4|"&amp;CAPTURA!AO75,CODIFICACION!$F$2:$F$500,0))="sin dato","",INDEX(CODIFICACION!$E$2:$E$500,MATCH("D1.4|"&amp;CAPTURA!AO75,CODIFICACION!$F$2:$F$500,0))),"⚠"))</f>
        <v/>
      </c>
      <c r="K75" t="str">
        <f>IF(CAPTURA!AP75="","",IFERROR(IF(INDEX(CODIFICACION!$E$2:$E$500,MATCH("D1.3a|"&amp;CAPTURA!AP75,CODIFICACION!$F$2:$F$500,0))="sin dato","",INDEX(CODIFICACION!$E$2:$E$500,MATCH("D1.3a|"&amp;CAPTURA!AP75,CODIFICACION!$F$2:$F$500,0))),"⚠"))</f>
        <v/>
      </c>
      <c r="L75" t="str">
        <f>IF(CAPTURA!AQ75="","",IF(AND(ISNUMBER(CAPTURA!AQ75),CAPTURA!AQ75&gt;=0,CAPTURA!AQ75&lt;=4),CAPTURA!AQ75*25,"⚠"))</f>
        <v/>
      </c>
      <c r="M75" t="str">
        <f>IF(CAPTURA!AR75="","",IF(ISNUMBER(CAPTURA!AR75),MAX(0,MIN(100,CAPTURA!AR75)),"⚠"))</f>
        <v/>
      </c>
      <c r="N75" t="str">
        <f>IF(CAPTURA!AS75="","",IF(AND(ISNUMBER(CAPTURA!AS75),CAPTURA!AS75&gt;=0,CAPTURA!AS75&lt;=4),CAPTURA!AS75*25,"⚠"))</f>
        <v/>
      </c>
      <c r="O75" t="str">
        <f>IF(CAPTURA!AT75="","",IFERROR(IF(INDEX(CODIFICACION!$E$2:$E$500,MATCH("D2.8|"&amp;CAPTURA!AT75,CODIFICACION!$F$2:$F$500,0))="sin dato","",INDEX(CODIFICACION!$E$2:$E$500,MATCH("D2.8|"&amp;CAPTURA!AT75,CODIFICACION!$F$2:$F$500,0))),"⚠"))</f>
        <v/>
      </c>
      <c r="P75" t="str">
        <f>IF(CAPTURA!AU75="","",IFERROR(IF(INDEX(CODIFICACION!$E$2:$E$500,MATCH("D2.9|"&amp;CAPTURA!AU75,CODIFICACION!$F$2:$F$500,0))="sin dato","",INDEX(CODIFICACION!$E$2:$E$500,MATCH("D2.9|"&amp;CAPTURA!AU75,CODIFICACION!$F$2:$F$500,0))),"⚠"))</f>
        <v/>
      </c>
      <c r="Q75" t="str">
        <f>IF(CAPTURA!AV75="","",IFERROR(IF(INDEX(CODIFICACION!$E$2:$E$500,MATCH("D2.10|"&amp;CAPTURA!AV75,CODIFICACION!$F$2:$F$500,0))="sin dato","",INDEX(CODIFICACION!$E$2:$E$500,MATCH("D2.10|"&amp;CAPTURA!AV75,CODIFICACION!$F$2:$F$500,0))),"⚠"))</f>
        <v/>
      </c>
      <c r="R75" t="str">
        <f>IF(CAPTURA!AW75="","",IFERROR(IF(INDEX(CODIFICACION!$E$2:$E$500,MATCH("D2.5a|"&amp;CAPTURA!AW75,CODIFICACION!$F$2:$F$500,0))="sin dato","",INDEX(CODIFICACION!$E$2:$E$500,MATCH("D2.5a|"&amp;CAPTURA!AW75,CODIFICACION!$F$2:$F$500,0))),"⚠"))</f>
        <v/>
      </c>
      <c r="S75" t="str">
        <f>IF(CAPTURA!AX75="","",IFERROR(IF(INDEX(CODIFICACION!$E$2:$E$500,MATCH("D2.5b|"&amp;CAPTURA!AX75,CODIFICACION!$F$2:$F$500,0))="sin dato","",INDEX(CODIFICACION!$E$2:$E$500,MATCH("D2.5b|"&amp;CAPTURA!AX75,CODIFICACION!$F$2:$F$500,0))),"⚠"))</f>
        <v/>
      </c>
      <c r="T75" t="str">
        <f>IF(CAPTURA!AY75="","",IF(ISNUMBER(CAPTURA!AY75),MAX(0,MIN(100,CAPTURA!AY75)),"⚠"))</f>
        <v/>
      </c>
      <c r="U75" t="str">
        <f>IF(CAPTURA!AZ75="","",IFERROR(IF(INDEX(CODIFICACION!$E$2:$E$500,MATCH("D3.12|"&amp;CAPTURA!AZ75,CODIFICACION!$F$2:$F$500,0))="sin dato","",INDEX(CODIFICACION!$E$2:$E$500,MATCH("D3.12|"&amp;CAPTURA!AZ75,CODIFICACION!$F$2:$F$500,0))),"⚠"))</f>
        <v/>
      </c>
      <c r="V75" t="str">
        <f>IF(CAPTURA!BA75="","",IF(AND(ISNUMBER(CAPTURA!BA75),CAPTURA!BA75&gt;=0,CAPTURA!BA75&lt;=4),CAPTURA!BA75*25,"⚠"))</f>
        <v/>
      </c>
      <c r="W75" t="str">
        <f>IF(CAPTURA!BB75="","",IFERROR(IF(INDEX(CODIFICACION!$E$2:$E$500,MATCH("D3.14|"&amp;CAPTURA!BB75,CODIFICACION!$F$2:$F$500,0))="sin dato","",INDEX(CODIFICACION!$E$2:$E$500,MATCH("D3.14|"&amp;CAPTURA!BB75,CODIFICACION!$F$2:$F$500,0))),"⚠"))</f>
        <v/>
      </c>
      <c r="X75" t="str">
        <f>IF(CAPTURA!BC75="","",IFERROR(IF(INDEX(CODIFICACION!$E$2:$E$500,MATCH("D3.14a|"&amp;CAPTURA!BC75,CODIFICACION!$F$2:$F$500,0))="sin dato","",INDEX(CODIFICACION!$E$2:$E$500,MATCH("D3.14a|"&amp;CAPTURA!BC75,CODIFICACION!$F$2:$F$500,0))),"⚠"))</f>
        <v/>
      </c>
      <c r="Y75" t="str">
        <f>IF(CAPTURA!BD75="","",IFERROR(IF(INDEX(CODIFICACION!$E$2:$E$500,MATCH("D3.14b|"&amp;CAPTURA!BD75,CODIFICACION!$F$2:$F$500,0))="sin dato","",INDEX(CODIFICACION!$E$2:$E$500,MATCH("D3.14b|"&amp;CAPTURA!BD75,CODIFICACION!$F$2:$F$500,0))),"⚠"))</f>
        <v/>
      </c>
      <c r="Z75" t="str">
        <f>IF(CAPTURA!BE75="","",IFERROR(IF(INDEX(CODIFICACION!$E$2:$E$500,MATCH("D3.14c|"&amp;CAPTURA!BE75,CODIFICACION!$F$2:$F$500,0))="sin dato","",INDEX(CODIFICACION!$E$2:$E$500,MATCH("D3.14c|"&amp;CAPTURA!BE75,CODIFICACION!$F$2:$F$500,0))),"⚠"))</f>
        <v/>
      </c>
      <c r="AA75" t="str">
        <f>IF(CAPTURA!BF75="","",IFERROR(IF(INDEX(CODIFICACION!$E$2:$E$500,MATCH("D3.14d|"&amp;CAPTURA!BF75,CODIFICACION!$F$2:$F$500,0))="sin dato","",INDEX(CODIFICACION!$E$2:$E$500,MATCH("D3.14d|"&amp;CAPTURA!BF75,CODIFICACION!$F$2:$F$500,0))),"⚠"))</f>
        <v/>
      </c>
      <c r="AB75" t="str">
        <f>IF(CAPTURA!BG75="","",IFERROR(IF(INDEX(CODIFICACION!$E$2:$E$500,MATCH("D3.14e|"&amp;CAPTURA!BG75,CODIFICACION!$F$2:$F$500,0))="sin dato","",INDEX(CODIFICACION!$E$2:$E$500,MATCH("D3.14e|"&amp;CAPTURA!BG75,CODIFICACION!$F$2:$F$500,0))),"⚠"))</f>
        <v/>
      </c>
      <c r="AC75" t="str">
        <f>IF(CAPTURA!BH75="","",IFERROR(IF(INDEX(CODIFICACION!$E$2:$E$500,MATCH("D3.14f|"&amp;CAPTURA!BH75,CODIFICACION!$F$2:$F$500,0))="sin dato","",INDEX(CODIFICACION!$E$2:$E$500,MATCH("D3.14f|"&amp;CAPTURA!BH75,CODIFICACION!$F$2:$F$500,0))),"⚠"))</f>
        <v/>
      </c>
      <c r="AD75" t="str">
        <f>IF(CAPTURA!BI75="","",IFERROR(IF(INDEX(CODIFICACION!$E$2:$E$500,MATCH("D3.14g|"&amp;CAPTURA!BI75,CODIFICACION!$F$2:$F$500,0))="sin dato","",INDEX(CODIFICACION!$E$2:$E$500,MATCH("D3.14g|"&amp;CAPTURA!BI75,CODIFICACION!$F$2:$F$500,0))),"⚠"))</f>
        <v/>
      </c>
      <c r="AE75" t="str">
        <f>IF(CAPTURA!BJ75="","",IFERROR(IF(INDEX(CODIFICACION!$E$2:$E$500,MATCH("D3.14h|"&amp;CAPTURA!BJ75,CODIFICACION!$F$2:$F$500,0))="sin dato","",INDEX(CODIFICACION!$E$2:$E$500,MATCH("D3.14h|"&amp;CAPTURA!BJ75,CODIFICACION!$F$2:$F$500,0))),"⚠"))</f>
        <v/>
      </c>
      <c r="AF75" t="str">
        <f>IF(CAPTURA!BK75="","",IFERROR(IF(INDEX(CODIFICACION!$E$2:$E$500,MATCH("D3.14i|"&amp;CAPTURA!BK75,CODIFICACION!$F$2:$F$500,0))="sin dato","",INDEX(CODIFICACION!$E$2:$E$500,MATCH("D3.14i|"&amp;CAPTURA!BK75,CODIFICACION!$F$2:$F$500,0))),"⚠"))</f>
        <v/>
      </c>
      <c r="AG75" t="str">
        <f>IF(CAPTURA!BL75="","",IFERROR(IF(INDEX(CODIFICACION!$E$2:$E$500,MATCH("D4.15|"&amp;CAPTURA!BL75,CODIFICACION!$F$2:$F$500,0))="sin dato","",INDEX(CODIFICACION!$E$2:$E$500,MATCH("D4.15|"&amp;CAPTURA!BL75,CODIFICACION!$F$2:$F$500,0))),"⚠"))</f>
        <v/>
      </c>
      <c r="AH75" t="str">
        <f>IF(CAPTURA!BM75="","",IF(AND(ISNUMBER(CAPTURA!BM75),CAPTURA!BM75&gt;=0,CAPTURA!BM75&lt;=4),CAPTURA!BM75*25,"⚠"))</f>
        <v/>
      </c>
      <c r="AI75" t="str">
        <f>IF(CAPTURA!BN75="","",IFERROR(IF(INDEX(CODIFICACION!$E$2:$E$500,MATCH("D4.17|"&amp;CAPTURA!BN75,CODIFICACION!$F$2:$F$500,0))="sin dato","",INDEX(CODIFICACION!$E$2:$E$500,MATCH("D4.17|"&amp;CAPTURA!BN75,CODIFICACION!$F$2:$F$500,0))),"⚠"))</f>
        <v/>
      </c>
      <c r="AJ75" t="str">
        <f>IF(CAPTURA!BO75="","",IFERROR(IF(INDEX(CODIFICACION!$E$2:$E$500,MATCH("D4.15a|"&amp;CAPTURA!BO75,CODIFICACION!$F$2:$F$500,0))="sin dato","",INDEX(CODIFICACION!$E$2:$E$500,MATCH("D4.15a|"&amp;CAPTURA!BO75,CODIFICACION!$F$2:$F$500,0))),"⚠"))</f>
        <v/>
      </c>
      <c r="AK75" t="str">
        <f>IF(CAPTURA!BP75="","",IF(AND(ISNUMBER(CAPTURA!BP75),CAPTURA!BP75&gt;=0,CAPTURA!BP75&lt;=4),CAPTURA!BP75*25,"⚠"))</f>
        <v/>
      </c>
      <c r="AL75" t="str">
        <f>IF(CAPTURA!BQ75="","",IF(AND(ISNUMBER(CAPTURA!BQ75),CAPTURA!BQ75&gt;=0,CAPTURA!BQ75&lt;=4),CAPTURA!BQ75*25,"⚠"))</f>
        <v/>
      </c>
      <c r="AM75" t="str">
        <f>IF(CAPTURA!BR75="","",IFERROR(IF(INDEX(CODIFICACION!$E$2:$E$500,MATCH("D5.18b|"&amp;CAPTURA!BR75,CODIFICACION!$F$2:$F$500,0))="sin dato","",INDEX(CODIFICACION!$E$2:$E$500,MATCH("D5.18b|"&amp;CAPTURA!BR75,CODIFICACION!$F$2:$F$500,0))),"⚠"))</f>
        <v/>
      </c>
      <c r="AN75" t="str">
        <f>IF(CAPTURA!BS75="","",IFERROR(IF(INDEX(CODIFICACION!$E$2:$E$500,MATCH("D5.19|"&amp;CAPTURA!BS75,CODIFICACION!$F$2:$F$500,0))="sin dato","",INDEX(CODIFICACION!$E$2:$E$500,MATCH("D5.19|"&amp;CAPTURA!BS75,CODIFICACION!$F$2:$F$500,0))),"⚠"))</f>
        <v/>
      </c>
      <c r="AO75" t="str">
        <f>IF(CAPTURA!BT75="","",MIN(100,ROUND((LEN(CAPTURA!BT75)-LEN(SUBSTITUTE(CAPTURA!BT75,";",""))+1)/7*100,1)))</f>
        <v/>
      </c>
      <c r="AP75" t="str">
        <f>IF(CAPTURA!BU75="","",IFERROR(IF(INDEX(CODIFICACION!$E$2:$E$500,MATCH("D5.20|"&amp;CAPTURA!BU75,CODIFICACION!$F$2:$F$500,0))="sin dato","",INDEX(CODIFICACION!$E$2:$E$500,MATCH("D5.20|"&amp;CAPTURA!BU75,CODIFICACION!$F$2:$F$500,0))),"⚠"))</f>
        <v/>
      </c>
      <c r="AQ75" t="str">
        <f>IF(CAPTURA!BV75="","",IFERROR(IF(INDEX(CODIFICACION!$E$2:$E$500,MATCH("D5.21|"&amp;CAPTURA!BV75,CODIFICACION!$F$2:$F$500,0))="sin dato","",INDEX(CODIFICACION!$E$2:$E$500,MATCH("D5.21|"&amp;CAPTURA!BV75,CODIFICACION!$F$2:$F$500,0))),"⚠"))</f>
        <v/>
      </c>
      <c r="AR75" t="str">
        <f>IF(CAPTURA!BW75="","",IFERROR(IF(INDEX(CODIFICACION!$E$2:$E$500,MATCH("D5.21a|"&amp;CAPTURA!BW75,CODIFICACION!$F$2:$F$500,0))="sin dato","",INDEX(CODIFICACION!$E$2:$E$500,MATCH("D5.21a|"&amp;CAPTURA!BW75,CODIFICACION!$F$2:$F$500,0))),"⚠"))</f>
        <v/>
      </c>
      <c r="AS75" t="str">
        <f>IF(CAPTURA!BX75="","",IFERROR(IF(INDEX(CODIFICACION!$E$2:$E$500,MATCH("D5.21b|"&amp;CAPTURA!BX75,CODIFICACION!$F$2:$F$500,0))="sin dato","",INDEX(CODIFICACION!$E$2:$E$500,MATCH("D5.21b|"&amp;CAPTURA!BX75,CODIFICACION!$F$2:$F$500,0))),"⚠"))</f>
        <v/>
      </c>
      <c r="AT75" t="str">
        <f>IF(CAPTURA!BY75="","",IFERROR(IF(INDEX(CODIFICACION!$E$2:$E$500,MATCH("D6.22|"&amp;CAPTURA!BY75,CODIFICACION!$F$2:$F$500,0))="sin dato","",INDEX(CODIFICACION!$E$2:$E$500,MATCH("D6.22|"&amp;CAPTURA!BY75,CODIFICACION!$F$2:$F$500,0))),"⚠"))</f>
        <v/>
      </c>
      <c r="AU75" t="str">
        <f>IF(CAPTURA!BZ75="","",IFERROR(IF(INDEX(CODIFICACION!$E$2:$E$500,MATCH("D6.22a|"&amp;CAPTURA!BZ75,CODIFICACION!$F$2:$F$500,0))="sin dato","",INDEX(CODIFICACION!$E$2:$E$500,MATCH("D6.22a|"&amp;CAPTURA!BZ75,CODIFICACION!$F$2:$F$500,0))),"⚠"))</f>
        <v/>
      </c>
      <c r="AV75" t="str">
        <f>IF(CAPTURA!CA75="","",IFERROR(IF(INDEX(CODIFICACION!$E$2:$E$500,MATCH("D6.22b|"&amp;CAPTURA!CA75,CODIFICACION!$F$2:$F$500,0))="sin dato","",INDEX(CODIFICACION!$E$2:$E$500,MATCH("D6.22b|"&amp;CAPTURA!CA75,CODIFICACION!$F$2:$F$500,0))),"⚠"))</f>
        <v/>
      </c>
      <c r="AW75" t="str">
        <f>IF(CAPTURA!CB75="","",IFERROR(IF(INDEX(CODIFICACION!$E$2:$E$500,MATCH("D6.23|"&amp;CAPTURA!CB75,CODIFICACION!$F$2:$F$500,0))="sin dato","",INDEX(CODIFICACION!$E$2:$E$500,MATCH("D6.23|"&amp;CAPTURA!CB75,CODIFICACION!$F$2:$F$500,0))),"⚠"))</f>
        <v/>
      </c>
      <c r="AX75" t="str">
        <f>IF(CAPTURA!CC75="","",IFERROR(IF(INDEX(CODIFICACION!$E$2:$E$500,MATCH("D6.24|"&amp;CAPTURA!CC75,CODIFICACION!$F$2:$F$500,0))="sin dato","",INDEX(CODIFICACION!$E$2:$E$500,MATCH("D6.24|"&amp;CAPTURA!CC75,CODIFICACION!$F$2:$F$500,0))),"⚠"))</f>
        <v/>
      </c>
      <c r="AY75" t="str">
        <f>IF(CAPTURA!CD75="","",IFERROR(IF(INDEX(CODIFICACION!$E$2:$E$500,MATCH("D6.25|"&amp;CAPTURA!CD75,CODIFICACION!$F$2:$F$500,0))="sin dato","",INDEX(CODIFICACION!$E$2:$E$500,MATCH("D6.25|"&amp;CAPTURA!CD75,CODIFICACION!$F$2:$F$500,0))),"⚠"))</f>
        <v/>
      </c>
      <c r="AZ75" t="str">
        <f>IF(CAPTURA!CE75="","",IFERROR(IF(INDEX(CODIFICACION!$E$2:$E$500,MATCH("D6.25a|"&amp;CAPTURA!CE75,CODIFICACION!$F$2:$F$500,0))="sin dato","",INDEX(CODIFICACION!$E$2:$E$500,MATCH("D6.25a|"&amp;CAPTURA!CE75,CODIFICACION!$F$2:$F$500,0))),"⚠"))</f>
        <v/>
      </c>
      <c r="BA75" t="str">
        <f>IF(CAPTURA!CF75="","",IFERROR(IF(INDEX(CODIFICACION!$E$2:$E$500,MATCH("D6.25b|"&amp;CAPTURA!CF75,CODIFICACION!$F$2:$F$500,0))="sin dato","",INDEX(CODIFICACION!$E$2:$E$500,MATCH("D6.25b|"&amp;CAPTURA!CF75,CODIFICACION!$F$2:$F$500,0))),"⚠"))</f>
        <v/>
      </c>
      <c r="BB75" t="str">
        <f>IF(CAPTURA!CG75="","",IFERROR(IF(INDEX(CODIFICACION!$E$2:$E$500,MATCH("D6.22c|"&amp;CAPTURA!CG75,CODIFICACION!$F$2:$F$500,0))="sin dato","",INDEX(CODIFICACION!$E$2:$E$500,MATCH("D6.22c|"&amp;CAPTURA!CG75,CODIFICACION!$F$2:$F$500,0))),"⚠"))</f>
        <v/>
      </c>
      <c r="BC75" t="str">
        <f>IF(CAPTURA!CH75="","",IFERROR(IF(INDEX(CODIFICACION!$E$2:$E$500,MATCH("D7.26|"&amp;CAPTURA!CH75,CODIFICACION!$F$2:$F$500,0))="sin dato","",INDEX(CODIFICACION!$E$2:$E$500,MATCH("D7.26|"&amp;CAPTURA!CH75,CODIFICACION!$F$2:$F$500,0))),"⚠"))</f>
        <v/>
      </c>
      <c r="BD75" t="str">
        <f>IF(CAPTURA!CI75="","",IFERROR(IF(INDEX(CODIFICACION!$E$2:$E$500,MATCH("D7.27|"&amp;CAPTURA!CI75,CODIFICACION!$F$2:$F$500,0))="sin dato","",INDEX(CODIFICACION!$E$2:$E$500,MATCH("D7.27|"&amp;CAPTURA!CI75,CODIFICACION!$F$2:$F$500,0))),"⚠"))</f>
        <v/>
      </c>
      <c r="BE75" t="str">
        <f>IF(CAPTURA!CJ75="","",IFERROR(IF(INDEX(CODIFICACION!$E$2:$E$500,MATCH("D7.28|"&amp;CAPTURA!CJ75,CODIFICACION!$F$2:$F$500,0))="sin dato","",INDEX(CODIFICACION!$E$2:$E$500,MATCH("D7.28|"&amp;CAPTURA!CJ75,CODIFICACION!$F$2:$F$500,0))),"⚠"))</f>
        <v/>
      </c>
      <c r="BF75" t="str">
        <f>IF(CAPTURA!CK75="","",IFERROR(IF(INDEX(CODIFICACION!$E$2:$E$500,MATCH("D7.28b|"&amp;CAPTURA!CK75,CODIFICACION!$F$2:$F$500,0))="sin dato","",INDEX(CODIFICACION!$E$2:$E$500,MATCH("D7.28b|"&amp;CAPTURA!CK75,CODIFICACION!$F$2:$F$500,0))),"⚠"))</f>
        <v/>
      </c>
      <c r="BG75" t="str">
        <f>IF(CAPTURA!CL75="","",MIN(100,ROUND((LEN(CAPTURA!CL75)-LEN(SUBSTITUTE(CAPTURA!CL75,";",""))+1)/8*100,1)))</f>
        <v/>
      </c>
      <c r="BH75" t="str">
        <f>IF(CAPTURA!CM75="","",IFERROR(IF(INDEX(CODIFICACION!$E$2:$E$500,MATCH("D7.26a|"&amp;CAPTURA!CM75,CODIFICACION!$F$2:$F$500,0))="sin dato","",INDEX(CODIFICACION!$E$2:$E$500,MATCH("D7.26a|"&amp;CAPTURA!CM75,CODIFICACION!$F$2:$F$500,0))),"⚠"))</f>
        <v/>
      </c>
      <c r="BI75" t="str">
        <f>IF(CAPTURA!CN75="","",IFERROR(IF(INDEX(CODIFICACION!$E$2:$E$500,MATCH("D7.26b|"&amp;CAPTURA!CN75,CODIFICACION!$F$2:$F$500,0))="sin dato","",INDEX(CODIFICACION!$E$2:$E$500,MATCH("D7.26b|"&amp;CAPTURA!CN75,CODIFICACION!$F$2:$F$500,0))),"⚠"))</f>
        <v/>
      </c>
      <c r="BJ75" t="str">
        <f>IF(CAPTURA!CO75="","",IF(AND(ISNUMBER(CAPTURA!CO75),CAPTURA!CO75&gt;=0,CAPTURA!CO75&lt;=4),CAPTURA!CO75*25,"⚠"))</f>
        <v/>
      </c>
      <c r="BK75" t="str">
        <f>IF(CAPTURA!CP75="","",IF(ISNUMBER(CAPTURA!CP75),MAX(0,MIN(100,CAPTURA!CP75)),"⚠"))</f>
        <v/>
      </c>
      <c r="BL75" t="str">
        <f>IF(CAPTURA!CQ75="","",IFERROR(IF(INDEX(CODIFICACION!$E$2:$E$500,MATCH("D8.31|"&amp;CAPTURA!CQ75,CODIFICACION!$F$2:$F$500,0))="sin dato","",INDEX(CODIFICACION!$E$2:$E$500,MATCH("D8.31|"&amp;CAPTURA!CQ75,CODIFICACION!$F$2:$F$500,0))),"⚠"))</f>
        <v/>
      </c>
      <c r="BM75" t="str">
        <f>IF(CAPTURA!CR75="","",IFERROR(IF(INDEX(CODIFICACION!$E$2:$E$500,MATCH("D8.32|"&amp;CAPTURA!CR75,CODIFICACION!$F$2:$F$500,0))="sin dato","",INDEX(CODIFICACION!$E$2:$E$500,MATCH("D8.32|"&amp;CAPTURA!CR75,CODIFICACION!$F$2:$F$500,0))),"⚠"))</f>
        <v/>
      </c>
      <c r="BN75" t="str">
        <f>IF(CAPTURA!CS75="","",IFERROR(IF(INDEX(CODIFICACION!$E$2:$E$500,MATCH("D9.33|"&amp;CAPTURA!CS75,CODIFICACION!$F$2:$F$500,0))="sin dato","",INDEX(CODIFICACION!$E$2:$E$500,MATCH("D9.33|"&amp;CAPTURA!CS75,CODIFICACION!$F$2:$F$500,0))),"⚠"))</f>
        <v/>
      </c>
      <c r="BO75" t="str">
        <f>IF(CAPTURA!CT75="","",IFERROR(IF(INDEX(CODIFICACION!$E$2:$E$500,MATCH("D9.34|"&amp;CAPTURA!CT75,CODIFICACION!$F$2:$F$500,0))="sin dato","",INDEX(CODIFICACION!$E$2:$E$500,MATCH("D9.34|"&amp;CAPTURA!CT75,CODIFICACION!$F$2:$F$500,0))),"⚠"))</f>
        <v/>
      </c>
      <c r="BP75" t="str">
        <f>IF(CAPTURA!CU75="","",IFERROR(IF(INDEX(CODIFICACION!$E$2:$E$500,MATCH("D9.35|"&amp;CAPTURA!CU75,CODIFICACION!$F$2:$F$500,0))="sin dato","",INDEX(CODIFICACION!$E$2:$E$500,MATCH("D9.35|"&amp;CAPTURA!CU75,CODIFICACION!$F$2:$F$500,0))),"⚠"))</f>
        <v/>
      </c>
      <c r="BQ75" t="str">
        <f>IF(CAPTURA!CV75="","",IFERROR(IF(INDEX(CODIFICACION!$E$2:$E$500,MATCH("D10.36|"&amp;CAPTURA!CV75,CODIFICACION!$F$2:$F$500,0))="sin dato","",INDEX(CODIFICACION!$E$2:$E$500,MATCH("D10.36|"&amp;CAPTURA!CV75,CODIFICACION!$F$2:$F$500,0))),"⚠"))</f>
        <v/>
      </c>
      <c r="BR75" t="str">
        <f>IF(CAPTURA!CW75="","",IFERROR(IF(INDEX(CODIFICACION!$E$2:$E$500,MATCH("D10.37|"&amp;CAPTURA!CW75,CODIFICACION!$F$2:$F$500,0))="sin dato","",INDEX(CODIFICACION!$E$2:$E$500,MATCH("D10.37|"&amp;CAPTURA!CW75,CODIFICACION!$F$2:$F$500,0))),"⚠"))</f>
        <v/>
      </c>
      <c r="BS75" t="str">
        <f>IF(CAPTURA!CX75="","",IFERROR(IF(INDEX(CODIFICACION!$E$2:$E$500,MATCH("D10.36a|"&amp;CAPTURA!CX75,CODIFICACION!$F$2:$F$500,0))="sin dato","",INDEX(CODIFICACION!$E$2:$E$500,MATCH("D10.36a|"&amp;CAPTURA!CX75,CODIFICACION!$F$2:$F$500,0))),"⚠"))</f>
        <v/>
      </c>
      <c r="BT75" t="str">
        <f>IF(CAPTURA!CY75="","",IF(ISNUMBER(SEARCH("Ninguno",CAPTURA!CY75)),0,MIN(100,ROUND((LEN(CAPTURA!CY75)-LEN(SUBSTITUTE(CAPTURA!CY75,";",""))+1)/6*100,1))))</f>
        <v/>
      </c>
      <c r="BU75" t="str">
        <f>IF(CAPTURA!DA75="","",IFERROR(IF(INDEX(CODIFICACION!$E$2:$E$500,MATCH("D11.39a|"&amp;CAPTURA!DA75,CODIFICACION!$F$2:$F$500,0))="sin dato","",INDEX(CODIFICACION!$E$2:$E$500,MATCH("D11.39a|"&amp;CAPTURA!DA75,CODIFICACION!$F$2:$F$500,0))),"⚠"))</f>
        <v/>
      </c>
      <c r="BV75" t="str">
        <f>IF(CAPTURA!DB75="","",IFERROR(IF(INDEX(CODIFICACION!$E$2:$E$500,MATCH("D12.42|"&amp;CAPTURA!DB75,CODIFICACION!$F$2:$F$500,0))="sin dato","",INDEX(CODIFICACION!$E$2:$E$500,MATCH("D12.42|"&amp;CAPTURA!DB75,CODIFICACION!$F$2:$F$500,0))),"⚠"))</f>
        <v/>
      </c>
      <c r="BW75" t="str">
        <f>IF(CAPTURA!DC75="","",IFERROR(IF(INDEX(CODIFICACION!$E$2:$E$500,MATCH("D13.45|"&amp;CAPTURA!DC75,CODIFICACION!$F$2:$F$500,0))="sin dato","",INDEX(CODIFICACION!$E$2:$E$500,MATCH("D13.45|"&amp;CAPTURA!DC75,CODIFICACION!$F$2:$F$500,0))),"⚠"))</f>
        <v/>
      </c>
      <c r="BX75" t="str">
        <f>IF(CAPTURA!DD75="","",IFERROR(IF(INDEX(CODIFICACION!$E$2:$E$500,MATCH("D14.51|"&amp;CAPTURA!DD75,CODIFICACION!$F$2:$F$500,0))="sin dato","",INDEX(CODIFICACION!$E$2:$E$500,MATCH("D14.51|"&amp;CAPTURA!DD75,CODIFICACION!$F$2:$F$500,0))),"⚠"))</f>
        <v/>
      </c>
      <c r="BY75" t="str">
        <f>IF(CAPTURA!DE75="","",IFERROR(IF(INDEX(CODIFICACION!$E$2:$E$500,MATCH("D15.58|"&amp;CAPTURA!DE75,CODIFICACION!$F$2:$F$500,0))="sin dato","",INDEX(CODIFICACION!$E$2:$E$500,MATCH("D15.58|"&amp;CAPTURA!DE75,CODIFICACION!$F$2:$F$500,0))),"⚠"))</f>
        <v/>
      </c>
      <c r="BZ75" t="str">
        <f>IF(CAPTURA!DF75="","",IFERROR(IF(INDEX(CODIFICACION!$E$2:$E$500,MATCH("PP1|"&amp;CAPTURA!DF75,CODIFICACION!$F$2:$F$500,0))="sin dato","",INDEX(CODIFICACION!$E$2:$E$500,MATCH("PP1|"&amp;CAPTURA!DF75,CODIFICACION!$F$2:$F$500,0))),"⚠"))</f>
        <v/>
      </c>
      <c r="CA75" t="str">
        <f>IF(CAPTURA!DG75="","",IFERROR(IF(INDEX(CODIFICACION!$E$2:$E$500,MATCH("PP2|"&amp;CAPTURA!DG75,CODIFICACION!$F$2:$F$500,0))="sin dato","",INDEX(CODIFICACION!$E$2:$E$500,MATCH("PP2|"&amp;CAPTURA!DG75,CODIFICACION!$F$2:$F$500,0))),"⚠"))</f>
        <v/>
      </c>
      <c r="CB75" t="str">
        <f t="shared" si="22"/>
        <v/>
      </c>
      <c r="CC75" t="str">
        <f t="shared" si="23"/>
        <v/>
      </c>
      <c r="CD75" t="str">
        <f t="shared" si="24"/>
        <v/>
      </c>
      <c r="CE75" t="str">
        <f t="shared" si="25"/>
        <v/>
      </c>
      <c r="CF75" t="str">
        <f t="shared" si="26"/>
        <v/>
      </c>
      <c r="CG75" t="str">
        <f t="shared" si="27"/>
        <v/>
      </c>
      <c r="CH75" t="str">
        <f t="shared" si="28"/>
        <v/>
      </c>
      <c r="CI75" t="str">
        <f t="shared" si="29"/>
        <v/>
      </c>
      <c r="CJ75" t="str">
        <f t="shared" si="30"/>
        <v/>
      </c>
      <c r="CK75" t="str">
        <f t="shared" si="31"/>
        <v/>
      </c>
      <c r="CL75" t="str">
        <f t="shared" si="32"/>
        <v/>
      </c>
    </row>
    <row r="76" spans="1:90" x14ac:dyDescent="0.3">
      <c r="A76">
        <f>CAPTURA!A76</f>
        <v>20542311569</v>
      </c>
      <c r="B76">
        <f>CAPTURA!C76</f>
        <v>0</v>
      </c>
      <c r="C76" t="str">
        <f>IF(CAPTURA!M76="","",ROUND((ISNUMBER(SEARCH("Alemania",CAPTURA!M76))+ISNUMBER(SEARCH("Bélgica",CAPTURA!M76))+ISNUMBER(SEARCH("Países Bajos",CAPTURA!M76))+ISNUMBER(SEARCH("Francia",CAPTURA!M76))+ISNUMBER(SEARCH("Italia",CAPTURA!M76))+ISNUMBER(SEARCH("España",CAPTURA!M76))+ISNUMBER(SEARCH("Suecia",CAPTURA!M76))+ISNUMBER(SEARCH("Dinamarca",CAPTURA!M76)))/((LEN(CAPTURA!M76)-LEN(SUBSTITUTE(CAPTURA!M76,";","")))+1)*100,1))</f>
        <v/>
      </c>
      <c r="D76" t="str">
        <f>IF(CAPTURA!AE76="","",IFERROR(IF(INDEX(CODIFICACION!$E$2:$E$500,MATCH("P8|"&amp;CAPTURA!AE76,CODIFICACION!$F$2:$F$500,0))="sin dato","",INDEX(CODIFICACION!$E$2:$E$500,MATCH("P8|"&amp;CAPTURA!AE76,CODIFICACION!$F$2:$F$500,0))),"⚠"))</f>
        <v/>
      </c>
      <c r="E76" t="str">
        <f>IF(CAPTURA!AG76="","",IFERROR(IF(INDEX(CODIFICACION!$E$2:$E$500,MATCH("P10|"&amp;CAPTURA!AG76,CODIFICACION!$F$2:$F$500,0))="sin dato","",INDEX(CODIFICACION!$E$2:$E$500,MATCH("P10|"&amp;CAPTURA!AG76,CODIFICACION!$F$2:$F$500,0))),"⚠"))</f>
        <v/>
      </c>
      <c r="F76" t="str">
        <f>IF(CAPTURA!AJ76="","",IFERROR(IF(INDEX(CODIFICACION!$E$2:$E$500,MATCH("P13|"&amp;CAPTURA!AJ76,CODIFICACION!$F$2:$F$500,0))="sin dato","",INDEX(CODIFICACION!$E$2:$E$500,MATCH("P13|"&amp;CAPTURA!AJ76,CODIFICACION!$F$2:$F$500,0))),"⚠"))</f>
        <v/>
      </c>
      <c r="G76" t="str">
        <f>IF(CAPTURA!AK76="","",IFERROR(IF(INDEX(CODIFICACION!$E$2:$E$500,MATCH("P14|"&amp;CAPTURA!AK76,CODIFICACION!$F$2:$F$500,0))="sin dato","",INDEX(CODIFICACION!$E$2:$E$500,MATCH("P14|"&amp;CAPTURA!AK76,CODIFICACION!$F$2:$F$500,0))),"⚠"))</f>
        <v/>
      </c>
      <c r="H76" t="str">
        <f>IF(CAPTURA!AL76="","",IFERROR(IF(INDEX(CODIFICACION!$E$2:$E$500,MATCH("D1.1|"&amp;CAPTURA!AL76,CODIFICACION!$F$2:$F$500,0))="sin dato","",INDEX(CODIFICACION!$E$2:$E$500,MATCH("D1.1|"&amp;CAPTURA!AL76,CODIFICACION!$F$2:$F$500,0))),"⚠"))</f>
        <v/>
      </c>
      <c r="I76" t="str">
        <f>IF(CAPTURA!AN76="","",IFERROR(IF(INDEX(CODIFICACION!$E$2:$E$500,MATCH("D1.3|"&amp;CAPTURA!AN76,CODIFICACION!$F$2:$F$500,0))="sin dato","",INDEX(CODIFICACION!$E$2:$E$500,MATCH("D1.3|"&amp;CAPTURA!AN76,CODIFICACION!$F$2:$F$500,0))),"⚠"))</f>
        <v/>
      </c>
      <c r="J76" t="str">
        <f>IF(CAPTURA!AO76="","",IFERROR(IF(INDEX(CODIFICACION!$E$2:$E$500,MATCH("D1.4|"&amp;CAPTURA!AO76,CODIFICACION!$F$2:$F$500,0))="sin dato","",INDEX(CODIFICACION!$E$2:$E$500,MATCH("D1.4|"&amp;CAPTURA!AO76,CODIFICACION!$F$2:$F$500,0))),"⚠"))</f>
        <v/>
      </c>
      <c r="K76" t="str">
        <f>IF(CAPTURA!AP76="","",IFERROR(IF(INDEX(CODIFICACION!$E$2:$E$500,MATCH("D1.3a|"&amp;CAPTURA!AP76,CODIFICACION!$F$2:$F$500,0))="sin dato","",INDEX(CODIFICACION!$E$2:$E$500,MATCH("D1.3a|"&amp;CAPTURA!AP76,CODIFICACION!$F$2:$F$500,0))),"⚠"))</f>
        <v/>
      </c>
      <c r="L76" t="str">
        <f>IF(CAPTURA!AQ76="","",IF(AND(ISNUMBER(CAPTURA!AQ76),CAPTURA!AQ76&gt;=0,CAPTURA!AQ76&lt;=4),CAPTURA!AQ76*25,"⚠"))</f>
        <v/>
      </c>
      <c r="M76" t="str">
        <f>IF(CAPTURA!AR76="","",IF(ISNUMBER(CAPTURA!AR76),MAX(0,MIN(100,CAPTURA!AR76)),"⚠"))</f>
        <v/>
      </c>
      <c r="N76" t="str">
        <f>IF(CAPTURA!AS76="","",IF(AND(ISNUMBER(CAPTURA!AS76),CAPTURA!AS76&gt;=0,CAPTURA!AS76&lt;=4),CAPTURA!AS76*25,"⚠"))</f>
        <v/>
      </c>
      <c r="O76" t="str">
        <f>IF(CAPTURA!AT76="","",IFERROR(IF(INDEX(CODIFICACION!$E$2:$E$500,MATCH("D2.8|"&amp;CAPTURA!AT76,CODIFICACION!$F$2:$F$500,0))="sin dato","",INDEX(CODIFICACION!$E$2:$E$500,MATCH("D2.8|"&amp;CAPTURA!AT76,CODIFICACION!$F$2:$F$500,0))),"⚠"))</f>
        <v/>
      </c>
      <c r="P76" t="str">
        <f>IF(CAPTURA!AU76="","",IFERROR(IF(INDEX(CODIFICACION!$E$2:$E$500,MATCH("D2.9|"&amp;CAPTURA!AU76,CODIFICACION!$F$2:$F$500,0))="sin dato","",INDEX(CODIFICACION!$E$2:$E$500,MATCH("D2.9|"&amp;CAPTURA!AU76,CODIFICACION!$F$2:$F$500,0))),"⚠"))</f>
        <v/>
      </c>
      <c r="Q76" t="str">
        <f>IF(CAPTURA!AV76="","",IFERROR(IF(INDEX(CODIFICACION!$E$2:$E$500,MATCH("D2.10|"&amp;CAPTURA!AV76,CODIFICACION!$F$2:$F$500,0))="sin dato","",INDEX(CODIFICACION!$E$2:$E$500,MATCH("D2.10|"&amp;CAPTURA!AV76,CODIFICACION!$F$2:$F$500,0))),"⚠"))</f>
        <v/>
      </c>
      <c r="R76" t="str">
        <f>IF(CAPTURA!AW76="","",IFERROR(IF(INDEX(CODIFICACION!$E$2:$E$500,MATCH("D2.5a|"&amp;CAPTURA!AW76,CODIFICACION!$F$2:$F$500,0))="sin dato","",INDEX(CODIFICACION!$E$2:$E$500,MATCH("D2.5a|"&amp;CAPTURA!AW76,CODIFICACION!$F$2:$F$500,0))),"⚠"))</f>
        <v/>
      </c>
      <c r="S76" t="str">
        <f>IF(CAPTURA!AX76="","",IFERROR(IF(INDEX(CODIFICACION!$E$2:$E$500,MATCH("D2.5b|"&amp;CAPTURA!AX76,CODIFICACION!$F$2:$F$500,0))="sin dato","",INDEX(CODIFICACION!$E$2:$E$500,MATCH("D2.5b|"&amp;CAPTURA!AX76,CODIFICACION!$F$2:$F$500,0))),"⚠"))</f>
        <v/>
      </c>
      <c r="T76" t="str">
        <f>IF(CAPTURA!AY76="","",IF(ISNUMBER(CAPTURA!AY76),MAX(0,MIN(100,CAPTURA!AY76)),"⚠"))</f>
        <v/>
      </c>
      <c r="U76" t="str">
        <f>IF(CAPTURA!AZ76="","",IFERROR(IF(INDEX(CODIFICACION!$E$2:$E$500,MATCH("D3.12|"&amp;CAPTURA!AZ76,CODIFICACION!$F$2:$F$500,0))="sin dato","",INDEX(CODIFICACION!$E$2:$E$500,MATCH("D3.12|"&amp;CAPTURA!AZ76,CODIFICACION!$F$2:$F$500,0))),"⚠"))</f>
        <v/>
      </c>
      <c r="V76" t="str">
        <f>IF(CAPTURA!BA76="","",IF(AND(ISNUMBER(CAPTURA!BA76),CAPTURA!BA76&gt;=0,CAPTURA!BA76&lt;=4),CAPTURA!BA76*25,"⚠"))</f>
        <v/>
      </c>
      <c r="W76" t="str">
        <f>IF(CAPTURA!BB76="","",IFERROR(IF(INDEX(CODIFICACION!$E$2:$E$500,MATCH("D3.14|"&amp;CAPTURA!BB76,CODIFICACION!$F$2:$F$500,0))="sin dato","",INDEX(CODIFICACION!$E$2:$E$500,MATCH("D3.14|"&amp;CAPTURA!BB76,CODIFICACION!$F$2:$F$500,0))),"⚠"))</f>
        <v/>
      </c>
      <c r="X76" t="str">
        <f>IF(CAPTURA!BC76="","",IFERROR(IF(INDEX(CODIFICACION!$E$2:$E$500,MATCH("D3.14a|"&amp;CAPTURA!BC76,CODIFICACION!$F$2:$F$500,0))="sin dato","",INDEX(CODIFICACION!$E$2:$E$500,MATCH("D3.14a|"&amp;CAPTURA!BC76,CODIFICACION!$F$2:$F$500,0))),"⚠"))</f>
        <v/>
      </c>
      <c r="Y76" t="str">
        <f>IF(CAPTURA!BD76="","",IFERROR(IF(INDEX(CODIFICACION!$E$2:$E$500,MATCH("D3.14b|"&amp;CAPTURA!BD76,CODIFICACION!$F$2:$F$500,0))="sin dato","",INDEX(CODIFICACION!$E$2:$E$500,MATCH("D3.14b|"&amp;CAPTURA!BD76,CODIFICACION!$F$2:$F$500,0))),"⚠"))</f>
        <v/>
      </c>
      <c r="Z76" t="str">
        <f>IF(CAPTURA!BE76="","",IFERROR(IF(INDEX(CODIFICACION!$E$2:$E$500,MATCH("D3.14c|"&amp;CAPTURA!BE76,CODIFICACION!$F$2:$F$500,0))="sin dato","",INDEX(CODIFICACION!$E$2:$E$500,MATCH("D3.14c|"&amp;CAPTURA!BE76,CODIFICACION!$F$2:$F$500,0))),"⚠"))</f>
        <v/>
      </c>
      <c r="AA76" t="str">
        <f>IF(CAPTURA!BF76="","",IFERROR(IF(INDEX(CODIFICACION!$E$2:$E$500,MATCH("D3.14d|"&amp;CAPTURA!BF76,CODIFICACION!$F$2:$F$500,0))="sin dato","",INDEX(CODIFICACION!$E$2:$E$500,MATCH("D3.14d|"&amp;CAPTURA!BF76,CODIFICACION!$F$2:$F$500,0))),"⚠"))</f>
        <v/>
      </c>
      <c r="AB76" t="str">
        <f>IF(CAPTURA!BG76="","",IFERROR(IF(INDEX(CODIFICACION!$E$2:$E$500,MATCH("D3.14e|"&amp;CAPTURA!BG76,CODIFICACION!$F$2:$F$500,0))="sin dato","",INDEX(CODIFICACION!$E$2:$E$500,MATCH("D3.14e|"&amp;CAPTURA!BG76,CODIFICACION!$F$2:$F$500,0))),"⚠"))</f>
        <v/>
      </c>
      <c r="AC76" t="str">
        <f>IF(CAPTURA!BH76="","",IFERROR(IF(INDEX(CODIFICACION!$E$2:$E$500,MATCH("D3.14f|"&amp;CAPTURA!BH76,CODIFICACION!$F$2:$F$500,0))="sin dato","",INDEX(CODIFICACION!$E$2:$E$500,MATCH("D3.14f|"&amp;CAPTURA!BH76,CODIFICACION!$F$2:$F$500,0))),"⚠"))</f>
        <v/>
      </c>
      <c r="AD76" t="str">
        <f>IF(CAPTURA!BI76="","",IFERROR(IF(INDEX(CODIFICACION!$E$2:$E$500,MATCH("D3.14g|"&amp;CAPTURA!BI76,CODIFICACION!$F$2:$F$500,0))="sin dato","",INDEX(CODIFICACION!$E$2:$E$500,MATCH("D3.14g|"&amp;CAPTURA!BI76,CODIFICACION!$F$2:$F$500,0))),"⚠"))</f>
        <v/>
      </c>
      <c r="AE76" t="str">
        <f>IF(CAPTURA!BJ76="","",IFERROR(IF(INDEX(CODIFICACION!$E$2:$E$500,MATCH("D3.14h|"&amp;CAPTURA!BJ76,CODIFICACION!$F$2:$F$500,0))="sin dato","",INDEX(CODIFICACION!$E$2:$E$500,MATCH("D3.14h|"&amp;CAPTURA!BJ76,CODIFICACION!$F$2:$F$500,0))),"⚠"))</f>
        <v/>
      </c>
      <c r="AF76" t="str">
        <f>IF(CAPTURA!BK76="","",IFERROR(IF(INDEX(CODIFICACION!$E$2:$E$500,MATCH("D3.14i|"&amp;CAPTURA!BK76,CODIFICACION!$F$2:$F$500,0))="sin dato","",INDEX(CODIFICACION!$E$2:$E$500,MATCH("D3.14i|"&amp;CAPTURA!BK76,CODIFICACION!$F$2:$F$500,0))),"⚠"))</f>
        <v/>
      </c>
      <c r="AG76" t="str">
        <f>IF(CAPTURA!BL76="","",IFERROR(IF(INDEX(CODIFICACION!$E$2:$E$500,MATCH("D4.15|"&amp;CAPTURA!BL76,CODIFICACION!$F$2:$F$500,0))="sin dato","",INDEX(CODIFICACION!$E$2:$E$500,MATCH("D4.15|"&amp;CAPTURA!BL76,CODIFICACION!$F$2:$F$500,0))),"⚠"))</f>
        <v/>
      </c>
      <c r="AH76" t="str">
        <f>IF(CAPTURA!BM76="","",IF(AND(ISNUMBER(CAPTURA!BM76),CAPTURA!BM76&gt;=0,CAPTURA!BM76&lt;=4),CAPTURA!BM76*25,"⚠"))</f>
        <v/>
      </c>
      <c r="AI76" t="str">
        <f>IF(CAPTURA!BN76="","",IFERROR(IF(INDEX(CODIFICACION!$E$2:$E$500,MATCH("D4.17|"&amp;CAPTURA!BN76,CODIFICACION!$F$2:$F$500,0))="sin dato","",INDEX(CODIFICACION!$E$2:$E$500,MATCH("D4.17|"&amp;CAPTURA!BN76,CODIFICACION!$F$2:$F$500,0))),"⚠"))</f>
        <v/>
      </c>
      <c r="AJ76" t="str">
        <f>IF(CAPTURA!BO76="","",IFERROR(IF(INDEX(CODIFICACION!$E$2:$E$500,MATCH("D4.15a|"&amp;CAPTURA!BO76,CODIFICACION!$F$2:$F$500,0))="sin dato","",INDEX(CODIFICACION!$E$2:$E$500,MATCH("D4.15a|"&amp;CAPTURA!BO76,CODIFICACION!$F$2:$F$500,0))),"⚠"))</f>
        <v/>
      </c>
      <c r="AK76" t="str">
        <f>IF(CAPTURA!BP76="","",IF(AND(ISNUMBER(CAPTURA!BP76),CAPTURA!BP76&gt;=0,CAPTURA!BP76&lt;=4),CAPTURA!BP76*25,"⚠"))</f>
        <v/>
      </c>
      <c r="AL76" t="str">
        <f>IF(CAPTURA!BQ76="","",IF(AND(ISNUMBER(CAPTURA!BQ76),CAPTURA!BQ76&gt;=0,CAPTURA!BQ76&lt;=4),CAPTURA!BQ76*25,"⚠"))</f>
        <v/>
      </c>
      <c r="AM76" t="str">
        <f>IF(CAPTURA!BR76="","",IFERROR(IF(INDEX(CODIFICACION!$E$2:$E$500,MATCH("D5.18b|"&amp;CAPTURA!BR76,CODIFICACION!$F$2:$F$500,0))="sin dato","",INDEX(CODIFICACION!$E$2:$E$500,MATCH("D5.18b|"&amp;CAPTURA!BR76,CODIFICACION!$F$2:$F$500,0))),"⚠"))</f>
        <v/>
      </c>
      <c r="AN76" t="str">
        <f>IF(CAPTURA!BS76="","",IFERROR(IF(INDEX(CODIFICACION!$E$2:$E$500,MATCH("D5.19|"&amp;CAPTURA!BS76,CODIFICACION!$F$2:$F$500,0))="sin dato","",INDEX(CODIFICACION!$E$2:$E$500,MATCH("D5.19|"&amp;CAPTURA!BS76,CODIFICACION!$F$2:$F$500,0))),"⚠"))</f>
        <v/>
      </c>
      <c r="AO76" t="str">
        <f>IF(CAPTURA!BT76="","",MIN(100,ROUND((LEN(CAPTURA!BT76)-LEN(SUBSTITUTE(CAPTURA!BT76,";",""))+1)/7*100,1)))</f>
        <v/>
      </c>
      <c r="AP76" t="str">
        <f>IF(CAPTURA!BU76="","",IFERROR(IF(INDEX(CODIFICACION!$E$2:$E$500,MATCH("D5.20|"&amp;CAPTURA!BU76,CODIFICACION!$F$2:$F$500,0))="sin dato","",INDEX(CODIFICACION!$E$2:$E$500,MATCH("D5.20|"&amp;CAPTURA!BU76,CODIFICACION!$F$2:$F$500,0))),"⚠"))</f>
        <v/>
      </c>
      <c r="AQ76" t="str">
        <f>IF(CAPTURA!BV76="","",IFERROR(IF(INDEX(CODIFICACION!$E$2:$E$500,MATCH("D5.21|"&amp;CAPTURA!BV76,CODIFICACION!$F$2:$F$500,0))="sin dato","",INDEX(CODIFICACION!$E$2:$E$500,MATCH("D5.21|"&amp;CAPTURA!BV76,CODIFICACION!$F$2:$F$500,0))),"⚠"))</f>
        <v/>
      </c>
      <c r="AR76" t="str">
        <f>IF(CAPTURA!BW76="","",IFERROR(IF(INDEX(CODIFICACION!$E$2:$E$500,MATCH("D5.21a|"&amp;CAPTURA!BW76,CODIFICACION!$F$2:$F$500,0))="sin dato","",INDEX(CODIFICACION!$E$2:$E$500,MATCH("D5.21a|"&amp;CAPTURA!BW76,CODIFICACION!$F$2:$F$500,0))),"⚠"))</f>
        <v/>
      </c>
      <c r="AS76" t="str">
        <f>IF(CAPTURA!BX76="","",IFERROR(IF(INDEX(CODIFICACION!$E$2:$E$500,MATCH("D5.21b|"&amp;CAPTURA!BX76,CODIFICACION!$F$2:$F$500,0))="sin dato","",INDEX(CODIFICACION!$E$2:$E$500,MATCH("D5.21b|"&amp;CAPTURA!BX76,CODIFICACION!$F$2:$F$500,0))),"⚠"))</f>
        <v/>
      </c>
      <c r="AT76" t="str">
        <f>IF(CAPTURA!BY76="","",IFERROR(IF(INDEX(CODIFICACION!$E$2:$E$500,MATCH("D6.22|"&amp;CAPTURA!BY76,CODIFICACION!$F$2:$F$500,0))="sin dato","",INDEX(CODIFICACION!$E$2:$E$500,MATCH("D6.22|"&amp;CAPTURA!BY76,CODIFICACION!$F$2:$F$500,0))),"⚠"))</f>
        <v/>
      </c>
      <c r="AU76" t="str">
        <f>IF(CAPTURA!BZ76="","",IFERROR(IF(INDEX(CODIFICACION!$E$2:$E$500,MATCH("D6.22a|"&amp;CAPTURA!BZ76,CODIFICACION!$F$2:$F$500,0))="sin dato","",INDEX(CODIFICACION!$E$2:$E$500,MATCH("D6.22a|"&amp;CAPTURA!BZ76,CODIFICACION!$F$2:$F$500,0))),"⚠"))</f>
        <v/>
      </c>
      <c r="AV76" t="str">
        <f>IF(CAPTURA!CA76="","",IFERROR(IF(INDEX(CODIFICACION!$E$2:$E$500,MATCH("D6.22b|"&amp;CAPTURA!CA76,CODIFICACION!$F$2:$F$500,0))="sin dato","",INDEX(CODIFICACION!$E$2:$E$500,MATCH("D6.22b|"&amp;CAPTURA!CA76,CODIFICACION!$F$2:$F$500,0))),"⚠"))</f>
        <v/>
      </c>
      <c r="AW76" t="str">
        <f>IF(CAPTURA!CB76="","",IFERROR(IF(INDEX(CODIFICACION!$E$2:$E$500,MATCH("D6.23|"&amp;CAPTURA!CB76,CODIFICACION!$F$2:$F$500,0))="sin dato","",INDEX(CODIFICACION!$E$2:$E$500,MATCH("D6.23|"&amp;CAPTURA!CB76,CODIFICACION!$F$2:$F$500,0))),"⚠"))</f>
        <v/>
      </c>
      <c r="AX76" t="str">
        <f>IF(CAPTURA!CC76="","",IFERROR(IF(INDEX(CODIFICACION!$E$2:$E$500,MATCH("D6.24|"&amp;CAPTURA!CC76,CODIFICACION!$F$2:$F$500,0))="sin dato","",INDEX(CODIFICACION!$E$2:$E$500,MATCH("D6.24|"&amp;CAPTURA!CC76,CODIFICACION!$F$2:$F$500,0))),"⚠"))</f>
        <v/>
      </c>
      <c r="AY76" t="str">
        <f>IF(CAPTURA!CD76="","",IFERROR(IF(INDEX(CODIFICACION!$E$2:$E$500,MATCH("D6.25|"&amp;CAPTURA!CD76,CODIFICACION!$F$2:$F$500,0))="sin dato","",INDEX(CODIFICACION!$E$2:$E$500,MATCH("D6.25|"&amp;CAPTURA!CD76,CODIFICACION!$F$2:$F$500,0))),"⚠"))</f>
        <v/>
      </c>
      <c r="AZ76" t="str">
        <f>IF(CAPTURA!CE76="","",IFERROR(IF(INDEX(CODIFICACION!$E$2:$E$500,MATCH("D6.25a|"&amp;CAPTURA!CE76,CODIFICACION!$F$2:$F$500,0))="sin dato","",INDEX(CODIFICACION!$E$2:$E$500,MATCH("D6.25a|"&amp;CAPTURA!CE76,CODIFICACION!$F$2:$F$500,0))),"⚠"))</f>
        <v/>
      </c>
      <c r="BA76" t="str">
        <f>IF(CAPTURA!CF76="","",IFERROR(IF(INDEX(CODIFICACION!$E$2:$E$500,MATCH("D6.25b|"&amp;CAPTURA!CF76,CODIFICACION!$F$2:$F$500,0))="sin dato","",INDEX(CODIFICACION!$E$2:$E$500,MATCH("D6.25b|"&amp;CAPTURA!CF76,CODIFICACION!$F$2:$F$500,0))),"⚠"))</f>
        <v/>
      </c>
      <c r="BB76" t="str">
        <f>IF(CAPTURA!CG76="","",IFERROR(IF(INDEX(CODIFICACION!$E$2:$E$500,MATCH("D6.22c|"&amp;CAPTURA!CG76,CODIFICACION!$F$2:$F$500,0))="sin dato","",INDEX(CODIFICACION!$E$2:$E$500,MATCH("D6.22c|"&amp;CAPTURA!CG76,CODIFICACION!$F$2:$F$500,0))),"⚠"))</f>
        <v/>
      </c>
      <c r="BC76" t="str">
        <f>IF(CAPTURA!CH76="","",IFERROR(IF(INDEX(CODIFICACION!$E$2:$E$500,MATCH("D7.26|"&amp;CAPTURA!CH76,CODIFICACION!$F$2:$F$500,0))="sin dato","",INDEX(CODIFICACION!$E$2:$E$500,MATCH("D7.26|"&amp;CAPTURA!CH76,CODIFICACION!$F$2:$F$500,0))),"⚠"))</f>
        <v/>
      </c>
      <c r="BD76" t="str">
        <f>IF(CAPTURA!CI76="","",IFERROR(IF(INDEX(CODIFICACION!$E$2:$E$500,MATCH("D7.27|"&amp;CAPTURA!CI76,CODIFICACION!$F$2:$F$500,0))="sin dato","",INDEX(CODIFICACION!$E$2:$E$500,MATCH("D7.27|"&amp;CAPTURA!CI76,CODIFICACION!$F$2:$F$500,0))),"⚠"))</f>
        <v/>
      </c>
      <c r="BE76" t="str">
        <f>IF(CAPTURA!CJ76="","",IFERROR(IF(INDEX(CODIFICACION!$E$2:$E$500,MATCH("D7.28|"&amp;CAPTURA!CJ76,CODIFICACION!$F$2:$F$500,0))="sin dato","",INDEX(CODIFICACION!$E$2:$E$500,MATCH("D7.28|"&amp;CAPTURA!CJ76,CODIFICACION!$F$2:$F$500,0))),"⚠"))</f>
        <v/>
      </c>
      <c r="BF76" t="str">
        <f>IF(CAPTURA!CK76="","",IFERROR(IF(INDEX(CODIFICACION!$E$2:$E$500,MATCH("D7.28b|"&amp;CAPTURA!CK76,CODIFICACION!$F$2:$F$500,0))="sin dato","",INDEX(CODIFICACION!$E$2:$E$500,MATCH("D7.28b|"&amp;CAPTURA!CK76,CODIFICACION!$F$2:$F$500,0))),"⚠"))</f>
        <v/>
      </c>
      <c r="BG76" t="str">
        <f>IF(CAPTURA!CL76="","",MIN(100,ROUND((LEN(CAPTURA!CL76)-LEN(SUBSTITUTE(CAPTURA!CL76,";",""))+1)/8*100,1)))</f>
        <v/>
      </c>
      <c r="BH76" t="str">
        <f>IF(CAPTURA!CM76="","",IFERROR(IF(INDEX(CODIFICACION!$E$2:$E$500,MATCH("D7.26a|"&amp;CAPTURA!CM76,CODIFICACION!$F$2:$F$500,0))="sin dato","",INDEX(CODIFICACION!$E$2:$E$500,MATCH("D7.26a|"&amp;CAPTURA!CM76,CODIFICACION!$F$2:$F$500,0))),"⚠"))</f>
        <v/>
      </c>
      <c r="BI76" t="str">
        <f>IF(CAPTURA!CN76="","",IFERROR(IF(INDEX(CODIFICACION!$E$2:$E$500,MATCH("D7.26b|"&amp;CAPTURA!CN76,CODIFICACION!$F$2:$F$500,0))="sin dato","",INDEX(CODIFICACION!$E$2:$E$500,MATCH("D7.26b|"&amp;CAPTURA!CN76,CODIFICACION!$F$2:$F$500,0))),"⚠"))</f>
        <v/>
      </c>
      <c r="BJ76" t="str">
        <f>IF(CAPTURA!CO76="","",IF(AND(ISNUMBER(CAPTURA!CO76),CAPTURA!CO76&gt;=0,CAPTURA!CO76&lt;=4),CAPTURA!CO76*25,"⚠"))</f>
        <v/>
      </c>
      <c r="BK76" t="str">
        <f>IF(CAPTURA!CP76="","",IF(ISNUMBER(CAPTURA!CP76),MAX(0,MIN(100,CAPTURA!CP76)),"⚠"))</f>
        <v/>
      </c>
      <c r="BL76" t="str">
        <f>IF(CAPTURA!CQ76="","",IFERROR(IF(INDEX(CODIFICACION!$E$2:$E$500,MATCH("D8.31|"&amp;CAPTURA!CQ76,CODIFICACION!$F$2:$F$500,0))="sin dato","",INDEX(CODIFICACION!$E$2:$E$500,MATCH("D8.31|"&amp;CAPTURA!CQ76,CODIFICACION!$F$2:$F$500,0))),"⚠"))</f>
        <v/>
      </c>
      <c r="BM76" t="str">
        <f>IF(CAPTURA!CR76="","",IFERROR(IF(INDEX(CODIFICACION!$E$2:$E$500,MATCH("D8.32|"&amp;CAPTURA!CR76,CODIFICACION!$F$2:$F$500,0))="sin dato","",INDEX(CODIFICACION!$E$2:$E$500,MATCH("D8.32|"&amp;CAPTURA!CR76,CODIFICACION!$F$2:$F$500,0))),"⚠"))</f>
        <v/>
      </c>
      <c r="BN76" t="str">
        <f>IF(CAPTURA!CS76="","",IFERROR(IF(INDEX(CODIFICACION!$E$2:$E$500,MATCH("D9.33|"&amp;CAPTURA!CS76,CODIFICACION!$F$2:$F$500,0))="sin dato","",INDEX(CODIFICACION!$E$2:$E$500,MATCH("D9.33|"&amp;CAPTURA!CS76,CODIFICACION!$F$2:$F$500,0))),"⚠"))</f>
        <v/>
      </c>
      <c r="BO76" t="str">
        <f>IF(CAPTURA!CT76="","",IFERROR(IF(INDEX(CODIFICACION!$E$2:$E$500,MATCH("D9.34|"&amp;CAPTURA!CT76,CODIFICACION!$F$2:$F$500,0))="sin dato","",INDEX(CODIFICACION!$E$2:$E$500,MATCH("D9.34|"&amp;CAPTURA!CT76,CODIFICACION!$F$2:$F$500,0))),"⚠"))</f>
        <v/>
      </c>
      <c r="BP76" t="str">
        <f>IF(CAPTURA!CU76="","",IFERROR(IF(INDEX(CODIFICACION!$E$2:$E$500,MATCH("D9.35|"&amp;CAPTURA!CU76,CODIFICACION!$F$2:$F$500,0))="sin dato","",INDEX(CODIFICACION!$E$2:$E$500,MATCH("D9.35|"&amp;CAPTURA!CU76,CODIFICACION!$F$2:$F$500,0))),"⚠"))</f>
        <v/>
      </c>
      <c r="BQ76" t="str">
        <f>IF(CAPTURA!CV76="","",IFERROR(IF(INDEX(CODIFICACION!$E$2:$E$500,MATCH("D10.36|"&amp;CAPTURA!CV76,CODIFICACION!$F$2:$F$500,0))="sin dato","",INDEX(CODIFICACION!$E$2:$E$500,MATCH("D10.36|"&amp;CAPTURA!CV76,CODIFICACION!$F$2:$F$500,0))),"⚠"))</f>
        <v/>
      </c>
      <c r="BR76" t="str">
        <f>IF(CAPTURA!CW76="","",IFERROR(IF(INDEX(CODIFICACION!$E$2:$E$500,MATCH("D10.37|"&amp;CAPTURA!CW76,CODIFICACION!$F$2:$F$500,0))="sin dato","",INDEX(CODIFICACION!$E$2:$E$500,MATCH("D10.37|"&amp;CAPTURA!CW76,CODIFICACION!$F$2:$F$500,0))),"⚠"))</f>
        <v/>
      </c>
      <c r="BS76" t="str">
        <f>IF(CAPTURA!CX76="","",IFERROR(IF(INDEX(CODIFICACION!$E$2:$E$500,MATCH("D10.36a|"&amp;CAPTURA!CX76,CODIFICACION!$F$2:$F$500,0))="sin dato","",INDEX(CODIFICACION!$E$2:$E$500,MATCH("D10.36a|"&amp;CAPTURA!CX76,CODIFICACION!$F$2:$F$500,0))),"⚠"))</f>
        <v/>
      </c>
      <c r="BT76" t="str">
        <f>IF(CAPTURA!CY76="","",IF(ISNUMBER(SEARCH("Ninguno",CAPTURA!CY76)),0,MIN(100,ROUND((LEN(CAPTURA!CY76)-LEN(SUBSTITUTE(CAPTURA!CY76,";",""))+1)/6*100,1))))</f>
        <v/>
      </c>
      <c r="BU76" t="str">
        <f>IF(CAPTURA!DA76="","",IFERROR(IF(INDEX(CODIFICACION!$E$2:$E$500,MATCH("D11.39a|"&amp;CAPTURA!DA76,CODIFICACION!$F$2:$F$500,0))="sin dato","",INDEX(CODIFICACION!$E$2:$E$500,MATCH("D11.39a|"&amp;CAPTURA!DA76,CODIFICACION!$F$2:$F$500,0))),"⚠"))</f>
        <v/>
      </c>
      <c r="BV76" t="str">
        <f>IF(CAPTURA!DB76="","",IFERROR(IF(INDEX(CODIFICACION!$E$2:$E$500,MATCH("D12.42|"&amp;CAPTURA!DB76,CODIFICACION!$F$2:$F$500,0))="sin dato","",INDEX(CODIFICACION!$E$2:$E$500,MATCH("D12.42|"&amp;CAPTURA!DB76,CODIFICACION!$F$2:$F$500,0))),"⚠"))</f>
        <v/>
      </c>
      <c r="BW76" t="str">
        <f>IF(CAPTURA!DC76="","",IFERROR(IF(INDEX(CODIFICACION!$E$2:$E$500,MATCH("D13.45|"&amp;CAPTURA!DC76,CODIFICACION!$F$2:$F$500,0))="sin dato","",INDEX(CODIFICACION!$E$2:$E$500,MATCH("D13.45|"&amp;CAPTURA!DC76,CODIFICACION!$F$2:$F$500,0))),"⚠"))</f>
        <v/>
      </c>
      <c r="BX76" t="str">
        <f>IF(CAPTURA!DD76="","",IFERROR(IF(INDEX(CODIFICACION!$E$2:$E$500,MATCH("D14.51|"&amp;CAPTURA!DD76,CODIFICACION!$F$2:$F$500,0))="sin dato","",INDEX(CODIFICACION!$E$2:$E$500,MATCH("D14.51|"&amp;CAPTURA!DD76,CODIFICACION!$F$2:$F$500,0))),"⚠"))</f>
        <v/>
      </c>
      <c r="BY76" t="str">
        <f>IF(CAPTURA!DE76="","",IFERROR(IF(INDEX(CODIFICACION!$E$2:$E$500,MATCH("D15.58|"&amp;CAPTURA!DE76,CODIFICACION!$F$2:$F$500,0))="sin dato","",INDEX(CODIFICACION!$E$2:$E$500,MATCH("D15.58|"&amp;CAPTURA!DE76,CODIFICACION!$F$2:$F$500,0))),"⚠"))</f>
        <v/>
      </c>
      <c r="BZ76" t="str">
        <f>IF(CAPTURA!DF76="","",IFERROR(IF(INDEX(CODIFICACION!$E$2:$E$500,MATCH("PP1|"&amp;CAPTURA!DF76,CODIFICACION!$F$2:$F$500,0))="sin dato","",INDEX(CODIFICACION!$E$2:$E$500,MATCH("PP1|"&amp;CAPTURA!DF76,CODIFICACION!$F$2:$F$500,0))),"⚠"))</f>
        <v/>
      </c>
      <c r="CA76" t="str">
        <f>IF(CAPTURA!DG76="","",IFERROR(IF(INDEX(CODIFICACION!$E$2:$E$500,MATCH("PP2|"&amp;CAPTURA!DG76,CODIFICACION!$F$2:$F$500,0))="sin dato","",INDEX(CODIFICACION!$E$2:$E$500,MATCH("PP2|"&amp;CAPTURA!DG76,CODIFICACION!$F$2:$F$500,0))),"⚠"))</f>
        <v/>
      </c>
      <c r="CB76" t="str">
        <f t="shared" si="22"/>
        <v/>
      </c>
      <c r="CC76" t="str">
        <f t="shared" si="23"/>
        <v/>
      </c>
      <c r="CD76" t="str">
        <f t="shared" si="24"/>
        <v/>
      </c>
      <c r="CE76" t="str">
        <f t="shared" si="25"/>
        <v/>
      </c>
      <c r="CF76" t="str">
        <f t="shared" si="26"/>
        <v/>
      </c>
      <c r="CG76" t="str">
        <f t="shared" si="27"/>
        <v/>
      </c>
      <c r="CH76" t="str">
        <f t="shared" si="28"/>
        <v/>
      </c>
      <c r="CI76" t="str">
        <f t="shared" si="29"/>
        <v/>
      </c>
      <c r="CJ76" t="str">
        <f t="shared" si="30"/>
        <v/>
      </c>
      <c r="CK76" t="str">
        <f t="shared" si="31"/>
        <v/>
      </c>
      <c r="CL76" t="str">
        <f t="shared" si="32"/>
        <v/>
      </c>
    </row>
    <row r="77" spans="1:90" x14ac:dyDescent="0.3">
      <c r="A77">
        <f>CAPTURA!A77</f>
        <v>20542380455</v>
      </c>
      <c r="B77">
        <f>CAPTURA!C77</f>
        <v>0</v>
      </c>
      <c r="C77" t="str">
        <f>IF(CAPTURA!M77="","",ROUND((ISNUMBER(SEARCH("Alemania",CAPTURA!M77))+ISNUMBER(SEARCH("Bélgica",CAPTURA!M77))+ISNUMBER(SEARCH("Países Bajos",CAPTURA!M77))+ISNUMBER(SEARCH("Francia",CAPTURA!M77))+ISNUMBER(SEARCH("Italia",CAPTURA!M77))+ISNUMBER(SEARCH("España",CAPTURA!M77))+ISNUMBER(SEARCH("Suecia",CAPTURA!M77))+ISNUMBER(SEARCH("Dinamarca",CAPTURA!M77)))/((LEN(CAPTURA!M77)-LEN(SUBSTITUTE(CAPTURA!M77,";","")))+1)*100,1))</f>
        <v/>
      </c>
      <c r="D77" t="str">
        <f>IF(CAPTURA!AE77="","",IFERROR(IF(INDEX(CODIFICACION!$E$2:$E$500,MATCH("P8|"&amp;CAPTURA!AE77,CODIFICACION!$F$2:$F$500,0))="sin dato","",INDEX(CODIFICACION!$E$2:$E$500,MATCH("P8|"&amp;CAPTURA!AE77,CODIFICACION!$F$2:$F$500,0))),"⚠"))</f>
        <v/>
      </c>
      <c r="E77" t="str">
        <f>IF(CAPTURA!AG77="","",IFERROR(IF(INDEX(CODIFICACION!$E$2:$E$500,MATCH("P10|"&amp;CAPTURA!AG77,CODIFICACION!$F$2:$F$500,0))="sin dato","",INDEX(CODIFICACION!$E$2:$E$500,MATCH("P10|"&amp;CAPTURA!AG77,CODIFICACION!$F$2:$F$500,0))),"⚠"))</f>
        <v/>
      </c>
      <c r="F77" t="str">
        <f>IF(CAPTURA!AJ77="","",IFERROR(IF(INDEX(CODIFICACION!$E$2:$E$500,MATCH("P13|"&amp;CAPTURA!AJ77,CODIFICACION!$F$2:$F$500,0))="sin dato","",INDEX(CODIFICACION!$E$2:$E$500,MATCH("P13|"&amp;CAPTURA!AJ77,CODIFICACION!$F$2:$F$500,0))),"⚠"))</f>
        <v/>
      </c>
      <c r="G77" t="str">
        <f>IF(CAPTURA!AK77="","",IFERROR(IF(INDEX(CODIFICACION!$E$2:$E$500,MATCH("P14|"&amp;CAPTURA!AK77,CODIFICACION!$F$2:$F$500,0))="sin dato","",INDEX(CODIFICACION!$E$2:$E$500,MATCH("P14|"&amp;CAPTURA!AK77,CODIFICACION!$F$2:$F$500,0))),"⚠"))</f>
        <v/>
      </c>
      <c r="H77" t="str">
        <f>IF(CAPTURA!AL77="","",IFERROR(IF(INDEX(CODIFICACION!$E$2:$E$500,MATCH("D1.1|"&amp;CAPTURA!AL77,CODIFICACION!$F$2:$F$500,0))="sin dato","",INDEX(CODIFICACION!$E$2:$E$500,MATCH("D1.1|"&amp;CAPTURA!AL77,CODIFICACION!$F$2:$F$500,0))),"⚠"))</f>
        <v/>
      </c>
      <c r="I77" t="str">
        <f>IF(CAPTURA!AN77="","",IFERROR(IF(INDEX(CODIFICACION!$E$2:$E$500,MATCH("D1.3|"&amp;CAPTURA!AN77,CODIFICACION!$F$2:$F$500,0))="sin dato","",INDEX(CODIFICACION!$E$2:$E$500,MATCH("D1.3|"&amp;CAPTURA!AN77,CODIFICACION!$F$2:$F$500,0))),"⚠"))</f>
        <v/>
      </c>
      <c r="J77" t="str">
        <f>IF(CAPTURA!AO77="","",IFERROR(IF(INDEX(CODIFICACION!$E$2:$E$500,MATCH("D1.4|"&amp;CAPTURA!AO77,CODIFICACION!$F$2:$F$500,0))="sin dato","",INDEX(CODIFICACION!$E$2:$E$500,MATCH("D1.4|"&amp;CAPTURA!AO77,CODIFICACION!$F$2:$F$500,0))),"⚠"))</f>
        <v/>
      </c>
      <c r="K77" t="str">
        <f>IF(CAPTURA!AP77="","",IFERROR(IF(INDEX(CODIFICACION!$E$2:$E$500,MATCH("D1.3a|"&amp;CAPTURA!AP77,CODIFICACION!$F$2:$F$500,0))="sin dato","",INDEX(CODIFICACION!$E$2:$E$500,MATCH("D1.3a|"&amp;CAPTURA!AP77,CODIFICACION!$F$2:$F$500,0))),"⚠"))</f>
        <v/>
      </c>
      <c r="L77" t="str">
        <f>IF(CAPTURA!AQ77="","",IF(AND(ISNUMBER(CAPTURA!AQ77),CAPTURA!AQ77&gt;=0,CAPTURA!AQ77&lt;=4),CAPTURA!AQ77*25,"⚠"))</f>
        <v/>
      </c>
      <c r="M77" t="str">
        <f>IF(CAPTURA!AR77="","",IF(ISNUMBER(CAPTURA!AR77),MAX(0,MIN(100,CAPTURA!AR77)),"⚠"))</f>
        <v/>
      </c>
      <c r="N77" t="str">
        <f>IF(CAPTURA!AS77="","",IF(AND(ISNUMBER(CAPTURA!AS77),CAPTURA!AS77&gt;=0,CAPTURA!AS77&lt;=4),CAPTURA!AS77*25,"⚠"))</f>
        <v/>
      </c>
      <c r="O77" t="str">
        <f>IF(CAPTURA!AT77="","",IFERROR(IF(INDEX(CODIFICACION!$E$2:$E$500,MATCH("D2.8|"&amp;CAPTURA!AT77,CODIFICACION!$F$2:$F$500,0))="sin dato","",INDEX(CODIFICACION!$E$2:$E$500,MATCH("D2.8|"&amp;CAPTURA!AT77,CODIFICACION!$F$2:$F$500,0))),"⚠"))</f>
        <v/>
      </c>
      <c r="P77" t="str">
        <f>IF(CAPTURA!AU77="","",IFERROR(IF(INDEX(CODIFICACION!$E$2:$E$500,MATCH("D2.9|"&amp;CAPTURA!AU77,CODIFICACION!$F$2:$F$500,0))="sin dato","",INDEX(CODIFICACION!$E$2:$E$500,MATCH("D2.9|"&amp;CAPTURA!AU77,CODIFICACION!$F$2:$F$500,0))),"⚠"))</f>
        <v/>
      </c>
      <c r="Q77" t="str">
        <f>IF(CAPTURA!AV77="","",IFERROR(IF(INDEX(CODIFICACION!$E$2:$E$500,MATCH("D2.10|"&amp;CAPTURA!AV77,CODIFICACION!$F$2:$F$500,0))="sin dato","",INDEX(CODIFICACION!$E$2:$E$500,MATCH("D2.10|"&amp;CAPTURA!AV77,CODIFICACION!$F$2:$F$500,0))),"⚠"))</f>
        <v/>
      </c>
      <c r="R77" t="str">
        <f>IF(CAPTURA!AW77="","",IFERROR(IF(INDEX(CODIFICACION!$E$2:$E$500,MATCH("D2.5a|"&amp;CAPTURA!AW77,CODIFICACION!$F$2:$F$500,0))="sin dato","",INDEX(CODIFICACION!$E$2:$E$500,MATCH("D2.5a|"&amp;CAPTURA!AW77,CODIFICACION!$F$2:$F$500,0))),"⚠"))</f>
        <v/>
      </c>
      <c r="S77" t="str">
        <f>IF(CAPTURA!AX77="","",IFERROR(IF(INDEX(CODIFICACION!$E$2:$E$500,MATCH("D2.5b|"&amp;CAPTURA!AX77,CODIFICACION!$F$2:$F$500,0))="sin dato","",INDEX(CODIFICACION!$E$2:$E$500,MATCH("D2.5b|"&amp;CAPTURA!AX77,CODIFICACION!$F$2:$F$500,0))),"⚠"))</f>
        <v/>
      </c>
      <c r="T77" t="str">
        <f>IF(CAPTURA!AY77="","",IF(ISNUMBER(CAPTURA!AY77),MAX(0,MIN(100,CAPTURA!AY77)),"⚠"))</f>
        <v/>
      </c>
      <c r="U77" t="str">
        <f>IF(CAPTURA!AZ77="","",IFERROR(IF(INDEX(CODIFICACION!$E$2:$E$500,MATCH("D3.12|"&amp;CAPTURA!AZ77,CODIFICACION!$F$2:$F$500,0))="sin dato","",INDEX(CODIFICACION!$E$2:$E$500,MATCH("D3.12|"&amp;CAPTURA!AZ77,CODIFICACION!$F$2:$F$500,0))),"⚠"))</f>
        <v/>
      </c>
      <c r="V77" t="str">
        <f>IF(CAPTURA!BA77="","",IF(AND(ISNUMBER(CAPTURA!BA77),CAPTURA!BA77&gt;=0,CAPTURA!BA77&lt;=4),CAPTURA!BA77*25,"⚠"))</f>
        <v/>
      </c>
      <c r="W77" t="str">
        <f>IF(CAPTURA!BB77="","",IFERROR(IF(INDEX(CODIFICACION!$E$2:$E$500,MATCH("D3.14|"&amp;CAPTURA!BB77,CODIFICACION!$F$2:$F$500,0))="sin dato","",INDEX(CODIFICACION!$E$2:$E$500,MATCH("D3.14|"&amp;CAPTURA!BB77,CODIFICACION!$F$2:$F$500,0))),"⚠"))</f>
        <v/>
      </c>
      <c r="X77" t="str">
        <f>IF(CAPTURA!BC77="","",IFERROR(IF(INDEX(CODIFICACION!$E$2:$E$500,MATCH("D3.14a|"&amp;CAPTURA!BC77,CODIFICACION!$F$2:$F$500,0))="sin dato","",INDEX(CODIFICACION!$E$2:$E$500,MATCH("D3.14a|"&amp;CAPTURA!BC77,CODIFICACION!$F$2:$F$500,0))),"⚠"))</f>
        <v/>
      </c>
      <c r="Y77" t="str">
        <f>IF(CAPTURA!BD77="","",IFERROR(IF(INDEX(CODIFICACION!$E$2:$E$500,MATCH("D3.14b|"&amp;CAPTURA!BD77,CODIFICACION!$F$2:$F$500,0))="sin dato","",INDEX(CODIFICACION!$E$2:$E$500,MATCH("D3.14b|"&amp;CAPTURA!BD77,CODIFICACION!$F$2:$F$500,0))),"⚠"))</f>
        <v/>
      </c>
      <c r="Z77" t="str">
        <f>IF(CAPTURA!BE77="","",IFERROR(IF(INDEX(CODIFICACION!$E$2:$E$500,MATCH("D3.14c|"&amp;CAPTURA!BE77,CODIFICACION!$F$2:$F$500,0))="sin dato","",INDEX(CODIFICACION!$E$2:$E$500,MATCH("D3.14c|"&amp;CAPTURA!BE77,CODIFICACION!$F$2:$F$500,0))),"⚠"))</f>
        <v/>
      </c>
      <c r="AA77" t="str">
        <f>IF(CAPTURA!BF77="","",IFERROR(IF(INDEX(CODIFICACION!$E$2:$E$500,MATCH("D3.14d|"&amp;CAPTURA!BF77,CODIFICACION!$F$2:$F$500,0))="sin dato","",INDEX(CODIFICACION!$E$2:$E$500,MATCH("D3.14d|"&amp;CAPTURA!BF77,CODIFICACION!$F$2:$F$500,0))),"⚠"))</f>
        <v/>
      </c>
      <c r="AB77" t="str">
        <f>IF(CAPTURA!BG77="","",IFERROR(IF(INDEX(CODIFICACION!$E$2:$E$500,MATCH("D3.14e|"&amp;CAPTURA!BG77,CODIFICACION!$F$2:$F$500,0))="sin dato","",INDEX(CODIFICACION!$E$2:$E$500,MATCH("D3.14e|"&amp;CAPTURA!BG77,CODIFICACION!$F$2:$F$500,0))),"⚠"))</f>
        <v/>
      </c>
      <c r="AC77" t="str">
        <f>IF(CAPTURA!BH77="","",IFERROR(IF(INDEX(CODIFICACION!$E$2:$E$500,MATCH("D3.14f|"&amp;CAPTURA!BH77,CODIFICACION!$F$2:$F$500,0))="sin dato","",INDEX(CODIFICACION!$E$2:$E$500,MATCH("D3.14f|"&amp;CAPTURA!BH77,CODIFICACION!$F$2:$F$500,0))),"⚠"))</f>
        <v/>
      </c>
      <c r="AD77" t="str">
        <f>IF(CAPTURA!BI77="","",IFERROR(IF(INDEX(CODIFICACION!$E$2:$E$500,MATCH("D3.14g|"&amp;CAPTURA!BI77,CODIFICACION!$F$2:$F$500,0))="sin dato","",INDEX(CODIFICACION!$E$2:$E$500,MATCH("D3.14g|"&amp;CAPTURA!BI77,CODIFICACION!$F$2:$F$500,0))),"⚠"))</f>
        <v/>
      </c>
      <c r="AE77" t="str">
        <f>IF(CAPTURA!BJ77="","",IFERROR(IF(INDEX(CODIFICACION!$E$2:$E$500,MATCH("D3.14h|"&amp;CAPTURA!BJ77,CODIFICACION!$F$2:$F$500,0))="sin dato","",INDEX(CODIFICACION!$E$2:$E$500,MATCH("D3.14h|"&amp;CAPTURA!BJ77,CODIFICACION!$F$2:$F$500,0))),"⚠"))</f>
        <v/>
      </c>
      <c r="AF77" t="str">
        <f>IF(CAPTURA!BK77="","",IFERROR(IF(INDEX(CODIFICACION!$E$2:$E$500,MATCH("D3.14i|"&amp;CAPTURA!BK77,CODIFICACION!$F$2:$F$500,0))="sin dato","",INDEX(CODIFICACION!$E$2:$E$500,MATCH("D3.14i|"&amp;CAPTURA!BK77,CODIFICACION!$F$2:$F$500,0))),"⚠"))</f>
        <v/>
      </c>
      <c r="AG77" t="str">
        <f>IF(CAPTURA!BL77="","",IFERROR(IF(INDEX(CODIFICACION!$E$2:$E$500,MATCH("D4.15|"&amp;CAPTURA!BL77,CODIFICACION!$F$2:$F$500,0))="sin dato","",INDEX(CODIFICACION!$E$2:$E$500,MATCH("D4.15|"&amp;CAPTURA!BL77,CODIFICACION!$F$2:$F$500,0))),"⚠"))</f>
        <v/>
      </c>
      <c r="AH77" t="str">
        <f>IF(CAPTURA!BM77="","",IF(AND(ISNUMBER(CAPTURA!BM77),CAPTURA!BM77&gt;=0,CAPTURA!BM77&lt;=4),CAPTURA!BM77*25,"⚠"))</f>
        <v/>
      </c>
      <c r="AI77" t="str">
        <f>IF(CAPTURA!BN77="","",IFERROR(IF(INDEX(CODIFICACION!$E$2:$E$500,MATCH("D4.17|"&amp;CAPTURA!BN77,CODIFICACION!$F$2:$F$500,0))="sin dato","",INDEX(CODIFICACION!$E$2:$E$500,MATCH("D4.17|"&amp;CAPTURA!BN77,CODIFICACION!$F$2:$F$500,0))),"⚠"))</f>
        <v/>
      </c>
      <c r="AJ77" t="str">
        <f>IF(CAPTURA!BO77="","",IFERROR(IF(INDEX(CODIFICACION!$E$2:$E$500,MATCH("D4.15a|"&amp;CAPTURA!BO77,CODIFICACION!$F$2:$F$500,0))="sin dato","",INDEX(CODIFICACION!$E$2:$E$500,MATCH("D4.15a|"&amp;CAPTURA!BO77,CODIFICACION!$F$2:$F$500,0))),"⚠"))</f>
        <v/>
      </c>
      <c r="AK77" t="str">
        <f>IF(CAPTURA!BP77="","",IF(AND(ISNUMBER(CAPTURA!BP77),CAPTURA!BP77&gt;=0,CAPTURA!BP77&lt;=4),CAPTURA!BP77*25,"⚠"))</f>
        <v/>
      </c>
      <c r="AL77" t="str">
        <f>IF(CAPTURA!BQ77="","",IF(AND(ISNUMBER(CAPTURA!BQ77),CAPTURA!BQ77&gt;=0,CAPTURA!BQ77&lt;=4),CAPTURA!BQ77*25,"⚠"))</f>
        <v/>
      </c>
      <c r="AM77" t="str">
        <f>IF(CAPTURA!BR77="","",IFERROR(IF(INDEX(CODIFICACION!$E$2:$E$500,MATCH("D5.18b|"&amp;CAPTURA!BR77,CODIFICACION!$F$2:$F$500,0))="sin dato","",INDEX(CODIFICACION!$E$2:$E$500,MATCH("D5.18b|"&amp;CAPTURA!BR77,CODIFICACION!$F$2:$F$500,0))),"⚠"))</f>
        <v/>
      </c>
      <c r="AN77" t="str">
        <f>IF(CAPTURA!BS77="","",IFERROR(IF(INDEX(CODIFICACION!$E$2:$E$500,MATCH("D5.19|"&amp;CAPTURA!BS77,CODIFICACION!$F$2:$F$500,0))="sin dato","",INDEX(CODIFICACION!$E$2:$E$500,MATCH("D5.19|"&amp;CAPTURA!BS77,CODIFICACION!$F$2:$F$500,0))),"⚠"))</f>
        <v/>
      </c>
      <c r="AO77" t="str">
        <f>IF(CAPTURA!BT77="","",MIN(100,ROUND((LEN(CAPTURA!BT77)-LEN(SUBSTITUTE(CAPTURA!BT77,";",""))+1)/7*100,1)))</f>
        <v/>
      </c>
      <c r="AP77" t="str">
        <f>IF(CAPTURA!BU77="","",IFERROR(IF(INDEX(CODIFICACION!$E$2:$E$500,MATCH("D5.20|"&amp;CAPTURA!BU77,CODIFICACION!$F$2:$F$500,0))="sin dato","",INDEX(CODIFICACION!$E$2:$E$500,MATCH("D5.20|"&amp;CAPTURA!BU77,CODIFICACION!$F$2:$F$500,0))),"⚠"))</f>
        <v/>
      </c>
      <c r="AQ77" t="str">
        <f>IF(CAPTURA!BV77="","",IFERROR(IF(INDEX(CODIFICACION!$E$2:$E$500,MATCH("D5.21|"&amp;CAPTURA!BV77,CODIFICACION!$F$2:$F$500,0))="sin dato","",INDEX(CODIFICACION!$E$2:$E$500,MATCH("D5.21|"&amp;CAPTURA!BV77,CODIFICACION!$F$2:$F$500,0))),"⚠"))</f>
        <v/>
      </c>
      <c r="AR77" t="str">
        <f>IF(CAPTURA!BW77="","",IFERROR(IF(INDEX(CODIFICACION!$E$2:$E$500,MATCH("D5.21a|"&amp;CAPTURA!BW77,CODIFICACION!$F$2:$F$500,0))="sin dato","",INDEX(CODIFICACION!$E$2:$E$500,MATCH("D5.21a|"&amp;CAPTURA!BW77,CODIFICACION!$F$2:$F$500,0))),"⚠"))</f>
        <v/>
      </c>
      <c r="AS77" t="str">
        <f>IF(CAPTURA!BX77="","",IFERROR(IF(INDEX(CODIFICACION!$E$2:$E$500,MATCH("D5.21b|"&amp;CAPTURA!BX77,CODIFICACION!$F$2:$F$500,0))="sin dato","",INDEX(CODIFICACION!$E$2:$E$500,MATCH("D5.21b|"&amp;CAPTURA!BX77,CODIFICACION!$F$2:$F$500,0))),"⚠"))</f>
        <v/>
      </c>
      <c r="AT77" t="str">
        <f>IF(CAPTURA!BY77="","",IFERROR(IF(INDEX(CODIFICACION!$E$2:$E$500,MATCH("D6.22|"&amp;CAPTURA!BY77,CODIFICACION!$F$2:$F$500,0))="sin dato","",INDEX(CODIFICACION!$E$2:$E$500,MATCH("D6.22|"&amp;CAPTURA!BY77,CODIFICACION!$F$2:$F$500,0))),"⚠"))</f>
        <v/>
      </c>
      <c r="AU77" t="str">
        <f>IF(CAPTURA!BZ77="","",IFERROR(IF(INDEX(CODIFICACION!$E$2:$E$500,MATCH("D6.22a|"&amp;CAPTURA!BZ77,CODIFICACION!$F$2:$F$500,0))="sin dato","",INDEX(CODIFICACION!$E$2:$E$500,MATCH("D6.22a|"&amp;CAPTURA!BZ77,CODIFICACION!$F$2:$F$500,0))),"⚠"))</f>
        <v/>
      </c>
      <c r="AV77" t="str">
        <f>IF(CAPTURA!CA77="","",IFERROR(IF(INDEX(CODIFICACION!$E$2:$E$500,MATCH("D6.22b|"&amp;CAPTURA!CA77,CODIFICACION!$F$2:$F$500,0))="sin dato","",INDEX(CODIFICACION!$E$2:$E$500,MATCH("D6.22b|"&amp;CAPTURA!CA77,CODIFICACION!$F$2:$F$500,0))),"⚠"))</f>
        <v/>
      </c>
      <c r="AW77" t="str">
        <f>IF(CAPTURA!CB77="","",IFERROR(IF(INDEX(CODIFICACION!$E$2:$E$500,MATCH("D6.23|"&amp;CAPTURA!CB77,CODIFICACION!$F$2:$F$500,0))="sin dato","",INDEX(CODIFICACION!$E$2:$E$500,MATCH("D6.23|"&amp;CAPTURA!CB77,CODIFICACION!$F$2:$F$500,0))),"⚠"))</f>
        <v/>
      </c>
      <c r="AX77" t="str">
        <f>IF(CAPTURA!CC77="","",IFERROR(IF(INDEX(CODIFICACION!$E$2:$E$500,MATCH("D6.24|"&amp;CAPTURA!CC77,CODIFICACION!$F$2:$F$500,0))="sin dato","",INDEX(CODIFICACION!$E$2:$E$500,MATCH("D6.24|"&amp;CAPTURA!CC77,CODIFICACION!$F$2:$F$500,0))),"⚠"))</f>
        <v/>
      </c>
      <c r="AY77" t="str">
        <f>IF(CAPTURA!CD77="","",IFERROR(IF(INDEX(CODIFICACION!$E$2:$E$500,MATCH("D6.25|"&amp;CAPTURA!CD77,CODIFICACION!$F$2:$F$500,0))="sin dato","",INDEX(CODIFICACION!$E$2:$E$500,MATCH("D6.25|"&amp;CAPTURA!CD77,CODIFICACION!$F$2:$F$500,0))),"⚠"))</f>
        <v/>
      </c>
      <c r="AZ77" t="str">
        <f>IF(CAPTURA!CE77="","",IFERROR(IF(INDEX(CODIFICACION!$E$2:$E$500,MATCH("D6.25a|"&amp;CAPTURA!CE77,CODIFICACION!$F$2:$F$500,0))="sin dato","",INDEX(CODIFICACION!$E$2:$E$500,MATCH("D6.25a|"&amp;CAPTURA!CE77,CODIFICACION!$F$2:$F$500,0))),"⚠"))</f>
        <v/>
      </c>
      <c r="BA77" t="str">
        <f>IF(CAPTURA!CF77="","",IFERROR(IF(INDEX(CODIFICACION!$E$2:$E$500,MATCH("D6.25b|"&amp;CAPTURA!CF77,CODIFICACION!$F$2:$F$500,0))="sin dato","",INDEX(CODIFICACION!$E$2:$E$500,MATCH("D6.25b|"&amp;CAPTURA!CF77,CODIFICACION!$F$2:$F$500,0))),"⚠"))</f>
        <v/>
      </c>
      <c r="BB77" t="str">
        <f>IF(CAPTURA!CG77="","",IFERROR(IF(INDEX(CODIFICACION!$E$2:$E$500,MATCH("D6.22c|"&amp;CAPTURA!CG77,CODIFICACION!$F$2:$F$500,0))="sin dato","",INDEX(CODIFICACION!$E$2:$E$500,MATCH("D6.22c|"&amp;CAPTURA!CG77,CODIFICACION!$F$2:$F$500,0))),"⚠"))</f>
        <v/>
      </c>
      <c r="BC77" t="str">
        <f>IF(CAPTURA!CH77="","",IFERROR(IF(INDEX(CODIFICACION!$E$2:$E$500,MATCH("D7.26|"&amp;CAPTURA!CH77,CODIFICACION!$F$2:$F$500,0))="sin dato","",INDEX(CODIFICACION!$E$2:$E$500,MATCH("D7.26|"&amp;CAPTURA!CH77,CODIFICACION!$F$2:$F$500,0))),"⚠"))</f>
        <v/>
      </c>
      <c r="BD77" t="str">
        <f>IF(CAPTURA!CI77="","",IFERROR(IF(INDEX(CODIFICACION!$E$2:$E$500,MATCH("D7.27|"&amp;CAPTURA!CI77,CODIFICACION!$F$2:$F$500,0))="sin dato","",INDEX(CODIFICACION!$E$2:$E$500,MATCH("D7.27|"&amp;CAPTURA!CI77,CODIFICACION!$F$2:$F$500,0))),"⚠"))</f>
        <v/>
      </c>
      <c r="BE77" t="str">
        <f>IF(CAPTURA!CJ77="","",IFERROR(IF(INDEX(CODIFICACION!$E$2:$E$500,MATCH("D7.28|"&amp;CAPTURA!CJ77,CODIFICACION!$F$2:$F$500,0))="sin dato","",INDEX(CODIFICACION!$E$2:$E$500,MATCH("D7.28|"&amp;CAPTURA!CJ77,CODIFICACION!$F$2:$F$500,0))),"⚠"))</f>
        <v/>
      </c>
      <c r="BF77" t="str">
        <f>IF(CAPTURA!CK77="","",IFERROR(IF(INDEX(CODIFICACION!$E$2:$E$500,MATCH("D7.28b|"&amp;CAPTURA!CK77,CODIFICACION!$F$2:$F$500,0))="sin dato","",INDEX(CODIFICACION!$E$2:$E$500,MATCH("D7.28b|"&amp;CAPTURA!CK77,CODIFICACION!$F$2:$F$500,0))),"⚠"))</f>
        <v/>
      </c>
      <c r="BG77" t="str">
        <f>IF(CAPTURA!CL77="","",MIN(100,ROUND((LEN(CAPTURA!CL77)-LEN(SUBSTITUTE(CAPTURA!CL77,";",""))+1)/8*100,1)))</f>
        <v/>
      </c>
      <c r="BH77" t="str">
        <f>IF(CAPTURA!CM77="","",IFERROR(IF(INDEX(CODIFICACION!$E$2:$E$500,MATCH("D7.26a|"&amp;CAPTURA!CM77,CODIFICACION!$F$2:$F$500,0))="sin dato","",INDEX(CODIFICACION!$E$2:$E$500,MATCH("D7.26a|"&amp;CAPTURA!CM77,CODIFICACION!$F$2:$F$500,0))),"⚠"))</f>
        <v/>
      </c>
      <c r="BI77" t="str">
        <f>IF(CAPTURA!CN77="","",IFERROR(IF(INDEX(CODIFICACION!$E$2:$E$500,MATCH("D7.26b|"&amp;CAPTURA!CN77,CODIFICACION!$F$2:$F$500,0))="sin dato","",INDEX(CODIFICACION!$E$2:$E$500,MATCH("D7.26b|"&amp;CAPTURA!CN77,CODIFICACION!$F$2:$F$500,0))),"⚠"))</f>
        <v/>
      </c>
      <c r="BJ77" t="str">
        <f>IF(CAPTURA!CO77="","",IF(AND(ISNUMBER(CAPTURA!CO77),CAPTURA!CO77&gt;=0,CAPTURA!CO77&lt;=4),CAPTURA!CO77*25,"⚠"))</f>
        <v/>
      </c>
      <c r="BK77" t="str">
        <f>IF(CAPTURA!CP77="","",IF(ISNUMBER(CAPTURA!CP77),MAX(0,MIN(100,CAPTURA!CP77)),"⚠"))</f>
        <v/>
      </c>
      <c r="BL77" t="str">
        <f>IF(CAPTURA!CQ77="","",IFERROR(IF(INDEX(CODIFICACION!$E$2:$E$500,MATCH("D8.31|"&amp;CAPTURA!CQ77,CODIFICACION!$F$2:$F$500,0))="sin dato","",INDEX(CODIFICACION!$E$2:$E$500,MATCH("D8.31|"&amp;CAPTURA!CQ77,CODIFICACION!$F$2:$F$500,0))),"⚠"))</f>
        <v/>
      </c>
      <c r="BM77" t="str">
        <f>IF(CAPTURA!CR77="","",IFERROR(IF(INDEX(CODIFICACION!$E$2:$E$500,MATCH("D8.32|"&amp;CAPTURA!CR77,CODIFICACION!$F$2:$F$500,0))="sin dato","",INDEX(CODIFICACION!$E$2:$E$500,MATCH("D8.32|"&amp;CAPTURA!CR77,CODIFICACION!$F$2:$F$500,0))),"⚠"))</f>
        <v/>
      </c>
      <c r="BN77" t="str">
        <f>IF(CAPTURA!CS77="","",IFERROR(IF(INDEX(CODIFICACION!$E$2:$E$500,MATCH("D9.33|"&amp;CAPTURA!CS77,CODIFICACION!$F$2:$F$500,0))="sin dato","",INDEX(CODIFICACION!$E$2:$E$500,MATCH("D9.33|"&amp;CAPTURA!CS77,CODIFICACION!$F$2:$F$500,0))),"⚠"))</f>
        <v/>
      </c>
      <c r="BO77" t="str">
        <f>IF(CAPTURA!CT77="","",IFERROR(IF(INDEX(CODIFICACION!$E$2:$E$500,MATCH("D9.34|"&amp;CAPTURA!CT77,CODIFICACION!$F$2:$F$500,0))="sin dato","",INDEX(CODIFICACION!$E$2:$E$500,MATCH("D9.34|"&amp;CAPTURA!CT77,CODIFICACION!$F$2:$F$500,0))),"⚠"))</f>
        <v/>
      </c>
      <c r="BP77" t="str">
        <f>IF(CAPTURA!CU77="","",IFERROR(IF(INDEX(CODIFICACION!$E$2:$E$500,MATCH("D9.35|"&amp;CAPTURA!CU77,CODIFICACION!$F$2:$F$500,0))="sin dato","",INDEX(CODIFICACION!$E$2:$E$500,MATCH("D9.35|"&amp;CAPTURA!CU77,CODIFICACION!$F$2:$F$500,0))),"⚠"))</f>
        <v/>
      </c>
      <c r="BQ77" t="str">
        <f>IF(CAPTURA!CV77="","",IFERROR(IF(INDEX(CODIFICACION!$E$2:$E$500,MATCH("D10.36|"&amp;CAPTURA!CV77,CODIFICACION!$F$2:$F$500,0))="sin dato","",INDEX(CODIFICACION!$E$2:$E$500,MATCH("D10.36|"&amp;CAPTURA!CV77,CODIFICACION!$F$2:$F$500,0))),"⚠"))</f>
        <v/>
      </c>
      <c r="BR77" t="str">
        <f>IF(CAPTURA!CW77="","",IFERROR(IF(INDEX(CODIFICACION!$E$2:$E$500,MATCH("D10.37|"&amp;CAPTURA!CW77,CODIFICACION!$F$2:$F$500,0))="sin dato","",INDEX(CODIFICACION!$E$2:$E$500,MATCH("D10.37|"&amp;CAPTURA!CW77,CODIFICACION!$F$2:$F$500,0))),"⚠"))</f>
        <v/>
      </c>
      <c r="BS77" t="str">
        <f>IF(CAPTURA!CX77="","",IFERROR(IF(INDEX(CODIFICACION!$E$2:$E$500,MATCH("D10.36a|"&amp;CAPTURA!CX77,CODIFICACION!$F$2:$F$500,0))="sin dato","",INDEX(CODIFICACION!$E$2:$E$500,MATCH("D10.36a|"&amp;CAPTURA!CX77,CODIFICACION!$F$2:$F$500,0))),"⚠"))</f>
        <v/>
      </c>
      <c r="BT77" t="str">
        <f>IF(CAPTURA!CY77="","",IF(ISNUMBER(SEARCH("Ninguno",CAPTURA!CY77)),0,MIN(100,ROUND((LEN(CAPTURA!CY77)-LEN(SUBSTITUTE(CAPTURA!CY77,";",""))+1)/6*100,1))))</f>
        <v/>
      </c>
      <c r="BU77" t="str">
        <f>IF(CAPTURA!DA77="","",IFERROR(IF(INDEX(CODIFICACION!$E$2:$E$500,MATCH("D11.39a|"&amp;CAPTURA!DA77,CODIFICACION!$F$2:$F$500,0))="sin dato","",INDEX(CODIFICACION!$E$2:$E$500,MATCH("D11.39a|"&amp;CAPTURA!DA77,CODIFICACION!$F$2:$F$500,0))),"⚠"))</f>
        <v/>
      </c>
      <c r="BV77" t="str">
        <f>IF(CAPTURA!DB77="","",IFERROR(IF(INDEX(CODIFICACION!$E$2:$E$500,MATCH("D12.42|"&amp;CAPTURA!DB77,CODIFICACION!$F$2:$F$500,0))="sin dato","",INDEX(CODIFICACION!$E$2:$E$500,MATCH("D12.42|"&amp;CAPTURA!DB77,CODIFICACION!$F$2:$F$500,0))),"⚠"))</f>
        <v/>
      </c>
      <c r="BW77" t="str">
        <f>IF(CAPTURA!DC77="","",IFERROR(IF(INDEX(CODIFICACION!$E$2:$E$500,MATCH("D13.45|"&amp;CAPTURA!DC77,CODIFICACION!$F$2:$F$500,0))="sin dato","",INDEX(CODIFICACION!$E$2:$E$500,MATCH("D13.45|"&amp;CAPTURA!DC77,CODIFICACION!$F$2:$F$500,0))),"⚠"))</f>
        <v/>
      </c>
      <c r="BX77" t="str">
        <f>IF(CAPTURA!DD77="","",IFERROR(IF(INDEX(CODIFICACION!$E$2:$E$500,MATCH("D14.51|"&amp;CAPTURA!DD77,CODIFICACION!$F$2:$F$500,0))="sin dato","",INDEX(CODIFICACION!$E$2:$E$500,MATCH("D14.51|"&amp;CAPTURA!DD77,CODIFICACION!$F$2:$F$500,0))),"⚠"))</f>
        <v/>
      </c>
      <c r="BY77" t="str">
        <f>IF(CAPTURA!DE77="","",IFERROR(IF(INDEX(CODIFICACION!$E$2:$E$500,MATCH("D15.58|"&amp;CAPTURA!DE77,CODIFICACION!$F$2:$F$500,0))="sin dato","",INDEX(CODIFICACION!$E$2:$E$500,MATCH("D15.58|"&amp;CAPTURA!DE77,CODIFICACION!$F$2:$F$500,0))),"⚠"))</f>
        <v/>
      </c>
      <c r="BZ77" t="str">
        <f>IF(CAPTURA!DF77="","",IFERROR(IF(INDEX(CODIFICACION!$E$2:$E$500,MATCH("PP1|"&amp;CAPTURA!DF77,CODIFICACION!$F$2:$F$500,0))="sin dato","",INDEX(CODIFICACION!$E$2:$E$500,MATCH("PP1|"&amp;CAPTURA!DF77,CODIFICACION!$F$2:$F$500,0))),"⚠"))</f>
        <v/>
      </c>
      <c r="CA77" t="str">
        <f>IF(CAPTURA!DG77="","",IFERROR(IF(INDEX(CODIFICACION!$E$2:$E$500,MATCH("PP2|"&amp;CAPTURA!DG77,CODIFICACION!$F$2:$F$500,0))="sin dato","",INDEX(CODIFICACION!$E$2:$E$500,MATCH("PP2|"&amp;CAPTURA!DG77,CODIFICACION!$F$2:$F$500,0))),"⚠"))</f>
        <v/>
      </c>
      <c r="CB77" t="str">
        <f t="shared" si="22"/>
        <v/>
      </c>
      <c r="CC77" t="str">
        <f t="shared" si="23"/>
        <v/>
      </c>
      <c r="CD77" t="str">
        <f t="shared" si="24"/>
        <v/>
      </c>
      <c r="CE77" t="str">
        <f t="shared" si="25"/>
        <v/>
      </c>
      <c r="CF77" t="str">
        <f t="shared" si="26"/>
        <v/>
      </c>
      <c r="CG77" t="str">
        <f t="shared" si="27"/>
        <v/>
      </c>
      <c r="CH77" t="str">
        <f t="shared" si="28"/>
        <v/>
      </c>
      <c r="CI77" t="str">
        <f t="shared" si="29"/>
        <v/>
      </c>
      <c r="CJ77" t="str">
        <f t="shared" si="30"/>
        <v/>
      </c>
      <c r="CK77" t="str">
        <f t="shared" si="31"/>
        <v/>
      </c>
      <c r="CL77" t="str">
        <f t="shared" si="32"/>
        <v/>
      </c>
    </row>
    <row r="78" spans="1:90" x14ac:dyDescent="0.3">
      <c r="A78">
        <f>CAPTURA!A78</f>
        <v>20542482886</v>
      </c>
      <c r="B78">
        <f>CAPTURA!C78</f>
        <v>0</v>
      </c>
      <c r="C78" t="str">
        <f>IF(CAPTURA!M78="","",ROUND((ISNUMBER(SEARCH("Alemania",CAPTURA!M78))+ISNUMBER(SEARCH("Bélgica",CAPTURA!M78))+ISNUMBER(SEARCH("Países Bajos",CAPTURA!M78))+ISNUMBER(SEARCH("Francia",CAPTURA!M78))+ISNUMBER(SEARCH("Italia",CAPTURA!M78))+ISNUMBER(SEARCH("España",CAPTURA!M78))+ISNUMBER(SEARCH("Suecia",CAPTURA!M78))+ISNUMBER(SEARCH("Dinamarca",CAPTURA!M78)))/((LEN(CAPTURA!M78)-LEN(SUBSTITUTE(CAPTURA!M78,";","")))+1)*100,1))</f>
        <v/>
      </c>
      <c r="D78" t="str">
        <f>IF(CAPTURA!AE78="","",IFERROR(IF(INDEX(CODIFICACION!$E$2:$E$500,MATCH("P8|"&amp;CAPTURA!AE78,CODIFICACION!$F$2:$F$500,0))="sin dato","",INDEX(CODIFICACION!$E$2:$E$500,MATCH("P8|"&amp;CAPTURA!AE78,CODIFICACION!$F$2:$F$500,0))),"⚠"))</f>
        <v/>
      </c>
      <c r="E78" t="str">
        <f>IF(CAPTURA!AG78="","",IFERROR(IF(INDEX(CODIFICACION!$E$2:$E$500,MATCH("P10|"&amp;CAPTURA!AG78,CODIFICACION!$F$2:$F$500,0))="sin dato","",INDEX(CODIFICACION!$E$2:$E$500,MATCH("P10|"&amp;CAPTURA!AG78,CODIFICACION!$F$2:$F$500,0))),"⚠"))</f>
        <v/>
      </c>
      <c r="F78" t="str">
        <f>IF(CAPTURA!AJ78="","",IFERROR(IF(INDEX(CODIFICACION!$E$2:$E$500,MATCH("P13|"&amp;CAPTURA!AJ78,CODIFICACION!$F$2:$F$500,0))="sin dato","",INDEX(CODIFICACION!$E$2:$E$500,MATCH("P13|"&amp;CAPTURA!AJ78,CODIFICACION!$F$2:$F$500,0))),"⚠"))</f>
        <v/>
      </c>
      <c r="G78" t="str">
        <f>IF(CAPTURA!AK78="","",IFERROR(IF(INDEX(CODIFICACION!$E$2:$E$500,MATCH("P14|"&amp;CAPTURA!AK78,CODIFICACION!$F$2:$F$500,0))="sin dato","",INDEX(CODIFICACION!$E$2:$E$500,MATCH("P14|"&amp;CAPTURA!AK78,CODIFICACION!$F$2:$F$500,0))),"⚠"))</f>
        <v/>
      </c>
      <c r="H78" t="str">
        <f>IF(CAPTURA!AL78="","",IFERROR(IF(INDEX(CODIFICACION!$E$2:$E$500,MATCH("D1.1|"&amp;CAPTURA!AL78,CODIFICACION!$F$2:$F$500,0))="sin dato","",INDEX(CODIFICACION!$E$2:$E$500,MATCH("D1.1|"&amp;CAPTURA!AL78,CODIFICACION!$F$2:$F$500,0))),"⚠"))</f>
        <v/>
      </c>
      <c r="I78" t="str">
        <f>IF(CAPTURA!AN78="","",IFERROR(IF(INDEX(CODIFICACION!$E$2:$E$500,MATCH("D1.3|"&amp;CAPTURA!AN78,CODIFICACION!$F$2:$F$500,0))="sin dato","",INDEX(CODIFICACION!$E$2:$E$500,MATCH("D1.3|"&amp;CAPTURA!AN78,CODIFICACION!$F$2:$F$500,0))),"⚠"))</f>
        <v/>
      </c>
      <c r="J78" t="str">
        <f>IF(CAPTURA!AO78="","",IFERROR(IF(INDEX(CODIFICACION!$E$2:$E$500,MATCH("D1.4|"&amp;CAPTURA!AO78,CODIFICACION!$F$2:$F$500,0))="sin dato","",INDEX(CODIFICACION!$E$2:$E$500,MATCH("D1.4|"&amp;CAPTURA!AO78,CODIFICACION!$F$2:$F$500,0))),"⚠"))</f>
        <v/>
      </c>
      <c r="K78" t="str">
        <f>IF(CAPTURA!AP78="","",IFERROR(IF(INDEX(CODIFICACION!$E$2:$E$500,MATCH("D1.3a|"&amp;CAPTURA!AP78,CODIFICACION!$F$2:$F$500,0))="sin dato","",INDEX(CODIFICACION!$E$2:$E$500,MATCH("D1.3a|"&amp;CAPTURA!AP78,CODIFICACION!$F$2:$F$500,0))),"⚠"))</f>
        <v/>
      </c>
      <c r="L78" t="str">
        <f>IF(CAPTURA!AQ78="","",IF(AND(ISNUMBER(CAPTURA!AQ78),CAPTURA!AQ78&gt;=0,CAPTURA!AQ78&lt;=4),CAPTURA!AQ78*25,"⚠"))</f>
        <v/>
      </c>
      <c r="M78" t="str">
        <f>IF(CAPTURA!AR78="","",IF(ISNUMBER(CAPTURA!AR78),MAX(0,MIN(100,CAPTURA!AR78)),"⚠"))</f>
        <v/>
      </c>
      <c r="N78" t="str">
        <f>IF(CAPTURA!AS78="","",IF(AND(ISNUMBER(CAPTURA!AS78),CAPTURA!AS78&gt;=0,CAPTURA!AS78&lt;=4),CAPTURA!AS78*25,"⚠"))</f>
        <v/>
      </c>
      <c r="O78" t="str">
        <f>IF(CAPTURA!AT78="","",IFERROR(IF(INDEX(CODIFICACION!$E$2:$E$500,MATCH("D2.8|"&amp;CAPTURA!AT78,CODIFICACION!$F$2:$F$500,0))="sin dato","",INDEX(CODIFICACION!$E$2:$E$500,MATCH("D2.8|"&amp;CAPTURA!AT78,CODIFICACION!$F$2:$F$500,0))),"⚠"))</f>
        <v/>
      </c>
      <c r="P78" t="str">
        <f>IF(CAPTURA!AU78="","",IFERROR(IF(INDEX(CODIFICACION!$E$2:$E$500,MATCH("D2.9|"&amp;CAPTURA!AU78,CODIFICACION!$F$2:$F$500,0))="sin dato","",INDEX(CODIFICACION!$E$2:$E$500,MATCH("D2.9|"&amp;CAPTURA!AU78,CODIFICACION!$F$2:$F$500,0))),"⚠"))</f>
        <v/>
      </c>
      <c r="Q78" t="str">
        <f>IF(CAPTURA!AV78="","",IFERROR(IF(INDEX(CODIFICACION!$E$2:$E$500,MATCH("D2.10|"&amp;CAPTURA!AV78,CODIFICACION!$F$2:$F$500,0))="sin dato","",INDEX(CODIFICACION!$E$2:$E$500,MATCH("D2.10|"&amp;CAPTURA!AV78,CODIFICACION!$F$2:$F$500,0))),"⚠"))</f>
        <v/>
      </c>
      <c r="R78" t="str">
        <f>IF(CAPTURA!AW78="","",IFERROR(IF(INDEX(CODIFICACION!$E$2:$E$500,MATCH("D2.5a|"&amp;CAPTURA!AW78,CODIFICACION!$F$2:$F$500,0))="sin dato","",INDEX(CODIFICACION!$E$2:$E$500,MATCH("D2.5a|"&amp;CAPTURA!AW78,CODIFICACION!$F$2:$F$500,0))),"⚠"))</f>
        <v/>
      </c>
      <c r="S78" t="str">
        <f>IF(CAPTURA!AX78="","",IFERROR(IF(INDEX(CODIFICACION!$E$2:$E$500,MATCH("D2.5b|"&amp;CAPTURA!AX78,CODIFICACION!$F$2:$F$500,0))="sin dato","",INDEX(CODIFICACION!$E$2:$E$500,MATCH("D2.5b|"&amp;CAPTURA!AX78,CODIFICACION!$F$2:$F$500,0))),"⚠"))</f>
        <v/>
      </c>
      <c r="T78" t="str">
        <f>IF(CAPTURA!AY78="","",IF(ISNUMBER(CAPTURA!AY78),MAX(0,MIN(100,CAPTURA!AY78)),"⚠"))</f>
        <v/>
      </c>
      <c r="U78" t="str">
        <f>IF(CAPTURA!AZ78="","",IFERROR(IF(INDEX(CODIFICACION!$E$2:$E$500,MATCH("D3.12|"&amp;CAPTURA!AZ78,CODIFICACION!$F$2:$F$500,0))="sin dato","",INDEX(CODIFICACION!$E$2:$E$500,MATCH("D3.12|"&amp;CAPTURA!AZ78,CODIFICACION!$F$2:$F$500,0))),"⚠"))</f>
        <v/>
      </c>
      <c r="V78" t="str">
        <f>IF(CAPTURA!BA78="","",IF(AND(ISNUMBER(CAPTURA!BA78),CAPTURA!BA78&gt;=0,CAPTURA!BA78&lt;=4),CAPTURA!BA78*25,"⚠"))</f>
        <v/>
      </c>
      <c r="W78" t="str">
        <f>IF(CAPTURA!BB78="","",IFERROR(IF(INDEX(CODIFICACION!$E$2:$E$500,MATCH("D3.14|"&amp;CAPTURA!BB78,CODIFICACION!$F$2:$F$500,0))="sin dato","",INDEX(CODIFICACION!$E$2:$E$500,MATCH("D3.14|"&amp;CAPTURA!BB78,CODIFICACION!$F$2:$F$500,0))),"⚠"))</f>
        <v/>
      </c>
      <c r="X78" t="str">
        <f>IF(CAPTURA!BC78="","",IFERROR(IF(INDEX(CODIFICACION!$E$2:$E$500,MATCH("D3.14a|"&amp;CAPTURA!BC78,CODIFICACION!$F$2:$F$500,0))="sin dato","",INDEX(CODIFICACION!$E$2:$E$500,MATCH("D3.14a|"&amp;CAPTURA!BC78,CODIFICACION!$F$2:$F$500,0))),"⚠"))</f>
        <v/>
      </c>
      <c r="Y78" t="str">
        <f>IF(CAPTURA!BD78="","",IFERROR(IF(INDEX(CODIFICACION!$E$2:$E$500,MATCH("D3.14b|"&amp;CAPTURA!BD78,CODIFICACION!$F$2:$F$500,0))="sin dato","",INDEX(CODIFICACION!$E$2:$E$500,MATCH("D3.14b|"&amp;CAPTURA!BD78,CODIFICACION!$F$2:$F$500,0))),"⚠"))</f>
        <v/>
      </c>
      <c r="Z78" t="str">
        <f>IF(CAPTURA!BE78="","",IFERROR(IF(INDEX(CODIFICACION!$E$2:$E$500,MATCH("D3.14c|"&amp;CAPTURA!BE78,CODIFICACION!$F$2:$F$500,0))="sin dato","",INDEX(CODIFICACION!$E$2:$E$500,MATCH("D3.14c|"&amp;CAPTURA!BE78,CODIFICACION!$F$2:$F$500,0))),"⚠"))</f>
        <v/>
      </c>
      <c r="AA78" t="str">
        <f>IF(CAPTURA!BF78="","",IFERROR(IF(INDEX(CODIFICACION!$E$2:$E$500,MATCH("D3.14d|"&amp;CAPTURA!BF78,CODIFICACION!$F$2:$F$500,0))="sin dato","",INDEX(CODIFICACION!$E$2:$E$500,MATCH("D3.14d|"&amp;CAPTURA!BF78,CODIFICACION!$F$2:$F$500,0))),"⚠"))</f>
        <v/>
      </c>
      <c r="AB78" t="str">
        <f>IF(CAPTURA!BG78="","",IFERROR(IF(INDEX(CODIFICACION!$E$2:$E$500,MATCH("D3.14e|"&amp;CAPTURA!BG78,CODIFICACION!$F$2:$F$500,0))="sin dato","",INDEX(CODIFICACION!$E$2:$E$500,MATCH("D3.14e|"&amp;CAPTURA!BG78,CODIFICACION!$F$2:$F$500,0))),"⚠"))</f>
        <v/>
      </c>
      <c r="AC78" t="str">
        <f>IF(CAPTURA!BH78="","",IFERROR(IF(INDEX(CODIFICACION!$E$2:$E$500,MATCH("D3.14f|"&amp;CAPTURA!BH78,CODIFICACION!$F$2:$F$500,0))="sin dato","",INDEX(CODIFICACION!$E$2:$E$500,MATCH("D3.14f|"&amp;CAPTURA!BH78,CODIFICACION!$F$2:$F$500,0))),"⚠"))</f>
        <v/>
      </c>
      <c r="AD78" t="str">
        <f>IF(CAPTURA!BI78="","",IFERROR(IF(INDEX(CODIFICACION!$E$2:$E$500,MATCH("D3.14g|"&amp;CAPTURA!BI78,CODIFICACION!$F$2:$F$500,0))="sin dato","",INDEX(CODIFICACION!$E$2:$E$500,MATCH("D3.14g|"&amp;CAPTURA!BI78,CODIFICACION!$F$2:$F$500,0))),"⚠"))</f>
        <v/>
      </c>
      <c r="AE78" t="str">
        <f>IF(CAPTURA!BJ78="","",IFERROR(IF(INDEX(CODIFICACION!$E$2:$E$500,MATCH("D3.14h|"&amp;CAPTURA!BJ78,CODIFICACION!$F$2:$F$500,0))="sin dato","",INDEX(CODIFICACION!$E$2:$E$500,MATCH("D3.14h|"&amp;CAPTURA!BJ78,CODIFICACION!$F$2:$F$500,0))),"⚠"))</f>
        <v/>
      </c>
      <c r="AF78" t="str">
        <f>IF(CAPTURA!BK78="","",IFERROR(IF(INDEX(CODIFICACION!$E$2:$E$500,MATCH("D3.14i|"&amp;CAPTURA!BK78,CODIFICACION!$F$2:$F$500,0))="sin dato","",INDEX(CODIFICACION!$E$2:$E$500,MATCH("D3.14i|"&amp;CAPTURA!BK78,CODIFICACION!$F$2:$F$500,0))),"⚠"))</f>
        <v/>
      </c>
      <c r="AG78" t="str">
        <f>IF(CAPTURA!BL78="","",IFERROR(IF(INDEX(CODIFICACION!$E$2:$E$500,MATCH("D4.15|"&amp;CAPTURA!BL78,CODIFICACION!$F$2:$F$500,0))="sin dato","",INDEX(CODIFICACION!$E$2:$E$500,MATCH("D4.15|"&amp;CAPTURA!BL78,CODIFICACION!$F$2:$F$500,0))),"⚠"))</f>
        <v/>
      </c>
      <c r="AH78" t="str">
        <f>IF(CAPTURA!BM78="","",IF(AND(ISNUMBER(CAPTURA!BM78),CAPTURA!BM78&gt;=0,CAPTURA!BM78&lt;=4),CAPTURA!BM78*25,"⚠"))</f>
        <v/>
      </c>
      <c r="AI78" t="str">
        <f>IF(CAPTURA!BN78="","",IFERROR(IF(INDEX(CODIFICACION!$E$2:$E$500,MATCH("D4.17|"&amp;CAPTURA!BN78,CODIFICACION!$F$2:$F$500,0))="sin dato","",INDEX(CODIFICACION!$E$2:$E$500,MATCH("D4.17|"&amp;CAPTURA!BN78,CODIFICACION!$F$2:$F$500,0))),"⚠"))</f>
        <v/>
      </c>
      <c r="AJ78" t="str">
        <f>IF(CAPTURA!BO78="","",IFERROR(IF(INDEX(CODIFICACION!$E$2:$E$500,MATCH("D4.15a|"&amp;CAPTURA!BO78,CODIFICACION!$F$2:$F$500,0))="sin dato","",INDEX(CODIFICACION!$E$2:$E$500,MATCH("D4.15a|"&amp;CAPTURA!BO78,CODIFICACION!$F$2:$F$500,0))),"⚠"))</f>
        <v/>
      </c>
      <c r="AK78" t="str">
        <f>IF(CAPTURA!BP78="","",IF(AND(ISNUMBER(CAPTURA!BP78),CAPTURA!BP78&gt;=0,CAPTURA!BP78&lt;=4),CAPTURA!BP78*25,"⚠"))</f>
        <v/>
      </c>
      <c r="AL78" t="str">
        <f>IF(CAPTURA!BQ78="","",IF(AND(ISNUMBER(CAPTURA!BQ78),CAPTURA!BQ78&gt;=0,CAPTURA!BQ78&lt;=4),CAPTURA!BQ78*25,"⚠"))</f>
        <v/>
      </c>
      <c r="AM78" t="str">
        <f>IF(CAPTURA!BR78="","",IFERROR(IF(INDEX(CODIFICACION!$E$2:$E$500,MATCH("D5.18b|"&amp;CAPTURA!BR78,CODIFICACION!$F$2:$F$500,0))="sin dato","",INDEX(CODIFICACION!$E$2:$E$500,MATCH("D5.18b|"&amp;CAPTURA!BR78,CODIFICACION!$F$2:$F$500,0))),"⚠"))</f>
        <v/>
      </c>
      <c r="AN78" t="str">
        <f>IF(CAPTURA!BS78="","",IFERROR(IF(INDEX(CODIFICACION!$E$2:$E$500,MATCH("D5.19|"&amp;CAPTURA!BS78,CODIFICACION!$F$2:$F$500,0))="sin dato","",INDEX(CODIFICACION!$E$2:$E$500,MATCH("D5.19|"&amp;CAPTURA!BS78,CODIFICACION!$F$2:$F$500,0))),"⚠"))</f>
        <v/>
      </c>
      <c r="AO78" t="str">
        <f>IF(CAPTURA!BT78="","",MIN(100,ROUND((LEN(CAPTURA!BT78)-LEN(SUBSTITUTE(CAPTURA!BT78,";",""))+1)/7*100,1)))</f>
        <v/>
      </c>
      <c r="AP78" t="str">
        <f>IF(CAPTURA!BU78="","",IFERROR(IF(INDEX(CODIFICACION!$E$2:$E$500,MATCH("D5.20|"&amp;CAPTURA!BU78,CODIFICACION!$F$2:$F$500,0))="sin dato","",INDEX(CODIFICACION!$E$2:$E$500,MATCH("D5.20|"&amp;CAPTURA!BU78,CODIFICACION!$F$2:$F$500,0))),"⚠"))</f>
        <v/>
      </c>
      <c r="AQ78" t="str">
        <f>IF(CAPTURA!BV78="","",IFERROR(IF(INDEX(CODIFICACION!$E$2:$E$500,MATCH("D5.21|"&amp;CAPTURA!BV78,CODIFICACION!$F$2:$F$500,0))="sin dato","",INDEX(CODIFICACION!$E$2:$E$500,MATCH("D5.21|"&amp;CAPTURA!BV78,CODIFICACION!$F$2:$F$500,0))),"⚠"))</f>
        <v/>
      </c>
      <c r="AR78" t="str">
        <f>IF(CAPTURA!BW78="","",IFERROR(IF(INDEX(CODIFICACION!$E$2:$E$500,MATCH("D5.21a|"&amp;CAPTURA!BW78,CODIFICACION!$F$2:$F$500,0))="sin dato","",INDEX(CODIFICACION!$E$2:$E$500,MATCH("D5.21a|"&amp;CAPTURA!BW78,CODIFICACION!$F$2:$F$500,0))),"⚠"))</f>
        <v/>
      </c>
      <c r="AS78" t="str">
        <f>IF(CAPTURA!BX78="","",IFERROR(IF(INDEX(CODIFICACION!$E$2:$E$500,MATCH("D5.21b|"&amp;CAPTURA!BX78,CODIFICACION!$F$2:$F$500,0))="sin dato","",INDEX(CODIFICACION!$E$2:$E$500,MATCH("D5.21b|"&amp;CAPTURA!BX78,CODIFICACION!$F$2:$F$500,0))),"⚠"))</f>
        <v/>
      </c>
      <c r="AT78" t="str">
        <f>IF(CAPTURA!BY78="","",IFERROR(IF(INDEX(CODIFICACION!$E$2:$E$500,MATCH("D6.22|"&amp;CAPTURA!BY78,CODIFICACION!$F$2:$F$500,0))="sin dato","",INDEX(CODIFICACION!$E$2:$E$500,MATCH("D6.22|"&amp;CAPTURA!BY78,CODIFICACION!$F$2:$F$500,0))),"⚠"))</f>
        <v/>
      </c>
      <c r="AU78" t="str">
        <f>IF(CAPTURA!BZ78="","",IFERROR(IF(INDEX(CODIFICACION!$E$2:$E$500,MATCH("D6.22a|"&amp;CAPTURA!BZ78,CODIFICACION!$F$2:$F$500,0))="sin dato","",INDEX(CODIFICACION!$E$2:$E$500,MATCH("D6.22a|"&amp;CAPTURA!BZ78,CODIFICACION!$F$2:$F$500,0))),"⚠"))</f>
        <v/>
      </c>
      <c r="AV78" t="str">
        <f>IF(CAPTURA!CA78="","",IFERROR(IF(INDEX(CODIFICACION!$E$2:$E$500,MATCH("D6.22b|"&amp;CAPTURA!CA78,CODIFICACION!$F$2:$F$500,0))="sin dato","",INDEX(CODIFICACION!$E$2:$E$500,MATCH("D6.22b|"&amp;CAPTURA!CA78,CODIFICACION!$F$2:$F$500,0))),"⚠"))</f>
        <v/>
      </c>
      <c r="AW78" t="str">
        <f>IF(CAPTURA!CB78="","",IFERROR(IF(INDEX(CODIFICACION!$E$2:$E$500,MATCH("D6.23|"&amp;CAPTURA!CB78,CODIFICACION!$F$2:$F$500,0))="sin dato","",INDEX(CODIFICACION!$E$2:$E$500,MATCH("D6.23|"&amp;CAPTURA!CB78,CODIFICACION!$F$2:$F$500,0))),"⚠"))</f>
        <v/>
      </c>
      <c r="AX78" t="str">
        <f>IF(CAPTURA!CC78="","",IFERROR(IF(INDEX(CODIFICACION!$E$2:$E$500,MATCH("D6.24|"&amp;CAPTURA!CC78,CODIFICACION!$F$2:$F$500,0))="sin dato","",INDEX(CODIFICACION!$E$2:$E$500,MATCH("D6.24|"&amp;CAPTURA!CC78,CODIFICACION!$F$2:$F$500,0))),"⚠"))</f>
        <v/>
      </c>
      <c r="AY78" t="str">
        <f>IF(CAPTURA!CD78="","",IFERROR(IF(INDEX(CODIFICACION!$E$2:$E$500,MATCH("D6.25|"&amp;CAPTURA!CD78,CODIFICACION!$F$2:$F$500,0))="sin dato","",INDEX(CODIFICACION!$E$2:$E$500,MATCH("D6.25|"&amp;CAPTURA!CD78,CODIFICACION!$F$2:$F$500,0))),"⚠"))</f>
        <v/>
      </c>
      <c r="AZ78" t="str">
        <f>IF(CAPTURA!CE78="","",IFERROR(IF(INDEX(CODIFICACION!$E$2:$E$500,MATCH("D6.25a|"&amp;CAPTURA!CE78,CODIFICACION!$F$2:$F$500,0))="sin dato","",INDEX(CODIFICACION!$E$2:$E$500,MATCH("D6.25a|"&amp;CAPTURA!CE78,CODIFICACION!$F$2:$F$500,0))),"⚠"))</f>
        <v/>
      </c>
      <c r="BA78" t="str">
        <f>IF(CAPTURA!CF78="","",IFERROR(IF(INDEX(CODIFICACION!$E$2:$E$500,MATCH("D6.25b|"&amp;CAPTURA!CF78,CODIFICACION!$F$2:$F$500,0))="sin dato","",INDEX(CODIFICACION!$E$2:$E$500,MATCH("D6.25b|"&amp;CAPTURA!CF78,CODIFICACION!$F$2:$F$500,0))),"⚠"))</f>
        <v/>
      </c>
      <c r="BB78" t="str">
        <f>IF(CAPTURA!CG78="","",IFERROR(IF(INDEX(CODIFICACION!$E$2:$E$500,MATCH("D6.22c|"&amp;CAPTURA!CG78,CODIFICACION!$F$2:$F$500,0))="sin dato","",INDEX(CODIFICACION!$E$2:$E$500,MATCH("D6.22c|"&amp;CAPTURA!CG78,CODIFICACION!$F$2:$F$500,0))),"⚠"))</f>
        <v/>
      </c>
      <c r="BC78" t="str">
        <f>IF(CAPTURA!CH78="","",IFERROR(IF(INDEX(CODIFICACION!$E$2:$E$500,MATCH("D7.26|"&amp;CAPTURA!CH78,CODIFICACION!$F$2:$F$500,0))="sin dato","",INDEX(CODIFICACION!$E$2:$E$500,MATCH("D7.26|"&amp;CAPTURA!CH78,CODIFICACION!$F$2:$F$500,0))),"⚠"))</f>
        <v/>
      </c>
      <c r="BD78" t="str">
        <f>IF(CAPTURA!CI78="","",IFERROR(IF(INDEX(CODIFICACION!$E$2:$E$500,MATCH("D7.27|"&amp;CAPTURA!CI78,CODIFICACION!$F$2:$F$500,0))="sin dato","",INDEX(CODIFICACION!$E$2:$E$500,MATCH("D7.27|"&amp;CAPTURA!CI78,CODIFICACION!$F$2:$F$500,0))),"⚠"))</f>
        <v/>
      </c>
      <c r="BE78" t="str">
        <f>IF(CAPTURA!CJ78="","",IFERROR(IF(INDEX(CODIFICACION!$E$2:$E$500,MATCH("D7.28|"&amp;CAPTURA!CJ78,CODIFICACION!$F$2:$F$500,0))="sin dato","",INDEX(CODIFICACION!$E$2:$E$500,MATCH("D7.28|"&amp;CAPTURA!CJ78,CODIFICACION!$F$2:$F$500,0))),"⚠"))</f>
        <v/>
      </c>
      <c r="BF78" t="str">
        <f>IF(CAPTURA!CK78="","",IFERROR(IF(INDEX(CODIFICACION!$E$2:$E$500,MATCH("D7.28b|"&amp;CAPTURA!CK78,CODIFICACION!$F$2:$F$500,0))="sin dato","",INDEX(CODIFICACION!$E$2:$E$500,MATCH("D7.28b|"&amp;CAPTURA!CK78,CODIFICACION!$F$2:$F$500,0))),"⚠"))</f>
        <v/>
      </c>
      <c r="BG78" t="str">
        <f>IF(CAPTURA!CL78="","",MIN(100,ROUND((LEN(CAPTURA!CL78)-LEN(SUBSTITUTE(CAPTURA!CL78,";",""))+1)/8*100,1)))</f>
        <v/>
      </c>
      <c r="BH78" t="str">
        <f>IF(CAPTURA!CM78="","",IFERROR(IF(INDEX(CODIFICACION!$E$2:$E$500,MATCH("D7.26a|"&amp;CAPTURA!CM78,CODIFICACION!$F$2:$F$500,0))="sin dato","",INDEX(CODIFICACION!$E$2:$E$500,MATCH("D7.26a|"&amp;CAPTURA!CM78,CODIFICACION!$F$2:$F$500,0))),"⚠"))</f>
        <v/>
      </c>
      <c r="BI78" t="str">
        <f>IF(CAPTURA!CN78="","",IFERROR(IF(INDEX(CODIFICACION!$E$2:$E$500,MATCH("D7.26b|"&amp;CAPTURA!CN78,CODIFICACION!$F$2:$F$500,0))="sin dato","",INDEX(CODIFICACION!$E$2:$E$500,MATCH("D7.26b|"&amp;CAPTURA!CN78,CODIFICACION!$F$2:$F$500,0))),"⚠"))</f>
        <v/>
      </c>
      <c r="BJ78" t="str">
        <f>IF(CAPTURA!CO78="","",IF(AND(ISNUMBER(CAPTURA!CO78),CAPTURA!CO78&gt;=0,CAPTURA!CO78&lt;=4),CAPTURA!CO78*25,"⚠"))</f>
        <v/>
      </c>
      <c r="BK78" t="str">
        <f>IF(CAPTURA!CP78="","",IF(ISNUMBER(CAPTURA!CP78),MAX(0,MIN(100,CAPTURA!CP78)),"⚠"))</f>
        <v/>
      </c>
      <c r="BL78" t="str">
        <f>IF(CAPTURA!CQ78="","",IFERROR(IF(INDEX(CODIFICACION!$E$2:$E$500,MATCH("D8.31|"&amp;CAPTURA!CQ78,CODIFICACION!$F$2:$F$500,0))="sin dato","",INDEX(CODIFICACION!$E$2:$E$500,MATCH("D8.31|"&amp;CAPTURA!CQ78,CODIFICACION!$F$2:$F$500,0))),"⚠"))</f>
        <v/>
      </c>
      <c r="BM78" t="str">
        <f>IF(CAPTURA!CR78="","",IFERROR(IF(INDEX(CODIFICACION!$E$2:$E$500,MATCH("D8.32|"&amp;CAPTURA!CR78,CODIFICACION!$F$2:$F$500,0))="sin dato","",INDEX(CODIFICACION!$E$2:$E$500,MATCH("D8.32|"&amp;CAPTURA!CR78,CODIFICACION!$F$2:$F$500,0))),"⚠"))</f>
        <v/>
      </c>
      <c r="BN78" t="str">
        <f>IF(CAPTURA!CS78="","",IFERROR(IF(INDEX(CODIFICACION!$E$2:$E$500,MATCH("D9.33|"&amp;CAPTURA!CS78,CODIFICACION!$F$2:$F$500,0))="sin dato","",INDEX(CODIFICACION!$E$2:$E$500,MATCH("D9.33|"&amp;CAPTURA!CS78,CODIFICACION!$F$2:$F$500,0))),"⚠"))</f>
        <v/>
      </c>
      <c r="BO78" t="str">
        <f>IF(CAPTURA!CT78="","",IFERROR(IF(INDEX(CODIFICACION!$E$2:$E$500,MATCH("D9.34|"&amp;CAPTURA!CT78,CODIFICACION!$F$2:$F$500,0))="sin dato","",INDEX(CODIFICACION!$E$2:$E$500,MATCH("D9.34|"&amp;CAPTURA!CT78,CODIFICACION!$F$2:$F$500,0))),"⚠"))</f>
        <v/>
      </c>
      <c r="BP78" t="str">
        <f>IF(CAPTURA!CU78="","",IFERROR(IF(INDEX(CODIFICACION!$E$2:$E$500,MATCH("D9.35|"&amp;CAPTURA!CU78,CODIFICACION!$F$2:$F$500,0))="sin dato","",INDEX(CODIFICACION!$E$2:$E$500,MATCH("D9.35|"&amp;CAPTURA!CU78,CODIFICACION!$F$2:$F$500,0))),"⚠"))</f>
        <v/>
      </c>
      <c r="BQ78" t="str">
        <f>IF(CAPTURA!CV78="","",IFERROR(IF(INDEX(CODIFICACION!$E$2:$E$500,MATCH("D10.36|"&amp;CAPTURA!CV78,CODIFICACION!$F$2:$F$500,0))="sin dato","",INDEX(CODIFICACION!$E$2:$E$500,MATCH("D10.36|"&amp;CAPTURA!CV78,CODIFICACION!$F$2:$F$500,0))),"⚠"))</f>
        <v/>
      </c>
      <c r="BR78" t="str">
        <f>IF(CAPTURA!CW78="","",IFERROR(IF(INDEX(CODIFICACION!$E$2:$E$500,MATCH("D10.37|"&amp;CAPTURA!CW78,CODIFICACION!$F$2:$F$500,0))="sin dato","",INDEX(CODIFICACION!$E$2:$E$500,MATCH("D10.37|"&amp;CAPTURA!CW78,CODIFICACION!$F$2:$F$500,0))),"⚠"))</f>
        <v/>
      </c>
      <c r="BS78" t="str">
        <f>IF(CAPTURA!CX78="","",IFERROR(IF(INDEX(CODIFICACION!$E$2:$E$500,MATCH("D10.36a|"&amp;CAPTURA!CX78,CODIFICACION!$F$2:$F$500,0))="sin dato","",INDEX(CODIFICACION!$E$2:$E$500,MATCH("D10.36a|"&amp;CAPTURA!CX78,CODIFICACION!$F$2:$F$500,0))),"⚠"))</f>
        <v/>
      </c>
      <c r="BT78" t="str">
        <f>IF(CAPTURA!CY78="","",IF(ISNUMBER(SEARCH("Ninguno",CAPTURA!CY78)),0,MIN(100,ROUND((LEN(CAPTURA!CY78)-LEN(SUBSTITUTE(CAPTURA!CY78,";",""))+1)/6*100,1))))</f>
        <v/>
      </c>
      <c r="BU78" t="str">
        <f>IF(CAPTURA!DA78="","",IFERROR(IF(INDEX(CODIFICACION!$E$2:$E$500,MATCH("D11.39a|"&amp;CAPTURA!DA78,CODIFICACION!$F$2:$F$500,0))="sin dato","",INDEX(CODIFICACION!$E$2:$E$500,MATCH("D11.39a|"&amp;CAPTURA!DA78,CODIFICACION!$F$2:$F$500,0))),"⚠"))</f>
        <v/>
      </c>
      <c r="BV78" t="str">
        <f>IF(CAPTURA!DB78="","",IFERROR(IF(INDEX(CODIFICACION!$E$2:$E$500,MATCH("D12.42|"&amp;CAPTURA!DB78,CODIFICACION!$F$2:$F$500,0))="sin dato","",INDEX(CODIFICACION!$E$2:$E$500,MATCH("D12.42|"&amp;CAPTURA!DB78,CODIFICACION!$F$2:$F$500,0))),"⚠"))</f>
        <v/>
      </c>
      <c r="BW78" t="str">
        <f>IF(CAPTURA!DC78="","",IFERROR(IF(INDEX(CODIFICACION!$E$2:$E$500,MATCH("D13.45|"&amp;CAPTURA!DC78,CODIFICACION!$F$2:$F$500,0))="sin dato","",INDEX(CODIFICACION!$E$2:$E$500,MATCH("D13.45|"&amp;CAPTURA!DC78,CODIFICACION!$F$2:$F$500,0))),"⚠"))</f>
        <v/>
      </c>
      <c r="BX78" t="str">
        <f>IF(CAPTURA!DD78="","",IFERROR(IF(INDEX(CODIFICACION!$E$2:$E$500,MATCH("D14.51|"&amp;CAPTURA!DD78,CODIFICACION!$F$2:$F$500,0))="sin dato","",INDEX(CODIFICACION!$E$2:$E$500,MATCH("D14.51|"&amp;CAPTURA!DD78,CODIFICACION!$F$2:$F$500,0))),"⚠"))</f>
        <v/>
      </c>
      <c r="BY78" t="str">
        <f>IF(CAPTURA!DE78="","",IFERROR(IF(INDEX(CODIFICACION!$E$2:$E$500,MATCH("D15.58|"&amp;CAPTURA!DE78,CODIFICACION!$F$2:$F$500,0))="sin dato","",INDEX(CODIFICACION!$E$2:$E$500,MATCH("D15.58|"&amp;CAPTURA!DE78,CODIFICACION!$F$2:$F$500,0))),"⚠"))</f>
        <v/>
      </c>
      <c r="BZ78" t="str">
        <f>IF(CAPTURA!DF78="","",IFERROR(IF(INDEX(CODIFICACION!$E$2:$E$500,MATCH("PP1|"&amp;CAPTURA!DF78,CODIFICACION!$F$2:$F$500,0))="sin dato","",INDEX(CODIFICACION!$E$2:$E$500,MATCH("PP1|"&amp;CAPTURA!DF78,CODIFICACION!$F$2:$F$500,0))),"⚠"))</f>
        <v/>
      </c>
      <c r="CA78" t="str">
        <f>IF(CAPTURA!DG78="","",IFERROR(IF(INDEX(CODIFICACION!$E$2:$E$500,MATCH("PP2|"&amp;CAPTURA!DG78,CODIFICACION!$F$2:$F$500,0))="sin dato","",INDEX(CODIFICACION!$E$2:$E$500,MATCH("PP2|"&amp;CAPTURA!DG78,CODIFICACION!$F$2:$F$500,0))),"⚠"))</f>
        <v/>
      </c>
      <c r="CB78" t="str">
        <f t="shared" si="22"/>
        <v/>
      </c>
      <c r="CC78" t="str">
        <f t="shared" si="23"/>
        <v/>
      </c>
      <c r="CD78" t="str">
        <f t="shared" si="24"/>
        <v/>
      </c>
      <c r="CE78" t="str">
        <f t="shared" si="25"/>
        <v/>
      </c>
      <c r="CF78" t="str">
        <f t="shared" si="26"/>
        <v/>
      </c>
      <c r="CG78" t="str">
        <f t="shared" si="27"/>
        <v/>
      </c>
      <c r="CH78" t="str">
        <f t="shared" si="28"/>
        <v/>
      </c>
      <c r="CI78" t="str">
        <f t="shared" si="29"/>
        <v/>
      </c>
      <c r="CJ78" t="str">
        <f t="shared" si="30"/>
        <v/>
      </c>
      <c r="CK78" t="str">
        <f t="shared" si="31"/>
        <v/>
      </c>
      <c r="CL78" t="str">
        <f t="shared" si="32"/>
        <v/>
      </c>
    </row>
    <row r="79" spans="1:90" x14ac:dyDescent="0.3">
      <c r="A79">
        <f>CAPTURA!A79</f>
        <v>20542825163</v>
      </c>
      <c r="B79">
        <f>CAPTURA!C79</f>
        <v>0</v>
      </c>
      <c r="C79" t="str">
        <f>IF(CAPTURA!M79="","",ROUND((ISNUMBER(SEARCH("Alemania",CAPTURA!M79))+ISNUMBER(SEARCH("Bélgica",CAPTURA!M79))+ISNUMBER(SEARCH("Países Bajos",CAPTURA!M79))+ISNUMBER(SEARCH("Francia",CAPTURA!M79))+ISNUMBER(SEARCH("Italia",CAPTURA!M79))+ISNUMBER(SEARCH("España",CAPTURA!M79))+ISNUMBER(SEARCH("Suecia",CAPTURA!M79))+ISNUMBER(SEARCH("Dinamarca",CAPTURA!M79)))/((LEN(CAPTURA!M79)-LEN(SUBSTITUTE(CAPTURA!M79,";","")))+1)*100,1))</f>
        <v/>
      </c>
      <c r="D79" t="str">
        <f>IF(CAPTURA!AE79="","",IFERROR(IF(INDEX(CODIFICACION!$E$2:$E$500,MATCH("P8|"&amp;CAPTURA!AE79,CODIFICACION!$F$2:$F$500,0))="sin dato","",INDEX(CODIFICACION!$E$2:$E$500,MATCH("P8|"&amp;CAPTURA!AE79,CODIFICACION!$F$2:$F$500,0))),"⚠"))</f>
        <v/>
      </c>
      <c r="E79" t="str">
        <f>IF(CAPTURA!AG79="","",IFERROR(IF(INDEX(CODIFICACION!$E$2:$E$500,MATCH("P10|"&amp;CAPTURA!AG79,CODIFICACION!$F$2:$F$500,0))="sin dato","",INDEX(CODIFICACION!$E$2:$E$500,MATCH("P10|"&amp;CAPTURA!AG79,CODIFICACION!$F$2:$F$500,0))),"⚠"))</f>
        <v/>
      </c>
      <c r="F79" t="str">
        <f>IF(CAPTURA!AJ79="","",IFERROR(IF(INDEX(CODIFICACION!$E$2:$E$500,MATCH("P13|"&amp;CAPTURA!AJ79,CODIFICACION!$F$2:$F$500,0))="sin dato","",INDEX(CODIFICACION!$E$2:$E$500,MATCH("P13|"&amp;CAPTURA!AJ79,CODIFICACION!$F$2:$F$500,0))),"⚠"))</f>
        <v/>
      </c>
      <c r="G79" t="str">
        <f>IF(CAPTURA!AK79="","",IFERROR(IF(INDEX(CODIFICACION!$E$2:$E$500,MATCH("P14|"&amp;CAPTURA!AK79,CODIFICACION!$F$2:$F$500,0))="sin dato","",INDEX(CODIFICACION!$E$2:$E$500,MATCH("P14|"&amp;CAPTURA!AK79,CODIFICACION!$F$2:$F$500,0))),"⚠"))</f>
        <v/>
      </c>
      <c r="H79" t="str">
        <f>IF(CAPTURA!AL79="","",IFERROR(IF(INDEX(CODIFICACION!$E$2:$E$500,MATCH("D1.1|"&amp;CAPTURA!AL79,CODIFICACION!$F$2:$F$500,0))="sin dato","",INDEX(CODIFICACION!$E$2:$E$500,MATCH("D1.1|"&amp;CAPTURA!AL79,CODIFICACION!$F$2:$F$500,0))),"⚠"))</f>
        <v/>
      </c>
      <c r="I79" t="str">
        <f>IF(CAPTURA!AN79="","",IFERROR(IF(INDEX(CODIFICACION!$E$2:$E$500,MATCH("D1.3|"&amp;CAPTURA!AN79,CODIFICACION!$F$2:$F$500,0))="sin dato","",INDEX(CODIFICACION!$E$2:$E$500,MATCH("D1.3|"&amp;CAPTURA!AN79,CODIFICACION!$F$2:$F$500,0))),"⚠"))</f>
        <v/>
      </c>
      <c r="J79" t="str">
        <f>IF(CAPTURA!AO79="","",IFERROR(IF(INDEX(CODIFICACION!$E$2:$E$500,MATCH("D1.4|"&amp;CAPTURA!AO79,CODIFICACION!$F$2:$F$500,0))="sin dato","",INDEX(CODIFICACION!$E$2:$E$500,MATCH("D1.4|"&amp;CAPTURA!AO79,CODIFICACION!$F$2:$F$500,0))),"⚠"))</f>
        <v/>
      </c>
      <c r="K79" t="str">
        <f>IF(CAPTURA!AP79="","",IFERROR(IF(INDEX(CODIFICACION!$E$2:$E$500,MATCH("D1.3a|"&amp;CAPTURA!AP79,CODIFICACION!$F$2:$F$500,0))="sin dato","",INDEX(CODIFICACION!$E$2:$E$500,MATCH("D1.3a|"&amp;CAPTURA!AP79,CODIFICACION!$F$2:$F$500,0))),"⚠"))</f>
        <v/>
      </c>
      <c r="L79" t="str">
        <f>IF(CAPTURA!AQ79="","",IF(AND(ISNUMBER(CAPTURA!AQ79),CAPTURA!AQ79&gt;=0,CAPTURA!AQ79&lt;=4),CAPTURA!AQ79*25,"⚠"))</f>
        <v/>
      </c>
      <c r="M79" t="str">
        <f>IF(CAPTURA!AR79="","",IF(ISNUMBER(CAPTURA!AR79),MAX(0,MIN(100,CAPTURA!AR79)),"⚠"))</f>
        <v/>
      </c>
      <c r="N79" t="str">
        <f>IF(CAPTURA!AS79="","",IF(AND(ISNUMBER(CAPTURA!AS79),CAPTURA!AS79&gt;=0,CAPTURA!AS79&lt;=4),CAPTURA!AS79*25,"⚠"))</f>
        <v/>
      </c>
      <c r="O79" t="str">
        <f>IF(CAPTURA!AT79="","",IFERROR(IF(INDEX(CODIFICACION!$E$2:$E$500,MATCH("D2.8|"&amp;CAPTURA!AT79,CODIFICACION!$F$2:$F$500,0))="sin dato","",INDEX(CODIFICACION!$E$2:$E$500,MATCH("D2.8|"&amp;CAPTURA!AT79,CODIFICACION!$F$2:$F$500,0))),"⚠"))</f>
        <v/>
      </c>
      <c r="P79" t="str">
        <f>IF(CAPTURA!AU79="","",IFERROR(IF(INDEX(CODIFICACION!$E$2:$E$500,MATCH("D2.9|"&amp;CAPTURA!AU79,CODIFICACION!$F$2:$F$500,0))="sin dato","",INDEX(CODIFICACION!$E$2:$E$500,MATCH("D2.9|"&amp;CAPTURA!AU79,CODIFICACION!$F$2:$F$500,0))),"⚠"))</f>
        <v/>
      </c>
      <c r="Q79" t="str">
        <f>IF(CAPTURA!AV79="","",IFERROR(IF(INDEX(CODIFICACION!$E$2:$E$500,MATCH("D2.10|"&amp;CAPTURA!AV79,CODIFICACION!$F$2:$F$500,0))="sin dato","",INDEX(CODIFICACION!$E$2:$E$500,MATCH("D2.10|"&amp;CAPTURA!AV79,CODIFICACION!$F$2:$F$500,0))),"⚠"))</f>
        <v/>
      </c>
      <c r="R79" t="str">
        <f>IF(CAPTURA!AW79="","",IFERROR(IF(INDEX(CODIFICACION!$E$2:$E$500,MATCH("D2.5a|"&amp;CAPTURA!AW79,CODIFICACION!$F$2:$F$500,0))="sin dato","",INDEX(CODIFICACION!$E$2:$E$500,MATCH("D2.5a|"&amp;CAPTURA!AW79,CODIFICACION!$F$2:$F$500,0))),"⚠"))</f>
        <v/>
      </c>
      <c r="S79" t="str">
        <f>IF(CAPTURA!AX79="","",IFERROR(IF(INDEX(CODIFICACION!$E$2:$E$500,MATCH("D2.5b|"&amp;CAPTURA!AX79,CODIFICACION!$F$2:$F$500,0))="sin dato","",INDEX(CODIFICACION!$E$2:$E$500,MATCH("D2.5b|"&amp;CAPTURA!AX79,CODIFICACION!$F$2:$F$500,0))),"⚠"))</f>
        <v/>
      </c>
      <c r="T79" t="str">
        <f>IF(CAPTURA!AY79="","",IF(ISNUMBER(CAPTURA!AY79),MAX(0,MIN(100,CAPTURA!AY79)),"⚠"))</f>
        <v/>
      </c>
      <c r="U79" t="str">
        <f>IF(CAPTURA!AZ79="","",IFERROR(IF(INDEX(CODIFICACION!$E$2:$E$500,MATCH("D3.12|"&amp;CAPTURA!AZ79,CODIFICACION!$F$2:$F$500,0))="sin dato","",INDEX(CODIFICACION!$E$2:$E$500,MATCH("D3.12|"&amp;CAPTURA!AZ79,CODIFICACION!$F$2:$F$500,0))),"⚠"))</f>
        <v/>
      </c>
      <c r="V79" t="str">
        <f>IF(CAPTURA!BA79="","",IF(AND(ISNUMBER(CAPTURA!BA79),CAPTURA!BA79&gt;=0,CAPTURA!BA79&lt;=4),CAPTURA!BA79*25,"⚠"))</f>
        <v/>
      </c>
      <c r="W79" t="str">
        <f>IF(CAPTURA!BB79="","",IFERROR(IF(INDEX(CODIFICACION!$E$2:$E$500,MATCH("D3.14|"&amp;CAPTURA!BB79,CODIFICACION!$F$2:$F$500,0))="sin dato","",INDEX(CODIFICACION!$E$2:$E$500,MATCH("D3.14|"&amp;CAPTURA!BB79,CODIFICACION!$F$2:$F$500,0))),"⚠"))</f>
        <v/>
      </c>
      <c r="X79" t="str">
        <f>IF(CAPTURA!BC79="","",IFERROR(IF(INDEX(CODIFICACION!$E$2:$E$500,MATCH("D3.14a|"&amp;CAPTURA!BC79,CODIFICACION!$F$2:$F$500,0))="sin dato","",INDEX(CODIFICACION!$E$2:$E$500,MATCH("D3.14a|"&amp;CAPTURA!BC79,CODIFICACION!$F$2:$F$500,0))),"⚠"))</f>
        <v/>
      </c>
      <c r="Y79" t="str">
        <f>IF(CAPTURA!BD79="","",IFERROR(IF(INDEX(CODIFICACION!$E$2:$E$500,MATCH("D3.14b|"&amp;CAPTURA!BD79,CODIFICACION!$F$2:$F$500,0))="sin dato","",INDEX(CODIFICACION!$E$2:$E$500,MATCH("D3.14b|"&amp;CAPTURA!BD79,CODIFICACION!$F$2:$F$500,0))),"⚠"))</f>
        <v/>
      </c>
      <c r="Z79" t="str">
        <f>IF(CAPTURA!BE79="","",IFERROR(IF(INDEX(CODIFICACION!$E$2:$E$500,MATCH("D3.14c|"&amp;CAPTURA!BE79,CODIFICACION!$F$2:$F$500,0))="sin dato","",INDEX(CODIFICACION!$E$2:$E$500,MATCH("D3.14c|"&amp;CAPTURA!BE79,CODIFICACION!$F$2:$F$500,0))),"⚠"))</f>
        <v/>
      </c>
      <c r="AA79" t="str">
        <f>IF(CAPTURA!BF79="","",IFERROR(IF(INDEX(CODIFICACION!$E$2:$E$500,MATCH("D3.14d|"&amp;CAPTURA!BF79,CODIFICACION!$F$2:$F$500,0))="sin dato","",INDEX(CODIFICACION!$E$2:$E$500,MATCH("D3.14d|"&amp;CAPTURA!BF79,CODIFICACION!$F$2:$F$500,0))),"⚠"))</f>
        <v/>
      </c>
      <c r="AB79" t="str">
        <f>IF(CAPTURA!BG79="","",IFERROR(IF(INDEX(CODIFICACION!$E$2:$E$500,MATCH("D3.14e|"&amp;CAPTURA!BG79,CODIFICACION!$F$2:$F$500,0))="sin dato","",INDEX(CODIFICACION!$E$2:$E$500,MATCH("D3.14e|"&amp;CAPTURA!BG79,CODIFICACION!$F$2:$F$500,0))),"⚠"))</f>
        <v/>
      </c>
      <c r="AC79" t="str">
        <f>IF(CAPTURA!BH79="","",IFERROR(IF(INDEX(CODIFICACION!$E$2:$E$500,MATCH("D3.14f|"&amp;CAPTURA!BH79,CODIFICACION!$F$2:$F$500,0))="sin dato","",INDEX(CODIFICACION!$E$2:$E$500,MATCH("D3.14f|"&amp;CAPTURA!BH79,CODIFICACION!$F$2:$F$500,0))),"⚠"))</f>
        <v/>
      </c>
      <c r="AD79" t="str">
        <f>IF(CAPTURA!BI79="","",IFERROR(IF(INDEX(CODIFICACION!$E$2:$E$500,MATCH("D3.14g|"&amp;CAPTURA!BI79,CODIFICACION!$F$2:$F$500,0))="sin dato","",INDEX(CODIFICACION!$E$2:$E$500,MATCH("D3.14g|"&amp;CAPTURA!BI79,CODIFICACION!$F$2:$F$500,0))),"⚠"))</f>
        <v/>
      </c>
      <c r="AE79" t="str">
        <f>IF(CAPTURA!BJ79="","",IFERROR(IF(INDEX(CODIFICACION!$E$2:$E$500,MATCH("D3.14h|"&amp;CAPTURA!BJ79,CODIFICACION!$F$2:$F$500,0))="sin dato","",INDEX(CODIFICACION!$E$2:$E$500,MATCH("D3.14h|"&amp;CAPTURA!BJ79,CODIFICACION!$F$2:$F$500,0))),"⚠"))</f>
        <v/>
      </c>
      <c r="AF79" t="str">
        <f>IF(CAPTURA!BK79="","",IFERROR(IF(INDEX(CODIFICACION!$E$2:$E$500,MATCH("D3.14i|"&amp;CAPTURA!BK79,CODIFICACION!$F$2:$F$500,0))="sin dato","",INDEX(CODIFICACION!$E$2:$E$500,MATCH("D3.14i|"&amp;CAPTURA!BK79,CODIFICACION!$F$2:$F$500,0))),"⚠"))</f>
        <v/>
      </c>
      <c r="AG79" t="str">
        <f>IF(CAPTURA!BL79="","",IFERROR(IF(INDEX(CODIFICACION!$E$2:$E$500,MATCH("D4.15|"&amp;CAPTURA!BL79,CODIFICACION!$F$2:$F$500,0))="sin dato","",INDEX(CODIFICACION!$E$2:$E$500,MATCH("D4.15|"&amp;CAPTURA!BL79,CODIFICACION!$F$2:$F$500,0))),"⚠"))</f>
        <v/>
      </c>
      <c r="AH79" t="str">
        <f>IF(CAPTURA!BM79="","",IF(AND(ISNUMBER(CAPTURA!BM79),CAPTURA!BM79&gt;=0,CAPTURA!BM79&lt;=4),CAPTURA!BM79*25,"⚠"))</f>
        <v/>
      </c>
      <c r="AI79" t="str">
        <f>IF(CAPTURA!BN79="","",IFERROR(IF(INDEX(CODIFICACION!$E$2:$E$500,MATCH("D4.17|"&amp;CAPTURA!BN79,CODIFICACION!$F$2:$F$500,0))="sin dato","",INDEX(CODIFICACION!$E$2:$E$500,MATCH("D4.17|"&amp;CAPTURA!BN79,CODIFICACION!$F$2:$F$500,0))),"⚠"))</f>
        <v/>
      </c>
      <c r="AJ79" t="str">
        <f>IF(CAPTURA!BO79="","",IFERROR(IF(INDEX(CODIFICACION!$E$2:$E$500,MATCH("D4.15a|"&amp;CAPTURA!BO79,CODIFICACION!$F$2:$F$500,0))="sin dato","",INDEX(CODIFICACION!$E$2:$E$500,MATCH("D4.15a|"&amp;CAPTURA!BO79,CODIFICACION!$F$2:$F$500,0))),"⚠"))</f>
        <v/>
      </c>
      <c r="AK79" t="str">
        <f>IF(CAPTURA!BP79="","",IF(AND(ISNUMBER(CAPTURA!BP79),CAPTURA!BP79&gt;=0,CAPTURA!BP79&lt;=4),CAPTURA!BP79*25,"⚠"))</f>
        <v/>
      </c>
      <c r="AL79" t="str">
        <f>IF(CAPTURA!BQ79="","",IF(AND(ISNUMBER(CAPTURA!BQ79),CAPTURA!BQ79&gt;=0,CAPTURA!BQ79&lt;=4),CAPTURA!BQ79*25,"⚠"))</f>
        <v/>
      </c>
      <c r="AM79" t="str">
        <f>IF(CAPTURA!BR79="","",IFERROR(IF(INDEX(CODIFICACION!$E$2:$E$500,MATCH("D5.18b|"&amp;CAPTURA!BR79,CODIFICACION!$F$2:$F$500,0))="sin dato","",INDEX(CODIFICACION!$E$2:$E$500,MATCH("D5.18b|"&amp;CAPTURA!BR79,CODIFICACION!$F$2:$F$500,0))),"⚠"))</f>
        <v/>
      </c>
      <c r="AN79" t="str">
        <f>IF(CAPTURA!BS79="","",IFERROR(IF(INDEX(CODIFICACION!$E$2:$E$500,MATCH("D5.19|"&amp;CAPTURA!BS79,CODIFICACION!$F$2:$F$500,0))="sin dato","",INDEX(CODIFICACION!$E$2:$E$500,MATCH("D5.19|"&amp;CAPTURA!BS79,CODIFICACION!$F$2:$F$500,0))),"⚠"))</f>
        <v/>
      </c>
      <c r="AO79" t="str">
        <f>IF(CAPTURA!BT79="","",MIN(100,ROUND((LEN(CAPTURA!BT79)-LEN(SUBSTITUTE(CAPTURA!BT79,";",""))+1)/7*100,1)))</f>
        <v/>
      </c>
      <c r="AP79" t="str">
        <f>IF(CAPTURA!BU79="","",IFERROR(IF(INDEX(CODIFICACION!$E$2:$E$500,MATCH("D5.20|"&amp;CAPTURA!BU79,CODIFICACION!$F$2:$F$500,0))="sin dato","",INDEX(CODIFICACION!$E$2:$E$500,MATCH("D5.20|"&amp;CAPTURA!BU79,CODIFICACION!$F$2:$F$500,0))),"⚠"))</f>
        <v/>
      </c>
      <c r="AQ79" t="str">
        <f>IF(CAPTURA!BV79="","",IFERROR(IF(INDEX(CODIFICACION!$E$2:$E$500,MATCH("D5.21|"&amp;CAPTURA!BV79,CODIFICACION!$F$2:$F$500,0))="sin dato","",INDEX(CODIFICACION!$E$2:$E$500,MATCH("D5.21|"&amp;CAPTURA!BV79,CODIFICACION!$F$2:$F$500,0))),"⚠"))</f>
        <v/>
      </c>
      <c r="AR79" t="str">
        <f>IF(CAPTURA!BW79="","",IFERROR(IF(INDEX(CODIFICACION!$E$2:$E$500,MATCH("D5.21a|"&amp;CAPTURA!BW79,CODIFICACION!$F$2:$F$500,0))="sin dato","",INDEX(CODIFICACION!$E$2:$E$500,MATCH("D5.21a|"&amp;CAPTURA!BW79,CODIFICACION!$F$2:$F$500,0))),"⚠"))</f>
        <v/>
      </c>
      <c r="AS79" t="str">
        <f>IF(CAPTURA!BX79="","",IFERROR(IF(INDEX(CODIFICACION!$E$2:$E$500,MATCH("D5.21b|"&amp;CAPTURA!BX79,CODIFICACION!$F$2:$F$500,0))="sin dato","",INDEX(CODIFICACION!$E$2:$E$500,MATCH("D5.21b|"&amp;CAPTURA!BX79,CODIFICACION!$F$2:$F$500,0))),"⚠"))</f>
        <v/>
      </c>
      <c r="AT79" t="str">
        <f>IF(CAPTURA!BY79="","",IFERROR(IF(INDEX(CODIFICACION!$E$2:$E$500,MATCH("D6.22|"&amp;CAPTURA!BY79,CODIFICACION!$F$2:$F$500,0))="sin dato","",INDEX(CODIFICACION!$E$2:$E$500,MATCH("D6.22|"&amp;CAPTURA!BY79,CODIFICACION!$F$2:$F$500,0))),"⚠"))</f>
        <v/>
      </c>
      <c r="AU79" t="str">
        <f>IF(CAPTURA!BZ79="","",IFERROR(IF(INDEX(CODIFICACION!$E$2:$E$500,MATCH("D6.22a|"&amp;CAPTURA!BZ79,CODIFICACION!$F$2:$F$500,0))="sin dato","",INDEX(CODIFICACION!$E$2:$E$500,MATCH("D6.22a|"&amp;CAPTURA!BZ79,CODIFICACION!$F$2:$F$500,0))),"⚠"))</f>
        <v/>
      </c>
      <c r="AV79" t="str">
        <f>IF(CAPTURA!CA79="","",IFERROR(IF(INDEX(CODIFICACION!$E$2:$E$500,MATCH("D6.22b|"&amp;CAPTURA!CA79,CODIFICACION!$F$2:$F$500,0))="sin dato","",INDEX(CODIFICACION!$E$2:$E$500,MATCH("D6.22b|"&amp;CAPTURA!CA79,CODIFICACION!$F$2:$F$500,0))),"⚠"))</f>
        <v/>
      </c>
      <c r="AW79" t="str">
        <f>IF(CAPTURA!CB79="","",IFERROR(IF(INDEX(CODIFICACION!$E$2:$E$500,MATCH("D6.23|"&amp;CAPTURA!CB79,CODIFICACION!$F$2:$F$500,0))="sin dato","",INDEX(CODIFICACION!$E$2:$E$500,MATCH("D6.23|"&amp;CAPTURA!CB79,CODIFICACION!$F$2:$F$500,0))),"⚠"))</f>
        <v/>
      </c>
      <c r="AX79" t="str">
        <f>IF(CAPTURA!CC79="","",IFERROR(IF(INDEX(CODIFICACION!$E$2:$E$500,MATCH("D6.24|"&amp;CAPTURA!CC79,CODIFICACION!$F$2:$F$500,0))="sin dato","",INDEX(CODIFICACION!$E$2:$E$500,MATCH("D6.24|"&amp;CAPTURA!CC79,CODIFICACION!$F$2:$F$500,0))),"⚠"))</f>
        <v/>
      </c>
      <c r="AY79" t="str">
        <f>IF(CAPTURA!CD79="","",IFERROR(IF(INDEX(CODIFICACION!$E$2:$E$500,MATCH("D6.25|"&amp;CAPTURA!CD79,CODIFICACION!$F$2:$F$500,0))="sin dato","",INDEX(CODIFICACION!$E$2:$E$500,MATCH("D6.25|"&amp;CAPTURA!CD79,CODIFICACION!$F$2:$F$500,0))),"⚠"))</f>
        <v/>
      </c>
      <c r="AZ79" t="str">
        <f>IF(CAPTURA!CE79="","",IFERROR(IF(INDEX(CODIFICACION!$E$2:$E$500,MATCH("D6.25a|"&amp;CAPTURA!CE79,CODIFICACION!$F$2:$F$500,0))="sin dato","",INDEX(CODIFICACION!$E$2:$E$500,MATCH("D6.25a|"&amp;CAPTURA!CE79,CODIFICACION!$F$2:$F$500,0))),"⚠"))</f>
        <v/>
      </c>
      <c r="BA79" t="str">
        <f>IF(CAPTURA!CF79="","",IFERROR(IF(INDEX(CODIFICACION!$E$2:$E$500,MATCH("D6.25b|"&amp;CAPTURA!CF79,CODIFICACION!$F$2:$F$500,0))="sin dato","",INDEX(CODIFICACION!$E$2:$E$500,MATCH("D6.25b|"&amp;CAPTURA!CF79,CODIFICACION!$F$2:$F$500,0))),"⚠"))</f>
        <v/>
      </c>
      <c r="BB79" t="str">
        <f>IF(CAPTURA!CG79="","",IFERROR(IF(INDEX(CODIFICACION!$E$2:$E$500,MATCH("D6.22c|"&amp;CAPTURA!CG79,CODIFICACION!$F$2:$F$500,0))="sin dato","",INDEX(CODIFICACION!$E$2:$E$500,MATCH("D6.22c|"&amp;CAPTURA!CG79,CODIFICACION!$F$2:$F$500,0))),"⚠"))</f>
        <v/>
      </c>
      <c r="BC79" t="str">
        <f>IF(CAPTURA!CH79="","",IFERROR(IF(INDEX(CODIFICACION!$E$2:$E$500,MATCH("D7.26|"&amp;CAPTURA!CH79,CODIFICACION!$F$2:$F$500,0))="sin dato","",INDEX(CODIFICACION!$E$2:$E$500,MATCH("D7.26|"&amp;CAPTURA!CH79,CODIFICACION!$F$2:$F$500,0))),"⚠"))</f>
        <v/>
      </c>
      <c r="BD79" t="str">
        <f>IF(CAPTURA!CI79="","",IFERROR(IF(INDEX(CODIFICACION!$E$2:$E$500,MATCH("D7.27|"&amp;CAPTURA!CI79,CODIFICACION!$F$2:$F$500,0))="sin dato","",INDEX(CODIFICACION!$E$2:$E$500,MATCH("D7.27|"&amp;CAPTURA!CI79,CODIFICACION!$F$2:$F$500,0))),"⚠"))</f>
        <v/>
      </c>
      <c r="BE79" t="str">
        <f>IF(CAPTURA!CJ79="","",IFERROR(IF(INDEX(CODIFICACION!$E$2:$E$500,MATCH("D7.28|"&amp;CAPTURA!CJ79,CODIFICACION!$F$2:$F$500,0))="sin dato","",INDEX(CODIFICACION!$E$2:$E$500,MATCH("D7.28|"&amp;CAPTURA!CJ79,CODIFICACION!$F$2:$F$500,0))),"⚠"))</f>
        <v/>
      </c>
      <c r="BF79" t="str">
        <f>IF(CAPTURA!CK79="","",IFERROR(IF(INDEX(CODIFICACION!$E$2:$E$500,MATCH("D7.28b|"&amp;CAPTURA!CK79,CODIFICACION!$F$2:$F$500,0))="sin dato","",INDEX(CODIFICACION!$E$2:$E$500,MATCH("D7.28b|"&amp;CAPTURA!CK79,CODIFICACION!$F$2:$F$500,0))),"⚠"))</f>
        <v/>
      </c>
      <c r="BG79" t="str">
        <f>IF(CAPTURA!CL79="","",MIN(100,ROUND((LEN(CAPTURA!CL79)-LEN(SUBSTITUTE(CAPTURA!CL79,";",""))+1)/8*100,1)))</f>
        <v/>
      </c>
      <c r="BH79" t="str">
        <f>IF(CAPTURA!CM79="","",IFERROR(IF(INDEX(CODIFICACION!$E$2:$E$500,MATCH("D7.26a|"&amp;CAPTURA!CM79,CODIFICACION!$F$2:$F$500,0))="sin dato","",INDEX(CODIFICACION!$E$2:$E$500,MATCH("D7.26a|"&amp;CAPTURA!CM79,CODIFICACION!$F$2:$F$500,0))),"⚠"))</f>
        <v/>
      </c>
      <c r="BI79" t="str">
        <f>IF(CAPTURA!CN79="","",IFERROR(IF(INDEX(CODIFICACION!$E$2:$E$500,MATCH("D7.26b|"&amp;CAPTURA!CN79,CODIFICACION!$F$2:$F$500,0))="sin dato","",INDEX(CODIFICACION!$E$2:$E$500,MATCH("D7.26b|"&amp;CAPTURA!CN79,CODIFICACION!$F$2:$F$500,0))),"⚠"))</f>
        <v/>
      </c>
      <c r="BJ79" t="str">
        <f>IF(CAPTURA!CO79="","",IF(AND(ISNUMBER(CAPTURA!CO79),CAPTURA!CO79&gt;=0,CAPTURA!CO79&lt;=4),CAPTURA!CO79*25,"⚠"))</f>
        <v/>
      </c>
      <c r="BK79" t="str">
        <f>IF(CAPTURA!CP79="","",IF(ISNUMBER(CAPTURA!CP79),MAX(0,MIN(100,CAPTURA!CP79)),"⚠"))</f>
        <v/>
      </c>
      <c r="BL79" t="str">
        <f>IF(CAPTURA!CQ79="","",IFERROR(IF(INDEX(CODIFICACION!$E$2:$E$500,MATCH("D8.31|"&amp;CAPTURA!CQ79,CODIFICACION!$F$2:$F$500,0))="sin dato","",INDEX(CODIFICACION!$E$2:$E$500,MATCH("D8.31|"&amp;CAPTURA!CQ79,CODIFICACION!$F$2:$F$500,0))),"⚠"))</f>
        <v/>
      </c>
      <c r="BM79" t="str">
        <f>IF(CAPTURA!CR79="","",IFERROR(IF(INDEX(CODIFICACION!$E$2:$E$500,MATCH("D8.32|"&amp;CAPTURA!CR79,CODIFICACION!$F$2:$F$500,0))="sin dato","",INDEX(CODIFICACION!$E$2:$E$500,MATCH("D8.32|"&amp;CAPTURA!CR79,CODIFICACION!$F$2:$F$500,0))),"⚠"))</f>
        <v/>
      </c>
      <c r="BN79" t="str">
        <f>IF(CAPTURA!CS79="","",IFERROR(IF(INDEX(CODIFICACION!$E$2:$E$500,MATCH("D9.33|"&amp;CAPTURA!CS79,CODIFICACION!$F$2:$F$500,0))="sin dato","",INDEX(CODIFICACION!$E$2:$E$500,MATCH("D9.33|"&amp;CAPTURA!CS79,CODIFICACION!$F$2:$F$500,0))),"⚠"))</f>
        <v/>
      </c>
      <c r="BO79" t="str">
        <f>IF(CAPTURA!CT79="","",IFERROR(IF(INDEX(CODIFICACION!$E$2:$E$500,MATCH("D9.34|"&amp;CAPTURA!CT79,CODIFICACION!$F$2:$F$500,0))="sin dato","",INDEX(CODIFICACION!$E$2:$E$500,MATCH("D9.34|"&amp;CAPTURA!CT79,CODIFICACION!$F$2:$F$500,0))),"⚠"))</f>
        <v/>
      </c>
      <c r="BP79" t="str">
        <f>IF(CAPTURA!CU79="","",IFERROR(IF(INDEX(CODIFICACION!$E$2:$E$500,MATCH("D9.35|"&amp;CAPTURA!CU79,CODIFICACION!$F$2:$F$500,0))="sin dato","",INDEX(CODIFICACION!$E$2:$E$500,MATCH("D9.35|"&amp;CAPTURA!CU79,CODIFICACION!$F$2:$F$500,0))),"⚠"))</f>
        <v/>
      </c>
      <c r="BQ79" t="str">
        <f>IF(CAPTURA!CV79="","",IFERROR(IF(INDEX(CODIFICACION!$E$2:$E$500,MATCH("D10.36|"&amp;CAPTURA!CV79,CODIFICACION!$F$2:$F$500,0))="sin dato","",INDEX(CODIFICACION!$E$2:$E$500,MATCH("D10.36|"&amp;CAPTURA!CV79,CODIFICACION!$F$2:$F$500,0))),"⚠"))</f>
        <v/>
      </c>
      <c r="BR79" t="str">
        <f>IF(CAPTURA!CW79="","",IFERROR(IF(INDEX(CODIFICACION!$E$2:$E$500,MATCH("D10.37|"&amp;CAPTURA!CW79,CODIFICACION!$F$2:$F$500,0))="sin dato","",INDEX(CODIFICACION!$E$2:$E$500,MATCH("D10.37|"&amp;CAPTURA!CW79,CODIFICACION!$F$2:$F$500,0))),"⚠"))</f>
        <v/>
      </c>
      <c r="BS79" t="str">
        <f>IF(CAPTURA!CX79="","",IFERROR(IF(INDEX(CODIFICACION!$E$2:$E$500,MATCH("D10.36a|"&amp;CAPTURA!CX79,CODIFICACION!$F$2:$F$500,0))="sin dato","",INDEX(CODIFICACION!$E$2:$E$500,MATCH("D10.36a|"&amp;CAPTURA!CX79,CODIFICACION!$F$2:$F$500,0))),"⚠"))</f>
        <v/>
      </c>
      <c r="BT79" t="str">
        <f>IF(CAPTURA!CY79="","",IF(ISNUMBER(SEARCH("Ninguno",CAPTURA!CY79)),0,MIN(100,ROUND((LEN(CAPTURA!CY79)-LEN(SUBSTITUTE(CAPTURA!CY79,";",""))+1)/6*100,1))))</f>
        <v/>
      </c>
      <c r="BU79" t="str">
        <f>IF(CAPTURA!DA79="","",IFERROR(IF(INDEX(CODIFICACION!$E$2:$E$500,MATCH("D11.39a|"&amp;CAPTURA!DA79,CODIFICACION!$F$2:$F$500,0))="sin dato","",INDEX(CODIFICACION!$E$2:$E$500,MATCH("D11.39a|"&amp;CAPTURA!DA79,CODIFICACION!$F$2:$F$500,0))),"⚠"))</f>
        <v/>
      </c>
      <c r="BV79" t="str">
        <f>IF(CAPTURA!DB79="","",IFERROR(IF(INDEX(CODIFICACION!$E$2:$E$500,MATCH("D12.42|"&amp;CAPTURA!DB79,CODIFICACION!$F$2:$F$500,0))="sin dato","",INDEX(CODIFICACION!$E$2:$E$500,MATCH("D12.42|"&amp;CAPTURA!DB79,CODIFICACION!$F$2:$F$500,0))),"⚠"))</f>
        <v/>
      </c>
      <c r="BW79" t="str">
        <f>IF(CAPTURA!DC79="","",IFERROR(IF(INDEX(CODIFICACION!$E$2:$E$500,MATCH("D13.45|"&amp;CAPTURA!DC79,CODIFICACION!$F$2:$F$500,0))="sin dato","",INDEX(CODIFICACION!$E$2:$E$500,MATCH("D13.45|"&amp;CAPTURA!DC79,CODIFICACION!$F$2:$F$500,0))),"⚠"))</f>
        <v/>
      </c>
      <c r="BX79" t="str">
        <f>IF(CAPTURA!DD79="","",IFERROR(IF(INDEX(CODIFICACION!$E$2:$E$500,MATCH("D14.51|"&amp;CAPTURA!DD79,CODIFICACION!$F$2:$F$500,0))="sin dato","",INDEX(CODIFICACION!$E$2:$E$500,MATCH("D14.51|"&amp;CAPTURA!DD79,CODIFICACION!$F$2:$F$500,0))),"⚠"))</f>
        <v/>
      </c>
      <c r="BY79" t="str">
        <f>IF(CAPTURA!DE79="","",IFERROR(IF(INDEX(CODIFICACION!$E$2:$E$500,MATCH("D15.58|"&amp;CAPTURA!DE79,CODIFICACION!$F$2:$F$500,0))="sin dato","",INDEX(CODIFICACION!$E$2:$E$500,MATCH("D15.58|"&amp;CAPTURA!DE79,CODIFICACION!$F$2:$F$500,0))),"⚠"))</f>
        <v/>
      </c>
      <c r="BZ79" t="str">
        <f>IF(CAPTURA!DF79="","",IFERROR(IF(INDEX(CODIFICACION!$E$2:$E$500,MATCH("PP1|"&amp;CAPTURA!DF79,CODIFICACION!$F$2:$F$500,0))="sin dato","",INDEX(CODIFICACION!$E$2:$E$500,MATCH("PP1|"&amp;CAPTURA!DF79,CODIFICACION!$F$2:$F$500,0))),"⚠"))</f>
        <v/>
      </c>
      <c r="CA79" t="str">
        <f>IF(CAPTURA!DG79="","",IFERROR(IF(INDEX(CODIFICACION!$E$2:$E$500,MATCH("PP2|"&amp;CAPTURA!DG79,CODIFICACION!$F$2:$F$500,0))="sin dato","",INDEX(CODIFICACION!$E$2:$E$500,MATCH("PP2|"&amp;CAPTURA!DG79,CODIFICACION!$F$2:$F$500,0))),"⚠"))</f>
        <v/>
      </c>
      <c r="CB79" t="str">
        <f t="shared" si="22"/>
        <v/>
      </c>
      <c r="CC79" t="str">
        <f t="shared" si="23"/>
        <v/>
      </c>
      <c r="CD79" t="str">
        <f t="shared" si="24"/>
        <v/>
      </c>
      <c r="CE79" t="str">
        <f t="shared" si="25"/>
        <v/>
      </c>
      <c r="CF79" t="str">
        <f t="shared" si="26"/>
        <v/>
      </c>
      <c r="CG79" t="str">
        <f t="shared" si="27"/>
        <v/>
      </c>
      <c r="CH79" t="str">
        <f t="shared" si="28"/>
        <v/>
      </c>
      <c r="CI79" t="str">
        <f t="shared" si="29"/>
        <v/>
      </c>
      <c r="CJ79" t="str">
        <f t="shared" si="30"/>
        <v/>
      </c>
      <c r="CK79" t="str">
        <f t="shared" si="31"/>
        <v/>
      </c>
      <c r="CL79" t="str">
        <f t="shared" si="32"/>
        <v/>
      </c>
    </row>
    <row r="80" spans="1:90" x14ac:dyDescent="0.3">
      <c r="A80">
        <f>CAPTURA!A80</f>
        <v>20561140091</v>
      </c>
      <c r="B80">
        <f>CAPTURA!C80</f>
        <v>0</v>
      </c>
      <c r="C80" t="str">
        <f>IF(CAPTURA!M80="","",ROUND((ISNUMBER(SEARCH("Alemania",CAPTURA!M80))+ISNUMBER(SEARCH("Bélgica",CAPTURA!M80))+ISNUMBER(SEARCH("Países Bajos",CAPTURA!M80))+ISNUMBER(SEARCH("Francia",CAPTURA!M80))+ISNUMBER(SEARCH("Italia",CAPTURA!M80))+ISNUMBER(SEARCH("España",CAPTURA!M80))+ISNUMBER(SEARCH("Suecia",CAPTURA!M80))+ISNUMBER(SEARCH("Dinamarca",CAPTURA!M80)))/((LEN(CAPTURA!M80)-LEN(SUBSTITUTE(CAPTURA!M80,";","")))+1)*100,1))</f>
        <v/>
      </c>
      <c r="D80" t="str">
        <f>IF(CAPTURA!AE80="","",IFERROR(IF(INDEX(CODIFICACION!$E$2:$E$500,MATCH("P8|"&amp;CAPTURA!AE80,CODIFICACION!$F$2:$F$500,0))="sin dato","",INDEX(CODIFICACION!$E$2:$E$500,MATCH("P8|"&amp;CAPTURA!AE80,CODIFICACION!$F$2:$F$500,0))),"⚠"))</f>
        <v/>
      </c>
      <c r="E80" t="str">
        <f>IF(CAPTURA!AG80="","",IFERROR(IF(INDEX(CODIFICACION!$E$2:$E$500,MATCH("P10|"&amp;CAPTURA!AG80,CODIFICACION!$F$2:$F$500,0))="sin dato","",INDEX(CODIFICACION!$E$2:$E$500,MATCH("P10|"&amp;CAPTURA!AG80,CODIFICACION!$F$2:$F$500,0))),"⚠"))</f>
        <v/>
      </c>
      <c r="F80" t="str">
        <f>IF(CAPTURA!AJ80="","",IFERROR(IF(INDEX(CODIFICACION!$E$2:$E$500,MATCH("P13|"&amp;CAPTURA!AJ80,CODIFICACION!$F$2:$F$500,0))="sin dato","",INDEX(CODIFICACION!$E$2:$E$500,MATCH("P13|"&amp;CAPTURA!AJ80,CODIFICACION!$F$2:$F$500,0))),"⚠"))</f>
        <v/>
      </c>
      <c r="G80" t="str">
        <f>IF(CAPTURA!AK80="","",IFERROR(IF(INDEX(CODIFICACION!$E$2:$E$500,MATCH("P14|"&amp;CAPTURA!AK80,CODIFICACION!$F$2:$F$500,0))="sin dato","",INDEX(CODIFICACION!$E$2:$E$500,MATCH("P14|"&amp;CAPTURA!AK80,CODIFICACION!$F$2:$F$500,0))),"⚠"))</f>
        <v/>
      </c>
      <c r="H80" t="str">
        <f>IF(CAPTURA!AL80="","",IFERROR(IF(INDEX(CODIFICACION!$E$2:$E$500,MATCH("D1.1|"&amp;CAPTURA!AL80,CODIFICACION!$F$2:$F$500,0))="sin dato","",INDEX(CODIFICACION!$E$2:$E$500,MATCH("D1.1|"&amp;CAPTURA!AL80,CODIFICACION!$F$2:$F$500,0))),"⚠"))</f>
        <v/>
      </c>
      <c r="I80" t="str">
        <f>IF(CAPTURA!AN80="","",IFERROR(IF(INDEX(CODIFICACION!$E$2:$E$500,MATCH("D1.3|"&amp;CAPTURA!AN80,CODIFICACION!$F$2:$F$500,0))="sin dato","",INDEX(CODIFICACION!$E$2:$E$500,MATCH("D1.3|"&amp;CAPTURA!AN80,CODIFICACION!$F$2:$F$500,0))),"⚠"))</f>
        <v/>
      </c>
      <c r="J80" t="str">
        <f>IF(CAPTURA!AO80="","",IFERROR(IF(INDEX(CODIFICACION!$E$2:$E$500,MATCH("D1.4|"&amp;CAPTURA!AO80,CODIFICACION!$F$2:$F$500,0))="sin dato","",INDEX(CODIFICACION!$E$2:$E$500,MATCH("D1.4|"&amp;CAPTURA!AO80,CODIFICACION!$F$2:$F$500,0))),"⚠"))</f>
        <v/>
      </c>
      <c r="K80" t="str">
        <f>IF(CAPTURA!AP80="","",IFERROR(IF(INDEX(CODIFICACION!$E$2:$E$500,MATCH("D1.3a|"&amp;CAPTURA!AP80,CODIFICACION!$F$2:$F$500,0))="sin dato","",INDEX(CODIFICACION!$E$2:$E$500,MATCH("D1.3a|"&amp;CAPTURA!AP80,CODIFICACION!$F$2:$F$500,0))),"⚠"))</f>
        <v/>
      </c>
      <c r="L80" t="str">
        <f>IF(CAPTURA!AQ80="","",IF(AND(ISNUMBER(CAPTURA!AQ80),CAPTURA!AQ80&gt;=0,CAPTURA!AQ80&lt;=4),CAPTURA!AQ80*25,"⚠"))</f>
        <v/>
      </c>
      <c r="M80" t="str">
        <f>IF(CAPTURA!AR80="","",IF(ISNUMBER(CAPTURA!AR80),MAX(0,MIN(100,CAPTURA!AR80)),"⚠"))</f>
        <v/>
      </c>
      <c r="N80" t="str">
        <f>IF(CAPTURA!AS80="","",IF(AND(ISNUMBER(CAPTURA!AS80),CAPTURA!AS80&gt;=0,CAPTURA!AS80&lt;=4),CAPTURA!AS80*25,"⚠"))</f>
        <v/>
      </c>
      <c r="O80" t="str">
        <f>IF(CAPTURA!AT80="","",IFERROR(IF(INDEX(CODIFICACION!$E$2:$E$500,MATCH("D2.8|"&amp;CAPTURA!AT80,CODIFICACION!$F$2:$F$500,0))="sin dato","",INDEX(CODIFICACION!$E$2:$E$500,MATCH("D2.8|"&amp;CAPTURA!AT80,CODIFICACION!$F$2:$F$500,0))),"⚠"))</f>
        <v/>
      </c>
      <c r="P80" t="str">
        <f>IF(CAPTURA!AU80="","",IFERROR(IF(INDEX(CODIFICACION!$E$2:$E$500,MATCH("D2.9|"&amp;CAPTURA!AU80,CODIFICACION!$F$2:$F$500,0))="sin dato","",INDEX(CODIFICACION!$E$2:$E$500,MATCH("D2.9|"&amp;CAPTURA!AU80,CODIFICACION!$F$2:$F$500,0))),"⚠"))</f>
        <v/>
      </c>
      <c r="Q80" t="str">
        <f>IF(CAPTURA!AV80="","",IFERROR(IF(INDEX(CODIFICACION!$E$2:$E$500,MATCH("D2.10|"&amp;CAPTURA!AV80,CODIFICACION!$F$2:$F$500,0))="sin dato","",INDEX(CODIFICACION!$E$2:$E$500,MATCH("D2.10|"&amp;CAPTURA!AV80,CODIFICACION!$F$2:$F$500,0))),"⚠"))</f>
        <v/>
      </c>
      <c r="R80" t="str">
        <f>IF(CAPTURA!AW80="","",IFERROR(IF(INDEX(CODIFICACION!$E$2:$E$500,MATCH("D2.5a|"&amp;CAPTURA!AW80,CODIFICACION!$F$2:$F$500,0))="sin dato","",INDEX(CODIFICACION!$E$2:$E$500,MATCH("D2.5a|"&amp;CAPTURA!AW80,CODIFICACION!$F$2:$F$500,0))),"⚠"))</f>
        <v/>
      </c>
      <c r="S80" t="str">
        <f>IF(CAPTURA!AX80="","",IFERROR(IF(INDEX(CODIFICACION!$E$2:$E$500,MATCH("D2.5b|"&amp;CAPTURA!AX80,CODIFICACION!$F$2:$F$500,0))="sin dato","",INDEX(CODIFICACION!$E$2:$E$500,MATCH("D2.5b|"&amp;CAPTURA!AX80,CODIFICACION!$F$2:$F$500,0))),"⚠"))</f>
        <v/>
      </c>
      <c r="T80" t="str">
        <f>IF(CAPTURA!AY80="","",IF(ISNUMBER(CAPTURA!AY80),MAX(0,MIN(100,CAPTURA!AY80)),"⚠"))</f>
        <v/>
      </c>
      <c r="U80" t="str">
        <f>IF(CAPTURA!AZ80="","",IFERROR(IF(INDEX(CODIFICACION!$E$2:$E$500,MATCH("D3.12|"&amp;CAPTURA!AZ80,CODIFICACION!$F$2:$F$500,0))="sin dato","",INDEX(CODIFICACION!$E$2:$E$500,MATCH("D3.12|"&amp;CAPTURA!AZ80,CODIFICACION!$F$2:$F$500,0))),"⚠"))</f>
        <v/>
      </c>
      <c r="V80" t="str">
        <f>IF(CAPTURA!BA80="","",IF(AND(ISNUMBER(CAPTURA!BA80),CAPTURA!BA80&gt;=0,CAPTURA!BA80&lt;=4),CAPTURA!BA80*25,"⚠"))</f>
        <v/>
      </c>
      <c r="W80" t="str">
        <f>IF(CAPTURA!BB80="","",IFERROR(IF(INDEX(CODIFICACION!$E$2:$E$500,MATCH("D3.14|"&amp;CAPTURA!BB80,CODIFICACION!$F$2:$F$500,0))="sin dato","",INDEX(CODIFICACION!$E$2:$E$500,MATCH("D3.14|"&amp;CAPTURA!BB80,CODIFICACION!$F$2:$F$500,0))),"⚠"))</f>
        <v/>
      </c>
      <c r="X80" t="str">
        <f>IF(CAPTURA!BC80="","",IFERROR(IF(INDEX(CODIFICACION!$E$2:$E$500,MATCH("D3.14a|"&amp;CAPTURA!BC80,CODIFICACION!$F$2:$F$500,0))="sin dato","",INDEX(CODIFICACION!$E$2:$E$500,MATCH("D3.14a|"&amp;CAPTURA!BC80,CODIFICACION!$F$2:$F$500,0))),"⚠"))</f>
        <v/>
      </c>
      <c r="Y80" t="str">
        <f>IF(CAPTURA!BD80="","",IFERROR(IF(INDEX(CODIFICACION!$E$2:$E$500,MATCH("D3.14b|"&amp;CAPTURA!BD80,CODIFICACION!$F$2:$F$500,0))="sin dato","",INDEX(CODIFICACION!$E$2:$E$500,MATCH("D3.14b|"&amp;CAPTURA!BD80,CODIFICACION!$F$2:$F$500,0))),"⚠"))</f>
        <v/>
      </c>
      <c r="Z80" t="str">
        <f>IF(CAPTURA!BE80="","",IFERROR(IF(INDEX(CODIFICACION!$E$2:$E$500,MATCH("D3.14c|"&amp;CAPTURA!BE80,CODIFICACION!$F$2:$F$500,0))="sin dato","",INDEX(CODIFICACION!$E$2:$E$500,MATCH("D3.14c|"&amp;CAPTURA!BE80,CODIFICACION!$F$2:$F$500,0))),"⚠"))</f>
        <v/>
      </c>
      <c r="AA80" t="str">
        <f>IF(CAPTURA!BF80="","",IFERROR(IF(INDEX(CODIFICACION!$E$2:$E$500,MATCH("D3.14d|"&amp;CAPTURA!BF80,CODIFICACION!$F$2:$F$500,0))="sin dato","",INDEX(CODIFICACION!$E$2:$E$500,MATCH("D3.14d|"&amp;CAPTURA!BF80,CODIFICACION!$F$2:$F$500,0))),"⚠"))</f>
        <v/>
      </c>
      <c r="AB80" t="str">
        <f>IF(CAPTURA!BG80="","",IFERROR(IF(INDEX(CODIFICACION!$E$2:$E$500,MATCH("D3.14e|"&amp;CAPTURA!BG80,CODIFICACION!$F$2:$F$500,0))="sin dato","",INDEX(CODIFICACION!$E$2:$E$500,MATCH("D3.14e|"&amp;CAPTURA!BG80,CODIFICACION!$F$2:$F$500,0))),"⚠"))</f>
        <v/>
      </c>
      <c r="AC80" t="str">
        <f>IF(CAPTURA!BH80="","",IFERROR(IF(INDEX(CODIFICACION!$E$2:$E$500,MATCH("D3.14f|"&amp;CAPTURA!BH80,CODIFICACION!$F$2:$F$500,0))="sin dato","",INDEX(CODIFICACION!$E$2:$E$500,MATCH("D3.14f|"&amp;CAPTURA!BH80,CODIFICACION!$F$2:$F$500,0))),"⚠"))</f>
        <v/>
      </c>
      <c r="AD80" t="str">
        <f>IF(CAPTURA!BI80="","",IFERROR(IF(INDEX(CODIFICACION!$E$2:$E$500,MATCH("D3.14g|"&amp;CAPTURA!BI80,CODIFICACION!$F$2:$F$500,0))="sin dato","",INDEX(CODIFICACION!$E$2:$E$500,MATCH("D3.14g|"&amp;CAPTURA!BI80,CODIFICACION!$F$2:$F$500,0))),"⚠"))</f>
        <v/>
      </c>
      <c r="AE80" t="str">
        <f>IF(CAPTURA!BJ80="","",IFERROR(IF(INDEX(CODIFICACION!$E$2:$E$500,MATCH("D3.14h|"&amp;CAPTURA!BJ80,CODIFICACION!$F$2:$F$500,0))="sin dato","",INDEX(CODIFICACION!$E$2:$E$500,MATCH("D3.14h|"&amp;CAPTURA!BJ80,CODIFICACION!$F$2:$F$500,0))),"⚠"))</f>
        <v/>
      </c>
      <c r="AF80" t="str">
        <f>IF(CAPTURA!BK80="","",IFERROR(IF(INDEX(CODIFICACION!$E$2:$E$500,MATCH("D3.14i|"&amp;CAPTURA!BK80,CODIFICACION!$F$2:$F$500,0))="sin dato","",INDEX(CODIFICACION!$E$2:$E$500,MATCH("D3.14i|"&amp;CAPTURA!BK80,CODIFICACION!$F$2:$F$500,0))),"⚠"))</f>
        <v/>
      </c>
      <c r="AG80" t="str">
        <f>IF(CAPTURA!BL80="","",IFERROR(IF(INDEX(CODIFICACION!$E$2:$E$500,MATCH("D4.15|"&amp;CAPTURA!BL80,CODIFICACION!$F$2:$F$500,0))="sin dato","",INDEX(CODIFICACION!$E$2:$E$500,MATCH("D4.15|"&amp;CAPTURA!BL80,CODIFICACION!$F$2:$F$500,0))),"⚠"))</f>
        <v/>
      </c>
      <c r="AH80" t="str">
        <f>IF(CAPTURA!BM80="","",IF(AND(ISNUMBER(CAPTURA!BM80),CAPTURA!BM80&gt;=0,CAPTURA!BM80&lt;=4),CAPTURA!BM80*25,"⚠"))</f>
        <v/>
      </c>
      <c r="AI80" t="str">
        <f>IF(CAPTURA!BN80="","",IFERROR(IF(INDEX(CODIFICACION!$E$2:$E$500,MATCH("D4.17|"&amp;CAPTURA!BN80,CODIFICACION!$F$2:$F$500,0))="sin dato","",INDEX(CODIFICACION!$E$2:$E$500,MATCH("D4.17|"&amp;CAPTURA!BN80,CODIFICACION!$F$2:$F$500,0))),"⚠"))</f>
        <v/>
      </c>
      <c r="AJ80" t="str">
        <f>IF(CAPTURA!BO80="","",IFERROR(IF(INDEX(CODIFICACION!$E$2:$E$500,MATCH("D4.15a|"&amp;CAPTURA!BO80,CODIFICACION!$F$2:$F$500,0))="sin dato","",INDEX(CODIFICACION!$E$2:$E$500,MATCH("D4.15a|"&amp;CAPTURA!BO80,CODIFICACION!$F$2:$F$500,0))),"⚠"))</f>
        <v/>
      </c>
      <c r="AK80" t="str">
        <f>IF(CAPTURA!BP80="","",IF(AND(ISNUMBER(CAPTURA!BP80),CAPTURA!BP80&gt;=0,CAPTURA!BP80&lt;=4),CAPTURA!BP80*25,"⚠"))</f>
        <v/>
      </c>
      <c r="AL80" t="str">
        <f>IF(CAPTURA!BQ80="","",IF(AND(ISNUMBER(CAPTURA!BQ80),CAPTURA!BQ80&gt;=0,CAPTURA!BQ80&lt;=4),CAPTURA!BQ80*25,"⚠"))</f>
        <v/>
      </c>
      <c r="AM80" t="str">
        <f>IF(CAPTURA!BR80="","",IFERROR(IF(INDEX(CODIFICACION!$E$2:$E$500,MATCH("D5.18b|"&amp;CAPTURA!BR80,CODIFICACION!$F$2:$F$500,0))="sin dato","",INDEX(CODIFICACION!$E$2:$E$500,MATCH("D5.18b|"&amp;CAPTURA!BR80,CODIFICACION!$F$2:$F$500,0))),"⚠"))</f>
        <v/>
      </c>
      <c r="AN80" t="str">
        <f>IF(CAPTURA!BS80="","",IFERROR(IF(INDEX(CODIFICACION!$E$2:$E$500,MATCH("D5.19|"&amp;CAPTURA!BS80,CODIFICACION!$F$2:$F$500,0))="sin dato","",INDEX(CODIFICACION!$E$2:$E$500,MATCH("D5.19|"&amp;CAPTURA!BS80,CODIFICACION!$F$2:$F$500,0))),"⚠"))</f>
        <v/>
      </c>
      <c r="AO80" t="str">
        <f>IF(CAPTURA!BT80="","",MIN(100,ROUND((LEN(CAPTURA!BT80)-LEN(SUBSTITUTE(CAPTURA!BT80,";",""))+1)/7*100,1)))</f>
        <v/>
      </c>
      <c r="AP80" t="str">
        <f>IF(CAPTURA!BU80="","",IFERROR(IF(INDEX(CODIFICACION!$E$2:$E$500,MATCH("D5.20|"&amp;CAPTURA!BU80,CODIFICACION!$F$2:$F$500,0))="sin dato","",INDEX(CODIFICACION!$E$2:$E$500,MATCH("D5.20|"&amp;CAPTURA!BU80,CODIFICACION!$F$2:$F$500,0))),"⚠"))</f>
        <v/>
      </c>
      <c r="AQ80" t="str">
        <f>IF(CAPTURA!BV80="","",IFERROR(IF(INDEX(CODIFICACION!$E$2:$E$500,MATCH("D5.21|"&amp;CAPTURA!BV80,CODIFICACION!$F$2:$F$500,0))="sin dato","",INDEX(CODIFICACION!$E$2:$E$500,MATCH("D5.21|"&amp;CAPTURA!BV80,CODIFICACION!$F$2:$F$500,0))),"⚠"))</f>
        <v/>
      </c>
      <c r="AR80" t="str">
        <f>IF(CAPTURA!BW80="","",IFERROR(IF(INDEX(CODIFICACION!$E$2:$E$500,MATCH("D5.21a|"&amp;CAPTURA!BW80,CODIFICACION!$F$2:$F$500,0))="sin dato","",INDEX(CODIFICACION!$E$2:$E$500,MATCH("D5.21a|"&amp;CAPTURA!BW80,CODIFICACION!$F$2:$F$500,0))),"⚠"))</f>
        <v/>
      </c>
      <c r="AS80" t="str">
        <f>IF(CAPTURA!BX80="","",IFERROR(IF(INDEX(CODIFICACION!$E$2:$E$500,MATCH("D5.21b|"&amp;CAPTURA!BX80,CODIFICACION!$F$2:$F$500,0))="sin dato","",INDEX(CODIFICACION!$E$2:$E$500,MATCH("D5.21b|"&amp;CAPTURA!BX80,CODIFICACION!$F$2:$F$500,0))),"⚠"))</f>
        <v/>
      </c>
      <c r="AT80" t="str">
        <f>IF(CAPTURA!BY80="","",IFERROR(IF(INDEX(CODIFICACION!$E$2:$E$500,MATCH("D6.22|"&amp;CAPTURA!BY80,CODIFICACION!$F$2:$F$500,0))="sin dato","",INDEX(CODIFICACION!$E$2:$E$500,MATCH("D6.22|"&amp;CAPTURA!BY80,CODIFICACION!$F$2:$F$500,0))),"⚠"))</f>
        <v/>
      </c>
      <c r="AU80" t="str">
        <f>IF(CAPTURA!BZ80="","",IFERROR(IF(INDEX(CODIFICACION!$E$2:$E$500,MATCH("D6.22a|"&amp;CAPTURA!BZ80,CODIFICACION!$F$2:$F$500,0))="sin dato","",INDEX(CODIFICACION!$E$2:$E$500,MATCH("D6.22a|"&amp;CAPTURA!BZ80,CODIFICACION!$F$2:$F$500,0))),"⚠"))</f>
        <v/>
      </c>
      <c r="AV80" t="str">
        <f>IF(CAPTURA!CA80="","",IFERROR(IF(INDEX(CODIFICACION!$E$2:$E$500,MATCH("D6.22b|"&amp;CAPTURA!CA80,CODIFICACION!$F$2:$F$500,0))="sin dato","",INDEX(CODIFICACION!$E$2:$E$500,MATCH("D6.22b|"&amp;CAPTURA!CA80,CODIFICACION!$F$2:$F$500,0))),"⚠"))</f>
        <v/>
      </c>
      <c r="AW80" t="str">
        <f>IF(CAPTURA!CB80="","",IFERROR(IF(INDEX(CODIFICACION!$E$2:$E$500,MATCH("D6.23|"&amp;CAPTURA!CB80,CODIFICACION!$F$2:$F$500,0))="sin dato","",INDEX(CODIFICACION!$E$2:$E$500,MATCH("D6.23|"&amp;CAPTURA!CB80,CODIFICACION!$F$2:$F$500,0))),"⚠"))</f>
        <v/>
      </c>
      <c r="AX80" t="str">
        <f>IF(CAPTURA!CC80="","",IFERROR(IF(INDEX(CODIFICACION!$E$2:$E$500,MATCH("D6.24|"&amp;CAPTURA!CC80,CODIFICACION!$F$2:$F$500,0))="sin dato","",INDEX(CODIFICACION!$E$2:$E$500,MATCH("D6.24|"&amp;CAPTURA!CC80,CODIFICACION!$F$2:$F$500,0))),"⚠"))</f>
        <v/>
      </c>
      <c r="AY80" t="str">
        <f>IF(CAPTURA!CD80="","",IFERROR(IF(INDEX(CODIFICACION!$E$2:$E$500,MATCH("D6.25|"&amp;CAPTURA!CD80,CODIFICACION!$F$2:$F$500,0))="sin dato","",INDEX(CODIFICACION!$E$2:$E$500,MATCH("D6.25|"&amp;CAPTURA!CD80,CODIFICACION!$F$2:$F$500,0))),"⚠"))</f>
        <v/>
      </c>
      <c r="AZ80" t="str">
        <f>IF(CAPTURA!CE80="","",IFERROR(IF(INDEX(CODIFICACION!$E$2:$E$500,MATCH("D6.25a|"&amp;CAPTURA!CE80,CODIFICACION!$F$2:$F$500,0))="sin dato","",INDEX(CODIFICACION!$E$2:$E$500,MATCH("D6.25a|"&amp;CAPTURA!CE80,CODIFICACION!$F$2:$F$500,0))),"⚠"))</f>
        <v/>
      </c>
      <c r="BA80" t="str">
        <f>IF(CAPTURA!CF80="","",IFERROR(IF(INDEX(CODIFICACION!$E$2:$E$500,MATCH("D6.25b|"&amp;CAPTURA!CF80,CODIFICACION!$F$2:$F$500,0))="sin dato","",INDEX(CODIFICACION!$E$2:$E$500,MATCH("D6.25b|"&amp;CAPTURA!CF80,CODIFICACION!$F$2:$F$500,0))),"⚠"))</f>
        <v/>
      </c>
      <c r="BB80" t="str">
        <f>IF(CAPTURA!CG80="","",IFERROR(IF(INDEX(CODIFICACION!$E$2:$E$500,MATCH("D6.22c|"&amp;CAPTURA!CG80,CODIFICACION!$F$2:$F$500,0))="sin dato","",INDEX(CODIFICACION!$E$2:$E$500,MATCH("D6.22c|"&amp;CAPTURA!CG80,CODIFICACION!$F$2:$F$500,0))),"⚠"))</f>
        <v/>
      </c>
      <c r="BC80" t="str">
        <f>IF(CAPTURA!CH80="","",IFERROR(IF(INDEX(CODIFICACION!$E$2:$E$500,MATCH("D7.26|"&amp;CAPTURA!CH80,CODIFICACION!$F$2:$F$500,0))="sin dato","",INDEX(CODIFICACION!$E$2:$E$500,MATCH("D7.26|"&amp;CAPTURA!CH80,CODIFICACION!$F$2:$F$500,0))),"⚠"))</f>
        <v/>
      </c>
      <c r="BD80" t="str">
        <f>IF(CAPTURA!CI80="","",IFERROR(IF(INDEX(CODIFICACION!$E$2:$E$500,MATCH("D7.27|"&amp;CAPTURA!CI80,CODIFICACION!$F$2:$F$500,0))="sin dato","",INDEX(CODIFICACION!$E$2:$E$500,MATCH("D7.27|"&amp;CAPTURA!CI80,CODIFICACION!$F$2:$F$500,0))),"⚠"))</f>
        <v/>
      </c>
      <c r="BE80" t="str">
        <f>IF(CAPTURA!CJ80="","",IFERROR(IF(INDEX(CODIFICACION!$E$2:$E$500,MATCH("D7.28|"&amp;CAPTURA!CJ80,CODIFICACION!$F$2:$F$500,0))="sin dato","",INDEX(CODIFICACION!$E$2:$E$500,MATCH("D7.28|"&amp;CAPTURA!CJ80,CODIFICACION!$F$2:$F$500,0))),"⚠"))</f>
        <v/>
      </c>
      <c r="BF80" t="str">
        <f>IF(CAPTURA!CK80="","",IFERROR(IF(INDEX(CODIFICACION!$E$2:$E$500,MATCH("D7.28b|"&amp;CAPTURA!CK80,CODIFICACION!$F$2:$F$500,0))="sin dato","",INDEX(CODIFICACION!$E$2:$E$500,MATCH("D7.28b|"&amp;CAPTURA!CK80,CODIFICACION!$F$2:$F$500,0))),"⚠"))</f>
        <v/>
      </c>
      <c r="BG80" t="str">
        <f>IF(CAPTURA!CL80="","",MIN(100,ROUND((LEN(CAPTURA!CL80)-LEN(SUBSTITUTE(CAPTURA!CL80,";",""))+1)/8*100,1)))</f>
        <v/>
      </c>
      <c r="BH80" t="str">
        <f>IF(CAPTURA!CM80="","",IFERROR(IF(INDEX(CODIFICACION!$E$2:$E$500,MATCH("D7.26a|"&amp;CAPTURA!CM80,CODIFICACION!$F$2:$F$500,0))="sin dato","",INDEX(CODIFICACION!$E$2:$E$500,MATCH("D7.26a|"&amp;CAPTURA!CM80,CODIFICACION!$F$2:$F$500,0))),"⚠"))</f>
        <v/>
      </c>
      <c r="BI80" t="str">
        <f>IF(CAPTURA!CN80="","",IFERROR(IF(INDEX(CODIFICACION!$E$2:$E$500,MATCH("D7.26b|"&amp;CAPTURA!CN80,CODIFICACION!$F$2:$F$500,0))="sin dato","",INDEX(CODIFICACION!$E$2:$E$500,MATCH("D7.26b|"&amp;CAPTURA!CN80,CODIFICACION!$F$2:$F$500,0))),"⚠"))</f>
        <v/>
      </c>
      <c r="BJ80" t="str">
        <f>IF(CAPTURA!CO80="","",IF(AND(ISNUMBER(CAPTURA!CO80),CAPTURA!CO80&gt;=0,CAPTURA!CO80&lt;=4),CAPTURA!CO80*25,"⚠"))</f>
        <v/>
      </c>
      <c r="BK80" t="str">
        <f>IF(CAPTURA!CP80="","",IF(ISNUMBER(CAPTURA!CP80),MAX(0,MIN(100,CAPTURA!CP80)),"⚠"))</f>
        <v/>
      </c>
      <c r="BL80" t="str">
        <f>IF(CAPTURA!CQ80="","",IFERROR(IF(INDEX(CODIFICACION!$E$2:$E$500,MATCH("D8.31|"&amp;CAPTURA!CQ80,CODIFICACION!$F$2:$F$500,0))="sin dato","",INDEX(CODIFICACION!$E$2:$E$500,MATCH("D8.31|"&amp;CAPTURA!CQ80,CODIFICACION!$F$2:$F$500,0))),"⚠"))</f>
        <v/>
      </c>
      <c r="BM80" t="str">
        <f>IF(CAPTURA!CR80="","",IFERROR(IF(INDEX(CODIFICACION!$E$2:$E$500,MATCH("D8.32|"&amp;CAPTURA!CR80,CODIFICACION!$F$2:$F$500,0))="sin dato","",INDEX(CODIFICACION!$E$2:$E$500,MATCH("D8.32|"&amp;CAPTURA!CR80,CODIFICACION!$F$2:$F$500,0))),"⚠"))</f>
        <v/>
      </c>
      <c r="BN80" t="str">
        <f>IF(CAPTURA!CS80="","",IFERROR(IF(INDEX(CODIFICACION!$E$2:$E$500,MATCH("D9.33|"&amp;CAPTURA!CS80,CODIFICACION!$F$2:$F$500,0))="sin dato","",INDEX(CODIFICACION!$E$2:$E$500,MATCH("D9.33|"&amp;CAPTURA!CS80,CODIFICACION!$F$2:$F$500,0))),"⚠"))</f>
        <v/>
      </c>
      <c r="BO80" t="str">
        <f>IF(CAPTURA!CT80="","",IFERROR(IF(INDEX(CODIFICACION!$E$2:$E$500,MATCH("D9.34|"&amp;CAPTURA!CT80,CODIFICACION!$F$2:$F$500,0))="sin dato","",INDEX(CODIFICACION!$E$2:$E$500,MATCH("D9.34|"&amp;CAPTURA!CT80,CODIFICACION!$F$2:$F$500,0))),"⚠"))</f>
        <v/>
      </c>
      <c r="BP80" t="str">
        <f>IF(CAPTURA!CU80="","",IFERROR(IF(INDEX(CODIFICACION!$E$2:$E$500,MATCH("D9.35|"&amp;CAPTURA!CU80,CODIFICACION!$F$2:$F$500,0))="sin dato","",INDEX(CODIFICACION!$E$2:$E$500,MATCH("D9.35|"&amp;CAPTURA!CU80,CODIFICACION!$F$2:$F$500,0))),"⚠"))</f>
        <v/>
      </c>
      <c r="BQ80" t="str">
        <f>IF(CAPTURA!CV80="","",IFERROR(IF(INDEX(CODIFICACION!$E$2:$E$500,MATCH("D10.36|"&amp;CAPTURA!CV80,CODIFICACION!$F$2:$F$500,0))="sin dato","",INDEX(CODIFICACION!$E$2:$E$500,MATCH("D10.36|"&amp;CAPTURA!CV80,CODIFICACION!$F$2:$F$500,0))),"⚠"))</f>
        <v/>
      </c>
      <c r="BR80" t="str">
        <f>IF(CAPTURA!CW80="","",IFERROR(IF(INDEX(CODIFICACION!$E$2:$E$500,MATCH("D10.37|"&amp;CAPTURA!CW80,CODIFICACION!$F$2:$F$500,0))="sin dato","",INDEX(CODIFICACION!$E$2:$E$500,MATCH("D10.37|"&amp;CAPTURA!CW80,CODIFICACION!$F$2:$F$500,0))),"⚠"))</f>
        <v/>
      </c>
      <c r="BS80" t="str">
        <f>IF(CAPTURA!CX80="","",IFERROR(IF(INDEX(CODIFICACION!$E$2:$E$500,MATCH("D10.36a|"&amp;CAPTURA!CX80,CODIFICACION!$F$2:$F$500,0))="sin dato","",INDEX(CODIFICACION!$E$2:$E$500,MATCH("D10.36a|"&amp;CAPTURA!CX80,CODIFICACION!$F$2:$F$500,0))),"⚠"))</f>
        <v/>
      </c>
      <c r="BT80" t="str">
        <f>IF(CAPTURA!CY80="","",IF(ISNUMBER(SEARCH("Ninguno",CAPTURA!CY80)),0,MIN(100,ROUND((LEN(CAPTURA!CY80)-LEN(SUBSTITUTE(CAPTURA!CY80,";",""))+1)/6*100,1))))</f>
        <v/>
      </c>
      <c r="BU80" t="str">
        <f>IF(CAPTURA!DA80="","",IFERROR(IF(INDEX(CODIFICACION!$E$2:$E$500,MATCH("D11.39a|"&amp;CAPTURA!DA80,CODIFICACION!$F$2:$F$500,0))="sin dato","",INDEX(CODIFICACION!$E$2:$E$500,MATCH("D11.39a|"&amp;CAPTURA!DA80,CODIFICACION!$F$2:$F$500,0))),"⚠"))</f>
        <v/>
      </c>
      <c r="BV80" t="str">
        <f>IF(CAPTURA!DB80="","",IFERROR(IF(INDEX(CODIFICACION!$E$2:$E$500,MATCH("D12.42|"&amp;CAPTURA!DB80,CODIFICACION!$F$2:$F$500,0))="sin dato","",INDEX(CODIFICACION!$E$2:$E$500,MATCH("D12.42|"&amp;CAPTURA!DB80,CODIFICACION!$F$2:$F$500,0))),"⚠"))</f>
        <v/>
      </c>
      <c r="BW80" t="str">
        <f>IF(CAPTURA!DC80="","",IFERROR(IF(INDEX(CODIFICACION!$E$2:$E$500,MATCH("D13.45|"&amp;CAPTURA!DC80,CODIFICACION!$F$2:$F$500,0))="sin dato","",INDEX(CODIFICACION!$E$2:$E$500,MATCH("D13.45|"&amp;CAPTURA!DC80,CODIFICACION!$F$2:$F$500,0))),"⚠"))</f>
        <v/>
      </c>
      <c r="BX80" t="str">
        <f>IF(CAPTURA!DD80="","",IFERROR(IF(INDEX(CODIFICACION!$E$2:$E$500,MATCH("D14.51|"&amp;CAPTURA!DD80,CODIFICACION!$F$2:$F$500,0))="sin dato","",INDEX(CODIFICACION!$E$2:$E$500,MATCH("D14.51|"&amp;CAPTURA!DD80,CODIFICACION!$F$2:$F$500,0))),"⚠"))</f>
        <v/>
      </c>
      <c r="BY80" t="str">
        <f>IF(CAPTURA!DE80="","",IFERROR(IF(INDEX(CODIFICACION!$E$2:$E$500,MATCH("D15.58|"&amp;CAPTURA!DE80,CODIFICACION!$F$2:$F$500,0))="sin dato","",INDEX(CODIFICACION!$E$2:$E$500,MATCH("D15.58|"&amp;CAPTURA!DE80,CODIFICACION!$F$2:$F$500,0))),"⚠"))</f>
        <v/>
      </c>
      <c r="BZ80" t="str">
        <f>IF(CAPTURA!DF80="","",IFERROR(IF(INDEX(CODIFICACION!$E$2:$E$500,MATCH("PP1|"&amp;CAPTURA!DF80,CODIFICACION!$F$2:$F$500,0))="sin dato","",INDEX(CODIFICACION!$E$2:$E$500,MATCH("PP1|"&amp;CAPTURA!DF80,CODIFICACION!$F$2:$F$500,0))),"⚠"))</f>
        <v/>
      </c>
      <c r="CA80" t="str">
        <f>IF(CAPTURA!DG80="","",IFERROR(IF(INDEX(CODIFICACION!$E$2:$E$500,MATCH("PP2|"&amp;CAPTURA!DG80,CODIFICACION!$F$2:$F$500,0))="sin dato","",INDEX(CODIFICACION!$E$2:$E$500,MATCH("PP2|"&amp;CAPTURA!DG80,CODIFICACION!$F$2:$F$500,0))),"⚠"))</f>
        <v/>
      </c>
      <c r="CB80" t="str">
        <f t="shared" si="22"/>
        <v/>
      </c>
      <c r="CC80" t="str">
        <f t="shared" si="23"/>
        <v/>
      </c>
      <c r="CD80" t="str">
        <f t="shared" si="24"/>
        <v/>
      </c>
      <c r="CE80" t="str">
        <f t="shared" si="25"/>
        <v/>
      </c>
      <c r="CF80" t="str">
        <f t="shared" si="26"/>
        <v/>
      </c>
      <c r="CG80" t="str">
        <f t="shared" si="27"/>
        <v/>
      </c>
      <c r="CH80" t="str">
        <f t="shared" si="28"/>
        <v/>
      </c>
      <c r="CI80" t="str">
        <f t="shared" si="29"/>
        <v/>
      </c>
      <c r="CJ80" t="str">
        <f t="shared" si="30"/>
        <v/>
      </c>
      <c r="CK80" t="str">
        <f t="shared" si="31"/>
        <v/>
      </c>
      <c r="CL80" t="str">
        <f t="shared" si="32"/>
        <v/>
      </c>
    </row>
    <row r="81" spans="1:90" x14ac:dyDescent="0.3">
      <c r="A81">
        <f>CAPTURA!A81</f>
        <v>20564032485</v>
      </c>
      <c r="B81">
        <f>CAPTURA!C81</f>
        <v>0</v>
      </c>
      <c r="C81" t="str">
        <f>IF(CAPTURA!M81="","",ROUND((ISNUMBER(SEARCH("Alemania",CAPTURA!M81))+ISNUMBER(SEARCH("Bélgica",CAPTURA!M81))+ISNUMBER(SEARCH("Países Bajos",CAPTURA!M81))+ISNUMBER(SEARCH("Francia",CAPTURA!M81))+ISNUMBER(SEARCH("Italia",CAPTURA!M81))+ISNUMBER(SEARCH("España",CAPTURA!M81))+ISNUMBER(SEARCH("Suecia",CAPTURA!M81))+ISNUMBER(SEARCH("Dinamarca",CAPTURA!M81)))/((LEN(CAPTURA!M81)-LEN(SUBSTITUTE(CAPTURA!M81,";","")))+1)*100,1))</f>
        <v/>
      </c>
      <c r="D81" t="str">
        <f>IF(CAPTURA!AE81="","",IFERROR(IF(INDEX(CODIFICACION!$E$2:$E$500,MATCH("P8|"&amp;CAPTURA!AE81,CODIFICACION!$F$2:$F$500,0))="sin dato","",INDEX(CODIFICACION!$E$2:$E$500,MATCH("P8|"&amp;CAPTURA!AE81,CODIFICACION!$F$2:$F$500,0))),"⚠"))</f>
        <v/>
      </c>
      <c r="E81" t="str">
        <f>IF(CAPTURA!AG81="","",IFERROR(IF(INDEX(CODIFICACION!$E$2:$E$500,MATCH("P10|"&amp;CAPTURA!AG81,CODIFICACION!$F$2:$F$500,0))="sin dato","",INDEX(CODIFICACION!$E$2:$E$500,MATCH("P10|"&amp;CAPTURA!AG81,CODIFICACION!$F$2:$F$500,0))),"⚠"))</f>
        <v/>
      </c>
      <c r="F81" t="str">
        <f>IF(CAPTURA!AJ81="","",IFERROR(IF(INDEX(CODIFICACION!$E$2:$E$500,MATCH("P13|"&amp;CAPTURA!AJ81,CODIFICACION!$F$2:$F$500,0))="sin dato","",INDEX(CODIFICACION!$E$2:$E$500,MATCH("P13|"&amp;CAPTURA!AJ81,CODIFICACION!$F$2:$F$500,0))),"⚠"))</f>
        <v/>
      </c>
      <c r="G81" t="str">
        <f>IF(CAPTURA!AK81="","",IFERROR(IF(INDEX(CODIFICACION!$E$2:$E$500,MATCH("P14|"&amp;CAPTURA!AK81,CODIFICACION!$F$2:$F$500,0))="sin dato","",INDEX(CODIFICACION!$E$2:$E$500,MATCH("P14|"&amp;CAPTURA!AK81,CODIFICACION!$F$2:$F$500,0))),"⚠"))</f>
        <v/>
      </c>
      <c r="H81" t="str">
        <f>IF(CAPTURA!AL81="","",IFERROR(IF(INDEX(CODIFICACION!$E$2:$E$500,MATCH("D1.1|"&amp;CAPTURA!AL81,CODIFICACION!$F$2:$F$500,0))="sin dato","",INDEX(CODIFICACION!$E$2:$E$500,MATCH("D1.1|"&amp;CAPTURA!AL81,CODIFICACION!$F$2:$F$500,0))),"⚠"))</f>
        <v/>
      </c>
      <c r="I81" t="str">
        <f>IF(CAPTURA!AN81="","",IFERROR(IF(INDEX(CODIFICACION!$E$2:$E$500,MATCH("D1.3|"&amp;CAPTURA!AN81,CODIFICACION!$F$2:$F$500,0))="sin dato","",INDEX(CODIFICACION!$E$2:$E$500,MATCH("D1.3|"&amp;CAPTURA!AN81,CODIFICACION!$F$2:$F$500,0))),"⚠"))</f>
        <v/>
      </c>
      <c r="J81" t="str">
        <f>IF(CAPTURA!AO81="","",IFERROR(IF(INDEX(CODIFICACION!$E$2:$E$500,MATCH("D1.4|"&amp;CAPTURA!AO81,CODIFICACION!$F$2:$F$500,0))="sin dato","",INDEX(CODIFICACION!$E$2:$E$500,MATCH("D1.4|"&amp;CAPTURA!AO81,CODIFICACION!$F$2:$F$500,0))),"⚠"))</f>
        <v/>
      </c>
      <c r="K81" t="str">
        <f>IF(CAPTURA!AP81="","",IFERROR(IF(INDEX(CODIFICACION!$E$2:$E$500,MATCH("D1.3a|"&amp;CAPTURA!AP81,CODIFICACION!$F$2:$F$500,0))="sin dato","",INDEX(CODIFICACION!$E$2:$E$500,MATCH("D1.3a|"&amp;CAPTURA!AP81,CODIFICACION!$F$2:$F$500,0))),"⚠"))</f>
        <v/>
      </c>
      <c r="L81" t="str">
        <f>IF(CAPTURA!AQ81="","",IF(AND(ISNUMBER(CAPTURA!AQ81),CAPTURA!AQ81&gt;=0,CAPTURA!AQ81&lt;=4),CAPTURA!AQ81*25,"⚠"))</f>
        <v/>
      </c>
      <c r="M81" t="str">
        <f>IF(CAPTURA!AR81="","",IF(ISNUMBER(CAPTURA!AR81),MAX(0,MIN(100,CAPTURA!AR81)),"⚠"))</f>
        <v/>
      </c>
      <c r="N81" t="str">
        <f>IF(CAPTURA!AS81="","",IF(AND(ISNUMBER(CAPTURA!AS81),CAPTURA!AS81&gt;=0,CAPTURA!AS81&lt;=4),CAPTURA!AS81*25,"⚠"))</f>
        <v/>
      </c>
      <c r="O81" t="str">
        <f>IF(CAPTURA!AT81="","",IFERROR(IF(INDEX(CODIFICACION!$E$2:$E$500,MATCH("D2.8|"&amp;CAPTURA!AT81,CODIFICACION!$F$2:$F$500,0))="sin dato","",INDEX(CODIFICACION!$E$2:$E$500,MATCH("D2.8|"&amp;CAPTURA!AT81,CODIFICACION!$F$2:$F$500,0))),"⚠"))</f>
        <v/>
      </c>
      <c r="P81" t="str">
        <f>IF(CAPTURA!AU81="","",IFERROR(IF(INDEX(CODIFICACION!$E$2:$E$500,MATCH("D2.9|"&amp;CAPTURA!AU81,CODIFICACION!$F$2:$F$500,0))="sin dato","",INDEX(CODIFICACION!$E$2:$E$500,MATCH("D2.9|"&amp;CAPTURA!AU81,CODIFICACION!$F$2:$F$500,0))),"⚠"))</f>
        <v/>
      </c>
      <c r="Q81" t="str">
        <f>IF(CAPTURA!AV81="","",IFERROR(IF(INDEX(CODIFICACION!$E$2:$E$500,MATCH("D2.10|"&amp;CAPTURA!AV81,CODIFICACION!$F$2:$F$500,0))="sin dato","",INDEX(CODIFICACION!$E$2:$E$500,MATCH("D2.10|"&amp;CAPTURA!AV81,CODIFICACION!$F$2:$F$500,0))),"⚠"))</f>
        <v/>
      </c>
      <c r="R81" t="str">
        <f>IF(CAPTURA!AW81="","",IFERROR(IF(INDEX(CODIFICACION!$E$2:$E$500,MATCH("D2.5a|"&amp;CAPTURA!AW81,CODIFICACION!$F$2:$F$500,0))="sin dato","",INDEX(CODIFICACION!$E$2:$E$500,MATCH("D2.5a|"&amp;CAPTURA!AW81,CODIFICACION!$F$2:$F$500,0))),"⚠"))</f>
        <v/>
      </c>
      <c r="S81" t="str">
        <f>IF(CAPTURA!AX81="","",IFERROR(IF(INDEX(CODIFICACION!$E$2:$E$500,MATCH("D2.5b|"&amp;CAPTURA!AX81,CODIFICACION!$F$2:$F$500,0))="sin dato","",INDEX(CODIFICACION!$E$2:$E$500,MATCH("D2.5b|"&amp;CAPTURA!AX81,CODIFICACION!$F$2:$F$500,0))),"⚠"))</f>
        <v/>
      </c>
      <c r="T81" t="str">
        <f>IF(CAPTURA!AY81="","",IF(ISNUMBER(CAPTURA!AY81),MAX(0,MIN(100,CAPTURA!AY81)),"⚠"))</f>
        <v/>
      </c>
      <c r="U81" t="str">
        <f>IF(CAPTURA!AZ81="","",IFERROR(IF(INDEX(CODIFICACION!$E$2:$E$500,MATCH("D3.12|"&amp;CAPTURA!AZ81,CODIFICACION!$F$2:$F$500,0))="sin dato","",INDEX(CODIFICACION!$E$2:$E$500,MATCH("D3.12|"&amp;CAPTURA!AZ81,CODIFICACION!$F$2:$F$500,0))),"⚠"))</f>
        <v/>
      </c>
      <c r="V81" t="str">
        <f>IF(CAPTURA!BA81="","",IF(AND(ISNUMBER(CAPTURA!BA81),CAPTURA!BA81&gt;=0,CAPTURA!BA81&lt;=4),CAPTURA!BA81*25,"⚠"))</f>
        <v/>
      </c>
      <c r="W81" t="str">
        <f>IF(CAPTURA!BB81="","",IFERROR(IF(INDEX(CODIFICACION!$E$2:$E$500,MATCH("D3.14|"&amp;CAPTURA!BB81,CODIFICACION!$F$2:$F$500,0))="sin dato","",INDEX(CODIFICACION!$E$2:$E$500,MATCH("D3.14|"&amp;CAPTURA!BB81,CODIFICACION!$F$2:$F$500,0))),"⚠"))</f>
        <v/>
      </c>
      <c r="X81" t="str">
        <f>IF(CAPTURA!BC81="","",IFERROR(IF(INDEX(CODIFICACION!$E$2:$E$500,MATCH("D3.14a|"&amp;CAPTURA!BC81,CODIFICACION!$F$2:$F$500,0))="sin dato","",INDEX(CODIFICACION!$E$2:$E$500,MATCH("D3.14a|"&amp;CAPTURA!BC81,CODIFICACION!$F$2:$F$500,0))),"⚠"))</f>
        <v/>
      </c>
      <c r="Y81" t="str">
        <f>IF(CAPTURA!BD81="","",IFERROR(IF(INDEX(CODIFICACION!$E$2:$E$500,MATCH("D3.14b|"&amp;CAPTURA!BD81,CODIFICACION!$F$2:$F$500,0))="sin dato","",INDEX(CODIFICACION!$E$2:$E$500,MATCH("D3.14b|"&amp;CAPTURA!BD81,CODIFICACION!$F$2:$F$500,0))),"⚠"))</f>
        <v/>
      </c>
      <c r="Z81" t="str">
        <f>IF(CAPTURA!BE81="","",IFERROR(IF(INDEX(CODIFICACION!$E$2:$E$500,MATCH("D3.14c|"&amp;CAPTURA!BE81,CODIFICACION!$F$2:$F$500,0))="sin dato","",INDEX(CODIFICACION!$E$2:$E$500,MATCH("D3.14c|"&amp;CAPTURA!BE81,CODIFICACION!$F$2:$F$500,0))),"⚠"))</f>
        <v/>
      </c>
      <c r="AA81" t="str">
        <f>IF(CAPTURA!BF81="","",IFERROR(IF(INDEX(CODIFICACION!$E$2:$E$500,MATCH("D3.14d|"&amp;CAPTURA!BF81,CODIFICACION!$F$2:$F$500,0))="sin dato","",INDEX(CODIFICACION!$E$2:$E$500,MATCH("D3.14d|"&amp;CAPTURA!BF81,CODIFICACION!$F$2:$F$500,0))),"⚠"))</f>
        <v/>
      </c>
      <c r="AB81" t="str">
        <f>IF(CAPTURA!BG81="","",IFERROR(IF(INDEX(CODIFICACION!$E$2:$E$500,MATCH("D3.14e|"&amp;CAPTURA!BG81,CODIFICACION!$F$2:$F$500,0))="sin dato","",INDEX(CODIFICACION!$E$2:$E$500,MATCH("D3.14e|"&amp;CAPTURA!BG81,CODIFICACION!$F$2:$F$500,0))),"⚠"))</f>
        <v/>
      </c>
      <c r="AC81" t="str">
        <f>IF(CAPTURA!BH81="","",IFERROR(IF(INDEX(CODIFICACION!$E$2:$E$500,MATCH("D3.14f|"&amp;CAPTURA!BH81,CODIFICACION!$F$2:$F$500,0))="sin dato","",INDEX(CODIFICACION!$E$2:$E$500,MATCH("D3.14f|"&amp;CAPTURA!BH81,CODIFICACION!$F$2:$F$500,0))),"⚠"))</f>
        <v/>
      </c>
      <c r="AD81" t="str">
        <f>IF(CAPTURA!BI81="","",IFERROR(IF(INDEX(CODIFICACION!$E$2:$E$500,MATCH("D3.14g|"&amp;CAPTURA!BI81,CODIFICACION!$F$2:$F$500,0))="sin dato","",INDEX(CODIFICACION!$E$2:$E$500,MATCH("D3.14g|"&amp;CAPTURA!BI81,CODIFICACION!$F$2:$F$500,0))),"⚠"))</f>
        <v/>
      </c>
      <c r="AE81" t="str">
        <f>IF(CAPTURA!BJ81="","",IFERROR(IF(INDEX(CODIFICACION!$E$2:$E$500,MATCH("D3.14h|"&amp;CAPTURA!BJ81,CODIFICACION!$F$2:$F$500,0))="sin dato","",INDEX(CODIFICACION!$E$2:$E$500,MATCH("D3.14h|"&amp;CAPTURA!BJ81,CODIFICACION!$F$2:$F$500,0))),"⚠"))</f>
        <v/>
      </c>
      <c r="AF81" t="str">
        <f>IF(CAPTURA!BK81="","",IFERROR(IF(INDEX(CODIFICACION!$E$2:$E$500,MATCH("D3.14i|"&amp;CAPTURA!BK81,CODIFICACION!$F$2:$F$500,0))="sin dato","",INDEX(CODIFICACION!$E$2:$E$500,MATCH("D3.14i|"&amp;CAPTURA!BK81,CODIFICACION!$F$2:$F$500,0))),"⚠"))</f>
        <v/>
      </c>
      <c r="AG81" t="str">
        <f>IF(CAPTURA!BL81="","",IFERROR(IF(INDEX(CODIFICACION!$E$2:$E$500,MATCH("D4.15|"&amp;CAPTURA!BL81,CODIFICACION!$F$2:$F$500,0))="sin dato","",INDEX(CODIFICACION!$E$2:$E$500,MATCH("D4.15|"&amp;CAPTURA!BL81,CODIFICACION!$F$2:$F$500,0))),"⚠"))</f>
        <v/>
      </c>
      <c r="AH81" t="str">
        <f>IF(CAPTURA!BM81="","",IF(AND(ISNUMBER(CAPTURA!BM81),CAPTURA!BM81&gt;=0,CAPTURA!BM81&lt;=4),CAPTURA!BM81*25,"⚠"))</f>
        <v/>
      </c>
      <c r="AI81" t="str">
        <f>IF(CAPTURA!BN81="","",IFERROR(IF(INDEX(CODIFICACION!$E$2:$E$500,MATCH("D4.17|"&amp;CAPTURA!BN81,CODIFICACION!$F$2:$F$500,0))="sin dato","",INDEX(CODIFICACION!$E$2:$E$500,MATCH("D4.17|"&amp;CAPTURA!BN81,CODIFICACION!$F$2:$F$500,0))),"⚠"))</f>
        <v/>
      </c>
      <c r="AJ81" t="str">
        <f>IF(CAPTURA!BO81="","",IFERROR(IF(INDEX(CODIFICACION!$E$2:$E$500,MATCH("D4.15a|"&amp;CAPTURA!BO81,CODIFICACION!$F$2:$F$500,0))="sin dato","",INDEX(CODIFICACION!$E$2:$E$500,MATCH("D4.15a|"&amp;CAPTURA!BO81,CODIFICACION!$F$2:$F$500,0))),"⚠"))</f>
        <v/>
      </c>
      <c r="AK81" t="str">
        <f>IF(CAPTURA!BP81="","",IF(AND(ISNUMBER(CAPTURA!BP81),CAPTURA!BP81&gt;=0,CAPTURA!BP81&lt;=4),CAPTURA!BP81*25,"⚠"))</f>
        <v/>
      </c>
      <c r="AL81" t="str">
        <f>IF(CAPTURA!BQ81="","",IF(AND(ISNUMBER(CAPTURA!BQ81),CAPTURA!BQ81&gt;=0,CAPTURA!BQ81&lt;=4),CAPTURA!BQ81*25,"⚠"))</f>
        <v/>
      </c>
      <c r="AM81" t="str">
        <f>IF(CAPTURA!BR81="","",IFERROR(IF(INDEX(CODIFICACION!$E$2:$E$500,MATCH("D5.18b|"&amp;CAPTURA!BR81,CODIFICACION!$F$2:$F$500,0))="sin dato","",INDEX(CODIFICACION!$E$2:$E$500,MATCH("D5.18b|"&amp;CAPTURA!BR81,CODIFICACION!$F$2:$F$500,0))),"⚠"))</f>
        <v/>
      </c>
      <c r="AN81" t="str">
        <f>IF(CAPTURA!BS81="","",IFERROR(IF(INDEX(CODIFICACION!$E$2:$E$500,MATCH("D5.19|"&amp;CAPTURA!BS81,CODIFICACION!$F$2:$F$500,0))="sin dato","",INDEX(CODIFICACION!$E$2:$E$500,MATCH("D5.19|"&amp;CAPTURA!BS81,CODIFICACION!$F$2:$F$500,0))),"⚠"))</f>
        <v/>
      </c>
      <c r="AO81" t="str">
        <f>IF(CAPTURA!BT81="","",MIN(100,ROUND((LEN(CAPTURA!BT81)-LEN(SUBSTITUTE(CAPTURA!BT81,";",""))+1)/7*100,1)))</f>
        <v/>
      </c>
      <c r="AP81" t="str">
        <f>IF(CAPTURA!BU81="","",IFERROR(IF(INDEX(CODIFICACION!$E$2:$E$500,MATCH("D5.20|"&amp;CAPTURA!BU81,CODIFICACION!$F$2:$F$500,0))="sin dato","",INDEX(CODIFICACION!$E$2:$E$500,MATCH("D5.20|"&amp;CAPTURA!BU81,CODIFICACION!$F$2:$F$500,0))),"⚠"))</f>
        <v/>
      </c>
      <c r="AQ81" t="str">
        <f>IF(CAPTURA!BV81="","",IFERROR(IF(INDEX(CODIFICACION!$E$2:$E$500,MATCH("D5.21|"&amp;CAPTURA!BV81,CODIFICACION!$F$2:$F$500,0))="sin dato","",INDEX(CODIFICACION!$E$2:$E$500,MATCH("D5.21|"&amp;CAPTURA!BV81,CODIFICACION!$F$2:$F$500,0))),"⚠"))</f>
        <v/>
      </c>
      <c r="AR81" t="str">
        <f>IF(CAPTURA!BW81="","",IFERROR(IF(INDEX(CODIFICACION!$E$2:$E$500,MATCH("D5.21a|"&amp;CAPTURA!BW81,CODIFICACION!$F$2:$F$500,0))="sin dato","",INDEX(CODIFICACION!$E$2:$E$500,MATCH("D5.21a|"&amp;CAPTURA!BW81,CODIFICACION!$F$2:$F$500,0))),"⚠"))</f>
        <v/>
      </c>
      <c r="AS81" t="str">
        <f>IF(CAPTURA!BX81="","",IFERROR(IF(INDEX(CODIFICACION!$E$2:$E$500,MATCH("D5.21b|"&amp;CAPTURA!BX81,CODIFICACION!$F$2:$F$500,0))="sin dato","",INDEX(CODIFICACION!$E$2:$E$500,MATCH("D5.21b|"&amp;CAPTURA!BX81,CODIFICACION!$F$2:$F$500,0))),"⚠"))</f>
        <v/>
      </c>
      <c r="AT81" t="str">
        <f>IF(CAPTURA!BY81="","",IFERROR(IF(INDEX(CODIFICACION!$E$2:$E$500,MATCH("D6.22|"&amp;CAPTURA!BY81,CODIFICACION!$F$2:$F$500,0))="sin dato","",INDEX(CODIFICACION!$E$2:$E$500,MATCH("D6.22|"&amp;CAPTURA!BY81,CODIFICACION!$F$2:$F$500,0))),"⚠"))</f>
        <v/>
      </c>
      <c r="AU81" t="str">
        <f>IF(CAPTURA!BZ81="","",IFERROR(IF(INDEX(CODIFICACION!$E$2:$E$500,MATCH("D6.22a|"&amp;CAPTURA!BZ81,CODIFICACION!$F$2:$F$500,0))="sin dato","",INDEX(CODIFICACION!$E$2:$E$500,MATCH("D6.22a|"&amp;CAPTURA!BZ81,CODIFICACION!$F$2:$F$500,0))),"⚠"))</f>
        <v/>
      </c>
      <c r="AV81" t="str">
        <f>IF(CAPTURA!CA81="","",IFERROR(IF(INDEX(CODIFICACION!$E$2:$E$500,MATCH("D6.22b|"&amp;CAPTURA!CA81,CODIFICACION!$F$2:$F$500,0))="sin dato","",INDEX(CODIFICACION!$E$2:$E$500,MATCH("D6.22b|"&amp;CAPTURA!CA81,CODIFICACION!$F$2:$F$500,0))),"⚠"))</f>
        <v/>
      </c>
      <c r="AW81" t="str">
        <f>IF(CAPTURA!CB81="","",IFERROR(IF(INDEX(CODIFICACION!$E$2:$E$500,MATCH("D6.23|"&amp;CAPTURA!CB81,CODIFICACION!$F$2:$F$500,0))="sin dato","",INDEX(CODIFICACION!$E$2:$E$500,MATCH("D6.23|"&amp;CAPTURA!CB81,CODIFICACION!$F$2:$F$500,0))),"⚠"))</f>
        <v/>
      </c>
      <c r="AX81" t="str">
        <f>IF(CAPTURA!CC81="","",IFERROR(IF(INDEX(CODIFICACION!$E$2:$E$500,MATCH("D6.24|"&amp;CAPTURA!CC81,CODIFICACION!$F$2:$F$500,0))="sin dato","",INDEX(CODIFICACION!$E$2:$E$500,MATCH("D6.24|"&amp;CAPTURA!CC81,CODIFICACION!$F$2:$F$500,0))),"⚠"))</f>
        <v/>
      </c>
      <c r="AY81" t="str">
        <f>IF(CAPTURA!CD81="","",IFERROR(IF(INDEX(CODIFICACION!$E$2:$E$500,MATCH("D6.25|"&amp;CAPTURA!CD81,CODIFICACION!$F$2:$F$500,0))="sin dato","",INDEX(CODIFICACION!$E$2:$E$500,MATCH("D6.25|"&amp;CAPTURA!CD81,CODIFICACION!$F$2:$F$500,0))),"⚠"))</f>
        <v/>
      </c>
      <c r="AZ81" t="str">
        <f>IF(CAPTURA!CE81="","",IFERROR(IF(INDEX(CODIFICACION!$E$2:$E$500,MATCH("D6.25a|"&amp;CAPTURA!CE81,CODIFICACION!$F$2:$F$500,0))="sin dato","",INDEX(CODIFICACION!$E$2:$E$500,MATCH("D6.25a|"&amp;CAPTURA!CE81,CODIFICACION!$F$2:$F$500,0))),"⚠"))</f>
        <v/>
      </c>
      <c r="BA81" t="str">
        <f>IF(CAPTURA!CF81="","",IFERROR(IF(INDEX(CODIFICACION!$E$2:$E$500,MATCH("D6.25b|"&amp;CAPTURA!CF81,CODIFICACION!$F$2:$F$500,0))="sin dato","",INDEX(CODIFICACION!$E$2:$E$500,MATCH("D6.25b|"&amp;CAPTURA!CF81,CODIFICACION!$F$2:$F$500,0))),"⚠"))</f>
        <v/>
      </c>
      <c r="BB81" t="str">
        <f>IF(CAPTURA!CG81="","",IFERROR(IF(INDEX(CODIFICACION!$E$2:$E$500,MATCH("D6.22c|"&amp;CAPTURA!CG81,CODIFICACION!$F$2:$F$500,0))="sin dato","",INDEX(CODIFICACION!$E$2:$E$500,MATCH("D6.22c|"&amp;CAPTURA!CG81,CODIFICACION!$F$2:$F$500,0))),"⚠"))</f>
        <v/>
      </c>
      <c r="BC81" t="str">
        <f>IF(CAPTURA!CH81="","",IFERROR(IF(INDEX(CODIFICACION!$E$2:$E$500,MATCH("D7.26|"&amp;CAPTURA!CH81,CODIFICACION!$F$2:$F$500,0))="sin dato","",INDEX(CODIFICACION!$E$2:$E$500,MATCH("D7.26|"&amp;CAPTURA!CH81,CODIFICACION!$F$2:$F$500,0))),"⚠"))</f>
        <v/>
      </c>
      <c r="BD81" t="str">
        <f>IF(CAPTURA!CI81="","",IFERROR(IF(INDEX(CODIFICACION!$E$2:$E$500,MATCH("D7.27|"&amp;CAPTURA!CI81,CODIFICACION!$F$2:$F$500,0))="sin dato","",INDEX(CODIFICACION!$E$2:$E$500,MATCH("D7.27|"&amp;CAPTURA!CI81,CODIFICACION!$F$2:$F$500,0))),"⚠"))</f>
        <v/>
      </c>
      <c r="BE81" t="str">
        <f>IF(CAPTURA!CJ81="","",IFERROR(IF(INDEX(CODIFICACION!$E$2:$E$500,MATCH("D7.28|"&amp;CAPTURA!CJ81,CODIFICACION!$F$2:$F$500,0))="sin dato","",INDEX(CODIFICACION!$E$2:$E$500,MATCH("D7.28|"&amp;CAPTURA!CJ81,CODIFICACION!$F$2:$F$500,0))),"⚠"))</f>
        <v/>
      </c>
      <c r="BF81" t="str">
        <f>IF(CAPTURA!CK81="","",IFERROR(IF(INDEX(CODIFICACION!$E$2:$E$500,MATCH("D7.28b|"&amp;CAPTURA!CK81,CODIFICACION!$F$2:$F$500,0))="sin dato","",INDEX(CODIFICACION!$E$2:$E$500,MATCH("D7.28b|"&amp;CAPTURA!CK81,CODIFICACION!$F$2:$F$500,0))),"⚠"))</f>
        <v/>
      </c>
      <c r="BG81" t="str">
        <f>IF(CAPTURA!CL81="","",MIN(100,ROUND((LEN(CAPTURA!CL81)-LEN(SUBSTITUTE(CAPTURA!CL81,";",""))+1)/8*100,1)))</f>
        <v/>
      </c>
      <c r="BH81" t="str">
        <f>IF(CAPTURA!CM81="","",IFERROR(IF(INDEX(CODIFICACION!$E$2:$E$500,MATCH("D7.26a|"&amp;CAPTURA!CM81,CODIFICACION!$F$2:$F$500,0))="sin dato","",INDEX(CODIFICACION!$E$2:$E$500,MATCH("D7.26a|"&amp;CAPTURA!CM81,CODIFICACION!$F$2:$F$500,0))),"⚠"))</f>
        <v/>
      </c>
      <c r="BI81" t="str">
        <f>IF(CAPTURA!CN81="","",IFERROR(IF(INDEX(CODIFICACION!$E$2:$E$500,MATCH("D7.26b|"&amp;CAPTURA!CN81,CODIFICACION!$F$2:$F$500,0))="sin dato","",INDEX(CODIFICACION!$E$2:$E$500,MATCH("D7.26b|"&amp;CAPTURA!CN81,CODIFICACION!$F$2:$F$500,0))),"⚠"))</f>
        <v/>
      </c>
      <c r="BJ81" t="str">
        <f>IF(CAPTURA!CO81="","",IF(AND(ISNUMBER(CAPTURA!CO81),CAPTURA!CO81&gt;=0,CAPTURA!CO81&lt;=4),CAPTURA!CO81*25,"⚠"))</f>
        <v/>
      </c>
      <c r="BK81" t="str">
        <f>IF(CAPTURA!CP81="","",IF(ISNUMBER(CAPTURA!CP81),MAX(0,MIN(100,CAPTURA!CP81)),"⚠"))</f>
        <v/>
      </c>
      <c r="BL81" t="str">
        <f>IF(CAPTURA!CQ81="","",IFERROR(IF(INDEX(CODIFICACION!$E$2:$E$500,MATCH("D8.31|"&amp;CAPTURA!CQ81,CODIFICACION!$F$2:$F$500,0))="sin dato","",INDEX(CODIFICACION!$E$2:$E$500,MATCH("D8.31|"&amp;CAPTURA!CQ81,CODIFICACION!$F$2:$F$500,0))),"⚠"))</f>
        <v/>
      </c>
      <c r="BM81" t="str">
        <f>IF(CAPTURA!CR81="","",IFERROR(IF(INDEX(CODIFICACION!$E$2:$E$500,MATCH("D8.32|"&amp;CAPTURA!CR81,CODIFICACION!$F$2:$F$500,0))="sin dato","",INDEX(CODIFICACION!$E$2:$E$500,MATCH("D8.32|"&amp;CAPTURA!CR81,CODIFICACION!$F$2:$F$500,0))),"⚠"))</f>
        <v/>
      </c>
      <c r="BN81" t="str">
        <f>IF(CAPTURA!CS81="","",IFERROR(IF(INDEX(CODIFICACION!$E$2:$E$500,MATCH("D9.33|"&amp;CAPTURA!CS81,CODIFICACION!$F$2:$F$500,0))="sin dato","",INDEX(CODIFICACION!$E$2:$E$500,MATCH("D9.33|"&amp;CAPTURA!CS81,CODIFICACION!$F$2:$F$500,0))),"⚠"))</f>
        <v/>
      </c>
      <c r="BO81" t="str">
        <f>IF(CAPTURA!CT81="","",IFERROR(IF(INDEX(CODIFICACION!$E$2:$E$500,MATCH("D9.34|"&amp;CAPTURA!CT81,CODIFICACION!$F$2:$F$500,0))="sin dato","",INDEX(CODIFICACION!$E$2:$E$500,MATCH("D9.34|"&amp;CAPTURA!CT81,CODIFICACION!$F$2:$F$500,0))),"⚠"))</f>
        <v/>
      </c>
      <c r="BP81" t="str">
        <f>IF(CAPTURA!CU81="","",IFERROR(IF(INDEX(CODIFICACION!$E$2:$E$500,MATCH("D9.35|"&amp;CAPTURA!CU81,CODIFICACION!$F$2:$F$500,0))="sin dato","",INDEX(CODIFICACION!$E$2:$E$500,MATCH("D9.35|"&amp;CAPTURA!CU81,CODIFICACION!$F$2:$F$500,0))),"⚠"))</f>
        <v/>
      </c>
      <c r="BQ81" t="str">
        <f>IF(CAPTURA!CV81="","",IFERROR(IF(INDEX(CODIFICACION!$E$2:$E$500,MATCH("D10.36|"&amp;CAPTURA!CV81,CODIFICACION!$F$2:$F$500,0))="sin dato","",INDEX(CODIFICACION!$E$2:$E$500,MATCH("D10.36|"&amp;CAPTURA!CV81,CODIFICACION!$F$2:$F$500,0))),"⚠"))</f>
        <v/>
      </c>
      <c r="BR81" t="str">
        <f>IF(CAPTURA!CW81="","",IFERROR(IF(INDEX(CODIFICACION!$E$2:$E$500,MATCH("D10.37|"&amp;CAPTURA!CW81,CODIFICACION!$F$2:$F$500,0))="sin dato","",INDEX(CODIFICACION!$E$2:$E$500,MATCH("D10.37|"&amp;CAPTURA!CW81,CODIFICACION!$F$2:$F$500,0))),"⚠"))</f>
        <v/>
      </c>
      <c r="BS81" t="str">
        <f>IF(CAPTURA!CX81="","",IFERROR(IF(INDEX(CODIFICACION!$E$2:$E$500,MATCH("D10.36a|"&amp;CAPTURA!CX81,CODIFICACION!$F$2:$F$500,0))="sin dato","",INDEX(CODIFICACION!$E$2:$E$500,MATCH("D10.36a|"&amp;CAPTURA!CX81,CODIFICACION!$F$2:$F$500,0))),"⚠"))</f>
        <v/>
      </c>
      <c r="BT81" t="str">
        <f>IF(CAPTURA!CY81="","",IF(ISNUMBER(SEARCH("Ninguno",CAPTURA!CY81)),0,MIN(100,ROUND((LEN(CAPTURA!CY81)-LEN(SUBSTITUTE(CAPTURA!CY81,";",""))+1)/6*100,1))))</f>
        <v/>
      </c>
      <c r="BU81" t="str">
        <f>IF(CAPTURA!DA81="","",IFERROR(IF(INDEX(CODIFICACION!$E$2:$E$500,MATCH("D11.39a|"&amp;CAPTURA!DA81,CODIFICACION!$F$2:$F$500,0))="sin dato","",INDEX(CODIFICACION!$E$2:$E$500,MATCH("D11.39a|"&amp;CAPTURA!DA81,CODIFICACION!$F$2:$F$500,0))),"⚠"))</f>
        <v/>
      </c>
      <c r="BV81" t="str">
        <f>IF(CAPTURA!DB81="","",IFERROR(IF(INDEX(CODIFICACION!$E$2:$E$500,MATCH("D12.42|"&amp;CAPTURA!DB81,CODIFICACION!$F$2:$F$500,0))="sin dato","",INDEX(CODIFICACION!$E$2:$E$500,MATCH("D12.42|"&amp;CAPTURA!DB81,CODIFICACION!$F$2:$F$500,0))),"⚠"))</f>
        <v/>
      </c>
      <c r="BW81" t="str">
        <f>IF(CAPTURA!DC81="","",IFERROR(IF(INDEX(CODIFICACION!$E$2:$E$500,MATCH("D13.45|"&amp;CAPTURA!DC81,CODIFICACION!$F$2:$F$500,0))="sin dato","",INDEX(CODIFICACION!$E$2:$E$500,MATCH("D13.45|"&amp;CAPTURA!DC81,CODIFICACION!$F$2:$F$500,0))),"⚠"))</f>
        <v/>
      </c>
      <c r="BX81" t="str">
        <f>IF(CAPTURA!DD81="","",IFERROR(IF(INDEX(CODIFICACION!$E$2:$E$500,MATCH("D14.51|"&amp;CAPTURA!DD81,CODIFICACION!$F$2:$F$500,0))="sin dato","",INDEX(CODIFICACION!$E$2:$E$500,MATCH("D14.51|"&amp;CAPTURA!DD81,CODIFICACION!$F$2:$F$500,0))),"⚠"))</f>
        <v/>
      </c>
      <c r="BY81" t="str">
        <f>IF(CAPTURA!DE81="","",IFERROR(IF(INDEX(CODIFICACION!$E$2:$E$500,MATCH("D15.58|"&amp;CAPTURA!DE81,CODIFICACION!$F$2:$F$500,0))="sin dato","",INDEX(CODIFICACION!$E$2:$E$500,MATCH("D15.58|"&amp;CAPTURA!DE81,CODIFICACION!$F$2:$F$500,0))),"⚠"))</f>
        <v/>
      </c>
      <c r="BZ81" t="str">
        <f>IF(CAPTURA!DF81="","",IFERROR(IF(INDEX(CODIFICACION!$E$2:$E$500,MATCH("PP1|"&amp;CAPTURA!DF81,CODIFICACION!$F$2:$F$500,0))="sin dato","",INDEX(CODIFICACION!$E$2:$E$500,MATCH("PP1|"&amp;CAPTURA!DF81,CODIFICACION!$F$2:$F$500,0))),"⚠"))</f>
        <v/>
      </c>
      <c r="CA81" t="str">
        <f>IF(CAPTURA!DG81="","",IFERROR(IF(INDEX(CODIFICACION!$E$2:$E$500,MATCH("PP2|"&amp;CAPTURA!DG81,CODIFICACION!$F$2:$F$500,0))="sin dato","",INDEX(CODIFICACION!$E$2:$E$500,MATCH("PP2|"&amp;CAPTURA!DG81,CODIFICACION!$F$2:$F$500,0))),"⚠"))</f>
        <v/>
      </c>
      <c r="CB81" t="str">
        <f t="shared" si="22"/>
        <v/>
      </c>
      <c r="CC81" t="str">
        <f t="shared" si="23"/>
        <v/>
      </c>
      <c r="CD81" t="str">
        <f t="shared" si="24"/>
        <v/>
      </c>
      <c r="CE81" t="str">
        <f t="shared" si="25"/>
        <v/>
      </c>
      <c r="CF81" t="str">
        <f t="shared" si="26"/>
        <v/>
      </c>
      <c r="CG81" t="str">
        <f t="shared" si="27"/>
        <v/>
      </c>
      <c r="CH81" t="str">
        <f t="shared" si="28"/>
        <v/>
      </c>
      <c r="CI81" t="str">
        <f t="shared" si="29"/>
        <v/>
      </c>
      <c r="CJ81" t="str">
        <f t="shared" si="30"/>
        <v/>
      </c>
      <c r="CK81" t="str">
        <f t="shared" si="31"/>
        <v/>
      </c>
      <c r="CL81" t="str">
        <f t="shared" si="32"/>
        <v/>
      </c>
    </row>
    <row r="82" spans="1:90" x14ac:dyDescent="0.3">
      <c r="A82">
        <f>CAPTURA!A82</f>
        <v>20568071281</v>
      </c>
      <c r="B82">
        <f>CAPTURA!C82</f>
        <v>0</v>
      </c>
      <c r="C82" t="str">
        <f>IF(CAPTURA!M82="","",ROUND((ISNUMBER(SEARCH("Alemania",CAPTURA!M82))+ISNUMBER(SEARCH("Bélgica",CAPTURA!M82))+ISNUMBER(SEARCH("Países Bajos",CAPTURA!M82))+ISNUMBER(SEARCH("Francia",CAPTURA!M82))+ISNUMBER(SEARCH("Italia",CAPTURA!M82))+ISNUMBER(SEARCH("España",CAPTURA!M82))+ISNUMBER(SEARCH("Suecia",CAPTURA!M82))+ISNUMBER(SEARCH("Dinamarca",CAPTURA!M82)))/((LEN(CAPTURA!M82)-LEN(SUBSTITUTE(CAPTURA!M82,";","")))+1)*100,1))</f>
        <v/>
      </c>
      <c r="D82" t="str">
        <f>IF(CAPTURA!AE82="","",IFERROR(IF(INDEX(CODIFICACION!$E$2:$E$500,MATCH("P8|"&amp;CAPTURA!AE82,CODIFICACION!$F$2:$F$500,0))="sin dato","",INDEX(CODIFICACION!$E$2:$E$500,MATCH("P8|"&amp;CAPTURA!AE82,CODIFICACION!$F$2:$F$500,0))),"⚠"))</f>
        <v/>
      </c>
      <c r="E82" t="str">
        <f>IF(CAPTURA!AG82="","",IFERROR(IF(INDEX(CODIFICACION!$E$2:$E$500,MATCH("P10|"&amp;CAPTURA!AG82,CODIFICACION!$F$2:$F$500,0))="sin dato","",INDEX(CODIFICACION!$E$2:$E$500,MATCH("P10|"&amp;CAPTURA!AG82,CODIFICACION!$F$2:$F$500,0))),"⚠"))</f>
        <v/>
      </c>
      <c r="F82" t="str">
        <f>IF(CAPTURA!AJ82="","",IFERROR(IF(INDEX(CODIFICACION!$E$2:$E$500,MATCH("P13|"&amp;CAPTURA!AJ82,CODIFICACION!$F$2:$F$500,0))="sin dato","",INDEX(CODIFICACION!$E$2:$E$500,MATCH("P13|"&amp;CAPTURA!AJ82,CODIFICACION!$F$2:$F$500,0))),"⚠"))</f>
        <v/>
      </c>
      <c r="G82" t="str">
        <f>IF(CAPTURA!AK82="","",IFERROR(IF(INDEX(CODIFICACION!$E$2:$E$500,MATCH("P14|"&amp;CAPTURA!AK82,CODIFICACION!$F$2:$F$500,0))="sin dato","",INDEX(CODIFICACION!$E$2:$E$500,MATCH("P14|"&amp;CAPTURA!AK82,CODIFICACION!$F$2:$F$500,0))),"⚠"))</f>
        <v/>
      </c>
      <c r="H82" t="str">
        <f>IF(CAPTURA!AL82="","",IFERROR(IF(INDEX(CODIFICACION!$E$2:$E$500,MATCH("D1.1|"&amp;CAPTURA!AL82,CODIFICACION!$F$2:$F$500,0))="sin dato","",INDEX(CODIFICACION!$E$2:$E$500,MATCH("D1.1|"&amp;CAPTURA!AL82,CODIFICACION!$F$2:$F$500,0))),"⚠"))</f>
        <v/>
      </c>
      <c r="I82" t="str">
        <f>IF(CAPTURA!AN82="","",IFERROR(IF(INDEX(CODIFICACION!$E$2:$E$500,MATCH("D1.3|"&amp;CAPTURA!AN82,CODIFICACION!$F$2:$F$500,0))="sin dato","",INDEX(CODIFICACION!$E$2:$E$500,MATCH("D1.3|"&amp;CAPTURA!AN82,CODIFICACION!$F$2:$F$500,0))),"⚠"))</f>
        <v/>
      </c>
      <c r="J82" t="str">
        <f>IF(CAPTURA!AO82="","",IFERROR(IF(INDEX(CODIFICACION!$E$2:$E$500,MATCH("D1.4|"&amp;CAPTURA!AO82,CODIFICACION!$F$2:$F$500,0))="sin dato","",INDEX(CODIFICACION!$E$2:$E$500,MATCH("D1.4|"&amp;CAPTURA!AO82,CODIFICACION!$F$2:$F$500,0))),"⚠"))</f>
        <v/>
      </c>
      <c r="K82" t="str">
        <f>IF(CAPTURA!AP82="","",IFERROR(IF(INDEX(CODIFICACION!$E$2:$E$500,MATCH("D1.3a|"&amp;CAPTURA!AP82,CODIFICACION!$F$2:$F$500,0))="sin dato","",INDEX(CODIFICACION!$E$2:$E$500,MATCH("D1.3a|"&amp;CAPTURA!AP82,CODIFICACION!$F$2:$F$500,0))),"⚠"))</f>
        <v/>
      </c>
      <c r="L82" t="str">
        <f>IF(CAPTURA!AQ82="","",IF(AND(ISNUMBER(CAPTURA!AQ82),CAPTURA!AQ82&gt;=0,CAPTURA!AQ82&lt;=4),CAPTURA!AQ82*25,"⚠"))</f>
        <v/>
      </c>
      <c r="M82" t="str">
        <f>IF(CAPTURA!AR82="","",IF(ISNUMBER(CAPTURA!AR82),MAX(0,MIN(100,CAPTURA!AR82)),"⚠"))</f>
        <v/>
      </c>
      <c r="N82" t="str">
        <f>IF(CAPTURA!AS82="","",IF(AND(ISNUMBER(CAPTURA!AS82),CAPTURA!AS82&gt;=0,CAPTURA!AS82&lt;=4),CAPTURA!AS82*25,"⚠"))</f>
        <v/>
      </c>
      <c r="O82" t="str">
        <f>IF(CAPTURA!AT82="","",IFERROR(IF(INDEX(CODIFICACION!$E$2:$E$500,MATCH("D2.8|"&amp;CAPTURA!AT82,CODIFICACION!$F$2:$F$500,0))="sin dato","",INDEX(CODIFICACION!$E$2:$E$500,MATCH("D2.8|"&amp;CAPTURA!AT82,CODIFICACION!$F$2:$F$500,0))),"⚠"))</f>
        <v/>
      </c>
      <c r="P82" t="str">
        <f>IF(CAPTURA!AU82="","",IFERROR(IF(INDEX(CODIFICACION!$E$2:$E$500,MATCH("D2.9|"&amp;CAPTURA!AU82,CODIFICACION!$F$2:$F$500,0))="sin dato","",INDEX(CODIFICACION!$E$2:$E$500,MATCH("D2.9|"&amp;CAPTURA!AU82,CODIFICACION!$F$2:$F$500,0))),"⚠"))</f>
        <v/>
      </c>
      <c r="Q82" t="str">
        <f>IF(CAPTURA!AV82="","",IFERROR(IF(INDEX(CODIFICACION!$E$2:$E$500,MATCH("D2.10|"&amp;CAPTURA!AV82,CODIFICACION!$F$2:$F$500,0))="sin dato","",INDEX(CODIFICACION!$E$2:$E$500,MATCH("D2.10|"&amp;CAPTURA!AV82,CODIFICACION!$F$2:$F$500,0))),"⚠"))</f>
        <v/>
      </c>
      <c r="R82" t="str">
        <f>IF(CAPTURA!AW82="","",IFERROR(IF(INDEX(CODIFICACION!$E$2:$E$500,MATCH("D2.5a|"&amp;CAPTURA!AW82,CODIFICACION!$F$2:$F$500,0))="sin dato","",INDEX(CODIFICACION!$E$2:$E$500,MATCH("D2.5a|"&amp;CAPTURA!AW82,CODIFICACION!$F$2:$F$500,0))),"⚠"))</f>
        <v/>
      </c>
      <c r="S82" t="str">
        <f>IF(CAPTURA!AX82="","",IFERROR(IF(INDEX(CODIFICACION!$E$2:$E$500,MATCH("D2.5b|"&amp;CAPTURA!AX82,CODIFICACION!$F$2:$F$500,0))="sin dato","",INDEX(CODIFICACION!$E$2:$E$500,MATCH("D2.5b|"&amp;CAPTURA!AX82,CODIFICACION!$F$2:$F$500,0))),"⚠"))</f>
        <v/>
      </c>
      <c r="T82" t="str">
        <f>IF(CAPTURA!AY82="","",IF(ISNUMBER(CAPTURA!AY82),MAX(0,MIN(100,CAPTURA!AY82)),"⚠"))</f>
        <v/>
      </c>
      <c r="U82" t="str">
        <f>IF(CAPTURA!AZ82="","",IFERROR(IF(INDEX(CODIFICACION!$E$2:$E$500,MATCH("D3.12|"&amp;CAPTURA!AZ82,CODIFICACION!$F$2:$F$500,0))="sin dato","",INDEX(CODIFICACION!$E$2:$E$500,MATCH("D3.12|"&amp;CAPTURA!AZ82,CODIFICACION!$F$2:$F$500,0))),"⚠"))</f>
        <v/>
      </c>
      <c r="V82" t="str">
        <f>IF(CAPTURA!BA82="","",IF(AND(ISNUMBER(CAPTURA!BA82),CAPTURA!BA82&gt;=0,CAPTURA!BA82&lt;=4),CAPTURA!BA82*25,"⚠"))</f>
        <v/>
      </c>
      <c r="W82" t="str">
        <f>IF(CAPTURA!BB82="","",IFERROR(IF(INDEX(CODIFICACION!$E$2:$E$500,MATCH("D3.14|"&amp;CAPTURA!BB82,CODIFICACION!$F$2:$F$500,0))="sin dato","",INDEX(CODIFICACION!$E$2:$E$500,MATCH("D3.14|"&amp;CAPTURA!BB82,CODIFICACION!$F$2:$F$500,0))),"⚠"))</f>
        <v/>
      </c>
      <c r="X82" t="str">
        <f>IF(CAPTURA!BC82="","",IFERROR(IF(INDEX(CODIFICACION!$E$2:$E$500,MATCH("D3.14a|"&amp;CAPTURA!BC82,CODIFICACION!$F$2:$F$500,0))="sin dato","",INDEX(CODIFICACION!$E$2:$E$500,MATCH("D3.14a|"&amp;CAPTURA!BC82,CODIFICACION!$F$2:$F$500,0))),"⚠"))</f>
        <v/>
      </c>
      <c r="Y82" t="str">
        <f>IF(CAPTURA!BD82="","",IFERROR(IF(INDEX(CODIFICACION!$E$2:$E$500,MATCH("D3.14b|"&amp;CAPTURA!BD82,CODIFICACION!$F$2:$F$500,0))="sin dato","",INDEX(CODIFICACION!$E$2:$E$500,MATCH("D3.14b|"&amp;CAPTURA!BD82,CODIFICACION!$F$2:$F$500,0))),"⚠"))</f>
        <v/>
      </c>
      <c r="Z82" t="str">
        <f>IF(CAPTURA!BE82="","",IFERROR(IF(INDEX(CODIFICACION!$E$2:$E$500,MATCH("D3.14c|"&amp;CAPTURA!BE82,CODIFICACION!$F$2:$F$500,0))="sin dato","",INDEX(CODIFICACION!$E$2:$E$500,MATCH("D3.14c|"&amp;CAPTURA!BE82,CODIFICACION!$F$2:$F$500,0))),"⚠"))</f>
        <v/>
      </c>
      <c r="AA82" t="str">
        <f>IF(CAPTURA!BF82="","",IFERROR(IF(INDEX(CODIFICACION!$E$2:$E$500,MATCH("D3.14d|"&amp;CAPTURA!BF82,CODIFICACION!$F$2:$F$500,0))="sin dato","",INDEX(CODIFICACION!$E$2:$E$500,MATCH("D3.14d|"&amp;CAPTURA!BF82,CODIFICACION!$F$2:$F$500,0))),"⚠"))</f>
        <v/>
      </c>
      <c r="AB82" t="str">
        <f>IF(CAPTURA!BG82="","",IFERROR(IF(INDEX(CODIFICACION!$E$2:$E$500,MATCH("D3.14e|"&amp;CAPTURA!BG82,CODIFICACION!$F$2:$F$500,0))="sin dato","",INDEX(CODIFICACION!$E$2:$E$500,MATCH("D3.14e|"&amp;CAPTURA!BG82,CODIFICACION!$F$2:$F$500,0))),"⚠"))</f>
        <v/>
      </c>
      <c r="AC82" t="str">
        <f>IF(CAPTURA!BH82="","",IFERROR(IF(INDEX(CODIFICACION!$E$2:$E$500,MATCH("D3.14f|"&amp;CAPTURA!BH82,CODIFICACION!$F$2:$F$500,0))="sin dato","",INDEX(CODIFICACION!$E$2:$E$500,MATCH("D3.14f|"&amp;CAPTURA!BH82,CODIFICACION!$F$2:$F$500,0))),"⚠"))</f>
        <v/>
      </c>
      <c r="AD82" t="str">
        <f>IF(CAPTURA!BI82="","",IFERROR(IF(INDEX(CODIFICACION!$E$2:$E$500,MATCH("D3.14g|"&amp;CAPTURA!BI82,CODIFICACION!$F$2:$F$500,0))="sin dato","",INDEX(CODIFICACION!$E$2:$E$500,MATCH("D3.14g|"&amp;CAPTURA!BI82,CODIFICACION!$F$2:$F$500,0))),"⚠"))</f>
        <v/>
      </c>
      <c r="AE82" t="str">
        <f>IF(CAPTURA!BJ82="","",IFERROR(IF(INDEX(CODIFICACION!$E$2:$E$500,MATCH("D3.14h|"&amp;CAPTURA!BJ82,CODIFICACION!$F$2:$F$500,0))="sin dato","",INDEX(CODIFICACION!$E$2:$E$500,MATCH("D3.14h|"&amp;CAPTURA!BJ82,CODIFICACION!$F$2:$F$500,0))),"⚠"))</f>
        <v/>
      </c>
      <c r="AF82" t="str">
        <f>IF(CAPTURA!BK82="","",IFERROR(IF(INDEX(CODIFICACION!$E$2:$E$500,MATCH("D3.14i|"&amp;CAPTURA!BK82,CODIFICACION!$F$2:$F$500,0))="sin dato","",INDEX(CODIFICACION!$E$2:$E$500,MATCH("D3.14i|"&amp;CAPTURA!BK82,CODIFICACION!$F$2:$F$500,0))),"⚠"))</f>
        <v/>
      </c>
      <c r="AG82" t="str">
        <f>IF(CAPTURA!BL82="","",IFERROR(IF(INDEX(CODIFICACION!$E$2:$E$500,MATCH("D4.15|"&amp;CAPTURA!BL82,CODIFICACION!$F$2:$F$500,0))="sin dato","",INDEX(CODIFICACION!$E$2:$E$500,MATCH("D4.15|"&amp;CAPTURA!BL82,CODIFICACION!$F$2:$F$500,0))),"⚠"))</f>
        <v/>
      </c>
      <c r="AH82" t="str">
        <f>IF(CAPTURA!BM82="","",IF(AND(ISNUMBER(CAPTURA!BM82),CAPTURA!BM82&gt;=0,CAPTURA!BM82&lt;=4),CAPTURA!BM82*25,"⚠"))</f>
        <v/>
      </c>
      <c r="AI82" t="str">
        <f>IF(CAPTURA!BN82="","",IFERROR(IF(INDEX(CODIFICACION!$E$2:$E$500,MATCH("D4.17|"&amp;CAPTURA!BN82,CODIFICACION!$F$2:$F$500,0))="sin dato","",INDEX(CODIFICACION!$E$2:$E$500,MATCH("D4.17|"&amp;CAPTURA!BN82,CODIFICACION!$F$2:$F$500,0))),"⚠"))</f>
        <v/>
      </c>
      <c r="AJ82" t="str">
        <f>IF(CAPTURA!BO82="","",IFERROR(IF(INDEX(CODIFICACION!$E$2:$E$500,MATCH("D4.15a|"&amp;CAPTURA!BO82,CODIFICACION!$F$2:$F$500,0))="sin dato","",INDEX(CODIFICACION!$E$2:$E$500,MATCH("D4.15a|"&amp;CAPTURA!BO82,CODIFICACION!$F$2:$F$500,0))),"⚠"))</f>
        <v/>
      </c>
      <c r="AK82" t="str">
        <f>IF(CAPTURA!BP82="","",IF(AND(ISNUMBER(CAPTURA!BP82),CAPTURA!BP82&gt;=0,CAPTURA!BP82&lt;=4),CAPTURA!BP82*25,"⚠"))</f>
        <v/>
      </c>
      <c r="AL82" t="str">
        <f>IF(CAPTURA!BQ82="","",IF(AND(ISNUMBER(CAPTURA!BQ82),CAPTURA!BQ82&gt;=0,CAPTURA!BQ82&lt;=4),CAPTURA!BQ82*25,"⚠"))</f>
        <v/>
      </c>
      <c r="AM82" t="str">
        <f>IF(CAPTURA!BR82="","",IFERROR(IF(INDEX(CODIFICACION!$E$2:$E$500,MATCH("D5.18b|"&amp;CAPTURA!BR82,CODIFICACION!$F$2:$F$500,0))="sin dato","",INDEX(CODIFICACION!$E$2:$E$500,MATCH("D5.18b|"&amp;CAPTURA!BR82,CODIFICACION!$F$2:$F$500,0))),"⚠"))</f>
        <v/>
      </c>
      <c r="AN82" t="str">
        <f>IF(CAPTURA!BS82="","",IFERROR(IF(INDEX(CODIFICACION!$E$2:$E$500,MATCH("D5.19|"&amp;CAPTURA!BS82,CODIFICACION!$F$2:$F$500,0))="sin dato","",INDEX(CODIFICACION!$E$2:$E$500,MATCH("D5.19|"&amp;CAPTURA!BS82,CODIFICACION!$F$2:$F$500,0))),"⚠"))</f>
        <v/>
      </c>
      <c r="AO82" t="str">
        <f>IF(CAPTURA!BT82="","",MIN(100,ROUND((LEN(CAPTURA!BT82)-LEN(SUBSTITUTE(CAPTURA!BT82,";",""))+1)/7*100,1)))</f>
        <v/>
      </c>
      <c r="AP82" t="str">
        <f>IF(CAPTURA!BU82="","",IFERROR(IF(INDEX(CODIFICACION!$E$2:$E$500,MATCH("D5.20|"&amp;CAPTURA!BU82,CODIFICACION!$F$2:$F$500,0))="sin dato","",INDEX(CODIFICACION!$E$2:$E$500,MATCH("D5.20|"&amp;CAPTURA!BU82,CODIFICACION!$F$2:$F$500,0))),"⚠"))</f>
        <v/>
      </c>
      <c r="AQ82" t="str">
        <f>IF(CAPTURA!BV82="","",IFERROR(IF(INDEX(CODIFICACION!$E$2:$E$500,MATCH("D5.21|"&amp;CAPTURA!BV82,CODIFICACION!$F$2:$F$500,0))="sin dato","",INDEX(CODIFICACION!$E$2:$E$500,MATCH("D5.21|"&amp;CAPTURA!BV82,CODIFICACION!$F$2:$F$500,0))),"⚠"))</f>
        <v/>
      </c>
      <c r="AR82" t="str">
        <f>IF(CAPTURA!BW82="","",IFERROR(IF(INDEX(CODIFICACION!$E$2:$E$500,MATCH("D5.21a|"&amp;CAPTURA!BW82,CODIFICACION!$F$2:$F$500,0))="sin dato","",INDEX(CODIFICACION!$E$2:$E$500,MATCH("D5.21a|"&amp;CAPTURA!BW82,CODIFICACION!$F$2:$F$500,0))),"⚠"))</f>
        <v/>
      </c>
      <c r="AS82" t="str">
        <f>IF(CAPTURA!BX82="","",IFERROR(IF(INDEX(CODIFICACION!$E$2:$E$500,MATCH("D5.21b|"&amp;CAPTURA!BX82,CODIFICACION!$F$2:$F$500,0))="sin dato","",INDEX(CODIFICACION!$E$2:$E$500,MATCH("D5.21b|"&amp;CAPTURA!BX82,CODIFICACION!$F$2:$F$500,0))),"⚠"))</f>
        <v/>
      </c>
      <c r="AT82" t="str">
        <f>IF(CAPTURA!BY82="","",IFERROR(IF(INDEX(CODIFICACION!$E$2:$E$500,MATCH("D6.22|"&amp;CAPTURA!BY82,CODIFICACION!$F$2:$F$500,0))="sin dato","",INDEX(CODIFICACION!$E$2:$E$500,MATCH("D6.22|"&amp;CAPTURA!BY82,CODIFICACION!$F$2:$F$500,0))),"⚠"))</f>
        <v/>
      </c>
      <c r="AU82" t="str">
        <f>IF(CAPTURA!BZ82="","",IFERROR(IF(INDEX(CODIFICACION!$E$2:$E$500,MATCH("D6.22a|"&amp;CAPTURA!BZ82,CODIFICACION!$F$2:$F$500,0))="sin dato","",INDEX(CODIFICACION!$E$2:$E$500,MATCH("D6.22a|"&amp;CAPTURA!BZ82,CODIFICACION!$F$2:$F$500,0))),"⚠"))</f>
        <v/>
      </c>
      <c r="AV82" t="str">
        <f>IF(CAPTURA!CA82="","",IFERROR(IF(INDEX(CODIFICACION!$E$2:$E$500,MATCH("D6.22b|"&amp;CAPTURA!CA82,CODIFICACION!$F$2:$F$500,0))="sin dato","",INDEX(CODIFICACION!$E$2:$E$500,MATCH("D6.22b|"&amp;CAPTURA!CA82,CODIFICACION!$F$2:$F$500,0))),"⚠"))</f>
        <v/>
      </c>
      <c r="AW82" t="str">
        <f>IF(CAPTURA!CB82="","",IFERROR(IF(INDEX(CODIFICACION!$E$2:$E$500,MATCH("D6.23|"&amp;CAPTURA!CB82,CODIFICACION!$F$2:$F$500,0))="sin dato","",INDEX(CODIFICACION!$E$2:$E$500,MATCH("D6.23|"&amp;CAPTURA!CB82,CODIFICACION!$F$2:$F$500,0))),"⚠"))</f>
        <v/>
      </c>
      <c r="AX82" t="str">
        <f>IF(CAPTURA!CC82="","",IFERROR(IF(INDEX(CODIFICACION!$E$2:$E$500,MATCH("D6.24|"&amp;CAPTURA!CC82,CODIFICACION!$F$2:$F$500,0))="sin dato","",INDEX(CODIFICACION!$E$2:$E$500,MATCH("D6.24|"&amp;CAPTURA!CC82,CODIFICACION!$F$2:$F$500,0))),"⚠"))</f>
        <v/>
      </c>
      <c r="AY82" t="str">
        <f>IF(CAPTURA!CD82="","",IFERROR(IF(INDEX(CODIFICACION!$E$2:$E$500,MATCH("D6.25|"&amp;CAPTURA!CD82,CODIFICACION!$F$2:$F$500,0))="sin dato","",INDEX(CODIFICACION!$E$2:$E$500,MATCH("D6.25|"&amp;CAPTURA!CD82,CODIFICACION!$F$2:$F$500,0))),"⚠"))</f>
        <v/>
      </c>
      <c r="AZ82" t="str">
        <f>IF(CAPTURA!CE82="","",IFERROR(IF(INDEX(CODIFICACION!$E$2:$E$500,MATCH("D6.25a|"&amp;CAPTURA!CE82,CODIFICACION!$F$2:$F$500,0))="sin dato","",INDEX(CODIFICACION!$E$2:$E$500,MATCH("D6.25a|"&amp;CAPTURA!CE82,CODIFICACION!$F$2:$F$500,0))),"⚠"))</f>
        <v/>
      </c>
      <c r="BA82" t="str">
        <f>IF(CAPTURA!CF82="","",IFERROR(IF(INDEX(CODIFICACION!$E$2:$E$500,MATCH("D6.25b|"&amp;CAPTURA!CF82,CODIFICACION!$F$2:$F$500,0))="sin dato","",INDEX(CODIFICACION!$E$2:$E$500,MATCH("D6.25b|"&amp;CAPTURA!CF82,CODIFICACION!$F$2:$F$500,0))),"⚠"))</f>
        <v/>
      </c>
      <c r="BB82" t="str">
        <f>IF(CAPTURA!CG82="","",IFERROR(IF(INDEX(CODIFICACION!$E$2:$E$500,MATCH("D6.22c|"&amp;CAPTURA!CG82,CODIFICACION!$F$2:$F$500,0))="sin dato","",INDEX(CODIFICACION!$E$2:$E$500,MATCH("D6.22c|"&amp;CAPTURA!CG82,CODIFICACION!$F$2:$F$500,0))),"⚠"))</f>
        <v/>
      </c>
      <c r="BC82" t="str">
        <f>IF(CAPTURA!CH82="","",IFERROR(IF(INDEX(CODIFICACION!$E$2:$E$500,MATCH("D7.26|"&amp;CAPTURA!CH82,CODIFICACION!$F$2:$F$500,0))="sin dato","",INDEX(CODIFICACION!$E$2:$E$500,MATCH("D7.26|"&amp;CAPTURA!CH82,CODIFICACION!$F$2:$F$500,0))),"⚠"))</f>
        <v/>
      </c>
      <c r="BD82" t="str">
        <f>IF(CAPTURA!CI82="","",IFERROR(IF(INDEX(CODIFICACION!$E$2:$E$500,MATCH("D7.27|"&amp;CAPTURA!CI82,CODIFICACION!$F$2:$F$500,0))="sin dato","",INDEX(CODIFICACION!$E$2:$E$500,MATCH("D7.27|"&amp;CAPTURA!CI82,CODIFICACION!$F$2:$F$500,0))),"⚠"))</f>
        <v/>
      </c>
      <c r="BE82" t="str">
        <f>IF(CAPTURA!CJ82="","",IFERROR(IF(INDEX(CODIFICACION!$E$2:$E$500,MATCH("D7.28|"&amp;CAPTURA!CJ82,CODIFICACION!$F$2:$F$500,0))="sin dato","",INDEX(CODIFICACION!$E$2:$E$500,MATCH("D7.28|"&amp;CAPTURA!CJ82,CODIFICACION!$F$2:$F$500,0))),"⚠"))</f>
        <v/>
      </c>
      <c r="BF82" t="str">
        <f>IF(CAPTURA!CK82="","",IFERROR(IF(INDEX(CODIFICACION!$E$2:$E$500,MATCH("D7.28b|"&amp;CAPTURA!CK82,CODIFICACION!$F$2:$F$500,0))="sin dato","",INDEX(CODIFICACION!$E$2:$E$500,MATCH("D7.28b|"&amp;CAPTURA!CK82,CODIFICACION!$F$2:$F$500,0))),"⚠"))</f>
        <v/>
      </c>
      <c r="BG82" t="str">
        <f>IF(CAPTURA!CL82="","",MIN(100,ROUND((LEN(CAPTURA!CL82)-LEN(SUBSTITUTE(CAPTURA!CL82,";",""))+1)/8*100,1)))</f>
        <v/>
      </c>
      <c r="BH82" t="str">
        <f>IF(CAPTURA!CM82="","",IFERROR(IF(INDEX(CODIFICACION!$E$2:$E$500,MATCH("D7.26a|"&amp;CAPTURA!CM82,CODIFICACION!$F$2:$F$500,0))="sin dato","",INDEX(CODIFICACION!$E$2:$E$500,MATCH("D7.26a|"&amp;CAPTURA!CM82,CODIFICACION!$F$2:$F$500,0))),"⚠"))</f>
        <v/>
      </c>
      <c r="BI82" t="str">
        <f>IF(CAPTURA!CN82="","",IFERROR(IF(INDEX(CODIFICACION!$E$2:$E$500,MATCH("D7.26b|"&amp;CAPTURA!CN82,CODIFICACION!$F$2:$F$500,0))="sin dato","",INDEX(CODIFICACION!$E$2:$E$500,MATCH("D7.26b|"&amp;CAPTURA!CN82,CODIFICACION!$F$2:$F$500,0))),"⚠"))</f>
        <v/>
      </c>
      <c r="BJ82" t="str">
        <f>IF(CAPTURA!CO82="","",IF(AND(ISNUMBER(CAPTURA!CO82),CAPTURA!CO82&gt;=0,CAPTURA!CO82&lt;=4),CAPTURA!CO82*25,"⚠"))</f>
        <v/>
      </c>
      <c r="BK82" t="str">
        <f>IF(CAPTURA!CP82="","",IF(ISNUMBER(CAPTURA!CP82),MAX(0,MIN(100,CAPTURA!CP82)),"⚠"))</f>
        <v/>
      </c>
      <c r="BL82" t="str">
        <f>IF(CAPTURA!CQ82="","",IFERROR(IF(INDEX(CODIFICACION!$E$2:$E$500,MATCH("D8.31|"&amp;CAPTURA!CQ82,CODIFICACION!$F$2:$F$500,0))="sin dato","",INDEX(CODIFICACION!$E$2:$E$500,MATCH("D8.31|"&amp;CAPTURA!CQ82,CODIFICACION!$F$2:$F$500,0))),"⚠"))</f>
        <v/>
      </c>
      <c r="BM82" t="str">
        <f>IF(CAPTURA!CR82="","",IFERROR(IF(INDEX(CODIFICACION!$E$2:$E$500,MATCH("D8.32|"&amp;CAPTURA!CR82,CODIFICACION!$F$2:$F$500,0))="sin dato","",INDEX(CODIFICACION!$E$2:$E$500,MATCH("D8.32|"&amp;CAPTURA!CR82,CODIFICACION!$F$2:$F$500,0))),"⚠"))</f>
        <v/>
      </c>
      <c r="BN82" t="str">
        <f>IF(CAPTURA!CS82="","",IFERROR(IF(INDEX(CODIFICACION!$E$2:$E$500,MATCH("D9.33|"&amp;CAPTURA!CS82,CODIFICACION!$F$2:$F$500,0))="sin dato","",INDEX(CODIFICACION!$E$2:$E$500,MATCH("D9.33|"&amp;CAPTURA!CS82,CODIFICACION!$F$2:$F$500,0))),"⚠"))</f>
        <v/>
      </c>
      <c r="BO82" t="str">
        <f>IF(CAPTURA!CT82="","",IFERROR(IF(INDEX(CODIFICACION!$E$2:$E$500,MATCH("D9.34|"&amp;CAPTURA!CT82,CODIFICACION!$F$2:$F$500,0))="sin dato","",INDEX(CODIFICACION!$E$2:$E$500,MATCH("D9.34|"&amp;CAPTURA!CT82,CODIFICACION!$F$2:$F$500,0))),"⚠"))</f>
        <v/>
      </c>
      <c r="BP82" t="str">
        <f>IF(CAPTURA!CU82="","",IFERROR(IF(INDEX(CODIFICACION!$E$2:$E$500,MATCH("D9.35|"&amp;CAPTURA!CU82,CODIFICACION!$F$2:$F$500,0))="sin dato","",INDEX(CODIFICACION!$E$2:$E$500,MATCH("D9.35|"&amp;CAPTURA!CU82,CODIFICACION!$F$2:$F$500,0))),"⚠"))</f>
        <v/>
      </c>
      <c r="BQ82" t="str">
        <f>IF(CAPTURA!CV82="","",IFERROR(IF(INDEX(CODIFICACION!$E$2:$E$500,MATCH("D10.36|"&amp;CAPTURA!CV82,CODIFICACION!$F$2:$F$500,0))="sin dato","",INDEX(CODIFICACION!$E$2:$E$500,MATCH("D10.36|"&amp;CAPTURA!CV82,CODIFICACION!$F$2:$F$500,0))),"⚠"))</f>
        <v/>
      </c>
      <c r="BR82" t="str">
        <f>IF(CAPTURA!CW82="","",IFERROR(IF(INDEX(CODIFICACION!$E$2:$E$500,MATCH("D10.37|"&amp;CAPTURA!CW82,CODIFICACION!$F$2:$F$500,0))="sin dato","",INDEX(CODIFICACION!$E$2:$E$500,MATCH("D10.37|"&amp;CAPTURA!CW82,CODIFICACION!$F$2:$F$500,0))),"⚠"))</f>
        <v/>
      </c>
      <c r="BS82" t="str">
        <f>IF(CAPTURA!CX82="","",IFERROR(IF(INDEX(CODIFICACION!$E$2:$E$500,MATCH("D10.36a|"&amp;CAPTURA!CX82,CODIFICACION!$F$2:$F$500,0))="sin dato","",INDEX(CODIFICACION!$E$2:$E$500,MATCH("D10.36a|"&amp;CAPTURA!CX82,CODIFICACION!$F$2:$F$500,0))),"⚠"))</f>
        <v/>
      </c>
      <c r="BT82" t="str">
        <f>IF(CAPTURA!CY82="","",IF(ISNUMBER(SEARCH("Ninguno",CAPTURA!CY82)),0,MIN(100,ROUND((LEN(CAPTURA!CY82)-LEN(SUBSTITUTE(CAPTURA!CY82,";",""))+1)/6*100,1))))</f>
        <v/>
      </c>
      <c r="BU82" t="str">
        <f>IF(CAPTURA!DA82="","",IFERROR(IF(INDEX(CODIFICACION!$E$2:$E$500,MATCH("D11.39a|"&amp;CAPTURA!DA82,CODIFICACION!$F$2:$F$500,0))="sin dato","",INDEX(CODIFICACION!$E$2:$E$500,MATCH("D11.39a|"&amp;CAPTURA!DA82,CODIFICACION!$F$2:$F$500,0))),"⚠"))</f>
        <v/>
      </c>
      <c r="BV82" t="str">
        <f>IF(CAPTURA!DB82="","",IFERROR(IF(INDEX(CODIFICACION!$E$2:$E$500,MATCH("D12.42|"&amp;CAPTURA!DB82,CODIFICACION!$F$2:$F$500,0))="sin dato","",INDEX(CODIFICACION!$E$2:$E$500,MATCH("D12.42|"&amp;CAPTURA!DB82,CODIFICACION!$F$2:$F$500,0))),"⚠"))</f>
        <v/>
      </c>
      <c r="BW82" t="str">
        <f>IF(CAPTURA!DC82="","",IFERROR(IF(INDEX(CODIFICACION!$E$2:$E$500,MATCH("D13.45|"&amp;CAPTURA!DC82,CODIFICACION!$F$2:$F$500,0))="sin dato","",INDEX(CODIFICACION!$E$2:$E$500,MATCH("D13.45|"&amp;CAPTURA!DC82,CODIFICACION!$F$2:$F$500,0))),"⚠"))</f>
        <v/>
      </c>
      <c r="BX82" t="str">
        <f>IF(CAPTURA!DD82="","",IFERROR(IF(INDEX(CODIFICACION!$E$2:$E$500,MATCH("D14.51|"&amp;CAPTURA!DD82,CODIFICACION!$F$2:$F$500,0))="sin dato","",INDEX(CODIFICACION!$E$2:$E$500,MATCH("D14.51|"&amp;CAPTURA!DD82,CODIFICACION!$F$2:$F$500,0))),"⚠"))</f>
        <v/>
      </c>
      <c r="BY82" t="str">
        <f>IF(CAPTURA!DE82="","",IFERROR(IF(INDEX(CODIFICACION!$E$2:$E$500,MATCH("D15.58|"&amp;CAPTURA!DE82,CODIFICACION!$F$2:$F$500,0))="sin dato","",INDEX(CODIFICACION!$E$2:$E$500,MATCH("D15.58|"&amp;CAPTURA!DE82,CODIFICACION!$F$2:$F$500,0))),"⚠"))</f>
        <v/>
      </c>
      <c r="BZ82" t="str">
        <f>IF(CAPTURA!DF82="","",IFERROR(IF(INDEX(CODIFICACION!$E$2:$E$500,MATCH("PP1|"&amp;CAPTURA!DF82,CODIFICACION!$F$2:$F$500,0))="sin dato","",INDEX(CODIFICACION!$E$2:$E$500,MATCH("PP1|"&amp;CAPTURA!DF82,CODIFICACION!$F$2:$F$500,0))),"⚠"))</f>
        <v/>
      </c>
      <c r="CA82" t="str">
        <f>IF(CAPTURA!DG82="","",IFERROR(IF(INDEX(CODIFICACION!$E$2:$E$500,MATCH("PP2|"&amp;CAPTURA!DG82,CODIFICACION!$F$2:$F$500,0))="sin dato","",INDEX(CODIFICACION!$E$2:$E$500,MATCH("PP2|"&amp;CAPTURA!DG82,CODIFICACION!$F$2:$F$500,0))),"⚠"))</f>
        <v/>
      </c>
      <c r="CB82" t="str">
        <f t="shared" si="22"/>
        <v/>
      </c>
      <c r="CC82" t="str">
        <f t="shared" si="23"/>
        <v/>
      </c>
      <c r="CD82" t="str">
        <f t="shared" si="24"/>
        <v/>
      </c>
      <c r="CE82" t="str">
        <f t="shared" si="25"/>
        <v/>
      </c>
      <c r="CF82" t="str">
        <f t="shared" si="26"/>
        <v/>
      </c>
      <c r="CG82" t="str">
        <f t="shared" si="27"/>
        <v/>
      </c>
      <c r="CH82" t="str">
        <f t="shared" si="28"/>
        <v/>
      </c>
      <c r="CI82" t="str">
        <f t="shared" si="29"/>
        <v/>
      </c>
      <c r="CJ82" t="str">
        <f t="shared" si="30"/>
        <v/>
      </c>
      <c r="CK82" t="str">
        <f t="shared" si="31"/>
        <v/>
      </c>
      <c r="CL82" t="str">
        <f t="shared" si="32"/>
        <v/>
      </c>
    </row>
    <row r="83" spans="1:90" x14ac:dyDescent="0.3">
      <c r="A83">
        <f>CAPTURA!A83</f>
        <v>20568080948</v>
      </c>
      <c r="B83">
        <f>CAPTURA!C83</f>
        <v>0</v>
      </c>
      <c r="C83" t="str">
        <f>IF(CAPTURA!M83="","",ROUND((ISNUMBER(SEARCH("Alemania",CAPTURA!M83))+ISNUMBER(SEARCH("Bélgica",CAPTURA!M83))+ISNUMBER(SEARCH("Países Bajos",CAPTURA!M83))+ISNUMBER(SEARCH("Francia",CAPTURA!M83))+ISNUMBER(SEARCH("Italia",CAPTURA!M83))+ISNUMBER(SEARCH("España",CAPTURA!M83))+ISNUMBER(SEARCH("Suecia",CAPTURA!M83))+ISNUMBER(SEARCH("Dinamarca",CAPTURA!M83)))/((LEN(CAPTURA!M83)-LEN(SUBSTITUTE(CAPTURA!M83,";","")))+1)*100,1))</f>
        <v/>
      </c>
      <c r="D83" t="str">
        <f>IF(CAPTURA!AE83="","",IFERROR(IF(INDEX(CODIFICACION!$E$2:$E$500,MATCH("P8|"&amp;CAPTURA!AE83,CODIFICACION!$F$2:$F$500,0))="sin dato","",INDEX(CODIFICACION!$E$2:$E$500,MATCH("P8|"&amp;CAPTURA!AE83,CODIFICACION!$F$2:$F$500,0))),"⚠"))</f>
        <v/>
      </c>
      <c r="E83" t="str">
        <f>IF(CAPTURA!AG83="","",IFERROR(IF(INDEX(CODIFICACION!$E$2:$E$500,MATCH("P10|"&amp;CAPTURA!AG83,CODIFICACION!$F$2:$F$500,0))="sin dato","",INDEX(CODIFICACION!$E$2:$E$500,MATCH("P10|"&amp;CAPTURA!AG83,CODIFICACION!$F$2:$F$500,0))),"⚠"))</f>
        <v/>
      </c>
      <c r="F83" t="str">
        <f>IF(CAPTURA!AJ83="","",IFERROR(IF(INDEX(CODIFICACION!$E$2:$E$500,MATCH("P13|"&amp;CAPTURA!AJ83,CODIFICACION!$F$2:$F$500,0))="sin dato","",INDEX(CODIFICACION!$E$2:$E$500,MATCH("P13|"&amp;CAPTURA!AJ83,CODIFICACION!$F$2:$F$500,0))),"⚠"))</f>
        <v/>
      </c>
      <c r="G83" t="str">
        <f>IF(CAPTURA!AK83="","",IFERROR(IF(INDEX(CODIFICACION!$E$2:$E$500,MATCH("P14|"&amp;CAPTURA!AK83,CODIFICACION!$F$2:$F$500,0))="sin dato","",INDEX(CODIFICACION!$E$2:$E$500,MATCH("P14|"&amp;CAPTURA!AK83,CODIFICACION!$F$2:$F$500,0))),"⚠"))</f>
        <v/>
      </c>
      <c r="H83" t="str">
        <f>IF(CAPTURA!AL83="","",IFERROR(IF(INDEX(CODIFICACION!$E$2:$E$500,MATCH("D1.1|"&amp;CAPTURA!AL83,CODIFICACION!$F$2:$F$500,0))="sin dato","",INDEX(CODIFICACION!$E$2:$E$500,MATCH("D1.1|"&amp;CAPTURA!AL83,CODIFICACION!$F$2:$F$500,0))),"⚠"))</f>
        <v/>
      </c>
      <c r="I83" t="str">
        <f>IF(CAPTURA!AN83="","",IFERROR(IF(INDEX(CODIFICACION!$E$2:$E$500,MATCH("D1.3|"&amp;CAPTURA!AN83,CODIFICACION!$F$2:$F$500,0))="sin dato","",INDEX(CODIFICACION!$E$2:$E$500,MATCH("D1.3|"&amp;CAPTURA!AN83,CODIFICACION!$F$2:$F$500,0))),"⚠"))</f>
        <v/>
      </c>
      <c r="J83" t="str">
        <f>IF(CAPTURA!AO83="","",IFERROR(IF(INDEX(CODIFICACION!$E$2:$E$500,MATCH("D1.4|"&amp;CAPTURA!AO83,CODIFICACION!$F$2:$F$500,0))="sin dato","",INDEX(CODIFICACION!$E$2:$E$500,MATCH("D1.4|"&amp;CAPTURA!AO83,CODIFICACION!$F$2:$F$500,0))),"⚠"))</f>
        <v/>
      </c>
      <c r="K83" t="str">
        <f>IF(CAPTURA!AP83="","",IFERROR(IF(INDEX(CODIFICACION!$E$2:$E$500,MATCH("D1.3a|"&amp;CAPTURA!AP83,CODIFICACION!$F$2:$F$500,0))="sin dato","",INDEX(CODIFICACION!$E$2:$E$500,MATCH("D1.3a|"&amp;CAPTURA!AP83,CODIFICACION!$F$2:$F$500,0))),"⚠"))</f>
        <v/>
      </c>
      <c r="L83" t="str">
        <f>IF(CAPTURA!AQ83="","",IF(AND(ISNUMBER(CAPTURA!AQ83),CAPTURA!AQ83&gt;=0,CAPTURA!AQ83&lt;=4),CAPTURA!AQ83*25,"⚠"))</f>
        <v/>
      </c>
      <c r="M83" t="str">
        <f>IF(CAPTURA!AR83="","",IF(ISNUMBER(CAPTURA!AR83),MAX(0,MIN(100,CAPTURA!AR83)),"⚠"))</f>
        <v/>
      </c>
      <c r="N83" t="str">
        <f>IF(CAPTURA!AS83="","",IF(AND(ISNUMBER(CAPTURA!AS83),CAPTURA!AS83&gt;=0,CAPTURA!AS83&lt;=4),CAPTURA!AS83*25,"⚠"))</f>
        <v/>
      </c>
      <c r="O83" t="str">
        <f>IF(CAPTURA!AT83="","",IFERROR(IF(INDEX(CODIFICACION!$E$2:$E$500,MATCH("D2.8|"&amp;CAPTURA!AT83,CODIFICACION!$F$2:$F$500,0))="sin dato","",INDEX(CODIFICACION!$E$2:$E$500,MATCH("D2.8|"&amp;CAPTURA!AT83,CODIFICACION!$F$2:$F$500,0))),"⚠"))</f>
        <v/>
      </c>
      <c r="P83" t="str">
        <f>IF(CAPTURA!AU83="","",IFERROR(IF(INDEX(CODIFICACION!$E$2:$E$500,MATCH("D2.9|"&amp;CAPTURA!AU83,CODIFICACION!$F$2:$F$500,0))="sin dato","",INDEX(CODIFICACION!$E$2:$E$500,MATCH("D2.9|"&amp;CAPTURA!AU83,CODIFICACION!$F$2:$F$500,0))),"⚠"))</f>
        <v/>
      </c>
      <c r="Q83" t="str">
        <f>IF(CAPTURA!AV83="","",IFERROR(IF(INDEX(CODIFICACION!$E$2:$E$500,MATCH("D2.10|"&amp;CAPTURA!AV83,CODIFICACION!$F$2:$F$500,0))="sin dato","",INDEX(CODIFICACION!$E$2:$E$500,MATCH("D2.10|"&amp;CAPTURA!AV83,CODIFICACION!$F$2:$F$500,0))),"⚠"))</f>
        <v/>
      </c>
      <c r="R83" t="str">
        <f>IF(CAPTURA!AW83="","",IFERROR(IF(INDEX(CODIFICACION!$E$2:$E$500,MATCH("D2.5a|"&amp;CAPTURA!AW83,CODIFICACION!$F$2:$F$500,0))="sin dato","",INDEX(CODIFICACION!$E$2:$E$500,MATCH("D2.5a|"&amp;CAPTURA!AW83,CODIFICACION!$F$2:$F$500,0))),"⚠"))</f>
        <v/>
      </c>
      <c r="S83" t="str">
        <f>IF(CAPTURA!AX83="","",IFERROR(IF(INDEX(CODIFICACION!$E$2:$E$500,MATCH("D2.5b|"&amp;CAPTURA!AX83,CODIFICACION!$F$2:$F$500,0))="sin dato","",INDEX(CODIFICACION!$E$2:$E$500,MATCH("D2.5b|"&amp;CAPTURA!AX83,CODIFICACION!$F$2:$F$500,0))),"⚠"))</f>
        <v/>
      </c>
      <c r="T83" t="str">
        <f>IF(CAPTURA!AY83="","",IF(ISNUMBER(CAPTURA!AY83),MAX(0,MIN(100,CAPTURA!AY83)),"⚠"))</f>
        <v/>
      </c>
      <c r="U83" t="str">
        <f>IF(CAPTURA!AZ83="","",IFERROR(IF(INDEX(CODIFICACION!$E$2:$E$500,MATCH("D3.12|"&amp;CAPTURA!AZ83,CODIFICACION!$F$2:$F$500,0))="sin dato","",INDEX(CODIFICACION!$E$2:$E$500,MATCH("D3.12|"&amp;CAPTURA!AZ83,CODIFICACION!$F$2:$F$500,0))),"⚠"))</f>
        <v/>
      </c>
      <c r="V83" t="str">
        <f>IF(CAPTURA!BA83="","",IF(AND(ISNUMBER(CAPTURA!BA83),CAPTURA!BA83&gt;=0,CAPTURA!BA83&lt;=4),CAPTURA!BA83*25,"⚠"))</f>
        <v/>
      </c>
      <c r="W83" t="str">
        <f>IF(CAPTURA!BB83="","",IFERROR(IF(INDEX(CODIFICACION!$E$2:$E$500,MATCH("D3.14|"&amp;CAPTURA!BB83,CODIFICACION!$F$2:$F$500,0))="sin dato","",INDEX(CODIFICACION!$E$2:$E$500,MATCH("D3.14|"&amp;CAPTURA!BB83,CODIFICACION!$F$2:$F$500,0))),"⚠"))</f>
        <v/>
      </c>
      <c r="X83" t="str">
        <f>IF(CAPTURA!BC83="","",IFERROR(IF(INDEX(CODIFICACION!$E$2:$E$500,MATCH("D3.14a|"&amp;CAPTURA!BC83,CODIFICACION!$F$2:$F$500,0))="sin dato","",INDEX(CODIFICACION!$E$2:$E$500,MATCH("D3.14a|"&amp;CAPTURA!BC83,CODIFICACION!$F$2:$F$500,0))),"⚠"))</f>
        <v/>
      </c>
      <c r="Y83" t="str">
        <f>IF(CAPTURA!BD83="","",IFERROR(IF(INDEX(CODIFICACION!$E$2:$E$500,MATCH("D3.14b|"&amp;CAPTURA!BD83,CODIFICACION!$F$2:$F$500,0))="sin dato","",INDEX(CODIFICACION!$E$2:$E$500,MATCH("D3.14b|"&amp;CAPTURA!BD83,CODIFICACION!$F$2:$F$500,0))),"⚠"))</f>
        <v/>
      </c>
      <c r="Z83" t="str">
        <f>IF(CAPTURA!BE83="","",IFERROR(IF(INDEX(CODIFICACION!$E$2:$E$500,MATCH("D3.14c|"&amp;CAPTURA!BE83,CODIFICACION!$F$2:$F$500,0))="sin dato","",INDEX(CODIFICACION!$E$2:$E$500,MATCH("D3.14c|"&amp;CAPTURA!BE83,CODIFICACION!$F$2:$F$500,0))),"⚠"))</f>
        <v/>
      </c>
      <c r="AA83" t="str">
        <f>IF(CAPTURA!BF83="","",IFERROR(IF(INDEX(CODIFICACION!$E$2:$E$500,MATCH("D3.14d|"&amp;CAPTURA!BF83,CODIFICACION!$F$2:$F$500,0))="sin dato","",INDEX(CODIFICACION!$E$2:$E$500,MATCH("D3.14d|"&amp;CAPTURA!BF83,CODIFICACION!$F$2:$F$500,0))),"⚠"))</f>
        <v/>
      </c>
      <c r="AB83" t="str">
        <f>IF(CAPTURA!BG83="","",IFERROR(IF(INDEX(CODIFICACION!$E$2:$E$500,MATCH("D3.14e|"&amp;CAPTURA!BG83,CODIFICACION!$F$2:$F$500,0))="sin dato","",INDEX(CODIFICACION!$E$2:$E$500,MATCH("D3.14e|"&amp;CAPTURA!BG83,CODIFICACION!$F$2:$F$500,0))),"⚠"))</f>
        <v/>
      </c>
      <c r="AC83" t="str">
        <f>IF(CAPTURA!BH83="","",IFERROR(IF(INDEX(CODIFICACION!$E$2:$E$500,MATCH("D3.14f|"&amp;CAPTURA!BH83,CODIFICACION!$F$2:$F$500,0))="sin dato","",INDEX(CODIFICACION!$E$2:$E$500,MATCH("D3.14f|"&amp;CAPTURA!BH83,CODIFICACION!$F$2:$F$500,0))),"⚠"))</f>
        <v/>
      </c>
      <c r="AD83" t="str">
        <f>IF(CAPTURA!BI83="","",IFERROR(IF(INDEX(CODIFICACION!$E$2:$E$500,MATCH("D3.14g|"&amp;CAPTURA!BI83,CODIFICACION!$F$2:$F$500,0))="sin dato","",INDEX(CODIFICACION!$E$2:$E$500,MATCH("D3.14g|"&amp;CAPTURA!BI83,CODIFICACION!$F$2:$F$500,0))),"⚠"))</f>
        <v/>
      </c>
      <c r="AE83" t="str">
        <f>IF(CAPTURA!BJ83="","",IFERROR(IF(INDEX(CODIFICACION!$E$2:$E$500,MATCH("D3.14h|"&amp;CAPTURA!BJ83,CODIFICACION!$F$2:$F$500,0))="sin dato","",INDEX(CODIFICACION!$E$2:$E$500,MATCH("D3.14h|"&amp;CAPTURA!BJ83,CODIFICACION!$F$2:$F$500,0))),"⚠"))</f>
        <v/>
      </c>
      <c r="AF83" t="str">
        <f>IF(CAPTURA!BK83="","",IFERROR(IF(INDEX(CODIFICACION!$E$2:$E$500,MATCH("D3.14i|"&amp;CAPTURA!BK83,CODIFICACION!$F$2:$F$500,0))="sin dato","",INDEX(CODIFICACION!$E$2:$E$500,MATCH("D3.14i|"&amp;CAPTURA!BK83,CODIFICACION!$F$2:$F$500,0))),"⚠"))</f>
        <v/>
      </c>
      <c r="AG83" t="str">
        <f>IF(CAPTURA!BL83="","",IFERROR(IF(INDEX(CODIFICACION!$E$2:$E$500,MATCH("D4.15|"&amp;CAPTURA!BL83,CODIFICACION!$F$2:$F$500,0))="sin dato","",INDEX(CODIFICACION!$E$2:$E$500,MATCH("D4.15|"&amp;CAPTURA!BL83,CODIFICACION!$F$2:$F$500,0))),"⚠"))</f>
        <v/>
      </c>
      <c r="AH83" t="str">
        <f>IF(CAPTURA!BM83="","",IF(AND(ISNUMBER(CAPTURA!BM83),CAPTURA!BM83&gt;=0,CAPTURA!BM83&lt;=4),CAPTURA!BM83*25,"⚠"))</f>
        <v/>
      </c>
      <c r="AI83" t="str">
        <f>IF(CAPTURA!BN83="","",IFERROR(IF(INDEX(CODIFICACION!$E$2:$E$500,MATCH("D4.17|"&amp;CAPTURA!BN83,CODIFICACION!$F$2:$F$500,0))="sin dato","",INDEX(CODIFICACION!$E$2:$E$500,MATCH("D4.17|"&amp;CAPTURA!BN83,CODIFICACION!$F$2:$F$500,0))),"⚠"))</f>
        <v/>
      </c>
      <c r="AJ83" t="str">
        <f>IF(CAPTURA!BO83="","",IFERROR(IF(INDEX(CODIFICACION!$E$2:$E$500,MATCH("D4.15a|"&amp;CAPTURA!BO83,CODIFICACION!$F$2:$F$500,0))="sin dato","",INDEX(CODIFICACION!$E$2:$E$500,MATCH("D4.15a|"&amp;CAPTURA!BO83,CODIFICACION!$F$2:$F$500,0))),"⚠"))</f>
        <v/>
      </c>
      <c r="AK83" t="str">
        <f>IF(CAPTURA!BP83="","",IF(AND(ISNUMBER(CAPTURA!BP83),CAPTURA!BP83&gt;=0,CAPTURA!BP83&lt;=4),CAPTURA!BP83*25,"⚠"))</f>
        <v/>
      </c>
      <c r="AL83" t="str">
        <f>IF(CAPTURA!BQ83="","",IF(AND(ISNUMBER(CAPTURA!BQ83),CAPTURA!BQ83&gt;=0,CAPTURA!BQ83&lt;=4),CAPTURA!BQ83*25,"⚠"))</f>
        <v/>
      </c>
      <c r="AM83" t="str">
        <f>IF(CAPTURA!BR83="","",IFERROR(IF(INDEX(CODIFICACION!$E$2:$E$500,MATCH("D5.18b|"&amp;CAPTURA!BR83,CODIFICACION!$F$2:$F$500,0))="sin dato","",INDEX(CODIFICACION!$E$2:$E$500,MATCH("D5.18b|"&amp;CAPTURA!BR83,CODIFICACION!$F$2:$F$500,0))),"⚠"))</f>
        <v/>
      </c>
      <c r="AN83" t="str">
        <f>IF(CAPTURA!BS83="","",IFERROR(IF(INDEX(CODIFICACION!$E$2:$E$500,MATCH("D5.19|"&amp;CAPTURA!BS83,CODIFICACION!$F$2:$F$500,0))="sin dato","",INDEX(CODIFICACION!$E$2:$E$500,MATCH("D5.19|"&amp;CAPTURA!BS83,CODIFICACION!$F$2:$F$500,0))),"⚠"))</f>
        <v/>
      </c>
      <c r="AO83" t="str">
        <f>IF(CAPTURA!BT83="","",MIN(100,ROUND((LEN(CAPTURA!BT83)-LEN(SUBSTITUTE(CAPTURA!BT83,";",""))+1)/7*100,1)))</f>
        <v/>
      </c>
      <c r="AP83" t="str">
        <f>IF(CAPTURA!BU83="","",IFERROR(IF(INDEX(CODIFICACION!$E$2:$E$500,MATCH("D5.20|"&amp;CAPTURA!BU83,CODIFICACION!$F$2:$F$500,0))="sin dato","",INDEX(CODIFICACION!$E$2:$E$500,MATCH("D5.20|"&amp;CAPTURA!BU83,CODIFICACION!$F$2:$F$500,0))),"⚠"))</f>
        <v/>
      </c>
      <c r="AQ83" t="str">
        <f>IF(CAPTURA!BV83="","",IFERROR(IF(INDEX(CODIFICACION!$E$2:$E$500,MATCH("D5.21|"&amp;CAPTURA!BV83,CODIFICACION!$F$2:$F$500,0))="sin dato","",INDEX(CODIFICACION!$E$2:$E$500,MATCH("D5.21|"&amp;CAPTURA!BV83,CODIFICACION!$F$2:$F$500,0))),"⚠"))</f>
        <v/>
      </c>
      <c r="AR83" t="str">
        <f>IF(CAPTURA!BW83="","",IFERROR(IF(INDEX(CODIFICACION!$E$2:$E$500,MATCH("D5.21a|"&amp;CAPTURA!BW83,CODIFICACION!$F$2:$F$500,0))="sin dato","",INDEX(CODIFICACION!$E$2:$E$500,MATCH("D5.21a|"&amp;CAPTURA!BW83,CODIFICACION!$F$2:$F$500,0))),"⚠"))</f>
        <v/>
      </c>
      <c r="AS83" t="str">
        <f>IF(CAPTURA!BX83="","",IFERROR(IF(INDEX(CODIFICACION!$E$2:$E$500,MATCH("D5.21b|"&amp;CAPTURA!BX83,CODIFICACION!$F$2:$F$500,0))="sin dato","",INDEX(CODIFICACION!$E$2:$E$500,MATCH("D5.21b|"&amp;CAPTURA!BX83,CODIFICACION!$F$2:$F$500,0))),"⚠"))</f>
        <v/>
      </c>
      <c r="AT83" t="str">
        <f>IF(CAPTURA!BY83="","",IFERROR(IF(INDEX(CODIFICACION!$E$2:$E$500,MATCH("D6.22|"&amp;CAPTURA!BY83,CODIFICACION!$F$2:$F$500,0))="sin dato","",INDEX(CODIFICACION!$E$2:$E$500,MATCH("D6.22|"&amp;CAPTURA!BY83,CODIFICACION!$F$2:$F$500,0))),"⚠"))</f>
        <v/>
      </c>
      <c r="AU83" t="str">
        <f>IF(CAPTURA!BZ83="","",IFERROR(IF(INDEX(CODIFICACION!$E$2:$E$500,MATCH("D6.22a|"&amp;CAPTURA!BZ83,CODIFICACION!$F$2:$F$500,0))="sin dato","",INDEX(CODIFICACION!$E$2:$E$500,MATCH("D6.22a|"&amp;CAPTURA!BZ83,CODIFICACION!$F$2:$F$500,0))),"⚠"))</f>
        <v/>
      </c>
      <c r="AV83" t="str">
        <f>IF(CAPTURA!CA83="","",IFERROR(IF(INDEX(CODIFICACION!$E$2:$E$500,MATCH("D6.22b|"&amp;CAPTURA!CA83,CODIFICACION!$F$2:$F$500,0))="sin dato","",INDEX(CODIFICACION!$E$2:$E$500,MATCH("D6.22b|"&amp;CAPTURA!CA83,CODIFICACION!$F$2:$F$500,0))),"⚠"))</f>
        <v/>
      </c>
      <c r="AW83" t="str">
        <f>IF(CAPTURA!CB83="","",IFERROR(IF(INDEX(CODIFICACION!$E$2:$E$500,MATCH("D6.23|"&amp;CAPTURA!CB83,CODIFICACION!$F$2:$F$500,0))="sin dato","",INDEX(CODIFICACION!$E$2:$E$500,MATCH("D6.23|"&amp;CAPTURA!CB83,CODIFICACION!$F$2:$F$500,0))),"⚠"))</f>
        <v/>
      </c>
      <c r="AX83" t="str">
        <f>IF(CAPTURA!CC83="","",IFERROR(IF(INDEX(CODIFICACION!$E$2:$E$500,MATCH("D6.24|"&amp;CAPTURA!CC83,CODIFICACION!$F$2:$F$500,0))="sin dato","",INDEX(CODIFICACION!$E$2:$E$500,MATCH("D6.24|"&amp;CAPTURA!CC83,CODIFICACION!$F$2:$F$500,0))),"⚠"))</f>
        <v/>
      </c>
      <c r="AY83" t="str">
        <f>IF(CAPTURA!CD83="","",IFERROR(IF(INDEX(CODIFICACION!$E$2:$E$500,MATCH("D6.25|"&amp;CAPTURA!CD83,CODIFICACION!$F$2:$F$500,0))="sin dato","",INDEX(CODIFICACION!$E$2:$E$500,MATCH("D6.25|"&amp;CAPTURA!CD83,CODIFICACION!$F$2:$F$500,0))),"⚠"))</f>
        <v/>
      </c>
      <c r="AZ83" t="str">
        <f>IF(CAPTURA!CE83="","",IFERROR(IF(INDEX(CODIFICACION!$E$2:$E$500,MATCH("D6.25a|"&amp;CAPTURA!CE83,CODIFICACION!$F$2:$F$500,0))="sin dato","",INDEX(CODIFICACION!$E$2:$E$500,MATCH("D6.25a|"&amp;CAPTURA!CE83,CODIFICACION!$F$2:$F$500,0))),"⚠"))</f>
        <v/>
      </c>
      <c r="BA83" t="str">
        <f>IF(CAPTURA!CF83="","",IFERROR(IF(INDEX(CODIFICACION!$E$2:$E$500,MATCH("D6.25b|"&amp;CAPTURA!CF83,CODIFICACION!$F$2:$F$500,0))="sin dato","",INDEX(CODIFICACION!$E$2:$E$500,MATCH("D6.25b|"&amp;CAPTURA!CF83,CODIFICACION!$F$2:$F$500,0))),"⚠"))</f>
        <v/>
      </c>
      <c r="BB83" t="str">
        <f>IF(CAPTURA!CG83="","",IFERROR(IF(INDEX(CODIFICACION!$E$2:$E$500,MATCH("D6.22c|"&amp;CAPTURA!CG83,CODIFICACION!$F$2:$F$500,0))="sin dato","",INDEX(CODIFICACION!$E$2:$E$500,MATCH("D6.22c|"&amp;CAPTURA!CG83,CODIFICACION!$F$2:$F$500,0))),"⚠"))</f>
        <v/>
      </c>
      <c r="BC83" t="str">
        <f>IF(CAPTURA!CH83="","",IFERROR(IF(INDEX(CODIFICACION!$E$2:$E$500,MATCH("D7.26|"&amp;CAPTURA!CH83,CODIFICACION!$F$2:$F$500,0))="sin dato","",INDEX(CODIFICACION!$E$2:$E$500,MATCH("D7.26|"&amp;CAPTURA!CH83,CODIFICACION!$F$2:$F$500,0))),"⚠"))</f>
        <v/>
      </c>
      <c r="BD83" t="str">
        <f>IF(CAPTURA!CI83="","",IFERROR(IF(INDEX(CODIFICACION!$E$2:$E$500,MATCH("D7.27|"&amp;CAPTURA!CI83,CODIFICACION!$F$2:$F$500,0))="sin dato","",INDEX(CODIFICACION!$E$2:$E$500,MATCH("D7.27|"&amp;CAPTURA!CI83,CODIFICACION!$F$2:$F$500,0))),"⚠"))</f>
        <v/>
      </c>
      <c r="BE83" t="str">
        <f>IF(CAPTURA!CJ83="","",IFERROR(IF(INDEX(CODIFICACION!$E$2:$E$500,MATCH("D7.28|"&amp;CAPTURA!CJ83,CODIFICACION!$F$2:$F$500,0))="sin dato","",INDEX(CODIFICACION!$E$2:$E$500,MATCH("D7.28|"&amp;CAPTURA!CJ83,CODIFICACION!$F$2:$F$500,0))),"⚠"))</f>
        <v/>
      </c>
      <c r="BF83" t="str">
        <f>IF(CAPTURA!CK83="","",IFERROR(IF(INDEX(CODIFICACION!$E$2:$E$500,MATCH("D7.28b|"&amp;CAPTURA!CK83,CODIFICACION!$F$2:$F$500,0))="sin dato","",INDEX(CODIFICACION!$E$2:$E$500,MATCH("D7.28b|"&amp;CAPTURA!CK83,CODIFICACION!$F$2:$F$500,0))),"⚠"))</f>
        <v/>
      </c>
      <c r="BG83" t="str">
        <f>IF(CAPTURA!CL83="","",MIN(100,ROUND((LEN(CAPTURA!CL83)-LEN(SUBSTITUTE(CAPTURA!CL83,";",""))+1)/8*100,1)))</f>
        <v/>
      </c>
      <c r="BH83" t="str">
        <f>IF(CAPTURA!CM83="","",IFERROR(IF(INDEX(CODIFICACION!$E$2:$E$500,MATCH("D7.26a|"&amp;CAPTURA!CM83,CODIFICACION!$F$2:$F$500,0))="sin dato","",INDEX(CODIFICACION!$E$2:$E$500,MATCH("D7.26a|"&amp;CAPTURA!CM83,CODIFICACION!$F$2:$F$500,0))),"⚠"))</f>
        <v/>
      </c>
      <c r="BI83" t="str">
        <f>IF(CAPTURA!CN83="","",IFERROR(IF(INDEX(CODIFICACION!$E$2:$E$500,MATCH("D7.26b|"&amp;CAPTURA!CN83,CODIFICACION!$F$2:$F$500,0))="sin dato","",INDEX(CODIFICACION!$E$2:$E$500,MATCH("D7.26b|"&amp;CAPTURA!CN83,CODIFICACION!$F$2:$F$500,0))),"⚠"))</f>
        <v/>
      </c>
      <c r="BJ83" t="str">
        <f>IF(CAPTURA!CO83="","",IF(AND(ISNUMBER(CAPTURA!CO83),CAPTURA!CO83&gt;=0,CAPTURA!CO83&lt;=4),CAPTURA!CO83*25,"⚠"))</f>
        <v/>
      </c>
      <c r="BK83" t="str">
        <f>IF(CAPTURA!CP83="","",IF(ISNUMBER(CAPTURA!CP83),MAX(0,MIN(100,CAPTURA!CP83)),"⚠"))</f>
        <v/>
      </c>
      <c r="BL83" t="str">
        <f>IF(CAPTURA!CQ83="","",IFERROR(IF(INDEX(CODIFICACION!$E$2:$E$500,MATCH("D8.31|"&amp;CAPTURA!CQ83,CODIFICACION!$F$2:$F$500,0))="sin dato","",INDEX(CODIFICACION!$E$2:$E$500,MATCH("D8.31|"&amp;CAPTURA!CQ83,CODIFICACION!$F$2:$F$500,0))),"⚠"))</f>
        <v/>
      </c>
      <c r="BM83" t="str">
        <f>IF(CAPTURA!CR83="","",IFERROR(IF(INDEX(CODIFICACION!$E$2:$E$500,MATCH("D8.32|"&amp;CAPTURA!CR83,CODIFICACION!$F$2:$F$500,0))="sin dato","",INDEX(CODIFICACION!$E$2:$E$500,MATCH("D8.32|"&amp;CAPTURA!CR83,CODIFICACION!$F$2:$F$500,0))),"⚠"))</f>
        <v/>
      </c>
      <c r="BN83" t="str">
        <f>IF(CAPTURA!CS83="","",IFERROR(IF(INDEX(CODIFICACION!$E$2:$E$500,MATCH("D9.33|"&amp;CAPTURA!CS83,CODIFICACION!$F$2:$F$500,0))="sin dato","",INDEX(CODIFICACION!$E$2:$E$500,MATCH("D9.33|"&amp;CAPTURA!CS83,CODIFICACION!$F$2:$F$500,0))),"⚠"))</f>
        <v/>
      </c>
      <c r="BO83" t="str">
        <f>IF(CAPTURA!CT83="","",IFERROR(IF(INDEX(CODIFICACION!$E$2:$E$500,MATCH("D9.34|"&amp;CAPTURA!CT83,CODIFICACION!$F$2:$F$500,0))="sin dato","",INDEX(CODIFICACION!$E$2:$E$500,MATCH("D9.34|"&amp;CAPTURA!CT83,CODIFICACION!$F$2:$F$500,0))),"⚠"))</f>
        <v/>
      </c>
      <c r="BP83" t="str">
        <f>IF(CAPTURA!CU83="","",IFERROR(IF(INDEX(CODIFICACION!$E$2:$E$500,MATCH("D9.35|"&amp;CAPTURA!CU83,CODIFICACION!$F$2:$F$500,0))="sin dato","",INDEX(CODIFICACION!$E$2:$E$500,MATCH("D9.35|"&amp;CAPTURA!CU83,CODIFICACION!$F$2:$F$500,0))),"⚠"))</f>
        <v/>
      </c>
      <c r="BQ83" t="str">
        <f>IF(CAPTURA!CV83="","",IFERROR(IF(INDEX(CODIFICACION!$E$2:$E$500,MATCH("D10.36|"&amp;CAPTURA!CV83,CODIFICACION!$F$2:$F$500,0))="sin dato","",INDEX(CODIFICACION!$E$2:$E$500,MATCH("D10.36|"&amp;CAPTURA!CV83,CODIFICACION!$F$2:$F$500,0))),"⚠"))</f>
        <v/>
      </c>
      <c r="BR83" t="str">
        <f>IF(CAPTURA!CW83="","",IFERROR(IF(INDEX(CODIFICACION!$E$2:$E$500,MATCH("D10.37|"&amp;CAPTURA!CW83,CODIFICACION!$F$2:$F$500,0))="sin dato","",INDEX(CODIFICACION!$E$2:$E$500,MATCH("D10.37|"&amp;CAPTURA!CW83,CODIFICACION!$F$2:$F$500,0))),"⚠"))</f>
        <v/>
      </c>
      <c r="BS83" t="str">
        <f>IF(CAPTURA!CX83="","",IFERROR(IF(INDEX(CODIFICACION!$E$2:$E$500,MATCH("D10.36a|"&amp;CAPTURA!CX83,CODIFICACION!$F$2:$F$500,0))="sin dato","",INDEX(CODIFICACION!$E$2:$E$500,MATCH("D10.36a|"&amp;CAPTURA!CX83,CODIFICACION!$F$2:$F$500,0))),"⚠"))</f>
        <v/>
      </c>
      <c r="BT83" t="str">
        <f>IF(CAPTURA!CY83="","",IF(ISNUMBER(SEARCH("Ninguno",CAPTURA!CY83)),0,MIN(100,ROUND((LEN(CAPTURA!CY83)-LEN(SUBSTITUTE(CAPTURA!CY83,";",""))+1)/6*100,1))))</f>
        <v/>
      </c>
      <c r="BU83" t="str">
        <f>IF(CAPTURA!DA83="","",IFERROR(IF(INDEX(CODIFICACION!$E$2:$E$500,MATCH("D11.39a|"&amp;CAPTURA!DA83,CODIFICACION!$F$2:$F$500,0))="sin dato","",INDEX(CODIFICACION!$E$2:$E$500,MATCH("D11.39a|"&amp;CAPTURA!DA83,CODIFICACION!$F$2:$F$500,0))),"⚠"))</f>
        <v/>
      </c>
      <c r="BV83" t="str">
        <f>IF(CAPTURA!DB83="","",IFERROR(IF(INDEX(CODIFICACION!$E$2:$E$500,MATCH("D12.42|"&amp;CAPTURA!DB83,CODIFICACION!$F$2:$F$500,0))="sin dato","",INDEX(CODIFICACION!$E$2:$E$500,MATCH("D12.42|"&amp;CAPTURA!DB83,CODIFICACION!$F$2:$F$500,0))),"⚠"))</f>
        <v/>
      </c>
      <c r="BW83" t="str">
        <f>IF(CAPTURA!DC83="","",IFERROR(IF(INDEX(CODIFICACION!$E$2:$E$500,MATCH("D13.45|"&amp;CAPTURA!DC83,CODIFICACION!$F$2:$F$500,0))="sin dato","",INDEX(CODIFICACION!$E$2:$E$500,MATCH("D13.45|"&amp;CAPTURA!DC83,CODIFICACION!$F$2:$F$500,0))),"⚠"))</f>
        <v/>
      </c>
      <c r="BX83" t="str">
        <f>IF(CAPTURA!DD83="","",IFERROR(IF(INDEX(CODIFICACION!$E$2:$E$500,MATCH("D14.51|"&amp;CAPTURA!DD83,CODIFICACION!$F$2:$F$500,0))="sin dato","",INDEX(CODIFICACION!$E$2:$E$500,MATCH("D14.51|"&amp;CAPTURA!DD83,CODIFICACION!$F$2:$F$500,0))),"⚠"))</f>
        <v/>
      </c>
      <c r="BY83" t="str">
        <f>IF(CAPTURA!DE83="","",IFERROR(IF(INDEX(CODIFICACION!$E$2:$E$500,MATCH("D15.58|"&amp;CAPTURA!DE83,CODIFICACION!$F$2:$F$500,0))="sin dato","",INDEX(CODIFICACION!$E$2:$E$500,MATCH("D15.58|"&amp;CAPTURA!DE83,CODIFICACION!$F$2:$F$500,0))),"⚠"))</f>
        <v/>
      </c>
      <c r="BZ83" t="str">
        <f>IF(CAPTURA!DF83="","",IFERROR(IF(INDEX(CODIFICACION!$E$2:$E$500,MATCH("PP1|"&amp;CAPTURA!DF83,CODIFICACION!$F$2:$F$500,0))="sin dato","",INDEX(CODIFICACION!$E$2:$E$500,MATCH("PP1|"&amp;CAPTURA!DF83,CODIFICACION!$F$2:$F$500,0))),"⚠"))</f>
        <v/>
      </c>
      <c r="CA83" t="str">
        <f>IF(CAPTURA!DG83="","",IFERROR(IF(INDEX(CODIFICACION!$E$2:$E$500,MATCH("PP2|"&amp;CAPTURA!DG83,CODIFICACION!$F$2:$F$500,0))="sin dato","",INDEX(CODIFICACION!$E$2:$E$500,MATCH("PP2|"&amp;CAPTURA!DG83,CODIFICACION!$F$2:$F$500,0))),"⚠"))</f>
        <v/>
      </c>
      <c r="CB83" t="str">
        <f t="shared" si="22"/>
        <v/>
      </c>
      <c r="CC83" t="str">
        <f t="shared" si="23"/>
        <v/>
      </c>
      <c r="CD83" t="str">
        <f t="shared" si="24"/>
        <v/>
      </c>
      <c r="CE83" t="str">
        <f t="shared" si="25"/>
        <v/>
      </c>
      <c r="CF83" t="str">
        <f t="shared" si="26"/>
        <v/>
      </c>
      <c r="CG83" t="str">
        <f t="shared" si="27"/>
        <v/>
      </c>
      <c r="CH83" t="str">
        <f t="shared" si="28"/>
        <v/>
      </c>
      <c r="CI83" t="str">
        <f t="shared" si="29"/>
        <v/>
      </c>
      <c r="CJ83" t="str">
        <f t="shared" si="30"/>
        <v/>
      </c>
      <c r="CK83" t="str">
        <f t="shared" si="31"/>
        <v/>
      </c>
      <c r="CL83" t="str">
        <f t="shared" si="32"/>
        <v/>
      </c>
    </row>
    <row r="84" spans="1:90" x14ac:dyDescent="0.3">
      <c r="A84">
        <f>CAPTURA!A84</f>
        <v>20568190450</v>
      </c>
      <c r="B84">
        <f>CAPTURA!C84</f>
        <v>0</v>
      </c>
      <c r="C84" t="str">
        <f>IF(CAPTURA!M84="","",ROUND((ISNUMBER(SEARCH("Alemania",CAPTURA!M84))+ISNUMBER(SEARCH("Bélgica",CAPTURA!M84))+ISNUMBER(SEARCH("Países Bajos",CAPTURA!M84))+ISNUMBER(SEARCH("Francia",CAPTURA!M84))+ISNUMBER(SEARCH("Italia",CAPTURA!M84))+ISNUMBER(SEARCH("España",CAPTURA!M84))+ISNUMBER(SEARCH("Suecia",CAPTURA!M84))+ISNUMBER(SEARCH("Dinamarca",CAPTURA!M84)))/((LEN(CAPTURA!M84)-LEN(SUBSTITUTE(CAPTURA!M84,";","")))+1)*100,1))</f>
        <v/>
      </c>
      <c r="D84" t="str">
        <f>IF(CAPTURA!AE84="","",IFERROR(IF(INDEX(CODIFICACION!$E$2:$E$500,MATCH("P8|"&amp;CAPTURA!AE84,CODIFICACION!$F$2:$F$500,0))="sin dato","",INDEX(CODIFICACION!$E$2:$E$500,MATCH("P8|"&amp;CAPTURA!AE84,CODIFICACION!$F$2:$F$500,0))),"⚠"))</f>
        <v/>
      </c>
      <c r="E84" t="str">
        <f>IF(CAPTURA!AG84="","",IFERROR(IF(INDEX(CODIFICACION!$E$2:$E$500,MATCH("P10|"&amp;CAPTURA!AG84,CODIFICACION!$F$2:$F$500,0))="sin dato","",INDEX(CODIFICACION!$E$2:$E$500,MATCH("P10|"&amp;CAPTURA!AG84,CODIFICACION!$F$2:$F$500,0))),"⚠"))</f>
        <v/>
      </c>
      <c r="F84" t="str">
        <f>IF(CAPTURA!AJ84="","",IFERROR(IF(INDEX(CODIFICACION!$E$2:$E$500,MATCH("P13|"&amp;CAPTURA!AJ84,CODIFICACION!$F$2:$F$500,0))="sin dato","",INDEX(CODIFICACION!$E$2:$E$500,MATCH("P13|"&amp;CAPTURA!AJ84,CODIFICACION!$F$2:$F$500,0))),"⚠"))</f>
        <v/>
      </c>
      <c r="G84" t="str">
        <f>IF(CAPTURA!AK84="","",IFERROR(IF(INDEX(CODIFICACION!$E$2:$E$500,MATCH("P14|"&amp;CAPTURA!AK84,CODIFICACION!$F$2:$F$500,0))="sin dato","",INDEX(CODIFICACION!$E$2:$E$500,MATCH("P14|"&amp;CAPTURA!AK84,CODIFICACION!$F$2:$F$500,0))),"⚠"))</f>
        <v/>
      </c>
      <c r="H84" t="str">
        <f>IF(CAPTURA!AL84="","",IFERROR(IF(INDEX(CODIFICACION!$E$2:$E$500,MATCH("D1.1|"&amp;CAPTURA!AL84,CODIFICACION!$F$2:$F$500,0))="sin dato","",INDEX(CODIFICACION!$E$2:$E$500,MATCH("D1.1|"&amp;CAPTURA!AL84,CODIFICACION!$F$2:$F$500,0))),"⚠"))</f>
        <v/>
      </c>
      <c r="I84" t="str">
        <f>IF(CAPTURA!AN84="","",IFERROR(IF(INDEX(CODIFICACION!$E$2:$E$500,MATCH("D1.3|"&amp;CAPTURA!AN84,CODIFICACION!$F$2:$F$500,0))="sin dato","",INDEX(CODIFICACION!$E$2:$E$500,MATCH("D1.3|"&amp;CAPTURA!AN84,CODIFICACION!$F$2:$F$500,0))),"⚠"))</f>
        <v/>
      </c>
      <c r="J84" t="str">
        <f>IF(CAPTURA!AO84="","",IFERROR(IF(INDEX(CODIFICACION!$E$2:$E$500,MATCH("D1.4|"&amp;CAPTURA!AO84,CODIFICACION!$F$2:$F$500,0))="sin dato","",INDEX(CODIFICACION!$E$2:$E$500,MATCH("D1.4|"&amp;CAPTURA!AO84,CODIFICACION!$F$2:$F$500,0))),"⚠"))</f>
        <v/>
      </c>
      <c r="K84" t="str">
        <f>IF(CAPTURA!AP84="","",IFERROR(IF(INDEX(CODIFICACION!$E$2:$E$500,MATCH("D1.3a|"&amp;CAPTURA!AP84,CODIFICACION!$F$2:$F$500,0))="sin dato","",INDEX(CODIFICACION!$E$2:$E$500,MATCH("D1.3a|"&amp;CAPTURA!AP84,CODIFICACION!$F$2:$F$500,0))),"⚠"))</f>
        <v/>
      </c>
      <c r="L84" t="str">
        <f>IF(CAPTURA!AQ84="","",IF(AND(ISNUMBER(CAPTURA!AQ84),CAPTURA!AQ84&gt;=0,CAPTURA!AQ84&lt;=4),CAPTURA!AQ84*25,"⚠"))</f>
        <v/>
      </c>
      <c r="M84" t="str">
        <f>IF(CAPTURA!AR84="","",IF(ISNUMBER(CAPTURA!AR84),MAX(0,MIN(100,CAPTURA!AR84)),"⚠"))</f>
        <v/>
      </c>
      <c r="N84" t="str">
        <f>IF(CAPTURA!AS84="","",IF(AND(ISNUMBER(CAPTURA!AS84),CAPTURA!AS84&gt;=0,CAPTURA!AS84&lt;=4),CAPTURA!AS84*25,"⚠"))</f>
        <v/>
      </c>
      <c r="O84" t="str">
        <f>IF(CAPTURA!AT84="","",IFERROR(IF(INDEX(CODIFICACION!$E$2:$E$500,MATCH("D2.8|"&amp;CAPTURA!AT84,CODIFICACION!$F$2:$F$500,0))="sin dato","",INDEX(CODIFICACION!$E$2:$E$500,MATCH("D2.8|"&amp;CAPTURA!AT84,CODIFICACION!$F$2:$F$500,0))),"⚠"))</f>
        <v/>
      </c>
      <c r="P84" t="str">
        <f>IF(CAPTURA!AU84="","",IFERROR(IF(INDEX(CODIFICACION!$E$2:$E$500,MATCH("D2.9|"&amp;CAPTURA!AU84,CODIFICACION!$F$2:$F$500,0))="sin dato","",INDEX(CODIFICACION!$E$2:$E$500,MATCH("D2.9|"&amp;CAPTURA!AU84,CODIFICACION!$F$2:$F$500,0))),"⚠"))</f>
        <v/>
      </c>
      <c r="Q84" t="str">
        <f>IF(CAPTURA!AV84="","",IFERROR(IF(INDEX(CODIFICACION!$E$2:$E$500,MATCH("D2.10|"&amp;CAPTURA!AV84,CODIFICACION!$F$2:$F$500,0))="sin dato","",INDEX(CODIFICACION!$E$2:$E$500,MATCH("D2.10|"&amp;CAPTURA!AV84,CODIFICACION!$F$2:$F$500,0))),"⚠"))</f>
        <v/>
      </c>
      <c r="R84" t="str">
        <f>IF(CAPTURA!AW84="","",IFERROR(IF(INDEX(CODIFICACION!$E$2:$E$500,MATCH("D2.5a|"&amp;CAPTURA!AW84,CODIFICACION!$F$2:$F$500,0))="sin dato","",INDEX(CODIFICACION!$E$2:$E$500,MATCH("D2.5a|"&amp;CAPTURA!AW84,CODIFICACION!$F$2:$F$500,0))),"⚠"))</f>
        <v/>
      </c>
      <c r="S84" t="str">
        <f>IF(CAPTURA!AX84="","",IFERROR(IF(INDEX(CODIFICACION!$E$2:$E$500,MATCH("D2.5b|"&amp;CAPTURA!AX84,CODIFICACION!$F$2:$F$500,0))="sin dato","",INDEX(CODIFICACION!$E$2:$E$500,MATCH("D2.5b|"&amp;CAPTURA!AX84,CODIFICACION!$F$2:$F$500,0))),"⚠"))</f>
        <v/>
      </c>
      <c r="T84" t="str">
        <f>IF(CAPTURA!AY84="","",IF(ISNUMBER(CAPTURA!AY84),MAX(0,MIN(100,CAPTURA!AY84)),"⚠"))</f>
        <v/>
      </c>
      <c r="U84" t="str">
        <f>IF(CAPTURA!AZ84="","",IFERROR(IF(INDEX(CODIFICACION!$E$2:$E$500,MATCH("D3.12|"&amp;CAPTURA!AZ84,CODIFICACION!$F$2:$F$500,0))="sin dato","",INDEX(CODIFICACION!$E$2:$E$500,MATCH("D3.12|"&amp;CAPTURA!AZ84,CODIFICACION!$F$2:$F$500,0))),"⚠"))</f>
        <v/>
      </c>
      <c r="V84" t="str">
        <f>IF(CAPTURA!BA84="","",IF(AND(ISNUMBER(CAPTURA!BA84),CAPTURA!BA84&gt;=0,CAPTURA!BA84&lt;=4),CAPTURA!BA84*25,"⚠"))</f>
        <v/>
      </c>
      <c r="W84" t="str">
        <f>IF(CAPTURA!BB84="","",IFERROR(IF(INDEX(CODIFICACION!$E$2:$E$500,MATCH("D3.14|"&amp;CAPTURA!BB84,CODIFICACION!$F$2:$F$500,0))="sin dato","",INDEX(CODIFICACION!$E$2:$E$500,MATCH("D3.14|"&amp;CAPTURA!BB84,CODIFICACION!$F$2:$F$500,0))),"⚠"))</f>
        <v/>
      </c>
      <c r="X84" t="str">
        <f>IF(CAPTURA!BC84="","",IFERROR(IF(INDEX(CODIFICACION!$E$2:$E$500,MATCH("D3.14a|"&amp;CAPTURA!BC84,CODIFICACION!$F$2:$F$500,0))="sin dato","",INDEX(CODIFICACION!$E$2:$E$500,MATCH("D3.14a|"&amp;CAPTURA!BC84,CODIFICACION!$F$2:$F$500,0))),"⚠"))</f>
        <v/>
      </c>
      <c r="Y84" t="str">
        <f>IF(CAPTURA!BD84="","",IFERROR(IF(INDEX(CODIFICACION!$E$2:$E$500,MATCH("D3.14b|"&amp;CAPTURA!BD84,CODIFICACION!$F$2:$F$500,0))="sin dato","",INDEX(CODIFICACION!$E$2:$E$500,MATCH("D3.14b|"&amp;CAPTURA!BD84,CODIFICACION!$F$2:$F$500,0))),"⚠"))</f>
        <v/>
      </c>
      <c r="Z84" t="str">
        <f>IF(CAPTURA!BE84="","",IFERROR(IF(INDEX(CODIFICACION!$E$2:$E$500,MATCH("D3.14c|"&amp;CAPTURA!BE84,CODIFICACION!$F$2:$F$500,0))="sin dato","",INDEX(CODIFICACION!$E$2:$E$500,MATCH("D3.14c|"&amp;CAPTURA!BE84,CODIFICACION!$F$2:$F$500,0))),"⚠"))</f>
        <v/>
      </c>
      <c r="AA84" t="str">
        <f>IF(CAPTURA!BF84="","",IFERROR(IF(INDEX(CODIFICACION!$E$2:$E$500,MATCH("D3.14d|"&amp;CAPTURA!BF84,CODIFICACION!$F$2:$F$500,0))="sin dato","",INDEX(CODIFICACION!$E$2:$E$500,MATCH("D3.14d|"&amp;CAPTURA!BF84,CODIFICACION!$F$2:$F$500,0))),"⚠"))</f>
        <v/>
      </c>
      <c r="AB84" t="str">
        <f>IF(CAPTURA!BG84="","",IFERROR(IF(INDEX(CODIFICACION!$E$2:$E$500,MATCH("D3.14e|"&amp;CAPTURA!BG84,CODIFICACION!$F$2:$F$500,0))="sin dato","",INDEX(CODIFICACION!$E$2:$E$500,MATCH("D3.14e|"&amp;CAPTURA!BG84,CODIFICACION!$F$2:$F$500,0))),"⚠"))</f>
        <v/>
      </c>
      <c r="AC84" t="str">
        <f>IF(CAPTURA!BH84="","",IFERROR(IF(INDEX(CODIFICACION!$E$2:$E$500,MATCH("D3.14f|"&amp;CAPTURA!BH84,CODIFICACION!$F$2:$F$500,0))="sin dato","",INDEX(CODIFICACION!$E$2:$E$500,MATCH("D3.14f|"&amp;CAPTURA!BH84,CODIFICACION!$F$2:$F$500,0))),"⚠"))</f>
        <v/>
      </c>
      <c r="AD84" t="str">
        <f>IF(CAPTURA!BI84="","",IFERROR(IF(INDEX(CODIFICACION!$E$2:$E$500,MATCH("D3.14g|"&amp;CAPTURA!BI84,CODIFICACION!$F$2:$F$500,0))="sin dato","",INDEX(CODIFICACION!$E$2:$E$500,MATCH("D3.14g|"&amp;CAPTURA!BI84,CODIFICACION!$F$2:$F$500,0))),"⚠"))</f>
        <v/>
      </c>
      <c r="AE84" t="str">
        <f>IF(CAPTURA!BJ84="","",IFERROR(IF(INDEX(CODIFICACION!$E$2:$E$500,MATCH("D3.14h|"&amp;CAPTURA!BJ84,CODIFICACION!$F$2:$F$500,0))="sin dato","",INDEX(CODIFICACION!$E$2:$E$500,MATCH("D3.14h|"&amp;CAPTURA!BJ84,CODIFICACION!$F$2:$F$500,0))),"⚠"))</f>
        <v/>
      </c>
      <c r="AF84" t="str">
        <f>IF(CAPTURA!BK84="","",IFERROR(IF(INDEX(CODIFICACION!$E$2:$E$500,MATCH("D3.14i|"&amp;CAPTURA!BK84,CODIFICACION!$F$2:$F$500,0))="sin dato","",INDEX(CODIFICACION!$E$2:$E$500,MATCH("D3.14i|"&amp;CAPTURA!BK84,CODIFICACION!$F$2:$F$500,0))),"⚠"))</f>
        <v/>
      </c>
      <c r="AG84" t="str">
        <f>IF(CAPTURA!BL84="","",IFERROR(IF(INDEX(CODIFICACION!$E$2:$E$500,MATCH("D4.15|"&amp;CAPTURA!BL84,CODIFICACION!$F$2:$F$500,0))="sin dato","",INDEX(CODIFICACION!$E$2:$E$500,MATCH("D4.15|"&amp;CAPTURA!BL84,CODIFICACION!$F$2:$F$500,0))),"⚠"))</f>
        <v/>
      </c>
      <c r="AH84" t="str">
        <f>IF(CAPTURA!BM84="","",IF(AND(ISNUMBER(CAPTURA!BM84),CAPTURA!BM84&gt;=0,CAPTURA!BM84&lt;=4),CAPTURA!BM84*25,"⚠"))</f>
        <v/>
      </c>
      <c r="AI84" t="str">
        <f>IF(CAPTURA!BN84="","",IFERROR(IF(INDEX(CODIFICACION!$E$2:$E$500,MATCH("D4.17|"&amp;CAPTURA!BN84,CODIFICACION!$F$2:$F$500,0))="sin dato","",INDEX(CODIFICACION!$E$2:$E$500,MATCH("D4.17|"&amp;CAPTURA!BN84,CODIFICACION!$F$2:$F$500,0))),"⚠"))</f>
        <v/>
      </c>
      <c r="AJ84" t="str">
        <f>IF(CAPTURA!BO84="","",IFERROR(IF(INDEX(CODIFICACION!$E$2:$E$500,MATCH("D4.15a|"&amp;CAPTURA!BO84,CODIFICACION!$F$2:$F$500,0))="sin dato","",INDEX(CODIFICACION!$E$2:$E$500,MATCH("D4.15a|"&amp;CAPTURA!BO84,CODIFICACION!$F$2:$F$500,0))),"⚠"))</f>
        <v/>
      </c>
      <c r="AK84" t="str">
        <f>IF(CAPTURA!BP84="","",IF(AND(ISNUMBER(CAPTURA!BP84),CAPTURA!BP84&gt;=0,CAPTURA!BP84&lt;=4),CAPTURA!BP84*25,"⚠"))</f>
        <v/>
      </c>
      <c r="AL84" t="str">
        <f>IF(CAPTURA!BQ84="","",IF(AND(ISNUMBER(CAPTURA!BQ84),CAPTURA!BQ84&gt;=0,CAPTURA!BQ84&lt;=4),CAPTURA!BQ84*25,"⚠"))</f>
        <v/>
      </c>
      <c r="AM84" t="str">
        <f>IF(CAPTURA!BR84="","",IFERROR(IF(INDEX(CODIFICACION!$E$2:$E$500,MATCH("D5.18b|"&amp;CAPTURA!BR84,CODIFICACION!$F$2:$F$500,0))="sin dato","",INDEX(CODIFICACION!$E$2:$E$500,MATCH("D5.18b|"&amp;CAPTURA!BR84,CODIFICACION!$F$2:$F$500,0))),"⚠"))</f>
        <v/>
      </c>
      <c r="AN84" t="str">
        <f>IF(CAPTURA!BS84="","",IFERROR(IF(INDEX(CODIFICACION!$E$2:$E$500,MATCH("D5.19|"&amp;CAPTURA!BS84,CODIFICACION!$F$2:$F$500,0))="sin dato","",INDEX(CODIFICACION!$E$2:$E$500,MATCH("D5.19|"&amp;CAPTURA!BS84,CODIFICACION!$F$2:$F$500,0))),"⚠"))</f>
        <v/>
      </c>
      <c r="AO84" t="str">
        <f>IF(CAPTURA!BT84="","",MIN(100,ROUND((LEN(CAPTURA!BT84)-LEN(SUBSTITUTE(CAPTURA!BT84,";",""))+1)/7*100,1)))</f>
        <v/>
      </c>
      <c r="AP84" t="str">
        <f>IF(CAPTURA!BU84="","",IFERROR(IF(INDEX(CODIFICACION!$E$2:$E$500,MATCH("D5.20|"&amp;CAPTURA!BU84,CODIFICACION!$F$2:$F$500,0))="sin dato","",INDEX(CODIFICACION!$E$2:$E$500,MATCH("D5.20|"&amp;CAPTURA!BU84,CODIFICACION!$F$2:$F$500,0))),"⚠"))</f>
        <v/>
      </c>
      <c r="AQ84" t="str">
        <f>IF(CAPTURA!BV84="","",IFERROR(IF(INDEX(CODIFICACION!$E$2:$E$500,MATCH("D5.21|"&amp;CAPTURA!BV84,CODIFICACION!$F$2:$F$500,0))="sin dato","",INDEX(CODIFICACION!$E$2:$E$500,MATCH("D5.21|"&amp;CAPTURA!BV84,CODIFICACION!$F$2:$F$500,0))),"⚠"))</f>
        <v/>
      </c>
      <c r="AR84" t="str">
        <f>IF(CAPTURA!BW84="","",IFERROR(IF(INDEX(CODIFICACION!$E$2:$E$500,MATCH("D5.21a|"&amp;CAPTURA!BW84,CODIFICACION!$F$2:$F$500,0))="sin dato","",INDEX(CODIFICACION!$E$2:$E$500,MATCH("D5.21a|"&amp;CAPTURA!BW84,CODIFICACION!$F$2:$F$500,0))),"⚠"))</f>
        <v/>
      </c>
      <c r="AS84" t="str">
        <f>IF(CAPTURA!BX84="","",IFERROR(IF(INDEX(CODIFICACION!$E$2:$E$500,MATCH("D5.21b|"&amp;CAPTURA!BX84,CODIFICACION!$F$2:$F$500,0))="sin dato","",INDEX(CODIFICACION!$E$2:$E$500,MATCH("D5.21b|"&amp;CAPTURA!BX84,CODIFICACION!$F$2:$F$500,0))),"⚠"))</f>
        <v/>
      </c>
      <c r="AT84" t="str">
        <f>IF(CAPTURA!BY84="","",IFERROR(IF(INDEX(CODIFICACION!$E$2:$E$500,MATCH("D6.22|"&amp;CAPTURA!BY84,CODIFICACION!$F$2:$F$500,0))="sin dato","",INDEX(CODIFICACION!$E$2:$E$500,MATCH("D6.22|"&amp;CAPTURA!BY84,CODIFICACION!$F$2:$F$500,0))),"⚠"))</f>
        <v/>
      </c>
      <c r="AU84" t="str">
        <f>IF(CAPTURA!BZ84="","",IFERROR(IF(INDEX(CODIFICACION!$E$2:$E$500,MATCH("D6.22a|"&amp;CAPTURA!BZ84,CODIFICACION!$F$2:$F$500,0))="sin dato","",INDEX(CODIFICACION!$E$2:$E$500,MATCH("D6.22a|"&amp;CAPTURA!BZ84,CODIFICACION!$F$2:$F$500,0))),"⚠"))</f>
        <v/>
      </c>
      <c r="AV84" t="str">
        <f>IF(CAPTURA!CA84="","",IFERROR(IF(INDEX(CODIFICACION!$E$2:$E$500,MATCH("D6.22b|"&amp;CAPTURA!CA84,CODIFICACION!$F$2:$F$500,0))="sin dato","",INDEX(CODIFICACION!$E$2:$E$500,MATCH("D6.22b|"&amp;CAPTURA!CA84,CODIFICACION!$F$2:$F$500,0))),"⚠"))</f>
        <v/>
      </c>
      <c r="AW84" t="str">
        <f>IF(CAPTURA!CB84="","",IFERROR(IF(INDEX(CODIFICACION!$E$2:$E$500,MATCH("D6.23|"&amp;CAPTURA!CB84,CODIFICACION!$F$2:$F$500,0))="sin dato","",INDEX(CODIFICACION!$E$2:$E$500,MATCH("D6.23|"&amp;CAPTURA!CB84,CODIFICACION!$F$2:$F$500,0))),"⚠"))</f>
        <v/>
      </c>
      <c r="AX84" t="str">
        <f>IF(CAPTURA!CC84="","",IFERROR(IF(INDEX(CODIFICACION!$E$2:$E$500,MATCH("D6.24|"&amp;CAPTURA!CC84,CODIFICACION!$F$2:$F$500,0))="sin dato","",INDEX(CODIFICACION!$E$2:$E$500,MATCH("D6.24|"&amp;CAPTURA!CC84,CODIFICACION!$F$2:$F$500,0))),"⚠"))</f>
        <v/>
      </c>
      <c r="AY84" t="str">
        <f>IF(CAPTURA!CD84="","",IFERROR(IF(INDEX(CODIFICACION!$E$2:$E$500,MATCH("D6.25|"&amp;CAPTURA!CD84,CODIFICACION!$F$2:$F$500,0))="sin dato","",INDEX(CODIFICACION!$E$2:$E$500,MATCH("D6.25|"&amp;CAPTURA!CD84,CODIFICACION!$F$2:$F$500,0))),"⚠"))</f>
        <v/>
      </c>
      <c r="AZ84" t="str">
        <f>IF(CAPTURA!CE84="","",IFERROR(IF(INDEX(CODIFICACION!$E$2:$E$500,MATCH("D6.25a|"&amp;CAPTURA!CE84,CODIFICACION!$F$2:$F$500,0))="sin dato","",INDEX(CODIFICACION!$E$2:$E$500,MATCH("D6.25a|"&amp;CAPTURA!CE84,CODIFICACION!$F$2:$F$500,0))),"⚠"))</f>
        <v/>
      </c>
      <c r="BA84" t="str">
        <f>IF(CAPTURA!CF84="","",IFERROR(IF(INDEX(CODIFICACION!$E$2:$E$500,MATCH("D6.25b|"&amp;CAPTURA!CF84,CODIFICACION!$F$2:$F$500,0))="sin dato","",INDEX(CODIFICACION!$E$2:$E$500,MATCH("D6.25b|"&amp;CAPTURA!CF84,CODIFICACION!$F$2:$F$500,0))),"⚠"))</f>
        <v/>
      </c>
      <c r="BB84" t="str">
        <f>IF(CAPTURA!CG84="","",IFERROR(IF(INDEX(CODIFICACION!$E$2:$E$500,MATCH("D6.22c|"&amp;CAPTURA!CG84,CODIFICACION!$F$2:$F$500,0))="sin dato","",INDEX(CODIFICACION!$E$2:$E$500,MATCH("D6.22c|"&amp;CAPTURA!CG84,CODIFICACION!$F$2:$F$500,0))),"⚠"))</f>
        <v/>
      </c>
      <c r="BC84" t="str">
        <f>IF(CAPTURA!CH84="","",IFERROR(IF(INDEX(CODIFICACION!$E$2:$E$500,MATCH("D7.26|"&amp;CAPTURA!CH84,CODIFICACION!$F$2:$F$500,0))="sin dato","",INDEX(CODIFICACION!$E$2:$E$500,MATCH("D7.26|"&amp;CAPTURA!CH84,CODIFICACION!$F$2:$F$500,0))),"⚠"))</f>
        <v/>
      </c>
      <c r="BD84" t="str">
        <f>IF(CAPTURA!CI84="","",IFERROR(IF(INDEX(CODIFICACION!$E$2:$E$500,MATCH("D7.27|"&amp;CAPTURA!CI84,CODIFICACION!$F$2:$F$500,0))="sin dato","",INDEX(CODIFICACION!$E$2:$E$500,MATCH("D7.27|"&amp;CAPTURA!CI84,CODIFICACION!$F$2:$F$500,0))),"⚠"))</f>
        <v/>
      </c>
      <c r="BE84" t="str">
        <f>IF(CAPTURA!CJ84="","",IFERROR(IF(INDEX(CODIFICACION!$E$2:$E$500,MATCH("D7.28|"&amp;CAPTURA!CJ84,CODIFICACION!$F$2:$F$500,0))="sin dato","",INDEX(CODIFICACION!$E$2:$E$500,MATCH("D7.28|"&amp;CAPTURA!CJ84,CODIFICACION!$F$2:$F$500,0))),"⚠"))</f>
        <v/>
      </c>
      <c r="BF84" t="str">
        <f>IF(CAPTURA!CK84="","",IFERROR(IF(INDEX(CODIFICACION!$E$2:$E$500,MATCH("D7.28b|"&amp;CAPTURA!CK84,CODIFICACION!$F$2:$F$500,0))="sin dato","",INDEX(CODIFICACION!$E$2:$E$500,MATCH("D7.28b|"&amp;CAPTURA!CK84,CODIFICACION!$F$2:$F$500,0))),"⚠"))</f>
        <v/>
      </c>
      <c r="BG84" t="str">
        <f>IF(CAPTURA!CL84="","",MIN(100,ROUND((LEN(CAPTURA!CL84)-LEN(SUBSTITUTE(CAPTURA!CL84,";",""))+1)/8*100,1)))</f>
        <v/>
      </c>
      <c r="BH84" t="str">
        <f>IF(CAPTURA!CM84="","",IFERROR(IF(INDEX(CODIFICACION!$E$2:$E$500,MATCH("D7.26a|"&amp;CAPTURA!CM84,CODIFICACION!$F$2:$F$500,0))="sin dato","",INDEX(CODIFICACION!$E$2:$E$500,MATCH("D7.26a|"&amp;CAPTURA!CM84,CODIFICACION!$F$2:$F$500,0))),"⚠"))</f>
        <v/>
      </c>
      <c r="BI84" t="str">
        <f>IF(CAPTURA!CN84="","",IFERROR(IF(INDEX(CODIFICACION!$E$2:$E$500,MATCH("D7.26b|"&amp;CAPTURA!CN84,CODIFICACION!$F$2:$F$500,0))="sin dato","",INDEX(CODIFICACION!$E$2:$E$500,MATCH("D7.26b|"&amp;CAPTURA!CN84,CODIFICACION!$F$2:$F$500,0))),"⚠"))</f>
        <v/>
      </c>
      <c r="BJ84" t="str">
        <f>IF(CAPTURA!CO84="","",IF(AND(ISNUMBER(CAPTURA!CO84),CAPTURA!CO84&gt;=0,CAPTURA!CO84&lt;=4),CAPTURA!CO84*25,"⚠"))</f>
        <v/>
      </c>
      <c r="BK84" t="str">
        <f>IF(CAPTURA!CP84="","",IF(ISNUMBER(CAPTURA!CP84),MAX(0,MIN(100,CAPTURA!CP84)),"⚠"))</f>
        <v/>
      </c>
      <c r="BL84" t="str">
        <f>IF(CAPTURA!CQ84="","",IFERROR(IF(INDEX(CODIFICACION!$E$2:$E$500,MATCH("D8.31|"&amp;CAPTURA!CQ84,CODIFICACION!$F$2:$F$500,0))="sin dato","",INDEX(CODIFICACION!$E$2:$E$500,MATCH("D8.31|"&amp;CAPTURA!CQ84,CODIFICACION!$F$2:$F$500,0))),"⚠"))</f>
        <v/>
      </c>
      <c r="BM84" t="str">
        <f>IF(CAPTURA!CR84="","",IFERROR(IF(INDEX(CODIFICACION!$E$2:$E$500,MATCH("D8.32|"&amp;CAPTURA!CR84,CODIFICACION!$F$2:$F$500,0))="sin dato","",INDEX(CODIFICACION!$E$2:$E$500,MATCH("D8.32|"&amp;CAPTURA!CR84,CODIFICACION!$F$2:$F$500,0))),"⚠"))</f>
        <v/>
      </c>
      <c r="BN84" t="str">
        <f>IF(CAPTURA!CS84="","",IFERROR(IF(INDEX(CODIFICACION!$E$2:$E$500,MATCH("D9.33|"&amp;CAPTURA!CS84,CODIFICACION!$F$2:$F$500,0))="sin dato","",INDEX(CODIFICACION!$E$2:$E$500,MATCH("D9.33|"&amp;CAPTURA!CS84,CODIFICACION!$F$2:$F$500,0))),"⚠"))</f>
        <v/>
      </c>
      <c r="BO84" t="str">
        <f>IF(CAPTURA!CT84="","",IFERROR(IF(INDEX(CODIFICACION!$E$2:$E$500,MATCH("D9.34|"&amp;CAPTURA!CT84,CODIFICACION!$F$2:$F$500,0))="sin dato","",INDEX(CODIFICACION!$E$2:$E$500,MATCH("D9.34|"&amp;CAPTURA!CT84,CODIFICACION!$F$2:$F$500,0))),"⚠"))</f>
        <v/>
      </c>
      <c r="BP84" t="str">
        <f>IF(CAPTURA!CU84="","",IFERROR(IF(INDEX(CODIFICACION!$E$2:$E$500,MATCH("D9.35|"&amp;CAPTURA!CU84,CODIFICACION!$F$2:$F$500,0))="sin dato","",INDEX(CODIFICACION!$E$2:$E$500,MATCH("D9.35|"&amp;CAPTURA!CU84,CODIFICACION!$F$2:$F$500,0))),"⚠"))</f>
        <v/>
      </c>
      <c r="BQ84" t="str">
        <f>IF(CAPTURA!CV84="","",IFERROR(IF(INDEX(CODIFICACION!$E$2:$E$500,MATCH("D10.36|"&amp;CAPTURA!CV84,CODIFICACION!$F$2:$F$500,0))="sin dato","",INDEX(CODIFICACION!$E$2:$E$500,MATCH("D10.36|"&amp;CAPTURA!CV84,CODIFICACION!$F$2:$F$500,0))),"⚠"))</f>
        <v/>
      </c>
      <c r="BR84" t="str">
        <f>IF(CAPTURA!CW84="","",IFERROR(IF(INDEX(CODIFICACION!$E$2:$E$500,MATCH("D10.37|"&amp;CAPTURA!CW84,CODIFICACION!$F$2:$F$500,0))="sin dato","",INDEX(CODIFICACION!$E$2:$E$500,MATCH("D10.37|"&amp;CAPTURA!CW84,CODIFICACION!$F$2:$F$500,0))),"⚠"))</f>
        <v/>
      </c>
      <c r="BS84" t="str">
        <f>IF(CAPTURA!CX84="","",IFERROR(IF(INDEX(CODIFICACION!$E$2:$E$500,MATCH("D10.36a|"&amp;CAPTURA!CX84,CODIFICACION!$F$2:$F$500,0))="sin dato","",INDEX(CODIFICACION!$E$2:$E$500,MATCH("D10.36a|"&amp;CAPTURA!CX84,CODIFICACION!$F$2:$F$500,0))),"⚠"))</f>
        <v/>
      </c>
      <c r="BT84" t="str">
        <f>IF(CAPTURA!CY84="","",IF(ISNUMBER(SEARCH("Ninguno",CAPTURA!CY84)),0,MIN(100,ROUND((LEN(CAPTURA!CY84)-LEN(SUBSTITUTE(CAPTURA!CY84,";",""))+1)/6*100,1))))</f>
        <v/>
      </c>
      <c r="BU84" t="str">
        <f>IF(CAPTURA!DA84="","",IFERROR(IF(INDEX(CODIFICACION!$E$2:$E$500,MATCH("D11.39a|"&amp;CAPTURA!DA84,CODIFICACION!$F$2:$F$500,0))="sin dato","",INDEX(CODIFICACION!$E$2:$E$500,MATCH("D11.39a|"&amp;CAPTURA!DA84,CODIFICACION!$F$2:$F$500,0))),"⚠"))</f>
        <v/>
      </c>
      <c r="BV84" t="str">
        <f>IF(CAPTURA!DB84="","",IFERROR(IF(INDEX(CODIFICACION!$E$2:$E$500,MATCH("D12.42|"&amp;CAPTURA!DB84,CODIFICACION!$F$2:$F$500,0))="sin dato","",INDEX(CODIFICACION!$E$2:$E$500,MATCH("D12.42|"&amp;CAPTURA!DB84,CODIFICACION!$F$2:$F$500,0))),"⚠"))</f>
        <v/>
      </c>
      <c r="BW84" t="str">
        <f>IF(CAPTURA!DC84="","",IFERROR(IF(INDEX(CODIFICACION!$E$2:$E$500,MATCH("D13.45|"&amp;CAPTURA!DC84,CODIFICACION!$F$2:$F$500,0))="sin dato","",INDEX(CODIFICACION!$E$2:$E$500,MATCH("D13.45|"&amp;CAPTURA!DC84,CODIFICACION!$F$2:$F$500,0))),"⚠"))</f>
        <v/>
      </c>
      <c r="BX84" t="str">
        <f>IF(CAPTURA!DD84="","",IFERROR(IF(INDEX(CODIFICACION!$E$2:$E$500,MATCH("D14.51|"&amp;CAPTURA!DD84,CODIFICACION!$F$2:$F$500,0))="sin dato","",INDEX(CODIFICACION!$E$2:$E$500,MATCH("D14.51|"&amp;CAPTURA!DD84,CODIFICACION!$F$2:$F$500,0))),"⚠"))</f>
        <v/>
      </c>
      <c r="BY84" t="str">
        <f>IF(CAPTURA!DE84="","",IFERROR(IF(INDEX(CODIFICACION!$E$2:$E$500,MATCH("D15.58|"&amp;CAPTURA!DE84,CODIFICACION!$F$2:$F$500,0))="sin dato","",INDEX(CODIFICACION!$E$2:$E$500,MATCH("D15.58|"&amp;CAPTURA!DE84,CODIFICACION!$F$2:$F$500,0))),"⚠"))</f>
        <v/>
      </c>
      <c r="BZ84" t="str">
        <f>IF(CAPTURA!DF84="","",IFERROR(IF(INDEX(CODIFICACION!$E$2:$E$500,MATCH("PP1|"&amp;CAPTURA!DF84,CODIFICACION!$F$2:$F$500,0))="sin dato","",INDEX(CODIFICACION!$E$2:$E$500,MATCH("PP1|"&amp;CAPTURA!DF84,CODIFICACION!$F$2:$F$500,0))),"⚠"))</f>
        <v/>
      </c>
      <c r="CA84" t="str">
        <f>IF(CAPTURA!DG84="","",IFERROR(IF(INDEX(CODIFICACION!$E$2:$E$500,MATCH("PP2|"&amp;CAPTURA!DG84,CODIFICACION!$F$2:$F$500,0))="sin dato","",INDEX(CODIFICACION!$E$2:$E$500,MATCH("PP2|"&amp;CAPTURA!DG84,CODIFICACION!$F$2:$F$500,0))),"⚠"))</f>
        <v/>
      </c>
      <c r="CB84" t="str">
        <f t="shared" si="22"/>
        <v/>
      </c>
      <c r="CC84" t="str">
        <f t="shared" si="23"/>
        <v/>
      </c>
      <c r="CD84" t="str">
        <f t="shared" si="24"/>
        <v/>
      </c>
      <c r="CE84" t="str">
        <f t="shared" si="25"/>
        <v/>
      </c>
      <c r="CF84" t="str">
        <f t="shared" si="26"/>
        <v/>
      </c>
      <c r="CG84" t="str">
        <f t="shared" si="27"/>
        <v/>
      </c>
      <c r="CH84" t="str">
        <f t="shared" si="28"/>
        <v/>
      </c>
      <c r="CI84" t="str">
        <f t="shared" si="29"/>
        <v/>
      </c>
      <c r="CJ84" t="str">
        <f t="shared" si="30"/>
        <v/>
      </c>
      <c r="CK84" t="str">
        <f t="shared" si="31"/>
        <v/>
      </c>
      <c r="CL84" t="str">
        <f t="shared" si="32"/>
        <v/>
      </c>
    </row>
    <row r="85" spans="1:90" x14ac:dyDescent="0.3">
      <c r="A85">
        <f>CAPTURA!A85</f>
        <v>20568194951</v>
      </c>
      <c r="B85">
        <f>CAPTURA!C85</f>
        <v>0</v>
      </c>
      <c r="C85" t="str">
        <f>IF(CAPTURA!M85="","",ROUND((ISNUMBER(SEARCH("Alemania",CAPTURA!M85))+ISNUMBER(SEARCH("Bélgica",CAPTURA!M85))+ISNUMBER(SEARCH("Países Bajos",CAPTURA!M85))+ISNUMBER(SEARCH("Francia",CAPTURA!M85))+ISNUMBER(SEARCH("Italia",CAPTURA!M85))+ISNUMBER(SEARCH("España",CAPTURA!M85))+ISNUMBER(SEARCH("Suecia",CAPTURA!M85))+ISNUMBER(SEARCH("Dinamarca",CAPTURA!M85)))/((LEN(CAPTURA!M85)-LEN(SUBSTITUTE(CAPTURA!M85,";","")))+1)*100,1))</f>
        <v/>
      </c>
      <c r="D85" t="str">
        <f>IF(CAPTURA!AE85="","",IFERROR(IF(INDEX(CODIFICACION!$E$2:$E$500,MATCH("P8|"&amp;CAPTURA!AE85,CODIFICACION!$F$2:$F$500,0))="sin dato","",INDEX(CODIFICACION!$E$2:$E$500,MATCH("P8|"&amp;CAPTURA!AE85,CODIFICACION!$F$2:$F$500,0))),"⚠"))</f>
        <v/>
      </c>
      <c r="E85" t="str">
        <f>IF(CAPTURA!AG85="","",IFERROR(IF(INDEX(CODIFICACION!$E$2:$E$500,MATCH("P10|"&amp;CAPTURA!AG85,CODIFICACION!$F$2:$F$500,0))="sin dato","",INDEX(CODIFICACION!$E$2:$E$500,MATCH("P10|"&amp;CAPTURA!AG85,CODIFICACION!$F$2:$F$500,0))),"⚠"))</f>
        <v/>
      </c>
      <c r="F85" t="str">
        <f>IF(CAPTURA!AJ85="","",IFERROR(IF(INDEX(CODIFICACION!$E$2:$E$500,MATCH("P13|"&amp;CAPTURA!AJ85,CODIFICACION!$F$2:$F$500,0))="sin dato","",INDEX(CODIFICACION!$E$2:$E$500,MATCH("P13|"&amp;CAPTURA!AJ85,CODIFICACION!$F$2:$F$500,0))),"⚠"))</f>
        <v/>
      </c>
      <c r="G85" t="str">
        <f>IF(CAPTURA!AK85="","",IFERROR(IF(INDEX(CODIFICACION!$E$2:$E$500,MATCH("P14|"&amp;CAPTURA!AK85,CODIFICACION!$F$2:$F$500,0))="sin dato","",INDEX(CODIFICACION!$E$2:$E$500,MATCH("P14|"&amp;CAPTURA!AK85,CODIFICACION!$F$2:$F$500,0))),"⚠"))</f>
        <v/>
      </c>
      <c r="H85" t="str">
        <f>IF(CAPTURA!AL85="","",IFERROR(IF(INDEX(CODIFICACION!$E$2:$E$500,MATCH("D1.1|"&amp;CAPTURA!AL85,CODIFICACION!$F$2:$F$500,0))="sin dato","",INDEX(CODIFICACION!$E$2:$E$500,MATCH("D1.1|"&amp;CAPTURA!AL85,CODIFICACION!$F$2:$F$500,0))),"⚠"))</f>
        <v/>
      </c>
      <c r="I85" t="str">
        <f>IF(CAPTURA!AN85="","",IFERROR(IF(INDEX(CODIFICACION!$E$2:$E$500,MATCH("D1.3|"&amp;CAPTURA!AN85,CODIFICACION!$F$2:$F$500,0))="sin dato","",INDEX(CODIFICACION!$E$2:$E$500,MATCH("D1.3|"&amp;CAPTURA!AN85,CODIFICACION!$F$2:$F$500,0))),"⚠"))</f>
        <v/>
      </c>
      <c r="J85" t="str">
        <f>IF(CAPTURA!AO85="","",IFERROR(IF(INDEX(CODIFICACION!$E$2:$E$500,MATCH("D1.4|"&amp;CAPTURA!AO85,CODIFICACION!$F$2:$F$500,0))="sin dato","",INDEX(CODIFICACION!$E$2:$E$500,MATCH("D1.4|"&amp;CAPTURA!AO85,CODIFICACION!$F$2:$F$500,0))),"⚠"))</f>
        <v/>
      </c>
      <c r="K85" t="str">
        <f>IF(CAPTURA!AP85="","",IFERROR(IF(INDEX(CODIFICACION!$E$2:$E$500,MATCH("D1.3a|"&amp;CAPTURA!AP85,CODIFICACION!$F$2:$F$500,0))="sin dato","",INDEX(CODIFICACION!$E$2:$E$500,MATCH("D1.3a|"&amp;CAPTURA!AP85,CODIFICACION!$F$2:$F$500,0))),"⚠"))</f>
        <v/>
      </c>
      <c r="L85" t="str">
        <f>IF(CAPTURA!AQ85="","",IF(AND(ISNUMBER(CAPTURA!AQ85),CAPTURA!AQ85&gt;=0,CAPTURA!AQ85&lt;=4),CAPTURA!AQ85*25,"⚠"))</f>
        <v/>
      </c>
      <c r="M85" t="str">
        <f>IF(CAPTURA!AR85="","",IF(ISNUMBER(CAPTURA!AR85),MAX(0,MIN(100,CAPTURA!AR85)),"⚠"))</f>
        <v/>
      </c>
      <c r="N85" t="str">
        <f>IF(CAPTURA!AS85="","",IF(AND(ISNUMBER(CAPTURA!AS85),CAPTURA!AS85&gt;=0,CAPTURA!AS85&lt;=4),CAPTURA!AS85*25,"⚠"))</f>
        <v/>
      </c>
      <c r="O85" t="str">
        <f>IF(CAPTURA!AT85="","",IFERROR(IF(INDEX(CODIFICACION!$E$2:$E$500,MATCH("D2.8|"&amp;CAPTURA!AT85,CODIFICACION!$F$2:$F$500,0))="sin dato","",INDEX(CODIFICACION!$E$2:$E$500,MATCH("D2.8|"&amp;CAPTURA!AT85,CODIFICACION!$F$2:$F$500,0))),"⚠"))</f>
        <v/>
      </c>
      <c r="P85" t="str">
        <f>IF(CAPTURA!AU85="","",IFERROR(IF(INDEX(CODIFICACION!$E$2:$E$500,MATCH("D2.9|"&amp;CAPTURA!AU85,CODIFICACION!$F$2:$F$500,0))="sin dato","",INDEX(CODIFICACION!$E$2:$E$500,MATCH("D2.9|"&amp;CAPTURA!AU85,CODIFICACION!$F$2:$F$500,0))),"⚠"))</f>
        <v/>
      </c>
      <c r="Q85" t="str">
        <f>IF(CAPTURA!AV85="","",IFERROR(IF(INDEX(CODIFICACION!$E$2:$E$500,MATCH("D2.10|"&amp;CAPTURA!AV85,CODIFICACION!$F$2:$F$500,0))="sin dato","",INDEX(CODIFICACION!$E$2:$E$500,MATCH("D2.10|"&amp;CAPTURA!AV85,CODIFICACION!$F$2:$F$500,0))),"⚠"))</f>
        <v/>
      </c>
      <c r="R85" t="str">
        <f>IF(CAPTURA!AW85="","",IFERROR(IF(INDEX(CODIFICACION!$E$2:$E$500,MATCH("D2.5a|"&amp;CAPTURA!AW85,CODIFICACION!$F$2:$F$500,0))="sin dato","",INDEX(CODIFICACION!$E$2:$E$500,MATCH("D2.5a|"&amp;CAPTURA!AW85,CODIFICACION!$F$2:$F$500,0))),"⚠"))</f>
        <v/>
      </c>
      <c r="S85" t="str">
        <f>IF(CAPTURA!AX85="","",IFERROR(IF(INDEX(CODIFICACION!$E$2:$E$500,MATCH("D2.5b|"&amp;CAPTURA!AX85,CODIFICACION!$F$2:$F$500,0))="sin dato","",INDEX(CODIFICACION!$E$2:$E$500,MATCH("D2.5b|"&amp;CAPTURA!AX85,CODIFICACION!$F$2:$F$500,0))),"⚠"))</f>
        <v/>
      </c>
      <c r="T85" t="str">
        <f>IF(CAPTURA!AY85="","",IF(ISNUMBER(CAPTURA!AY85),MAX(0,MIN(100,CAPTURA!AY85)),"⚠"))</f>
        <v/>
      </c>
      <c r="U85" t="str">
        <f>IF(CAPTURA!AZ85="","",IFERROR(IF(INDEX(CODIFICACION!$E$2:$E$500,MATCH("D3.12|"&amp;CAPTURA!AZ85,CODIFICACION!$F$2:$F$500,0))="sin dato","",INDEX(CODIFICACION!$E$2:$E$500,MATCH("D3.12|"&amp;CAPTURA!AZ85,CODIFICACION!$F$2:$F$500,0))),"⚠"))</f>
        <v/>
      </c>
      <c r="V85" t="str">
        <f>IF(CAPTURA!BA85="","",IF(AND(ISNUMBER(CAPTURA!BA85),CAPTURA!BA85&gt;=0,CAPTURA!BA85&lt;=4),CAPTURA!BA85*25,"⚠"))</f>
        <v/>
      </c>
      <c r="W85" t="str">
        <f>IF(CAPTURA!BB85="","",IFERROR(IF(INDEX(CODIFICACION!$E$2:$E$500,MATCH("D3.14|"&amp;CAPTURA!BB85,CODIFICACION!$F$2:$F$500,0))="sin dato","",INDEX(CODIFICACION!$E$2:$E$500,MATCH("D3.14|"&amp;CAPTURA!BB85,CODIFICACION!$F$2:$F$500,0))),"⚠"))</f>
        <v/>
      </c>
      <c r="X85" t="str">
        <f>IF(CAPTURA!BC85="","",IFERROR(IF(INDEX(CODIFICACION!$E$2:$E$500,MATCH("D3.14a|"&amp;CAPTURA!BC85,CODIFICACION!$F$2:$F$500,0))="sin dato","",INDEX(CODIFICACION!$E$2:$E$500,MATCH("D3.14a|"&amp;CAPTURA!BC85,CODIFICACION!$F$2:$F$500,0))),"⚠"))</f>
        <v/>
      </c>
      <c r="Y85" t="str">
        <f>IF(CAPTURA!BD85="","",IFERROR(IF(INDEX(CODIFICACION!$E$2:$E$500,MATCH("D3.14b|"&amp;CAPTURA!BD85,CODIFICACION!$F$2:$F$500,0))="sin dato","",INDEX(CODIFICACION!$E$2:$E$500,MATCH("D3.14b|"&amp;CAPTURA!BD85,CODIFICACION!$F$2:$F$500,0))),"⚠"))</f>
        <v/>
      </c>
      <c r="Z85" t="str">
        <f>IF(CAPTURA!BE85="","",IFERROR(IF(INDEX(CODIFICACION!$E$2:$E$500,MATCH("D3.14c|"&amp;CAPTURA!BE85,CODIFICACION!$F$2:$F$500,0))="sin dato","",INDEX(CODIFICACION!$E$2:$E$500,MATCH("D3.14c|"&amp;CAPTURA!BE85,CODIFICACION!$F$2:$F$500,0))),"⚠"))</f>
        <v/>
      </c>
      <c r="AA85" t="str">
        <f>IF(CAPTURA!BF85="","",IFERROR(IF(INDEX(CODIFICACION!$E$2:$E$500,MATCH("D3.14d|"&amp;CAPTURA!BF85,CODIFICACION!$F$2:$F$500,0))="sin dato","",INDEX(CODIFICACION!$E$2:$E$500,MATCH("D3.14d|"&amp;CAPTURA!BF85,CODIFICACION!$F$2:$F$500,0))),"⚠"))</f>
        <v/>
      </c>
      <c r="AB85" t="str">
        <f>IF(CAPTURA!BG85="","",IFERROR(IF(INDEX(CODIFICACION!$E$2:$E$500,MATCH("D3.14e|"&amp;CAPTURA!BG85,CODIFICACION!$F$2:$F$500,0))="sin dato","",INDEX(CODIFICACION!$E$2:$E$500,MATCH("D3.14e|"&amp;CAPTURA!BG85,CODIFICACION!$F$2:$F$500,0))),"⚠"))</f>
        <v/>
      </c>
      <c r="AC85" t="str">
        <f>IF(CAPTURA!BH85="","",IFERROR(IF(INDEX(CODIFICACION!$E$2:$E$500,MATCH("D3.14f|"&amp;CAPTURA!BH85,CODIFICACION!$F$2:$F$500,0))="sin dato","",INDEX(CODIFICACION!$E$2:$E$500,MATCH("D3.14f|"&amp;CAPTURA!BH85,CODIFICACION!$F$2:$F$500,0))),"⚠"))</f>
        <v/>
      </c>
      <c r="AD85" t="str">
        <f>IF(CAPTURA!BI85="","",IFERROR(IF(INDEX(CODIFICACION!$E$2:$E$500,MATCH("D3.14g|"&amp;CAPTURA!BI85,CODIFICACION!$F$2:$F$500,0))="sin dato","",INDEX(CODIFICACION!$E$2:$E$500,MATCH("D3.14g|"&amp;CAPTURA!BI85,CODIFICACION!$F$2:$F$500,0))),"⚠"))</f>
        <v/>
      </c>
      <c r="AE85" t="str">
        <f>IF(CAPTURA!BJ85="","",IFERROR(IF(INDEX(CODIFICACION!$E$2:$E$500,MATCH("D3.14h|"&amp;CAPTURA!BJ85,CODIFICACION!$F$2:$F$500,0))="sin dato","",INDEX(CODIFICACION!$E$2:$E$500,MATCH("D3.14h|"&amp;CAPTURA!BJ85,CODIFICACION!$F$2:$F$500,0))),"⚠"))</f>
        <v/>
      </c>
      <c r="AF85" t="str">
        <f>IF(CAPTURA!BK85="","",IFERROR(IF(INDEX(CODIFICACION!$E$2:$E$500,MATCH("D3.14i|"&amp;CAPTURA!BK85,CODIFICACION!$F$2:$F$500,0))="sin dato","",INDEX(CODIFICACION!$E$2:$E$500,MATCH("D3.14i|"&amp;CAPTURA!BK85,CODIFICACION!$F$2:$F$500,0))),"⚠"))</f>
        <v/>
      </c>
      <c r="AG85" t="str">
        <f>IF(CAPTURA!BL85="","",IFERROR(IF(INDEX(CODIFICACION!$E$2:$E$500,MATCH("D4.15|"&amp;CAPTURA!BL85,CODIFICACION!$F$2:$F$500,0))="sin dato","",INDEX(CODIFICACION!$E$2:$E$500,MATCH("D4.15|"&amp;CAPTURA!BL85,CODIFICACION!$F$2:$F$500,0))),"⚠"))</f>
        <v/>
      </c>
      <c r="AH85" t="str">
        <f>IF(CAPTURA!BM85="","",IF(AND(ISNUMBER(CAPTURA!BM85),CAPTURA!BM85&gt;=0,CAPTURA!BM85&lt;=4),CAPTURA!BM85*25,"⚠"))</f>
        <v/>
      </c>
      <c r="AI85" t="str">
        <f>IF(CAPTURA!BN85="","",IFERROR(IF(INDEX(CODIFICACION!$E$2:$E$500,MATCH("D4.17|"&amp;CAPTURA!BN85,CODIFICACION!$F$2:$F$500,0))="sin dato","",INDEX(CODIFICACION!$E$2:$E$500,MATCH("D4.17|"&amp;CAPTURA!BN85,CODIFICACION!$F$2:$F$500,0))),"⚠"))</f>
        <v/>
      </c>
      <c r="AJ85" t="str">
        <f>IF(CAPTURA!BO85="","",IFERROR(IF(INDEX(CODIFICACION!$E$2:$E$500,MATCH("D4.15a|"&amp;CAPTURA!BO85,CODIFICACION!$F$2:$F$500,0))="sin dato","",INDEX(CODIFICACION!$E$2:$E$500,MATCH("D4.15a|"&amp;CAPTURA!BO85,CODIFICACION!$F$2:$F$500,0))),"⚠"))</f>
        <v/>
      </c>
      <c r="AK85" t="str">
        <f>IF(CAPTURA!BP85="","",IF(AND(ISNUMBER(CAPTURA!BP85),CAPTURA!BP85&gt;=0,CAPTURA!BP85&lt;=4),CAPTURA!BP85*25,"⚠"))</f>
        <v/>
      </c>
      <c r="AL85" t="str">
        <f>IF(CAPTURA!BQ85="","",IF(AND(ISNUMBER(CAPTURA!BQ85),CAPTURA!BQ85&gt;=0,CAPTURA!BQ85&lt;=4),CAPTURA!BQ85*25,"⚠"))</f>
        <v/>
      </c>
      <c r="AM85" t="str">
        <f>IF(CAPTURA!BR85="","",IFERROR(IF(INDEX(CODIFICACION!$E$2:$E$500,MATCH("D5.18b|"&amp;CAPTURA!BR85,CODIFICACION!$F$2:$F$500,0))="sin dato","",INDEX(CODIFICACION!$E$2:$E$500,MATCH("D5.18b|"&amp;CAPTURA!BR85,CODIFICACION!$F$2:$F$500,0))),"⚠"))</f>
        <v/>
      </c>
      <c r="AN85" t="str">
        <f>IF(CAPTURA!BS85="","",IFERROR(IF(INDEX(CODIFICACION!$E$2:$E$500,MATCH("D5.19|"&amp;CAPTURA!BS85,CODIFICACION!$F$2:$F$500,0))="sin dato","",INDEX(CODIFICACION!$E$2:$E$500,MATCH("D5.19|"&amp;CAPTURA!BS85,CODIFICACION!$F$2:$F$500,0))),"⚠"))</f>
        <v/>
      </c>
      <c r="AO85" t="str">
        <f>IF(CAPTURA!BT85="","",MIN(100,ROUND((LEN(CAPTURA!BT85)-LEN(SUBSTITUTE(CAPTURA!BT85,";",""))+1)/7*100,1)))</f>
        <v/>
      </c>
      <c r="AP85" t="str">
        <f>IF(CAPTURA!BU85="","",IFERROR(IF(INDEX(CODIFICACION!$E$2:$E$500,MATCH("D5.20|"&amp;CAPTURA!BU85,CODIFICACION!$F$2:$F$500,0))="sin dato","",INDEX(CODIFICACION!$E$2:$E$500,MATCH("D5.20|"&amp;CAPTURA!BU85,CODIFICACION!$F$2:$F$500,0))),"⚠"))</f>
        <v/>
      </c>
      <c r="AQ85" t="str">
        <f>IF(CAPTURA!BV85="","",IFERROR(IF(INDEX(CODIFICACION!$E$2:$E$500,MATCH("D5.21|"&amp;CAPTURA!BV85,CODIFICACION!$F$2:$F$500,0))="sin dato","",INDEX(CODIFICACION!$E$2:$E$500,MATCH("D5.21|"&amp;CAPTURA!BV85,CODIFICACION!$F$2:$F$500,0))),"⚠"))</f>
        <v/>
      </c>
      <c r="AR85" t="str">
        <f>IF(CAPTURA!BW85="","",IFERROR(IF(INDEX(CODIFICACION!$E$2:$E$500,MATCH("D5.21a|"&amp;CAPTURA!BW85,CODIFICACION!$F$2:$F$500,0))="sin dato","",INDEX(CODIFICACION!$E$2:$E$500,MATCH("D5.21a|"&amp;CAPTURA!BW85,CODIFICACION!$F$2:$F$500,0))),"⚠"))</f>
        <v/>
      </c>
      <c r="AS85" t="str">
        <f>IF(CAPTURA!BX85="","",IFERROR(IF(INDEX(CODIFICACION!$E$2:$E$500,MATCH("D5.21b|"&amp;CAPTURA!BX85,CODIFICACION!$F$2:$F$500,0))="sin dato","",INDEX(CODIFICACION!$E$2:$E$500,MATCH("D5.21b|"&amp;CAPTURA!BX85,CODIFICACION!$F$2:$F$500,0))),"⚠"))</f>
        <v/>
      </c>
      <c r="AT85" t="str">
        <f>IF(CAPTURA!BY85="","",IFERROR(IF(INDEX(CODIFICACION!$E$2:$E$500,MATCH("D6.22|"&amp;CAPTURA!BY85,CODIFICACION!$F$2:$F$500,0))="sin dato","",INDEX(CODIFICACION!$E$2:$E$500,MATCH("D6.22|"&amp;CAPTURA!BY85,CODIFICACION!$F$2:$F$500,0))),"⚠"))</f>
        <v/>
      </c>
      <c r="AU85" t="str">
        <f>IF(CAPTURA!BZ85="","",IFERROR(IF(INDEX(CODIFICACION!$E$2:$E$500,MATCH("D6.22a|"&amp;CAPTURA!BZ85,CODIFICACION!$F$2:$F$500,0))="sin dato","",INDEX(CODIFICACION!$E$2:$E$500,MATCH("D6.22a|"&amp;CAPTURA!BZ85,CODIFICACION!$F$2:$F$500,0))),"⚠"))</f>
        <v/>
      </c>
      <c r="AV85" t="str">
        <f>IF(CAPTURA!CA85="","",IFERROR(IF(INDEX(CODIFICACION!$E$2:$E$500,MATCH("D6.22b|"&amp;CAPTURA!CA85,CODIFICACION!$F$2:$F$500,0))="sin dato","",INDEX(CODIFICACION!$E$2:$E$500,MATCH("D6.22b|"&amp;CAPTURA!CA85,CODIFICACION!$F$2:$F$500,0))),"⚠"))</f>
        <v/>
      </c>
      <c r="AW85" t="str">
        <f>IF(CAPTURA!CB85="","",IFERROR(IF(INDEX(CODIFICACION!$E$2:$E$500,MATCH("D6.23|"&amp;CAPTURA!CB85,CODIFICACION!$F$2:$F$500,0))="sin dato","",INDEX(CODIFICACION!$E$2:$E$500,MATCH("D6.23|"&amp;CAPTURA!CB85,CODIFICACION!$F$2:$F$500,0))),"⚠"))</f>
        <v/>
      </c>
      <c r="AX85" t="str">
        <f>IF(CAPTURA!CC85="","",IFERROR(IF(INDEX(CODIFICACION!$E$2:$E$500,MATCH("D6.24|"&amp;CAPTURA!CC85,CODIFICACION!$F$2:$F$500,0))="sin dato","",INDEX(CODIFICACION!$E$2:$E$500,MATCH("D6.24|"&amp;CAPTURA!CC85,CODIFICACION!$F$2:$F$500,0))),"⚠"))</f>
        <v/>
      </c>
      <c r="AY85" t="str">
        <f>IF(CAPTURA!CD85="","",IFERROR(IF(INDEX(CODIFICACION!$E$2:$E$500,MATCH("D6.25|"&amp;CAPTURA!CD85,CODIFICACION!$F$2:$F$500,0))="sin dato","",INDEX(CODIFICACION!$E$2:$E$500,MATCH("D6.25|"&amp;CAPTURA!CD85,CODIFICACION!$F$2:$F$500,0))),"⚠"))</f>
        <v/>
      </c>
      <c r="AZ85" t="str">
        <f>IF(CAPTURA!CE85="","",IFERROR(IF(INDEX(CODIFICACION!$E$2:$E$500,MATCH("D6.25a|"&amp;CAPTURA!CE85,CODIFICACION!$F$2:$F$500,0))="sin dato","",INDEX(CODIFICACION!$E$2:$E$500,MATCH("D6.25a|"&amp;CAPTURA!CE85,CODIFICACION!$F$2:$F$500,0))),"⚠"))</f>
        <v/>
      </c>
      <c r="BA85" t="str">
        <f>IF(CAPTURA!CF85="","",IFERROR(IF(INDEX(CODIFICACION!$E$2:$E$500,MATCH("D6.25b|"&amp;CAPTURA!CF85,CODIFICACION!$F$2:$F$500,0))="sin dato","",INDEX(CODIFICACION!$E$2:$E$500,MATCH("D6.25b|"&amp;CAPTURA!CF85,CODIFICACION!$F$2:$F$500,0))),"⚠"))</f>
        <v/>
      </c>
      <c r="BB85" t="str">
        <f>IF(CAPTURA!CG85="","",IFERROR(IF(INDEX(CODIFICACION!$E$2:$E$500,MATCH("D6.22c|"&amp;CAPTURA!CG85,CODIFICACION!$F$2:$F$500,0))="sin dato","",INDEX(CODIFICACION!$E$2:$E$500,MATCH("D6.22c|"&amp;CAPTURA!CG85,CODIFICACION!$F$2:$F$500,0))),"⚠"))</f>
        <v/>
      </c>
      <c r="BC85" t="str">
        <f>IF(CAPTURA!CH85="","",IFERROR(IF(INDEX(CODIFICACION!$E$2:$E$500,MATCH("D7.26|"&amp;CAPTURA!CH85,CODIFICACION!$F$2:$F$500,0))="sin dato","",INDEX(CODIFICACION!$E$2:$E$500,MATCH("D7.26|"&amp;CAPTURA!CH85,CODIFICACION!$F$2:$F$500,0))),"⚠"))</f>
        <v/>
      </c>
      <c r="BD85" t="str">
        <f>IF(CAPTURA!CI85="","",IFERROR(IF(INDEX(CODIFICACION!$E$2:$E$500,MATCH("D7.27|"&amp;CAPTURA!CI85,CODIFICACION!$F$2:$F$500,0))="sin dato","",INDEX(CODIFICACION!$E$2:$E$500,MATCH("D7.27|"&amp;CAPTURA!CI85,CODIFICACION!$F$2:$F$500,0))),"⚠"))</f>
        <v/>
      </c>
      <c r="BE85" t="str">
        <f>IF(CAPTURA!CJ85="","",IFERROR(IF(INDEX(CODIFICACION!$E$2:$E$500,MATCH("D7.28|"&amp;CAPTURA!CJ85,CODIFICACION!$F$2:$F$500,0))="sin dato","",INDEX(CODIFICACION!$E$2:$E$500,MATCH("D7.28|"&amp;CAPTURA!CJ85,CODIFICACION!$F$2:$F$500,0))),"⚠"))</f>
        <v/>
      </c>
      <c r="BF85" t="str">
        <f>IF(CAPTURA!CK85="","",IFERROR(IF(INDEX(CODIFICACION!$E$2:$E$500,MATCH("D7.28b|"&amp;CAPTURA!CK85,CODIFICACION!$F$2:$F$500,0))="sin dato","",INDEX(CODIFICACION!$E$2:$E$500,MATCH("D7.28b|"&amp;CAPTURA!CK85,CODIFICACION!$F$2:$F$500,0))),"⚠"))</f>
        <v/>
      </c>
      <c r="BG85" t="str">
        <f>IF(CAPTURA!CL85="","",MIN(100,ROUND((LEN(CAPTURA!CL85)-LEN(SUBSTITUTE(CAPTURA!CL85,";",""))+1)/8*100,1)))</f>
        <v/>
      </c>
      <c r="BH85" t="str">
        <f>IF(CAPTURA!CM85="","",IFERROR(IF(INDEX(CODIFICACION!$E$2:$E$500,MATCH("D7.26a|"&amp;CAPTURA!CM85,CODIFICACION!$F$2:$F$500,0))="sin dato","",INDEX(CODIFICACION!$E$2:$E$500,MATCH("D7.26a|"&amp;CAPTURA!CM85,CODIFICACION!$F$2:$F$500,0))),"⚠"))</f>
        <v/>
      </c>
      <c r="BI85" t="str">
        <f>IF(CAPTURA!CN85="","",IFERROR(IF(INDEX(CODIFICACION!$E$2:$E$500,MATCH("D7.26b|"&amp;CAPTURA!CN85,CODIFICACION!$F$2:$F$500,0))="sin dato","",INDEX(CODIFICACION!$E$2:$E$500,MATCH("D7.26b|"&amp;CAPTURA!CN85,CODIFICACION!$F$2:$F$500,0))),"⚠"))</f>
        <v/>
      </c>
      <c r="BJ85" t="str">
        <f>IF(CAPTURA!CO85="","",IF(AND(ISNUMBER(CAPTURA!CO85),CAPTURA!CO85&gt;=0,CAPTURA!CO85&lt;=4),CAPTURA!CO85*25,"⚠"))</f>
        <v/>
      </c>
      <c r="BK85" t="str">
        <f>IF(CAPTURA!CP85="","",IF(ISNUMBER(CAPTURA!CP85),MAX(0,MIN(100,CAPTURA!CP85)),"⚠"))</f>
        <v/>
      </c>
      <c r="BL85" t="str">
        <f>IF(CAPTURA!CQ85="","",IFERROR(IF(INDEX(CODIFICACION!$E$2:$E$500,MATCH("D8.31|"&amp;CAPTURA!CQ85,CODIFICACION!$F$2:$F$500,0))="sin dato","",INDEX(CODIFICACION!$E$2:$E$500,MATCH("D8.31|"&amp;CAPTURA!CQ85,CODIFICACION!$F$2:$F$500,0))),"⚠"))</f>
        <v/>
      </c>
      <c r="BM85" t="str">
        <f>IF(CAPTURA!CR85="","",IFERROR(IF(INDEX(CODIFICACION!$E$2:$E$500,MATCH("D8.32|"&amp;CAPTURA!CR85,CODIFICACION!$F$2:$F$500,0))="sin dato","",INDEX(CODIFICACION!$E$2:$E$500,MATCH("D8.32|"&amp;CAPTURA!CR85,CODIFICACION!$F$2:$F$500,0))),"⚠"))</f>
        <v/>
      </c>
      <c r="BN85" t="str">
        <f>IF(CAPTURA!CS85="","",IFERROR(IF(INDEX(CODIFICACION!$E$2:$E$500,MATCH("D9.33|"&amp;CAPTURA!CS85,CODIFICACION!$F$2:$F$500,0))="sin dato","",INDEX(CODIFICACION!$E$2:$E$500,MATCH("D9.33|"&amp;CAPTURA!CS85,CODIFICACION!$F$2:$F$500,0))),"⚠"))</f>
        <v/>
      </c>
      <c r="BO85" t="str">
        <f>IF(CAPTURA!CT85="","",IFERROR(IF(INDEX(CODIFICACION!$E$2:$E$500,MATCH("D9.34|"&amp;CAPTURA!CT85,CODIFICACION!$F$2:$F$500,0))="sin dato","",INDEX(CODIFICACION!$E$2:$E$500,MATCH("D9.34|"&amp;CAPTURA!CT85,CODIFICACION!$F$2:$F$500,0))),"⚠"))</f>
        <v/>
      </c>
      <c r="BP85" t="str">
        <f>IF(CAPTURA!CU85="","",IFERROR(IF(INDEX(CODIFICACION!$E$2:$E$500,MATCH("D9.35|"&amp;CAPTURA!CU85,CODIFICACION!$F$2:$F$500,0))="sin dato","",INDEX(CODIFICACION!$E$2:$E$500,MATCH("D9.35|"&amp;CAPTURA!CU85,CODIFICACION!$F$2:$F$500,0))),"⚠"))</f>
        <v/>
      </c>
      <c r="BQ85" t="str">
        <f>IF(CAPTURA!CV85="","",IFERROR(IF(INDEX(CODIFICACION!$E$2:$E$500,MATCH("D10.36|"&amp;CAPTURA!CV85,CODIFICACION!$F$2:$F$500,0))="sin dato","",INDEX(CODIFICACION!$E$2:$E$500,MATCH("D10.36|"&amp;CAPTURA!CV85,CODIFICACION!$F$2:$F$500,0))),"⚠"))</f>
        <v/>
      </c>
      <c r="BR85" t="str">
        <f>IF(CAPTURA!CW85="","",IFERROR(IF(INDEX(CODIFICACION!$E$2:$E$500,MATCH("D10.37|"&amp;CAPTURA!CW85,CODIFICACION!$F$2:$F$500,0))="sin dato","",INDEX(CODIFICACION!$E$2:$E$500,MATCH("D10.37|"&amp;CAPTURA!CW85,CODIFICACION!$F$2:$F$500,0))),"⚠"))</f>
        <v/>
      </c>
      <c r="BS85" t="str">
        <f>IF(CAPTURA!CX85="","",IFERROR(IF(INDEX(CODIFICACION!$E$2:$E$500,MATCH("D10.36a|"&amp;CAPTURA!CX85,CODIFICACION!$F$2:$F$500,0))="sin dato","",INDEX(CODIFICACION!$E$2:$E$500,MATCH("D10.36a|"&amp;CAPTURA!CX85,CODIFICACION!$F$2:$F$500,0))),"⚠"))</f>
        <v/>
      </c>
      <c r="BT85" t="str">
        <f>IF(CAPTURA!CY85="","",IF(ISNUMBER(SEARCH("Ninguno",CAPTURA!CY85)),0,MIN(100,ROUND((LEN(CAPTURA!CY85)-LEN(SUBSTITUTE(CAPTURA!CY85,";",""))+1)/6*100,1))))</f>
        <v/>
      </c>
      <c r="BU85" t="str">
        <f>IF(CAPTURA!DA85="","",IFERROR(IF(INDEX(CODIFICACION!$E$2:$E$500,MATCH("D11.39a|"&amp;CAPTURA!DA85,CODIFICACION!$F$2:$F$500,0))="sin dato","",INDEX(CODIFICACION!$E$2:$E$500,MATCH("D11.39a|"&amp;CAPTURA!DA85,CODIFICACION!$F$2:$F$500,0))),"⚠"))</f>
        <v/>
      </c>
      <c r="BV85" t="str">
        <f>IF(CAPTURA!DB85="","",IFERROR(IF(INDEX(CODIFICACION!$E$2:$E$500,MATCH("D12.42|"&amp;CAPTURA!DB85,CODIFICACION!$F$2:$F$500,0))="sin dato","",INDEX(CODIFICACION!$E$2:$E$500,MATCH("D12.42|"&amp;CAPTURA!DB85,CODIFICACION!$F$2:$F$500,0))),"⚠"))</f>
        <v/>
      </c>
      <c r="BW85" t="str">
        <f>IF(CAPTURA!DC85="","",IFERROR(IF(INDEX(CODIFICACION!$E$2:$E$500,MATCH("D13.45|"&amp;CAPTURA!DC85,CODIFICACION!$F$2:$F$500,0))="sin dato","",INDEX(CODIFICACION!$E$2:$E$500,MATCH("D13.45|"&amp;CAPTURA!DC85,CODIFICACION!$F$2:$F$500,0))),"⚠"))</f>
        <v/>
      </c>
      <c r="BX85" t="str">
        <f>IF(CAPTURA!DD85="","",IFERROR(IF(INDEX(CODIFICACION!$E$2:$E$500,MATCH("D14.51|"&amp;CAPTURA!DD85,CODIFICACION!$F$2:$F$500,0))="sin dato","",INDEX(CODIFICACION!$E$2:$E$500,MATCH("D14.51|"&amp;CAPTURA!DD85,CODIFICACION!$F$2:$F$500,0))),"⚠"))</f>
        <v/>
      </c>
      <c r="BY85" t="str">
        <f>IF(CAPTURA!DE85="","",IFERROR(IF(INDEX(CODIFICACION!$E$2:$E$500,MATCH("D15.58|"&amp;CAPTURA!DE85,CODIFICACION!$F$2:$F$500,0))="sin dato","",INDEX(CODIFICACION!$E$2:$E$500,MATCH("D15.58|"&amp;CAPTURA!DE85,CODIFICACION!$F$2:$F$500,0))),"⚠"))</f>
        <v/>
      </c>
      <c r="BZ85" t="str">
        <f>IF(CAPTURA!DF85="","",IFERROR(IF(INDEX(CODIFICACION!$E$2:$E$500,MATCH("PP1|"&amp;CAPTURA!DF85,CODIFICACION!$F$2:$F$500,0))="sin dato","",INDEX(CODIFICACION!$E$2:$E$500,MATCH("PP1|"&amp;CAPTURA!DF85,CODIFICACION!$F$2:$F$500,0))),"⚠"))</f>
        <v/>
      </c>
      <c r="CA85" t="str">
        <f>IF(CAPTURA!DG85="","",IFERROR(IF(INDEX(CODIFICACION!$E$2:$E$500,MATCH("PP2|"&amp;CAPTURA!DG85,CODIFICACION!$F$2:$F$500,0))="sin dato","",INDEX(CODIFICACION!$E$2:$E$500,MATCH("PP2|"&amp;CAPTURA!DG85,CODIFICACION!$F$2:$F$500,0))),"⚠"))</f>
        <v/>
      </c>
      <c r="CB85" t="str">
        <f t="shared" si="22"/>
        <v/>
      </c>
      <c r="CC85" t="str">
        <f t="shared" si="23"/>
        <v/>
      </c>
      <c r="CD85" t="str">
        <f t="shared" si="24"/>
        <v/>
      </c>
      <c r="CE85" t="str">
        <f t="shared" si="25"/>
        <v/>
      </c>
      <c r="CF85" t="str">
        <f t="shared" si="26"/>
        <v/>
      </c>
      <c r="CG85" t="str">
        <f t="shared" si="27"/>
        <v/>
      </c>
      <c r="CH85" t="str">
        <f t="shared" si="28"/>
        <v/>
      </c>
      <c r="CI85" t="str">
        <f t="shared" si="29"/>
        <v/>
      </c>
      <c r="CJ85" t="str">
        <f t="shared" si="30"/>
        <v/>
      </c>
      <c r="CK85" t="str">
        <f t="shared" si="31"/>
        <v/>
      </c>
      <c r="CL85" t="str">
        <f t="shared" si="32"/>
        <v/>
      </c>
    </row>
    <row r="86" spans="1:90" x14ac:dyDescent="0.3">
      <c r="A86">
        <f>CAPTURA!A86</f>
        <v>20568428375</v>
      </c>
      <c r="B86">
        <f>CAPTURA!C86</f>
        <v>0</v>
      </c>
      <c r="C86" t="str">
        <f>IF(CAPTURA!M86="","",ROUND((ISNUMBER(SEARCH("Alemania",CAPTURA!M86))+ISNUMBER(SEARCH("Bélgica",CAPTURA!M86))+ISNUMBER(SEARCH("Países Bajos",CAPTURA!M86))+ISNUMBER(SEARCH("Francia",CAPTURA!M86))+ISNUMBER(SEARCH("Italia",CAPTURA!M86))+ISNUMBER(SEARCH("España",CAPTURA!M86))+ISNUMBER(SEARCH("Suecia",CAPTURA!M86))+ISNUMBER(SEARCH("Dinamarca",CAPTURA!M86)))/((LEN(CAPTURA!M86)-LEN(SUBSTITUTE(CAPTURA!M86,";","")))+1)*100,1))</f>
        <v/>
      </c>
      <c r="D86" t="str">
        <f>IF(CAPTURA!AE86="","",IFERROR(IF(INDEX(CODIFICACION!$E$2:$E$500,MATCH("P8|"&amp;CAPTURA!AE86,CODIFICACION!$F$2:$F$500,0))="sin dato","",INDEX(CODIFICACION!$E$2:$E$500,MATCH("P8|"&amp;CAPTURA!AE86,CODIFICACION!$F$2:$F$500,0))),"⚠"))</f>
        <v/>
      </c>
      <c r="E86" t="str">
        <f>IF(CAPTURA!AG86="","",IFERROR(IF(INDEX(CODIFICACION!$E$2:$E$500,MATCH("P10|"&amp;CAPTURA!AG86,CODIFICACION!$F$2:$F$500,0))="sin dato","",INDEX(CODIFICACION!$E$2:$E$500,MATCH("P10|"&amp;CAPTURA!AG86,CODIFICACION!$F$2:$F$500,0))),"⚠"))</f>
        <v/>
      </c>
      <c r="F86" t="str">
        <f>IF(CAPTURA!AJ86="","",IFERROR(IF(INDEX(CODIFICACION!$E$2:$E$500,MATCH("P13|"&amp;CAPTURA!AJ86,CODIFICACION!$F$2:$F$500,0))="sin dato","",INDEX(CODIFICACION!$E$2:$E$500,MATCH("P13|"&amp;CAPTURA!AJ86,CODIFICACION!$F$2:$F$500,0))),"⚠"))</f>
        <v/>
      </c>
      <c r="G86" t="str">
        <f>IF(CAPTURA!AK86="","",IFERROR(IF(INDEX(CODIFICACION!$E$2:$E$500,MATCH("P14|"&amp;CAPTURA!AK86,CODIFICACION!$F$2:$F$500,0))="sin dato","",INDEX(CODIFICACION!$E$2:$E$500,MATCH("P14|"&amp;CAPTURA!AK86,CODIFICACION!$F$2:$F$500,0))),"⚠"))</f>
        <v/>
      </c>
      <c r="H86" t="str">
        <f>IF(CAPTURA!AL86="","",IFERROR(IF(INDEX(CODIFICACION!$E$2:$E$500,MATCH("D1.1|"&amp;CAPTURA!AL86,CODIFICACION!$F$2:$F$500,0))="sin dato","",INDEX(CODIFICACION!$E$2:$E$500,MATCH("D1.1|"&amp;CAPTURA!AL86,CODIFICACION!$F$2:$F$500,0))),"⚠"))</f>
        <v/>
      </c>
      <c r="I86" t="str">
        <f>IF(CAPTURA!AN86="","",IFERROR(IF(INDEX(CODIFICACION!$E$2:$E$500,MATCH("D1.3|"&amp;CAPTURA!AN86,CODIFICACION!$F$2:$F$500,0))="sin dato","",INDEX(CODIFICACION!$E$2:$E$500,MATCH("D1.3|"&amp;CAPTURA!AN86,CODIFICACION!$F$2:$F$500,0))),"⚠"))</f>
        <v/>
      </c>
      <c r="J86" t="str">
        <f>IF(CAPTURA!AO86="","",IFERROR(IF(INDEX(CODIFICACION!$E$2:$E$500,MATCH("D1.4|"&amp;CAPTURA!AO86,CODIFICACION!$F$2:$F$500,0))="sin dato","",INDEX(CODIFICACION!$E$2:$E$500,MATCH("D1.4|"&amp;CAPTURA!AO86,CODIFICACION!$F$2:$F$500,0))),"⚠"))</f>
        <v/>
      </c>
      <c r="K86" t="str">
        <f>IF(CAPTURA!AP86="","",IFERROR(IF(INDEX(CODIFICACION!$E$2:$E$500,MATCH("D1.3a|"&amp;CAPTURA!AP86,CODIFICACION!$F$2:$F$500,0))="sin dato","",INDEX(CODIFICACION!$E$2:$E$500,MATCH("D1.3a|"&amp;CAPTURA!AP86,CODIFICACION!$F$2:$F$500,0))),"⚠"))</f>
        <v/>
      </c>
      <c r="L86" t="str">
        <f>IF(CAPTURA!AQ86="","",IF(AND(ISNUMBER(CAPTURA!AQ86),CAPTURA!AQ86&gt;=0,CAPTURA!AQ86&lt;=4),CAPTURA!AQ86*25,"⚠"))</f>
        <v/>
      </c>
      <c r="M86" t="str">
        <f>IF(CAPTURA!AR86="","",IF(ISNUMBER(CAPTURA!AR86),MAX(0,MIN(100,CAPTURA!AR86)),"⚠"))</f>
        <v/>
      </c>
      <c r="N86" t="str">
        <f>IF(CAPTURA!AS86="","",IF(AND(ISNUMBER(CAPTURA!AS86),CAPTURA!AS86&gt;=0,CAPTURA!AS86&lt;=4),CAPTURA!AS86*25,"⚠"))</f>
        <v/>
      </c>
      <c r="O86" t="str">
        <f>IF(CAPTURA!AT86="","",IFERROR(IF(INDEX(CODIFICACION!$E$2:$E$500,MATCH("D2.8|"&amp;CAPTURA!AT86,CODIFICACION!$F$2:$F$500,0))="sin dato","",INDEX(CODIFICACION!$E$2:$E$500,MATCH("D2.8|"&amp;CAPTURA!AT86,CODIFICACION!$F$2:$F$500,0))),"⚠"))</f>
        <v/>
      </c>
      <c r="P86" t="str">
        <f>IF(CAPTURA!AU86="","",IFERROR(IF(INDEX(CODIFICACION!$E$2:$E$500,MATCH("D2.9|"&amp;CAPTURA!AU86,CODIFICACION!$F$2:$F$500,0))="sin dato","",INDEX(CODIFICACION!$E$2:$E$500,MATCH("D2.9|"&amp;CAPTURA!AU86,CODIFICACION!$F$2:$F$500,0))),"⚠"))</f>
        <v/>
      </c>
      <c r="Q86" t="str">
        <f>IF(CAPTURA!AV86="","",IFERROR(IF(INDEX(CODIFICACION!$E$2:$E$500,MATCH("D2.10|"&amp;CAPTURA!AV86,CODIFICACION!$F$2:$F$500,0))="sin dato","",INDEX(CODIFICACION!$E$2:$E$500,MATCH("D2.10|"&amp;CAPTURA!AV86,CODIFICACION!$F$2:$F$500,0))),"⚠"))</f>
        <v/>
      </c>
      <c r="R86" t="str">
        <f>IF(CAPTURA!AW86="","",IFERROR(IF(INDEX(CODIFICACION!$E$2:$E$500,MATCH("D2.5a|"&amp;CAPTURA!AW86,CODIFICACION!$F$2:$F$500,0))="sin dato","",INDEX(CODIFICACION!$E$2:$E$500,MATCH("D2.5a|"&amp;CAPTURA!AW86,CODIFICACION!$F$2:$F$500,0))),"⚠"))</f>
        <v/>
      </c>
      <c r="S86" t="str">
        <f>IF(CAPTURA!AX86="","",IFERROR(IF(INDEX(CODIFICACION!$E$2:$E$500,MATCH("D2.5b|"&amp;CAPTURA!AX86,CODIFICACION!$F$2:$F$500,0))="sin dato","",INDEX(CODIFICACION!$E$2:$E$500,MATCH("D2.5b|"&amp;CAPTURA!AX86,CODIFICACION!$F$2:$F$500,0))),"⚠"))</f>
        <v/>
      </c>
      <c r="T86" t="str">
        <f>IF(CAPTURA!AY86="","",IF(ISNUMBER(CAPTURA!AY86),MAX(0,MIN(100,CAPTURA!AY86)),"⚠"))</f>
        <v/>
      </c>
      <c r="U86" t="str">
        <f>IF(CAPTURA!AZ86="","",IFERROR(IF(INDEX(CODIFICACION!$E$2:$E$500,MATCH("D3.12|"&amp;CAPTURA!AZ86,CODIFICACION!$F$2:$F$500,0))="sin dato","",INDEX(CODIFICACION!$E$2:$E$500,MATCH("D3.12|"&amp;CAPTURA!AZ86,CODIFICACION!$F$2:$F$500,0))),"⚠"))</f>
        <v/>
      </c>
      <c r="V86" t="str">
        <f>IF(CAPTURA!BA86="","",IF(AND(ISNUMBER(CAPTURA!BA86),CAPTURA!BA86&gt;=0,CAPTURA!BA86&lt;=4),CAPTURA!BA86*25,"⚠"))</f>
        <v/>
      </c>
      <c r="W86" t="str">
        <f>IF(CAPTURA!BB86="","",IFERROR(IF(INDEX(CODIFICACION!$E$2:$E$500,MATCH("D3.14|"&amp;CAPTURA!BB86,CODIFICACION!$F$2:$F$500,0))="sin dato","",INDEX(CODIFICACION!$E$2:$E$500,MATCH("D3.14|"&amp;CAPTURA!BB86,CODIFICACION!$F$2:$F$500,0))),"⚠"))</f>
        <v/>
      </c>
      <c r="X86" t="str">
        <f>IF(CAPTURA!BC86="","",IFERROR(IF(INDEX(CODIFICACION!$E$2:$E$500,MATCH("D3.14a|"&amp;CAPTURA!BC86,CODIFICACION!$F$2:$F$500,0))="sin dato","",INDEX(CODIFICACION!$E$2:$E$500,MATCH("D3.14a|"&amp;CAPTURA!BC86,CODIFICACION!$F$2:$F$500,0))),"⚠"))</f>
        <v/>
      </c>
      <c r="Y86" t="str">
        <f>IF(CAPTURA!BD86="","",IFERROR(IF(INDEX(CODIFICACION!$E$2:$E$500,MATCH("D3.14b|"&amp;CAPTURA!BD86,CODIFICACION!$F$2:$F$500,0))="sin dato","",INDEX(CODIFICACION!$E$2:$E$500,MATCH("D3.14b|"&amp;CAPTURA!BD86,CODIFICACION!$F$2:$F$500,0))),"⚠"))</f>
        <v/>
      </c>
      <c r="Z86" t="str">
        <f>IF(CAPTURA!BE86="","",IFERROR(IF(INDEX(CODIFICACION!$E$2:$E$500,MATCH("D3.14c|"&amp;CAPTURA!BE86,CODIFICACION!$F$2:$F$500,0))="sin dato","",INDEX(CODIFICACION!$E$2:$E$500,MATCH("D3.14c|"&amp;CAPTURA!BE86,CODIFICACION!$F$2:$F$500,0))),"⚠"))</f>
        <v/>
      </c>
      <c r="AA86" t="str">
        <f>IF(CAPTURA!BF86="","",IFERROR(IF(INDEX(CODIFICACION!$E$2:$E$500,MATCH("D3.14d|"&amp;CAPTURA!BF86,CODIFICACION!$F$2:$F$500,0))="sin dato","",INDEX(CODIFICACION!$E$2:$E$500,MATCH("D3.14d|"&amp;CAPTURA!BF86,CODIFICACION!$F$2:$F$500,0))),"⚠"))</f>
        <v/>
      </c>
      <c r="AB86" t="str">
        <f>IF(CAPTURA!BG86="","",IFERROR(IF(INDEX(CODIFICACION!$E$2:$E$500,MATCH("D3.14e|"&amp;CAPTURA!BG86,CODIFICACION!$F$2:$F$500,0))="sin dato","",INDEX(CODIFICACION!$E$2:$E$500,MATCH("D3.14e|"&amp;CAPTURA!BG86,CODIFICACION!$F$2:$F$500,0))),"⚠"))</f>
        <v/>
      </c>
      <c r="AC86" t="str">
        <f>IF(CAPTURA!BH86="","",IFERROR(IF(INDEX(CODIFICACION!$E$2:$E$500,MATCH("D3.14f|"&amp;CAPTURA!BH86,CODIFICACION!$F$2:$F$500,0))="sin dato","",INDEX(CODIFICACION!$E$2:$E$500,MATCH("D3.14f|"&amp;CAPTURA!BH86,CODIFICACION!$F$2:$F$500,0))),"⚠"))</f>
        <v/>
      </c>
      <c r="AD86" t="str">
        <f>IF(CAPTURA!BI86="","",IFERROR(IF(INDEX(CODIFICACION!$E$2:$E$500,MATCH("D3.14g|"&amp;CAPTURA!BI86,CODIFICACION!$F$2:$F$500,0))="sin dato","",INDEX(CODIFICACION!$E$2:$E$500,MATCH("D3.14g|"&amp;CAPTURA!BI86,CODIFICACION!$F$2:$F$500,0))),"⚠"))</f>
        <v/>
      </c>
      <c r="AE86" t="str">
        <f>IF(CAPTURA!BJ86="","",IFERROR(IF(INDEX(CODIFICACION!$E$2:$E$500,MATCH("D3.14h|"&amp;CAPTURA!BJ86,CODIFICACION!$F$2:$F$500,0))="sin dato","",INDEX(CODIFICACION!$E$2:$E$500,MATCH("D3.14h|"&amp;CAPTURA!BJ86,CODIFICACION!$F$2:$F$500,0))),"⚠"))</f>
        <v/>
      </c>
      <c r="AF86" t="str">
        <f>IF(CAPTURA!BK86="","",IFERROR(IF(INDEX(CODIFICACION!$E$2:$E$500,MATCH("D3.14i|"&amp;CAPTURA!BK86,CODIFICACION!$F$2:$F$500,0))="sin dato","",INDEX(CODIFICACION!$E$2:$E$500,MATCH("D3.14i|"&amp;CAPTURA!BK86,CODIFICACION!$F$2:$F$500,0))),"⚠"))</f>
        <v/>
      </c>
      <c r="AG86" t="str">
        <f>IF(CAPTURA!BL86="","",IFERROR(IF(INDEX(CODIFICACION!$E$2:$E$500,MATCH("D4.15|"&amp;CAPTURA!BL86,CODIFICACION!$F$2:$F$500,0))="sin dato","",INDEX(CODIFICACION!$E$2:$E$500,MATCH("D4.15|"&amp;CAPTURA!BL86,CODIFICACION!$F$2:$F$500,0))),"⚠"))</f>
        <v/>
      </c>
      <c r="AH86" t="str">
        <f>IF(CAPTURA!BM86="","",IF(AND(ISNUMBER(CAPTURA!BM86),CAPTURA!BM86&gt;=0,CAPTURA!BM86&lt;=4),CAPTURA!BM86*25,"⚠"))</f>
        <v/>
      </c>
      <c r="AI86" t="str">
        <f>IF(CAPTURA!BN86="","",IFERROR(IF(INDEX(CODIFICACION!$E$2:$E$500,MATCH("D4.17|"&amp;CAPTURA!BN86,CODIFICACION!$F$2:$F$500,0))="sin dato","",INDEX(CODIFICACION!$E$2:$E$500,MATCH("D4.17|"&amp;CAPTURA!BN86,CODIFICACION!$F$2:$F$500,0))),"⚠"))</f>
        <v/>
      </c>
      <c r="AJ86" t="str">
        <f>IF(CAPTURA!BO86="","",IFERROR(IF(INDEX(CODIFICACION!$E$2:$E$500,MATCH("D4.15a|"&amp;CAPTURA!BO86,CODIFICACION!$F$2:$F$500,0))="sin dato","",INDEX(CODIFICACION!$E$2:$E$500,MATCH("D4.15a|"&amp;CAPTURA!BO86,CODIFICACION!$F$2:$F$500,0))),"⚠"))</f>
        <v/>
      </c>
      <c r="AK86" t="str">
        <f>IF(CAPTURA!BP86="","",IF(AND(ISNUMBER(CAPTURA!BP86),CAPTURA!BP86&gt;=0,CAPTURA!BP86&lt;=4),CAPTURA!BP86*25,"⚠"))</f>
        <v/>
      </c>
      <c r="AL86" t="str">
        <f>IF(CAPTURA!BQ86="","",IF(AND(ISNUMBER(CAPTURA!BQ86),CAPTURA!BQ86&gt;=0,CAPTURA!BQ86&lt;=4),CAPTURA!BQ86*25,"⚠"))</f>
        <v/>
      </c>
      <c r="AM86" t="str">
        <f>IF(CAPTURA!BR86="","",IFERROR(IF(INDEX(CODIFICACION!$E$2:$E$500,MATCH("D5.18b|"&amp;CAPTURA!BR86,CODIFICACION!$F$2:$F$500,0))="sin dato","",INDEX(CODIFICACION!$E$2:$E$500,MATCH("D5.18b|"&amp;CAPTURA!BR86,CODIFICACION!$F$2:$F$500,0))),"⚠"))</f>
        <v/>
      </c>
      <c r="AN86" t="str">
        <f>IF(CAPTURA!BS86="","",IFERROR(IF(INDEX(CODIFICACION!$E$2:$E$500,MATCH("D5.19|"&amp;CAPTURA!BS86,CODIFICACION!$F$2:$F$500,0))="sin dato","",INDEX(CODIFICACION!$E$2:$E$500,MATCH("D5.19|"&amp;CAPTURA!BS86,CODIFICACION!$F$2:$F$500,0))),"⚠"))</f>
        <v/>
      </c>
      <c r="AO86" t="str">
        <f>IF(CAPTURA!BT86="","",MIN(100,ROUND((LEN(CAPTURA!BT86)-LEN(SUBSTITUTE(CAPTURA!BT86,";",""))+1)/7*100,1)))</f>
        <v/>
      </c>
      <c r="AP86" t="str">
        <f>IF(CAPTURA!BU86="","",IFERROR(IF(INDEX(CODIFICACION!$E$2:$E$500,MATCH("D5.20|"&amp;CAPTURA!BU86,CODIFICACION!$F$2:$F$500,0))="sin dato","",INDEX(CODIFICACION!$E$2:$E$500,MATCH("D5.20|"&amp;CAPTURA!BU86,CODIFICACION!$F$2:$F$500,0))),"⚠"))</f>
        <v/>
      </c>
      <c r="AQ86" t="str">
        <f>IF(CAPTURA!BV86="","",IFERROR(IF(INDEX(CODIFICACION!$E$2:$E$500,MATCH("D5.21|"&amp;CAPTURA!BV86,CODIFICACION!$F$2:$F$500,0))="sin dato","",INDEX(CODIFICACION!$E$2:$E$500,MATCH("D5.21|"&amp;CAPTURA!BV86,CODIFICACION!$F$2:$F$500,0))),"⚠"))</f>
        <v/>
      </c>
      <c r="AR86" t="str">
        <f>IF(CAPTURA!BW86="","",IFERROR(IF(INDEX(CODIFICACION!$E$2:$E$500,MATCH("D5.21a|"&amp;CAPTURA!BW86,CODIFICACION!$F$2:$F$500,0))="sin dato","",INDEX(CODIFICACION!$E$2:$E$500,MATCH("D5.21a|"&amp;CAPTURA!BW86,CODIFICACION!$F$2:$F$500,0))),"⚠"))</f>
        <v/>
      </c>
      <c r="AS86" t="str">
        <f>IF(CAPTURA!BX86="","",IFERROR(IF(INDEX(CODIFICACION!$E$2:$E$500,MATCH("D5.21b|"&amp;CAPTURA!BX86,CODIFICACION!$F$2:$F$500,0))="sin dato","",INDEX(CODIFICACION!$E$2:$E$500,MATCH("D5.21b|"&amp;CAPTURA!BX86,CODIFICACION!$F$2:$F$500,0))),"⚠"))</f>
        <v/>
      </c>
      <c r="AT86" t="str">
        <f>IF(CAPTURA!BY86="","",IFERROR(IF(INDEX(CODIFICACION!$E$2:$E$500,MATCH("D6.22|"&amp;CAPTURA!BY86,CODIFICACION!$F$2:$F$500,0))="sin dato","",INDEX(CODIFICACION!$E$2:$E$500,MATCH("D6.22|"&amp;CAPTURA!BY86,CODIFICACION!$F$2:$F$500,0))),"⚠"))</f>
        <v/>
      </c>
      <c r="AU86" t="str">
        <f>IF(CAPTURA!BZ86="","",IFERROR(IF(INDEX(CODIFICACION!$E$2:$E$500,MATCH("D6.22a|"&amp;CAPTURA!BZ86,CODIFICACION!$F$2:$F$500,0))="sin dato","",INDEX(CODIFICACION!$E$2:$E$500,MATCH("D6.22a|"&amp;CAPTURA!BZ86,CODIFICACION!$F$2:$F$500,0))),"⚠"))</f>
        <v/>
      </c>
      <c r="AV86" t="str">
        <f>IF(CAPTURA!CA86="","",IFERROR(IF(INDEX(CODIFICACION!$E$2:$E$500,MATCH("D6.22b|"&amp;CAPTURA!CA86,CODIFICACION!$F$2:$F$500,0))="sin dato","",INDEX(CODIFICACION!$E$2:$E$500,MATCH("D6.22b|"&amp;CAPTURA!CA86,CODIFICACION!$F$2:$F$500,0))),"⚠"))</f>
        <v/>
      </c>
      <c r="AW86" t="str">
        <f>IF(CAPTURA!CB86="","",IFERROR(IF(INDEX(CODIFICACION!$E$2:$E$500,MATCH("D6.23|"&amp;CAPTURA!CB86,CODIFICACION!$F$2:$F$500,0))="sin dato","",INDEX(CODIFICACION!$E$2:$E$500,MATCH("D6.23|"&amp;CAPTURA!CB86,CODIFICACION!$F$2:$F$500,0))),"⚠"))</f>
        <v/>
      </c>
      <c r="AX86" t="str">
        <f>IF(CAPTURA!CC86="","",IFERROR(IF(INDEX(CODIFICACION!$E$2:$E$500,MATCH("D6.24|"&amp;CAPTURA!CC86,CODIFICACION!$F$2:$F$500,0))="sin dato","",INDEX(CODIFICACION!$E$2:$E$500,MATCH("D6.24|"&amp;CAPTURA!CC86,CODIFICACION!$F$2:$F$500,0))),"⚠"))</f>
        <v/>
      </c>
      <c r="AY86" t="str">
        <f>IF(CAPTURA!CD86="","",IFERROR(IF(INDEX(CODIFICACION!$E$2:$E$500,MATCH("D6.25|"&amp;CAPTURA!CD86,CODIFICACION!$F$2:$F$500,0))="sin dato","",INDEX(CODIFICACION!$E$2:$E$500,MATCH("D6.25|"&amp;CAPTURA!CD86,CODIFICACION!$F$2:$F$500,0))),"⚠"))</f>
        <v/>
      </c>
      <c r="AZ86" t="str">
        <f>IF(CAPTURA!CE86="","",IFERROR(IF(INDEX(CODIFICACION!$E$2:$E$500,MATCH("D6.25a|"&amp;CAPTURA!CE86,CODIFICACION!$F$2:$F$500,0))="sin dato","",INDEX(CODIFICACION!$E$2:$E$500,MATCH("D6.25a|"&amp;CAPTURA!CE86,CODIFICACION!$F$2:$F$500,0))),"⚠"))</f>
        <v/>
      </c>
      <c r="BA86" t="str">
        <f>IF(CAPTURA!CF86="","",IFERROR(IF(INDEX(CODIFICACION!$E$2:$E$500,MATCH("D6.25b|"&amp;CAPTURA!CF86,CODIFICACION!$F$2:$F$500,0))="sin dato","",INDEX(CODIFICACION!$E$2:$E$500,MATCH("D6.25b|"&amp;CAPTURA!CF86,CODIFICACION!$F$2:$F$500,0))),"⚠"))</f>
        <v/>
      </c>
      <c r="BB86" t="str">
        <f>IF(CAPTURA!CG86="","",IFERROR(IF(INDEX(CODIFICACION!$E$2:$E$500,MATCH("D6.22c|"&amp;CAPTURA!CG86,CODIFICACION!$F$2:$F$500,0))="sin dato","",INDEX(CODIFICACION!$E$2:$E$500,MATCH("D6.22c|"&amp;CAPTURA!CG86,CODIFICACION!$F$2:$F$500,0))),"⚠"))</f>
        <v/>
      </c>
      <c r="BC86" t="str">
        <f>IF(CAPTURA!CH86="","",IFERROR(IF(INDEX(CODIFICACION!$E$2:$E$500,MATCH("D7.26|"&amp;CAPTURA!CH86,CODIFICACION!$F$2:$F$500,0))="sin dato","",INDEX(CODIFICACION!$E$2:$E$500,MATCH("D7.26|"&amp;CAPTURA!CH86,CODIFICACION!$F$2:$F$500,0))),"⚠"))</f>
        <v/>
      </c>
      <c r="BD86" t="str">
        <f>IF(CAPTURA!CI86="","",IFERROR(IF(INDEX(CODIFICACION!$E$2:$E$500,MATCH("D7.27|"&amp;CAPTURA!CI86,CODIFICACION!$F$2:$F$500,0))="sin dato","",INDEX(CODIFICACION!$E$2:$E$500,MATCH("D7.27|"&amp;CAPTURA!CI86,CODIFICACION!$F$2:$F$500,0))),"⚠"))</f>
        <v/>
      </c>
      <c r="BE86" t="str">
        <f>IF(CAPTURA!CJ86="","",IFERROR(IF(INDEX(CODIFICACION!$E$2:$E$500,MATCH("D7.28|"&amp;CAPTURA!CJ86,CODIFICACION!$F$2:$F$500,0))="sin dato","",INDEX(CODIFICACION!$E$2:$E$500,MATCH("D7.28|"&amp;CAPTURA!CJ86,CODIFICACION!$F$2:$F$500,0))),"⚠"))</f>
        <v/>
      </c>
      <c r="BF86" t="str">
        <f>IF(CAPTURA!CK86="","",IFERROR(IF(INDEX(CODIFICACION!$E$2:$E$500,MATCH("D7.28b|"&amp;CAPTURA!CK86,CODIFICACION!$F$2:$F$500,0))="sin dato","",INDEX(CODIFICACION!$E$2:$E$500,MATCH("D7.28b|"&amp;CAPTURA!CK86,CODIFICACION!$F$2:$F$500,0))),"⚠"))</f>
        <v/>
      </c>
      <c r="BG86" t="str">
        <f>IF(CAPTURA!CL86="","",MIN(100,ROUND((LEN(CAPTURA!CL86)-LEN(SUBSTITUTE(CAPTURA!CL86,";",""))+1)/8*100,1)))</f>
        <v/>
      </c>
      <c r="BH86" t="str">
        <f>IF(CAPTURA!CM86="","",IFERROR(IF(INDEX(CODIFICACION!$E$2:$E$500,MATCH("D7.26a|"&amp;CAPTURA!CM86,CODIFICACION!$F$2:$F$500,0))="sin dato","",INDEX(CODIFICACION!$E$2:$E$500,MATCH("D7.26a|"&amp;CAPTURA!CM86,CODIFICACION!$F$2:$F$500,0))),"⚠"))</f>
        <v/>
      </c>
      <c r="BI86" t="str">
        <f>IF(CAPTURA!CN86="","",IFERROR(IF(INDEX(CODIFICACION!$E$2:$E$500,MATCH("D7.26b|"&amp;CAPTURA!CN86,CODIFICACION!$F$2:$F$500,0))="sin dato","",INDEX(CODIFICACION!$E$2:$E$500,MATCH("D7.26b|"&amp;CAPTURA!CN86,CODIFICACION!$F$2:$F$500,0))),"⚠"))</f>
        <v/>
      </c>
      <c r="BJ86" t="str">
        <f>IF(CAPTURA!CO86="","",IF(AND(ISNUMBER(CAPTURA!CO86),CAPTURA!CO86&gt;=0,CAPTURA!CO86&lt;=4),CAPTURA!CO86*25,"⚠"))</f>
        <v/>
      </c>
      <c r="BK86" t="str">
        <f>IF(CAPTURA!CP86="","",IF(ISNUMBER(CAPTURA!CP86),MAX(0,MIN(100,CAPTURA!CP86)),"⚠"))</f>
        <v/>
      </c>
      <c r="BL86" t="str">
        <f>IF(CAPTURA!CQ86="","",IFERROR(IF(INDEX(CODIFICACION!$E$2:$E$500,MATCH("D8.31|"&amp;CAPTURA!CQ86,CODIFICACION!$F$2:$F$500,0))="sin dato","",INDEX(CODIFICACION!$E$2:$E$500,MATCH("D8.31|"&amp;CAPTURA!CQ86,CODIFICACION!$F$2:$F$500,0))),"⚠"))</f>
        <v/>
      </c>
      <c r="BM86" t="str">
        <f>IF(CAPTURA!CR86="","",IFERROR(IF(INDEX(CODIFICACION!$E$2:$E$500,MATCH("D8.32|"&amp;CAPTURA!CR86,CODIFICACION!$F$2:$F$500,0))="sin dato","",INDEX(CODIFICACION!$E$2:$E$500,MATCH("D8.32|"&amp;CAPTURA!CR86,CODIFICACION!$F$2:$F$500,0))),"⚠"))</f>
        <v/>
      </c>
      <c r="BN86" t="str">
        <f>IF(CAPTURA!CS86="","",IFERROR(IF(INDEX(CODIFICACION!$E$2:$E$500,MATCH("D9.33|"&amp;CAPTURA!CS86,CODIFICACION!$F$2:$F$500,0))="sin dato","",INDEX(CODIFICACION!$E$2:$E$500,MATCH("D9.33|"&amp;CAPTURA!CS86,CODIFICACION!$F$2:$F$500,0))),"⚠"))</f>
        <v/>
      </c>
      <c r="BO86" t="str">
        <f>IF(CAPTURA!CT86="","",IFERROR(IF(INDEX(CODIFICACION!$E$2:$E$500,MATCH("D9.34|"&amp;CAPTURA!CT86,CODIFICACION!$F$2:$F$500,0))="sin dato","",INDEX(CODIFICACION!$E$2:$E$500,MATCH("D9.34|"&amp;CAPTURA!CT86,CODIFICACION!$F$2:$F$500,0))),"⚠"))</f>
        <v/>
      </c>
      <c r="BP86" t="str">
        <f>IF(CAPTURA!CU86="","",IFERROR(IF(INDEX(CODIFICACION!$E$2:$E$500,MATCH("D9.35|"&amp;CAPTURA!CU86,CODIFICACION!$F$2:$F$500,0))="sin dato","",INDEX(CODIFICACION!$E$2:$E$500,MATCH("D9.35|"&amp;CAPTURA!CU86,CODIFICACION!$F$2:$F$500,0))),"⚠"))</f>
        <v/>
      </c>
      <c r="BQ86" t="str">
        <f>IF(CAPTURA!CV86="","",IFERROR(IF(INDEX(CODIFICACION!$E$2:$E$500,MATCH("D10.36|"&amp;CAPTURA!CV86,CODIFICACION!$F$2:$F$500,0))="sin dato","",INDEX(CODIFICACION!$E$2:$E$500,MATCH("D10.36|"&amp;CAPTURA!CV86,CODIFICACION!$F$2:$F$500,0))),"⚠"))</f>
        <v/>
      </c>
      <c r="BR86" t="str">
        <f>IF(CAPTURA!CW86="","",IFERROR(IF(INDEX(CODIFICACION!$E$2:$E$500,MATCH("D10.37|"&amp;CAPTURA!CW86,CODIFICACION!$F$2:$F$500,0))="sin dato","",INDEX(CODIFICACION!$E$2:$E$500,MATCH("D10.37|"&amp;CAPTURA!CW86,CODIFICACION!$F$2:$F$500,0))),"⚠"))</f>
        <v/>
      </c>
      <c r="BS86" t="str">
        <f>IF(CAPTURA!CX86="","",IFERROR(IF(INDEX(CODIFICACION!$E$2:$E$500,MATCH("D10.36a|"&amp;CAPTURA!CX86,CODIFICACION!$F$2:$F$500,0))="sin dato","",INDEX(CODIFICACION!$E$2:$E$500,MATCH("D10.36a|"&amp;CAPTURA!CX86,CODIFICACION!$F$2:$F$500,0))),"⚠"))</f>
        <v/>
      </c>
      <c r="BT86" t="str">
        <f>IF(CAPTURA!CY86="","",IF(ISNUMBER(SEARCH("Ninguno",CAPTURA!CY86)),0,MIN(100,ROUND((LEN(CAPTURA!CY86)-LEN(SUBSTITUTE(CAPTURA!CY86,";",""))+1)/6*100,1))))</f>
        <v/>
      </c>
      <c r="BU86" t="str">
        <f>IF(CAPTURA!DA86="","",IFERROR(IF(INDEX(CODIFICACION!$E$2:$E$500,MATCH("D11.39a|"&amp;CAPTURA!DA86,CODIFICACION!$F$2:$F$500,0))="sin dato","",INDEX(CODIFICACION!$E$2:$E$500,MATCH("D11.39a|"&amp;CAPTURA!DA86,CODIFICACION!$F$2:$F$500,0))),"⚠"))</f>
        <v/>
      </c>
      <c r="BV86" t="str">
        <f>IF(CAPTURA!DB86="","",IFERROR(IF(INDEX(CODIFICACION!$E$2:$E$500,MATCH("D12.42|"&amp;CAPTURA!DB86,CODIFICACION!$F$2:$F$500,0))="sin dato","",INDEX(CODIFICACION!$E$2:$E$500,MATCH("D12.42|"&amp;CAPTURA!DB86,CODIFICACION!$F$2:$F$500,0))),"⚠"))</f>
        <v/>
      </c>
      <c r="BW86" t="str">
        <f>IF(CAPTURA!DC86="","",IFERROR(IF(INDEX(CODIFICACION!$E$2:$E$500,MATCH("D13.45|"&amp;CAPTURA!DC86,CODIFICACION!$F$2:$F$500,0))="sin dato","",INDEX(CODIFICACION!$E$2:$E$500,MATCH("D13.45|"&amp;CAPTURA!DC86,CODIFICACION!$F$2:$F$500,0))),"⚠"))</f>
        <v/>
      </c>
      <c r="BX86" t="str">
        <f>IF(CAPTURA!DD86="","",IFERROR(IF(INDEX(CODIFICACION!$E$2:$E$500,MATCH("D14.51|"&amp;CAPTURA!DD86,CODIFICACION!$F$2:$F$500,0))="sin dato","",INDEX(CODIFICACION!$E$2:$E$500,MATCH("D14.51|"&amp;CAPTURA!DD86,CODIFICACION!$F$2:$F$500,0))),"⚠"))</f>
        <v/>
      </c>
      <c r="BY86" t="str">
        <f>IF(CAPTURA!DE86="","",IFERROR(IF(INDEX(CODIFICACION!$E$2:$E$500,MATCH("D15.58|"&amp;CAPTURA!DE86,CODIFICACION!$F$2:$F$500,0))="sin dato","",INDEX(CODIFICACION!$E$2:$E$500,MATCH("D15.58|"&amp;CAPTURA!DE86,CODIFICACION!$F$2:$F$500,0))),"⚠"))</f>
        <v/>
      </c>
      <c r="BZ86" t="str">
        <f>IF(CAPTURA!DF86="","",IFERROR(IF(INDEX(CODIFICACION!$E$2:$E$500,MATCH("PP1|"&amp;CAPTURA!DF86,CODIFICACION!$F$2:$F$500,0))="sin dato","",INDEX(CODIFICACION!$E$2:$E$500,MATCH("PP1|"&amp;CAPTURA!DF86,CODIFICACION!$F$2:$F$500,0))),"⚠"))</f>
        <v/>
      </c>
      <c r="CA86" t="str">
        <f>IF(CAPTURA!DG86="","",IFERROR(IF(INDEX(CODIFICACION!$E$2:$E$500,MATCH("PP2|"&amp;CAPTURA!DG86,CODIFICACION!$F$2:$F$500,0))="sin dato","",INDEX(CODIFICACION!$E$2:$E$500,MATCH("PP2|"&amp;CAPTURA!DG86,CODIFICACION!$F$2:$F$500,0))),"⚠"))</f>
        <v/>
      </c>
      <c r="CB86" t="str">
        <f t="shared" si="22"/>
        <v/>
      </c>
      <c r="CC86" t="str">
        <f t="shared" si="23"/>
        <v/>
      </c>
      <c r="CD86" t="str">
        <f t="shared" si="24"/>
        <v/>
      </c>
      <c r="CE86" t="str">
        <f t="shared" si="25"/>
        <v/>
      </c>
      <c r="CF86" t="str">
        <f t="shared" si="26"/>
        <v/>
      </c>
      <c r="CG86" t="str">
        <f t="shared" si="27"/>
        <v/>
      </c>
      <c r="CH86" t="str">
        <f t="shared" si="28"/>
        <v/>
      </c>
      <c r="CI86" t="str">
        <f t="shared" si="29"/>
        <v/>
      </c>
      <c r="CJ86" t="str">
        <f t="shared" si="30"/>
        <v/>
      </c>
      <c r="CK86" t="str">
        <f t="shared" si="31"/>
        <v/>
      </c>
      <c r="CL86" t="str">
        <f t="shared" si="32"/>
        <v/>
      </c>
    </row>
    <row r="87" spans="1:90" x14ac:dyDescent="0.3">
      <c r="A87">
        <f>CAPTURA!A87</f>
        <v>20568549083</v>
      </c>
      <c r="B87">
        <f>CAPTURA!C87</f>
        <v>0</v>
      </c>
      <c r="C87" t="str">
        <f>IF(CAPTURA!M87="","",ROUND((ISNUMBER(SEARCH("Alemania",CAPTURA!M87))+ISNUMBER(SEARCH("Bélgica",CAPTURA!M87))+ISNUMBER(SEARCH("Países Bajos",CAPTURA!M87))+ISNUMBER(SEARCH("Francia",CAPTURA!M87))+ISNUMBER(SEARCH("Italia",CAPTURA!M87))+ISNUMBER(SEARCH("España",CAPTURA!M87))+ISNUMBER(SEARCH("Suecia",CAPTURA!M87))+ISNUMBER(SEARCH("Dinamarca",CAPTURA!M87)))/((LEN(CAPTURA!M87)-LEN(SUBSTITUTE(CAPTURA!M87,";","")))+1)*100,1))</f>
        <v/>
      </c>
      <c r="D87" t="str">
        <f>IF(CAPTURA!AE87="","",IFERROR(IF(INDEX(CODIFICACION!$E$2:$E$500,MATCH("P8|"&amp;CAPTURA!AE87,CODIFICACION!$F$2:$F$500,0))="sin dato","",INDEX(CODIFICACION!$E$2:$E$500,MATCH("P8|"&amp;CAPTURA!AE87,CODIFICACION!$F$2:$F$500,0))),"⚠"))</f>
        <v/>
      </c>
      <c r="E87" t="str">
        <f>IF(CAPTURA!AG87="","",IFERROR(IF(INDEX(CODIFICACION!$E$2:$E$500,MATCH("P10|"&amp;CAPTURA!AG87,CODIFICACION!$F$2:$F$500,0))="sin dato","",INDEX(CODIFICACION!$E$2:$E$500,MATCH("P10|"&amp;CAPTURA!AG87,CODIFICACION!$F$2:$F$500,0))),"⚠"))</f>
        <v/>
      </c>
      <c r="F87" t="str">
        <f>IF(CAPTURA!AJ87="","",IFERROR(IF(INDEX(CODIFICACION!$E$2:$E$500,MATCH("P13|"&amp;CAPTURA!AJ87,CODIFICACION!$F$2:$F$500,0))="sin dato","",INDEX(CODIFICACION!$E$2:$E$500,MATCH("P13|"&amp;CAPTURA!AJ87,CODIFICACION!$F$2:$F$500,0))),"⚠"))</f>
        <v/>
      </c>
      <c r="G87" t="str">
        <f>IF(CAPTURA!AK87="","",IFERROR(IF(INDEX(CODIFICACION!$E$2:$E$500,MATCH("P14|"&amp;CAPTURA!AK87,CODIFICACION!$F$2:$F$500,0))="sin dato","",INDEX(CODIFICACION!$E$2:$E$500,MATCH("P14|"&amp;CAPTURA!AK87,CODIFICACION!$F$2:$F$500,0))),"⚠"))</f>
        <v/>
      </c>
      <c r="H87" t="str">
        <f>IF(CAPTURA!AL87="","",IFERROR(IF(INDEX(CODIFICACION!$E$2:$E$500,MATCH("D1.1|"&amp;CAPTURA!AL87,CODIFICACION!$F$2:$F$500,0))="sin dato","",INDEX(CODIFICACION!$E$2:$E$500,MATCH("D1.1|"&amp;CAPTURA!AL87,CODIFICACION!$F$2:$F$500,0))),"⚠"))</f>
        <v/>
      </c>
      <c r="I87" t="str">
        <f>IF(CAPTURA!AN87="","",IFERROR(IF(INDEX(CODIFICACION!$E$2:$E$500,MATCH("D1.3|"&amp;CAPTURA!AN87,CODIFICACION!$F$2:$F$500,0))="sin dato","",INDEX(CODIFICACION!$E$2:$E$500,MATCH("D1.3|"&amp;CAPTURA!AN87,CODIFICACION!$F$2:$F$500,0))),"⚠"))</f>
        <v/>
      </c>
      <c r="J87" t="str">
        <f>IF(CAPTURA!AO87="","",IFERROR(IF(INDEX(CODIFICACION!$E$2:$E$500,MATCH("D1.4|"&amp;CAPTURA!AO87,CODIFICACION!$F$2:$F$500,0))="sin dato","",INDEX(CODIFICACION!$E$2:$E$500,MATCH("D1.4|"&amp;CAPTURA!AO87,CODIFICACION!$F$2:$F$500,0))),"⚠"))</f>
        <v/>
      </c>
      <c r="K87" t="str">
        <f>IF(CAPTURA!AP87="","",IFERROR(IF(INDEX(CODIFICACION!$E$2:$E$500,MATCH("D1.3a|"&amp;CAPTURA!AP87,CODIFICACION!$F$2:$F$500,0))="sin dato","",INDEX(CODIFICACION!$E$2:$E$500,MATCH("D1.3a|"&amp;CAPTURA!AP87,CODIFICACION!$F$2:$F$500,0))),"⚠"))</f>
        <v/>
      </c>
      <c r="L87" t="str">
        <f>IF(CAPTURA!AQ87="","",IF(AND(ISNUMBER(CAPTURA!AQ87),CAPTURA!AQ87&gt;=0,CAPTURA!AQ87&lt;=4),CAPTURA!AQ87*25,"⚠"))</f>
        <v/>
      </c>
      <c r="M87" t="str">
        <f>IF(CAPTURA!AR87="","",IF(ISNUMBER(CAPTURA!AR87),MAX(0,MIN(100,CAPTURA!AR87)),"⚠"))</f>
        <v/>
      </c>
      <c r="N87" t="str">
        <f>IF(CAPTURA!AS87="","",IF(AND(ISNUMBER(CAPTURA!AS87),CAPTURA!AS87&gt;=0,CAPTURA!AS87&lt;=4),CAPTURA!AS87*25,"⚠"))</f>
        <v/>
      </c>
      <c r="O87" t="str">
        <f>IF(CAPTURA!AT87="","",IFERROR(IF(INDEX(CODIFICACION!$E$2:$E$500,MATCH("D2.8|"&amp;CAPTURA!AT87,CODIFICACION!$F$2:$F$500,0))="sin dato","",INDEX(CODIFICACION!$E$2:$E$500,MATCH("D2.8|"&amp;CAPTURA!AT87,CODIFICACION!$F$2:$F$500,0))),"⚠"))</f>
        <v/>
      </c>
      <c r="P87" t="str">
        <f>IF(CAPTURA!AU87="","",IFERROR(IF(INDEX(CODIFICACION!$E$2:$E$500,MATCH("D2.9|"&amp;CAPTURA!AU87,CODIFICACION!$F$2:$F$500,0))="sin dato","",INDEX(CODIFICACION!$E$2:$E$500,MATCH("D2.9|"&amp;CAPTURA!AU87,CODIFICACION!$F$2:$F$500,0))),"⚠"))</f>
        <v/>
      </c>
      <c r="Q87" t="str">
        <f>IF(CAPTURA!AV87="","",IFERROR(IF(INDEX(CODIFICACION!$E$2:$E$500,MATCH("D2.10|"&amp;CAPTURA!AV87,CODIFICACION!$F$2:$F$500,0))="sin dato","",INDEX(CODIFICACION!$E$2:$E$500,MATCH("D2.10|"&amp;CAPTURA!AV87,CODIFICACION!$F$2:$F$500,0))),"⚠"))</f>
        <v/>
      </c>
      <c r="R87" t="str">
        <f>IF(CAPTURA!AW87="","",IFERROR(IF(INDEX(CODIFICACION!$E$2:$E$500,MATCH("D2.5a|"&amp;CAPTURA!AW87,CODIFICACION!$F$2:$F$500,0))="sin dato","",INDEX(CODIFICACION!$E$2:$E$500,MATCH("D2.5a|"&amp;CAPTURA!AW87,CODIFICACION!$F$2:$F$500,0))),"⚠"))</f>
        <v/>
      </c>
      <c r="S87" t="str">
        <f>IF(CAPTURA!AX87="","",IFERROR(IF(INDEX(CODIFICACION!$E$2:$E$500,MATCH("D2.5b|"&amp;CAPTURA!AX87,CODIFICACION!$F$2:$F$500,0))="sin dato","",INDEX(CODIFICACION!$E$2:$E$500,MATCH("D2.5b|"&amp;CAPTURA!AX87,CODIFICACION!$F$2:$F$500,0))),"⚠"))</f>
        <v/>
      </c>
      <c r="T87" t="str">
        <f>IF(CAPTURA!AY87="","",IF(ISNUMBER(CAPTURA!AY87),MAX(0,MIN(100,CAPTURA!AY87)),"⚠"))</f>
        <v/>
      </c>
      <c r="U87" t="str">
        <f>IF(CAPTURA!AZ87="","",IFERROR(IF(INDEX(CODIFICACION!$E$2:$E$500,MATCH("D3.12|"&amp;CAPTURA!AZ87,CODIFICACION!$F$2:$F$500,0))="sin dato","",INDEX(CODIFICACION!$E$2:$E$500,MATCH("D3.12|"&amp;CAPTURA!AZ87,CODIFICACION!$F$2:$F$500,0))),"⚠"))</f>
        <v/>
      </c>
      <c r="V87" t="str">
        <f>IF(CAPTURA!BA87="","",IF(AND(ISNUMBER(CAPTURA!BA87),CAPTURA!BA87&gt;=0,CAPTURA!BA87&lt;=4),CAPTURA!BA87*25,"⚠"))</f>
        <v/>
      </c>
      <c r="W87" t="str">
        <f>IF(CAPTURA!BB87="","",IFERROR(IF(INDEX(CODIFICACION!$E$2:$E$500,MATCH("D3.14|"&amp;CAPTURA!BB87,CODIFICACION!$F$2:$F$500,0))="sin dato","",INDEX(CODIFICACION!$E$2:$E$500,MATCH("D3.14|"&amp;CAPTURA!BB87,CODIFICACION!$F$2:$F$500,0))),"⚠"))</f>
        <v/>
      </c>
      <c r="X87" t="str">
        <f>IF(CAPTURA!BC87="","",IFERROR(IF(INDEX(CODIFICACION!$E$2:$E$500,MATCH("D3.14a|"&amp;CAPTURA!BC87,CODIFICACION!$F$2:$F$500,0))="sin dato","",INDEX(CODIFICACION!$E$2:$E$500,MATCH("D3.14a|"&amp;CAPTURA!BC87,CODIFICACION!$F$2:$F$500,0))),"⚠"))</f>
        <v/>
      </c>
      <c r="Y87" t="str">
        <f>IF(CAPTURA!BD87="","",IFERROR(IF(INDEX(CODIFICACION!$E$2:$E$500,MATCH("D3.14b|"&amp;CAPTURA!BD87,CODIFICACION!$F$2:$F$500,0))="sin dato","",INDEX(CODIFICACION!$E$2:$E$500,MATCH("D3.14b|"&amp;CAPTURA!BD87,CODIFICACION!$F$2:$F$500,0))),"⚠"))</f>
        <v/>
      </c>
      <c r="Z87" t="str">
        <f>IF(CAPTURA!BE87="","",IFERROR(IF(INDEX(CODIFICACION!$E$2:$E$500,MATCH("D3.14c|"&amp;CAPTURA!BE87,CODIFICACION!$F$2:$F$500,0))="sin dato","",INDEX(CODIFICACION!$E$2:$E$500,MATCH("D3.14c|"&amp;CAPTURA!BE87,CODIFICACION!$F$2:$F$500,0))),"⚠"))</f>
        <v/>
      </c>
      <c r="AA87" t="str">
        <f>IF(CAPTURA!BF87="","",IFERROR(IF(INDEX(CODIFICACION!$E$2:$E$500,MATCH("D3.14d|"&amp;CAPTURA!BF87,CODIFICACION!$F$2:$F$500,0))="sin dato","",INDEX(CODIFICACION!$E$2:$E$500,MATCH("D3.14d|"&amp;CAPTURA!BF87,CODIFICACION!$F$2:$F$500,0))),"⚠"))</f>
        <v/>
      </c>
      <c r="AB87" t="str">
        <f>IF(CAPTURA!BG87="","",IFERROR(IF(INDEX(CODIFICACION!$E$2:$E$500,MATCH("D3.14e|"&amp;CAPTURA!BG87,CODIFICACION!$F$2:$F$500,0))="sin dato","",INDEX(CODIFICACION!$E$2:$E$500,MATCH("D3.14e|"&amp;CAPTURA!BG87,CODIFICACION!$F$2:$F$500,0))),"⚠"))</f>
        <v/>
      </c>
      <c r="AC87" t="str">
        <f>IF(CAPTURA!BH87="","",IFERROR(IF(INDEX(CODIFICACION!$E$2:$E$500,MATCH("D3.14f|"&amp;CAPTURA!BH87,CODIFICACION!$F$2:$F$500,0))="sin dato","",INDEX(CODIFICACION!$E$2:$E$500,MATCH("D3.14f|"&amp;CAPTURA!BH87,CODIFICACION!$F$2:$F$500,0))),"⚠"))</f>
        <v/>
      </c>
      <c r="AD87" t="str">
        <f>IF(CAPTURA!BI87="","",IFERROR(IF(INDEX(CODIFICACION!$E$2:$E$500,MATCH("D3.14g|"&amp;CAPTURA!BI87,CODIFICACION!$F$2:$F$500,0))="sin dato","",INDEX(CODIFICACION!$E$2:$E$500,MATCH("D3.14g|"&amp;CAPTURA!BI87,CODIFICACION!$F$2:$F$500,0))),"⚠"))</f>
        <v/>
      </c>
      <c r="AE87" t="str">
        <f>IF(CAPTURA!BJ87="","",IFERROR(IF(INDEX(CODIFICACION!$E$2:$E$500,MATCH("D3.14h|"&amp;CAPTURA!BJ87,CODIFICACION!$F$2:$F$500,0))="sin dato","",INDEX(CODIFICACION!$E$2:$E$500,MATCH("D3.14h|"&amp;CAPTURA!BJ87,CODIFICACION!$F$2:$F$500,0))),"⚠"))</f>
        <v/>
      </c>
      <c r="AF87" t="str">
        <f>IF(CAPTURA!BK87="","",IFERROR(IF(INDEX(CODIFICACION!$E$2:$E$500,MATCH("D3.14i|"&amp;CAPTURA!BK87,CODIFICACION!$F$2:$F$500,0))="sin dato","",INDEX(CODIFICACION!$E$2:$E$500,MATCH("D3.14i|"&amp;CAPTURA!BK87,CODIFICACION!$F$2:$F$500,0))),"⚠"))</f>
        <v/>
      </c>
      <c r="AG87" t="str">
        <f>IF(CAPTURA!BL87="","",IFERROR(IF(INDEX(CODIFICACION!$E$2:$E$500,MATCH("D4.15|"&amp;CAPTURA!BL87,CODIFICACION!$F$2:$F$500,0))="sin dato","",INDEX(CODIFICACION!$E$2:$E$500,MATCH("D4.15|"&amp;CAPTURA!BL87,CODIFICACION!$F$2:$F$500,0))),"⚠"))</f>
        <v/>
      </c>
      <c r="AH87" t="str">
        <f>IF(CAPTURA!BM87="","",IF(AND(ISNUMBER(CAPTURA!BM87),CAPTURA!BM87&gt;=0,CAPTURA!BM87&lt;=4),CAPTURA!BM87*25,"⚠"))</f>
        <v/>
      </c>
      <c r="AI87" t="str">
        <f>IF(CAPTURA!BN87="","",IFERROR(IF(INDEX(CODIFICACION!$E$2:$E$500,MATCH("D4.17|"&amp;CAPTURA!BN87,CODIFICACION!$F$2:$F$500,0))="sin dato","",INDEX(CODIFICACION!$E$2:$E$500,MATCH("D4.17|"&amp;CAPTURA!BN87,CODIFICACION!$F$2:$F$500,0))),"⚠"))</f>
        <v/>
      </c>
      <c r="AJ87" t="str">
        <f>IF(CAPTURA!BO87="","",IFERROR(IF(INDEX(CODIFICACION!$E$2:$E$500,MATCH("D4.15a|"&amp;CAPTURA!BO87,CODIFICACION!$F$2:$F$500,0))="sin dato","",INDEX(CODIFICACION!$E$2:$E$500,MATCH("D4.15a|"&amp;CAPTURA!BO87,CODIFICACION!$F$2:$F$500,0))),"⚠"))</f>
        <v/>
      </c>
      <c r="AK87" t="str">
        <f>IF(CAPTURA!BP87="","",IF(AND(ISNUMBER(CAPTURA!BP87),CAPTURA!BP87&gt;=0,CAPTURA!BP87&lt;=4),CAPTURA!BP87*25,"⚠"))</f>
        <v/>
      </c>
      <c r="AL87" t="str">
        <f>IF(CAPTURA!BQ87="","",IF(AND(ISNUMBER(CAPTURA!BQ87),CAPTURA!BQ87&gt;=0,CAPTURA!BQ87&lt;=4),CAPTURA!BQ87*25,"⚠"))</f>
        <v/>
      </c>
      <c r="AM87" t="str">
        <f>IF(CAPTURA!BR87="","",IFERROR(IF(INDEX(CODIFICACION!$E$2:$E$500,MATCH("D5.18b|"&amp;CAPTURA!BR87,CODIFICACION!$F$2:$F$500,0))="sin dato","",INDEX(CODIFICACION!$E$2:$E$500,MATCH("D5.18b|"&amp;CAPTURA!BR87,CODIFICACION!$F$2:$F$500,0))),"⚠"))</f>
        <v/>
      </c>
      <c r="AN87" t="str">
        <f>IF(CAPTURA!BS87="","",IFERROR(IF(INDEX(CODIFICACION!$E$2:$E$500,MATCH("D5.19|"&amp;CAPTURA!BS87,CODIFICACION!$F$2:$F$500,0))="sin dato","",INDEX(CODIFICACION!$E$2:$E$500,MATCH("D5.19|"&amp;CAPTURA!BS87,CODIFICACION!$F$2:$F$500,0))),"⚠"))</f>
        <v/>
      </c>
      <c r="AO87" t="str">
        <f>IF(CAPTURA!BT87="","",MIN(100,ROUND((LEN(CAPTURA!BT87)-LEN(SUBSTITUTE(CAPTURA!BT87,";",""))+1)/7*100,1)))</f>
        <v/>
      </c>
      <c r="AP87" t="str">
        <f>IF(CAPTURA!BU87="","",IFERROR(IF(INDEX(CODIFICACION!$E$2:$E$500,MATCH("D5.20|"&amp;CAPTURA!BU87,CODIFICACION!$F$2:$F$500,0))="sin dato","",INDEX(CODIFICACION!$E$2:$E$500,MATCH("D5.20|"&amp;CAPTURA!BU87,CODIFICACION!$F$2:$F$500,0))),"⚠"))</f>
        <v/>
      </c>
      <c r="AQ87" t="str">
        <f>IF(CAPTURA!BV87="","",IFERROR(IF(INDEX(CODIFICACION!$E$2:$E$500,MATCH("D5.21|"&amp;CAPTURA!BV87,CODIFICACION!$F$2:$F$500,0))="sin dato","",INDEX(CODIFICACION!$E$2:$E$500,MATCH("D5.21|"&amp;CAPTURA!BV87,CODIFICACION!$F$2:$F$500,0))),"⚠"))</f>
        <v/>
      </c>
      <c r="AR87" t="str">
        <f>IF(CAPTURA!BW87="","",IFERROR(IF(INDEX(CODIFICACION!$E$2:$E$500,MATCH("D5.21a|"&amp;CAPTURA!BW87,CODIFICACION!$F$2:$F$500,0))="sin dato","",INDEX(CODIFICACION!$E$2:$E$500,MATCH("D5.21a|"&amp;CAPTURA!BW87,CODIFICACION!$F$2:$F$500,0))),"⚠"))</f>
        <v/>
      </c>
      <c r="AS87" t="str">
        <f>IF(CAPTURA!BX87="","",IFERROR(IF(INDEX(CODIFICACION!$E$2:$E$500,MATCH("D5.21b|"&amp;CAPTURA!BX87,CODIFICACION!$F$2:$F$500,0))="sin dato","",INDEX(CODIFICACION!$E$2:$E$500,MATCH("D5.21b|"&amp;CAPTURA!BX87,CODIFICACION!$F$2:$F$500,0))),"⚠"))</f>
        <v/>
      </c>
      <c r="AT87" t="str">
        <f>IF(CAPTURA!BY87="","",IFERROR(IF(INDEX(CODIFICACION!$E$2:$E$500,MATCH("D6.22|"&amp;CAPTURA!BY87,CODIFICACION!$F$2:$F$500,0))="sin dato","",INDEX(CODIFICACION!$E$2:$E$500,MATCH("D6.22|"&amp;CAPTURA!BY87,CODIFICACION!$F$2:$F$500,0))),"⚠"))</f>
        <v/>
      </c>
      <c r="AU87" t="str">
        <f>IF(CAPTURA!BZ87="","",IFERROR(IF(INDEX(CODIFICACION!$E$2:$E$500,MATCH("D6.22a|"&amp;CAPTURA!BZ87,CODIFICACION!$F$2:$F$500,0))="sin dato","",INDEX(CODIFICACION!$E$2:$E$500,MATCH("D6.22a|"&amp;CAPTURA!BZ87,CODIFICACION!$F$2:$F$500,0))),"⚠"))</f>
        <v/>
      </c>
      <c r="AV87" t="str">
        <f>IF(CAPTURA!CA87="","",IFERROR(IF(INDEX(CODIFICACION!$E$2:$E$500,MATCH("D6.22b|"&amp;CAPTURA!CA87,CODIFICACION!$F$2:$F$500,0))="sin dato","",INDEX(CODIFICACION!$E$2:$E$500,MATCH("D6.22b|"&amp;CAPTURA!CA87,CODIFICACION!$F$2:$F$500,0))),"⚠"))</f>
        <v/>
      </c>
      <c r="AW87" t="str">
        <f>IF(CAPTURA!CB87="","",IFERROR(IF(INDEX(CODIFICACION!$E$2:$E$500,MATCH("D6.23|"&amp;CAPTURA!CB87,CODIFICACION!$F$2:$F$500,0))="sin dato","",INDEX(CODIFICACION!$E$2:$E$500,MATCH("D6.23|"&amp;CAPTURA!CB87,CODIFICACION!$F$2:$F$500,0))),"⚠"))</f>
        <v/>
      </c>
      <c r="AX87" t="str">
        <f>IF(CAPTURA!CC87="","",IFERROR(IF(INDEX(CODIFICACION!$E$2:$E$500,MATCH("D6.24|"&amp;CAPTURA!CC87,CODIFICACION!$F$2:$F$500,0))="sin dato","",INDEX(CODIFICACION!$E$2:$E$500,MATCH("D6.24|"&amp;CAPTURA!CC87,CODIFICACION!$F$2:$F$500,0))),"⚠"))</f>
        <v/>
      </c>
      <c r="AY87" t="str">
        <f>IF(CAPTURA!CD87="","",IFERROR(IF(INDEX(CODIFICACION!$E$2:$E$500,MATCH("D6.25|"&amp;CAPTURA!CD87,CODIFICACION!$F$2:$F$500,0))="sin dato","",INDEX(CODIFICACION!$E$2:$E$500,MATCH("D6.25|"&amp;CAPTURA!CD87,CODIFICACION!$F$2:$F$500,0))),"⚠"))</f>
        <v/>
      </c>
      <c r="AZ87" t="str">
        <f>IF(CAPTURA!CE87="","",IFERROR(IF(INDEX(CODIFICACION!$E$2:$E$500,MATCH("D6.25a|"&amp;CAPTURA!CE87,CODIFICACION!$F$2:$F$500,0))="sin dato","",INDEX(CODIFICACION!$E$2:$E$500,MATCH("D6.25a|"&amp;CAPTURA!CE87,CODIFICACION!$F$2:$F$500,0))),"⚠"))</f>
        <v/>
      </c>
      <c r="BA87" t="str">
        <f>IF(CAPTURA!CF87="","",IFERROR(IF(INDEX(CODIFICACION!$E$2:$E$500,MATCH("D6.25b|"&amp;CAPTURA!CF87,CODIFICACION!$F$2:$F$500,0))="sin dato","",INDEX(CODIFICACION!$E$2:$E$500,MATCH("D6.25b|"&amp;CAPTURA!CF87,CODIFICACION!$F$2:$F$500,0))),"⚠"))</f>
        <v/>
      </c>
      <c r="BB87" t="str">
        <f>IF(CAPTURA!CG87="","",IFERROR(IF(INDEX(CODIFICACION!$E$2:$E$500,MATCH("D6.22c|"&amp;CAPTURA!CG87,CODIFICACION!$F$2:$F$500,0))="sin dato","",INDEX(CODIFICACION!$E$2:$E$500,MATCH("D6.22c|"&amp;CAPTURA!CG87,CODIFICACION!$F$2:$F$500,0))),"⚠"))</f>
        <v/>
      </c>
      <c r="BC87" t="str">
        <f>IF(CAPTURA!CH87="","",IFERROR(IF(INDEX(CODIFICACION!$E$2:$E$500,MATCH("D7.26|"&amp;CAPTURA!CH87,CODIFICACION!$F$2:$F$500,0))="sin dato","",INDEX(CODIFICACION!$E$2:$E$500,MATCH("D7.26|"&amp;CAPTURA!CH87,CODIFICACION!$F$2:$F$500,0))),"⚠"))</f>
        <v/>
      </c>
      <c r="BD87" t="str">
        <f>IF(CAPTURA!CI87="","",IFERROR(IF(INDEX(CODIFICACION!$E$2:$E$500,MATCH("D7.27|"&amp;CAPTURA!CI87,CODIFICACION!$F$2:$F$500,0))="sin dato","",INDEX(CODIFICACION!$E$2:$E$500,MATCH("D7.27|"&amp;CAPTURA!CI87,CODIFICACION!$F$2:$F$500,0))),"⚠"))</f>
        <v/>
      </c>
      <c r="BE87" t="str">
        <f>IF(CAPTURA!CJ87="","",IFERROR(IF(INDEX(CODIFICACION!$E$2:$E$500,MATCH("D7.28|"&amp;CAPTURA!CJ87,CODIFICACION!$F$2:$F$500,0))="sin dato","",INDEX(CODIFICACION!$E$2:$E$500,MATCH("D7.28|"&amp;CAPTURA!CJ87,CODIFICACION!$F$2:$F$500,0))),"⚠"))</f>
        <v/>
      </c>
      <c r="BF87" t="str">
        <f>IF(CAPTURA!CK87="","",IFERROR(IF(INDEX(CODIFICACION!$E$2:$E$500,MATCH("D7.28b|"&amp;CAPTURA!CK87,CODIFICACION!$F$2:$F$500,0))="sin dato","",INDEX(CODIFICACION!$E$2:$E$500,MATCH("D7.28b|"&amp;CAPTURA!CK87,CODIFICACION!$F$2:$F$500,0))),"⚠"))</f>
        <v/>
      </c>
      <c r="BG87" t="str">
        <f>IF(CAPTURA!CL87="","",MIN(100,ROUND((LEN(CAPTURA!CL87)-LEN(SUBSTITUTE(CAPTURA!CL87,";",""))+1)/8*100,1)))</f>
        <v/>
      </c>
      <c r="BH87" t="str">
        <f>IF(CAPTURA!CM87="","",IFERROR(IF(INDEX(CODIFICACION!$E$2:$E$500,MATCH("D7.26a|"&amp;CAPTURA!CM87,CODIFICACION!$F$2:$F$500,0))="sin dato","",INDEX(CODIFICACION!$E$2:$E$500,MATCH("D7.26a|"&amp;CAPTURA!CM87,CODIFICACION!$F$2:$F$500,0))),"⚠"))</f>
        <v/>
      </c>
      <c r="BI87" t="str">
        <f>IF(CAPTURA!CN87="","",IFERROR(IF(INDEX(CODIFICACION!$E$2:$E$500,MATCH("D7.26b|"&amp;CAPTURA!CN87,CODIFICACION!$F$2:$F$500,0))="sin dato","",INDEX(CODIFICACION!$E$2:$E$500,MATCH("D7.26b|"&amp;CAPTURA!CN87,CODIFICACION!$F$2:$F$500,0))),"⚠"))</f>
        <v/>
      </c>
      <c r="BJ87" t="str">
        <f>IF(CAPTURA!CO87="","",IF(AND(ISNUMBER(CAPTURA!CO87),CAPTURA!CO87&gt;=0,CAPTURA!CO87&lt;=4),CAPTURA!CO87*25,"⚠"))</f>
        <v/>
      </c>
      <c r="BK87" t="str">
        <f>IF(CAPTURA!CP87="","",IF(ISNUMBER(CAPTURA!CP87),MAX(0,MIN(100,CAPTURA!CP87)),"⚠"))</f>
        <v/>
      </c>
      <c r="BL87" t="str">
        <f>IF(CAPTURA!CQ87="","",IFERROR(IF(INDEX(CODIFICACION!$E$2:$E$500,MATCH("D8.31|"&amp;CAPTURA!CQ87,CODIFICACION!$F$2:$F$500,0))="sin dato","",INDEX(CODIFICACION!$E$2:$E$500,MATCH("D8.31|"&amp;CAPTURA!CQ87,CODIFICACION!$F$2:$F$500,0))),"⚠"))</f>
        <v/>
      </c>
      <c r="BM87" t="str">
        <f>IF(CAPTURA!CR87="","",IFERROR(IF(INDEX(CODIFICACION!$E$2:$E$500,MATCH("D8.32|"&amp;CAPTURA!CR87,CODIFICACION!$F$2:$F$500,0))="sin dato","",INDEX(CODIFICACION!$E$2:$E$500,MATCH("D8.32|"&amp;CAPTURA!CR87,CODIFICACION!$F$2:$F$500,0))),"⚠"))</f>
        <v/>
      </c>
      <c r="BN87" t="str">
        <f>IF(CAPTURA!CS87="","",IFERROR(IF(INDEX(CODIFICACION!$E$2:$E$500,MATCH("D9.33|"&amp;CAPTURA!CS87,CODIFICACION!$F$2:$F$500,0))="sin dato","",INDEX(CODIFICACION!$E$2:$E$500,MATCH("D9.33|"&amp;CAPTURA!CS87,CODIFICACION!$F$2:$F$500,0))),"⚠"))</f>
        <v/>
      </c>
      <c r="BO87" t="str">
        <f>IF(CAPTURA!CT87="","",IFERROR(IF(INDEX(CODIFICACION!$E$2:$E$500,MATCH("D9.34|"&amp;CAPTURA!CT87,CODIFICACION!$F$2:$F$500,0))="sin dato","",INDEX(CODIFICACION!$E$2:$E$500,MATCH("D9.34|"&amp;CAPTURA!CT87,CODIFICACION!$F$2:$F$500,0))),"⚠"))</f>
        <v/>
      </c>
      <c r="BP87" t="str">
        <f>IF(CAPTURA!CU87="","",IFERROR(IF(INDEX(CODIFICACION!$E$2:$E$500,MATCH("D9.35|"&amp;CAPTURA!CU87,CODIFICACION!$F$2:$F$500,0))="sin dato","",INDEX(CODIFICACION!$E$2:$E$500,MATCH("D9.35|"&amp;CAPTURA!CU87,CODIFICACION!$F$2:$F$500,0))),"⚠"))</f>
        <v/>
      </c>
      <c r="BQ87" t="str">
        <f>IF(CAPTURA!CV87="","",IFERROR(IF(INDEX(CODIFICACION!$E$2:$E$500,MATCH("D10.36|"&amp;CAPTURA!CV87,CODIFICACION!$F$2:$F$500,0))="sin dato","",INDEX(CODIFICACION!$E$2:$E$500,MATCH("D10.36|"&amp;CAPTURA!CV87,CODIFICACION!$F$2:$F$500,0))),"⚠"))</f>
        <v/>
      </c>
      <c r="BR87" t="str">
        <f>IF(CAPTURA!CW87="","",IFERROR(IF(INDEX(CODIFICACION!$E$2:$E$500,MATCH("D10.37|"&amp;CAPTURA!CW87,CODIFICACION!$F$2:$F$500,0))="sin dato","",INDEX(CODIFICACION!$E$2:$E$500,MATCH("D10.37|"&amp;CAPTURA!CW87,CODIFICACION!$F$2:$F$500,0))),"⚠"))</f>
        <v/>
      </c>
      <c r="BS87" t="str">
        <f>IF(CAPTURA!CX87="","",IFERROR(IF(INDEX(CODIFICACION!$E$2:$E$500,MATCH("D10.36a|"&amp;CAPTURA!CX87,CODIFICACION!$F$2:$F$500,0))="sin dato","",INDEX(CODIFICACION!$E$2:$E$500,MATCH("D10.36a|"&amp;CAPTURA!CX87,CODIFICACION!$F$2:$F$500,0))),"⚠"))</f>
        <v/>
      </c>
      <c r="BT87" t="str">
        <f>IF(CAPTURA!CY87="","",IF(ISNUMBER(SEARCH("Ninguno",CAPTURA!CY87)),0,MIN(100,ROUND((LEN(CAPTURA!CY87)-LEN(SUBSTITUTE(CAPTURA!CY87,";",""))+1)/6*100,1))))</f>
        <v/>
      </c>
      <c r="BU87" t="str">
        <f>IF(CAPTURA!DA87="","",IFERROR(IF(INDEX(CODIFICACION!$E$2:$E$500,MATCH("D11.39a|"&amp;CAPTURA!DA87,CODIFICACION!$F$2:$F$500,0))="sin dato","",INDEX(CODIFICACION!$E$2:$E$500,MATCH("D11.39a|"&amp;CAPTURA!DA87,CODIFICACION!$F$2:$F$500,0))),"⚠"))</f>
        <v/>
      </c>
      <c r="BV87" t="str">
        <f>IF(CAPTURA!DB87="","",IFERROR(IF(INDEX(CODIFICACION!$E$2:$E$500,MATCH("D12.42|"&amp;CAPTURA!DB87,CODIFICACION!$F$2:$F$500,0))="sin dato","",INDEX(CODIFICACION!$E$2:$E$500,MATCH("D12.42|"&amp;CAPTURA!DB87,CODIFICACION!$F$2:$F$500,0))),"⚠"))</f>
        <v/>
      </c>
      <c r="BW87" t="str">
        <f>IF(CAPTURA!DC87="","",IFERROR(IF(INDEX(CODIFICACION!$E$2:$E$500,MATCH("D13.45|"&amp;CAPTURA!DC87,CODIFICACION!$F$2:$F$500,0))="sin dato","",INDEX(CODIFICACION!$E$2:$E$500,MATCH("D13.45|"&amp;CAPTURA!DC87,CODIFICACION!$F$2:$F$500,0))),"⚠"))</f>
        <v/>
      </c>
      <c r="BX87" t="str">
        <f>IF(CAPTURA!DD87="","",IFERROR(IF(INDEX(CODIFICACION!$E$2:$E$500,MATCH("D14.51|"&amp;CAPTURA!DD87,CODIFICACION!$F$2:$F$500,0))="sin dato","",INDEX(CODIFICACION!$E$2:$E$500,MATCH("D14.51|"&amp;CAPTURA!DD87,CODIFICACION!$F$2:$F$500,0))),"⚠"))</f>
        <v/>
      </c>
      <c r="BY87" t="str">
        <f>IF(CAPTURA!DE87="","",IFERROR(IF(INDEX(CODIFICACION!$E$2:$E$500,MATCH("D15.58|"&amp;CAPTURA!DE87,CODIFICACION!$F$2:$F$500,0))="sin dato","",INDEX(CODIFICACION!$E$2:$E$500,MATCH("D15.58|"&amp;CAPTURA!DE87,CODIFICACION!$F$2:$F$500,0))),"⚠"))</f>
        <v/>
      </c>
      <c r="BZ87" t="str">
        <f>IF(CAPTURA!DF87="","",IFERROR(IF(INDEX(CODIFICACION!$E$2:$E$500,MATCH("PP1|"&amp;CAPTURA!DF87,CODIFICACION!$F$2:$F$500,0))="sin dato","",INDEX(CODIFICACION!$E$2:$E$500,MATCH("PP1|"&amp;CAPTURA!DF87,CODIFICACION!$F$2:$F$500,0))),"⚠"))</f>
        <v/>
      </c>
      <c r="CA87" t="str">
        <f>IF(CAPTURA!DG87="","",IFERROR(IF(INDEX(CODIFICACION!$E$2:$E$500,MATCH("PP2|"&amp;CAPTURA!DG87,CODIFICACION!$F$2:$F$500,0))="sin dato","",INDEX(CODIFICACION!$E$2:$E$500,MATCH("PP2|"&amp;CAPTURA!DG87,CODIFICACION!$F$2:$F$500,0))),"⚠"))</f>
        <v/>
      </c>
      <c r="CB87" t="str">
        <f t="shared" si="22"/>
        <v/>
      </c>
      <c r="CC87" t="str">
        <f t="shared" si="23"/>
        <v/>
      </c>
      <c r="CD87" t="str">
        <f t="shared" si="24"/>
        <v/>
      </c>
      <c r="CE87" t="str">
        <f t="shared" si="25"/>
        <v/>
      </c>
      <c r="CF87" t="str">
        <f t="shared" si="26"/>
        <v/>
      </c>
      <c r="CG87" t="str">
        <f t="shared" si="27"/>
        <v/>
      </c>
      <c r="CH87" t="str">
        <f t="shared" si="28"/>
        <v/>
      </c>
      <c r="CI87" t="str">
        <f t="shared" si="29"/>
        <v/>
      </c>
      <c r="CJ87" t="str">
        <f t="shared" si="30"/>
        <v/>
      </c>
      <c r="CK87" t="str">
        <f t="shared" si="31"/>
        <v/>
      </c>
      <c r="CL87" t="str">
        <f t="shared" si="32"/>
        <v/>
      </c>
    </row>
    <row r="88" spans="1:90" x14ac:dyDescent="0.3">
      <c r="A88">
        <f>CAPTURA!A88</f>
        <v>20568560133</v>
      </c>
      <c r="B88">
        <f>CAPTURA!C88</f>
        <v>0</v>
      </c>
      <c r="C88" t="str">
        <f>IF(CAPTURA!M88="","",ROUND((ISNUMBER(SEARCH("Alemania",CAPTURA!M88))+ISNUMBER(SEARCH("Bélgica",CAPTURA!M88))+ISNUMBER(SEARCH("Países Bajos",CAPTURA!M88))+ISNUMBER(SEARCH("Francia",CAPTURA!M88))+ISNUMBER(SEARCH("Italia",CAPTURA!M88))+ISNUMBER(SEARCH("España",CAPTURA!M88))+ISNUMBER(SEARCH("Suecia",CAPTURA!M88))+ISNUMBER(SEARCH("Dinamarca",CAPTURA!M88)))/((LEN(CAPTURA!M88)-LEN(SUBSTITUTE(CAPTURA!M88,";","")))+1)*100,1))</f>
        <v/>
      </c>
      <c r="D88" t="str">
        <f>IF(CAPTURA!AE88="","",IFERROR(IF(INDEX(CODIFICACION!$E$2:$E$500,MATCH("P8|"&amp;CAPTURA!AE88,CODIFICACION!$F$2:$F$500,0))="sin dato","",INDEX(CODIFICACION!$E$2:$E$500,MATCH("P8|"&amp;CAPTURA!AE88,CODIFICACION!$F$2:$F$500,0))),"⚠"))</f>
        <v/>
      </c>
      <c r="E88" t="str">
        <f>IF(CAPTURA!AG88="","",IFERROR(IF(INDEX(CODIFICACION!$E$2:$E$500,MATCH("P10|"&amp;CAPTURA!AG88,CODIFICACION!$F$2:$F$500,0))="sin dato","",INDEX(CODIFICACION!$E$2:$E$500,MATCH("P10|"&amp;CAPTURA!AG88,CODIFICACION!$F$2:$F$500,0))),"⚠"))</f>
        <v/>
      </c>
      <c r="F88" t="str">
        <f>IF(CAPTURA!AJ88="","",IFERROR(IF(INDEX(CODIFICACION!$E$2:$E$500,MATCH("P13|"&amp;CAPTURA!AJ88,CODIFICACION!$F$2:$F$500,0))="sin dato","",INDEX(CODIFICACION!$E$2:$E$500,MATCH("P13|"&amp;CAPTURA!AJ88,CODIFICACION!$F$2:$F$500,0))),"⚠"))</f>
        <v/>
      </c>
      <c r="G88" t="str">
        <f>IF(CAPTURA!AK88="","",IFERROR(IF(INDEX(CODIFICACION!$E$2:$E$500,MATCH("P14|"&amp;CAPTURA!AK88,CODIFICACION!$F$2:$F$500,0))="sin dato","",INDEX(CODIFICACION!$E$2:$E$500,MATCH("P14|"&amp;CAPTURA!AK88,CODIFICACION!$F$2:$F$500,0))),"⚠"))</f>
        <v/>
      </c>
      <c r="H88" t="str">
        <f>IF(CAPTURA!AL88="","",IFERROR(IF(INDEX(CODIFICACION!$E$2:$E$500,MATCH("D1.1|"&amp;CAPTURA!AL88,CODIFICACION!$F$2:$F$500,0))="sin dato","",INDEX(CODIFICACION!$E$2:$E$500,MATCH("D1.1|"&amp;CAPTURA!AL88,CODIFICACION!$F$2:$F$500,0))),"⚠"))</f>
        <v/>
      </c>
      <c r="I88" t="str">
        <f>IF(CAPTURA!AN88="","",IFERROR(IF(INDEX(CODIFICACION!$E$2:$E$500,MATCH("D1.3|"&amp;CAPTURA!AN88,CODIFICACION!$F$2:$F$500,0))="sin dato","",INDEX(CODIFICACION!$E$2:$E$500,MATCH("D1.3|"&amp;CAPTURA!AN88,CODIFICACION!$F$2:$F$500,0))),"⚠"))</f>
        <v/>
      </c>
      <c r="J88" t="str">
        <f>IF(CAPTURA!AO88="","",IFERROR(IF(INDEX(CODIFICACION!$E$2:$E$500,MATCH("D1.4|"&amp;CAPTURA!AO88,CODIFICACION!$F$2:$F$500,0))="sin dato","",INDEX(CODIFICACION!$E$2:$E$500,MATCH("D1.4|"&amp;CAPTURA!AO88,CODIFICACION!$F$2:$F$500,0))),"⚠"))</f>
        <v/>
      </c>
      <c r="K88" t="str">
        <f>IF(CAPTURA!AP88="","",IFERROR(IF(INDEX(CODIFICACION!$E$2:$E$500,MATCH("D1.3a|"&amp;CAPTURA!AP88,CODIFICACION!$F$2:$F$500,0))="sin dato","",INDEX(CODIFICACION!$E$2:$E$500,MATCH("D1.3a|"&amp;CAPTURA!AP88,CODIFICACION!$F$2:$F$500,0))),"⚠"))</f>
        <v/>
      </c>
      <c r="L88" t="str">
        <f>IF(CAPTURA!AQ88="","",IF(AND(ISNUMBER(CAPTURA!AQ88),CAPTURA!AQ88&gt;=0,CAPTURA!AQ88&lt;=4),CAPTURA!AQ88*25,"⚠"))</f>
        <v/>
      </c>
      <c r="M88" t="str">
        <f>IF(CAPTURA!AR88="","",IF(ISNUMBER(CAPTURA!AR88),MAX(0,MIN(100,CAPTURA!AR88)),"⚠"))</f>
        <v/>
      </c>
      <c r="N88" t="str">
        <f>IF(CAPTURA!AS88="","",IF(AND(ISNUMBER(CAPTURA!AS88),CAPTURA!AS88&gt;=0,CAPTURA!AS88&lt;=4),CAPTURA!AS88*25,"⚠"))</f>
        <v/>
      </c>
      <c r="O88" t="str">
        <f>IF(CAPTURA!AT88="","",IFERROR(IF(INDEX(CODIFICACION!$E$2:$E$500,MATCH("D2.8|"&amp;CAPTURA!AT88,CODIFICACION!$F$2:$F$500,0))="sin dato","",INDEX(CODIFICACION!$E$2:$E$500,MATCH("D2.8|"&amp;CAPTURA!AT88,CODIFICACION!$F$2:$F$500,0))),"⚠"))</f>
        <v/>
      </c>
      <c r="P88" t="str">
        <f>IF(CAPTURA!AU88="","",IFERROR(IF(INDEX(CODIFICACION!$E$2:$E$500,MATCH("D2.9|"&amp;CAPTURA!AU88,CODIFICACION!$F$2:$F$500,0))="sin dato","",INDEX(CODIFICACION!$E$2:$E$500,MATCH("D2.9|"&amp;CAPTURA!AU88,CODIFICACION!$F$2:$F$500,0))),"⚠"))</f>
        <v/>
      </c>
      <c r="Q88" t="str">
        <f>IF(CAPTURA!AV88="","",IFERROR(IF(INDEX(CODIFICACION!$E$2:$E$500,MATCH("D2.10|"&amp;CAPTURA!AV88,CODIFICACION!$F$2:$F$500,0))="sin dato","",INDEX(CODIFICACION!$E$2:$E$500,MATCH("D2.10|"&amp;CAPTURA!AV88,CODIFICACION!$F$2:$F$500,0))),"⚠"))</f>
        <v/>
      </c>
      <c r="R88" t="str">
        <f>IF(CAPTURA!AW88="","",IFERROR(IF(INDEX(CODIFICACION!$E$2:$E$500,MATCH("D2.5a|"&amp;CAPTURA!AW88,CODIFICACION!$F$2:$F$500,0))="sin dato","",INDEX(CODIFICACION!$E$2:$E$500,MATCH("D2.5a|"&amp;CAPTURA!AW88,CODIFICACION!$F$2:$F$500,0))),"⚠"))</f>
        <v/>
      </c>
      <c r="S88" t="str">
        <f>IF(CAPTURA!AX88="","",IFERROR(IF(INDEX(CODIFICACION!$E$2:$E$500,MATCH("D2.5b|"&amp;CAPTURA!AX88,CODIFICACION!$F$2:$F$500,0))="sin dato","",INDEX(CODIFICACION!$E$2:$E$500,MATCH("D2.5b|"&amp;CAPTURA!AX88,CODIFICACION!$F$2:$F$500,0))),"⚠"))</f>
        <v/>
      </c>
      <c r="T88" t="str">
        <f>IF(CAPTURA!AY88="","",IF(ISNUMBER(CAPTURA!AY88),MAX(0,MIN(100,CAPTURA!AY88)),"⚠"))</f>
        <v/>
      </c>
      <c r="U88" t="str">
        <f>IF(CAPTURA!AZ88="","",IFERROR(IF(INDEX(CODIFICACION!$E$2:$E$500,MATCH("D3.12|"&amp;CAPTURA!AZ88,CODIFICACION!$F$2:$F$500,0))="sin dato","",INDEX(CODIFICACION!$E$2:$E$500,MATCH("D3.12|"&amp;CAPTURA!AZ88,CODIFICACION!$F$2:$F$500,0))),"⚠"))</f>
        <v/>
      </c>
      <c r="V88" t="str">
        <f>IF(CAPTURA!BA88="","",IF(AND(ISNUMBER(CAPTURA!BA88),CAPTURA!BA88&gt;=0,CAPTURA!BA88&lt;=4),CAPTURA!BA88*25,"⚠"))</f>
        <v/>
      </c>
      <c r="W88" t="str">
        <f>IF(CAPTURA!BB88="","",IFERROR(IF(INDEX(CODIFICACION!$E$2:$E$500,MATCH("D3.14|"&amp;CAPTURA!BB88,CODIFICACION!$F$2:$F$500,0))="sin dato","",INDEX(CODIFICACION!$E$2:$E$500,MATCH("D3.14|"&amp;CAPTURA!BB88,CODIFICACION!$F$2:$F$500,0))),"⚠"))</f>
        <v/>
      </c>
      <c r="X88" t="str">
        <f>IF(CAPTURA!BC88="","",IFERROR(IF(INDEX(CODIFICACION!$E$2:$E$500,MATCH("D3.14a|"&amp;CAPTURA!BC88,CODIFICACION!$F$2:$F$500,0))="sin dato","",INDEX(CODIFICACION!$E$2:$E$500,MATCH("D3.14a|"&amp;CAPTURA!BC88,CODIFICACION!$F$2:$F$500,0))),"⚠"))</f>
        <v/>
      </c>
      <c r="Y88" t="str">
        <f>IF(CAPTURA!BD88="","",IFERROR(IF(INDEX(CODIFICACION!$E$2:$E$500,MATCH("D3.14b|"&amp;CAPTURA!BD88,CODIFICACION!$F$2:$F$500,0))="sin dato","",INDEX(CODIFICACION!$E$2:$E$500,MATCH("D3.14b|"&amp;CAPTURA!BD88,CODIFICACION!$F$2:$F$500,0))),"⚠"))</f>
        <v/>
      </c>
      <c r="Z88" t="str">
        <f>IF(CAPTURA!BE88="","",IFERROR(IF(INDEX(CODIFICACION!$E$2:$E$500,MATCH("D3.14c|"&amp;CAPTURA!BE88,CODIFICACION!$F$2:$F$500,0))="sin dato","",INDEX(CODIFICACION!$E$2:$E$500,MATCH("D3.14c|"&amp;CAPTURA!BE88,CODIFICACION!$F$2:$F$500,0))),"⚠"))</f>
        <v/>
      </c>
      <c r="AA88" t="str">
        <f>IF(CAPTURA!BF88="","",IFERROR(IF(INDEX(CODIFICACION!$E$2:$E$500,MATCH("D3.14d|"&amp;CAPTURA!BF88,CODIFICACION!$F$2:$F$500,0))="sin dato","",INDEX(CODIFICACION!$E$2:$E$500,MATCH("D3.14d|"&amp;CAPTURA!BF88,CODIFICACION!$F$2:$F$500,0))),"⚠"))</f>
        <v/>
      </c>
      <c r="AB88" t="str">
        <f>IF(CAPTURA!BG88="","",IFERROR(IF(INDEX(CODIFICACION!$E$2:$E$500,MATCH("D3.14e|"&amp;CAPTURA!BG88,CODIFICACION!$F$2:$F$500,0))="sin dato","",INDEX(CODIFICACION!$E$2:$E$500,MATCH("D3.14e|"&amp;CAPTURA!BG88,CODIFICACION!$F$2:$F$500,0))),"⚠"))</f>
        <v/>
      </c>
      <c r="AC88" t="str">
        <f>IF(CAPTURA!BH88="","",IFERROR(IF(INDEX(CODIFICACION!$E$2:$E$500,MATCH("D3.14f|"&amp;CAPTURA!BH88,CODIFICACION!$F$2:$F$500,0))="sin dato","",INDEX(CODIFICACION!$E$2:$E$500,MATCH("D3.14f|"&amp;CAPTURA!BH88,CODIFICACION!$F$2:$F$500,0))),"⚠"))</f>
        <v/>
      </c>
      <c r="AD88" t="str">
        <f>IF(CAPTURA!BI88="","",IFERROR(IF(INDEX(CODIFICACION!$E$2:$E$500,MATCH("D3.14g|"&amp;CAPTURA!BI88,CODIFICACION!$F$2:$F$500,0))="sin dato","",INDEX(CODIFICACION!$E$2:$E$500,MATCH("D3.14g|"&amp;CAPTURA!BI88,CODIFICACION!$F$2:$F$500,0))),"⚠"))</f>
        <v/>
      </c>
      <c r="AE88" t="str">
        <f>IF(CAPTURA!BJ88="","",IFERROR(IF(INDEX(CODIFICACION!$E$2:$E$500,MATCH("D3.14h|"&amp;CAPTURA!BJ88,CODIFICACION!$F$2:$F$500,0))="sin dato","",INDEX(CODIFICACION!$E$2:$E$500,MATCH("D3.14h|"&amp;CAPTURA!BJ88,CODIFICACION!$F$2:$F$500,0))),"⚠"))</f>
        <v/>
      </c>
      <c r="AF88" t="str">
        <f>IF(CAPTURA!BK88="","",IFERROR(IF(INDEX(CODIFICACION!$E$2:$E$500,MATCH("D3.14i|"&amp;CAPTURA!BK88,CODIFICACION!$F$2:$F$500,0))="sin dato","",INDEX(CODIFICACION!$E$2:$E$500,MATCH("D3.14i|"&amp;CAPTURA!BK88,CODIFICACION!$F$2:$F$500,0))),"⚠"))</f>
        <v/>
      </c>
      <c r="AG88" t="str">
        <f>IF(CAPTURA!BL88="","",IFERROR(IF(INDEX(CODIFICACION!$E$2:$E$500,MATCH("D4.15|"&amp;CAPTURA!BL88,CODIFICACION!$F$2:$F$500,0))="sin dato","",INDEX(CODIFICACION!$E$2:$E$500,MATCH("D4.15|"&amp;CAPTURA!BL88,CODIFICACION!$F$2:$F$500,0))),"⚠"))</f>
        <v/>
      </c>
      <c r="AH88" t="str">
        <f>IF(CAPTURA!BM88="","",IF(AND(ISNUMBER(CAPTURA!BM88),CAPTURA!BM88&gt;=0,CAPTURA!BM88&lt;=4),CAPTURA!BM88*25,"⚠"))</f>
        <v/>
      </c>
      <c r="AI88" t="str">
        <f>IF(CAPTURA!BN88="","",IFERROR(IF(INDEX(CODIFICACION!$E$2:$E$500,MATCH("D4.17|"&amp;CAPTURA!BN88,CODIFICACION!$F$2:$F$500,0))="sin dato","",INDEX(CODIFICACION!$E$2:$E$500,MATCH("D4.17|"&amp;CAPTURA!BN88,CODIFICACION!$F$2:$F$500,0))),"⚠"))</f>
        <v/>
      </c>
      <c r="AJ88" t="str">
        <f>IF(CAPTURA!BO88="","",IFERROR(IF(INDEX(CODIFICACION!$E$2:$E$500,MATCH("D4.15a|"&amp;CAPTURA!BO88,CODIFICACION!$F$2:$F$500,0))="sin dato","",INDEX(CODIFICACION!$E$2:$E$500,MATCH("D4.15a|"&amp;CAPTURA!BO88,CODIFICACION!$F$2:$F$500,0))),"⚠"))</f>
        <v/>
      </c>
      <c r="AK88" t="str">
        <f>IF(CAPTURA!BP88="","",IF(AND(ISNUMBER(CAPTURA!BP88),CAPTURA!BP88&gt;=0,CAPTURA!BP88&lt;=4),CAPTURA!BP88*25,"⚠"))</f>
        <v/>
      </c>
      <c r="AL88" t="str">
        <f>IF(CAPTURA!BQ88="","",IF(AND(ISNUMBER(CAPTURA!BQ88),CAPTURA!BQ88&gt;=0,CAPTURA!BQ88&lt;=4),CAPTURA!BQ88*25,"⚠"))</f>
        <v/>
      </c>
      <c r="AM88" t="str">
        <f>IF(CAPTURA!BR88="","",IFERROR(IF(INDEX(CODIFICACION!$E$2:$E$500,MATCH("D5.18b|"&amp;CAPTURA!BR88,CODIFICACION!$F$2:$F$500,0))="sin dato","",INDEX(CODIFICACION!$E$2:$E$500,MATCH("D5.18b|"&amp;CAPTURA!BR88,CODIFICACION!$F$2:$F$500,0))),"⚠"))</f>
        <v/>
      </c>
      <c r="AN88" t="str">
        <f>IF(CAPTURA!BS88="","",IFERROR(IF(INDEX(CODIFICACION!$E$2:$E$500,MATCH("D5.19|"&amp;CAPTURA!BS88,CODIFICACION!$F$2:$F$500,0))="sin dato","",INDEX(CODIFICACION!$E$2:$E$500,MATCH("D5.19|"&amp;CAPTURA!BS88,CODIFICACION!$F$2:$F$500,0))),"⚠"))</f>
        <v/>
      </c>
      <c r="AO88" t="str">
        <f>IF(CAPTURA!BT88="","",MIN(100,ROUND((LEN(CAPTURA!BT88)-LEN(SUBSTITUTE(CAPTURA!BT88,";",""))+1)/7*100,1)))</f>
        <v/>
      </c>
      <c r="AP88" t="str">
        <f>IF(CAPTURA!BU88="","",IFERROR(IF(INDEX(CODIFICACION!$E$2:$E$500,MATCH("D5.20|"&amp;CAPTURA!BU88,CODIFICACION!$F$2:$F$500,0))="sin dato","",INDEX(CODIFICACION!$E$2:$E$500,MATCH("D5.20|"&amp;CAPTURA!BU88,CODIFICACION!$F$2:$F$500,0))),"⚠"))</f>
        <v/>
      </c>
      <c r="AQ88" t="str">
        <f>IF(CAPTURA!BV88="","",IFERROR(IF(INDEX(CODIFICACION!$E$2:$E$500,MATCH("D5.21|"&amp;CAPTURA!BV88,CODIFICACION!$F$2:$F$500,0))="sin dato","",INDEX(CODIFICACION!$E$2:$E$500,MATCH("D5.21|"&amp;CAPTURA!BV88,CODIFICACION!$F$2:$F$500,0))),"⚠"))</f>
        <v/>
      </c>
      <c r="AR88" t="str">
        <f>IF(CAPTURA!BW88="","",IFERROR(IF(INDEX(CODIFICACION!$E$2:$E$500,MATCH("D5.21a|"&amp;CAPTURA!BW88,CODIFICACION!$F$2:$F$500,0))="sin dato","",INDEX(CODIFICACION!$E$2:$E$500,MATCH("D5.21a|"&amp;CAPTURA!BW88,CODIFICACION!$F$2:$F$500,0))),"⚠"))</f>
        <v/>
      </c>
      <c r="AS88" t="str">
        <f>IF(CAPTURA!BX88="","",IFERROR(IF(INDEX(CODIFICACION!$E$2:$E$500,MATCH("D5.21b|"&amp;CAPTURA!BX88,CODIFICACION!$F$2:$F$500,0))="sin dato","",INDEX(CODIFICACION!$E$2:$E$500,MATCH("D5.21b|"&amp;CAPTURA!BX88,CODIFICACION!$F$2:$F$500,0))),"⚠"))</f>
        <v/>
      </c>
      <c r="AT88" t="str">
        <f>IF(CAPTURA!BY88="","",IFERROR(IF(INDEX(CODIFICACION!$E$2:$E$500,MATCH("D6.22|"&amp;CAPTURA!BY88,CODIFICACION!$F$2:$F$500,0))="sin dato","",INDEX(CODIFICACION!$E$2:$E$500,MATCH("D6.22|"&amp;CAPTURA!BY88,CODIFICACION!$F$2:$F$500,0))),"⚠"))</f>
        <v/>
      </c>
      <c r="AU88" t="str">
        <f>IF(CAPTURA!BZ88="","",IFERROR(IF(INDEX(CODIFICACION!$E$2:$E$500,MATCH("D6.22a|"&amp;CAPTURA!BZ88,CODIFICACION!$F$2:$F$500,0))="sin dato","",INDEX(CODIFICACION!$E$2:$E$500,MATCH("D6.22a|"&amp;CAPTURA!BZ88,CODIFICACION!$F$2:$F$500,0))),"⚠"))</f>
        <v/>
      </c>
      <c r="AV88" t="str">
        <f>IF(CAPTURA!CA88="","",IFERROR(IF(INDEX(CODIFICACION!$E$2:$E$500,MATCH("D6.22b|"&amp;CAPTURA!CA88,CODIFICACION!$F$2:$F$500,0))="sin dato","",INDEX(CODIFICACION!$E$2:$E$500,MATCH("D6.22b|"&amp;CAPTURA!CA88,CODIFICACION!$F$2:$F$500,0))),"⚠"))</f>
        <v/>
      </c>
      <c r="AW88" t="str">
        <f>IF(CAPTURA!CB88="","",IFERROR(IF(INDEX(CODIFICACION!$E$2:$E$500,MATCH("D6.23|"&amp;CAPTURA!CB88,CODIFICACION!$F$2:$F$500,0))="sin dato","",INDEX(CODIFICACION!$E$2:$E$500,MATCH("D6.23|"&amp;CAPTURA!CB88,CODIFICACION!$F$2:$F$500,0))),"⚠"))</f>
        <v/>
      </c>
      <c r="AX88" t="str">
        <f>IF(CAPTURA!CC88="","",IFERROR(IF(INDEX(CODIFICACION!$E$2:$E$500,MATCH("D6.24|"&amp;CAPTURA!CC88,CODIFICACION!$F$2:$F$500,0))="sin dato","",INDEX(CODIFICACION!$E$2:$E$500,MATCH("D6.24|"&amp;CAPTURA!CC88,CODIFICACION!$F$2:$F$500,0))),"⚠"))</f>
        <v/>
      </c>
      <c r="AY88" t="str">
        <f>IF(CAPTURA!CD88="","",IFERROR(IF(INDEX(CODIFICACION!$E$2:$E$500,MATCH("D6.25|"&amp;CAPTURA!CD88,CODIFICACION!$F$2:$F$500,0))="sin dato","",INDEX(CODIFICACION!$E$2:$E$500,MATCH("D6.25|"&amp;CAPTURA!CD88,CODIFICACION!$F$2:$F$500,0))),"⚠"))</f>
        <v/>
      </c>
      <c r="AZ88" t="str">
        <f>IF(CAPTURA!CE88="","",IFERROR(IF(INDEX(CODIFICACION!$E$2:$E$500,MATCH("D6.25a|"&amp;CAPTURA!CE88,CODIFICACION!$F$2:$F$500,0))="sin dato","",INDEX(CODIFICACION!$E$2:$E$500,MATCH("D6.25a|"&amp;CAPTURA!CE88,CODIFICACION!$F$2:$F$500,0))),"⚠"))</f>
        <v/>
      </c>
      <c r="BA88" t="str">
        <f>IF(CAPTURA!CF88="","",IFERROR(IF(INDEX(CODIFICACION!$E$2:$E$500,MATCH("D6.25b|"&amp;CAPTURA!CF88,CODIFICACION!$F$2:$F$500,0))="sin dato","",INDEX(CODIFICACION!$E$2:$E$500,MATCH("D6.25b|"&amp;CAPTURA!CF88,CODIFICACION!$F$2:$F$500,0))),"⚠"))</f>
        <v/>
      </c>
      <c r="BB88" t="str">
        <f>IF(CAPTURA!CG88="","",IFERROR(IF(INDEX(CODIFICACION!$E$2:$E$500,MATCH("D6.22c|"&amp;CAPTURA!CG88,CODIFICACION!$F$2:$F$500,0))="sin dato","",INDEX(CODIFICACION!$E$2:$E$500,MATCH("D6.22c|"&amp;CAPTURA!CG88,CODIFICACION!$F$2:$F$500,0))),"⚠"))</f>
        <v/>
      </c>
      <c r="BC88" t="str">
        <f>IF(CAPTURA!CH88="","",IFERROR(IF(INDEX(CODIFICACION!$E$2:$E$500,MATCH("D7.26|"&amp;CAPTURA!CH88,CODIFICACION!$F$2:$F$500,0))="sin dato","",INDEX(CODIFICACION!$E$2:$E$500,MATCH("D7.26|"&amp;CAPTURA!CH88,CODIFICACION!$F$2:$F$500,0))),"⚠"))</f>
        <v/>
      </c>
      <c r="BD88" t="str">
        <f>IF(CAPTURA!CI88="","",IFERROR(IF(INDEX(CODIFICACION!$E$2:$E$500,MATCH("D7.27|"&amp;CAPTURA!CI88,CODIFICACION!$F$2:$F$500,0))="sin dato","",INDEX(CODIFICACION!$E$2:$E$500,MATCH("D7.27|"&amp;CAPTURA!CI88,CODIFICACION!$F$2:$F$500,0))),"⚠"))</f>
        <v/>
      </c>
      <c r="BE88" t="str">
        <f>IF(CAPTURA!CJ88="","",IFERROR(IF(INDEX(CODIFICACION!$E$2:$E$500,MATCH("D7.28|"&amp;CAPTURA!CJ88,CODIFICACION!$F$2:$F$500,0))="sin dato","",INDEX(CODIFICACION!$E$2:$E$500,MATCH("D7.28|"&amp;CAPTURA!CJ88,CODIFICACION!$F$2:$F$500,0))),"⚠"))</f>
        <v/>
      </c>
      <c r="BF88" t="str">
        <f>IF(CAPTURA!CK88="","",IFERROR(IF(INDEX(CODIFICACION!$E$2:$E$500,MATCH("D7.28b|"&amp;CAPTURA!CK88,CODIFICACION!$F$2:$F$500,0))="sin dato","",INDEX(CODIFICACION!$E$2:$E$500,MATCH("D7.28b|"&amp;CAPTURA!CK88,CODIFICACION!$F$2:$F$500,0))),"⚠"))</f>
        <v/>
      </c>
      <c r="BG88" t="str">
        <f>IF(CAPTURA!CL88="","",MIN(100,ROUND((LEN(CAPTURA!CL88)-LEN(SUBSTITUTE(CAPTURA!CL88,";",""))+1)/8*100,1)))</f>
        <v/>
      </c>
      <c r="BH88" t="str">
        <f>IF(CAPTURA!CM88="","",IFERROR(IF(INDEX(CODIFICACION!$E$2:$E$500,MATCH("D7.26a|"&amp;CAPTURA!CM88,CODIFICACION!$F$2:$F$500,0))="sin dato","",INDEX(CODIFICACION!$E$2:$E$500,MATCH("D7.26a|"&amp;CAPTURA!CM88,CODIFICACION!$F$2:$F$500,0))),"⚠"))</f>
        <v/>
      </c>
      <c r="BI88" t="str">
        <f>IF(CAPTURA!CN88="","",IFERROR(IF(INDEX(CODIFICACION!$E$2:$E$500,MATCH("D7.26b|"&amp;CAPTURA!CN88,CODIFICACION!$F$2:$F$500,0))="sin dato","",INDEX(CODIFICACION!$E$2:$E$500,MATCH("D7.26b|"&amp;CAPTURA!CN88,CODIFICACION!$F$2:$F$500,0))),"⚠"))</f>
        <v/>
      </c>
      <c r="BJ88" t="str">
        <f>IF(CAPTURA!CO88="","",IF(AND(ISNUMBER(CAPTURA!CO88),CAPTURA!CO88&gt;=0,CAPTURA!CO88&lt;=4),CAPTURA!CO88*25,"⚠"))</f>
        <v/>
      </c>
      <c r="BK88" t="str">
        <f>IF(CAPTURA!CP88="","",IF(ISNUMBER(CAPTURA!CP88),MAX(0,MIN(100,CAPTURA!CP88)),"⚠"))</f>
        <v/>
      </c>
      <c r="BL88" t="str">
        <f>IF(CAPTURA!CQ88="","",IFERROR(IF(INDEX(CODIFICACION!$E$2:$E$500,MATCH("D8.31|"&amp;CAPTURA!CQ88,CODIFICACION!$F$2:$F$500,0))="sin dato","",INDEX(CODIFICACION!$E$2:$E$500,MATCH("D8.31|"&amp;CAPTURA!CQ88,CODIFICACION!$F$2:$F$500,0))),"⚠"))</f>
        <v/>
      </c>
      <c r="BM88" t="str">
        <f>IF(CAPTURA!CR88="","",IFERROR(IF(INDEX(CODIFICACION!$E$2:$E$500,MATCH("D8.32|"&amp;CAPTURA!CR88,CODIFICACION!$F$2:$F$500,0))="sin dato","",INDEX(CODIFICACION!$E$2:$E$500,MATCH("D8.32|"&amp;CAPTURA!CR88,CODIFICACION!$F$2:$F$500,0))),"⚠"))</f>
        <v/>
      </c>
      <c r="BN88" t="str">
        <f>IF(CAPTURA!CS88="","",IFERROR(IF(INDEX(CODIFICACION!$E$2:$E$500,MATCH("D9.33|"&amp;CAPTURA!CS88,CODIFICACION!$F$2:$F$500,0))="sin dato","",INDEX(CODIFICACION!$E$2:$E$500,MATCH("D9.33|"&amp;CAPTURA!CS88,CODIFICACION!$F$2:$F$500,0))),"⚠"))</f>
        <v/>
      </c>
      <c r="BO88" t="str">
        <f>IF(CAPTURA!CT88="","",IFERROR(IF(INDEX(CODIFICACION!$E$2:$E$500,MATCH("D9.34|"&amp;CAPTURA!CT88,CODIFICACION!$F$2:$F$500,0))="sin dato","",INDEX(CODIFICACION!$E$2:$E$500,MATCH("D9.34|"&amp;CAPTURA!CT88,CODIFICACION!$F$2:$F$500,0))),"⚠"))</f>
        <v/>
      </c>
      <c r="BP88" t="str">
        <f>IF(CAPTURA!CU88="","",IFERROR(IF(INDEX(CODIFICACION!$E$2:$E$500,MATCH("D9.35|"&amp;CAPTURA!CU88,CODIFICACION!$F$2:$F$500,0))="sin dato","",INDEX(CODIFICACION!$E$2:$E$500,MATCH("D9.35|"&amp;CAPTURA!CU88,CODIFICACION!$F$2:$F$500,0))),"⚠"))</f>
        <v/>
      </c>
      <c r="BQ88" t="str">
        <f>IF(CAPTURA!CV88="","",IFERROR(IF(INDEX(CODIFICACION!$E$2:$E$500,MATCH("D10.36|"&amp;CAPTURA!CV88,CODIFICACION!$F$2:$F$500,0))="sin dato","",INDEX(CODIFICACION!$E$2:$E$500,MATCH("D10.36|"&amp;CAPTURA!CV88,CODIFICACION!$F$2:$F$500,0))),"⚠"))</f>
        <v/>
      </c>
      <c r="BR88" t="str">
        <f>IF(CAPTURA!CW88="","",IFERROR(IF(INDEX(CODIFICACION!$E$2:$E$500,MATCH("D10.37|"&amp;CAPTURA!CW88,CODIFICACION!$F$2:$F$500,0))="sin dato","",INDEX(CODIFICACION!$E$2:$E$500,MATCH("D10.37|"&amp;CAPTURA!CW88,CODIFICACION!$F$2:$F$500,0))),"⚠"))</f>
        <v/>
      </c>
      <c r="BS88" t="str">
        <f>IF(CAPTURA!CX88="","",IFERROR(IF(INDEX(CODIFICACION!$E$2:$E$500,MATCH("D10.36a|"&amp;CAPTURA!CX88,CODIFICACION!$F$2:$F$500,0))="sin dato","",INDEX(CODIFICACION!$E$2:$E$500,MATCH("D10.36a|"&amp;CAPTURA!CX88,CODIFICACION!$F$2:$F$500,0))),"⚠"))</f>
        <v/>
      </c>
      <c r="BT88" t="str">
        <f>IF(CAPTURA!CY88="","",IF(ISNUMBER(SEARCH("Ninguno",CAPTURA!CY88)),0,MIN(100,ROUND((LEN(CAPTURA!CY88)-LEN(SUBSTITUTE(CAPTURA!CY88,";",""))+1)/6*100,1))))</f>
        <v/>
      </c>
      <c r="BU88" t="str">
        <f>IF(CAPTURA!DA88="","",IFERROR(IF(INDEX(CODIFICACION!$E$2:$E$500,MATCH("D11.39a|"&amp;CAPTURA!DA88,CODIFICACION!$F$2:$F$500,0))="sin dato","",INDEX(CODIFICACION!$E$2:$E$500,MATCH("D11.39a|"&amp;CAPTURA!DA88,CODIFICACION!$F$2:$F$500,0))),"⚠"))</f>
        <v/>
      </c>
      <c r="BV88" t="str">
        <f>IF(CAPTURA!DB88="","",IFERROR(IF(INDEX(CODIFICACION!$E$2:$E$500,MATCH("D12.42|"&amp;CAPTURA!DB88,CODIFICACION!$F$2:$F$500,0))="sin dato","",INDEX(CODIFICACION!$E$2:$E$500,MATCH("D12.42|"&amp;CAPTURA!DB88,CODIFICACION!$F$2:$F$500,0))),"⚠"))</f>
        <v/>
      </c>
      <c r="BW88" t="str">
        <f>IF(CAPTURA!DC88="","",IFERROR(IF(INDEX(CODIFICACION!$E$2:$E$500,MATCH("D13.45|"&amp;CAPTURA!DC88,CODIFICACION!$F$2:$F$500,0))="sin dato","",INDEX(CODIFICACION!$E$2:$E$500,MATCH("D13.45|"&amp;CAPTURA!DC88,CODIFICACION!$F$2:$F$500,0))),"⚠"))</f>
        <v/>
      </c>
      <c r="BX88" t="str">
        <f>IF(CAPTURA!DD88="","",IFERROR(IF(INDEX(CODIFICACION!$E$2:$E$500,MATCH("D14.51|"&amp;CAPTURA!DD88,CODIFICACION!$F$2:$F$500,0))="sin dato","",INDEX(CODIFICACION!$E$2:$E$500,MATCH("D14.51|"&amp;CAPTURA!DD88,CODIFICACION!$F$2:$F$500,0))),"⚠"))</f>
        <v/>
      </c>
      <c r="BY88" t="str">
        <f>IF(CAPTURA!DE88="","",IFERROR(IF(INDEX(CODIFICACION!$E$2:$E$500,MATCH("D15.58|"&amp;CAPTURA!DE88,CODIFICACION!$F$2:$F$500,0))="sin dato","",INDEX(CODIFICACION!$E$2:$E$500,MATCH("D15.58|"&amp;CAPTURA!DE88,CODIFICACION!$F$2:$F$500,0))),"⚠"))</f>
        <v/>
      </c>
      <c r="BZ88" t="str">
        <f>IF(CAPTURA!DF88="","",IFERROR(IF(INDEX(CODIFICACION!$E$2:$E$500,MATCH("PP1|"&amp;CAPTURA!DF88,CODIFICACION!$F$2:$F$500,0))="sin dato","",INDEX(CODIFICACION!$E$2:$E$500,MATCH("PP1|"&amp;CAPTURA!DF88,CODIFICACION!$F$2:$F$500,0))),"⚠"))</f>
        <v/>
      </c>
      <c r="CA88" t="str">
        <f>IF(CAPTURA!DG88="","",IFERROR(IF(INDEX(CODIFICACION!$E$2:$E$500,MATCH("PP2|"&amp;CAPTURA!DG88,CODIFICACION!$F$2:$F$500,0))="sin dato","",INDEX(CODIFICACION!$E$2:$E$500,MATCH("PP2|"&amp;CAPTURA!DG88,CODIFICACION!$F$2:$F$500,0))),"⚠"))</f>
        <v/>
      </c>
      <c r="CB88" t="str">
        <f t="shared" si="22"/>
        <v/>
      </c>
      <c r="CC88" t="str">
        <f t="shared" si="23"/>
        <v/>
      </c>
      <c r="CD88" t="str">
        <f t="shared" si="24"/>
        <v/>
      </c>
      <c r="CE88" t="str">
        <f t="shared" si="25"/>
        <v/>
      </c>
      <c r="CF88" t="str">
        <f t="shared" si="26"/>
        <v/>
      </c>
      <c r="CG88" t="str">
        <f t="shared" si="27"/>
        <v/>
      </c>
      <c r="CH88" t="str">
        <f t="shared" si="28"/>
        <v/>
      </c>
      <c r="CI88" t="str">
        <f t="shared" si="29"/>
        <v/>
      </c>
      <c r="CJ88" t="str">
        <f t="shared" si="30"/>
        <v/>
      </c>
      <c r="CK88" t="str">
        <f t="shared" si="31"/>
        <v/>
      </c>
      <c r="CL88" t="str">
        <f t="shared" si="32"/>
        <v/>
      </c>
    </row>
    <row r="89" spans="1:90" x14ac:dyDescent="0.3">
      <c r="A89">
        <f>CAPTURA!A89</f>
        <v>20568567731</v>
      </c>
      <c r="B89">
        <f>CAPTURA!C89</f>
        <v>0</v>
      </c>
      <c r="C89" t="str">
        <f>IF(CAPTURA!M89="","",ROUND((ISNUMBER(SEARCH("Alemania",CAPTURA!M89))+ISNUMBER(SEARCH("Bélgica",CAPTURA!M89))+ISNUMBER(SEARCH("Países Bajos",CAPTURA!M89))+ISNUMBER(SEARCH("Francia",CAPTURA!M89))+ISNUMBER(SEARCH("Italia",CAPTURA!M89))+ISNUMBER(SEARCH("España",CAPTURA!M89))+ISNUMBER(SEARCH("Suecia",CAPTURA!M89))+ISNUMBER(SEARCH("Dinamarca",CAPTURA!M89)))/((LEN(CAPTURA!M89)-LEN(SUBSTITUTE(CAPTURA!M89,";","")))+1)*100,1))</f>
        <v/>
      </c>
      <c r="D89" t="str">
        <f>IF(CAPTURA!AE89="","",IFERROR(IF(INDEX(CODIFICACION!$E$2:$E$500,MATCH("P8|"&amp;CAPTURA!AE89,CODIFICACION!$F$2:$F$500,0))="sin dato","",INDEX(CODIFICACION!$E$2:$E$500,MATCH("P8|"&amp;CAPTURA!AE89,CODIFICACION!$F$2:$F$500,0))),"⚠"))</f>
        <v/>
      </c>
      <c r="E89" t="str">
        <f>IF(CAPTURA!AG89="","",IFERROR(IF(INDEX(CODIFICACION!$E$2:$E$500,MATCH("P10|"&amp;CAPTURA!AG89,CODIFICACION!$F$2:$F$500,0))="sin dato","",INDEX(CODIFICACION!$E$2:$E$500,MATCH("P10|"&amp;CAPTURA!AG89,CODIFICACION!$F$2:$F$500,0))),"⚠"))</f>
        <v/>
      </c>
      <c r="F89" t="str">
        <f>IF(CAPTURA!AJ89="","",IFERROR(IF(INDEX(CODIFICACION!$E$2:$E$500,MATCH("P13|"&amp;CAPTURA!AJ89,CODIFICACION!$F$2:$F$500,0))="sin dato","",INDEX(CODIFICACION!$E$2:$E$500,MATCH("P13|"&amp;CAPTURA!AJ89,CODIFICACION!$F$2:$F$500,0))),"⚠"))</f>
        <v/>
      </c>
      <c r="G89" t="str">
        <f>IF(CAPTURA!AK89="","",IFERROR(IF(INDEX(CODIFICACION!$E$2:$E$500,MATCH("P14|"&amp;CAPTURA!AK89,CODIFICACION!$F$2:$F$500,0))="sin dato","",INDEX(CODIFICACION!$E$2:$E$500,MATCH("P14|"&amp;CAPTURA!AK89,CODIFICACION!$F$2:$F$500,0))),"⚠"))</f>
        <v/>
      </c>
      <c r="H89" t="str">
        <f>IF(CAPTURA!AL89="","",IFERROR(IF(INDEX(CODIFICACION!$E$2:$E$500,MATCH("D1.1|"&amp;CAPTURA!AL89,CODIFICACION!$F$2:$F$500,0))="sin dato","",INDEX(CODIFICACION!$E$2:$E$500,MATCH("D1.1|"&amp;CAPTURA!AL89,CODIFICACION!$F$2:$F$500,0))),"⚠"))</f>
        <v/>
      </c>
      <c r="I89" t="str">
        <f>IF(CAPTURA!AN89="","",IFERROR(IF(INDEX(CODIFICACION!$E$2:$E$500,MATCH("D1.3|"&amp;CAPTURA!AN89,CODIFICACION!$F$2:$F$500,0))="sin dato","",INDEX(CODIFICACION!$E$2:$E$500,MATCH("D1.3|"&amp;CAPTURA!AN89,CODIFICACION!$F$2:$F$500,0))),"⚠"))</f>
        <v/>
      </c>
      <c r="J89" t="str">
        <f>IF(CAPTURA!AO89="","",IFERROR(IF(INDEX(CODIFICACION!$E$2:$E$500,MATCH("D1.4|"&amp;CAPTURA!AO89,CODIFICACION!$F$2:$F$500,0))="sin dato","",INDEX(CODIFICACION!$E$2:$E$500,MATCH("D1.4|"&amp;CAPTURA!AO89,CODIFICACION!$F$2:$F$500,0))),"⚠"))</f>
        <v/>
      </c>
      <c r="K89" t="str">
        <f>IF(CAPTURA!AP89="","",IFERROR(IF(INDEX(CODIFICACION!$E$2:$E$500,MATCH("D1.3a|"&amp;CAPTURA!AP89,CODIFICACION!$F$2:$F$500,0))="sin dato","",INDEX(CODIFICACION!$E$2:$E$500,MATCH("D1.3a|"&amp;CAPTURA!AP89,CODIFICACION!$F$2:$F$500,0))),"⚠"))</f>
        <v/>
      </c>
      <c r="L89" t="str">
        <f>IF(CAPTURA!AQ89="","",IF(AND(ISNUMBER(CAPTURA!AQ89),CAPTURA!AQ89&gt;=0,CAPTURA!AQ89&lt;=4),CAPTURA!AQ89*25,"⚠"))</f>
        <v/>
      </c>
      <c r="M89" t="str">
        <f>IF(CAPTURA!AR89="","",IF(ISNUMBER(CAPTURA!AR89),MAX(0,MIN(100,CAPTURA!AR89)),"⚠"))</f>
        <v/>
      </c>
      <c r="N89" t="str">
        <f>IF(CAPTURA!AS89="","",IF(AND(ISNUMBER(CAPTURA!AS89),CAPTURA!AS89&gt;=0,CAPTURA!AS89&lt;=4),CAPTURA!AS89*25,"⚠"))</f>
        <v/>
      </c>
      <c r="O89" t="str">
        <f>IF(CAPTURA!AT89="","",IFERROR(IF(INDEX(CODIFICACION!$E$2:$E$500,MATCH("D2.8|"&amp;CAPTURA!AT89,CODIFICACION!$F$2:$F$500,0))="sin dato","",INDEX(CODIFICACION!$E$2:$E$500,MATCH("D2.8|"&amp;CAPTURA!AT89,CODIFICACION!$F$2:$F$500,0))),"⚠"))</f>
        <v/>
      </c>
      <c r="P89" t="str">
        <f>IF(CAPTURA!AU89="","",IFERROR(IF(INDEX(CODIFICACION!$E$2:$E$500,MATCH("D2.9|"&amp;CAPTURA!AU89,CODIFICACION!$F$2:$F$500,0))="sin dato","",INDEX(CODIFICACION!$E$2:$E$500,MATCH("D2.9|"&amp;CAPTURA!AU89,CODIFICACION!$F$2:$F$500,0))),"⚠"))</f>
        <v/>
      </c>
      <c r="Q89" t="str">
        <f>IF(CAPTURA!AV89="","",IFERROR(IF(INDEX(CODIFICACION!$E$2:$E$500,MATCH("D2.10|"&amp;CAPTURA!AV89,CODIFICACION!$F$2:$F$500,0))="sin dato","",INDEX(CODIFICACION!$E$2:$E$500,MATCH("D2.10|"&amp;CAPTURA!AV89,CODIFICACION!$F$2:$F$500,0))),"⚠"))</f>
        <v/>
      </c>
      <c r="R89" t="str">
        <f>IF(CAPTURA!AW89="","",IFERROR(IF(INDEX(CODIFICACION!$E$2:$E$500,MATCH("D2.5a|"&amp;CAPTURA!AW89,CODIFICACION!$F$2:$F$500,0))="sin dato","",INDEX(CODIFICACION!$E$2:$E$500,MATCH("D2.5a|"&amp;CAPTURA!AW89,CODIFICACION!$F$2:$F$500,0))),"⚠"))</f>
        <v/>
      </c>
      <c r="S89" t="str">
        <f>IF(CAPTURA!AX89="","",IFERROR(IF(INDEX(CODIFICACION!$E$2:$E$500,MATCH("D2.5b|"&amp;CAPTURA!AX89,CODIFICACION!$F$2:$F$500,0))="sin dato","",INDEX(CODIFICACION!$E$2:$E$500,MATCH("D2.5b|"&amp;CAPTURA!AX89,CODIFICACION!$F$2:$F$500,0))),"⚠"))</f>
        <v/>
      </c>
      <c r="T89" t="str">
        <f>IF(CAPTURA!AY89="","",IF(ISNUMBER(CAPTURA!AY89),MAX(0,MIN(100,CAPTURA!AY89)),"⚠"))</f>
        <v/>
      </c>
      <c r="U89" t="str">
        <f>IF(CAPTURA!AZ89="","",IFERROR(IF(INDEX(CODIFICACION!$E$2:$E$500,MATCH("D3.12|"&amp;CAPTURA!AZ89,CODIFICACION!$F$2:$F$500,0))="sin dato","",INDEX(CODIFICACION!$E$2:$E$500,MATCH("D3.12|"&amp;CAPTURA!AZ89,CODIFICACION!$F$2:$F$500,0))),"⚠"))</f>
        <v/>
      </c>
      <c r="V89" t="str">
        <f>IF(CAPTURA!BA89="","",IF(AND(ISNUMBER(CAPTURA!BA89),CAPTURA!BA89&gt;=0,CAPTURA!BA89&lt;=4),CAPTURA!BA89*25,"⚠"))</f>
        <v/>
      </c>
      <c r="W89" t="str">
        <f>IF(CAPTURA!BB89="","",IFERROR(IF(INDEX(CODIFICACION!$E$2:$E$500,MATCH("D3.14|"&amp;CAPTURA!BB89,CODIFICACION!$F$2:$F$500,0))="sin dato","",INDEX(CODIFICACION!$E$2:$E$500,MATCH("D3.14|"&amp;CAPTURA!BB89,CODIFICACION!$F$2:$F$500,0))),"⚠"))</f>
        <v/>
      </c>
      <c r="X89" t="str">
        <f>IF(CAPTURA!BC89="","",IFERROR(IF(INDEX(CODIFICACION!$E$2:$E$500,MATCH("D3.14a|"&amp;CAPTURA!BC89,CODIFICACION!$F$2:$F$500,0))="sin dato","",INDEX(CODIFICACION!$E$2:$E$500,MATCH("D3.14a|"&amp;CAPTURA!BC89,CODIFICACION!$F$2:$F$500,0))),"⚠"))</f>
        <v/>
      </c>
      <c r="Y89" t="str">
        <f>IF(CAPTURA!BD89="","",IFERROR(IF(INDEX(CODIFICACION!$E$2:$E$500,MATCH("D3.14b|"&amp;CAPTURA!BD89,CODIFICACION!$F$2:$F$500,0))="sin dato","",INDEX(CODIFICACION!$E$2:$E$500,MATCH("D3.14b|"&amp;CAPTURA!BD89,CODIFICACION!$F$2:$F$500,0))),"⚠"))</f>
        <v/>
      </c>
      <c r="Z89" t="str">
        <f>IF(CAPTURA!BE89="","",IFERROR(IF(INDEX(CODIFICACION!$E$2:$E$500,MATCH("D3.14c|"&amp;CAPTURA!BE89,CODIFICACION!$F$2:$F$500,0))="sin dato","",INDEX(CODIFICACION!$E$2:$E$500,MATCH("D3.14c|"&amp;CAPTURA!BE89,CODIFICACION!$F$2:$F$500,0))),"⚠"))</f>
        <v/>
      </c>
      <c r="AA89" t="str">
        <f>IF(CAPTURA!BF89="","",IFERROR(IF(INDEX(CODIFICACION!$E$2:$E$500,MATCH("D3.14d|"&amp;CAPTURA!BF89,CODIFICACION!$F$2:$F$500,0))="sin dato","",INDEX(CODIFICACION!$E$2:$E$500,MATCH("D3.14d|"&amp;CAPTURA!BF89,CODIFICACION!$F$2:$F$500,0))),"⚠"))</f>
        <v/>
      </c>
      <c r="AB89" t="str">
        <f>IF(CAPTURA!BG89="","",IFERROR(IF(INDEX(CODIFICACION!$E$2:$E$500,MATCH("D3.14e|"&amp;CAPTURA!BG89,CODIFICACION!$F$2:$F$500,0))="sin dato","",INDEX(CODIFICACION!$E$2:$E$500,MATCH("D3.14e|"&amp;CAPTURA!BG89,CODIFICACION!$F$2:$F$500,0))),"⚠"))</f>
        <v/>
      </c>
      <c r="AC89" t="str">
        <f>IF(CAPTURA!BH89="","",IFERROR(IF(INDEX(CODIFICACION!$E$2:$E$500,MATCH("D3.14f|"&amp;CAPTURA!BH89,CODIFICACION!$F$2:$F$500,0))="sin dato","",INDEX(CODIFICACION!$E$2:$E$500,MATCH("D3.14f|"&amp;CAPTURA!BH89,CODIFICACION!$F$2:$F$500,0))),"⚠"))</f>
        <v/>
      </c>
      <c r="AD89" t="str">
        <f>IF(CAPTURA!BI89="","",IFERROR(IF(INDEX(CODIFICACION!$E$2:$E$500,MATCH("D3.14g|"&amp;CAPTURA!BI89,CODIFICACION!$F$2:$F$500,0))="sin dato","",INDEX(CODIFICACION!$E$2:$E$500,MATCH("D3.14g|"&amp;CAPTURA!BI89,CODIFICACION!$F$2:$F$500,0))),"⚠"))</f>
        <v/>
      </c>
      <c r="AE89" t="str">
        <f>IF(CAPTURA!BJ89="","",IFERROR(IF(INDEX(CODIFICACION!$E$2:$E$500,MATCH("D3.14h|"&amp;CAPTURA!BJ89,CODIFICACION!$F$2:$F$500,0))="sin dato","",INDEX(CODIFICACION!$E$2:$E$500,MATCH("D3.14h|"&amp;CAPTURA!BJ89,CODIFICACION!$F$2:$F$500,0))),"⚠"))</f>
        <v/>
      </c>
      <c r="AF89" t="str">
        <f>IF(CAPTURA!BK89="","",IFERROR(IF(INDEX(CODIFICACION!$E$2:$E$500,MATCH("D3.14i|"&amp;CAPTURA!BK89,CODIFICACION!$F$2:$F$500,0))="sin dato","",INDEX(CODIFICACION!$E$2:$E$500,MATCH("D3.14i|"&amp;CAPTURA!BK89,CODIFICACION!$F$2:$F$500,0))),"⚠"))</f>
        <v/>
      </c>
      <c r="AG89" t="str">
        <f>IF(CAPTURA!BL89="","",IFERROR(IF(INDEX(CODIFICACION!$E$2:$E$500,MATCH("D4.15|"&amp;CAPTURA!BL89,CODIFICACION!$F$2:$F$500,0))="sin dato","",INDEX(CODIFICACION!$E$2:$E$500,MATCH("D4.15|"&amp;CAPTURA!BL89,CODIFICACION!$F$2:$F$500,0))),"⚠"))</f>
        <v/>
      </c>
      <c r="AH89" t="str">
        <f>IF(CAPTURA!BM89="","",IF(AND(ISNUMBER(CAPTURA!BM89),CAPTURA!BM89&gt;=0,CAPTURA!BM89&lt;=4),CAPTURA!BM89*25,"⚠"))</f>
        <v/>
      </c>
      <c r="AI89" t="str">
        <f>IF(CAPTURA!BN89="","",IFERROR(IF(INDEX(CODIFICACION!$E$2:$E$500,MATCH("D4.17|"&amp;CAPTURA!BN89,CODIFICACION!$F$2:$F$500,0))="sin dato","",INDEX(CODIFICACION!$E$2:$E$500,MATCH("D4.17|"&amp;CAPTURA!BN89,CODIFICACION!$F$2:$F$500,0))),"⚠"))</f>
        <v/>
      </c>
      <c r="AJ89" t="str">
        <f>IF(CAPTURA!BO89="","",IFERROR(IF(INDEX(CODIFICACION!$E$2:$E$500,MATCH("D4.15a|"&amp;CAPTURA!BO89,CODIFICACION!$F$2:$F$500,0))="sin dato","",INDEX(CODIFICACION!$E$2:$E$500,MATCH("D4.15a|"&amp;CAPTURA!BO89,CODIFICACION!$F$2:$F$500,0))),"⚠"))</f>
        <v/>
      </c>
      <c r="AK89" t="str">
        <f>IF(CAPTURA!BP89="","",IF(AND(ISNUMBER(CAPTURA!BP89),CAPTURA!BP89&gt;=0,CAPTURA!BP89&lt;=4),CAPTURA!BP89*25,"⚠"))</f>
        <v/>
      </c>
      <c r="AL89" t="str">
        <f>IF(CAPTURA!BQ89="","",IF(AND(ISNUMBER(CAPTURA!BQ89),CAPTURA!BQ89&gt;=0,CAPTURA!BQ89&lt;=4),CAPTURA!BQ89*25,"⚠"))</f>
        <v/>
      </c>
      <c r="AM89" t="str">
        <f>IF(CAPTURA!BR89="","",IFERROR(IF(INDEX(CODIFICACION!$E$2:$E$500,MATCH("D5.18b|"&amp;CAPTURA!BR89,CODIFICACION!$F$2:$F$500,0))="sin dato","",INDEX(CODIFICACION!$E$2:$E$500,MATCH("D5.18b|"&amp;CAPTURA!BR89,CODIFICACION!$F$2:$F$500,0))),"⚠"))</f>
        <v/>
      </c>
      <c r="AN89" t="str">
        <f>IF(CAPTURA!BS89="","",IFERROR(IF(INDEX(CODIFICACION!$E$2:$E$500,MATCH("D5.19|"&amp;CAPTURA!BS89,CODIFICACION!$F$2:$F$500,0))="sin dato","",INDEX(CODIFICACION!$E$2:$E$500,MATCH("D5.19|"&amp;CAPTURA!BS89,CODIFICACION!$F$2:$F$500,0))),"⚠"))</f>
        <v/>
      </c>
      <c r="AO89" t="str">
        <f>IF(CAPTURA!BT89="","",MIN(100,ROUND((LEN(CAPTURA!BT89)-LEN(SUBSTITUTE(CAPTURA!BT89,";",""))+1)/7*100,1)))</f>
        <v/>
      </c>
      <c r="AP89" t="str">
        <f>IF(CAPTURA!BU89="","",IFERROR(IF(INDEX(CODIFICACION!$E$2:$E$500,MATCH("D5.20|"&amp;CAPTURA!BU89,CODIFICACION!$F$2:$F$500,0))="sin dato","",INDEX(CODIFICACION!$E$2:$E$500,MATCH("D5.20|"&amp;CAPTURA!BU89,CODIFICACION!$F$2:$F$500,0))),"⚠"))</f>
        <v/>
      </c>
      <c r="AQ89" t="str">
        <f>IF(CAPTURA!BV89="","",IFERROR(IF(INDEX(CODIFICACION!$E$2:$E$500,MATCH("D5.21|"&amp;CAPTURA!BV89,CODIFICACION!$F$2:$F$500,0))="sin dato","",INDEX(CODIFICACION!$E$2:$E$500,MATCH("D5.21|"&amp;CAPTURA!BV89,CODIFICACION!$F$2:$F$500,0))),"⚠"))</f>
        <v/>
      </c>
      <c r="AR89" t="str">
        <f>IF(CAPTURA!BW89="","",IFERROR(IF(INDEX(CODIFICACION!$E$2:$E$500,MATCH("D5.21a|"&amp;CAPTURA!BW89,CODIFICACION!$F$2:$F$500,0))="sin dato","",INDEX(CODIFICACION!$E$2:$E$500,MATCH("D5.21a|"&amp;CAPTURA!BW89,CODIFICACION!$F$2:$F$500,0))),"⚠"))</f>
        <v/>
      </c>
      <c r="AS89" t="str">
        <f>IF(CAPTURA!BX89="","",IFERROR(IF(INDEX(CODIFICACION!$E$2:$E$500,MATCH("D5.21b|"&amp;CAPTURA!BX89,CODIFICACION!$F$2:$F$500,0))="sin dato","",INDEX(CODIFICACION!$E$2:$E$500,MATCH("D5.21b|"&amp;CAPTURA!BX89,CODIFICACION!$F$2:$F$500,0))),"⚠"))</f>
        <v/>
      </c>
      <c r="AT89" t="str">
        <f>IF(CAPTURA!BY89="","",IFERROR(IF(INDEX(CODIFICACION!$E$2:$E$500,MATCH("D6.22|"&amp;CAPTURA!BY89,CODIFICACION!$F$2:$F$500,0))="sin dato","",INDEX(CODIFICACION!$E$2:$E$500,MATCH("D6.22|"&amp;CAPTURA!BY89,CODIFICACION!$F$2:$F$500,0))),"⚠"))</f>
        <v/>
      </c>
      <c r="AU89" t="str">
        <f>IF(CAPTURA!BZ89="","",IFERROR(IF(INDEX(CODIFICACION!$E$2:$E$500,MATCH("D6.22a|"&amp;CAPTURA!BZ89,CODIFICACION!$F$2:$F$500,0))="sin dato","",INDEX(CODIFICACION!$E$2:$E$500,MATCH("D6.22a|"&amp;CAPTURA!BZ89,CODIFICACION!$F$2:$F$500,0))),"⚠"))</f>
        <v/>
      </c>
      <c r="AV89" t="str">
        <f>IF(CAPTURA!CA89="","",IFERROR(IF(INDEX(CODIFICACION!$E$2:$E$500,MATCH("D6.22b|"&amp;CAPTURA!CA89,CODIFICACION!$F$2:$F$500,0))="sin dato","",INDEX(CODIFICACION!$E$2:$E$500,MATCH("D6.22b|"&amp;CAPTURA!CA89,CODIFICACION!$F$2:$F$500,0))),"⚠"))</f>
        <v/>
      </c>
      <c r="AW89" t="str">
        <f>IF(CAPTURA!CB89="","",IFERROR(IF(INDEX(CODIFICACION!$E$2:$E$500,MATCH("D6.23|"&amp;CAPTURA!CB89,CODIFICACION!$F$2:$F$500,0))="sin dato","",INDEX(CODIFICACION!$E$2:$E$500,MATCH("D6.23|"&amp;CAPTURA!CB89,CODIFICACION!$F$2:$F$500,0))),"⚠"))</f>
        <v/>
      </c>
      <c r="AX89" t="str">
        <f>IF(CAPTURA!CC89="","",IFERROR(IF(INDEX(CODIFICACION!$E$2:$E$500,MATCH("D6.24|"&amp;CAPTURA!CC89,CODIFICACION!$F$2:$F$500,0))="sin dato","",INDEX(CODIFICACION!$E$2:$E$500,MATCH("D6.24|"&amp;CAPTURA!CC89,CODIFICACION!$F$2:$F$500,0))),"⚠"))</f>
        <v/>
      </c>
      <c r="AY89" t="str">
        <f>IF(CAPTURA!CD89="","",IFERROR(IF(INDEX(CODIFICACION!$E$2:$E$500,MATCH("D6.25|"&amp;CAPTURA!CD89,CODIFICACION!$F$2:$F$500,0))="sin dato","",INDEX(CODIFICACION!$E$2:$E$500,MATCH("D6.25|"&amp;CAPTURA!CD89,CODIFICACION!$F$2:$F$500,0))),"⚠"))</f>
        <v/>
      </c>
      <c r="AZ89" t="str">
        <f>IF(CAPTURA!CE89="","",IFERROR(IF(INDEX(CODIFICACION!$E$2:$E$500,MATCH("D6.25a|"&amp;CAPTURA!CE89,CODIFICACION!$F$2:$F$500,0))="sin dato","",INDEX(CODIFICACION!$E$2:$E$500,MATCH("D6.25a|"&amp;CAPTURA!CE89,CODIFICACION!$F$2:$F$500,0))),"⚠"))</f>
        <v/>
      </c>
      <c r="BA89" t="str">
        <f>IF(CAPTURA!CF89="","",IFERROR(IF(INDEX(CODIFICACION!$E$2:$E$500,MATCH("D6.25b|"&amp;CAPTURA!CF89,CODIFICACION!$F$2:$F$500,0))="sin dato","",INDEX(CODIFICACION!$E$2:$E$500,MATCH("D6.25b|"&amp;CAPTURA!CF89,CODIFICACION!$F$2:$F$500,0))),"⚠"))</f>
        <v/>
      </c>
      <c r="BB89" t="str">
        <f>IF(CAPTURA!CG89="","",IFERROR(IF(INDEX(CODIFICACION!$E$2:$E$500,MATCH("D6.22c|"&amp;CAPTURA!CG89,CODIFICACION!$F$2:$F$500,0))="sin dato","",INDEX(CODIFICACION!$E$2:$E$500,MATCH("D6.22c|"&amp;CAPTURA!CG89,CODIFICACION!$F$2:$F$500,0))),"⚠"))</f>
        <v/>
      </c>
      <c r="BC89" t="str">
        <f>IF(CAPTURA!CH89="","",IFERROR(IF(INDEX(CODIFICACION!$E$2:$E$500,MATCH("D7.26|"&amp;CAPTURA!CH89,CODIFICACION!$F$2:$F$500,0))="sin dato","",INDEX(CODIFICACION!$E$2:$E$500,MATCH("D7.26|"&amp;CAPTURA!CH89,CODIFICACION!$F$2:$F$500,0))),"⚠"))</f>
        <v/>
      </c>
      <c r="BD89" t="str">
        <f>IF(CAPTURA!CI89="","",IFERROR(IF(INDEX(CODIFICACION!$E$2:$E$500,MATCH("D7.27|"&amp;CAPTURA!CI89,CODIFICACION!$F$2:$F$500,0))="sin dato","",INDEX(CODIFICACION!$E$2:$E$500,MATCH("D7.27|"&amp;CAPTURA!CI89,CODIFICACION!$F$2:$F$500,0))),"⚠"))</f>
        <v/>
      </c>
      <c r="BE89" t="str">
        <f>IF(CAPTURA!CJ89="","",IFERROR(IF(INDEX(CODIFICACION!$E$2:$E$500,MATCH("D7.28|"&amp;CAPTURA!CJ89,CODIFICACION!$F$2:$F$500,0))="sin dato","",INDEX(CODIFICACION!$E$2:$E$500,MATCH("D7.28|"&amp;CAPTURA!CJ89,CODIFICACION!$F$2:$F$500,0))),"⚠"))</f>
        <v/>
      </c>
      <c r="BF89" t="str">
        <f>IF(CAPTURA!CK89="","",IFERROR(IF(INDEX(CODIFICACION!$E$2:$E$500,MATCH("D7.28b|"&amp;CAPTURA!CK89,CODIFICACION!$F$2:$F$500,0))="sin dato","",INDEX(CODIFICACION!$E$2:$E$500,MATCH("D7.28b|"&amp;CAPTURA!CK89,CODIFICACION!$F$2:$F$500,0))),"⚠"))</f>
        <v/>
      </c>
      <c r="BG89" t="str">
        <f>IF(CAPTURA!CL89="","",MIN(100,ROUND((LEN(CAPTURA!CL89)-LEN(SUBSTITUTE(CAPTURA!CL89,";",""))+1)/8*100,1)))</f>
        <v/>
      </c>
      <c r="BH89" t="str">
        <f>IF(CAPTURA!CM89="","",IFERROR(IF(INDEX(CODIFICACION!$E$2:$E$500,MATCH("D7.26a|"&amp;CAPTURA!CM89,CODIFICACION!$F$2:$F$500,0))="sin dato","",INDEX(CODIFICACION!$E$2:$E$500,MATCH("D7.26a|"&amp;CAPTURA!CM89,CODIFICACION!$F$2:$F$500,0))),"⚠"))</f>
        <v/>
      </c>
      <c r="BI89" t="str">
        <f>IF(CAPTURA!CN89="","",IFERROR(IF(INDEX(CODIFICACION!$E$2:$E$500,MATCH("D7.26b|"&amp;CAPTURA!CN89,CODIFICACION!$F$2:$F$500,0))="sin dato","",INDEX(CODIFICACION!$E$2:$E$500,MATCH("D7.26b|"&amp;CAPTURA!CN89,CODIFICACION!$F$2:$F$500,0))),"⚠"))</f>
        <v/>
      </c>
      <c r="BJ89" t="str">
        <f>IF(CAPTURA!CO89="","",IF(AND(ISNUMBER(CAPTURA!CO89),CAPTURA!CO89&gt;=0,CAPTURA!CO89&lt;=4),CAPTURA!CO89*25,"⚠"))</f>
        <v/>
      </c>
      <c r="BK89" t="str">
        <f>IF(CAPTURA!CP89="","",IF(ISNUMBER(CAPTURA!CP89),MAX(0,MIN(100,CAPTURA!CP89)),"⚠"))</f>
        <v/>
      </c>
      <c r="BL89" t="str">
        <f>IF(CAPTURA!CQ89="","",IFERROR(IF(INDEX(CODIFICACION!$E$2:$E$500,MATCH("D8.31|"&amp;CAPTURA!CQ89,CODIFICACION!$F$2:$F$500,0))="sin dato","",INDEX(CODIFICACION!$E$2:$E$500,MATCH("D8.31|"&amp;CAPTURA!CQ89,CODIFICACION!$F$2:$F$500,0))),"⚠"))</f>
        <v/>
      </c>
      <c r="BM89" t="str">
        <f>IF(CAPTURA!CR89="","",IFERROR(IF(INDEX(CODIFICACION!$E$2:$E$500,MATCH("D8.32|"&amp;CAPTURA!CR89,CODIFICACION!$F$2:$F$500,0))="sin dato","",INDEX(CODIFICACION!$E$2:$E$500,MATCH("D8.32|"&amp;CAPTURA!CR89,CODIFICACION!$F$2:$F$500,0))),"⚠"))</f>
        <v/>
      </c>
      <c r="BN89" t="str">
        <f>IF(CAPTURA!CS89="","",IFERROR(IF(INDEX(CODIFICACION!$E$2:$E$500,MATCH("D9.33|"&amp;CAPTURA!CS89,CODIFICACION!$F$2:$F$500,0))="sin dato","",INDEX(CODIFICACION!$E$2:$E$500,MATCH("D9.33|"&amp;CAPTURA!CS89,CODIFICACION!$F$2:$F$500,0))),"⚠"))</f>
        <v/>
      </c>
      <c r="BO89" t="str">
        <f>IF(CAPTURA!CT89="","",IFERROR(IF(INDEX(CODIFICACION!$E$2:$E$500,MATCH("D9.34|"&amp;CAPTURA!CT89,CODIFICACION!$F$2:$F$500,0))="sin dato","",INDEX(CODIFICACION!$E$2:$E$500,MATCH("D9.34|"&amp;CAPTURA!CT89,CODIFICACION!$F$2:$F$500,0))),"⚠"))</f>
        <v/>
      </c>
      <c r="BP89" t="str">
        <f>IF(CAPTURA!CU89="","",IFERROR(IF(INDEX(CODIFICACION!$E$2:$E$500,MATCH("D9.35|"&amp;CAPTURA!CU89,CODIFICACION!$F$2:$F$500,0))="sin dato","",INDEX(CODIFICACION!$E$2:$E$500,MATCH("D9.35|"&amp;CAPTURA!CU89,CODIFICACION!$F$2:$F$500,0))),"⚠"))</f>
        <v/>
      </c>
      <c r="BQ89" t="str">
        <f>IF(CAPTURA!CV89="","",IFERROR(IF(INDEX(CODIFICACION!$E$2:$E$500,MATCH("D10.36|"&amp;CAPTURA!CV89,CODIFICACION!$F$2:$F$500,0))="sin dato","",INDEX(CODIFICACION!$E$2:$E$500,MATCH("D10.36|"&amp;CAPTURA!CV89,CODIFICACION!$F$2:$F$500,0))),"⚠"))</f>
        <v/>
      </c>
      <c r="BR89" t="str">
        <f>IF(CAPTURA!CW89="","",IFERROR(IF(INDEX(CODIFICACION!$E$2:$E$500,MATCH("D10.37|"&amp;CAPTURA!CW89,CODIFICACION!$F$2:$F$500,0))="sin dato","",INDEX(CODIFICACION!$E$2:$E$500,MATCH("D10.37|"&amp;CAPTURA!CW89,CODIFICACION!$F$2:$F$500,0))),"⚠"))</f>
        <v/>
      </c>
      <c r="BS89" t="str">
        <f>IF(CAPTURA!CX89="","",IFERROR(IF(INDEX(CODIFICACION!$E$2:$E$500,MATCH("D10.36a|"&amp;CAPTURA!CX89,CODIFICACION!$F$2:$F$500,0))="sin dato","",INDEX(CODIFICACION!$E$2:$E$500,MATCH("D10.36a|"&amp;CAPTURA!CX89,CODIFICACION!$F$2:$F$500,0))),"⚠"))</f>
        <v/>
      </c>
      <c r="BT89" t="str">
        <f>IF(CAPTURA!CY89="","",IF(ISNUMBER(SEARCH("Ninguno",CAPTURA!CY89)),0,MIN(100,ROUND((LEN(CAPTURA!CY89)-LEN(SUBSTITUTE(CAPTURA!CY89,";",""))+1)/6*100,1))))</f>
        <v/>
      </c>
      <c r="BU89" t="str">
        <f>IF(CAPTURA!DA89="","",IFERROR(IF(INDEX(CODIFICACION!$E$2:$E$500,MATCH("D11.39a|"&amp;CAPTURA!DA89,CODIFICACION!$F$2:$F$500,0))="sin dato","",INDEX(CODIFICACION!$E$2:$E$500,MATCH("D11.39a|"&amp;CAPTURA!DA89,CODIFICACION!$F$2:$F$500,0))),"⚠"))</f>
        <v/>
      </c>
      <c r="BV89" t="str">
        <f>IF(CAPTURA!DB89="","",IFERROR(IF(INDEX(CODIFICACION!$E$2:$E$500,MATCH("D12.42|"&amp;CAPTURA!DB89,CODIFICACION!$F$2:$F$500,0))="sin dato","",INDEX(CODIFICACION!$E$2:$E$500,MATCH("D12.42|"&amp;CAPTURA!DB89,CODIFICACION!$F$2:$F$500,0))),"⚠"))</f>
        <v/>
      </c>
      <c r="BW89" t="str">
        <f>IF(CAPTURA!DC89="","",IFERROR(IF(INDEX(CODIFICACION!$E$2:$E$500,MATCH("D13.45|"&amp;CAPTURA!DC89,CODIFICACION!$F$2:$F$500,0))="sin dato","",INDEX(CODIFICACION!$E$2:$E$500,MATCH("D13.45|"&amp;CAPTURA!DC89,CODIFICACION!$F$2:$F$500,0))),"⚠"))</f>
        <v/>
      </c>
      <c r="BX89" t="str">
        <f>IF(CAPTURA!DD89="","",IFERROR(IF(INDEX(CODIFICACION!$E$2:$E$500,MATCH("D14.51|"&amp;CAPTURA!DD89,CODIFICACION!$F$2:$F$500,0))="sin dato","",INDEX(CODIFICACION!$E$2:$E$500,MATCH("D14.51|"&amp;CAPTURA!DD89,CODIFICACION!$F$2:$F$500,0))),"⚠"))</f>
        <v/>
      </c>
      <c r="BY89" t="str">
        <f>IF(CAPTURA!DE89="","",IFERROR(IF(INDEX(CODIFICACION!$E$2:$E$500,MATCH("D15.58|"&amp;CAPTURA!DE89,CODIFICACION!$F$2:$F$500,0))="sin dato","",INDEX(CODIFICACION!$E$2:$E$500,MATCH("D15.58|"&amp;CAPTURA!DE89,CODIFICACION!$F$2:$F$500,0))),"⚠"))</f>
        <v/>
      </c>
      <c r="BZ89" t="str">
        <f>IF(CAPTURA!DF89="","",IFERROR(IF(INDEX(CODIFICACION!$E$2:$E$500,MATCH("PP1|"&amp;CAPTURA!DF89,CODIFICACION!$F$2:$F$500,0))="sin dato","",INDEX(CODIFICACION!$E$2:$E$500,MATCH("PP1|"&amp;CAPTURA!DF89,CODIFICACION!$F$2:$F$500,0))),"⚠"))</f>
        <v/>
      </c>
      <c r="CA89" t="str">
        <f>IF(CAPTURA!DG89="","",IFERROR(IF(INDEX(CODIFICACION!$E$2:$E$500,MATCH("PP2|"&amp;CAPTURA!DG89,CODIFICACION!$F$2:$F$500,0))="sin dato","",INDEX(CODIFICACION!$E$2:$E$500,MATCH("PP2|"&amp;CAPTURA!DG89,CODIFICACION!$F$2:$F$500,0))),"⚠"))</f>
        <v/>
      </c>
      <c r="CB89" t="str">
        <f t="shared" si="22"/>
        <v/>
      </c>
      <c r="CC89" t="str">
        <f t="shared" si="23"/>
        <v/>
      </c>
      <c r="CD89" t="str">
        <f t="shared" si="24"/>
        <v/>
      </c>
      <c r="CE89" t="str">
        <f t="shared" si="25"/>
        <v/>
      </c>
      <c r="CF89" t="str">
        <f t="shared" si="26"/>
        <v/>
      </c>
      <c r="CG89" t="str">
        <f t="shared" si="27"/>
        <v/>
      </c>
      <c r="CH89" t="str">
        <f t="shared" si="28"/>
        <v/>
      </c>
      <c r="CI89" t="str">
        <f t="shared" si="29"/>
        <v/>
      </c>
      <c r="CJ89" t="str">
        <f t="shared" si="30"/>
        <v/>
      </c>
      <c r="CK89" t="str">
        <f t="shared" si="31"/>
        <v/>
      </c>
      <c r="CL89" t="str">
        <f t="shared" si="32"/>
        <v/>
      </c>
    </row>
    <row r="90" spans="1:90" x14ac:dyDescent="0.3">
      <c r="A90">
        <f>CAPTURA!A90</f>
        <v>20568609833</v>
      </c>
      <c r="B90">
        <f>CAPTURA!C90</f>
        <v>0</v>
      </c>
      <c r="C90" t="str">
        <f>IF(CAPTURA!M90="","",ROUND((ISNUMBER(SEARCH("Alemania",CAPTURA!M90))+ISNUMBER(SEARCH("Bélgica",CAPTURA!M90))+ISNUMBER(SEARCH("Países Bajos",CAPTURA!M90))+ISNUMBER(SEARCH("Francia",CAPTURA!M90))+ISNUMBER(SEARCH("Italia",CAPTURA!M90))+ISNUMBER(SEARCH("España",CAPTURA!M90))+ISNUMBER(SEARCH("Suecia",CAPTURA!M90))+ISNUMBER(SEARCH("Dinamarca",CAPTURA!M90)))/((LEN(CAPTURA!M90)-LEN(SUBSTITUTE(CAPTURA!M90,";","")))+1)*100,1))</f>
        <v/>
      </c>
      <c r="D90" t="str">
        <f>IF(CAPTURA!AE90="","",IFERROR(IF(INDEX(CODIFICACION!$E$2:$E$500,MATCH("P8|"&amp;CAPTURA!AE90,CODIFICACION!$F$2:$F$500,0))="sin dato","",INDEX(CODIFICACION!$E$2:$E$500,MATCH("P8|"&amp;CAPTURA!AE90,CODIFICACION!$F$2:$F$500,0))),"⚠"))</f>
        <v/>
      </c>
      <c r="E90" t="str">
        <f>IF(CAPTURA!AG90="","",IFERROR(IF(INDEX(CODIFICACION!$E$2:$E$500,MATCH("P10|"&amp;CAPTURA!AG90,CODIFICACION!$F$2:$F$500,0))="sin dato","",INDEX(CODIFICACION!$E$2:$E$500,MATCH("P10|"&amp;CAPTURA!AG90,CODIFICACION!$F$2:$F$500,0))),"⚠"))</f>
        <v/>
      </c>
      <c r="F90" t="str">
        <f>IF(CAPTURA!AJ90="","",IFERROR(IF(INDEX(CODIFICACION!$E$2:$E$500,MATCH("P13|"&amp;CAPTURA!AJ90,CODIFICACION!$F$2:$F$500,0))="sin dato","",INDEX(CODIFICACION!$E$2:$E$500,MATCH("P13|"&amp;CAPTURA!AJ90,CODIFICACION!$F$2:$F$500,0))),"⚠"))</f>
        <v/>
      </c>
      <c r="G90" t="str">
        <f>IF(CAPTURA!AK90="","",IFERROR(IF(INDEX(CODIFICACION!$E$2:$E$500,MATCH("P14|"&amp;CAPTURA!AK90,CODIFICACION!$F$2:$F$500,0))="sin dato","",INDEX(CODIFICACION!$E$2:$E$500,MATCH("P14|"&amp;CAPTURA!AK90,CODIFICACION!$F$2:$F$500,0))),"⚠"))</f>
        <v/>
      </c>
      <c r="H90" t="str">
        <f>IF(CAPTURA!AL90="","",IFERROR(IF(INDEX(CODIFICACION!$E$2:$E$500,MATCH("D1.1|"&amp;CAPTURA!AL90,CODIFICACION!$F$2:$F$500,0))="sin dato","",INDEX(CODIFICACION!$E$2:$E$500,MATCH("D1.1|"&amp;CAPTURA!AL90,CODIFICACION!$F$2:$F$500,0))),"⚠"))</f>
        <v/>
      </c>
      <c r="I90" t="str">
        <f>IF(CAPTURA!AN90="","",IFERROR(IF(INDEX(CODIFICACION!$E$2:$E$500,MATCH("D1.3|"&amp;CAPTURA!AN90,CODIFICACION!$F$2:$F$500,0))="sin dato","",INDEX(CODIFICACION!$E$2:$E$500,MATCH("D1.3|"&amp;CAPTURA!AN90,CODIFICACION!$F$2:$F$500,0))),"⚠"))</f>
        <v/>
      </c>
      <c r="J90" t="str">
        <f>IF(CAPTURA!AO90="","",IFERROR(IF(INDEX(CODIFICACION!$E$2:$E$500,MATCH("D1.4|"&amp;CAPTURA!AO90,CODIFICACION!$F$2:$F$500,0))="sin dato","",INDEX(CODIFICACION!$E$2:$E$500,MATCH("D1.4|"&amp;CAPTURA!AO90,CODIFICACION!$F$2:$F$500,0))),"⚠"))</f>
        <v/>
      </c>
      <c r="K90" t="str">
        <f>IF(CAPTURA!AP90="","",IFERROR(IF(INDEX(CODIFICACION!$E$2:$E$500,MATCH("D1.3a|"&amp;CAPTURA!AP90,CODIFICACION!$F$2:$F$500,0))="sin dato","",INDEX(CODIFICACION!$E$2:$E$500,MATCH("D1.3a|"&amp;CAPTURA!AP90,CODIFICACION!$F$2:$F$500,0))),"⚠"))</f>
        <v/>
      </c>
      <c r="L90" t="str">
        <f>IF(CAPTURA!AQ90="","",IF(AND(ISNUMBER(CAPTURA!AQ90),CAPTURA!AQ90&gt;=0,CAPTURA!AQ90&lt;=4),CAPTURA!AQ90*25,"⚠"))</f>
        <v/>
      </c>
      <c r="M90" t="str">
        <f>IF(CAPTURA!AR90="","",IF(ISNUMBER(CAPTURA!AR90),MAX(0,MIN(100,CAPTURA!AR90)),"⚠"))</f>
        <v/>
      </c>
      <c r="N90" t="str">
        <f>IF(CAPTURA!AS90="","",IF(AND(ISNUMBER(CAPTURA!AS90),CAPTURA!AS90&gt;=0,CAPTURA!AS90&lt;=4),CAPTURA!AS90*25,"⚠"))</f>
        <v/>
      </c>
      <c r="O90" t="str">
        <f>IF(CAPTURA!AT90="","",IFERROR(IF(INDEX(CODIFICACION!$E$2:$E$500,MATCH("D2.8|"&amp;CAPTURA!AT90,CODIFICACION!$F$2:$F$500,0))="sin dato","",INDEX(CODIFICACION!$E$2:$E$500,MATCH("D2.8|"&amp;CAPTURA!AT90,CODIFICACION!$F$2:$F$500,0))),"⚠"))</f>
        <v/>
      </c>
      <c r="P90" t="str">
        <f>IF(CAPTURA!AU90="","",IFERROR(IF(INDEX(CODIFICACION!$E$2:$E$500,MATCH("D2.9|"&amp;CAPTURA!AU90,CODIFICACION!$F$2:$F$500,0))="sin dato","",INDEX(CODIFICACION!$E$2:$E$500,MATCH("D2.9|"&amp;CAPTURA!AU90,CODIFICACION!$F$2:$F$500,0))),"⚠"))</f>
        <v/>
      </c>
      <c r="Q90" t="str">
        <f>IF(CAPTURA!AV90="","",IFERROR(IF(INDEX(CODIFICACION!$E$2:$E$500,MATCH("D2.10|"&amp;CAPTURA!AV90,CODIFICACION!$F$2:$F$500,0))="sin dato","",INDEX(CODIFICACION!$E$2:$E$500,MATCH("D2.10|"&amp;CAPTURA!AV90,CODIFICACION!$F$2:$F$500,0))),"⚠"))</f>
        <v/>
      </c>
      <c r="R90" t="str">
        <f>IF(CAPTURA!AW90="","",IFERROR(IF(INDEX(CODIFICACION!$E$2:$E$500,MATCH("D2.5a|"&amp;CAPTURA!AW90,CODIFICACION!$F$2:$F$500,0))="sin dato","",INDEX(CODIFICACION!$E$2:$E$500,MATCH("D2.5a|"&amp;CAPTURA!AW90,CODIFICACION!$F$2:$F$500,0))),"⚠"))</f>
        <v/>
      </c>
      <c r="S90" t="str">
        <f>IF(CAPTURA!AX90="","",IFERROR(IF(INDEX(CODIFICACION!$E$2:$E$500,MATCH("D2.5b|"&amp;CAPTURA!AX90,CODIFICACION!$F$2:$F$500,0))="sin dato","",INDEX(CODIFICACION!$E$2:$E$500,MATCH("D2.5b|"&amp;CAPTURA!AX90,CODIFICACION!$F$2:$F$500,0))),"⚠"))</f>
        <v/>
      </c>
      <c r="T90" t="str">
        <f>IF(CAPTURA!AY90="","",IF(ISNUMBER(CAPTURA!AY90),MAX(0,MIN(100,CAPTURA!AY90)),"⚠"))</f>
        <v/>
      </c>
      <c r="U90" t="str">
        <f>IF(CAPTURA!AZ90="","",IFERROR(IF(INDEX(CODIFICACION!$E$2:$E$500,MATCH("D3.12|"&amp;CAPTURA!AZ90,CODIFICACION!$F$2:$F$500,0))="sin dato","",INDEX(CODIFICACION!$E$2:$E$500,MATCH("D3.12|"&amp;CAPTURA!AZ90,CODIFICACION!$F$2:$F$500,0))),"⚠"))</f>
        <v/>
      </c>
      <c r="V90" t="str">
        <f>IF(CAPTURA!BA90="","",IF(AND(ISNUMBER(CAPTURA!BA90),CAPTURA!BA90&gt;=0,CAPTURA!BA90&lt;=4),CAPTURA!BA90*25,"⚠"))</f>
        <v/>
      </c>
      <c r="W90" t="str">
        <f>IF(CAPTURA!BB90="","",IFERROR(IF(INDEX(CODIFICACION!$E$2:$E$500,MATCH("D3.14|"&amp;CAPTURA!BB90,CODIFICACION!$F$2:$F$500,0))="sin dato","",INDEX(CODIFICACION!$E$2:$E$500,MATCH("D3.14|"&amp;CAPTURA!BB90,CODIFICACION!$F$2:$F$500,0))),"⚠"))</f>
        <v/>
      </c>
      <c r="X90" t="str">
        <f>IF(CAPTURA!BC90="","",IFERROR(IF(INDEX(CODIFICACION!$E$2:$E$500,MATCH("D3.14a|"&amp;CAPTURA!BC90,CODIFICACION!$F$2:$F$500,0))="sin dato","",INDEX(CODIFICACION!$E$2:$E$500,MATCH("D3.14a|"&amp;CAPTURA!BC90,CODIFICACION!$F$2:$F$500,0))),"⚠"))</f>
        <v/>
      </c>
      <c r="Y90" t="str">
        <f>IF(CAPTURA!BD90="","",IFERROR(IF(INDEX(CODIFICACION!$E$2:$E$500,MATCH("D3.14b|"&amp;CAPTURA!BD90,CODIFICACION!$F$2:$F$500,0))="sin dato","",INDEX(CODIFICACION!$E$2:$E$500,MATCH("D3.14b|"&amp;CAPTURA!BD90,CODIFICACION!$F$2:$F$500,0))),"⚠"))</f>
        <v/>
      </c>
      <c r="Z90" t="str">
        <f>IF(CAPTURA!BE90="","",IFERROR(IF(INDEX(CODIFICACION!$E$2:$E$500,MATCH("D3.14c|"&amp;CAPTURA!BE90,CODIFICACION!$F$2:$F$500,0))="sin dato","",INDEX(CODIFICACION!$E$2:$E$500,MATCH("D3.14c|"&amp;CAPTURA!BE90,CODIFICACION!$F$2:$F$500,0))),"⚠"))</f>
        <v/>
      </c>
      <c r="AA90" t="str">
        <f>IF(CAPTURA!BF90="","",IFERROR(IF(INDEX(CODIFICACION!$E$2:$E$500,MATCH("D3.14d|"&amp;CAPTURA!BF90,CODIFICACION!$F$2:$F$500,0))="sin dato","",INDEX(CODIFICACION!$E$2:$E$500,MATCH("D3.14d|"&amp;CAPTURA!BF90,CODIFICACION!$F$2:$F$500,0))),"⚠"))</f>
        <v/>
      </c>
      <c r="AB90" t="str">
        <f>IF(CAPTURA!BG90="","",IFERROR(IF(INDEX(CODIFICACION!$E$2:$E$500,MATCH("D3.14e|"&amp;CAPTURA!BG90,CODIFICACION!$F$2:$F$500,0))="sin dato","",INDEX(CODIFICACION!$E$2:$E$500,MATCH("D3.14e|"&amp;CAPTURA!BG90,CODIFICACION!$F$2:$F$500,0))),"⚠"))</f>
        <v/>
      </c>
      <c r="AC90" t="str">
        <f>IF(CAPTURA!BH90="","",IFERROR(IF(INDEX(CODIFICACION!$E$2:$E$500,MATCH("D3.14f|"&amp;CAPTURA!BH90,CODIFICACION!$F$2:$F$500,0))="sin dato","",INDEX(CODIFICACION!$E$2:$E$500,MATCH("D3.14f|"&amp;CAPTURA!BH90,CODIFICACION!$F$2:$F$500,0))),"⚠"))</f>
        <v/>
      </c>
      <c r="AD90" t="str">
        <f>IF(CAPTURA!BI90="","",IFERROR(IF(INDEX(CODIFICACION!$E$2:$E$500,MATCH("D3.14g|"&amp;CAPTURA!BI90,CODIFICACION!$F$2:$F$500,0))="sin dato","",INDEX(CODIFICACION!$E$2:$E$500,MATCH("D3.14g|"&amp;CAPTURA!BI90,CODIFICACION!$F$2:$F$500,0))),"⚠"))</f>
        <v/>
      </c>
      <c r="AE90" t="str">
        <f>IF(CAPTURA!BJ90="","",IFERROR(IF(INDEX(CODIFICACION!$E$2:$E$500,MATCH("D3.14h|"&amp;CAPTURA!BJ90,CODIFICACION!$F$2:$F$500,0))="sin dato","",INDEX(CODIFICACION!$E$2:$E$500,MATCH("D3.14h|"&amp;CAPTURA!BJ90,CODIFICACION!$F$2:$F$500,0))),"⚠"))</f>
        <v/>
      </c>
      <c r="AF90" t="str">
        <f>IF(CAPTURA!BK90="","",IFERROR(IF(INDEX(CODIFICACION!$E$2:$E$500,MATCH("D3.14i|"&amp;CAPTURA!BK90,CODIFICACION!$F$2:$F$500,0))="sin dato","",INDEX(CODIFICACION!$E$2:$E$500,MATCH("D3.14i|"&amp;CAPTURA!BK90,CODIFICACION!$F$2:$F$500,0))),"⚠"))</f>
        <v/>
      </c>
      <c r="AG90" t="str">
        <f>IF(CAPTURA!BL90="","",IFERROR(IF(INDEX(CODIFICACION!$E$2:$E$500,MATCH("D4.15|"&amp;CAPTURA!BL90,CODIFICACION!$F$2:$F$500,0))="sin dato","",INDEX(CODIFICACION!$E$2:$E$500,MATCH("D4.15|"&amp;CAPTURA!BL90,CODIFICACION!$F$2:$F$500,0))),"⚠"))</f>
        <v/>
      </c>
      <c r="AH90" t="str">
        <f>IF(CAPTURA!BM90="","",IF(AND(ISNUMBER(CAPTURA!BM90),CAPTURA!BM90&gt;=0,CAPTURA!BM90&lt;=4),CAPTURA!BM90*25,"⚠"))</f>
        <v/>
      </c>
      <c r="AI90" t="str">
        <f>IF(CAPTURA!BN90="","",IFERROR(IF(INDEX(CODIFICACION!$E$2:$E$500,MATCH("D4.17|"&amp;CAPTURA!BN90,CODIFICACION!$F$2:$F$500,0))="sin dato","",INDEX(CODIFICACION!$E$2:$E$500,MATCH("D4.17|"&amp;CAPTURA!BN90,CODIFICACION!$F$2:$F$500,0))),"⚠"))</f>
        <v/>
      </c>
      <c r="AJ90" t="str">
        <f>IF(CAPTURA!BO90="","",IFERROR(IF(INDEX(CODIFICACION!$E$2:$E$500,MATCH("D4.15a|"&amp;CAPTURA!BO90,CODIFICACION!$F$2:$F$500,0))="sin dato","",INDEX(CODIFICACION!$E$2:$E$500,MATCH("D4.15a|"&amp;CAPTURA!BO90,CODIFICACION!$F$2:$F$500,0))),"⚠"))</f>
        <v/>
      </c>
      <c r="AK90" t="str">
        <f>IF(CAPTURA!BP90="","",IF(AND(ISNUMBER(CAPTURA!BP90),CAPTURA!BP90&gt;=0,CAPTURA!BP90&lt;=4),CAPTURA!BP90*25,"⚠"))</f>
        <v/>
      </c>
      <c r="AL90" t="str">
        <f>IF(CAPTURA!BQ90="","",IF(AND(ISNUMBER(CAPTURA!BQ90),CAPTURA!BQ90&gt;=0,CAPTURA!BQ90&lt;=4),CAPTURA!BQ90*25,"⚠"))</f>
        <v/>
      </c>
      <c r="AM90" t="str">
        <f>IF(CAPTURA!BR90="","",IFERROR(IF(INDEX(CODIFICACION!$E$2:$E$500,MATCH("D5.18b|"&amp;CAPTURA!BR90,CODIFICACION!$F$2:$F$500,0))="sin dato","",INDEX(CODIFICACION!$E$2:$E$500,MATCH("D5.18b|"&amp;CAPTURA!BR90,CODIFICACION!$F$2:$F$500,0))),"⚠"))</f>
        <v/>
      </c>
      <c r="AN90" t="str">
        <f>IF(CAPTURA!BS90="","",IFERROR(IF(INDEX(CODIFICACION!$E$2:$E$500,MATCH("D5.19|"&amp;CAPTURA!BS90,CODIFICACION!$F$2:$F$500,0))="sin dato","",INDEX(CODIFICACION!$E$2:$E$500,MATCH("D5.19|"&amp;CAPTURA!BS90,CODIFICACION!$F$2:$F$500,0))),"⚠"))</f>
        <v/>
      </c>
      <c r="AO90" t="str">
        <f>IF(CAPTURA!BT90="","",MIN(100,ROUND((LEN(CAPTURA!BT90)-LEN(SUBSTITUTE(CAPTURA!BT90,";",""))+1)/7*100,1)))</f>
        <v/>
      </c>
      <c r="AP90" t="str">
        <f>IF(CAPTURA!BU90="","",IFERROR(IF(INDEX(CODIFICACION!$E$2:$E$500,MATCH("D5.20|"&amp;CAPTURA!BU90,CODIFICACION!$F$2:$F$500,0))="sin dato","",INDEX(CODIFICACION!$E$2:$E$500,MATCH("D5.20|"&amp;CAPTURA!BU90,CODIFICACION!$F$2:$F$500,0))),"⚠"))</f>
        <v/>
      </c>
      <c r="AQ90" t="str">
        <f>IF(CAPTURA!BV90="","",IFERROR(IF(INDEX(CODIFICACION!$E$2:$E$500,MATCH("D5.21|"&amp;CAPTURA!BV90,CODIFICACION!$F$2:$F$500,0))="sin dato","",INDEX(CODIFICACION!$E$2:$E$500,MATCH("D5.21|"&amp;CAPTURA!BV90,CODIFICACION!$F$2:$F$500,0))),"⚠"))</f>
        <v/>
      </c>
      <c r="AR90" t="str">
        <f>IF(CAPTURA!BW90="","",IFERROR(IF(INDEX(CODIFICACION!$E$2:$E$500,MATCH("D5.21a|"&amp;CAPTURA!BW90,CODIFICACION!$F$2:$F$500,0))="sin dato","",INDEX(CODIFICACION!$E$2:$E$500,MATCH("D5.21a|"&amp;CAPTURA!BW90,CODIFICACION!$F$2:$F$500,0))),"⚠"))</f>
        <v/>
      </c>
      <c r="AS90" t="str">
        <f>IF(CAPTURA!BX90="","",IFERROR(IF(INDEX(CODIFICACION!$E$2:$E$500,MATCH("D5.21b|"&amp;CAPTURA!BX90,CODIFICACION!$F$2:$F$500,0))="sin dato","",INDEX(CODIFICACION!$E$2:$E$500,MATCH("D5.21b|"&amp;CAPTURA!BX90,CODIFICACION!$F$2:$F$500,0))),"⚠"))</f>
        <v/>
      </c>
      <c r="AT90" t="str">
        <f>IF(CAPTURA!BY90="","",IFERROR(IF(INDEX(CODIFICACION!$E$2:$E$500,MATCH("D6.22|"&amp;CAPTURA!BY90,CODIFICACION!$F$2:$F$500,0))="sin dato","",INDEX(CODIFICACION!$E$2:$E$500,MATCH("D6.22|"&amp;CAPTURA!BY90,CODIFICACION!$F$2:$F$500,0))),"⚠"))</f>
        <v/>
      </c>
      <c r="AU90" t="str">
        <f>IF(CAPTURA!BZ90="","",IFERROR(IF(INDEX(CODIFICACION!$E$2:$E$500,MATCH("D6.22a|"&amp;CAPTURA!BZ90,CODIFICACION!$F$2:$F$500,0))="sin dato","",INDEX(CODIFICACION!$E$2:$E$500,MATCH("D6.22a|"&amp;CAPTURA!BZ90,CODIFICACION!$F$2:$F$500,0))),"⚠"))</f>
        <v/>
      </c>
      <c r="AV90" t="str">
        <f>IF(CAPTURA!CA90="","",IFERROR(IF(INDEX(CODIFICACION!$E$2:$E$500,MATCH("D6.22b|"&amp;CAPTURA!CA90,CODIFICACION!$F$2:$F$500,0))="sin dato","",INDEX(CODIFICACION!$E$2:$E$500,MATCH("D6.22b|"&amp;CAPTURA!CA90,CODIFICACION!$F$2:$F$500,0))),"⚠"))</f>
        <v/>
      </c>
      <c r="AW90" t="str">
        <f>IF(CAPTURA!CB90="","",IFERROR(IF(INDEX(CODIFICACION!$E$2:$E$500,MATCH("D6.23|"&amp;CAPTURA!CB90,CODIFICACION!$F$2:$F$500,0))="sin dato","",INDEX(CODIFICACION!$E$2:$E$500,MATCH("D6.23|"&amp;CAPTURA!CB90,CODIFICACION!$F$2:$F$500,0))),"⚠"))</f>
        <v/>
      </c>
      <c r="AX90" t="str">
        <f>IF(CAPTURA!CC90="","",IFERROR(IF(INDEX(CODIFICACION!$E$2:$E$500,MATCH("D6.24|"&amp;CAPTURA!CC90,CODIFICACION!$F$2:$F$500,0))="sin dato","",INDEX(CODIFICACION!$E$2:$E$500,MATCH("D6.24|"&amp;CAPTURA!CC90,CODIFICACION!$F$2:$F$500,0))),"⚠"))</f>
        <v/>
      </c>
      <c r="AY90" t="str">
        <f>IF(CAPTURA!CD90="","",IFERROR(IF(INDEX(CODIFICACION!$E$2:$E$500,MATCH("D6.25|"&amp;CAPTURA!CD90,CODIFICACION!$F$2:$F$500,0))="sin dato","",INDEX(CODIFICACION!$E$2:$E$500,MATCH("D6.25|"&amp;CAPTURA!CD90,CODIFICACION!$F$2:$F$500,0))),"⚠"))</f>
        <v/>
      </c>
      <c r="AZ90" t="str">
        <f>IF(CAPTURA!CE90="","",IFERROR(IF(INDEX(CODIFICACION!$E$2:$E$500,MATCH("D6.25a|"&amp;CAPTURA!CE90,CODIFICACION!$F$2:$F$500,0))="sin dato","",INDEX(CODIFICACION!$E$2:$E$500,MATCH("D6.25a|"&amp;CAPTURA!CE90,CODIFICACION!$F$2:$F$500,0))),"⚠"))</f>
        <v/>
      </c>
      <c r="BA90" t="str">
        <f>IF(CAPTURA!CF90="","",IFERROR(IF(INDEX(CODIFICACION!$E$2:$E$500,MATCH("D6.25b|"&amp;CAPTURA!CF90,CODIFICACION!$F$2:$F$500,0))="sin dato","",INDEX(CODIFICACION!$E$2:$E$500,MATCH("D6.25b|"&amp;CAPTURA!CF90,CODIFICACION!$F$2:$F$500,0))),"⚠"))</f>
        <v/>
      </c>
      <c r="BB90" t="str">
        <f>IF(CAPTURA!CG90="","",IFERROR(IF(INDEX(CODIFICACION!$E$2:$E$500,MATCH("D6.22c|"&amp;CAPTURA!CG90,CODIFICACION!$F$2:$F$500,0))="sin dato","",INDEX(CODIFICACION!$E$2:$E$500,MATCH("D6.22c|"&amp;CAPTURA!CG90,CODIFICACION!$F$2:$F$500,0))),"⚠"))</f>
        <v/>
      </c>
      <c r="BC90" t="str">
        <f>IF(CAPTURA!CH90="","",IFERROR(IF(INDEX(CODIFICACION!$E$2:$E$500,MATCH("D7.26|"&amp;CAPTURA!CH90,CODIFICACION!$F$2:$F$500,0))="sin dato","",INDEX(CODIFICACION!$E$2:$E$500,MATCH("D7.26|"&amp;CAPTURA!CH90,CODIFICACION!$F$2:$F$500,0))),"⚠"))</f>
        <v/>
      </c>
      <c r="BD90" t="str">
        <f>IF(CAPTURA!CI90="","",IFERROR(IF(INDEX(CODIFICACION!$E$2:$E$500,MATCH("D7.27|"&amp;CAPTURA!CI90,CODIFICACION!$F$2:$F$500,0))="sin dato","",INDEX(CODIFICACION!$E$2:$E$500,MATCH("D7.27|"&amp;CAPTURA!CI90,CODIFICACION!$F$2:$F$500,0))),"⚠"))</f>
        <v/>
      </c>
      <c r="BE90" t="str">
        <f>IF(CAPTURA!CJ90="","",IFERROR(IF(INDEX(CODIFICACION!$E$2:$E$500,MATCH("D7.28|"&amp;CAPTURA!CJ90,CODIFICACION!$F$2:$F$500,0))="sin dato","",INDEX(CODIFICACION!$E$2:$E$500,MATCH("D7.28|"&amp;CAPTURA!CJ90,CODIFICACION!$F$2:$F$500,0))),"⚠"))</f>
        <v/>
      </c>
      <c r="BF90" t="str">
        <f>IF(CAPTURA!CK90="","",IFERROR(IF(INDEX(CODIFICACION!$E$2:$E$500,MATCH("D7.28b|"&amp;CAPTURA!CK90,CODIFICACION!$F$2:$F$500,0))="sin dato","",INDEX(CODIFICACION!$E$2:$E$500,MATCH("D7.28b|"&amp;CAPTURA!CK90,CODIFICACION!$F$2:$F$500,0))),"⚠"))</f>
        <v/>
      </c>
      <c r="BG90" t="str">
        <f>IF(CAPTURA!CL90="","",MIN(100,ROUND((LEN(CAPTURA!CL90)-LEN(SUBSTITUTE(CAPTURA!CL90,";",""))+1)/8*100,1)))</f>
        <v/>
      </c>
      <c r="BH90" t="str">
        <f>IF(CAPTURA!CM90="","",IFERROR(IF(INDEX(CODIFICACION!$E$2:$E$500,MATCH("D7.26a|"&amp;CAPTURA!CM90,CODIFICACION!$F$2:$F$500,0))="sin dato","",INDEX(CODIFICACION!$E$2:$E$500,MATCH("D7.26a|"&amp;CAPTURA!CM90,CODIFICACION!$F$2:$F$500,0))),"⚠"))</f>
        <v/>
      </c>
      <c r="BI90" t="str">
        <f>IF(CAPTURA!CN90="","",IFERROR(IF(INDEX(CODIFICACION!$E$2:$E$500,MATCH("D7.26b|"&amp;CAPTURA!CN90,CODIFICACION!$F$2:$F$500,0))="sin dato","",INDEX(CODIFICACION!$E$2:$E$500,MATCH("D7.26b|"&amp;CAPTURA!CN90,CODIFICACION!$F$2:$F$500,0))),"⚠"))</f>
        <v/>
      </c>
      <c r="BJ90" t="str">
        <f>IF(CAPTURA!CO90="","",IF(AND(ISNUMBER(CAPTURA!CO90),CAPTURA!CO90&gt;=0,CAPTURA!CO90&lt;=4),CAPTURA!CO90*25,"⚠"))</f>
        <v/>
      </c>
      <c r="BK90" t="str">
        <f>IF(CAPTURA!CP90="","",IF(ISNUMBER(CAPTURA!CP90),MAX(0,MIN(100,CAPTURA!CP90)),"⚠"))</f>
        <v/>
      </c>
      <c r="BL90" t="str">
        <f>IF(CAPTURA!CQ90="","",IFERROR(IF(INDEX(CODIFICACION!$E$2:$E$500,MATCH("D8.31|"&amp;CAPTURA!CQ90,CODIFICACION!$F$2:$F$500,0))="sin dato","",INDEX(CODIFICACION!$E$2:$E$500,MATCH("D8.31|"&amp;CAPTURA!CQ90,CODIFICACION!$F$2:$F$500,0))),"⚠"))</f>
        <v/>
      </c>
      <c r="BM90" t="str">
        <f>IF(CAPTURA!CR90="","",IFERROR(IF(INDEX(CODIFICACION!$E$2:$E$500,MATCH("D8.32|"&amp;CAPTURA!CR90,CODIFICACION!$F$2:$F$500,0))="sin dato","",INDEX(CODIFICACION!$E$2:$E$500,MATCH("D8.32|"&amp;CAPTURA!CR90,CODIFICACION!$F$2:$F$500,0))),"⚠"))</f>
        <v/>
      </c>
      <c r="BN90" t="str">
        <f>IF(CAPTURA!CS90="","",IFERROR(IF(INDEX(CODIFICACION!$E$2:$E$500,MATCH("D9.33|"&amp;CAPTURA!CS90,CODIFICACION!$F$2:$F$500,0))="sin dato","",INDEX(CODIFICACION!$E$2:$E$500,MATCH("D9.33|"&amp;CAPTURA!CS90,CODIFICACION!$F$2:$F$500,0))),"⚠"))</f>
        <v/>
      </c>
      <c r="BO90" t="str">
        <f>IF(CAPTURA!CT90="","",IFERROR(IF(INDEX(CODIFICACION!$E$2:$E$500,MATCH("D9.34|"&amp;CAPTURA!CT90,CODIFICACION!$F$2:$F$500,0))="sin dato","",INDEX(CODIFICACION!$E$2:$E$500,MATCH("D9.34|"&amp;CAPTURA!CT90,CODIFICACION!$F$2:$F$500,0))),"⚠"))</f>
        <v/>
      </c>
      <c r="BP90" t="str">
        <f>IF(CAPTURA!CU90="","",IFERROR(IF(INDEX(CODIFICACION!$E$2:$E$500,MATCH("D9.35|"&amp;CAPTURA!CU90,CODIFICACION!$F$2:$F$500,0))="sin dato","",INDEX(CODIFICACION!$E$2:$E$500,MATCH("D9.35|"&amp;CAPTURA!CU90,CODIFICACION!$F$2:$F$500,0))),"⚠"))</f>
        <v/>
      </c>
      <c r="BQ90" t="str">
        <f>IF(CAPTURA!CV90="","",IFERROR(IF(INDEX(CODIFICACION!$E$2:$E$500,MATCH("D10.36|"&amp;CAPTURA!CV90,CODIFICACION!$F$2:$F$500,0))="sin dato","",INDEX(CODIFICACION!$E$2:$E$500,MATCH("D10.36|"&amp;CAPTURA!CV90,CODIFICACION!$F$2:$F$500,0))),"⚠"))</f>
        <v/>
      </c>
      <c r="BR90" t="str">
        <f>IF(CAPTURA!CW90="","",IFERROR(IF(INDEX(CODIFICACION!$E$2:$E$500,MATCH("D10.37|"&amp;CAPTURA!CW90,CODIFICACION!$F$2:$F$500,0))="sin dato","",INDEX(CODIFICACION!$E$2:$E$500,MATCH("D10.37|"&amp;CAPTURA!CW90,CODIFICACION!$F$2:$F$500,0))),"⚠"))</f>
        <v/>
      </c>
      <c r="BS90" t="str">
        <f>IF(CAPTURA!CX90="","",IFERROR(IF(INDEX(CODIFICACION!$E$2:$E$500,MATCH("D10.36a|"&amp;CAPTURA!CX90,CODIFICACION!$F$2:$F$500,0))="sin dato","",INDEX(CODIFICACION!$E$2:$E$500,MATCH("D10.36a|"&amp;CAPTURA!CX90,CODIFICACION!$F$2:$F$500,0))),"⚠"))</f>
        <v/>
      </c>
      <c r="BT90" t="str">
        <f>IF(CAPTURA!CY90="","",IF(ISNUMBER(SEARCH("Ninguno",CAPTURA!CY90)),0,MIN(100,ROUND((LEN(CAPTURA!CY90)-LEN(SUBSTITUTE(CAPTURA!CY90,";",""))+1)/6*100,1))))</f>
        <v/>
      </c>
      <c r="BU90" t="str">
        <f>IF(CAPTURA!DA90="","",IFERROR(IF(INDEX(CODIFICACION!$E$2:$E$500,MATCH("D11.39a|"&amp;CAPTURA!DA90,CODIFICACION!$F$2:$F$500,0))="sin dato","",INDEX(CODIFICACION!$E$2:$E$500,MATCH("D11.39a|"&amp;CAPTURA!DA90,CODIFICACION!$F$2:$F$500,0))),"⚠"))</f>
        <v/>
      </c>
      <c r="BV90" t="str">
        <f>IF(CAPTURA!DB90="","",IFERROR(IF(INDEX(CODIFICACION!$E$2:$E$500,MATCH("D12.42|"&amp;CAPTURA!DB90,CODIFICACION!$F$2:$F$500,0))="sin dato","",INDEX(CODIFICACION!$E$2:$E$500,MATCH("D12.42|"&amp;CAPTURA!DB90,CODIFICACION!$F$2:$F$500,0))),"⚠"))</f>
        <v/>
      </c>
      <c r="BW90" t="str">
        <f>IF(CAPTURA!DC90="","",IFERROR(IF(INDEX(CODIFICACION!$E$2:$E$500,MATCH("D13.45|"&amp;CAPTURA!DC90,CODIFICACION!$F$2:$F$500,0))="sin dato","",INDEX(CODIFICACION!$E$2:$E$500,MATCH("D13.45|"&amp;CAPTURA!DC90,CODIFICACION!$F$2:$F$500,0))),"⚠"))</f>
        <v/>
      </c>
      <c r="BX90" t="str">
        <f>IF(CAPTURA!DD90="","",IFERROR(IF(INDEX(CODIFICACION!$E$2:$E$500,MATCH("D14.51|"&amp;CAPTURA!DD90,CODIFICACION!$F$2:$F$500,0))="sin dato","",INDEX(CODIFICACION!$E$2:$E$500,MATCH("D14.51|"&amp;CAPTURA!DD90,CODIFICACION!$F$2:$F$500,0))),"⚠"))</f>
        <v/>
      </c>
      <c r="BY90" t="str">
        <f>IF(CAPTURA!DE90="","",IFERROR(IF(INDEX(CODIFICACION!$E$2:$E$500,MATCH("D15.58|"&amp;CAPTURA!DE90,CODIFICACION!$F$2:$F$500,0))="sin dato","",INDEX(CODIFICACION!$E$2:$E$500,MATCH("D15.58|"&amp;CAPTURA!DE90,CODIFICACION!$F$2:$F$500,0))),"⚠"))</f>
        <v/>
      </c>
      <c r="BZ90" t="str">
        <f>IF(CAPTURA!DF90="","",IFERROR(IF(INDEX(CODIFICACION!$E$2:$E$500,MATCH("PP1|"&amp;CAPTURA!DF90,CODIFICACION!$F$2:$F$500,0))="sin dato","",INDEX(CODIFICACION!$E$2:$E$500,MATCH("PP1|"&amp;CAPTURA!DF90,CODIFICACION!$F$2:$F$500,0))),"⚠"))</f>
        <v/>
      </c>
      <c r="CA90" t="str">
        <f>IF(CAPTURA!DG90="","",IFERROR(IF(INDEX(CODIFICACION!$E$2:$E$500,MATCH("PP2|"&amp;CAPTURA!DG90,CODIFICACION!$F$2:$F$500,0))="sin dato","",INDEX(CODIFICACION!$E$2:$E$500,MATCH("PP2|"&amp;CAPTURA!DG90,CODIFICACION!$F$2:$F$500,0))),"⚠"))</f>
        <v/>
      </c>
      <c r="CB90" t="str">
        <f t="shared" si="22"/>
        <v/>
      </c>
      <c r="CC90" t="str">
        <f t="shared" si="23"/>
        <v/>
      </c>
      <c r="CD90" t="str">
        <f t="shared" si="24"/>
        <v/>
      </c>
      <c r="CE90" t="str">
        <f t="shared" si="25"/>
        <v/>
      </c>
      <c r="CF90" t="str">
        <f t="shared" si="26"/>
        <v/>
      </c>
      <c r="CG90" t="str">
        <f t="shared" si="27"/>
        <v/>
      </c>
      <c r="CH90" t="str">
        <f t="shared" si="28"/>
        <v/>
      </c>
      <c r="CI90" t="str">
        <f t="shared" si="29"/>
        <v/>
      </c>
      <c r="CJ90" t="str">
        <f t="shared" si="30"/>
        <v/>
      </c>
      <c r="CK90" t="str">
        <f t="shared" si="31"/>
        <v/>
      </c>
      <c r="CL90" t="str">
        <f t="shared" si="32"/>
        <v/>
      </c>
    </row>
    <row r="91" spans="1:90" x14ac:dyDescent="0.3">
      <c r="A91">
        <f>CAPTURA!A91</f>
        <v>20568962282</v>
      </c>
      <c r="B91">
        <f>CAPTURA!C91</f>
        <v>0</v>
      </c>
      <c r="C91" t="str">
        <f>IF(CAPTURA!M91="","",ROUND((ISNUMBER(SEARCH("Alemania",CAPTURA!M91))+ISNUMBER(SEARCH("Bélgica",CAPTURA!M91))+ISNUMBER(SEARCH("Países Bajos",CAPTURA!M91))+ISNUMBER(SEARCH("Francia",CAPTURA!M91))+ISNUMBER(SEARCH("Italia",CAPTURA!M91))+ISNUMBER(SEARCH("España",CAPTURA!M91))+ISNUMBER(SEARCH("Suecia",CAPTURA!M91))+ISNUMBER(SEARCH("Dinamarca",CAPTURA!M91)))/((LEN(CAPTURA!M91)-LEN(SUBSTITUTE(CAPTURA!M91,";","")))+1)*100,1))</f>
        <v/>
      </c>
      <c r="D91" t="str">
        <f>IF(CAPTURA!AE91="","",IFERROR(IF(INDEX(CODIFICACION!$E$2:$E$500,MATCH("P8|"&amp;CAPTURA!AE91,CODIFICACION!$F$2:$F$500,0))="sin dato","",INDEX(CODIFICACION!$E$2:$E$500,MATCH("P8|"&amp;CAPTURA!AE91,CODIFICACION!$F$2:$F$500,0))),"⚠"))</f>
        <v/>
      </c>
      <c r="E91" t="str">
        <f>IF(CAPTURA!AG91="","",IFERROR(IF(INDEX(CODIFICACION!$E$2:$E$500,MATCH("P10|"&amp;CAPTURA!AG91,CODIFICACION!$F$2:$F$500,0))="sin dato","",INDEX(CODIFICACION!$E$2:$E$500,MATCH("P10|"&amp;CAPTURA!AG91,CODIFICACION!$F$2:$F$500,0))),"⚠"))</f>
        <v/>
      </c>
      <c r="F91" t="str">
        <f>IF(CAPTURA!AJ91="","",IFERROR(IF(INDEX(CODIFICACION!$E$2:$E$500,MATCH("P13|"&amp;CAPTURA!AJ91,CODIFICACION!$F$2:$F$500,0))="sin dato","",INDEX(CODIFICACION!$E$2:$E$500,MATCH("P13|"&amp;CAPTURA!AJ91,CODIFICACION!$F$2:$F$500,0))),"⚠"))</f>
        <v/>
      </c>
      <c r="G91" t="str">
        <f>IF(CAPTURA!AK91="","",IFERROR(IF(INDEX(CODIFICACION!$E$2:$E$500,MATCH("P14|"&amp;CAPTURA!AK91,CODIFICACION!$F$2:$F$500,0))="sin dato","",INDEX(CODIFICACION!$E$2:$E$500,MATCH("P14|"&amp;CAPTURA!AK91,CODIFICACION!$F$2:$F$500,0))),"⚠"))</f>
        <v/>
      </c>
      <c r="H91" t="str">
        <f>IF(CAPTURA!AL91="","",IFERROR(IF(INDEX(CODIFICACION!$E$2:$E$500,MATCH("D1.1|"&amp;CAPTURA!AL91,CODIFICACION!$F$2:$F$500,0))="sin dato","",INDEX(CODIFICACION!$E$2:$E$500,MATCH("D1.1|"&amp;CAPTURA!AL91,CODIFICACION!$F$2:$F$500,0))),"⚠"))</f>
        <v/>
      </c>
      <c r="I91" t="str">
        <f>IF(CAPTURA!AN91="","",IFERROR(IF(INDEX(CODIFICACION!$E$2:$E$500,MATCH("D1.3|"&amp;CAPTURA!AN91,CODIFICACION!$F$2:$F$500,0))="sin dato","",INDEX(CODIFICACION!$E$2:$E$500,MATCH("D1.3|"&amp;CAPTURA!AN91,CODIFICACION!$F$2:$F$500,0))),"⚠"))</f>
        <v/>
      </c>
      <c r="J91" t="str">
        <f>IF(CAPTURA!AO91="","",IFERROR(IF(INDEX(CODIFICACION!$E$2:$E$500,MATCH("D1.4|"&amp;CAPTURA!AO91,CODIFICACION!$F$2:$F$500,0))="sin dato","",INDEX(CODIFICACION!$E$2:$E$500,MATCH("D1.4|"&amp;CAPTURA!AO91,CODIFICACION!$F$2:$F$500,0))),"⚠"))</f>
        <v/>
      </c>
      <c r="K91" t="str">
        <f>IF(CAPTURA!AP91="","",IFERROR(IF(INDEX(CODIFICACION!$E$2:$E$500,MATCH("D1.3a|"&amp;CAPTURA!AP91,CODIFICACION!$F$2:$F$500,0))="sin dato","",INDEX(CODIFICACION!$E$2:$E$500,MATCH("D1.3a|"&amp;CAPTURA!AP91,CODIFICACION!$F$2:$F$500,0))),"⚠"))</f>
        <v/>
      </c>
      <c r="L91" t="str">
        <f>IF(CAPTURA!AQ91="","",IF(AND(ISNUMBER(CAPTURA!AQ91),CAPTURA!AQ91&gt;=0,CAPTURA!AQ91&lt;=4),CAPTURA!AQ91*25,"⚠"))</f>
        <v/>
      </c>
      <c r="M91" t="str">
        <f>IF(CAPTURA!AR91="","",IF(ISNUMBER(CAPTURA!AR91),MAX(0,MIN(100,CAPTURA!AR91)),"⚠"))</f>
        <v/>
      </c>
      <c r="N91" t="str">
        <f>IF(CAPTURA!AS91="","",IF(AND(ISNUMBER(CAPTURA!AS91),CAPTURA!AS91&gt;=0,CAPTURA!AS91&lt;=4),CAPTURA!AS91*25,"⚠"))</f>
        <v/>
      </c>
      <c r="O91" t="str">
        <f>IF(CAPTURA!AT91="","",IFERROR(IF(INDEX(CODIFICACION!$E$2:$E$500,MATCH("D2.8|"&amp;CAPTURA!AT91,CODIFICACION!$F$2:$F$500,0))="sin dato","",INDEX(CODIFICACION!$E$2:$E$500,MATCH("D2.8|"&amp;CAPTURA!AT91,CODIFICACION!$F$2:$F$500,0))),"⚠"))</f>
        <v/>
      </c>
      <c r="P91" t="str">
        <f>IF(CAPTURA!AU91="","",IFERROR(IF(INDEX(CODIFICACION!$E$2:$E$500,MATCH("D2.9|"&amp;CAPTURA!AU91,CODIFICACION!$F$2:$F$500,0))="sin dato","",INDEX(CODIFICACION!$E$2:$E$500,MATCH("D2.9|"&amp;CAPTURA!AU91,CODIFICACION!$F$2:$F$500,0))),"⚠"))</f>
        <v/>
      </c>
      <c r="Q91" t="str">
        <f>IF(CAPTURA!AV91="","",IFERROR(IF(INDEX(CODIFICACION!$E$2:$E$500,MATCH("D2.10|"&amp;CAPTURA!AV91,CODIFICACION!$F$2:$F$500,0))="sin dato","",INDEX(CODIFICACION!$E$2:$E$500,MATCH("D2.10|"&amp;CAPTURA!AV91,CODIFICACION!$F$2:$F$500,0))),"⚠"))</f>
        <v/>
      </c>
      <c r="R91" t="str">
        <f>IF(CAPTURA!AW91="","",IFERROR(IF(INDEX(CODIFICACION!$E$2:$E$500,MATCH("D2.5a|"&amp;CAPTURA!AW91,CODIFICACION!$F$2:$F$500,0))="sin dato","",INDEX(CODIFICACION!$E$2:$E$500,MATCH("D2.5a|"&amp;CAPTURA!AW91,CODIFICACION!$F$2:$F$500,0))),"⚠"))</f>
        <v/>
      </c>
      <c r="S91" t="str">
        <f>IF(CAPTURA!AX91="","",IFERROR(IF(INDEX(CODIFICACION!$E$2:$E$500,MATCH("D2.5b|"&amp;CAPTURA!AX91,CODIFICACION!$F$2:$F$500,0))="sin dato","",INDEX(CODIFICACION!$E$2:$E$500,MATCH("D2.5b|"&amp;CAPTURA!AX91,CODIFICACION!$F$2:$F$500,0))),"⚠"))</f>
        <v/>
      </c>
      <c r="T91" t="str">
        <f>IF(CAPTURA!AY91="","",IF(ISNUMBER(CAPTURA!AY91),MAX(0,MIN(100,CAPTURA!AY91)),"⚠"))</f>
        <v/>
      </c>
      <c r="U91" t="str">
        <f>IF(CAPTURA!AZ91="","",IFERROR(IF(INDEX(CODIFICACION!$E$2:$E$500,MATCH("D3.12|"&amp;CAPTURA!AZ91,CODIFICACION!$F$2:$F$500,0))="sin dato","",INDEX(CODIFICACION!$E$2:$E$500,MATCH("D3.12|"&amp;CAPTURA!AZ91,CODIFICACION!$F$2:$F$500,0))),"⚠"))</f>
        <v/>
      </c>
      <c r="V91" t="str">
        <f>IF(CAPTURA!BA91="","",IF(AND(ISNUMBER(CAPTURA!BA91),CAPTURA!BA91&gt;=0,CAPTURA!BA91&lt;=4),CAPTURA!BA91*25,"⚠"))</f>
        <v/>
      </c>
      <c r="W91" t="str">
        <f>IF(CAPTURA!BB91="","",IFERROR(IF(INDEX(CODIFICACION!$E$2:$E$500,MATCH("D3.14|"&amp;CAPTURA!BB91,CODIFICACION!$F$2:$F$500,0))="sin dato","",INDEX(CODIFICACION!$E$2:$E$500,MATCH("D3.14|"&amp;CAPTURA!BB91,CODIFICACION!$F$2:$F$500,0))),"⚠"))</f>
        <v/>
      </c>
      <c r="X91" t="str">
        <f>IF(CAPTURA!BC91="","",IFERROR(IF(INDEX(CODIFICACION!$E$2:$E$500,MATCH("D3.14a|"&amp;CAPTURA!BC91,CODIFICACION!$F$2:$F$500,0))="sin dato","",INDEX(CODIFICACION!$E$2:$E$500,MATCH("D3.14a|"&amp;CAPTURA!BC91,CODIFICACION!$F$2:$F$500,0))),"⚠"))</f>
        <v/>
      </c>
      <c r="Y91" t="str">
        <f>IF(CAPTURA!BD91="","",IFERROR(IF(INDEX(CODIFICACION!$E$2:$E$500,MATCH("D3.14b|"&amp;CAPTURA!BD91,CODIFICACION!$F$2:$F$500,0))="sin dato","",INDEX(CODIFICACION!$E$2:$E$500,MATCH("D3.14b|"&amp;CAPTURA!BD91,CODIFICACION!$F$2:$F$500,0))),"⚠"))</f>
        <v/>
      </c>
      <c r="Z91" t="str">
        <f>IF(CAPTURA!BE91="","",IFERROR(IF(INDEX(CODIFICACION!$E$2:$E$500,MATCH("D3.14c|"&amp;CAPTURA!BE91,CODIFICACION!$F$2:$F$500,0))="sin dato","",INDEX(CODIFICACION!$E$2:$E$500,MATCH("D3.14c|"&amp;CAPTURA!BE91,CODIFICACION!$F$2:$F$500,0))),"⚠"))</f>
        <v/>
      </c>
      <c r="AA91" t="str">
        <f>IF(CAPTURA!BF91="","",IFERROR(IF(INDEX(CODIFICACION!$E$2:$E$500,MATCH("D3.14d|"&amp;CAPTURA!BF91,CODIFICACION!$F$2:$F$500,0))="sin dato","",INDEX(CODIFICACION!$E$2:$E$500,MATCH("D3.14d|"&amp;CAPTURA!BF91,CODIFICACION!$F$2:$F$500,0))),"⚠"))</f>
        <v/>
      </c>
      <c r="AB91" t="str">
        <f>IF(CAPTURA!BG91="","",IFERROR(IF(INDEX(CODIFICACION!$E$2:$E$500,MATCH("D3.14e|"&amp;CAPTURA!BG91,CODIFICACION!$F$2:$F$500,0))="sin dato","",INDEX(CODIFICACION!$E$2:$E$500,MATCH("D3.14e|"&amp;CAPTURA!BG91,CODIFICACION!$F$2:$F$500,0))),"⚠"))</f>
        <v/>
      </c>
      <c r="AC91" t="str">
        <f>IF(CAPTURA!BH91="","",IFERROR(IF(INDEX(CODIFICACION!$E$2:$E$500,MATCH("D3.14f|"&amp;CAPTURA!BH91,CODIFICACION!$F$2:$F$500,0))="sin dato","",INDEX(CODIFICACION!$E$2:$E$500,MATCH("D3.14f|"&amp;CAPTURA!BH91,CODIFICACION!$F$2:$F$500,0))),"⚠"))</f>
        <v/>
      </c>
      <c r="AD91" t="str">
        <f>IF(CAPTURA!BI91="","",IFERROR(IF(INDEX(CODIFICACION!$E$2:$E$500,MATCH("D3.14g|"&amp;CAPTURA!BI91,CODIFICACION!$F$2:$F$500,0))="sin dato","",INDEX(CODIFICACION!$E$2:$E$500,MATCH("D3.14g|"&amp;CAPTURA!BI91,CODIFICACION!$F$2:$F$500,0))),"⚠"))</f>
        <v/>
      </c>
      <c r="AE91" t="str">
        <f>IF(CAPTURA!BJ91="","",IFERROR(IF(INDEX(CODIFICACION!$E$2:$E$500,MATCH("D3.14h|"&amp;CAPTURA!BJ91,CODIFICACION!$F$2:$F$500,0))="sin dato","",INDEX(CODIFICACION!$E$2:$E$500,MATCH("D3.14h|"&amp;CAPTURA!BJ91,CODIFICACION!$F$2:$F$500,0))),"⚠"))</f>
        <v/>
      </c>
      <c r="AF91" t="str">
        <f>IF(CAPTURA!BK91="","",IFERROR(IF(INDEX(CODIFICACION!$E$2:$E$500,MATCH("D3.14i|"&amp;CAPTURA!BK91,CODIFICACION!$F$2:$F$500,0))="sin dato","",INDEX(CODIFICACION!$E$2:$E$500,MATCH("D3.14i|"&amp;CAPTURA!BK91,CODIFICACION!$F$2:$F$500,0))),"⚠"))</f>
        <v/>
      </c>
      <c r="AG91" t="str">
        <f>IF(CAPTURA!BL91="","",IFERROR(IF(INDEX(CODIFICACION!$E$2:$E$500,MATCH("D4.15|"&amp;CAPTURA!BL91,CODIFICACION!$F$2:$F$500,0))="sin dato","",INDEX(CODIFICACION!$E$2:$E$500,MATCH("D4.15|"&amp;CAPTURA!BL91,CODIFICACION!$F$2:$F$500,0))),"⚠"))</f>
        <v/>
      </c>
      <c r="AH91" t="str">
        <f>IF(CAPTURA!BM91="","",IF(AND(ISNUMBER(CAPTURA!BM91),CAPTURA!BM91&gt;=0,CAPTURA!BM91&lt;=4),CAPTURA!BM91*25,"⚠"))</f>
        <v/>
      </c>
      <c r="AI91" t="str">
        <f>IF(CAPTURA!BN91="","",IFERROR(IF(INDEX(CODIFICACION!$E$2:$E$500,MATCH("D4.17|"&amp;CAPTURA!BN91,CODIFICACION!$F$2:$F$500,0))="sin dato","",INDEX(CODIFICACION!$E$2:$E$500,MATCH("D4.17|"&amp;CAPTURA!BN91,CODIFICACION!$F$2:$F$500,0))),"⚠"))</f>
        <v/>
      </c>
      <c r="AJ91" t="str">
        <f>IF(CAPTURA!BO91="","",IFERROR(IF(INDEX(CODIFICACION!$E$2:$E$500,MATCH("D4.15a|"&amp;CAPTURA!BO91,CODIFICACION!$F$2:$F$500,0))="sin dato","",INDEX(CODIFICACION!$E$2:$E$500,MATCH("D4.15a|"&amp;CAPTURA!BO91,CODIFICACION!$F$2:$F$500,0))),"⚠"))</f>
        <v/>
      </c>
      <c r="AK91" t="str">
        <f>IF(CAPTURA!BP91="","",IF(AND(ISNUMBER(CAPTURA!BP91),CAPTURA!BP91&gt;=0,CAPTURA!BP91&lt;=4),CAPTURA!BP91*25,"⚠"))</f>
        <v/>
      </c>
      <c r="AL91" t="str">
        <f>IF(CAPTURA!BQ91="","",IF(AND(ISNUMBER(CAPTURA!BQ91),CAPTURA!BQ91&gt;=0,CAPTURA!BQ91&lt;=4),CAPTURA!BQ91*25,"⚠"))</f>
        <v/>
      </c>
      <c r="AM91" t="str">
        <f>IF(CAPTURA!BR91="","",IFERROR(IF(INDEX(CODIFICACION!$E$2:$E$500,MATCH("D5.18b|"&amp;CAPTURA!BR91,CODIFICACION!$F$2:$F$500,0))="sin dato","",INDEX(CODIFICACION!$E$2:$E$500,MATCH("D5.18b|"&amp;CAPTURA!BR91,CODIFICACION!$F$2:$F$500,0))),"⚠"))</f>
        <v/>
      </c>
      <c r="AN91" t="str">
        <f>IF(CAPTURA!BS91="","",IFERROR(IF(INDEX(CODIFICACION!$E$2:$E$500,MATCH("D5.19|"&amp;CAPTURA!BS91,CODIFICACION!$F$2:$F$500,0))="sin dato","",INDEX(CODIFICACION!$E$2:$E$500,MATCH("D5.19|"&amp;CAPTURA!BS91,CODIFICACION!$F$2:$F$500,0))),"⚠"))</f>
        <v/>
      </c>
      <c r="AO91" t="str">
        <f>IF(CAPTURA!BT91="","",MIN(100,ROUND((LEN(CAPTURA!BT91)-LEN(SUBSTITUTE(CAPTURA!BT91,";",""))+1)/7*100,1)))</f>
        <v/>
      </c>
      <c r="AP91" t="str">
        <f>IF(CAPTURA!BU91="","",IFERROR(IF(INDEX(CODIFICACION!$E$2:$E$500,MATCH("D5.20|"&amp;CAPTURA!BU91,CODIFICACION!$F$2:$F$500,0))="sin dato","",INDEX(CODIFICACION!$E$2:$E$500,MATCH("D5.20|"&amp;CAPTURA!BU91,CODIFICACION!$F$2:$F$500,0))),"⚠"))</f>
        <v/>
      </c>
      <c r="AQ91" t="str">
        <f>IF(CAPTURA!BV91="","",IFERROR(IF(INDEX(CODIFICACION!$E$2:$E$500,MATCH("D5.21|"&amp;CAPTURA!BV91,CODIFICACION!$F$2:$F$500,0))="sin dato","",INDEX(CODIFICACION!$E$2:$E$500,MATCH("D5.21|"&amp;CAPTURA!BV91,CODIFICACION!$F$2:$F$500,0))),"⚠"))</f>
        <v/>
      </c>
      <c r="AR91" t="str">
        <f>IF(CAPTURA!BW91="","",IFERROR(IF(INDEX(CODIFICACION!$E$2:$E$500,MATCH("D5.21a|"&amp;CAPTURA!BW91,CODIFICACION!$F$2:$F$500,0))="sin dato","",INDEX(CODIFICACION!$E$2:$E$500,MATCH("D5.21a|"&amp;CAPTURA!BW91,CODIFICACION!$F$2:$F$500,0))),"⚠"))</f>
        <v/>
      </c>
      <c r="AS91" t="str">
        <f>IF(CAPTURA!BX91="","",IFERROR(IF(INDEX(CODIFICACION!$E$2:$E$500,MATCH("D5.21b|"&amp;CAPTURA!BX91,CODIFICACION!$F$2:$F$500,0))="sin dato","",INDEX(CODIFICACION!$E$2:$E$500,MATCH("D5.21b|"&amp;CAPTURA!BX91,CODIFICACION!$F$2:$F$500,0))),"⚠"))</f>
        <v/>
      </c>
      <c r="AT91" t="str">
        <f>IF(CAPTURA!BY91="","",IFERROR(IF(INDEX(CODIFICACION!$E$2:$E$500,MATCH("D6.22|"&amp;CAPTURA!BY91,CODIFICACION!$F$2:$F$500,0))="sin dato","",INDEX(CODIFICACION!$E$2:$E$500,MATCH("D6.22|"&amp;CAPTURA!BY91,CODIFICACION!$F$2:$F$500,0))),"⚠"))</f>
        <v/>
      </c>
      <c r="AU91" t="str">
        <f>IF(CAPTURA!BZ91="","",IFERROR(IF(INDEX(CODIFICACION!$E$2:$E$500,MATCH("D6.22a|"&amp;CAPTURA!BZ91,CODIFICACION!$F$2:$F$500,0))="sin dato","",INDEX(CODIFICACION!$E$2:$E$500,MATCH("D6.22a|"&amp;CAPTURA!BZ91,CODIFICACION!$F$2:$F$500,0))),"⚠"))</f>
        <v/>
      </c>
      <c r="AV91" t="str">
        <f>IF(CAPTURA!CA91="","",IFERROR(IF(INDEX(CODIFICACION!$E$2:$E$500,MATCH("D6.22b|"&amp;CAPTURA!CA91,CODIFICACION!$F$2:$F$500,0))="sin dato","",INDEX(CODIFICACION!$E$2:$E$500,MATCH("D6.22b|"&amp;CAPTURA!CA91,CODIFICACION!$F$2:$F$500,0))),"⚠"))</f>
        <v/>
      </c>
      <c r="AW91" t="str">
        <f>IF(CAPTURA!CB91="","",IFERROR(IF(INDEX(CODIFICACION!$E$2:$E$500,MATCH("D6.23|"&amp;CAPTURA!CB91,CODIFICACION!$F$2:$F$500,0))="sin dato","",INDEX(CODIFICACION!$E$2:$E$500,MATCH("D6.23|"&amp;CAPTURA!CB91,CODIFICACION!$F$2:$F$500,0))),"⚠"))</f>
        <v/>
      </c>
      <c r="AX91" t="str">
        <f>IF(CAPTURA!CC91="","",IFERROR(IF(INDEX(CODIFICACION!$E$2:$E$500,MATCH("D6.24|"&amp;CAPTURA!CC91,CODIFICACION!$F$2:$F$500,0))="sin dato","",INDEX(CODIFICACION!$E$2:$E$500,MATCH("D6.24|"&amp;CAPTURA!CC91,CODIFICACION!$F$2:$F$500,0))),"⚠"))</f>
        <v/>
      </c>
      <c r="AY91" t="str">
        <f>IF(CAPTURA!CD91="","",IFERROR(IF(INDEX(CODIFICACION!$E$2:$E$500,MATCH("D6.25|"&amp;CAPTURA!CD91,CODIFICACION!$F$2:$F$500,0))="sin dato","",INDEX(CODIFICACION!$E$2:$E$500,MATCH("D6.25|"&amp;CAPTURA!CD91,CODIFICACION!$F$2:$F$500,0))),"⚠"))</f>
        <v/>
      </c>
      <c r="AZ91" t="str">
        <f>IF(CAPTURA!CE91="","",IFERROR(IF(INDEX(CODIFICACION!$E$2:$E$500,MATCH("D6.25a|"&amp;CAPTURA!CE91,CODIFICACION!$F$2:$F$500,0))="sin dato","",INDEX(CODIFICACION!$E$2:$E$500,MATCH("D6.25a|"&amp;CAPTURA!CE91,CODIFICACION!$F$2:$F$500,0))),"⚠"))</f>
        <v/>
      </c>
      <c r="BA91" t="str">
        <f>IF(CAPTURA!CF91="","",IFERROR(IF(INDEX(CODIFICACION!$E$2:$E$500,MATCH("D6.25b|"&amp;CAPTURA!CF91,CODIFICACION!$F$2:$F$500,0))="sin dato","",INDEX(CODIFICACION!$E$2:$E$500,MATCH("D6.25b|"&amp;CAPTURA!CF91,CODIFICACION!$F$2:$F$500,0))),"⚠"))</f>
        <v/>
      </c>
      <c r="BB91" t="str">
        <f>IF(CAPTURA!CG91="","",IFERROR(IF(INDEX(CODIFICACION!$E$2:$E$500,MATCH("D6.22c|"&amp;CAPTURA!CG91,CODIFICACION!$F$2:$F$500,0))="sin dato","",INDEX(CODIFICACION!$E$2:$E$500,MATCH("D6.22c|"&amp;CAPTURA!CG91,CODIFICACION!$F$2:$F$500,0))),"⚠"))</f>
        <v/>
      </c>
      <c r="BC91" t="str">
        <f>IF(CAPTURA!CH91="","",IFERROR(IF(INDEX(CODIFICACION!$E$2:$E$500,MATCH("D7.26|"&amp;CAPTURA!CH91,CODIFICACION!$F$2:$F$500,0))="sin dato","",INDEX(CODIFICACION!$E$2:$E$500,MATCH("D7.26|"&amp;CAPTURA!CH91,CODIFICACION!$F$2:$F$500,0))),"⚠"))</f>
        <v/>
      </c>
      <c r="BD91" t="str">
        <f>IF(CAPTURA!CI91="","",IFERROR(IF(INDEX(CODIFICACION!$E$2:$E$500,MATCH("D7.27|"&amp;CAPTURA!CI91,CODIFICACION!$F$2:$F$500,0))="sin dato","",INDEX(CODIFICACION!$E$2:$E$500,MATCH("D7.27|"&amp;CAPTURA!CI91,CODIFICACION!$F$2:$F$500,0))),"⚠"))</f>
        <v/>
      </c>
      <c r="BE91" t="str">
        <f>IF(CAPTURA!CJ91="","",IFERROR(IF(INDEX(CODIFICACION!$E$2:$E$500,MATCH("D7.28|"&amp;CAPTURA!CJ91,CODIFICACION!$F$2:$F$500,0))="sin dato","",INDEX(CODIFICACION!$E$2:$E$500,MATCH("D7.28|"&amp;CAPTURA!CJ91,CODIFICACION!$F$2:$F$500,0))),"⚠"))</f>
        <v/>
      </c>
      <c r="BF91" t="str">
        <f>IF(CAPTURA!CK91="","",IFERROR(IF(INDEX(CODIFICACION!$E$2:$E$500,MATCH("D7.28b|"&amp;CAPTURA!CK91,CODIFICACION!$F$2:$F$500,0))="sin dato","",INDEX(CODIFICACION!$E$2:$E$500,MATCH("D7.28b|"&amp;CAPTURA!CK91,CODIFICACION!$F$2:$F$500,0))),"⚠"))</f>
        <v/>
      </c>
      <c r="BG91" t="str">
        <f>IF(CAPTURA!CL91="","",MIN(100,ROUND((LEN(CAPTURA!CL91)-LEN(SUBSTITUTE(CAPTURA!CL91,";",""))+1)/8*100,1)))</f>
        <v/>
      </c>
      <c r="BH91" t="str">
        <f>IF(CAPTURA!CM91="","",IFERROR(IF(INDEX(CODIFICACION!$E$2:$E$500,MATCH("D7.26a|"&amp;CAPTURA!CM91,CODIFICACION!$F$2:$F$500,0))="sin dato","",INDEX(CODIFICACION!$E$2:$E$500,MATCH("D7.26a|"&amp;CAPTURA!CM91,CODIFICACION!$F$2:$F$500,0))),"⚠"))</f>
        <v/>
      </c>
      <c r="BI91" t="str">
        <f>IF(CAPTURA!CN91="","",IFERROR(IF(INDEX(CODIFICACION!$E$2:$E$500,MATCH("D7.26b|"&amp;CAPTURA!CN91,CODIFICACION!$F$2:$F$500,0))="sin dato","",INDEX(CODIFICACION!$E$2:$E$500,MATCH("D7.26b|"&amp;CAPTURA!CN91,CODIFICACION!$F$2:$F$500,0))),"⚠"))</f>
        <v/>
      </c>
      <c r="BJ91" t="str">
        <f>IF(CAPTURA!CO91="","",IF(AND(ISNUMBER(CAPTURA!CO91),CAPTURA!CO91&gt;=0,CAPTURA!CO91&lt;=4),CAPTURA!CO91*25,"⚠"))</f>
        <v/>
      </c>
      <c r="BK91" t="str">
        <f>IF(CAPTURA!CP91="","",IF(ISNUMBER(CAPTURA!CP91),MAX(0,MIN(100,CAPTURA!CP91)),"⚠"))</f>
        <v/>
      </c>
      <c r="BL91" t="str">
        <f>IF(CAPTURA!CQ91="","",IFERROR(IF(INDEX(CODIFICACION!$E$2:$E$500,MATCH("D8.31|"&amp;CAPTURA!CQ91,CODIFICACION!$F$2:$F$500,0))="sin dato","",INDEX(CODIFICACION!$E$2:$E$500,MATCH("D8.31|"&amp;CAPTURA!CQ91,CODIFICACION!$F$2:$F$500,0))),"⚠"))</f>
        <v/>
      </c>
      <c r="BM91" t="str">
        <f>IF(CAPTURA!CR91="","",IFERROR(IF(INDEX(CODIFICACION!$E$2:$E$500,MATCH("D8.32|"&amp;CAPTURA!CR91,CODIFICACION!$F$2:$F$500,0))="sin dato","",INDEX(CODIFICACION!$E$2:$E$500,MATCH("D8.32|"&amp;CAPTURA!CR91,CODIFICACION!$F$2:$F$500,0))),"⚠"))</f>
        <v/>
      </c>
      <c r="BN91" t="str">
        <f>IF(CAPTURA!CS91="","",IFERROR(IF(INDEX(CODIFICACION!$E$2:$E$500,MATCH("D9.33|"&amp;CAPTURA!CS91,CODIFICACION!$F$2:$F$500,0))="sin dato","",INDEX(CODIFICACION!$E$2:$E$500,MATCH("D9.33|"&amp;CAPTURA!CS91,CODIFICACION!$F$2:$F$500,0))),"⚠"))</f>
        <v/>
      </c>
      <c r="BO91" t="str">
        <f>IF(CAPTURA!CT91="","",IFERROR(IF(INDEX(CODIFICACION!$E$2:$E$500,MATCH("D9.34|"&amp;CAPTURA!CT91,CODIFICACION!$F$2:$F$500,0))="sin dato","",INDEX(CODIFICACION!$E$2:$E$500,MATCH("D9.34|"&amp;CAPTURA!CT91,CODIFICACION!$F$2:$F$500,0))),"⚠"))</f>
        <v/>
      </c>
      <c r="BP91" t="str">
        <f>IF(CAPTURA!CU91="","",IFERROR(IF(INDEX(CODIFICACION!$E$2:$E$500,MATCH("D9.35|"&amp;CAPTURA!CU91,CODIFICACION!$F$2:$F$500,0))="sin dato","",INDEX(CODIFICACION!$E$2:$E$500,MATCH("D9.35|"&amp;CAPTURA!CU91,CODIFICACION!$F$2:$F$500,0))),"⚠"))</f>
        <v/>
      </c>
      <c r="BQ91" t="str">
        <f>IF(CAPTURA!CV91="","",IFERROR(IF(INDEX(CODIFICACION!$E$2:$E$500,MATCH("D10.36|"&amp;CAPTURA!CV91,CODIFICACION!$F$2:$F$500,0))="sin dato","",INDEX(CODIFICACION!$E$2:$E$500,MATCH("D10.36|"&amp;CAPTURA!CV91,CODIFICACION!$F$2:$F$500,0))),"⚠"))</f>
        <v/>
      </c>
      <c r="BR91" t="str">
        <f>IF(CAPTURA!CW91="","",IFERROR(IF(INDEX(CODIFICACION!$E$2:$E$500,MATCH("D10.37|"&amp;CAPTURA!CW91,CODIFICACION!$F$2:$F$500,0))="sin dato","",INDEX(CODIFICACION!$E$2:$E$500,MATCH("D10.37|"&amp;CAPTURA!CW91,CODIFICACION!$F$2:$F$500,0))),"⚠"))</f>
        <v/>
      </c>
      <c r="BS91" t="str">
        <f>IF(CAPTURA!CX91="","",IFERROR(IF(INDEX(CODIFICACION!$E$2:$E$500,MATCH("D10.36a|"&amp;CAPTURA!CX91,CODIFICACION!$F$2:$F$500,0))="sin dato","",INDEX(CODIFICACION!$E$2:$E$500,MATCH("D10.36a|"&amp;CAPTURA!CX91,CODIFICACION!$F$2:$F$500,0))),"⚠"))</f>
        <v/>
      </c>
      <c r="BT91" t="str">
        <f>IF(CAPTURA!CY91="","",IF(ISNUMBER(SEARCH("Ninguno",CAPTURA!CY91)),0,MIN(100,ROUND((LEN(CAPTURA!CY91)-LEN(SUBSTITUTE(CAPTURA!CY91,";",""))+1)/6*100,1))))</f>
        <v/>
      </c>
      <c r="BU91" t="str">
        <f>IF(CAPTURA!DA91="","",IFERROR(IF(INDEX(CODIFICACION!$E$2:$E$500,MATCH("D11.39a|"&amp;CAPTURA!DA91,CODIFICACION!$F$2:$F$500,0))="sin dato","",INDEX(CODIFICACION!$E$2:$E$500,MATCH("D11.39a|"&amp;CAPTURA!DA91,CODIFICACION!$F$2:$F$500,0))),"⚠"))</f>
        <v/>
      </c>
      <c r="BV91" t="str">
        <f>IF(CAPTURA!DB91="","",IFERROR(IF(INDEX(CODIFICACION!$E$2:$E$500,MATCH("D12.42|"&amp;CAPTURA!DB91,CODIFICACION!$F$2:$F$500,0))="sin dato","",INDEX(CODIFICACION!$E$2:$E$500,MATCH("D12.42|"&amp;CAPTURA!DB91,CODIFICACION!$F$2:$F$500,0))),"⚠"))</f>
        <v/>
      </c>
      <c r="BW91" t="str">
        <f>IF(CAPTURA!DC91="","",IFERROR(IF(INDEX(CODIFICACION!$E$2:$E$500,MATCH("D13.45|"&amp;CAPTURA!DC91,CODIFICACION!$F$2:$F$500,0))="sin dato","",INDEX(CODIFICACION!$E$2:$E$500,MATCH("D13.45|"&amp;CAPTURA!DC91,CODIFICACION!$F$2:$F$500,0))),"⚠"))</f>
        <v/>
      </c>
      <c r="BX91" t="str">
        <f>IF(CAPTURA!DD91="","",IFERROR(IF(INDEX(CODIFICACION!$E$2:$E$500,MATCH("D14.51|"&amp;CAPTURA!DD91,CODIFICACION!$F$2:$F$500,0))="sin dato","",INDEX(CODIFICACION!$E$2:$E$500,MATCH("D14.51|"&amp;CAPTURA!DD91,CODIFICACION!$F$2:$F$500,0))),"⚠"))</f>
        <v/>
      </c>
      <c r="BY91" t="str">
        <f>IF(CAPTURA!DE91="","",IFERROR(IF(INDEX(CODIFICACION!$E$2:$E$500,MATCH("D15.58|"&amp;CAPTURA!DE91,CODIFICACION!$F$2:$F$500,0))="sin dato","",INDEX(CODIFICACION!$E$2:$E$500,MATCH("D15.58|"&amp;CAPTURA!DE91,CODIFICACION!$F$2:$F$500,0))),"⚠"))</f>
        <v/>
      </c>
      <c r="BZ91" t="str">
        <f>IF(CAPTURA!DF91="","",IFERROR(IF(INDEX(CODIFICACION!$E$2:$E$500,MATCH("PP1|"&amp;CAPTURA!DF91,CODIFICACION!$F$2:$F$500,0))="sin dato","",INDEX(CODIFICACION!$E$2:$E$500,MATCH("PP1|"&amp;CAPTURA!DF91,CODIFICACION!$F$2:$F$500,0))),"⚠"))</f>
        <v/>
      </c>
      <c r="CA91" t="str">
        <f>IF(CAPTURA!DG91="","",IFERROR(IF(INDEX(CODIFICACION!$E$2:$E$500,MATCH("PP2|"&amp;CAPTURA!DG91,CODIFICACION!$F$2:$F$500,0))="sin dato","",INDEX(CODIFICACION!$E$2:$E$500,MATCH("PP2|"&amp;CAPTURA!DG91,CODIFICACION!$F$2:$F$500,0))),"⚠"))</f>
        <v/>
      </c>
      <c r="CB91" t="str">
        <f t="shared" si="22"/>
        <v/>
      </c>
      <c r="CC91" t="str">
        <f t="shared" si="23"/>
        <v/>
      </c>
      <c r="CD91" t="str">
        <f t="shared" si="24"/>
        <v/>
      </c>
      <c r="CE91" t="str">
        <f t="shared" si="25"/>
        <v/>
      </c>
      <c r="CF91" t="str">
        <f t="shared" si="26"/>
        <v/>
      </c>
      <c r="CG91" t="str">
        <f t="shared" si="27"/>
        <v/>
      </c>
      <c r="CH91" t="str">
        <f t="shared" si="28"/>
        <v/>
      </c>
      <c r="CI91" t="str">
        <f t="shared" si="29"/>
        <v/>
      </c>
      <c r="CJ91" t="str">
        <f t="shared" si="30"/>
        <v/>
      </c>
      <c r="CK91" t="str">
        <f t="shared" si="31"/>
        <v/>
      </c>
      <c r="CL91" t="str">
        <f t="shared" si="32"/>
        <v/>
      </c>
    </row>
    <row r="92" spans="1:90" x14ac:dyDescent="0.3">
      <c r="A92">
        <f>CAPTURA!A92</f>
        <v>20570706927</v>
      </c>
      <c r="B92">
        <f>CAPTURA!C92</f>
        <v>0</v>
      </c>
      <c r="C92" t="str">
        <f>IF(CAPTURA!M92="","",ROUND((ISNUMBER(SEARCH("Alemania",CAPTURA!M92))+ISNUMBER(SEARCH("Bélgica",CAPTURA!M92))+ISNUMBER(SEARCH("Países Bajos",CAPTURA!M92))+ISNUMBER(SEARCH("Francia",CAPTURA!M92))+ISNUMBER(SEARCH("Italia",CAPTURA!M92))+ISNUMBER(SEARCH("España",CAPTURA!M92))+ISNUMBER(SEARCH("Suecia",CAPTURA!M92))+ISNUMBER(SEARCH("Dinamarca",CAPTURA!M92)))/((LEN(CAPTURA!M92)-LEN(SUBSTITUTE(CAPTURA!M92,";","")))+1)*100,1))</f>
        <v/>
      </c>
      <c r="D92" t="str">
        <f>IF(CAPTURA!AE92="","",IFERROR(IF(INDEX(CODIFICACION!$E$2:$E$500,MATCH("P8|"&amp;CAPTURA!AE92,CODIFICACION!$F$2:$F$500,0))="sin dato","",INDEX(CODIFICACION!$E$2:$E$500,MATCH("P8|"&amp;CAPTURA!AE92,CODIFICACION!$F$2:$F$500,0))),"⚠"))</f>
        <v/>
      </c>
      <c r="E92" t="str">
        <f>IF(CAPTURA!AG92="","",IFERROR(IF(INDEX(CODIFICACION!$E$2:$E$500,MATCH("P10|"&amp;CAPTURA!AG92,CODIFICACION!$F$2:$F$500,0))="sin dato","",INDEX(CODIFICACION!$E$2:$E$500,MATCH("P10|"&amp;CAPTURA!AG92,CODIFICACION!$F$2:$F$500,0))),"⚠"))</f>
        <v/>
      </c>
      <c r="F92" t="str">
        <f>IF(CAPTURA!AJ92="","",IFERROR(IF(INDEX(CODIFICACION!$E$2:$E$500,MATCH("P13|"&amp;CAPTURA!AJ92,CODIFICACION!$F$2:$F$500,0))="sin dato","",INDEX(CODIFICACION!$E$2:$E$500,MATCH("P13|"&amp;CAPTURA!AJ92,CODIFICACION!$F$2:$F$500,0))),"⚠"))</f>
        <v/>
      </c>
      <c r="G92" t="str">
        <f>IF(CAPTURA!AK92="","",IFERROR(IF(INDEX(CODIFICACION!$E$2:$E$500,MATCH("P14|"&amp;CAPTURA!AK92,CODIFICACION!$F$2:$F$500,0))="sin dato","",INDEX(CODIFICACION!$E$2:$E$500,MATCH("P14|"&amp;CAPTURA!AK92,CODIFICACION!$F$2:$F$500,0))),"⚠"))</f>
        <v/>
      </c>
      <c r="H92" t="str">
        <f>IF(CAPTURA!AL92="","",IFERROR(IF(INDEX(CODIFICACION!$E$2:$E$500,MATCH("D1.1|"&amp;CAPTURA!AL92,CODIFICACION!$F$2:$F$500,0))="sin dato","",INDEX(CODIFICACION!$E$2:$E$500,MATCH("D1.1|"&amp;CAPTURA!AL92,CODIFICACION!$F$2:$F$500,0))),"⚠"))</f>
        <v/>
      </c>
      <c r="I92" t="str">
        <f>IF(CAPTURA!AN92="","",IFERROR(IF(INDEX(CODIFICACION!$E$2:$E$500,MATCH("D1.3|"&amp;CAPTURA!AN92,CODIFICACION!$F$2:$F$500,0))="sin dato","",INDEX(CODIFICACION!$E$2:$E$500,MATCH("D1.3|"&amp;CAPTURA!AN92,CODIFICACION!$F$2:$F$500,0))),"⚠"))</f>
        <v/>
      </c>
      <c r="J92" t="str">
        <f>IF(CAPTURA!AO92="","",IFERROR(IF(INDEX(CODIFICACION!$E$2:$E$500,MATCH("D1.4|"&amp;CAPTURA!AO92,CODIFICACION!$F$2:$F$500,0))="sin dato","",INDEX(CODIFICACION!$E$2:$E$500,MATCH("D1.4|"&amp;CAPTURA!AO92,CODIFICACION!$F$2:$F$500,0))),"⚠"))</f>
        <v/>
      </c>
      <c r="K92" t="str">
        <f>IF(CAPTURA!AP92="","",IFERROR(IF(INDEX(CODIFICACION!$E$2:$E$500,MATCH("D1.3a|"&amp;CAPTURA!AP92,CODIFICACION!$F$2:$F$500,0))="sin dato","",INDEX(CODIFICACION!$E$2:$E$500,MATCH("D1.3a|"&amp;CAPTURA!AP92,CODIFICACION!$F$2:$F$500,0))),"⚠"))</f>
        <v/>
      </c>
      <c r="L92" t="str">
        <f>IF(CAPTURA!AQ92="","",IF(AND(ISNUMBER(CAPTURA!AQ92),CAPTURA!AQ92&gt;=0,CAPTURA!AQ92&lt;=4),CAPTURA!AQ92*25,"⚠"))</f>
        <v/>
      </c>
      <c r="M92" t="str">
        <f>IF(CAPTURA!AR92="","",IF(ISNUMBER(CAPTURA!AR92),MAX(0,MIN(100,CAPTURA!AR92)),"⚠"))</f>
        <v/>
      </c>
      <c r="N92" t="str">
        <f>IF(CAPTURA!AS92="","",IF(AND(ISNUMBER(CAPTURA!AS92),CAPTURA!AS92&gt;=0,CAPTURA!AS92&lt;=4),CAPTURA!AS92*25,"⚠"))</f>
        <v/>
      </c>
      <c r="O92" t="str">
        <f>IF(CAPTURA!AT92="","",IFERROR(IF(INDEX(CODIFICACION!$E$2:$E$500,MATCH("D2.8|"&amp;CAPTURA!AT92,CODIFICACION!$F$2:$F$500,0))="sin dato","",INDEX(CODIFICACION!$E$2:$E$500,MATCH("D2.8|"&amp;CAPTURA!AT92,CODIFICACION!$F$2:$F$500,0))),"⚠"))</f>
        <v/>
      </c>
      <c r="P92" t="str">
        <f>IF(CAPTURA!AU92="","",IFERROR(IF(INDEX(CODIFICACION!$E$2:$E$500,MATCH("D2.9|"&amp;CAPTURA!AU92,CODIFICACION!$F$2:$F$500,0))="sin dato","",INDEX(CODIFICACION!$E$2:$E$500,MATCH("D2.9|"&amp;CAPTURA!AU92,CODIFICACION!$F$2:$F$500,0))),"⚠"))</f>
        <v/>
      </c>
      <c r="Q92" t="str">
        <f>IF(CAPTURA!AV92="","",IFERROR(IF(INDEX(CODIFICACION!$E$2:$E$500,MATCH("D2.10|"&amp;CAPTURA!AV92,CODIFICACION!$F$2:$F$500,0))="sin dato","",INDEX(CODIFICACION!$E$2:$E$500,MATCH("D2.10|"&amp;CAPTURA!AV92,CODIFICACION!$F$2:$F$500,0))),"⚠"))</f>
        <v/>
      </c>
      <c r="R92" t="str">
        <f>IF(CAPTURA!AW92="","",IFERROR(IF(INDEX(CODIFICACION!$E$2:$E$500,MATCH("D2.5a|"&amp;CAPTURA!AW92,CODIFICACION!$F$2:$F$500,0))="sin dato","",INDEX(CODIFICACION!$E$2:$E$500,MATCH("D2.5a|"&amp;CAPTURA!AW92,CODIFICACION!$F$2:$F$500,0))),"⚠"))</f>
        <v/>
      </c>
      <c r="S92" t="str">
        <f>IF(CAPTURA!AX92="","",IFERROR(IF(INDEX(CODIFICACION!$E$2:$E$500,MATCH("D2.5b|"&amp;CAPTURA!AX92,CODIFICACION!$F$2:$F$500,0))="sin dato","",INDEX(CODIFICACION!$E$2:$E$500,MATCH("D2.5b|"&amp;CAPTURA!AX92,CODIFICACION!$F$2:$F$500,0))),"⚠"))</f>
        <v/>
      </c>
      <c r="T92" t="str">
        <f>IF(CAPTURA!AY92="","",IF(ISNUMBER(CAPTURA!AY92),MAX(0,MIN(100,CAPTURA!AY92)),"⚠"))</f>
        <v/>
      </c>
      <c r="U92" t="str">
        <f>IF(CAPTURA!AZ92="","",IFERROR(IF(INDEX(CODIFICACION!$E$2:$E$500,MATCH("D3.12|"&amp;CAPTURA!AZ92,CODIFICACION!$F$2:$F$500,0))="sin dato","",INDEX(CODIFICACION!$E$2:$E$500,MATCH("D3.12|"&amp;CAPTURA!AZ92,CODIFICACION!$F$2:$F$500,0))),"⚠"))</f>
        <v/>
      </c>
      <c r="V92" t="str">
        <f>IF(CAPTURA!BA92="","",IF(AND(ISNUMBER(CAPTURA!BA92),CAPTURA!BA92&gt;=0,CAPTURA!BA92&lt;=4),CAPTURA!BA92*25,"⚠"))</f>
        <v/>
      </c>
      <c r="W92" t="str">
        <f>IF(CAPTURA!BB92="","",IFERROR(IF(INDEX(CODIFICACION!$E$2:$E$500,MATCH("D3.14|"&amp;CAPTURA!BB92,CODIFICACION!$F$2:$F$500,0))="sin dato","",INDEX(CODIFICACION!$E$2:$E$500,MATCH("D3.14|"&amp;CAPTURA!BB92,CODIFICACION!$F$2:$F$500,0))),"⚠"))</f>
        <v/>
      </c>
      <c r="X92" t="str">
        <f>IF(CAPTURA!BC92="","",IFERROR(IF(INDEX(CODIFICACION!$E$2:$E$500,MATCH("D3.14a|"&amp;CAPTURA!BC92,CODIFICACION!$F$2:$F$500,0))="sin dato","",INDEX(CODIFICACION!$E$2:$E$500,MATCH("D3.14a|"&amp;CAPTURA!BC92,CODIFICACION!$F$2:$F$500,0))),"⚠"))</f>
        <v/>
      </c>
      <c r="Y92" t="str">
        <f>IF(CAPTURA!BD92="","",IFERROR(IF(INDEX(CODIFICACION!$E$2:$E$500,MATCH("D3.14b|"&amp;CAPTURA!BD92,CODIFICACION!$F$2:$F$500,0))="sin dato","",INDEX(CODIFICACION!$E$2:$E$500,MATCH("D3.14b|"&amp;CAPTURA!BD92,CODIFICACION!$F$2:$F$500,0))),"⚠"))</f>
        <v/>
      </c>
      <c r="Z92" t="str">
        <f>IF(CAPTURA!BE92="","",IFERROR(IF(INDEX(CODIFICACION!$E$2:$E$500,MATCH("D3.14c|"&amp;CAPTURA!BE92,CODIFICACION!$F$2:$F$500,0))="sin dato","",INDEX(CODIFICACION!$E$2:$E$500,MATCH("D3.14c|"&amp;CAPTURA!BE92,CODIFICACION!$F$2:$F$500,0))),"⚠"))</f>
        <v/>
      </c>
      <c r="AA92" t="str">
        <f>IF(CAPTURA!BF92="","",IFERROR(IF(INDEX(CODIFICACION!$E$2:$E$500,MATCH("D3.14d|"&amp;CAPTURA!BF92,CODIFICACION!$F$2:$F$500,0))="sin dato","",INDEX(CODIFICACION!$E$2:$E$500,MATCH("D3.14d|"&amp;CAPTURA!BF92,CODIFICACION!$F$2:$F$500,0))),"⚠"))</f>
        <v/>
      </c>
      <c r="AB92" t="str">
        <f>IF(CAPTURA!BG92="","",IFERROR(IF(INDEX(CODIFICACION!$E$2:$E$500,MATCH("D3.14e|"&amp;CAPTURA!BG92,CODIFICACION!$F$2:$F$500,0))="sin dato","",INDEX(CODIFICACION!$E$2:$E$500,MATCH("D3.14e|"&amp;CAPTURA!BG92,CODIFICACION!$F$2:$F$500,0))),"⚠"))</f>
        <v/>
      </c>
      <c r="AC92" t="str">
        <f>IF(CAPTURA!BH92="","",IFERROR(IF(INDEX(CODIFICACION!$E$2:$E$500,MATCH("D3.14f|"&amp;CAPTURA!BH92,CODIFICACION!$F$2:$F$500,0))="sin dato","",INDEX(CODIFICACION!$E$2:$E$500,MATCH("D3.14f|"&amp;CAPTURA!BH92,CODIFICACION!$F$2:$F$500,0))),"⚠"))</f>
        <v/>
      </c>
      <c r="AD92" t="str">
        <f>IF(CAPTURA!BI92="","",IFERROR(IF(INDEX(CODIFICACION!$E$2:$E$500,MATCH("D3.14g|"&amp;CAPTURA!BI92,CODIFICACION!$F$2:$F$500,0))="sin dato","",INDEX(CODIFICACION!$E$2:$E$500,MATCH("D3.14g|"&amp;CAPTURA!BI92,CODIFICACION!$F$2:$F$500,0))),"⚠"))</f>
        <v/>
      </c>
      <c r="AE92" t="str">
        <f>IF(CAPTURA!BJ92="","",IFERROR(IF(INDEX(CODIFICACION!$E$2:$E$500,MATCH("D3.14h|"&amp;CAPTURA!BJ92,CODIFICACION!$F$2:$F$500,0))="sin dato","",INDEX(CODIFICACION!$E$2:$E$500,MATCH("D3.14h|"&amp;CAPTURA!BJ92,CODIFICACION!$F$2:$F$500,0))),"⚠"))</f>
        <v/>
      </c>
      <c r="AF92" t="str">
        <f>IF(CAPTURA!BK92="","",IFERROR(IF(INDEX(CODIFICACION!$E$2:$E$500,MATCH("D3.14i|"&amp;CAPTURA!BK92,CODIFICACION!$F$2:$F$500,0))="sin dato","",INDEX(CODIFICACION!$E$2:$E$500,MATCH("D3.14i|"&amp;CAPTURA!BK92,CODIFICACION!$F$2:$F$500,0))),"⚠"))</f>
        <v/>
      </c>
      <c r="AG92" t="str">
        <f>IF(CAPTURA!BL92="","",IFERROR(IF(INDEX(CODIFICACION!$E$2:$E$500,MATCH("D4.15|"&amp;CAPTURA!BL92,CODIFICACION!$F$2:$F$500,0))="sin dato","",INDEX(CODIFICACION!$E$2:$E$500,MATCH("D4.15|"&amp;CAPTURA!BL92,CODIFICACION!$F$2:$F$500,0))),"⚠"))</f>
        <v/>
      </c>
      <c r="AH92" t="str">
        <f>IF(CAPTURA!BM92="","",IF(AND(ISNUMBER(CAPTURA!BM92),CAPTURA!BM92&gt;=0,CAPTURA!BM92&lt;=4),CAPTURA!BM92*25,"⚠"))</f>
        <v/>
      </c>
      <c r="AI92" t="str">
        <f>IF(CAPTURA!BN92="","",IFERROR(IF(INDEX(CODIFICACION!$E$2:$E$500,MATCH("D4.17|"&amp;CAPTURA!BN92,CODIFICACION!$F$2:$F$500,0))="sin dato","",INDEX(CODIFICACION!$E$2:$E$500,MATCH("D4.17|"&amp;CAPTURA!BN92,CODIFICACION!$F$2:$F$500,0))),"⚠"))</f>
        <v/>
      </c>
      <c r="AJ92" t="str">
        <f>IF(CAPTURA!BO92="","",IFERROR(IF(INDEX(CODIFICACION!$E$2:$E$500,MATCH("D4.15a|"&amp;CAPTURA!BO92,CODIFICACION!$F$2:$F$500,0))="sin dato","",INDEX(CODIFICACION!$E$2:$E$500,MATCH("D4.15a|"&amp;CAPTURA!BO92,CODIFICACION!$F$2:$F$500,0))),"⚠"))</f>
        <v/>
      </c>
      <c r="AK92" t="str">
        <f>IF(CAPTURA!BP92="","",IF(AND(ISNUMBER(CAPTURA!BP92),CAPTURA!BP92&gt;=0,CAPTURA!BP92&lt;=4),CAPTURA!BP92*25,"⚠"))</f>
        <v/>
      </c>
      <c r="AL92" t="str">
        <f>IF(CAPTURA!BQ92="","",IF(AND(ISNUMBER(CAPTURA!BQ92),CAPTURA!BQ92&gt;=0,CAPTURA!BQ92&lt;=4),CAPTURA!BQ92*25,"⚠"))</f>
        <v/>
      </c>
      <c r="AM92" t="str">
        <f>IF(CAPTURA!BR92="","",IFERROR(IF(INDEX(CODIFICACION!$E$2:$E$500,MATCH("D5.18b|"&amp;CAPTURA!BR92,CODIFICACION!$F$2:$F$500,0))="sin dato","",INDEX(CODIFICACION!$E$2:$E$500,MATCH("D5.18b|"&amp;CAPTURA!BR92,CODIFICACION!$F$2:$F$500,0))),"⚠"))</f>
        <v/>
      </c>
      <c r="AN92" t="str">
        <f>IF(CAPTURA!BS92="","",IFERROR(IF(INDEX(CODIFICACION!$E$2:$E$500,MATCH("D5.19|"&amp;CAPTURA!BS92,CODIFICACION!$F$2:$F$500,0))="sin dato","",INDEX(CODIFICACION!$E$2:$E$500,MATCH("D5.19|"&amp;CAPTURA!BS92,CODIFICACION!$F$2:$F$500,0))),"⚠"))</f>
        <v/>
      </c>
      <c r="AO92" t="str">
        <f>IF(CAPTURA!BT92="","",MIN(100,ROUND((LEN(CAPTURA!BT92)-LEN(SUBSTITUTE(CAPTURA!BT92,";",""))+1)/7*100,1)))</f>
        <v/>
      </c>
      <c r="AP92" t="str">
        <f>IF(CAPTURA!BU92="","",IFERROR(IF(INDEX(CODIFICACION!$E$2:$E$500,MATCH("D5.20|"&amp;CAPTURA!BU92,CODIFICACION!$F$2:$F$500,0))="sin dato","",INDEX(CODIFICACION!$E$2:$E$500,MATCH("D5.20|"&amp;CAPTURA!BU92,CODIFICACION!$F$2:$F$500,0))),"⚠"))</f>
        <v/>
      </c>
      <c r="AQ92" t="str">
        <f>IF(CAPTURA!BV92="","",IFERROR(IF(INDEX(CODIFICACION!$E$2:$E$500,MATCH("D5.21|"&amp;CAPTURA!BV92,CODIFICACION!$F$2:$F$500,0))="sin dato","",INDEX(CODIFICACION!$E$2:$E$500,MATCH("D5.21|"&amp;CAPTURA!BV92,CODIFICACION!$F$2:$F$500,0))),"⚠"))</f>
        <v/>
      </c>
      <c r="AR92" t="str">
        <f>IF(CAPTURA!BW92="","",IFERROR(IF(INDEX(CODIFICACION!$E$2:$E$500,MATCH("D5.21a|"&amp;CAPTURA!BW92,CODIFICACION!$F$2:$F$500,0))="sin dato","",INDEX(CODIFICACION!$E$2:$E$500,MATCH("D5.21a|"&amp;CAPTURA!BW92,CODIFICACION!$F$2:$F$500,0))),"⚠"))</f>
        <v/>
      </c>
      <c r="AS92" t="str">
        <f>IF(CAPTURA!BX92="","",IFERROR(IF(INDEX(CODIFICACION!$E$2:$E$500,MATCH("D5.21b|"&amp;CAPTURA!BX92,CODIFICACION!$F$2:$F$500,0))="sin dato","",INDEX(CODIFICACION!$E$2:$E$500,MATCH("D5.21b|"&amp;CAPTURA!BX92,CODIFICACION!$F$2:$F$500,0))),"⚠"))</f>
        <v/>
      </c>
      <c r="AT92" t="str">
        <f>IF(CAPTURA!BY92="","",IFERROR(IF(INDEX(CODIFICACION!$E$2:$E$500,MATCH("D6.22|"&amp;CAPTURA!BY92,CODIFICACION!$F$2:$F$500,0))="sin dato","",INDEX(CODIFICACION!$E$2:$E$500,MATCH("D6.22|"&amp;CAPTURA!BY92,CODIFICACION!$F$2:$F$500,0))),"⚠"))</f>
        <v/>
      </c>
      <c r="AU92" t="str">
        <f>IF(CAPTURA!BZ92="","",IFERROR(IF(INDEX(CODIFICACION!$E$2:$E$500,MATCH("D6.22a|"&amp;CAPTURA!BZ92,CODIFICACION!$F$2:$F$500,0))="sin dato","",INDEX(CODIFICACION!$E$2:$E$500,MATCH("D6.22a|"&amp;CAPTURA!BZ92,CODIFICACION!$F$2:$F$500,0))),"⚠"))</f>
        <v/>
      </c>
      <c r="AV92" t="str">
        <f>IF(CAPTURA!CA92="","",IFERROR(IF(INDEX(CODIFICACION!$E$2:$E$500,MATCH("D6.22b|"&amp;CAPTURA!CA92,CODIFICACION!$F$2:$F$500,0))="sin dato","",INDEX(CODIFICACION!$E$2:$E$500,MATCH("D6.22b|"&amp;CAPTURA!CA92,CODIFICACION!$F$2:$F$500,0))),"⚠"))</f>
        <v/>
      </c>
      <c r="AW92" t="str">
        <f>IF(CAPTURA!CB92="","",IFERROR(IF(INDEX(CODIFICACION!$E$2:$E$500,MATCH("D6.23|"&amp;CAPTURA!CB92,CODIFICACION!$F$2:$F$500,0))="sin dato","",INDEX(CODIFICACION!$E$2:$E$500,MATCH("D6.23|"&amp;CAPTURA!CB92,CODIFICACION!$F$2:$F$500,0))),"⚠"))</f>
        <v/>
      </c>
      <c r="AX92" t="str">
        <f>IF(CAPTURA!CC92="","",IFERROR(IF(INDEX(CODIFICACION!$E$2:$E$500,MATCH("D6.24|"&amp;CAPTURA!CC92,CODIFICACION!$F$2:$F$500,0))="sin dato","",INDEX(CODIFICACION!$E$2:$E$500,MATCH("D6.24|"&amp;CAPTURA!CC92,CODIFICACION!$F$2:$F$500,0))),"⚠"))</f>
        <v/>
      </c>
      <c r="AY92" t="str">
        <f>IF(CAPTURA!CD92="","",IFERROR(IF(INDEX(CODIFICACION!$E$2:$E$500,MATCH("D6.25|"&amp;CAPTURA!CD92,CODIFICACION!$F$2:$F$500,0))="sin dato","",INDEX(CODIFICACION!$E$2:$E$500,MATCH("D6.25|"&amp;CAPTURA!CD92,CODIFICACION!$F$2:$F$500,0))),"⚠"))</f>
        <v/>
      </c>
      <c r="AZ92" t="str">
        <f>IF(CAPTURA!CE92="","",IFERROR(IF(INDEX(CODIFICACION!$E$2:$E$500,MATCH("D6.25a|"&amp;CAPTURA!CE92,CODIFICACION!$F$2:$F$500,0))="sin dato","",INDEX(CODIFICACION!$E$2:$E$500,MATCH("D6.25a|"&amp;CAPTURA!CE92,CODIFICACION!$F$2:$F$500,0))),"⚠"))</f>
        <v/>
      </c>
      <c r="BA92" t="str">
        <f>IF(CAPTURA!CF92="","",IFERROR(IF(INDEX(CODIFICACION!$E$2:$E$500,MATCH("D6.25b|"&amp;CAPTURA!CF92,CODIFICACION!$F$2:$F$500,0))="sin dato","",INDEX(CODIFICACION!$E$2:$E$500,MATCH("D6.25b|"&amp;CAPTURA!CF92,CODIFICACION!$F$2:$F$500,0))),"⚠"))</f>
        <v/>
      </c>
      <c r="BB92" t="str">
        <f>IF(CAPTURA!CG92="","",IFERROR(IF(INDEX(CODIFICACION!$E$2:$E$500,MATCH("D6.22c|"&amp;CAPTURA!CG92,CODIFICACION!$F$2:$F$500,0))="sin dato","",INDEX(CODIFICACION!$E$2:$E$500,MATCH("D6.22c|"&amp;CAPTURA!CG92,CODIFICACION!$F$2:$F$500,0))),"⚠"))</f>
        <v/>
      </c>
      <c r="BC92" t="str">
        <f>IF(CAPTURA!CH92="","",IFERROR(IF(INDEX(CODIFICACION!$E$2:$E$500,MATCH("D7.26|"&amp;CAPTURA!CH92,CODIFICACION!$F$2:$F$500,0))="sin dato","",INDEX(CODIFICACION!$E$2:$E$500,MATCH("D7.26|"&amp;CAPTURA!CH92,CODIFICACION!$F$2:$F$500,0))),"⚠"))</f>
        <v/>
      </c>
      <c r="BD92" t="str">
        <f>IF(CAPTURA!CI92="","",IFERROR(IF(INDEX(CODIFICACION!$E$2:$E$500,MATCH("D7.27|"&amp;CAPTURA!CI92,CODIFICACION!$F$2:$F$500,0))="sin dato","",INDEX(CODIFICACION!$E$2:$E$500,MATCH("D7.27|"&amp;CAPTURA!CI92,CODIFICACION!$F$2:$F$500,0))),"⚠"))</f>
        <v/>
      </c>
      <c r="BE92" t="str">
        <f>IF(CAPTURA!CJ92="","",IFERROR(IF(INDEX(CODIFICACION!$E$2:$E$500,MATCH("D7.28|"&amp;CAPTURA!CJ92,CODIFICACION!$F$2:$F$500,0))="sin dato","",INDEX(CODIFICACION!$E$2:$E$500,MATCH("D7.28|"&amp;CAPTURA!CJ92,CODIFICACION!$F$2:$F$500,0))),"⚠"))</f>
        <v/>
      </c>
      <c r="BF92" t="str">
        <f>IF(CAPTURA!CK92="","",IFERROR(IF(INDEX(CODIFICACION!$E$2:$E$500,MATCH("D7.28b|"&amp;CAPTURA!CK92,CODIFICACION!$F$2:$F$500,0))="sin dato","",INDEX(CODIFICACION!$E$2:$E$500,MATCH("D7.28b|"&amp;CAPTURA!CK92,CODIFICACION!$F$2:$F$500,0))),"⚠"))</f>
        <v/>
      </c>
      <c r="BG92" t="str">
        <f>IF(CAPTURA!CL92="","",MIN(100,ROUND((LEN(CAPTURA!CL92)-LEN(SUBSTITUTE(CAPTURA!CL92,";",""))+1)/8*100,1)))</f>
        <v/>
      </c>
      <c r="BH92" t="str">
        <f>IF(CAPTURA!CM92="","",IFERROR(IF(INDEX(CODIFICACION!$E$2:$E$500,MATCH("D7.26a|"&amp;CAPTURA!CM92,CODIFICACION!$F$2:$F$500,0))="sin dato","",INDEX(CODIFICACION!$E$2:$E$500,MATCH("D7.26a|"&amp;CAPTURA!CM92,CODIFICACION!$F$2:$F$500,0))),"⚠"))</f>
        <v/>
      </c>
      <c r="BI92" t="str">
        <f>IF(CAPTURA!CN92="","",IFERROR(IF(INDEX(CODIFICACION!$E$2:$E$500,MATCH("D7.26b|"&amp;CAPTURA!CN92,CODIFICACION!$F$2:$F$500,0))="sin dato","",INDEX(CODIFICACION!$E$2:$E$500,MATCH("D7.26b|"&amp;CAPTURA!CN92,CODIFICACION!$F$2:$F$500,0))),"⚠"))</f>
        <v/>
      </c>
      <c r="BJ92" t="str">
        <f>IF(CAPTURA!CO92="","",IF(AND(ISNUMBER(CAPTURA!CO92),CAPTURA!CO92&gt;=0,CAPTURA!CO92&lt;=4),CAPTURA!CO92*25,"⚠"))</f>
        <v/>
      </c>
      <c r="BK92" t="str">
        <f>IF(CAPTURA!CP92="","",IF(ISNUMBER(CAPTURA!CP92),MAX(0,MIN(100,CAPTURA!CP92)),"⚠"))</f>
        <v/>
      </c>
      <c r="BL92" t="str">
        <f>IF(CAPTURA!CQ92="","",IFERROR(IF(INDEX(CODIFICACION!$E$2:$E$500,MATCH("D8.31|"&amp;CAPTURA!CQ92,CODIFICACION!$F$2:$F$500,0))="sin dato","",INDEX(CODIFICACION!$E$2:$E$500,MATCH("D8.31|"&amp;CAPTURA!CQ92,CODIFICACION!$F$2:$F$500,0))),"⚠"))</f>
        <v/>
      </c>
      <c r="BM92" t="str">
        <f>IF(CAPTURA!CR92="","",IFERROR(IF(INDEX(CODIFICACION!$E$2:$E$500,MATCH("D8.32|"&amp;CAPTURA!CR92,CODIFICACION!$F$2:$F$500,0))="sin dato","",INDEX(CODIFICACION!$E$2:$E$500,MATCH("D8.32|"&amp;CAPTURA!CR92,CODIFICACION!$F$2:$F$500,0))),"⚠"))</f>
        <v/>
      </c>
      <c r="BN92" t="str">
        <f>IF(CAPTURA!CS92="","",IFERROR(IF(INDEX(CODIFICACION!$E$2:$E$500,MATCH("D9.33|"&amp;CAPTURA!CS92,CODIFICACION!$F$2:$F$500,0))="sin dato","",INDEX(CODIFICACION!$E$2:$E$500,MATCH("D9.33|"&amp;CAPTURA!CS92,CODIFICACION!$F$2:$F$500,0))),"⚠"))</f>
        <v/>
      </c>
      <c r="BO92" t="str">
        <f>IF(CAPTURA!CT92="","",IFERROR(IF(INDEX(CODIFICACION!$E$2:$E$500,MATCH("D9.34|"&amp;CAPTURA!CT92,CODIFICACION!$F$2:$F$500,0))="sin dato","",INDEX(CODIFICACION!$E$2:$E$500,MATCH("D9.34|"&amp;CAPTURA!CT92,CODIFICACION!$F$2:$F$500,0))),"⚠"))</f>
        <v/>
      </c>
      <c r="BP92" t="str">
        <f>IF(CAPTURA!CU92="","",IFERROR(IF(INDEX(CODIFICACION!$E$2:$E$500,MATCH("D9.35|"&amp;CAPTURA!CU92,CODIFICACION!$F$2:$F$500,0))="sin dato","",INDEX(CODIFICACION!$E$2:$E$500,MATCH("D9.35|"&amp;CAPTURA!CU92,CODIFICACION!$F$2:$F$500,0))),"⚠"))</f>
        <v/>
      </c>
      <c r="BQ92" t="str">
        <f>IF(CAPTURA!CV92="","",IFERROR(IF(INDEX(CODIFICACION!$E$2:$E$500,MATCH("D10.36|"&amp;CAPTURA!CV92,CODIFICACION!$F$2:$F$500,0))="sin dato","",INDEX(CODIFICACION!$E$2:$E$500,MATCH("D10.36|"&amp;CAPTURA!CV92,CODIFICACION!$F$2:$F$500,0))),"⚠"))</f>
        <v/>
      </c>
      <c r="BR92" t="str">
        <f>IF(CAPTURA!CW92="","",IFERROR(IF(INDEX(CODIFICACION!$E$2:$E$500,MATCH("D10.37|"&amp;CAPTURA!CW92,CODIFICACION!$F$2:$F$500,0))="sin dato","",INDEX(CODIFICACION!$E$2:$E$500,MATCH("D10.37|"&amp;CAPTURA!CW92,CODIFICACION!$F$2:$F$500,0))),"⚠"))</f>
        <v/>
      </c>
      <c r="BS92" t="str">
        <f>IF(CAPTURA!CX92="","",IFERROR(IF(INDEX(CODIFICACION!$E$2:$E$500,MATCH("D10.36a|"&amp;CAPTURA!CX92,CODIFICACION!$F$2:$F$500,0))="sin dato","",INDEX(CODIFICACION!$E$2:$E$500,MATCH("D10.36a|"&amp;CAPTURA!CX92,CODIFICACION!$F$2:$F$500,0))),"⚠"))</f>
        <v/>
      </c>
      <c r="BT92" t="str">
        <f>IF(CAPTURA!CY92="","",IF(ISNUMBER(SEARCH("Ninguno",CAPTURA!CY92)),0,MIN(100,ROUND((LEN(CAPTURA!CY92)-LEN(SUBSTITUTE(CAPTURA!CY92,";",""))+1)/6*100,1))))</f>
        <v/>
      </c>
      <c r="BU92" t="str">
        <f>IF(CAPTURA!DA92="","",IFERROR(IF(INDEX(CODIFICACION!$E$2:$E$500,MATCH("D11.39a|"&amp;CAPTURA!DA92,CODIFICACION!$F$2:$F$500,0))="sin dato","",INDEX(CODIFICACION!$E$2:$E$500,MATCH("D11.39a|"&amp;CAPTURA!DA92,CODIFICACION!$F$2:$F$500,0))),"⚠"))</f>
        <v/>
      </c>
      <c r="BV92" t="str">
        <f>IF(CAPTURA!DB92="","",IFERROR(IF(INDEX(CODIFICACION!$E$2:$E$500,MATCH("D12.42|"&amp;CAPTURA!DB92,CODIFICACION!$F$2:$F$500,0))="sin dato","",INDEX(CODIFICACION!$E$2:$E$500,MATCH("D12.42|"&amp;CAPTURA!DB92,CODIFICACION!$F$2:$F$500,0))),"⚠"))</f>
        <v/>
      </c>
      <c r="BW92" t="str">
        <f>IF(CAPTURA!DC92="","",IFERROR(IF(INDEX(CODIFICACION!$E$2:$E$500,MATCH("D13.45|"&amp;CAPTURA!DC92,CODIFICACION!$F$2:$F$500,0))="sin dato","",INDEX(CODIFICACION!$E$2:$E$500,MATCH("D13.45|"&amp;CAPTURA!DC92,CODIFICACION!$F$2:$F$500,0))),"⚠"))</f>
        <v/>
      </c>
      <c r="BX92" t="str">
        <f>IF(CAPTURA!DD92="","",IFERROR(IF(INDEX(CODIFICACION!$E$2:$E$500,MATCH("D14.51|"&amp;CAPTURA!DD92,CODIFICACION!$F$2:$F$500,0))="sin dato","",INDEX(CODIFICACION!$E$2:$E$500,MATCH("D14.51|"&amp;CAPTURA!DD92,CODIFICACION!$F$2:$F$500,0))),"⚠"))</f>
        <v/>
      </c>
      <c r="BY92" t="str">
        <f>IF(CAPTURA!DE92="","",IFERROR(IF(INDEX(CODIFICACION!$E$2:$E$500,MATCH("D15.58|"&amp;CAPTURA!DE92,CODIFICACION!$F$2:$F$500,0))="sin dato","",INDEX(CODIFICACION!$E$2:$E$500,MATCH("D15.58|"&amp;CAPTURA!DE92,CODIFICACION!$F$2:$F$500,0))),"⚠"))</f>
        <v/>
      </c>
      <c r="BZ92" t="str">
        <f>IF(CAPTURA!DF92="","",IFERROR(IF(INDEX(CODIFICACION!$E$2:$E$500,MATCH("PP1|"&amp;CAPTURA!DF92,CODIFICACION!$F$2:$F$500,0))="sin dato","",INDEX(CODIFICACION!$E$2:$E$500,MATCH("PP1|"&amp;CAPTURA!DF92,CODIFICACION!$F$2:$F$500,0))),"⚠"))</f>
        <v/>
      </c>
      <c r="CA92" t="str">
        <f>IF(CAPTURA!DG92="","",IFERROR(IF(INDEX(CODIFICACION!$E$2:$E$500,MATCH("PP2|"&amp;CAPTURA!DG92,CODIFICACION!$F$2:$F$500,0))="sin dato","",INDEX(CODIFICACION!$E$2:$E$500,MATCH("PP2|"&amp;CAPTURA!DG92,CODIFICACION!$F$2:$F$500,0))),"⚠"))</f>
        <v/>
      </c>
      <c r="CB92" t="str">
        <f t="shared" si="22"/>
        <v/>
      </c>
      <c r="CC92" t="str">
        <f t="shared" si="23"/>
        <v/>
      </c>
      <c r="CD92" t="str">
        <f t="shared" si="24"/>
        <v/>
      </c>
      <c r="CE92" t="str">
        <f t="shared" si="25"/>
        <v/>
      </c>
      <c r="CF92" t="str">
        <f t="shared" si="26"/>
        <v/>
      </c>
      <c r="CG92" t="str">
        <f t="shared" si="27"/>
        <v/>
      </c>
      <c r="CH92" t="str">
        <f t="shared" si="28"/>
        <v/>
      </c>
      <c r="CI92" t="str">
        <f t="shared" si="29"/>
        <v/>
      </c>
      <c r="CJ92" t="str">
        <f t="shared" si="30"/>
        <v/>
      </c>
      <c r="CK92" t="str">
        <f t="shared" si="31"/>
        <v/>
      </c>
      <c r="CL92" t="str">
        <f t="shared" si="32"/>
        <v/>
      </c>
    </row>
    <row r="93" spans="1:90" x14ac:dyDescent="0.3">
      <c r="A93">
        <f>CAPTURA!A93</f>
        <v>20572111131</v>
      </c>
      <c r="B93">
        <f>CAPTURA!C93</f>
        <v>0</v>
      </c>
      <c r="C93" t="str">
        <f>IF(CAPTURA!M93="","",ROUND((ISNUMBER(SEARCH("Alemania",CAPTURA!M93))+ISNUMBER(SEARCH("Bélgica",CAPTURA!M93))+ISNUMBER(SEARCH("Países Bajos",CAPTURA!M93))+ISNUMBER(SEARCH("Francia",CAPTURA!M93))+ISNUMBER(SEARCH("Italia",CAPTURA!M93))+ISNUMBER(SEARCH("España",CAPTURA!M93))+ISNUMBER(SEARCH("Suecia",CAPTURA!M93))+ISNUMBER(SEARCH("Dinamarca",CAPTURA!M93)))/((LEN(CAPTURA!M93)-LEN(SUBSTITUTE(CAPTURA!M93,";","")))+1)*100,1))</f>
        <v/>
      </c>
      <c r="D93" t="str">
        <f>IF(CAPTURA!AE93="","",IFERROR(IF(INDEX(CODIFICACION!$E$2:$E$500,MATCH("P8|"&amp;CAPTURA!AE93,CODIFICACION!$F$2:$F$500,0))="sin dato","",INDEX(CODIFICACION!$E$2:$E$500,MATCH("P8|"&amp;CAPTURA!AE93,CODIFICACION!$F$2:$F$500,0))),"⚠"))</f>
        <v/>
      </c>
      <c r="E93" t="str">
        <f>IF(CAPTURA!AG93="","",IFERROR(IF(INDEX(CODIFICACION!$E$2:$E$500,MATCH("P10|"&amp;CAPTURA!AG93,CODIFICACION!$F$2:$F$500,0))="sin dato","",INDEX(CODIFICACION!$E$2:$E$500,MATCH("P10|"&amp;CAPTURA!AG93,CODIFICACION!$F$2:$F$500,0))),"⚠"))</f>
        <v/>
      </c>
      <c r="F93" t="str">
        <f>IF(CAPTURA!AJ93="","",IFERROR(IF(INDEX(CODIFICACION!$E$2:$E$500,MATCH("P13|"&amp;CAPTURA!AJ93,CODIFICACION!$F$2:$F$500,0))="sin dato","",INDEX(CODIFICACION!$E$2:$E$500,MATCH("P13|"&amp;CAPTURA!AJ93,CODIFICACION!$F$2:$F$500,0))),"⚠"))</f>
        <v/>
      </c>
      <c r="G93" t="str">
        <f>IF(CAPTURA!AK93="","",IFERROR(IF(INDEX(CODIFICACION!$E$2:$E$500,MATCH("P14|"&amp;CAPTURA!AK93,CODIFICACION!$F$2:$F$500,0))="sin dato","",INDEX(CODIFICACION!$E$2:$E$500,MATCH("P14|"&amp;CAPTURA!AK93,CODIFICACION!$F$2:$F$500,0))),"⚠"))</f>
        <v/>
      </c>
      <c r="H93" t="str">
        <f>IF(CAPTURA!AL93="","",IFERROR(IF(INDEX(CODIFICACION!$E$2:$E$500,MATCH("D1.1|"&amp;CAPTURA!AL93,CODIFICACION!$F$2:$F$500,0))="sin dato","",INDEX(CODIFICACION!$E$2:$E$500,MATCH("D1.1|"&amp;CAPTURA!AL93,CODIFICACION!$F$2:$F$500,0))),"⚠"))</f>
        <v/>
      </c>
      <c r="I93" t="str">
        <f>IF(CAPTURA!AN93="","",IFERROR(IF(INDEX(CODIFICACION!$E$2:$E$500,MATCH("D1.3|"&amp;CAPTURA!AN93,CODIFICACION!$F$2:$F$500,0))="sin dato","",INDEX(CODIFICACION!$E$2:$E$500,MATCH("D1.3|"&amp;CAPTURA!AN93,CODIFICACION!$F$2:$F$500,0))),"⚠"))</f>
        <v/>
      </c>
      <c r="J93" t="str">
        <f>IF(CAPTURA!AO93="","",IFERROR(IF(INDEX(CODIFICACION!$E$2:$E$500,MATCH("D1.4|"&amp;CAPTURA!AO93,CODIFICACION!$F$2:$F$500,0))="sin dato","",INDEX(CODIFICACION!$E$2:$E$500,MATCH("D1.4|"&amp;CAPTURA!AO93,CODIFICACION!$F$2:$F$500,0))),"⚠"))</f>
        <v/>
      </c>
      <c r="K93" t="str">
        <f>IF(CAPTURA!AP93="","",IFERROR(IF(INDEX(CODIFICACION!$E$2:$E$500,MATCH("D1.3a|"&amp;CAPTURA!AP93,CODIFICACION!$F$2:$F$500,0))="sin dato","",INDEX(CODIFICACION!$E$2:$E$500,MATCH("D1.3a|"&amp;CAPTURA!AP93,CODIFICACION!$F$2:$F$500,0))),"⚠"))</f>
        <v/>
      </c>
      <c r="L93" t="str">
        <f>IF(CAPTURA!AQ93="","",IF(AND(ISNUMBER(CAPTURA!AQ93),CAPTURA!AQ93&gt;=0,CAPTURA!AQ93&lt;=4),CAPTURA!AQ93*25,"⚠"))</f>
        <v/>
      </c>
      <c r="M93" t="str">
        <f>IF(CAPTURA!AR93="","",IF(ISNUMBER(CAPTURA!AR93),MAX(0,MIN(100,CAPTURA!AR93)),"⚠"))</f>
        <v/>
      </c>
      <c r="N93" t="str">
        <f>IF(CAPTURA!AS93="","",IF(AND(ISNUMBER(CAPTURA!AS93),CAPTURA!AS93&gt;=0,CAPTURA!AS93&lt;=4),CAPTURA!AS93*25,"⚠"))</f>
        <v/>
      </c>
      <c r="O93" t="str">
        <f>IF(CAPTURA!AT93="","",IFERROR(IF(INDEX(CODIFICACION!$E$2:$E$500,MATCH("D2.8|"&amp;CAPTURA!AT93,CODIFICACION!$F$2:$F$500,0))="sin dato","",INDEX(CODIFICACION!$E$2:$E$500,MATCH("D2.8|"&amp;CAPTURA!AT93,CODIFICACION!$F$2:$F$500,0))),"⚠"))</f>
        <v/>
      </c>
      <c r="P93" t="str">
        <f>IF(CAPTURA!AU93="","",IFERROR(IF(INDEX(CODIFICACION!$E$2:$E$500,MATCH("D2.9|"&amp;CAPTURA!AU93,CODIFICACION!$F$2:$F$500,0))="sin dato","",INDEX(CODIFICACION!$E$2:$E$500,MATCH("D2.9|"&amp;CAPTURA!AU93,CODIFICACION!$F$2:$F$500,0))),"⚠"))</f>
        <v/>
      </c>
      <c r="Q93" t="str">
        <f>IF(CAPTURA!AV93="","",IFERROR(IF(INDEX(CODIFICACION!$E$2:$E$500,MATCH("D2.10|"&amp;CAPTURA!AV93,CODIFICACION!$F$2:$F$500,0))="sin dato","",INDEX(CODIFICACION!$E$2:$E$500,MATCH("D2.10|"&amp;CAPTURA!AV93,CODIFICACION!$F$2:$F$500,0))),"⚠"))</f>
        <v/>
      </c>
      <c r="R93" t="str">
        <f>IF(CAPTURA!AW93="","",IFERROR(IF(INDEX(CODIFICACION!$E$2:$E$500,MATCH("D2.5a|"&amp;CAPTURA!AW93,CODIFICACION!$F$2:$F$500,0))="sin dato","",INDEX(CODIFICACION!$E$2:$E$500,MATCH("D2.5a|"&amp;CAPTURA!AW93,CODIFICACION!$F$2:$F$500,0))),"⚠"))</f>
        <v/>
      </c>
      <c r="S93" t="str">
        <f>IF(CAPTURA!AX93="","",IFERROR(IF(INDEX(CODIFICACION!$E$2:$E$500,MATCH("D2.5b|"&amp;CAPTURA!AX93,CODIFICACION!$F$2:$F$500,0))="sin dato","",INDEX(CODIFICACION!$E$2:$E$500,MATCH("D2.5b|"&amp;CAPTURA!AX93,CODIFICACION!$F$2:$F$500,0))),"⚠"))</f>
        <v/>
      </c>
      <c r="T93" t="str">
        <f>IF(CAPTURA!AY93="","",IF(ISNUMBER(CAPTURA!AY93),MAX(0,MIN(100,CAPTURA!AY93)),"⚠"))</f>
        <v/>
      </c>
      <c r="U93" t="str">
        <f>IF(CAPTURA!AZ93="","",IFERROR(IF(INDEX(CODIFICACION!$E$2:$E$500,MATCH("D3.12|"&amp;CAPTURA!AZ93,CODIFICACION!$F$2:$F$500,0))="sin dato","",INDEX(CODIFICACION!$E$2:$E$500,MATCH("D3.12|"&amp;CAPTURA!AZ93,CODIFICACION!$F$2:$F$500,0))),"⚠"))</f>
        <v/>
      </c>
      <c r="V93" t="str">
        <f>IF(CAPTURA!BA93="","",IF(AND(ISNUMBER(CAPTURA!BA93),CAPTURA!BA93&gt;=0,CAPTURA!BA93&lt;=4),CAPTURA!BA93*25,"⚠"))</f>
        <v/>
      </c>
      <c r="W93" t="str">
        <f>IF(CAPTURA!BB93="","",IFERROR(IF(INDEX(CODIFICACION!$E$2:$E$500,MATCH("D3.14|"&amp;CAPTURA!BB93,CODIFICACION!$F$2:$F$500,0))="sin dato","",INDEX(CODIFICACION!$E$2:$E$500,MATCH("D3.14|"&amp;CAPTURA!BB93,CODIFICACION!$F$2:$F$500,0))),"⚠"))</f>
        <v/>
      </c>
      <c r="X93" t="str">
        <f>IF(CAPTURA!BC93="","",IFERROR(IF(INDEX(CODIFICACION!$E$2:$E$500,MATCH("D3.14a|"&amp;CAPTURA!BC93,CODIFICACION!$F$2:$F$500,0))="sin dato","",INDEX(CODIFICACION!$E$2:$E$500,MATCH("D3.14a|"&amp;CAPTURA!BC93,CODIFICACION!$F$2:$F$500,0))),"⚠"))</f>
        <v/>
      </c>
      <c r="Y93" t="str">
        <f>IF(CAPTURA!BD93="","",IFERROR(IF(INDEX(CODIFICACION!$E$2:$E$500,MATCH("D3.14b|"&amp;CAPTURA!BD93,CODIFICACION!$F$2:$F$500,0))="sin dato","",INDEX(CODIFICACION!$E$2:$E$500,MATCH("D3.14b|"&amp;CAPTURA!BD93,CODIFICACION!$F$2:$F$500,0))),"⚠"))</f>
        <v/>
      </c>
      <c r="Z93" t="str">
        <f>IF(CAPTURA!BE93="","",IFERROR(IF(INDEX(CODIFICACION!$E$2:$E$500,MATCH("D3.14c|"&amp;CAPTURA!BE93,CODIFICACION!$F$2:$F$500,0))="sin dato","",INDEX(CODIFICACION!$E$2:$E$500,MATCH("D3.14c|"&amp;CAPTURA!BE93,CODIFICACION!$F$2:$F$500,0))),"⚠"))</f>
        <v/>
      </c>
      <c r="AA93" t="str">
        <f>IF(CAPTURA!BF93="","",IFERROR(IF(INDEX(CODIFICACION!$E$2:$E$500,MATCH("D3.14d|"&amp;CAPTURA!BF93,CODIFICACION!$F$2:$F$500,0))="sin dato","",INDEX(CODIFICACION!$E$2:$E$500,MATCH("D3.14d|"&amp;CAPTURA!BF93,CODIFICACION!$F$2:$F$500,0))),"⚠"))</f>
        <v/>
      </c>
      <c r="AB93" t="str">
        <f>IF(CAPTURA!BG93="","",IFERROR(IF(INDEX(CODIFICACION!$E$2:$E$500,MATCH("D3.14e|"&amp;CAPTURA!BG93,CODIFICACION!$F$2:$F$500,0))="sin dato","",INDEX(CODIFICACION!$E$2:$E$500,MATCH("D3.14e|"&amp;CAPTURA!BG93,CODIFICACION!$F$2:$F$500,0))),"⚠"))</f>
        <v/>
      </c>
      <c r="AC93" t="str">
        <f>IF(CAPTURA!BH93="","",IFERROR(IF(INDEX(CODIFICACION!$E$2:$E$500,MATCH("D3.14f|"&amp;CAPTURA!BH93,CODIFICACION!$F$2:$F$500,0))="sin dato","",INDEX(CODIFICACION!$E$2:$E$500,MATCH("D3.14f|"&amp;CAPTURA!BH93,CODIFICACION!$F$2:$F$500,0))),"⚠"))</f>
        <v/>
      </c>
      <c r="AD93" t="str">
        <f>IF(CAPTURA!BI93="","",IFERROR(IF(INDEX(CODIFICACION!$E$2:$E$500,MATCH("D3.14g|"&amp;CAPTURA!BI93,CODIFICACION!$F$2:$F$500,0))="sin dato","",INDEX(CODIFICACION!$E$2:$E$500,MATCH("D3.14g|"&amp;CAPTURA!BI93,CODIFICACION!$F$2:$F$500,0))),"⚠"))</f>
        <v/>
      </c>
      <c r="AE93" t="str">
        <f>IF(CAPTURA!BJ93="","",IFERROR(IF(INDEX(CODIFICACION!$E$2:$E$500,MATCH("D3.14h|"&amp;CAPTURA!BJ93,CODIFICACION!$F$2:$F$500,0))="sin dato","",INDEX(CODIFICACION!$E$2:$E$500,MATCH("D3.14h|"&amp;CAPTURA!BJ93,CODIFICACION!$F$2:$F$500,0))),"⚠"))</f>
        <v/>
      </c>
      <c r="AF93" t="str">
        <f>IF(CAPTURA!BK93="","",IFERROR(IF(INDEX(CODIFICACION!$E$2:$E$500,MATCH("D3.14i|"&amp;CAPTURA!BK93,CODIFICACION!$F$2:$F$500,0))="sin dato","",INDEX(CODIFICACION!$E$2:$E$500,MATCH("D3.14i|"&amp;CAPTURA!BK93,CODIFICACION!$F$2:$F$500,0))),"⚠"))</f>
        <v/>
      </c>
      <c r="AG93" t="str">
        <f>IF(CAPTURA!BL93="","",IFERROR(IF(INDEX(CODIFICACION!$E$2:$E$500,MATCH("D4.15|"&amp;CAPTURA!BL93,CODIFICACION!$F$2:$F$500,0))="sin dato","",INDEX(CODIFICACION!$E$2:$E$500,MATCH("D4.15|"&amp;CAPTURA!BL93,CODIFICACION!$F$2:$F$500,0))),"⚠"))</f>
        <v/>
      </c>
      <c r="AH93" t="str">
        <f>IF(CAPTURA!BM93="","",IF(AND(ISNUMBER(CAPTURA!BM93),CAPTURA!BM93&gt;=0,CAPTURA!BM93&lt;=4),CAPTURA!BM93*25,"⚠"))</f>
        <v/>
      </c>
      <c r="AI93" t="str">
        <f>IF(CAPTURA!BN93="","",IFERROR(IF(INDEX(CODIFICACION!$E$2:$E$500,MATCH("D4.17|"&amp;CAPTURA!BN93,CODIFICACION!$F$2:$F$500,0))="sin dato","",INDEX(CODIFICACION!$E$2:$E$500,MATCH("D4.17|"&amp;CAPTURA!BN93,CODIFICACION!$F$2:$F$500,0))),"⚠"))</f>
        <v/>
      </c>
      <c r="AJ93" t="str">
        <f>IF(CAPTURA!BO93="","",IFERROR(IF(INDEX(CODIFICACION!$E$2:$E$500,MATCH("D4.15a|"&amp;CAPTURA!BO93,CODIFICACION!$F$2:$F$500,0))="sin dato","",INDEX(CODIFICACION!$E$2:$E$500,MATCH("D4.15a|"&amp;CAPTURA!BO93,CODIFICACION!$F$2:$F$500,0))),"⚠"))</f>
        <v/>
      </c>
      <c r="AK93" t="str">
        <f>IF(CAPTURA!BP93="","",IF(AND(ISNUMBER(CAPTURA!BP93),CAPTURA!BP93&gt;=0,CAPTURA!BP93&lt;=4),CAPTURA!BP93*25,"⚠"))</f>
        <v/>
      </c>
      <c r="AL93" t="str">
        <f>IF(CAPTURA!BQ93="","",IF(AND(ISNUMBER(CAPTURA!BQ93),CAPTURA!BQ93&gt;=0,CAPTURA!BQ93&lt;=4),CAPTURA!BQ93*25,"⚠"))</f>
        <v/>
      </c>
      <c r="AM93" t="str">
        <f>IF(CAPTURA!BR93="","",IFERROR(IF(INDEX(CODIFICACION!$E$2:$E$500,MATCH("D5.18b|"&amp;CAPTURA!BR93,CODIFICACION!$F$2:$F$500,0))="sin dato","",INDEX(CODIFICACION!$E$2:$E$500,MATCH("D5.18b|"&amp;CAPTURA!BR93,CODIFICACION!$F$2:$F$500,0))),"⚠"))</f>
        <v/>
      </c>
      <c r="AN93" t="str">
        <f>IF(CAPTURA!BS93="","",IFERROR(IF(INDEX(CODIFICACION!$E$2:$E$500,MATCH("D5.19|"&amp;CAPTURA!BS93,CODIFICACION!$F$2:$F$500,0))="sin dato","",INDEX(CODIFICACION!$E$2:$E$500,MATCH("D5.19|"&amp;CAPTURA!BS93,CODIFICACION!$F$2:$F$500,0))),"⚠"))</f>
        <v/>
      </c>
      <c r="AO93" t="str">
        <f>IF(CAPTURA!BT93="","",MIN(100,ROUND((LEN(CAPTURA!BT93)-LEN(SUBSTITUTE(CAPTURA!BT93,";",""))+1)/7*100,1)))</f>
        <v/>
      </c>
      <c r="AP93" t="str">
        <f>IF(CAPTURA!BU93="","",IFERROR(IF(INDEX(CODIFICACION!$E$2:$E$500,MATCH("D5.20|"&amp;CAPTURA!BU93,CODIFICACION!$F$2:$F$500,0))="sin dato","",INDEX(CODIFICACION!$E$2:$E$500,MATCH("D5.20|"&amp;CAPTURA!BU93,CODIFICACION!$F$2:$F$500,0))),"⚠"))</f>
        <v/>
      </c>
      <c r="AQ93" t="str">
        <f>IF(CAPTURA!BV93="","",IFERROR(IF(INDEX(CODIFICACION!$E$2:$E$500,MATCH("D5.21|"&amp;CAPTURA!BV93,CODIFICACION!$F$2:$F$500,0))="sin dato","",INDEX(CODIFICACION!$E$2:$E$500,MATCH("D5.21|"&amp;CAPTURA!BV93,CODIFICACION!$F$2:$F$500,0))),"⚠"))</f>
        <v/>
      </c>
      <c r="AR93" t="str">
        <f>IF(CAPTURA!BW93="","",IFERROR(IF(INDEX(CODIFICACION!$E$2:$E$500,MATCH("D5.21a|"&amp;CAPTURA!BW93,CODIFICACION!$F$2:$F$500,0))="sin dato","",INDEX(CODIFICACION!$E$2:$E$500,MATCH("D5.21a|"&amp;CAPTURA!BW93,CODIFICACION!$F$2:$F$500,0))),"⚠"))</f>
        <v/>
      </c>
      <c r="AS93" t="str">
        <f>IF(CAPTURA!BX93="","",IFERROR(IF(INDEX(CODIFICACION!$E$2:$E$500,MATCH("D5.21b|"&amp;CAPTURA!BX93,CODIFICACION!$F$2:$F$500,0))="sin dato","",INDEX(CODIFICACION!$E$2:$E$500,MATCH("D5.21b|"&amp;CAPTURA!BX93,CODIFICACION!$F$2:$F$500,0))),"⚠"))</f>
        <v/>
      </c>
      <c r="AT93" t="str">
        <f>IF(CAPTURA!BY93="","",IFERROR(IF(INDEX(CODIFICACION!$E$2:$E$500,MATCH("D6.22|"&amp;CAPTURA!BY93,CODIFICACION!$F$2:$F$500,0))="sin dato","",INDEX(CODIFICACION!$E$2:$E$500,MATCH("D6.22|"&amp;CAPTURA!BY93,CODIFICACION!$F$2:$F$500,0))),"⚠"))</f>
        <v/>
      </c>
      <c r="AU93" t="str">
        <f>IF(CAPTURA!BZ93="","",IFERROR(IF(INDEX(CODIFICACION!$E$2:$E$500,MATCH("D6.22a|"&amp;CAPTURA!BZ93,CODIFICACION!$F$2:$F$500,0))="sin dato","",INDEX(CODIFICACION!$E$2:$E$500,MATCH("D6.22a|"&amp;CAPTURA!BZ93,CODIFICACION!$F$2:$F$500,0))),"⚠"))</f>
        <v/>
      </c>
      <c r="AV93" t="str">
        <f>IF(CAPTURA!CA93="","",IFERROR(IF(INDEX(CODIFICACION!$E$2:$E$500,MATCH("D6.22b|"&amp;CAPTURA!CA93,CODIFICACION!$F$2:$F$500,0))="sin dato","",INDEX(CODIFICACION!$E$2:$E$500,MATCH("D6.22b|"&amp;CAPTURA!CA93,CODIFICACION!$F$2:$F$500,0))),"⚠"))</f>
        <v/>
      </c>
      <c r="AW93" t="str">
        <f>IF(CAPTURA!CB93="","",IFERROR(IF(INDEX(CODIFICACION!$E$2:$E$500,MATCH("D6.23|"&amp;CAPTURA!CB93,CODIFICACION!$F$2:$F$500,0))="sin dato","",INDEX(CODIFICACION!$E$2:$E$500,MATCH("D6.23|"&amp;CAPTURA!CB93,CODIFICACION!$F$2:$F$500,0))),"⚠"))</f>
        <v/>
      </c>
      <c r="AX93" t="str">
        <f>IF(CAPTURA!CC93="","",IFERROR(IF(INDEX(CODIFICACION!$E$2:$E$500,MATCH("D6.24|"&amp;CAPTURA!CC93,CODIFICACION!$F$2:$F$500,0))="sin dato","",INDEX(CODIFICACION!$E$2:$E$500,MATCH("D6.24|"&amp;CAPTURA!CC93,CODIFICACION!$F$2:$F$500,0))),"⚠"))</f>
        <v/>
      </c>
      <c r="AY93" t="str">
        <f>IF(CAPTURA!CD93="","",IFERROR(IF(INDEX(CODIFICACION!$E$2:$E$500,MATCH("D6.25|"&amp;CAPTURA!CD93,CODIFICACION!$F$2:$F$500,0))="sin dato","",INDEX(CODIFICACION!$E$2:$E$500,MATCH("D6.25|"&amp;CAPTURA!CD93,CODIFICACION!$F$2:$F$500,0))),"⚠"))</f>
        <v/>
      </c>
      <c r="AZ93" t="str">
        <f>IF(CAPTURA!CE93="","",IFERROR(IF(INDEX(CODIFICACION!$E$2:$E$500,MATCH("D6.25a|"&amp;CAPTURA!CE93,CODIFICACION!$F$2:$F$500,0))="sin dato","",INDEX(CODIFICACION!$E$2:$E$500,MATCH("D6.25a|"&amp;CAPTURA!CE93,CODIFICACION!$F$2:$F$500,0))),"⚠"))</f>
        <v/>
      </c>
      <c r="BA93" t="str">
        <f>IF(CAPTURA!CF93="","",IFERROR(IF(INDEX(CODIFICACION!$E$2:$E$500,MATCH("D6.25b|"&amp;CAPTURA!CF93,CODIFICACION!$F$2:$F$500,0))="sin dato","",INDEX(CODIFICACION!$E$2:$E$500,MATCH("D6.25b|"&amp;CAPTURA!CF93,CODIFICACION!$F$2:$F$500,0))),"⚠"))</f>
        <v/>
      </c>
      <c r="BB93" t="str">
        <f>IF(CAPTURA!CG93="","",IFERROR(IF(INDEX(CODIFICACION!$E$2:$E$500,MATCH("D6.22c|"&amp;CAPTURA!CG93,CODIFICACION!$F$2:$F$500,0))="sin dato","",INDEX(CODIFICACION!$E$2:$E$500,MATCH("D6.22c|"&amp;CAPTURA!CG93,CODIFICACION!$F$2:$F$500,0))),"⚠"))</f>
        <v/>
      </c>
      <c r="BC93" t="str">
        <f>IF(CAPTURA!CH93="","",IFERROR(IF(INDEX(CODIFICACION!$E$2:$E$500,MATCH("D7.26|"&amp;CAPTURA!CH93,CODIFICACION!$F$2:$F$500,0))="sin dato","",INDEX(CODIFICACION!$E$2:$E$500,MATCH("D7.26|"&amp;CAPTURA!CH93,CODIFICACION!$F$2:$F$500,0))),"⚠"))</f>
        <v/>
      </c>
      <c r="BD93" t="str">
        <f>IF(CAPTURA!CI93="","",IFERROR(IF(INDEX(CODIFICACION!$E$2:$E$500,MATCH("D7.27|"&amp;CAPTURA!CI93,CODIFICACION!$F$2:$F$500,0))="sin dato","",INDEX(CODIFICACION!$E$2:$E$500,MATCH("D7.27|"&amp;CAPTURA!CI93,CODIFICACION!$F$2:$F$500,0))),"⚠"))</f>
        <v/>
      </c>
      <c r="BE93" t="str">
        <f>IF(CAPTURA!CJ93="","",IFERROR(IF(INDEX(CODIFICACION!$E$2:$E$500,MATCH("D7.28|"&amp;CAPTURA!CJ93,CODIFICACION!$F$2:$F$500,0))="sin dato","",INDEX(CODIFICACION!$E$2:$E$500,MATCH("D7.28|"&amp;CAPTURA!CJ93,CODIFICACION!$F$2:$F$500,0))),"⚠"))</f>
        <v/>
      </c>
      <c r="BF93" t="str">
        <f>IF(CAPTURA!CK93="","",IFERROR(IF(INDEX(CODIFICACION!$E$2:$E$500,MATCH("D7.28b|"&amp;CAPTURA!CK93,CODIFICACION!$F$2:$F$500,0))="sin dato","",INDEX(CODIFICACION!$E$2:$E$500,MATCH("D7.28b|"&amp;CAPTURA!CK93,CODIFICACION!$F$2:$F$500,0))),"⚠"))</f>
        <v/>
      </c>
      <c r="BG93" t="str">
        <f>IF(CAPTURA!CL93="","",MIN(100,ROUND((LEN(CAPTURA!CL93)-LEN(SUBSTITUTE(CAPTURA!CL93,";",""))+1)/8*100,1)))</f>
        <v/>
      </c>
      <c r="BH93" t="str">
        <f>IF(CAPTURA!CM93="","",IFERROR(IF(INDEX(CODIFICACION!$E$2:$E$500,MATCH("D7.26a|"&amp;CAPTURA!CM93,CODIFICACION!$F$2:$F$500,0))="sin dato","",INDEX(CODIFICACION!$E$2:$E$500,MATCH("D7.26a|"&amp;CAPTURA!CM93,CODIFICACION!$F$2:$F$500,0))),"⚠"))</f>
        <v/>
      </c>
      <c r="BI93" t="str">
        <f>IF(CAPTURA!CN93="","",IFERROR(IF(INDEX(CODIFICACION!$E$2:$E$500,MATCH("D7.26b|"&amp;CAPTURA!CN93,CODIFICACION!$F$2:$F$500,0))="sin dato","",INDEX(CODIFICACION!$E$2:$E$500,MATCH("D7.26b|"&amp;CAPTURA!CN93,CODIFICACION!$F$2:$F$500,0))),"⚠"))</f>
        <v/>
      </c>
      <c r="BJ93" t="str">
        <f>IF(CAPTURA!CO93="","",IF(AND(ISNUMBER(CAPTURA!CO93),CAPTURA!CO93&gt;=0,CAPTURA!CO93&lt;=4),CAPTURA!CO93*25,"⚠"))</f>
        <v/>
      </c>
      <c r="BK93" t="str">
        <f>IF(CAPTURA!CP93="","",IF(ISNUMBER(CAPTURA!CP93),MAX(0,MIN(100,CAPTURA!CP93)),"⚠"))</f>
        <v/>
      </c>
      <c r="BL93" t="str">
        <f>IF(CAPTURA!CQ93="","",IFERROR(IF(INDEX(CODIFICACION!$E$2:$E$500,MATCH("D8.31|"&amp;CAPTURA!CQ93,CODIFICACION!$F$2:$F$500,0))="sin dato","",INDEX(CODIFICACION!$E$2:$E$500,MATCH("D8.31|"&amp;CAPTURA!CQ93,CODIFICACION!$F$2:$F$500,0))),"⚠"))</f>
        <v/>
      </c>
      <c r="BM93" t="str">
        <f>IF(CAPTURA!CR93="","",IFERROR(IF(INDEX(CODIFICACION!$E$2:$E$500,MATCH("D8.32|"&amp;CAPTURA!CR93,CODIFICACION!$F$2:$F$500,0))="sin dato","",INDEX(CODIFICACION!$E$2:$E$500,MATCH("D8.32|"&amp;CAPTURA!CR93,CODIFICACION!$F$2:$F$500,0))),"⚠"))</f>
        <v/>
      </c>
      <c r="BN93" t="str">
        <f>IF(CAPTURA!CS93="","",IFERROR(IF(INDEX(CODIFICACION!$E$2:$E$500,MATCH("D9.33|"&amp;CAPTURA!CS93,CODIFICACION!$F$2:$F$500,0))="sin dato","",INDEX(CODIFICACION!$E$2:$E$500,MATCH("D9.33|"&amp;CAPTURA!CS93,CODIFICACION!$F$2:$F$500,0))),"⚠"))</f>
        <v/>
      </c>
      <c r="BO93" t="str">
        <f>IF(CAPTURA!CT93="","",IFERROR(IF(INDEX(CODIFICACION!$E$2:$E$500,MATCH("D9.34|"&amp;CAPTURA!CT93,CODIFICACION!$F$2:$F$500,0))="sin dato","",INDEX(CODIFICACION!$E$2:$E$500,MATCH("D9.34|"&amp;CAPTURA!CT93,CODIFICACION!$F$2:$F$500,0))),"⚠"))</f>
        <v/>
      </c>
      <c r="BP93" t="str">
        <f>IF(CAPTURA!CU93="","",IFERROR(IF(INDEX(CODIFICACION!$E$2:$E$500,MATCH("D9.35|"&amp;CAPTURA!CU93,CODIFICACION!$F$2:$F$500,0))="sin dato","",INDEX(CODIFICACION!$E$2:$E$500,MATCH("D9.35|"&amp;CAPTURA!CU93,CODIFICACION!$F$2:$F$500,0))),"⚠"))</f>
        <v/>
      </c>
      <c r="BQ93" t="str">
        <f>IF(CAPTURA!CV93="","",IFERROR(IF(INDEX(CODIFICACION!$E$2:$E$500,MATCH("D10.36|"&amp;CAPTURA!CV93,CODIFICACION!$F$2:$F$500,0))="sin dato","",INDEX(CODIFICACION!$E$2:$E$500,MATCH("D10.36|"&amp;CAPTURA!CV93,CODIFICACION!$F$2:$F$500,0))),"⚠"))</f>
        <v/>
      </c>
      <c r="BR93" t="str">
        <f>IF(CAPTURA!CW93="","",IFERROR(IF(INDEX(CODIFICACION!$E$2:$E$500,MATCH("D10.37|"&amp;CAPTURA!CW93,CODIFICACION!$F$2:$F$500,0))="sin dato","",INDEX(CODIFICACION!$E$2:$E$500,MATCH("D10.37|"&amp;CAPTURA!CW93,CODIFICACION!$F$2:$F$500,0))),"⚠"))</f>
        <v/>
      </c>
      <c r="BS93" t="str">
        <f>IF(CAPTURA!CX93="","",IFERROR(IF(INDEX(CODIFICACION!$E$2:$E$500,MATCH("D10.36a|"&amp;CAPTURA!CX93,CODIFICACION!$F$2:$F$500,0))="sin dato","",INDEX(CODIFICACION!$E$2:$E$500,MATCH("D10.36a|"&amp;CAPTURA!CX93,CODIFICACION!$F$2:$F$500,0))),"⚠"))</f>
        <v/>
      </c>
      <c r="BT93" t="str">
        <f>IF(CAPTURA!CY93="","",IF(ISNUMBER(SEARCH("Ninguno",CAPTURA!CY93)),0,MIN(100,ROUND((LEN(CAPTURA!CY93)-LEN(SUBSTITUTE(CAPTURA!CY93,";",""))+1)/6*100,1))))</f>
        <v/>
      </c>
      <c r="BU93" t="str">
        <f>IF(CAPTURA!DA93="","",IFERROR(IF(INDEX(CODIFICACION!$E$2:$E$500,MATCH("D11.39a|"&amp;CAPTURA!DA93,CODIFICACION!$F$2:$F$500,0))="sin dato","",INDEX(CODIFICACION!$E$2:$E$500,MATCH("D11.39a|"&amp;CAPTURA!DA93,CODIFICACION!$F$2:$F$500,0))),"⚠"))</f>
        <v/>
      </c>
      <c r="BV93" t="str">
        <f>IF(CAPTURA!DB93="","",IFERROR(IF(INDEX(CODIFICACION!$E$2:$E$500,MATCH("D12.42|"&amp;CAPTURA!DB93,CODIFICACION!$F$2:$F$500,0))="sin dato","",INDEX(CODIFICACION!$E$2:$E$500,MATCH("D12.42|"&amp;CAPTURA!DB93,CODIFICACION!$F$2:$F$500,0))),"⚠"))</f>
        <v/>
      </c>
      <c r="BW93" t="str">
        <f>IF(CAPTURA!DC93="","",IFERROR(IF(INDEX(CODIFICACION!$E$2:$E$500,MATCH("D13.45|"&amp;CAPTURA!DC93,CODIFICACION!$F$2:$F$500,0))="sin dato","",INDEX(CODIFICACION!$E$2:$E$500,MATCH("D13.45|"&amp;CAPTURA!DC93,CODIFICACION!$F$2:$F$500,0))),"⚠"))</f>
        <v/>
      </c>
      <c r="BX93" t="str">
        <f>IF(CAPTURA!DD93="","",IFERROR(IF(INDEX(CODIFICACION!$E$2:$E$500,MATCH("D14.51|"&amp;CAPTURA!DD93,CODIFICACION!$F$2:$F$500,0))="sin dato","",INDEX(CODIFICACION!$E$2:$E$500,MATCH("D14.51|"&amp;CAPTURA!DD93,CODIFICACION!$F$2:$F$500,0))),"⚠"))</f>
        <v/>
      </c>
      <c r="BY93" t="str">
        <f>IF(CAPTURA!DE93="","",IFERROR(IF(INDEX(CODIFICACION!$E$2:$E$500,MATCH("D15.58|"&amp;CAPTURA!DE93,CODIFICACION!$F$2:$F$500,0))="sin dato","",INDEX(CODIFICACION!$E$2:$E$500,MATCH("D15.58|"&amp;CAPTURA!DE93,CODIFICACION!$F$2:$F$500,0))),"⚠"))</f>
        <v/>
      </c>
      <c r="BZ93" t="str">
        <f>IF(CAPTURA!DF93="","",IFERROR(IF(INDEX(CODIFICACION!$E$2:$E$500,MATCH("PP1|"&amp;CAPTURA!DF93,CODIFICACION!$F$2:$F$500,0))="sin dato","",INDEX(CODIFICACION!$E$2:$E$500,MATCH("PP1|"&amp;CAPTURA!DF93,CODIFICACION!$F$2:$F$500,0))),"⚠"))</f>
        <v/>
      </c>
      <c r="CA93" t="str">
        <f>IF(CAPTURA!DG93="","",IFERROR(IF(INDEX(CODIFICACION!$E$2:$E$500,MATCH("PP2|"&amp;CAPTURA!DG93,CODIFICACION!$F$2:$F$500,0))="sin dato","",INDEX(CODIFICACION!$E$2:$E$500,MATCH("PP2|"&amp;CAPTURA!DG93,CODIFICACION!$F$2:$F$500,0))),"⚠"))</f>
        <v/>
      </c>
      <c r="CB93" t="str">
        <f t="shared" si="22"/>
        <v/>
      </c>
      <c r="CC93" t="str">
        <f t="shared" si="23"/>
        <v/>
      </c>
      <c r="CD93" t="str">
        <f t="shared" si="24"/>
        <v/>
      </c>
      <c r="CE93" t="str">
        <f t="shared" si="25"/>
        <v/>
      </c>
      <c r="CF93" t="str">
        <f t="shared" si="26"/>
        <v/>
      </c>
      <c r="CG93" t="str">
        <f t="shared" si="27"/>
        <v/>
      </c>
      <c r="CH93" t="str">
        <f t="shared" si="28"/>
        <v/>
      </c>
      <c r="CI93" t="str">
        <f t="shared" si="29"/>
        <v/>
      </c>
      <c r="CJ93" t="str">
        <f t="shared" si="30"/>
        <v/>
      </c>
      <c r="CK93" t="str">
        <f t="shared" si="31"/>
        <v/>
      </c>
      <c r="CL93" t="str">
        <f t="shared" si="32"/>
        <v/>
      </c>
    </row>
    <row r="94" spans="1:90" x14ac:dyDescent="0.3">
      <c r="A94">
        <f>CAPTURA!A94</f>
        <v>20572190251</v>
      </c>
      <c r="B94">
        <f>CAPTURA!C94</f>
        <v>0</v>
      </c>
      <c r="C94" t="str">
        <f>IF(CAPTURA!M94="","",ROUND((ISNUMBER(SEARCH("Alemania",CAPTURA!M94))+ISNUMBER(SEARCH("Bélgica",CAPTURA!M94))+ISNUMBER(SEARCH("Países Bajos",CAPTURA!M94))+ISNUMBER(SEARCH("Francia",CAPTURA!M94))+ISNUMBER(SEARCH("Italia",CAPTURA!M94))+ISNUMBER(SEARCH("España",CAPTURA!M94))+ISNUMBER(SEARCH("Suecia",CAPTURA!M94))+ISNUMBER(SEARCH("Dinamarca",CAPTURA!M94)))/((LEN(CAPTURA!M94)-LEN(SUBSTITUTE(CAPTURA!M94,";","")))+1)*100,1))</f>
        <v/>
      </c>
      <c r="D94" t="str">
        <f>IF(CAPTURA!AE94="","",IFERROR(IF(INDEX(CODIFICACION!$E$2:$E$500,MATCH("P8|"&amp;CAPTURA!AE94,CODIFICACION!$F$2:$F$500,0))="sin dato","",INDEX(CODIFICACION!$E$2:$E$500,MATCH("P8|"&amp;CAPTURA!AE94,CODIFICACION!$F$2:$F$500,0))),"⚠"))</f>
        <v/>
      </c>
      <c r="E94" t="str">
        <f>IF(CAPTURA!AG94="","",IFERROR(IF(INDEX(CODIFICACION!$E$2:$E$500,MATCH("P10|"&amp;CAPTURA!AG94,CODIFICACION!$F$2:$F$500,0))="sin dato","",INDEX(CODIFICACION!$E$2:$E$500,MATCH("P10|"&amp;CAPTURA!AG94,CODIFICACION!$F$2:$F$500,0))),"⚠"))</f>
        <v/>
      </c>
      <c r="F94" t="str">
        <f>IF(CAPTURA!AJ94="","",IFERROR(IF(INDEX(CODIFICACION!$E$2:$E$500,MATCH("P13|"&amp;CAPTURA!AJ94,CODIFICACION!$F$2:$F$500,0))="sin dato","",INDEX(CODIFICACION!$E$2:$E$500,MATCH("P13|"&amp;CAPTURA!AJ94,CODIFICACION!$F$2:$F$500,0))),"⚠"))</f>
        <v/>
      </c>
      <c r="G94" t="str">
        <f>IF(CAPTURA!AK94="","",IFERROR(IF(INDEX(CODIFICACION!$E$2:$E$500,MATCH("P14|"&amp;CAPTURA!AK94,CODIFICACION!$F$2:$F$500,0))="sin dato","",INDEX(CODIFICACION!$E$2:$E$500,MATCH("P14|"&amp;CAPTURA!AK94,CODIFICACION!$F$2:$F$500,0))),"⚠"))</f>
        <v/>
      </c>
      <c r="H94" t="str">
        <f>IF(CAPTURA!AL94="","",IFERROR(IF(INDEX(CODIFICACION!$E$2:$E$500,MATCH("D1.1|"&amp;CAPTURA!AL94,CODIFICACION!$F$2:$F$500,0))="sin dato","",INDEX(CODIFICACION!$E$2:$E$500,MATCH("D1.1|"&amp;CAPTURA!AL94,CODIFICACION!$F$2:$F$500,0))),"⚠"))</f>
        <v/>
      </c>
      <c r="I94" t="str">
        <f>IF(CAPTURA!AN94="","",IFERROR(IF(INDEX(CODIFICACION!$E$2:$E$500,MATCH("D1.3|"&amp;CAPTURA!AN94,CODIFICACION!$F$2:$F$500,0))="sin dato","",INDEX(CODIFICACION!$E$2:$E$500,MATCH("D1.3|"&amp;CAPTURA!AN94,CODIFICACION!$F$2:$F$500,0))),"⚠"))</f>
        <v/>
      </c>
      <c r="J94" t="str">
        <f>IF(CAPTURA!AO94="","",IFERROR(IF(INDEX(CODIFICACION!$E$2:$E$500,MATCH("D1.4|"&amp;CAPTURA!AO94,CODIFICACION!$F$2:$F$500,0))="sin dato","",INDEX(CODIFICACION!$E$2:$E$500,MATCH("D1.4|"&amp;CAPTURA!AO94,CODIFICACION!$F$2:$F$500,0))),"⚠"))</f>
        <v/>
      </c>
      <c r="K94" t="str">
        <f>IF(CAPTURA!AP94="","",IFERROR(IF(INDEX(CODIFICACION!$E$2:$E$500,MATCH("D1.3a|"&amp;CAPTURA!AP94,CODIFICACION!$F$2:$F$500,0))="sin dato","",INDEX(CODIFICACION!$E$2:$E$500,MATCH("D1.3a|"&amp;CAPTURA!AP94,CODIFICACION!$F$2:$F$500,0))),"⚠"))</f>
        <v/>
      </c>
      <c r="L94" t="str">
        <f>IF(CAPTURA!AQ94="","",IF(AND(ISNUMBER(CAPTURA!AQ94),CAPTURA!AQ94&gt;=0,CAPTURA!AQ94&lt;=4),CAPTURA!AQ94*25,"⚠"))</f>
        <v/>
      </c>
      <c r="M94" t="str">
        <f>IF(CAPTURA!AR94="","",IF(ISNUMBER(CAPTURA!AR94),MAX(0,MIN(100,CAPTURA!AR94)),"⚠"))</f>
        <v/>
      </c>
      <c r="N94" t="str">
        <f>IF(CAPTURA!AS94="","",IF(AND(ISNUMBER(CAPTURA!AS94),CAPTURA!AS94&gt;=0,CAPTURA!AS94&lt;=4),CAPTURA!AS94*25,"⚠"))</f>
        <v/>
      </c>
      <c r="O94" t="str">
        <f>IF(CAPTURA!AT94="","",IFERROR(IF(INDEX(CODIFICACION!$E$2:$E$500,MATCH("D2.8|"&amp;CAPTURA!AT94,CODIFICACION!$F$2:$F$500,0))="sin dato","",INDEX(CODIFICACION!$E$2:$E$500,MATCH("D2.8|"&amp;CAPTURA!AT94,CODIFICACION!$F$2:$F$500,0))),"⚠"))</f>
        <v/>
      </c>
      <c r="P94" t="str">
        <f>IF(CAPTURA!AU94="","",IFERROR(IF(INDEX(CODIFICACION!$E$2:$E$500,MATCH("D2.9|"&amp;CAPTURA!AU94,CODIFICACION!$F$2:$F$500,0))="sin dato","",INDEX(CODIFICACION!$E$2:$E$500,MATCH("D2.9|"&amp;CAPTURA!AU94,CODIFICACION!$F$2:$F$500,0))),"⚠"))</f>
        <v/>
      </c>
      <c r="Q94" t="str">
        <f>IF(CAPTURA!AV94="","",IFERROR(IF(INDEX(CODIFICACION!$E$2:$E$500,MATCH("D2.10|"&amp;CAPTURA!AV94,CODIFICACION!$F$2:$F$500,0))="sin dato","",INDEX(CODIFICACION!$E$2:$E$500,MATCH("D2.10|"&amp;CAPTURA!AV94,CODIFICACION!$F$2:$F$500,0))),"⚠"))</f>
        <v/>
      </c>
      <c r="R94" t="str">
        <f>IF(CAPTURA!AW94="","",IFERROR(IF(INDEX(CODIFICACION!$E$2:$E$500,MATCH("D2.5a|"&amp;CAPTURA!AW94,CODIFICACION!$F$2:$F$500,0))="sin dato","",INDEX(CODIFICACION!$E$2:$E$500,MATCH("D2.5a|"&amp;CAPTURA!AW94,CODIFICACION!$F$2:$F$500,0))),"⚠"))</f>
        <v/>
      </c>
      <c r="S94" t="str">
        <f>IF(CAPTURA!AX94="","",IFERROR(IF(INDEX(CODIFICACION!$E$2:$E$500,MATCH("D2.5b|"&amp;CAPTURA!AX94,CODIFICACION!$F$2:$F$500,0))="sin dato","",INDEX(CODIFICACION!$E$2:$E$500,MATCH("D2.5b|"&amp;CAPTURA!AX94,CODIFICACION!$F$2:$F$500,0))),"⚠"))</f>
        <v/>
      </c>
      <c r="T94" t="str">
        <f>IF(CAPTURA!AY94="","",IF(ISNUMBER(CAPTURA!AY94),MAX(0,MIN(100,CAPTURA!AY94)),"⚠"))</f>
        <v/>
      </c>
      <c r="U94" t="str">
        <f>IF(CAPTURA!AZ94="","",IFERROR(IF(INDEX(CODIFICACION!$E$2:$E$500,MATCH("D3.12|"&amp;CAPTURA!AZ94,CODIFICACION!$F$2:$F$500,0))="sin dato","",INDEX(CODIFICACION!$E$2:$E$500,MATCH("D3.12|"&amp;CAPTURA!AZ94,CODIFICACION!$F$2:$F$500,0))),"⚠"))</f>
        <v/>
      </c>
      <c r="V94" t="str">
        <f>IF(CAPTURA!BA94="","",IF(AND(ISNUMBER(CAPTURA!BA94),CAPTURA!BA94&gt;=0,CAPTURA!BA94&lt;=4),CAPTURA!BA94*25,"⚠"))</f>
        <v/>
      </c>
      <c r="W94" t="str">
        <f>IF(CAPTURA!BB94="","",IFERROR(IF(INDEX(CODIFICACION!$E$2:$E$500,MATCH("D3.14|"&amp;CAPTURA!BB94,CODIFICACION!$F$2:$F$500,0))="sin dato","",INDEX(CODIFICACION!$E$2:$E$500,MATCH("D3.14|"&amp;CAPTURA!BB94,CODIFICACION!$F$2:$F$500,0))),"⚠"))</f>
        <v/>
      </c>
      <c r="X94" t="str">
        <f>IF(CAPTURA!BC94="","",IFERROR(IF(INDEX(CODIFICACION!$E$2:$E$500,MATCH("D3.14a|"&amp;CAPTURA!BC94,CODIFICACION!$F$2:$F$500,0))="sin dato","",INDEX(CODIFICACION!$E$2:$E$500,MATCH("D3.14a|"&amp;CAPTURA!BC94,CODIFICACION!$F$2:$F$500,0))),"⚠"))</f>
        <v/>
      </c>
      <c r="Y94" t="str">
        <f>IF(CAPTURA!BD94="","",IFERROR(IF(INDEX(CODIFICACION!$E$2:$E$500,MATCH("D3.14b|"&amp;CAPTURA!BD94,CODIFICACION!$F$2:$F$500,0))="sin dato","",INDEX(CODIFICACION!$E$2:$E$500,MATCH("D3.14b|"&amp;CAPTURA!BD94,CODIFICACION!$F$2:$F$500,0))),"⚠"))</f>
        <v/>
      </c>
      <c r="Z94" t="str">
        <f>IF(CAPTURA!BE94="","",IFERROR(IF(INDEX(CODIFICACION!$E$2:$E$500,MATCH("D3.14c|"&amp;CAPTURA!BE94,CODIFICACION!$F$2:$F$500,0))="sin dato","",INDEX(CODIFICACION!$E$2:$E$500,MATCH("D3.14c|"&amp;CAPTURA!BE94,CODIFICACION!$F$2:$F$500,0))),"⚠"))</f>
        <v/>
      </c>
      <c r="AA94" t="str">
        <f>IF(CAPTURA!BF94="","",IFERROR(IF(INDEX(CODIFICACION!$E$2:$E$500,MATCH("D3.14d|"&amp;CAPTURA!BF94,CODIFICACION!$F$2:$F$500,0))="sin dato","",INDEX(CODIFICACION!$E$2:$E$500,MATCH("D3.14d|"&amp;CAPTURA!BF94,CODIFICACION!$F$2:$F$500,0))),"⚠"))</f>
        <v/>
      </c>
      <c r="AB94" t="str">
        <f>IF(CAPTURA!BG94="","",IFERROR(IF(INDEX(CODIFICACION!$E$2:$E$500,MATCH("D3.14e|"&amp;CAPTURA!BG94,CODIFICACION!$F$2:$F$500,0))="sin dato","",INDEX(CODIFICACION!$E$2:$E$500,MATCH("D3.14e|"&amp;CAPTURA!BG94,CODIFICACION!$F$2:$F$500,0))),"⚠"))</f>
        <v/>
      </c>
      <c r="AC94" t="str">
        <f>IF(CAPTURA!BH94="","",IFERROR(IF(INDEX(CODIFICACION!$E$2:$E$500,MATCH("D3.14f|"&amp;CAPTURA!BH94,CODIFICACION!$F$2:$F$500,0))="sin dato","",INDEX(CODIFICACION!$E$2:$E$500,MATCH("D3.14f|"&amp;CAPTURA!BH94,CODIFICACION!$F$2:$F$500,0))),"⚠"))</f>
        <v/>
      </c>
      <c r="AD94" t="str">
        <f>IF(CAPTURA!BI94="","",IFERROR(IF(INDEX(CODIFICACION!$E$2:$E$500,MATCH("D3.14g|"&amp;CAPTURA!BI94,CODIFICACION!$F$2:$F$500,0))="sin dato","",INDEX(CODIFICACION!$E$2:$E$500,MATCH("D3.14g|"&amp;CAPTURA!BI94,CODIFICACION!$F$2:$F$500,0))),"⚠"))</f>
        <v/>
      </c>
      <c r="AE94" t="str">
        <f>IF(CAPTURA!BJ94="","",IFERROR(IF(INDEX(CODIFICACION!$E$2:$E$500,MATCH("D3.14h|"&amp;CAPTURA!BJ94,CODIFICACION!$F$2:$F$500,0))="sin dato","",INDEX(CODIFICACION!$E$2:$E$500,MATCH("D3.14h|"&amp;CAPTURA!BJ94,CODIFICACION!$F$2:$F$500,0))),"⚠"))</f>
        <v/>
      </c>
      <c r="AF94" t="str">
        <f>IF(CAPTURA!BK94="","",IFERROR(IF(INDEX(CODIFICACION!$E$2:$E$500,MATCH("D3.14i|"&amp;CAPTURA!BK94,CODIFICACION!$F$2:$F$500,0))="sin dato","",INDEX(CODIFICACION!$E$2:$E$500,MATCH("D3.14i|"&amp;CAPTURA!BK94,CODIFICACION!$F$2:$F$500,0))),"⚠"))</f>
        <v/>
      </c>
      <c r="AG94" t="str">
        <f>IF(CAPTURA!BL94="","",IFERROR(IF(INDEX(CODIFICACION!$E$2:$E$500,MATCH("D4.15|"&amp;CAPTURA!BL94,CODIFICACION!$F$2:$F$500,0))="sin dato","",INDEX(CODIFICACION!$E$2:$E$500,MATCH("D4.15|"&amp;CAPTURA!BL94,CODIFICACION!$F$2:$F$500,0))),"⚠"))</f>
        <v/>
      </c>
      <c r="AH94" t="str">
        <f>IF(CAPTURA!BM94="","",IF(AND(ISNUMBER(CAPTURA!BM94),CAPTURA!BM94&gt;=0,CAPTURA!BM94&lt;=4),CAPTURA!BM94*25,"⚠"))</f>
        <v/>
      </c>
      <c r="AI94" t="str">
        <f>IF(CAPTURA!BN94="","",IFERROR(IF(INDEX(CODIFICACION!$E$2:$E$500,MATCH("D4.17|"&amp;CAPTURA!BN94,CODIFICACION!$F$2:$F$500,0))="sin dato","",INDEX(CODIFICACION!$E$2:$E$500,MATCH("D4.17|"&amp;CAPTURA!BN94,CODIFICACION!$F$2:$F$500,0))),"⚠"))</f>
        <v/>
      </c>
      <c r="AJ94" t="str">
        <f>IF(CAPTURA!BO94="","",IFERROR(IF(INDEX(CODIFICACION!$E$2:$E$500,MATCH("D4.15a|"&amp;CAPTURA!BO94,CODIFICACION!$F$2:$F$500,0))="sin dato","",INDEX(CODIFICACION!$E$2:$E$500,MATCH("D4.15a|"&amp;CAPTURA!BO94,CODIFICACION!$F$2:$F$500,0))),"⚠"))</f>
        <v/>
      </c>
      <c r="AK94" t="str">
        <f>IF(CAPTURA!BP94="","",IF(AND(ISNUMBER(CAPTURA!BP94),CAPTURA!BP94&gt;=0,CAPTURA!BP94&lt;=4),CAPTURA!BP94*25,"⚠"))</f>
        <v/>
      </c>
      <c r="AL94" t="str">
        <f>IF(CAPTURA!BQ94="","",IF(AND(ISNUMBER(CAPTURA!BQ94),CAPTURA!BQ94&gt;=0,CAPTURA!BQ94&lt;=4),CAPTURA!BQ94*25,"⚠"))</f>
        <v/>
      </c>
      <c r="AM94" t="str">
        <f>IF(CAPTURA!BR94="","",IFERROR(IF(INDEX(CODIFICACION!$E$2:$E$500,MATCH("D5.18b|"&amp;CAPTURA!BR94,CODIFICACION!$F$2:$F$500,0))="sin dato","",INDEX(CODIFICACION!$E$2:$E$500,MATCH("D5.18b|"&amp;CAPTURA!BR94,CODIFICACION!$F$2:$F$500,0))),"⚠"))</f>
        <v/>
      </c>
      <c r="AN94" t="str">
        <f>IF(CAPTURA!BS94="","",IFERROR(IF(INDEX(CODIFICACION!$E$2:$E$500,MATCH("D5.19|"&amp;CAPTURA!BS94,CODIFICACION!$F$2:$F$500,0))="sin dato","",INDEX(CODIFICACION!$E$2:$E$500,MATCH("D5.19|"&amp;CAPTURA!BS94,CODIFICACION!$F$2:$F$500,0))),"⚠"))</f>
        <v/>
      </c>
      <c r="AO94" t="str">
        <f>IF(CAPTURA!BT94="","",MIN(100,ROUND((LEN(CAPTURA!BT94)-LEN(SUBSTITUTE(CAPTURA!BT94,";",""))+1)/7*100,1)))</f>
        <v/>
      </c>
      <c r="AP94" t="str">
        <f>IF(CAPTURA!BU94="","",IFERROR(IF(INDEX(CODIFICACION!$E$2:$E$500,MATCH("D5.20|"&amp;CAPTURA!BU94,CODIFICACION!$F$2:$F$500,0))="sin dato","",INDEX(CODIFICACION!$E$2:$E$500,MATCH("D5.20|"&amp;CAPTURA!BU94,CODIFICACION!$F$2:$F$500,0))),"⚠"))</f>
        <v/>
      </c>
      <c r="AQ94" t="str">
        <f>IF(CAPTURA!BV94="","",IFERROR(IF(INDEX(CODIFICACION!$E$2:$E$500,MATCH("D5.21|"&amp;CAPTURA!BV94,CODIFICACION!$F$2:$F$500,0))="sin dato","",INDEX(CODIFICACION!$E$2:$E$500,MATCH("D5.21|"&amp;CAPTURA!BV94,CODIFICACION!$F$2:$F$500,0))),"⚠"))</f>
        <v/>
      </c>
      <c r="AR94" t="str">
        <f>IF(CAPTURA!BW94="","",IFERROR(IF(INDEX(CODIFICACION!$E$2:$E$500,MATCH("D5.21a|"&amp;CAPTURA!BW94,CODIFICACION!$F$2:$F$500,0))="sin dato","",INDEX(CODIFICACION!$E$2:$E$500,MATCH("D5.21a|"&amp;CAPTURA!BW94,CODIFICACION!$F$2:$F$500,0))),"⚠"))</f>
        <v/>
      </c>
      <c r="AS94" t="str">
        <f>IF(CAPTURA!BX94="","",IFERROR(IF(INDEX(CODIFICACION!$E$2:$E$500,MATCH("D5.21b|"&amp;CAPTURA!BX94,CODIFICACION!$F$2:$F$500,0))="sin dato","",INDEX(CODIFICACION!$E$2:$E$500,MATCH("D5.21b|"&amp;CAPTURA!BX94,CODIFICACION!$F$2:$F$500,0))),"⚠"))</f>
        <v/>
      </c>
      <c r="AT94" t="str">
        <f>IF(CAPTURA!BY94="","",IFERROR(IF(INDEX(CODIFICACION!$E$2:$E$500,MATCH("D6.22|"&amp;CAPTURA!BY94,CODIFICACION!$F$2:$F$500,0))="sin dato","",INDEX(CODIFICACION!$E$2:$E$500,MATCH("D6.22|"&amp;CAPTURA!BY94,CODIFICACION!$F$2:$F$500,0))),"⚠"))</f>
        <v/>
      </c>
      <c r="AU94" t="str">
        <f>IF(CAPTURA!BZ94="","",IFERROR(IF(INDEX(CODIFICACION!$E$2:$E$500,MATCH("D6.22a|"&amp;CAPTURA!BZ94,CODIFICACION!$F$2:$F$500,0))="sin dato","",INDEX(CODIFICACION!$E$2:$E$500,MATCH("D6.22a|"&amp;CAPTURA!BZ94,CODIFICACION!$F$2:$F$500,0))),"⚠"))</f>
        <v/>
      </c>
      <c r="AV94" t="str">
        <f>IF(CAPTURA!CA94="","",IFERROR(IF(INDEX(CODIFICACION!$E$2:$E$500,MATCH("D6.22b|"&amp;CAPTURA!CA94,CODIFICACION!$F$2:$F$500,0))="sin dato","",INDEX(CODIFICACION!$E$2:$E$500,MATCH("D6.22b|"&amp;CAPTURA!CA94,CODIFICACION!$F$2:$F$500,0))),"⚠"))</f>
        <v/>
      </c>
      <c r="AW94" t="str">
        <f>IF(CAPTURA!CB94="","",IFERROR(IF(INDEX(CODIFICACION!$E$2:$E$500,MATCH("D6.23|"&amp;CAPTURA!CB94,CODIFICACION!$F$2:$F$500,0))="sin dato","",INDEX(CODIFICACION!$E$2:$E$500,MATCH("D6.23|"&amp;CAPTURA!CB94,CODIFICACION!$F$2:$F$500,0))),"⚠"))</f>
        <v/>
      </c>
      <c r="AX94" t="str">
        <f>IF(CAPTURA!CC94="","",IFERROR(IF(INDEX(CODIFICACION!$E$2:$E$500,MATCH("D6.24|"&amp;CAPTURA!CC94,CODIFICACION!$F$2:$F$500,0))="sin dato","",INDEX(CODIFICACION!$E$2:$E$500,MATCH("D6.24|"&amp;CAPTURA!CC94,CODIFICACION!$F$2:$F$500,0))),"⚠"))</f>
        <v/>
      </c>
      <c r="AY94" t="str">
        <f>IF(CAPTURA!CD94="","",IFERROR(IF(INDEX(CODIFICACION!$E$2:$E$500,MATCH("D6.25|"&amp;CAPTURA!CD94,CODIFICACION!$F$2:$F$500,0))="sin dato","",INDEX(CODIFICACION!$E$2:$E$500,MATCH("D6.25|"&amp;CAPTURA!CD94,CODIFICACION!$F$2:$F$500,0))),"⚠"))</f>
        <v/>
      </c>
      <c r="AZ94" t="str">
        <f>IF(CAPTURA!CE94="","",IFERROR(IF(INDEX(CODIFICACION!$E$2:$E$500,MATCH("D6.25a|"&amp;CAPTURA!CE94,CODIFICACION!$F$2:$F$500,0))="sin dato","",INDEX(CODIFICACION!$E$2:$E$500,MATCH("D6.25a|"&amp;CAPTURA!CE94,CODIFICACION!$F$2:$F$500,0))),"⚠"))</f>
        <v/>
      </c>
      <c r="BA94" t="str">
        <f>IF(CAPTURA!CF94="","",IFERROR(IF(INDEX(CODIFICACION!$E$2:$E$500,MATCH("D6.25b|"&amp;CAPTURA!CF94,CODIFICACION!$F$2:$F$500,0))="sin dato","",INDEX(CODIFICACION!$E$2:$E$500,MATCH("D6.25b|"&amp;CAPTURA!CF94,CODIFICACION!$F$2:$F$500,0))),"⚠"))</f>
        <v/>
      </c>
      <c r="BB94" t="str">
        <f>IF(CAPTURA!CG94="","",IFERROR(IF(INDEX(CODIFICACION!$E$2:$E$500,MATCH("D6.22c|"&amp;CAPTURA!CG94,CODIFICACION!$F$2:$F$500,0))="sin dato","",INDEX(CODIFICACION!$E$2:$E$500,MATCH("D6.22c|"&amp;CAPTURA!CG94,CODIFICACION!$F$2:$F$500,0))),"⚠"))</f>
        <v/>
      </c>
      <c r="BC94" t="str">
        <f>IF(CAPTURA!CH94="","",IFERROR(IF(INDEX(CODIFICACION!$E$2:$E$500,MATCH("D7.26|"&amp;CAPTURA!CH94,CODIFICACION!$F$2:$F$500,0))="sin dato","",INDEX(CODIFICACION!$E$2:$E$500,MATCH("D7.26|"&amp;CAPTURA!CH94,CODIFICACION!$F$2:$F$500,0))),"⚠"))</f>
        <v/>
      </c>
      <c r="BD94" t="str">
        <f>IF(CAPTURA!CI94="","",IFERROR(IF(INDEX(CODIFICACION!$E$2:$E$500,MATCH("D7.27|"&amp;CAPTURA!CI94,CODIFICACION!$F$2:$F$500,0))="sin dato","",INDEX(CODIFICACION!$E$2:$E$500,MATCH("D7.27|"&amp;CAPTURA!CI94,CODIFICACION!$F$2:$F$500,0))),"⚠"))</f>
        <v/>
      </c>
      <c r="BE94" t="str">
        <f>IF(CAPTURA!CJ94="","",IFERROR(IF(INDEX(CODIFICACION!$E$2:$E$500,MATCH("D7.28|"&amp;CAPTURA!CJ94,CODIFICACION!$F$2:$F$500,0))="sin dato","",INDEX(CODIFICACION!$E$2:$E$500,MATCH("D7.28|"&amp;CAPTURA!CJ94,CODIFICACION!$F$2:$F$500,0))),"⚠"))</f>
        <v/>
      </c>
      <c r="BF94" t="str">
        <f>IF(CAPTURA!CK94="","",IFERROR(IF(INDEX(CODIFICACION!$E$2:$E$500,MATCH("D7.28b|"&amp;CAPTURA!CK94,CODIFICACION!$F$2:$F$500,0))="sin dato","",INDEX(CODIFICACION!$E$2:$E$500,MATCH("D7.28b|"&amp;CAPTURA!CK94,CODIFICACION!$F$2:$F$500,0))),"⚠"))</f>
        <v/>
      </c>
      <c r="BG94" t="str">
        <f>IF(CAPTURA!CL94="","",MIN(100,ROUND((LEN(CAPTURA!CL94)-LEN(SUBSTITUTE(CAPTURA!CL94,";",""))+1)/8*100,1)))</f>
        <v/>
      </c>
      <c r="BH94" t="str">
        <f>IF(CAPTURA!CM94="","",IFERROR(IF(INDEX(CODIFICACION!$E$2:$E$500,MATCH("D7.26a|"&amp;CAPTURA!CM94,CODIFICACION!$F$2:$F$500,0))="sin dato","",INDEX(CODIFICACION!$E$2:$E$500,MATCH("D7.26a|"&amp;CAPTURA!CM94,CODIFICACION!$F$2:$F$500,0))),"⚠"))</f>
        <v/>
      </c>
      <c r="BI94" t="str">
        <f>IF(CAPTURA!CN94="","",IFERROR(IF(INDEX(CODIFICACION!$E$2:$E$500,MATCH("D7.26b|"&amp;CAPTURA!CN94,CODIFICACION!$F$2:$F$500,0))="sin dato","",INDEX(CODIFICACION!$E$2:$E$500,MATCH("D7.26b|"&amp;CAPTURA!CN94,CODIFICACION!$F$2:$F$500,0))),"⚠"))</f>
        <v/>
      </c>
      <c r="BJ94" t="str">
        <f>IF(CAPTURA!CO94="","",IF(AND(ISNUMBER(CAPTURA!CO94),CAPTURA!CO94&gt;=0,CAPTURA!CO94&lt;=4),CAPTURA!CO94*25,"⚠"))</f>
        <v/>
      </c>
      <c r="BK94" t="str">
        <f>IF(CAPTURA!CP94="","",IF(ISNUMBER(CAPTURA!CP94),MAX(0,MIN(100,CAPTURA!CP94)),"⚠"))</f>
        <v/>
      </c>
      <c r="BL94" t="str">
        <f>IF(CAPTURA!CQ94="","",IFERROR(IF(INDEX(CODIFICACION!$E$2:$E$500,MATCH("D8.31|"&amp;CAPTURA!CQ94,CODIFICACION!$F$2:$F$500,0))="sin dato","",INDEX(CODIFICACION!$E$2:$E$500,MATCH("D8.31|"&amp;CAPTURA!CQ94,CODIFICACION!$F$2:$F$500,0))),"⚠"))</f>
        <v/>
      </c>
      <c r="BM94" t="str">
        <f>IF(CAPTURA!CR94="","",IFERROR(IF(INDEX(CODIFICACION!$E$2:$E$500,MATCH("D8.32|"&amp;CAPTURA!CR94,CODIFICACION!$F$2:$F$500,0))="sin dato","",INDEX(CODIFICACION!$E$2:$E$500,MATCH("D8.32|"&amp;CAPTURA!CR94,CODIFICACION!$F$2:$F$500,0))),"⚠"))</f>
        <v/>
      </c>
      <c r="BN94" t="str">
        <f>IF(CAPTURA!CS94="","",IFERROR(IF(INDEX(CODIFICACION!$E$2:$E$500,MATCH("D9.33|"&amp;CAPTURA!CS94,CODIFICACION!$F$2:$F$500,0))="sin dato","",INDEX(CODIFICACION!$E$2:$E$500,MATCH("D9.33|"&amp;CAPTURA!CS94,CODIFICACION!$F$2:$F$500,0))),"⚠"))</f>
        <v/>
      </c>
      <c r="BO94" t="str">
        <f>IF(CAPTURA!CT94="","",IFERROR(IF(INDEX(CODIFICACION!$E$2:$E$500,MATCH("D9.34|"&amp;CAPTURA!CT94,CODIFICACION!$F$2:$F$500,0))="sin dato","",INDEX(CODIFICACION!$E$2:$E$500,MATCH("D9.34|"&amp;CAPTURA!CT94,CODIFICACION!$F$2:$F$500,0))),"⚠"))</f>
        <v/>
      </c>
      <c r="BP94" t="str">
        <f>IF(CAPTURA!CU94="","",IFERROR(IF(INDEX(CODIFICACION!$E$2:$E$500,MATCH("D9.35|"&amp;CAPTURA!CU94,CODIFICACION!$F$2:$F$500,0))="sin dato","",INDEX(CODIFICACION!$E$2:$E$500,MATCH("D9.35|"&amp;CAPTURA!CU94,CODIFICACION!$F$2:$F$500,0))),"⚠"))</f>
        <v/>
      </c>
      <c r="BQ94" t="str">
        <f>IF(CAPTURA!CV94="","",IFERROR(IF(INDEX(CODIFICACION!$E$2:$E$500,MATCH("D10.36|"&amp;CAPTURA!CV94,CODIFICACION!$F$2:$F$500,0))="sin dato","",INDEX(CODIFICACION!$E$2:$E$500,MATCH("D10.36|"&amp;CAPTURA!CV94,CODIFICACION!$F$2:$F$500,0))),"⚠"))</f>
        <v/>
      </c>
      <c r="BR94" t="str">
        <f>IF(CAPTURA!CW94="","",IFERROR(IF(INDEX(CODIFICACION!$E$2:$E$500,MATCH("D10.37|"&amp;CAPTURA!CW94,CODIFICACION!$F$2:$F$500,0))="sin dato","",INDEX(CODIFICACION!$E$2:$E$500,MATCH("D10.37|"&amp;CAPTURA!CW94,CODIFICACION!$F$2:$F$500,0))),"⚠"))</f>
        <v/>
      </c>
      <c r="BS94" t="str">
        <f>IF(CAPTURA!CX94="","",IFERROR(IF(INDEX(CODIFICACION!$E$2:$E$500,MATCH("D10.36a|"&amp;CAPTURA!CX94,CODIFICACION!$F$2:$F$500,0))="sin dato","",INDEX(CODIFICACION!$E$2:$E$500,MATCH("D10.36a|"&amp;CAPTURA!CX94,CODIFICACION!$F$2:$F$500,0))),"⚠"))</f>
        <v/>
      </c>
      <c r="BT94" t="str">
        <f>IF(CAPTURA!CY94="","",IF(ISNUMBER(SEARCH("Ninguno",CAPTURA!CY94)),0,MIN(100,ROUND((LEN(CAPTURA!CY94)-LEN(SUBSTITUTE(CAPTURA!CY94,";",""))+1)/6*100,1))))</f>
        <v/>
      </c>
      <c r="BU94" t="str">
        <f>IF(CAPTURA!DA94="","",IFERROR(IF(INDEX(CODIFICACION!$E$2:$E$500,MATCH("D11.39a|"&amp;CAPTURA!DA94,CODIFICACION!$F$2:$F$500,0))="sin dato","",INDEX(CODIFICACION!$E$2:$E$500,MATCH("D11.39a|"&amp;CAPTURA!DA94,CODIFICACION!$F$2:$F$500,0))),"⚠"))</f>
        <v/>
      </c>
      <c r="BV94" t="str">
        <f>IF(CAPTURA!DB94="","",IFERROR(IF(INDEX(CODIFICACION!$E$2:$E$500,MATCH("D12.42|"&amp;CAPTURA!DB94,CODIFICACION!$F$2:$F$500,0))="sin dato","",INDEX(CODIFICACION!$E$2:$E$500,MATCH("D12.42|"&amp;CAPTURA!DB94,CODIFICACION!$F$2:$F$500,0))),"⚠"))</f>
        <v/>
      </c>
      <c r="BW94" t="str">
        <f>IF(CAPTURA!DC94="","",IFERROR(IF(INDEX(CODIFICACION!$E$2:$E$500,MATCH("D13.45|"&amp;CAPTURA!DC94,CODIFICACION!$F$2:$F$500,0))="sin dato","",INDEX(CODIFICACION!$E$2:$E$500,MATCH("D13.45|"&amp;CAPTURA!DC94,CODIFICACION!$F$2:$F$500,0))),"⚠"))</f>
        <v/>
      </c>
      <c r="BX94" t="str">
        <f>IF(CAPTURA!DD94="","",IFERROR(IF(INDEX(CODIFICACION!$E$2:$E$500,MATCH("D14.51|"&amp;CAPTURA!DD94,CODIFICACION!$F$2:$F$500,0))="sin dato","",INDEX(CODIFICACION!$E$2:$E$500,MATCH("D14.51|"&amp;CAPTURA!DD94,CODIFICACION!$F$2:$F$500,0))),"⚠"))</f>
        <v/>
      </c>
      <c r="BY94" t="str">
        <f>IF(CAPTURA!DE94="","",IFERROR(IF(INDEX(CODIFICACION!$E$2:$E$500,MATCH("D15.58|"&amp;CAPTURA!DE94,CODIFICACION!$F$2:$F$500,0))="sin dato","",INDEX(CODIFICACION!$E$2:$E$500,MATCH("D15.58|"&amp;CAPTURA!DE94,CODIFICACION!$F$2:$F$500,0))),"⚠"))</f>
        <v/>
      </c>
      <c r="BZ94" t="str">
        <f>IF(CAPTURA!DF94="","",IFERROR(IF(INDEX(CODIFICACION!$E$2:$E$500,MATCH("PP1|"&amp;CAPTURA!DF94,CODIFICACION!$F$2:$F$500,0))="sin dato","",INDEX(CODIFICACION!$E$2:$E$500,MATCH("PP1|"&amp;CAPTURA!DF94,CODIFICACION!$F$2:$F$500,0))),"⚠"))</f>
        <v/>
      </c>
      <c r="CA94" t="str">
        <f>IF(CAPTURA!DG94="","",IFERROR(IF(INDEX(CODIFICACION!$E$2:$E$500,MATCH("PP2|"&amp;CAPTURA!DG94,CODIFICACION!$F$2:$F$500,0))="sin dato","",INDEX(CODIFICACION!$E$2:$E$500,MATCH("PP2|"&amp;CAPTURA!DG94,CODIFICACION!$F$2:$F$500,0))),"⚠"))</f>
        <v/>
      </c>
      <c r="CB94" t="str">
        <f t="shared" si="22"/>
        <v/>
      </c>
      <c r="CC94" t="str">
        <f t="shared" si="23"/>
        <v/>
      </c>
      <c r="CD94" t="str">
        <f t="shared" si="24"/>
        <v/>
      </c>
      <c r="CE94" t="str">
        <f t="shared" si="25"/>
        <v/>
      </c>
      <c r="CF94" t="str">
        <f t="shared" si="26"/>
        <v/>
      </c>
      <c r="CG94" t="str">
        <f t="shared" si="27"/>
        <v/>
      </c>
      <c r="CH94" t="str">
        <f t="shared" si="28"/>
        <v/>
      </c>
      <c r="CI94" t="str">
        <f t="shared" si="29"/>
        <v/>
      </c>
      <c r="CJ94" t="str">
        <f t="shared" si="30"/>
        <v/>
      </c>
      <c r="CK94" t="str">
        <f t="shared" si="31"/>
        <v/>
      </c>
      <c r="CL94" t="str">
        <f t="shared" si="32"/>
        <v/>
      </c>
    </row>
    <row r="95" spans="1:90" x14ac:dyDescent="0.3">
      <c r="A95">
        <f>CAPTURA!A95</f>
        <v>20573049102</v>
      </c>
      <c r="B95">
        <f>CAPTURA!C95</f>
        <v>0</v>
      </c>
      <c r="C95" t="str">
        <f>IF(CAPTURA!M95="","",ROUND((ISNUMBER(SEARCH("Alemania",CAPTURA!M95))+ISNUMBER(SEARCH("Bélgica",CAPTURA!M95))+ISNUMBER(SEARCH("Países Bajos",CAPTURA!M95))+ISNUMBER(SEARCH("Francia",CAPTURA!M95))+ISNUMBER(SEARCH("Italia",CAPTURA!M95))+ISNUMBER(SEARCH("España",CAPTURA!M95))+ISNUMBER(SEARCH("Suecia",CAPTURA!M95))+ISNUMBER(SEARCH("Dinamarca",CAPTURA!M95)))/((LEN(CAPTURA!M95)-LEN(SUBSTITUTE(CAPTURA!M95,";","")))+1)*100,1))</f>
        <v/>
      </c>
      <c r="D95" t="str">
        <f>IF(CAPTURA!AE95="","",IFERROR(IF(INDEX(CODIFICACION!$E$2:$E$500,MATCH("P8|"&amp;CAPTURA!AE95,CODIFICACION!$F$2:$F$500,0))="sin dato","",INDEX(CODIFICACION!$E$2:$E$500,MATCH("P8|"&amp;CAPTURA!AE95,CODIFICACION!$F$2:$F$500,0))),"⚠"))</f>
        <v/>
      </c>
      <c r="E95" t="str">
        <f>IF(CAPTURA!AG95="","",IFERROR(IF(INDEX(CODIFICACION!$E$2:$E$500,MATCH("P10|"&amp;CAPTURA!AG95,CODIFICACION!$F$2:$F$500,0))="sin dato","",INDEX(CODIFICACION!$E$2:$E$500,MATCH("P10|"&amp;CAPTURA!AG95,CODIFICACION!$F$2:$F$500,0))),"⚠"))</f>
        <v/>
      </c>
      <c r="F95" t="str">
        <f>IF(CAPTURA!AJ95="","",IFERROR(IF(INDEX(CODIFICACION!$E$2:$E$500,MATCH("P13|"&amp;CAPTURA!AJ95,CODIFICACION!$F$2:$F$500,0))="sin dato","",INDEX(CODIFICACION!$E$2:$E$500,MATCH("P13|"&amp;CAPTURA!AJ95,CODIFICACION!$F$2:$F$500,0))),"⚠"))</f>
        <v/>
      </c>
      <c r="G95" t="str">
        <f>IF(CAPTURA!AK95="","",IFERROR(IF(INDEX(CODIFICACION!$E$2:$E$500,MATCH("P14|"&amp;CAPTURA!AK95,CODIFICACION!$F$2:$F$500,0))="sin dato","",INDEX(CODIFICACION!$E$2:$E$500,MATCH("P14|"&amp;CAPTURA!AK95,CODIFICACION!$F$2:$F$500,0))),"⚠"))</f>
        <v/>
      </c>
      <c r="H95" t="str">
        <f>IF(CAPTURA!AL95="","",IFERROR(IF(INDEX(CODIFICACION!$E$2:$E$500,MATCH("D1.1|"&amp;CAPTURA!AL95,CODIFICACION!$F$2:$F$500,0))="sin dato","",INDEX(CODIFICACION!$E$2:$E$500,MATCH("D1.1|"&amp;CAPTURA!AL95,CODIFICACION!$F$2:$F$500,0))),"⚠"))</f>
        <v/>
      </c>
      <c r="I95" t="str">
        <f>IF(CAPTURA!AN95="","",IFERROR(IF(INDEX(CODIFICACION!$E$2:$E$500,MATCH("D1.3|"&amp;CAPTURA!AN95,CODIFICACION!$F$2:$F$500,0))="sin dato","",INDEX(CODIFICACION!$E$2:$E$500,MATCH("D1.3|"&amp;CAPTURA!AN95,CODIFICACION!$F$2:$F$500,0))),"⚠"))</f>
        <v/>
      </c>
      <c r="J95" t="str">
        <f>IF(CAPTURA!AO95="","",IFERROR(IF(INDEX(CODIFICACION!$E$2:$E$500,MATCH("D1.4|"&amp;CAPTURA!AO95,CODIFICACION!$F$2:$F$500,0))="sin dato","",INDEX(CODIFICACION!$E$2:$E$500,MATCH("D1.4|"&amp;CAPTURA!AO95,CODIFICACION!$F$2:$F$500,0))),"⚠"))</f>
        <v/>
      </c>
      <c r="K95" t="str">
        <f>IF(CAPTURA!AP95="","",IFERROR(IF(INDEX(CODIFICACION!$E$2:$E$500,MATCH("D1.3a|"&amp;CAPTURA!AP95,CODIFICACION!$F$2:$F$500,0))="sin dato","",INDEX(CODIFICACION!$E$2:$E$500,MATCH("D1.3a|"&amp;CAPTURA!AP95,CODIFICACION!$F$2:$F$500,0))),"⚠"))</f>
        <v/>
      </c>
      <c r="L95" t="str">
        <f>IF(CAPTURA!AQ95="","",IF(AND(ISNUMBER(CAPTURA!AQ95),CAPTURA!AQ95&gt;=0,CAPTURA!AQ95&lt;=4),CAPTURA!AQ95*25,"⚠"))</f>
        <v/>
      </c>
      <c r="M95" t="str">
        <f>IF(CAPTURA!AR95="","",IF(ISNUMBER(CAPTURA!AR95),MAX(0,MIN(100,CAPTURA!AR95)),"⚠"))</f>
        <v/>
      </c>
      <c r="N95" t="str">
        <f>IF(CAPTURA!AS95="","",IF(AND(ISNUMBER(CAPTURA!AS95),CAPTURA!AS95&gt;=0,CAPTURA!AS95&lt;=4),CAPTURA!AS95*25,"⚠"))</f>
        <v/>
      </c>
      <c r="O95" t="str">
        <f>IF(CAPTURA!AT95="","",IFERROR(IF(INDEX(CODIFICACION!$E$2:$E$500,MATCH("D2.8|"&amp;CAPTURA!AT95,CODIFICACION!$F$2:$F$500,0))="sin dato","",INDEX(CODIFICACION!$E$2:$E$500,MATCH("D2.8|"&amp;CAPTURA!AT95,CODIFICACION!$F$2:$F$500,0))),"⚠"))</f>
        <v/>
      </c>
      <c r="P95" t="str">
        <f>IF(CAPTURA!AU95="","",IFERROR(IF(INDEX(CODIFICACION!$E$2:$E$500,MATCH("D2.9|"&amp;CAPTURA!AU95,CODIFICACION!$F$2:$F$500,0))="sin dato","",INDEX(CODIFICACION!$E$2:$E$500,MATCH("D2.9|"&amp;CAPTURA!AU95,CODIFICACION!$F$2:$F$500,0))),"⚠"))</f>
        <v/>
      </c>
      <c r="Q95" t="str">
        <f>IF(CAPTURA!AV95="","",IFERROR(IF(INDEX(CODIFICACION!$E$2:$E$500,MATCH("D2.10|"&amp;CAPTURA!AV95,CODIFICACION!$F$2:$F$500,0))="sin dato","",INDEX(CODIFICACION!$E$2:$E$500,MATCH("D2.10|"&amp;CAPTURA!AV95,CODIFICACION!$F$2:$F$500,0))),"⚠"))</f>
        <v/>
      </c>
      <c r="R95" t="str">
        <f>IF(CAPTURA!AW95="","",IFERROR(IF(INDEX(CODIFICACION!$E$2:$E$500,MATCH("D2.5a|"&amp;CAPTURA!AW95,CODIFICACION!$F$2:$F$500,0))="sin dato","",INDEX(CODIFICACION!$E$2:$E$500,MATCH("D2.5a|"&amp;CAPTURA!AW95,CODIFICACION!$F$2:$F$500,0))),"⚠"))</f>
        <v/>
      </c>
      <c r="S95" t="str">
        <f>IF(CAPTURA!AX95="","",IFERROR(IF(INDEX(CODIFICACION!$E$2:$E$500,MATCH("D2.5b|"&amp;CAPTURA!AX95,CODIFICACION!$F$2:$F$500,0))="sin dato","",INDEX(CODIFICACION!$E$2:$E$500,MATCH("D2.5b|"&amp;CAPTURA!AX95,CODIFICACION!$F$2:$F$500,0))),"⚠"))</f>
        <v/>
      </c>
      <c r="T95" t="str">
        <f>IF(CAPTURA!AY95="","",IF(ISNUMBER(CAPTURA!AY95),MAX(0,MIN(100,CAPTURA!AY95)),"⚠"))</f>
        <v/>
      </c>
      <c r="U95" t="str">
        <f>IF(CAPTURA!AZ95="","",IFERROR(IF(INDEX(CODIFICACION!$E$2:$E$500,MATCH("D3.12|"&amp;CAPTURA!AZ95,CODIFICACION!$F$2:$F$500,0))="sin dato","",INDEX(CODIFICACION!$E$2:$E$500,MATCH("D3.12|"&amp;CAPTURA!AZ95,CODIFICACION!$F$2:$F$500,0))),"⚠"))</f>
        <v/>
      </c>
      <c r="V95" t="str">
        <f>IF(CAPTURA!BA95="","",IF(AND(ISNUMBER(CAPTURA!BA95),CAPTURA!BA95&gt;=0,CAPTURA!BA95&lt;=4),CAPTURA!BA95*25,"⚠"))</f>
        <v/>
      </c>
      <c r="W95" t="str">
        <f>IF(CAPTURA!BB95="","",IFERROR(IF(INDEX(CODIFICACION!$E$2:$E$500,MATCH("D3.14|"&amp;CAPTURA!BB95,CODIFICACION!$F$2:$F$500,0))="sin dato","",INDEX(CODIFICACION!$E$2:$E$500,MATCH("D3.14|"&amp;CAPTURA!BB95,CODIFICACION!$F$2:$F$500,0))),"⚠"))</f>
        <v/>
      </c>
      <c r="X95" t="str">
        <f>IF(CAPTURA!BC95="","",IFERROR(IF(INDEX(CODIFICACION!$E$2:$E$500,MATCH("D3.14a|"&amp;CAPTURA!BC95,CODIFICACION!$F$2:$F$500,0))="sin dato","",INDEX(CODIFICACION!$E$2:$E$500,MATCH("D3.14a|"&amp;CAPTURA!BC95,CODIFICACION!$F$2:$F$500,0))),"⚠"))</f>
        <v/>
      </c>
      <c r="Y95" t="str">
        <f>IF(CAPTURA!BD95="","",IFERROR(IF(INDEX(CODIFICACION!$E$2:$E$500,MATCH("D3.14b|"&amp;CAPTURA!BD95,CODIFICACION!$F$2:$F$500,0))="sin dato","",INDEX(CODIFICACION!$E$2:$E$500,MATCH("D3.14b|"&amp;CAPTURA!BD95,CODIFICACION!$F$2:$F$500,0))),"⚠"))</f>
        <v/>
      </c>
      <c r="Z95" t="str">
        <f>IF(CAPTURA!BE95="","",IFERROR(IF(INDEX(CODIFICACION!$E$2:$E$500,MATCH("D3.14c|"&amp;CAPTURA!BE95,CODIFICACION!$F$2:$F$500,0))="sin dato","",INDEX(CODIFICACION!$E$2:$E$500,MATCH("D3.14c|"&amp;CAPTURA!BE95,CODIFICACION!$F$2:$F$500,0))),"⚠"))</f>
        <v/>
      </c>
      <c r="AA95" t="str">
        <f>IF(CAPTURA!BF95="","",IFERROR(IF(INDEX(CODIFICACION!$E$2:$E$500,MATCH("D3.14d|"&amp;CAPTURA!BF95,CODIFICACION!$F$2:$F$500,0))="sin dato","",INDEX(CODIFICACION!$E$2:$E$500,MATCH("D3.14d|"&amp;CAPTURA!BF95,CODIFICACION!$F$2:$F$500,0))),"⚠"))</f>
        <v/>
      </c>
      <c r="AB95" t="str">
        <f>IF(CAPTURA!BG95="","",IFERROR(IF(INDEX(CODIFICACION!$E$2:$E$500,MATCH("D3.14e|"&amp;CAPTURA!BG95,CODIFICACION!$F$2:$F$500,0))="sin dato","",INDEX(CODIFICACION!$E$2:$E$500,MATCH("D3.14e|"&amp;CAPTURA!BG95,CODIFICACION!$F$2:$F$500,0))),"⚠"))</f>
        <v/>
      </c>
      <c r="AC95" t="str">
        <f>IF(CAPTURA!BH95="","",IFERROR(IF(INDEX(CODIFICACION!$E$2:$E$500,MATCH("D3.14f|"&amp;CAPTURA!BH95,CODIFICACION!$F$2:$F$500,0))="sin dato","",INDEX(CODIFICACION!$E$2:$E$500,MATCH("D3.14f|"&amp;CAPTURA!BH95,CODIFICACION!$F$2:$F$500,0))),"⚠"))</f>
        <v/>
      </c>
      <c r="AD95" t="str">
        <f>IF(CAPTURA!BI95="","",IFERROR(IF(INDEX(CODIFICACION!$E$2:$E$500,MATCH("D3.14g|"&amp;CAPTURA!BI95,CODIFICACION!$F$2:$F$500,0))="sin dato","",INDEX(CODIFICACION!$E$2:$E$500,MATCH("D3.14g|"&amp;CAPTURA!BI95,CODIFICACION!$F$2:$F$500,0))),"⚠"))</f>
        <v/>
      </c>
      <c r="AE95" t="str">
        <f>IF(CAPTURA!BJ95="","",IFERROR(IF(INDEX(CODIFICACION!$E$2:$E$500,MATCH("D3.14h|"&amp;CAPTURA!BJ95,CODIFICACION!$F$2:$F$500,0))="sin dato","",INDEX(CODIFICACION!$E$2:$E$500,MATCH("D3.14h|"&amp;CAPTURA!BJ95,CODIFICACION!$F$2:$F$500,0))),"⚠"))</f>
        <v/>
      </c>
      <c r="AF95" t="str">
        <f>IF(CAPTURA!BK95="","",IFERROR(IF(INDEX(CODIFICACION!$E$2:$E$500,MATCH("D3.14i|"&amp;CAPTURA!BK95,CODIFICACION!$F$2:$F$500,0))="sin dato","",INDEX(CODIFICACION!$E$2:$E$500,MATCH("D3.14i|"&amp;CAPTURA!BK95,CODIFICACION!$F$2:$F$500,0))),"⚠"))</f>
        <v/>
      </c>
      <c r="AG95" t="str">
        <f>IF(CAPTURA!BL95="","",IFERROR(IF(INDEX(CODIFICACION!$E$2:$E$500,MATCH("D4.15|"&amp;CAPTURA!BL95,CODIFICACION!$F$2:$F$500,0))="sin dato","",INDEX(CODIFICACION!$E$2:$E$500,MATCH("D4.15|"&amp;CAPTURA!BL95,CODIFICACION!$F$2:$F$500,0))),"⚠"))</f>
        <v/>
      </c>
      <c r="AH95" t="str">
        <f>IF(CAPTURA!BM95="","",IF(AND(ISNUMBER(CAPTURA!BM95),CAPTURA!BM95&gt;=0,CAPTURA!BM95&lt;=4),CAPTURA!BM95*25,"⚠"))</f>
        <v/>
      </c>
      <c r="AI95" t="str">
        <f>IF(CAPTURA!BN95="","",IFERROR(IF(INDEX(CODIFICACION!$E$2:$E$500,MATCH("D4.17|"&amp;CAPTURA!BN95,CODIFICACION!$F$2:$F$500,0))="sin dato","",INDEX(CODIFICACION!$E$2:$E$500,MATCH("D4.17|"&amp;CAPTURA!BN95,CODIFICACION!$F$2:$F$500,0))),"⚠"))</f>
        <v/>
      </c>
      <c r="AJ95" t="str">
        <f>IF(CAPTURA!BO95="","",IFERROR(IF(INDEX(CODIFICACION!$E$2:$E$500,MATCH("D4.15a|"&amp;CAPTURA!BO95,CODIFICACION!$F$2:$F$500,0))="sin dato","",INDEX(CODIFICACION!$E$2:$E$500,MATCH("D4.15a|"&amp;CAPTURA!BO95,CODIFICACION!$F$2:$F$500,0))),"⚠"))</f>
        <v/>
      </c>
      <c r="AK95" t="str">
        <f>IF(CAPTURA!BP95="","",IF(AND(ISNUMBER(CAPTURA!BP95),CAPTURA!BP95&gt;=0,CAPTURA!BP95&lt;=4),CAPTURA!BP95*25,"⚠"))</f>
        <v/>
      </c>
      <c r="AL95" t="str">
        <f>IF(CAPTURA!BQ95="","",IF(AND(ISNUMBER(CAPTURA!BQ95),CAPTURA!BQ95&gt;=0,CAPTURA!BQ95&lt;=4),CAPTURA!BQ95*25,"⚠"))</f>
        <v/>
      </c>
      <c r="AM95" t="str">
        <f>IF(CAPTURA!BR95="","",IFERROR(IF(INDEX(CODIFICACION!$E$2:$E$500,MATCH("D5.18b|"&amp;CAPTURA!BR95,CODIFICACION!$F$2:$F$500,0))="sin dato","",INDEX(CODIFICACION!$E$2:$E$500,MATCH("D5.18b|"&amp;CAPTURA!BR95,CODIFICACION!$F$2:$F$500,0))),"⚠"))</f>
        <v/>
      </c>
      <c r="AN95" t="str">
        <f>IF(CAPTURA!BS95="","",IFERROR(IF(INDEX(CODIFICACION!$E$2:$E$500,MATCH("D5.19|"&amp;CAPTURA!BS95,CODIFICACION!$F$2:$F$500,0))="sin dato","",INDEX(CODIFICACION!$E$2:$E$500,MATCH("D5.19|"&amp;CAPTURA!BS95,CODIFICACION!$F$2:$F$500,0))),"⚠"))</f>
        <v/>
      </c>
      <c r="AO95" t="str">
        <f>IF(CAPTURA!BT95="","",MIN(100,ROUND((LEN(CAPTURA!BT95)-LEN(SUBSTITUTE(CAPTURA!BT95,";",""))+1)/7*100,1)))</f>
        <v/>
      </c>
      <c r="AP95" t="str">
        <f>IF(CAPTURA!BU95="","",IFERROR(IF(INDEX(CODIFICACION!$E$2:$E$500,MATCH("D5.20|"&amp;CAPTURA!BU95,CODIFICACION!$F$2:$F$500,0))="sin dato","",INDEX(CODIFICACION!$E$2:$E$500,MATCH("D5.20|"&amp;CAPTURA!BU95,CODIFICACION!$F$2:$F$500,0))),"⚠"))</f>
        <v/>
      </c>
      <c r="AQ95" t="str">
        <f>IF(CAPTURA!BV95="","",IFERROR(IF(INDEX(CODIFICACION!$E$2:$E$500,MATCH("D5.21|"&amp;CAPTURA!BV95,CODIFICACION!$F$2:$F$500,0))="sin dato","",INDEX(CODIFICACION!$E$2:$E$500,MATCH("D5.21|"&amp;CAPTURA!BV95,CODIFICACION!$F$2:$F$500,0))),"⚠"))</f>
        <v/>
      </c>
      <c r="AR95" t="str">
        <f>IF(CAPTURA!BW95="","",IFERROR(IF(INDEX(CODIFICACION!$E$2:$E$500,MATCH("D5.21a|"&amp;CAPTURA!BW95,CODIFICACION!$F$2:$F$500,0))="sin dato","",INDEX(CODIFICACION!$E$2:$E$500,MATCH("D5.21a|"&amp;CAPTURA!BW95,CODIFICACION!$F$2:$F$500,0))),"⚠"))</f>
        <v/>
      </c>
      <c r="AS95" t="str">
        <f>IF(CAPTURA!BX95="","",IFERROR(IF(INDEX(CODIFICACION!$E$2:$E$500,MATCH("D5.21b|"&amp;CAPTURA!BX95,CODIFICACION!$F$2:$F$500,0))="sin dato","",INDEX(CODIFICACION!$E$2:$E$500,MATCH("D5.21b|"&amp;CAPTURA!BX95,CODIFICACION!$F$2:$F$500,0))),"⚠"))</f>
        <v/>
      </c>
      <c r="AT95" t="str">
        <f>IF(CAPTURA!BY95="","",IFERROR(IF(INDEX(CODIFICACION!$E$2:$E$500,MATCH("D6.22|"&amp;CAPTURA!BY95,CODIFICACION!$F$2:$F$500,0))="sin dato","",INDEX(CODIFICACION!$E$2:$E$500,MATCH("D6.22|"&amp;CAPTURA!BY95,CODIFICACION!$F$2:$F$500,0))),"⚠"))</f>
        <v/>
      </c>
      <c r="AU95" t="str">
        <f>IF(CAPTURA!BZ95="","",IFERROR(IF(INDEX(CODIFICACION!$E$2:$E$500,MATCH("D6.22a|"&amp;CAPTURA!BZ95,CODIFICACION!$F$2:$F$500,0))="sin dato","",INDEX(CODIFICACION!$E$2:$E$500,MATCH("D6.22a|"&amp;CAPTURA!BZ95,CODIFICACION!$F$2:$F$500,0))),"⚠"))</f>
        <v/>
      </c>
      <c r="AV95" t="str">
        <f>IF(CAPTURA!CA95="","",IFERROR(IF(INDEX(CODIFICACION!$E$2:$E$500,MATCH("D6.22b|"&amp;CAPTURA!CA95,CODIFICACION!$F$2:$F$500,0))="sin dato","",INDEX(CODIFICACION!$E$2:$E$500,MATCH("D6.22b|"&amp;CAPTURA!CA95,CODIFICACION!$F$2:$F$500,0))),"⚠"))</f>
        <v/>
      </c>
      <c r="AW95" t="str">
        <f>IF(CAPTURA!CB95="","",IFERROR(IF(INDEX(CODIFICACION!$E$2:$E$500,MATCH("D6.23|"&amp;CAPTURA!CB95,CODIFICACION!$F$2:$F$500,0))="sin dato","",INDEX(CODIFICACION!$E$2:$E$500,MATCH("D6.23|"&amp;CAPTURA!CB95,CODIFICACION!$F$2:$F$500,0))),"⚠"))</f>
        <v/>
      </c>
      <c r="AX95" t="str">
        <f>IF(CAPTURA!CC95="","",IFERROR(IF(INDEX(CODIFICACION!$E$2:$E$500,MATCH("D6.24|"&amp;CAPTURA!CC95,CODIFICACION!$F$2:$F$500,0))="sin dato","",INDEX(CODIFICACION!$E$2:$E$500,MATCH("D6.24|"&amp;CAPTURA!CC95,CODIFICACION!$F$2:$F$500,0))),"⚠"))</f>
        <v/>
      </c>
      <c r="AY95" t="str">
        <f>IF(CAPTURA!CD95="","",IFERROR(IF(INDEX(CODIFICACION!$E$2:$E$500,MATCH("D6.25|"&amp;CAPTURA!CD95,CODIFICACION!$F$2:$F$500,0))="sin dato","",INDEX(CODIFICACION!$E$2:$E$500,MATCH("D6.25|"&amp;CAPTURA!CD95,CODIFICACION!$F$2:$F$500,0))),"⚠"))</f>
        <v/>
      </c>
      <c r="AZ95" t="str">
        <f>IF(CAPTURA!CE95="","",IFERROR(IF(INDEX(CODIFICACION!$E$2:$E$500,MATCH("D6.25a|"&amp;CAPTURA!CE95,CODIFICACION!$F$2:$F$500,0))="sin dato","",INDEX(CODIFICACION!$E$2:$E$500,MATCH("D6.25a|"&amp;CAPTURA!CE95,CODIFICACION!$F$2:$F$500,0))),"⚠"))</f>
        <v/>
      </c>
      <c r="BA95" t="str">
        <f>IF(CAPTURA!CF95="","",IFERROR(IF(INDEX(CODIFICACION!$E$2:$E$500,MATCH("D6.25b|"&amp;CAPTURA!CF95,CODIFICACION!$F$2:$F$500,0))="sin dato","",INDEX(CODIFICACION!$E$2:$E$500,MATCH("D6.25b|"&amp;CAPTURA!CF95,CODIFICACION!$F$2:$F$500,0))),"⚠"))</f>
        <v/>
      </c>
      <c r="BB95" t="str">
        <f>IF(CAPTURA!CG95="","",IFERROR(IF(INDEX(CODIFICACION!$E$2:$E$500,MATCH("D6.22c|"&amp;CAPTURA!CG95,CODIFICACION!$F$2:$F$500,0))="sin dato","",INDEX(CODIFICACION!$E$2:$E$500,MATCH("D6.22c|"&amp;CAPTURA!CG95,CODIFICACION!$F$2:$F$500,0))),"⚠"))</f>
        <v/>
      </c>
      <c r="BC95" t="str">
        <f>IF(CAPTURA!CH95="","",IFERROR(IF(INDEX(CODIFICACION!$E$2:$E$500,MATCH("D7.26|"&amp;CAPTURA!CH95,CODIFICACION!$F$2:$F$500,0))="sin dato","",INDEX(CODIFICACION!$E$2:$E$500,MATCH("D7.26|"&amp;CAPTURA!CH95,CODIFICACION!$F$2:$F$500,0))),"⚠"))</f>
        <v/>
      </c>
      <c r="BD95" t="str">
        <f>IF(CAPTURA!CI95="","",IFERROR(IF(INDEX(CODIFICACION!$E$2:$E$500,MATCH("D7.27|"&amp;CAPTURA!CI95,CODIFICACION!$F$2:$F$500,0))="sin dato","",INDEX(CODIFICACION!$E$2:$E$500,MATCH("D7.27|"&amp;CAPTURA!CI95,CODIFICACION!$F$2:$F$500,0))),"⚠"))</f>
        <v/>
      </c>
      <c r="BE95" t="str">
        <f>IF(CAPTURA!CJ95="","",IFERROR(IF(INDEX(CODIFICACION!$E$2:$E$500,MATCH("D7.28|"&amp;CAPTURA!CJ95,CODIFICACION!$F$2:$F$500,0))="sin dato","",INDEX(CODIFICACION!$E$2:$E$500,MATCH("D7.28|"&amp;CAPTURA!CJ95,CODIFICACION!$F$2:$F$500,0))),"⚠"))</f>
        <v/>
      </c>
      <c r="BF95" t="str">
        <f>IF(CAPTURA!CK95="","",IFERROR(IF(INDEX(CODIFICACION!$E$2:$E$500,MATCH("D7.28b|"&amp;CAPTURA!CK95,CODIFICACION!$F$2:$F$500,0))="sin dato","",INDEX(CODIFICACION!$E$2:$E$500,MATCH("D7.28b|"&amp;CAPTURA!CK95,CODIFICACION!$F$2:$F$500,0))),"⚠"))</f>
        <v/>
      </c>
      <c r="BG95" t="str">
        <f>IF(CAPTURA!CL95="","",MIN(100,ROUND((LEN(CAPTURA!CL95)-LEN(SUBSTITUTE(CAPTURA!CL95,";",""))+1)/8*100,1)))</f>
        <v/>
      </c>
      <c r="BH95" t="str">
        <f>IF(CAPTURA!CM95="","",IFERROR(IF(INDEX(CODIFICACION!$E$2:$E$500,MATCH("D7.26a|"&amp;CAPTURA!CM95,CODIFICACION!$F$2:$F$500,0))="sin dato","",INDEX(CODIFICACION!$E$2:$E$500,MATCH("D7.26a|"&amp;CAPTURA!CM95,CODIFICACION!$F$2:$F$500,0))),"⚠"))</f>
        <v/>
      </c>
      <c r="BI95" t="str">
        <f>IF(CAPTURA!CN95="","",IFERROR(IF(INDEX(CODIFICACION!$E$2:$E$500,MATCH("D7.26b|"&amp;CAPTURA!CN95,CODIFICACION!$F$2:$F$500,0))="sin dato","",INDEX(CODIFICACION!$E$2:$E$500,MATCH("D7.26b|"&amp;CAPTURA!CN95,CODIFICACION!$F$2:$F$500,0))),"⚠"))</f>
        <v/>
      </c>
      <c r="BJ95" t="str">
        <f>IF(CAPTURA!CO95="","",IF(AND(ISNUMBER(CAPTURA!CO95),CAPTURA!CO95&gt;=0,CAPTURA!CO95&lt;=4),CAPTURA!CO95*25,"⚠"))</f>
        <v/>
      </c>
      <c r="BK95" t="str">
        <f>IF(CAPTURA!CP95="","",IF(ISNUMBER(CAPTURA!CP95),MAX(0,MIN(100,CAPTURA!CP95)),"⚠"))</f>
        <v/>
      </c>
      <c r="BL95" t="str">
        <f>IF(CAPTURA!CQ95="","",IFERROR(IF(INDEX(CODIFICACION!$E$2:$E$500,MATCH("D8.31|"&amp;CAPTURA!CQ95,CODIFICACION!$F$2:$F$500,0))="sin dato","",INDEX(CODIFICACION!$E$2:$E$500,MATCH("D8.31|"&amp;CAPTURA!CQ95,CODIFICACION!$F$2:$F$500,0))),"⚠"))</f>
        <v/>
      </c>
      <c r="BM95" t="str">
        <f>IF(CAPTURA!CR95="","",IFERROR(IF(INDEX(CODIFICACION!$E$2:$E$500,MATCH("D8.32|"&amp;CAPTURA!CR95,CODIFICACION!$F$2:$F$500,0))="sin dato","",INDEX(CODIFICACION!$E$2:$E$500,MATCH("D8.32|"&amp;CAPTURA!CR95,CODIFICACION!$F$2:$F$500,0))),"⚠"))</f>
        <v/>
      </c>
      <c r="BN95" t="str">
        <f>IF(CAPTURA!CS95="","",IFERROR(IF(INDEX(CODIFICACION!$E$2:$E$500,MATCH("D9.33|"&amp;CAPTURA!CS95,CODIFICACION!$F$2:$F$500,0))="sin dato","",INDEX(CODIFICACION!$E$2:$E$500,MATCH("D9.33|"&amp;CAPTURA!CS95,CODIFICACION!$F$2:$F$500,0))),"⚠"))</f>
        <v/>
      </c>
      <c r="BO95" t="str">
        <f>IF(CAPTURA!CT95="","",IFERROR(IF(INDEX(CODIFICACION!$E$2:$E$500,MATCH("D9.34|"&amp;CAPTURA!CT95,CODIFICACION!$F$2:$F$500,0))="sin dato","",INDEX(CODIFICACION!$E$2:$E$500,MATCH("D9.34|"&amp;CAPTURA!CT95,CODIFICACION!$F$2:$F$500,0))),"⚠"))</f>
        <v/>
      </c>
      <c r="BP95" t="str">
        <f>IF(CAPTURA!CU95="","",IFERROR(IF(INDEX(CODIFICACION!$E$2:$E$500,MATCH("D9.35|"&amp;CAPTURA!CU95,CODIFICACION!$F$2:$F$500,0))="sin dato","",INDEX(CODIFICACION!$E$2:$E$500,MATCH("D9.35|"&amp;CAPTURA!CU95,CODIFICACION!$F$2:$F$500,0))),"⚠"))</f>
        <v/>
      </c>
      <c r="BQ95" t="str">
        <f>IF(CAPTURA!CV95="","",IFERROR(IF(INDEX(CODIFICACION!$E$2:$E$500,MATCH("D10.36|"&amp;CAPTURA!CV95,CODIFICACION!$F$2:$F$500,0))="sin dato","",INDEX(CODIFICACION!$E$2:$E$500,MATCH("D10.36|"&amp;CAPTURA!CV95,CODIFICACION!$F$2:$F$500,0))),"⚠"))</f>
        <v/>
      </c>
      <c r="BR95" t="str">
        <f>IF(CAPTURA!CW95="","",IFERROR(IF(INDEX(CODIFICACION!$E$2:$E$500,MATCH("D10.37|"&amp;CAPTURA!CW95,CODIFICACION!$F$2:$F$500,0))="sin dato","",INDEX(CODIFICACION!$E$2:$E$500,MATCH("D10.37|"&amp;CAPTURA!CW95,CODIFICACION!$F$2:$F$500,0))),"⚠"))</f>
        <v/>
      </c>
      <c r="BS95" t="str">
        <f>IF(CAPTURA!CX95="","",IFERROR(IF(INDEX(CODIFICACION!$E$2:$E$500,MATCH("D10.36a|"&amp;CAPTURA!CX95,CODIFICACION!$F$2:$F$500,0))="sin dato","",INDEX(CODIFICACION!$E$2:$E$500,MATCH("D10.36a|"&amp;CAPTURA!CX95,CODIFICACION!$F$2:$F$500,0))),"⚠"))</f>
        <v/>
      </c>
      <c r="BT95" t="str">
        <f>IF(CAPTURA!CY95="","",IF(ISNUMBER(SEARCH("Ninguno",CAPTURA!CY95)),0,MIN(100,ROUND((LEN(CAPTURA!CY95)-LEN(SUBSTITUTE(CAPTURA!CY95,";",""))+1)/6*100,1))))</f>
        <v/>
      </c>
      <c r="BU95" t="str">
        <f>IF(CAPTURA!DA95="","",IFERROR(IF(INDEX(CODIFICACION!$E$2:$E$500,MATCH("D11.39a|"&amp;CAPTURA!DA95,CODIFICACION!$F$2:$F$500,0))="sin dato","",INDEX(CODIFICACION!$E$2:$E$500,MATCH("D11.39a|"&amp;CAPTURA!DA95,CODIFICACION!$F$2:$F$500,0))),"⚠"))</f>
        <v/>
      </c>
      <c r="BV95" t="str">
        <f>IF(CAPTURA!DB95="","",IFERROR(IF(INDEX(CODIFICACION!$E$2:$E$500,MATCH("D12.42|"&amp;CAPTURA!DB95,CODIFICACION!$F$2:$F$500,0))="sin dato","",INDEX(CODIFICACION!$E$2:$E$500,MATCH("D12.42|"&amp;CAPTURA!DB95,CODIFICACION!$F$2:$F$500,0))),"⚠"))</f>
        <v/>
      </c>
      <c r="BW95" t="str">
        <f>IF(CAPTURA!DC95="","",IFERROR(IF(INDEX(CODIFICACION!$E$2:$E$500,MATCH("D13.45|"&amp;CAPTURA!DC95,CODIFICACION!$F$2:$F$500,0))="sin dato","",INDEX(CODIFICACION!$E$2:$E$500,MATCH("D13.45|"&amp;CAPTURA!DC95,CODIFICACION!$F$2:$F$500,0))),"⚠"))</f>
        <v/>
      </c>
      <c r="BX95" t="str">
        <f>IF(CAPTURA!DD95="","",IFERROR(IF(INDEX(CODIFICACION!$E$2:$E$500,MATCH("D14.51|"&amp;CAPTURA!DD95,CODIFICACION!$F$2:$F$500,0))="sin dato","",INDEX(CODIFICACION!$E$2:$E$500,MATCH("D14.51|"&amp;CAPTURA!DD95,CODIFICACION!$F$2:$F$500,0))),"⚠"))</f>
        <v/>
      </c>
      <c r="BY95" t="str">
        <f>IF(CAPTURA!DE95="","",IFERROR(IF(INDEX(CODIFICACION!$E$2:$E$500,MATCH("D15.58|"&amp;CAPTURA!DE95,CODIFICACION!$F$2:$F$500,0))="sin dato","",INDEX(CODIFICACION!$E$2:$E$500,MATCH("D15.58|"&amp;CAPTURA!DE95,CODIFICACION!$F$2:$F$500,0))),"⚠"))</f>
        <v/>
      </c>
      <c r="BZ95" t="str">
        <f>IF(CAPTURA!DF95="","",IFERROR(IF(INDEX(CODIFICACION!$E$2:$E$500,MATCH("PP1|"&amp;CAPTURA!DF95,CODIFICACION!$F$2:$F$500,0))="sin dato","",INDEX(CODIFICACION!$E$2:$E$500,MATCH("PP1|"&amp;CAPTURA!DF95,CODIFICACION!$F$2:$F$500,0))),"⚠"))</f>
        <v/>
      </c>
      <c r="CA95" t="str">
        <f>IF(CAPTURA!DG95="","",IFERROR(IF(INDEX(CODIFICACION!$E$2:$E$500,MATCH("PP2|"&amp;CAPTURA!DG95,CODIFICACION!$F$2:$F$500,0))="sin dato","",INDEX(CODIFICACION!$E$2:$E$500,MATCH("PP2|"&amp;CAPTURA!DG95,CODIFICACION!$F$2:$F$500,0))),"⚠"))</f>
        <v/>
      </c>
      <c r="CB95" t="str">
        <f t="shared" si="22"/>
        <v/>
      </c>
      <c r="CC95" t="str">
        <f t="shared" si="23"/>
        <v/>
      </c>
      <c r="CD95" t="str">
        <f t="shared" si="24"/>
        <v/>
      </c>
      <c r="CE95" t="str">
        <f t="shared" si="25"/>
        <v/>
      </c>
      <c r="CF95" t="str">
        <f t="shared" si="26"/>
        <v/>
      </c>
      <c r="CG95" t="str">
        <f t="shared" si="27"/>
        <v/>
      </c>
      <c r="CH95" t="str">
        <f t="shared" si="28"/>
        <v/>
      </c>
      <c r="CI95" t="str">
        <f t="shared" si="29"/>
        <v/>
      </c>
      <c r="CJ95" t="str">
        <f t="shared" si="30"/>
        <v/>
      </c>
      <c r="CK95" t="str">
        <f t="shared" si="31"/>
        <v/>
      </c>
      <c r="CL95" t="str">
        <f t="shared" si="32"/>
        <v/>
      </c>
    </row>
    <row r="96" spans="1:90" x14ac:dyDescent="0.3">
      <c r="A96">
        <f>CAPTURA!A96</f>
        <v>20573057385</v>
      </c>
      <c r="B96">
        <f>CAPTURA!C96</f>
        <v>0</v>
      </c>
      <c r="C96" t="str">
        <f>IF(CAPTURA!M96="","",ROUND((ISNUMBER(SEARCH("Alemania",CAPTURA!M96))+ISNUMBER(SEARCH("Bélgica",CAPTURA!M96))+ISNUMBER(SEARCH("Países Bajos",CAPTURA!M96))+ISNUMBER(SEARCH("Francia",CAPTURA!M96))+ISNUMBER(SEARCH("Italia",CAPTURA!M96))+ISNUMBER(SEARCH("España",CAPTURA!M96))+ISNUMBER(SEARCH("Suecia",CAPTURA!M96))+ISNUMBER(SEARCH("Dinamarca",CAPTURA!M96)))/((LEN(CAPTURA!M96)-LEN(SUBSTITUTE(CAPTURA!M96,";","")))+1)*100,1))</f>
        <v/>
      </c>
      <c r="D96" t="str">
        <f>IF(CAPTURA!AE96="","",IFERROR(IF(INDEX(CODIFICACION!$E$2:$E$500,MATCH("P8|"&amp;CAPTURA!AE96,CODIFICACION!$F$2:$F$500,0))="sin dato","",INDEX(CODIFICACION!$E$2:$E$500,MATCH("P8|"&amp;CAPTURA!AE96,CODIFICACION!$F$2:$F$500,0))),"⚠"))</f>
        <v/>
      </c>
      <c r="E96" t="str">
        <f>IF(CAPTURA!AG96="","",IFERROR(IF(INDEX(CODIFICACION!$E$2:$E$500,MATCH("P10|"&amp;CAPTURA!AG96,CODIFICACION!$F$2:$F$500,0))="sin dato","",INDEX(CODIFICACION!$E$2:$E$500,MATCH("P10|"&amp;CAPTURA!AG96,CODIFICACION!$F$2:$F$500,0))),"⚠"))</f>
        <v/>
      </c>
      <c r="F96" t="str">
        <f>IF(CAPTURA!AJ96="","",IFERROR(IF(INDEX(CODIFICACION!$E$2:$E$500,MATCH("P13|"&amp;CAPTURA!AJ96,CODIFICACION!$F$2:$F$500,0))="sin dato","",INDEX(CODIFICACION!$E$2:$E$500,MATCH("P13|"&amp;CAPTURA!AJ96,CODIFICACION!$F$2:$F$500,0))),"⚠"))</f>
        <v/>
      </c>
      <c r="G96" t="str">
        <f>IF(CAPTURA!AK96="","",IFERROR(IF(INDEX(CODIFICACION!$E$2:$E$500,MATCH("P14|"&amp;CAPTURA!AK96,CODIFICACION!$F$2:$F$500,0))="sin dato","",INDEX(CODIFICACION!$E$2:$E$500,MATCH("P14|"&amp;CAPTURA!AK96,CODIFICACION!$F$2:$F$500,0))),"⚠"))</f>
        <v/>
      </c>
      <c r="H96" t="str">
        <f>IF(CAPTURA!AL96="","",IFERROR(IF(INDEX(CODIFICACION!$E$2:$E$500,MATCH("D1.1|"&amp;CAPTURA!AL96,CODIFICACION!$F$2:$F$500,0))="sin dato","",INDEX(CODIFICACION!$E$2:$E$500,MATCH("D1.1|"&amp;CAPTURA!AL96,CODIFICACION!$F$2:$F$500,0))),"⚠"))</f>
        <v/>
      </c>
      <c r="I96" t="str">
        <f>IF(CAPTURA!AN96="","",IFERROR(IF(INDEX(CODIFICACION!$E$2:$E$500,MATCH("D1.3|"&amp;CAPTURA!AN96,CODIFICACION!$F$2:$F$500,0))="sin dato","",INDEX(CODIFICACION!$E$2:$E$500,MATCH("D1.3|"&amp;CAPTURA!AN96,CODIFICACION!$F$2:$F$500,0))),"⚠"))</f>
        <v/>
      </c>
      <c r="J96" t="str">
        <f>IF(CAPTURA!AO96="","",IFERROR(IF(INDEX(CODIFICACION!$E$2:$E$500,MATCH("D1.4|"&amp;CAPTURA!AO96,CODIFICACION!$F$2:$F$500,0))="sin dato","",INDEX(CODIFICACION!$E$2:$E$500,MATCH("D1.4|"&amp;CAPTURA!AO96,CODIFICACION!$F$2:$F$500,0))),"⚠"))</f>
        <v/>
      </c>
      <c r="K96" t="str">
        <f>IF(CAPTURA!AP96="","",IFERROR(IF(INDEX(CODIFICACION!$E$2:$E$500,MATCH("D1.3a|"&amp;CAPTURA!AP96,CODIFICACION!$F$2:$F$500,0))="sin dato","",INDEX(CODIFICACION!$E$2:$E$500,MATCH("D1.3a|"&amp;CAPTURA!AP96,CODIFICACION!$F$2:$F$500,0))),"⚠"))</f>
        <v/>
      </c>
      <c r="L96" t="str">
        <f>IF(CAPTURA!AQ96="","",IF(AND(ISNUMBER(CAPTURA!AQ96),CAPTURA!AQ96&gt;=0,CAPTURA!AQ96&lt;=4),CAPTURA!AQ96*25,"⚠"))</f>
        <v/>
      </c>
      <c r="M96" t="str">
        <f>IF(CAPTURA!AR96="","",IF(ISNUMBER(CAPTURA!AR96),MAX(0,MIN(100,CAPTURA!AR96)),"⚠"))</f>
        <v/>
      </c>
      <c r="N96" t="str">
        <f>IF(CAPTURA!AS96="","",IF(AND(ISNUMBER(CAPTURA!AS96),CAPTURA!AS96&gt;=0,CAPTURA!AS96&lt;=4),CAPTURA!AS96*25,"⚠"))</f>
        <v/>
      </c>
      <c r="O96" t="str">
        <f>IF(CAPTURA!AT96="","",IFERROR(IF(INDEX(CODIFICACION!$E$2:$E$500,MATCH("D2.8|"&amp;CAPTURA!AT96,CODIFICACION!$F$2:$F$500,0))="sin dato","",INDEX(CODIFICACION!$E$2:$E$500,MATCH("D2.8|"&amp;CAPTURA!AT96,CODIFICACION!$F$2:$F$500,0))),"⚠"))</f>
        <v/>
      </c>
      <c r="P96" t="str">
        <f>IF(CAPTURA!AU96="","",IFERROR(IF(INDEX(CODIFICACION!$E$2:$E$500,MATCH("D2.9|"&amp;CAPTURA!AU96,CODIFICACION!$F$2:$F$500,0))="sin dato","",INDEX(CODIFICACION!$E$2:$E$500,MATCH("D2.9|"&amp;CAPTURA!AU96,CODIFICACION!$F$2:$F$500,0))),"⚠"))</f>
        <v/>
      </c>
      <c r="Q96" t="str">
        <f>IF(CAPTURA!AV96="","",IFERROR(IF(INDEX(CODIFICACION!$E$2:$E$500,MATCH("D2.10|"&amp;CAPTURA!AV96,CODIFICACION!$F$2:$F$500,0))="sin dato","",INDEX(CODIFICACION!$E$2:$E$500,MATCH("D2.10|"&amp;CAPTURA!AV96,CODIFICACION!$F$2:$F$500,0))),"⚠"))</f>
        <v/>
      </c>
      <c r="R96" t="str">
        <f>IF(CAPTURA!AW96="","",IFERROR(IF(INDEX(CODIFICACION!$E$2:$E$500,MATCH("D2.5a|"&amp;CAPTURA!AW96,CODIFICACION!$F$2:$F$500,0))="sin dato","",INDEX(CODIFICACION!$E$2:$E$500,MATCH("D2.5a|"&amp;CAPTURA!AW96,CODIFICACION!$F$2:$F$500,0))),"⚠"))</f>
        <v/>
      </c>
      <c r="S96" t="str">
        <f>IF(CAPTURA!AX96="","",IFERROR(IF(INDEX(CODIFICACION!$E$2:$E$500,MATCH("D2.5b|"&amp;CAPTURA!AX96,CODIFICACION!$F$2:$F$500,0))="sin dato","",INDEX(CODIFICACION!$E$2:$E$500,MATCH("D2.5b|"&amp;CAPTURA!AX96,CODIFICACION!$F$2:$F$500,0))),"⚠"))</f>
        <v/>
      </c>
      <c r="T96" t="str">
        <f>IF(CAPTURA!AY96="","",IF(ISNUMBER(CAPTURA!AY96),MAX(0,MIN(100,CAPTURA!AY96)),"⚠"))</f>
        <v/>
      </c>
      <c r="U96" t="str">
        <f>IF(CAPTURA!AZ96="","",IFERROR(IF(INDEX(CODIFICACION!$E$2:$E$500,MATCH("D3.12|"&amp;CAPTURA!AZ96,CODIFICACION!$F$2:$F$500,0))="sin dato","",INDEX(CODIFICACION!$E$2:$E$500,MATCH("D3.12|"&amp;CAPTURA!AZ96,CODIFICACION!$F$2:$F$500,0))),"⚠"))</f>
        <v/>
      </c>
      <c r="V96" t="str">
        <f>IF(CAPTURA!BA96="","",IF(AND(ISNUMBER(CAPTURA!BA96),CAPTURA!BA96&gt;=0,CAPTURA!BA96&lt;=4),CAPTURA!BA96*25,"⚠"))</f>
        <v/>
      </c>
      <c r="W96" t="str">
        <f>IF(CAPTURA!BB96="","",IFERROR(IF(INDEX(CODIFICACION!$E$2:$E$500,MATCH("D3.14|"&amp;CAPTURA!BB96,CODIFICACION!$F$2:$F$500,0))="sin dato","",INDEX(CODIFICACION!$E$2:$E$500,MATCH("D3.14|"&amp;CAPTURA!BB96,CODIFICACION!$F$2:$F$500,0))),"⚠"))</f>
        <v/>
      </c>
      <c r="X96" t="str">
        <f>IF(CAPTURA!BC96="","",IFERROR(IF(INDEX(CODIFICACION!$E$2:$E$500,MATCH("D3.14a|"&amp;CAPTURA!BC96,CODIFICACION!$F$2:$F$500,0))="sin dato","",INDEX(CODIFICACION!$E$2:$E$500,MATCH("D3.14a|"&amp;CAPTURA!BC96,CODIFICACION!$F$2:$F$500,0))),"⚠"))</f>
        <v/>
      </c>
      <c r="Y96" t="str">
        <f>IF(CAPTURA!BD96="","",IFERROR(IF(INDEX(CODIFICACION!$E$2:$E$500,MATCH("D3.14b|"&amp;CAPTURA!BD96,CODIFICACION!$F$2:$F$500,0))="sin dato","",INDEX(CODIFICACION!$E$2:$E$500,MATCH("D3.14b|"&amp;CAPTURA!BD96,CODIFICACION!$F$2:$F$500,0))),"⚠"))</f>
        <v/>
      </c>
      <c r="Z96" t="str">
        <f>IF(CAPTURA!BE96="","",IFERROR(IF(INDEX(CODIFICACION!$E$2:$E$500,MATCH("D3.14c|"&amp;CAPTURA!BE96,CODIFICACION!$F$2:$F$500,0))="sin dato","",INDEX(CODIFICACION!$E$2:$E$500,MATCH("D3.14c|"&amp;CAPTURA!BE96,CODIFICACION!$F$2:$F$500,0))),"⚠"))</f>
        <v/>
      </c>
      <c r="AA96" t="str">
        <f>IF(CAPTURA!BF96="","",IFERROR(IF(INDEX(CODIFICACION!$E$2:$E$500,MATCH("D3.14d|"&amp;CAPTURA!BF96,CODIFICACION!$F$2:$F$500,0))="sin dato","",INDEX(CODIFICACION!$E$2:$E$500,MATCH("D3.14d|"&amp;CAPTURA!BF96,CODIFICACION!$F$2:$F$500,0))),"⚠"))</f>
        <v/>
      </c>
      <c r="AB96" t="str">
        <f>IF(CAPTURA!BG96="","",IFERROR(IF(INDEX(CODIFICACION!$E$2:$E$500,MATCH("D3.14e|"&amp;CAPTURA!BG96,CODIFICACION!$F$2:$F$500,0))="sin dato","",INDEX(CODIFICACION!$E$2:$E$500,MATCH("D3.14e|"&amp;CAPTURA!BG96,CODIFICACION!$F$2:$F$500,0))),"⚠"))</f>
        <v/>
      </c>
      <c r="AC96" t="str">
        <f>IF(CAPTURA!BH96="","",IFERROR(IF(INDEX(CODIFICACION!$E$2:$E$500,MATCH("D3.14f|"&amp;CAPTURA!BH96,CODIFICACION!$F$2:$F$500,0))="sin dato","",INDEX(CODIFICACION!$E$2:$E$500,MATCH("D3.14f|"&amp;CAPTURA!BH96,CODIFICACION!$F$2:$F$500,0))),"⚠"))</f>
        <v/>
      </c>
      <c r="AD96" t="str">
        <f>IF(CAPTURA!BI96="","",IFERROR(IF(INDEX(CODIFICACION!$E$2:$E$500,MATCH("D3.14g|"&amp;CAPTURA!BI96,CODIFICACION!$F$2:$F$500,0))="sin dato","",INDEX(CODIFICACION!$E$2:$E$500,MATCH("D3.14g|"&amp;CAPTURA!BI96,CODIFICACION!$F$2:$F$500,0))),"⚠"))</f>
        <v/>
      </c>
      <c r="AE96" t="str">
        <f>IF(CAPTURA!BJ96="","",IFERROR(IF(INDEX(CODIFICACION!$E$2:$E$500,MATCH("D3.14h|"&amp;CAPTURA!BJ96,CODIFICACION!$F$2:$F$500,0))="sin dato","",INDEX(CODIFICACION!$E$2:$E$500,MATCH("D3.14h|"&amp;CAPTURA!BJ96,CODIFICACION!$F$2:$F$500,0))),"⚠"))</f>
        <v/>
      </c>
      <c r="AF96" t="str">
        <f>IF(CAPTURA!BK96="","",IFERROR(IF(INDEX(CODIFICACION!$E$2:$E$500,MATCH("D3.14i|"&amp;CAPTURA!BK96,CODIFICACION!$F$2:$F$500,0))="sin dato","",INDEX(CODIFICACION!$E$2:$E$500,MATCH("D3.14i|"&amp;CAPTURA!BK96,CODIFICACION!$F$2:$F$500,0))),"⚠"))</f>
        <v/>
      </c>
      <c r="AG96" t="str">
        <f>IF(CAPTURA!BL96="","",IFERROR(IF(INDEX(CODIFICACION!$E$2:$E$500,MATCH("D4.15|"&amp;CAPTURA!BL96,CODIFICACION!$F$2:$F$500,0))="sin dato","",INDEX(CODIFICACION!$E$2:$E$500,MATCH("D4.15|"&amp;CAPTURA!BL96,CODIFICACION!$F$2:$F$500,0))),"⚠"))</f>
        <v/>
      </c>
      <c r="AH96" t="str">
        <f>IF(CAPTURA!BM96="","",IF(AND(ISNUMBER(CAPTURA!BM96),CAPTURA!BM96&gt;=0,CAPTURA!BM96&lt;=4),CAPTURA!BM96*25,"⚠"))</f>
        <v/>
      </c>
      <c r="AI96" t="str">
        <f>IF(CAPTURA!BN96="","",IFERROR(IF(INDEX(CODIFICACION!$E$2:$E$500,MATCH("D4.17|"&amp;CAPTURA!BN96,CODIFICACION!$F$2:$F$500,0))="sin dato","",INDEX(CODIFICACION!$E$2:$E$500,MATCH("D4.17|"&amp;CAPTURA!BN96,CODIFICACION!$F$2:$F$500,0))),"⚠"))</f>
        <v/>
      </c>
      <c r="AJ96" t="str">
        <f>IF(CAPTURA!BO96="","",IFERROR(IF(INDEX(CODIFICACION!$E$2:$E$500,MATCH("D4.15a|"&amp;CAPTURA!BO96,CODIFICACION!$F$2:$F$500,0))="sin dato","",INDEX(CODIFICACION!$E$2:$E$500,MATCH("D4.15a|"&amp;CAPTURA!BO96,CODIFICACION!$F$2:$F$500,0))),"⚠"))</f>
        <v/>
      </c>
      <c r="AK96" t="str">
        <f>IF(CAPTURA!BP96="","",IF(AND(ISNUMBER(CAPTURA!BP96),CAPTURA!BP96&gt;=0,CAPTURA!BP96&lt;=4),CAPTURA!BP96*25,"⚠"))</f>
        <v/>
      </c>
      <c r="AL96" t="str">
        <f>IF(CAPTURA!BQ96="","",IF(AND(ISNUMBER(CAPTURA!BQ96),CAPTURA!BQ96&gt;=0,CAPTURA!BQ96&lt;=4),CAPTURA!BQ96*25,"⚠"))</f>
        <v/>
      </c>
      <c r="AM96" t="str">
        <f>IF(CAPTURA!BR96="","",IFERROR(IF(INDEX(CODIFICACION!$E$2:$E$500,MATCH("D5.18b|"&amp;CAPTURA!BR96,CODIFICACION!$F$2:$F$500,0))="sin dato","",INDEX(CODIFICACION!$E$2:$E$500,MATCH("D5.18b|"&amp;CAPTURA!BR96,CODIFICACION!$F$2:$F$500,0))),"⚠"))</f>
        <v/>
      </c>
      <c r="AN96" t="str">
        <f>IF(CAPTURA!BS96="","",IFERROR(IF(INDEX(CODIFICACION!$E$2:$E$500,MATCH("D5.19|"&amp;CAPTURA!BS96,CODIFICACION!$F$2:$F$500,0))="sin dato","",INDEX(CODIFICACION!$E$2:$E$500,MATCH("D5.19|"&amp;CAPTURA!BS96,CODIFICACION!$F$2:$F$500,0))),"⚠"))</f>
        <v/>
      </c>
      <c r="AO96" t="str">
        <f>IF(CAPTURA!BT96="","",MIN(100,ROUND((LEN(CAPTURA!BT96)-LEN(SUBSTITUTE(CAPTURA!BT96,";",""))+1)/7*100,1)))</f>
        <v/>
      </c>
      <c r="AP96" t="str">
        <f>IF(CAPTURA!BU96="","",IFERROR(IF(INDEX(CODIFICACION!$E$2:$E$500,MATCH("D5.20|"&amp;CAPTURA!BU96,CODIFICACION!$F$2:$F$500,0))="sin dato","",INDEX(CODIFICACION!$E$2:$E$500,MATCH("D5.20|"&amp;CAPTURA!BU96,CODIFICACION!$F$2:$F$500,0))),"⚠"))</f>
        <v/>
      </c>
      <c r="AQ96" t="str">
        <f>IF(CAPTURA!BV96="","",IFERROR(IF(INDEX(CODIFICACION!$E$2:$E$500,MATCH("D5.21|"&amp;CAPTURA!BV96,CODIFICACION!$F$2:$F$500,0))="sin dato","",INDEX(CODIFICACION!$E$2:$E$500,MATCH("D5.21|"&amp;CAPTURA!BV96,CODIFICACION!$F$2:$F$500,0))),"⚠"))</f>
        <v/>
      </c>
      <c r="AR96" t="str">
        <f>IF(CAPTURA!BW96="","",IFERROR(IF(INDEX(CODIFICACION!$E$2:$E$500,MATCH("D5.21a|"&amp;CAPTURA!BW96,CODIFICACION!$F$2:$F$500,0))="sin dato","",INDEX(CODIFICACION!$E$2:$E$500,MATCH("D5.21a|"&amp;CAPTURA!BW96,CODIFICACION!$F$2:$F$500,0))),"⚠"))</f>
        <v/>
      </c>
      <c r="AS96" t="str">
        <f>IF(CAPTURA!BX96="","",IFERROR(IF(INDEX(CODIFICACION!$E$2:$E$500,MATCH("D5.21b|"&amp;CAPTURA!BX96,CODIFICACION!$F$2:$F$500,0))="sin dato","",INDEX(CODIFICACION!$E$2:$E$500,MATCH("D5.21b|"&amp;CAPTURA!BX96,CODIFICACION!$F$2:$F$500,0))),"⚠"))</f>
        <v/>
      </c>
      <c r="AT96" t="str">
        <f>IF(CAPTURA!BY96="","",IFERROR(IF(INDEX(CODIFICACION!$E$2:$E$500,MATCH("D6.22|"&amp;CAPTURA!BY96,CODIFICACION!$F$2:$F$500,0))="sin dato","",INDEX(CODIFICACION!$E$2:$E$500,MATCH("D6.22|"&amp;CAPTURA!BY96,CODIFICACION!$F$2:$F$500,0))),"⚠"))</f>
        <v/>
      </c>
      <c r="AU96" t="str">
        <f>IF(CAPTURA!BZ96="","",IFERROR(IF(INDEX(CODIFICACION!$E$2:$E$500,MATCH("D6.22a|"&amp;CAPTURA!BZ96,CODIFICACION!$F$2:$F$500,0))="sin dato","",INDEX(CODIFICACION!$E$2:$E$500,MATCH("D6.22a|"&amp;CAPTURA!BZ96,CODIFICACION!$F$2:$F$500,0))),"⚠"))</f>
        <v/>
      </c>
      <c r="AV96" t="str">
        <f>IF(CAPTURA!CA96="","",IFERROR(IF(INDEX(CODIFICACION!$E$2:$E$500,MATCH("D6.22b|"&amp;CAPTURA!CA96,CODIFICACION!$F$2:$F$500,0))="sin dato","",INDEX(CODIFICACION!$E$2:$E$500,MATCH("D6.22b|"&amp;CAPTURA!CA96,CODIFICACION!$F$2:$F$500,0))),"⚠"))</f>
        <v/>
      </c>
      <c r="AW96" t="str">
        <f>IF(CAPTURA!CB96="","",IFERROR(IF(INDEX(CODIFICACION!$E$2:$E$500,MATCH("D6.23|"&amp;CAPTURA!CB96,CODIFICACION!$F$2:$F$500,0))="sin dato","",INDEX(CODIFICACION!$E$2:$E$500,MATCH("D6.23|"&amp;CAPTURA!CB96,CODIFICACION!$F$2:$F$500,0))),"⚠"))</f>
        <v/>
      </c>
      <c r="AX96" t="str">
        <f>IF(CAPTURA!CC96="","",IFERROR(IF(INDEX(CODIFICACION!$E$2:$E$500,MATCH("D6.24|"&amp;CAPTURA!CC96,CODIFICACION!$F$2:$F$500,0))="sin dato","",INDEX(CODIFICACION!$E$2:$E$500,MATCH("D6.24|"&amp;CAPTURA!CC96,CODIFICACION!$F$2:$F$500,0))),"⚠"))</f>
        <v/>
      </c>
      <c r="AY96" t="str">
        <f>IF(CAPTURA!CD96="","",IFERROR(IF(INDEX(CODIFICACION!$E$2:$E$500,MATCH("D6.25|"&amp;CAPTURA!CD96,CODIFICACION!$F$2:$F$500,0))="sin dato","",INDEX(CODIFICACION!$E$2:$E$500,MATCH("D6.25|"&amp;CAPTURA!CD96,CODIFICACION!$F$2:$F$500,0))),"⚠"))</f>
        <v/>
      </c>
      <c r="AZ96" t="str">
        <f>IF(CAPTURA!CE96="","",IFERROR(IF(INDEX(CODIFICACION!$E$2:$E$500,MATCH("D6.25a|"&amp;CAPTURA!CE96,CODIFICACION!$F$2:$F$500,0))="sin dato","",INDEX(CODIFICACION!$E$2:$E$500,MATCH("D6.25a|"&amp;CAPTURA!CE96,CODIFICACION!$F$2:$F$500,0))),"⚠"))</f>
        <v/>
      </c>
      <c r="BA96" t="str">
        <f>IF(CAPTURA!CF96="","",IFERROR(IF(INDEX(CODIFICACION!$E$2:$E$500,MATCH("D6.25b|"&amp;CAPTURA!CF96,CODIFICACION!$F$2:$F$500,0))="sin dato","",INDEX(CODIFICACION!$E$2:$E$500,MATCH("D6.25b|"&amp;CAPTURA!CF96,CODIFICACION!$F$2:$F$500,0))),"⚠"))</f>
        <v/>
      </c>
      <c r="BB96" t="str">
        <f>IF(CAPTURA!CG96="","",IFERROR(IF(INDEX(CODIFICACION!$E$2:$E$500,MATCH("D6.22c|"&amp;CAPTURA!CG96,CODIFICACION!$F$2:$F$500,0))="sin dato","",INDEX(CODIFICACION!$E$2:$E$500,MATCH("D6.22c|"&amp;CAPTURA!CG96,CODIFICACION!$F$2:$F$500,0))),"⚠"))</f>
        <v/>
      </c>
      <c r="BC96" t="str">
        <f>IF(CAPTURA!CH96="","",IFERROR(IF(INDEX(CODIFICACION!$E$2:$E$500,MATCH("D7.26|"&amp;CAPTURA!CH96,CODIFICACION!$F$2:$F$500,0))="sin dato","",INDEX(CODIFICACION!$E$2:$E$500,MATCH("D7.26|"&amp;CAPTURA!CH96,CODIFICACION!$F$2:$F$500,0))),"⚠"))</f>
        <v/>
      </c>
      <c r="BD96" t="str">
        <f>IF(CAPTURA!CI96="","",IFERROR(IF(INDEX(CODIFICACION!$E$2:$E$500,MATCH("D7.27|"&amp;CAPTURA!CI96,CODIFICACION!$F$2:$F$500,0))="sin dato","",INDEX(CODIFICACION!$E$2:$E$500,MATCH("D7.27|"&amp;CAPTURA!CI96,CODIFICACION!$F$2:$F$500,0))),"⚠"))</f>
        <v/>
      </c>
      <c r="BE96" t="str">
        <f>IF(CAPTURA!CJ96="","",IFERROR(IF(INDEX(CODIFICACION!$E$2:$E$500,MATCH("D7.28|"&amp;CAPTURA!CJ96,CODIFICACION!$F$2:$F$500,0))="sin dato","",INDEX(CODIFICACION!$E$2:$E$500,MATCH("D7.28|"&amp;CAPTURA!CJ96,CODIFICACION!$F$2:$F$500,0))),"⚠"))</f>
        <v/>
      </c>
      <c r="BF96" t="str">
        <f>IF(CAPTURA!CK96="","",IFERROR(IF(INDEX(CODIFICACION!$E$2:$E$500,MATCH("D7.28b|"&amp;CAPTURA!CK96,CODIFICACION!$F$2:$F$500,0))="sin dato","",INDEX(CODIFICACION!$E$2:$E$500,MATCH("D7.28b|"&amp;CAPTURA!CK96,CODIFICACION!$F$2:$F$500,0))),"⚠"))</f>
        <v/>
      </c>
      <c r="BG96" t="str">
        <f>IF(CAPTURA!CL96="","",MIN(100,ROUND((LEN(CAPTURA!CL96)-LEN(SUBSTITUTE(CAPTURA!CL96,";",""))+1)/8*100,1)))</f>
        <v/>
      </c>
      <c r="BH96" t="str">
        <f>IF(CAPTURA!CM96="","",IFERROR(IF(INDEX(CODIFICACION!$E$2:$E$500,MATCH("D7.26a|"&amp;CAPTURA!CM96,CODIFICACION!$F$2:$F$500,0))="sin dato","",INDEX(CODIFICACION!$E$2:$E$500,MATCH("D7.26a|"&amp;CAPTURA!CM96,CODIFICACION!$F$2:$F$500,0))),"⚠"))</f>
        <v/>
      </c>
      <c r="BI96" t="str">
        <f>IF(CAPTURA!CN96="","",IFERROR(IF(INDEX(CODIFICACION!$E$2:$E$500,MATCH("D7.26b|"&amp;CAPTURA!CN96,CODIFICACION!$F$2:$F$500,0))="sin dato","",INDEX(CODIFICACION!$E$2:$E$500,MATCH("D7.26b|"&amp;CAPTURA!CN96,CODIFICACION!$F$2:$F$500,0))),"⚠"))</f>
        <v/>
      </c>
      <c r="BJ96" t="str">
        <f>IF(CAPTURA!CO96="","",IF(AND(ISNUMBER(CAPTURA!CO96),CAPTURA!CO96&gt;=0,CAPTURA!CO96&lt;=4),CAPTURA!CO96*25,"⚠"))</f>
        <v/>
      </c>
      <c r="BK96" t="str">
        <f>IF(CAPTURA!CP96="","",IF(ISNUMBER(CAPTURA!CP96),MAX(0,MIN(100,CAPTURA!CP96)),"⚠"))</f>
        <v/>
      </c>
      <c r="BL96" t="str">
        <f>IF(CAPTURA!CQ96="","",IFERROR(IF(INDEX(CODIFICACION!$E$2:$E$500,MATCH("D8.31|"&amp;CAPTURA!CQ96,CODIFICACION!$F$2:$F$500,0))="sin dato","",INDEX(CODIFICACION!$E$2:$E$500,MATCH("D8.31|"&amp;CAPTURA!CQ96,CODIFICACION!$F$2:$F$500,0))),"⚠"))</f>
        <v/>
      </c>
      <c r="BM96" t="str">
        <f>IF(CAPTURA!CR96="","",IFERROR(IF(INDEX(CODIFICACION!$E$2:$E$500,MATCH("D8.32|"&amp;CAPTURA!CR96,CODIFICACION!$F$2:$F$500,0))="sin dato","",INDEX(CODIFICACION!$E$2:$E$500,MATCH("D8.32|"&amp;CAPTURA!CR96,CODIFICACION!$F$2:$F$500,0))),"⚠"))</f>
        <v/>
      </c>
      <c r="BN96" t="str">
        <f>IF(CAPTURA!CS96="","",IFERROR(IF(INDEX(CODIFICACION!$E$2:$E$500,MATCH("D9.33|"&amp;CAPTURA!CS96,CODIFICACION!$F$2:$F$500,0))="sin dato","",INDEX(CODIFICACION!$E$2:$E$500,MATCH("D9.33|"&amp;CAPTURA!CS96,CODIFICACION!$F$2:$F$500,0))),"⚠"))</f>
        <v/>
      </c>
      <c r="BO96" t="str">
        <f>IF(CAPTURA!CT96="","",IFERROR(IF(INDEX(CODIFICACION!$E$2:$E$500,MATCH("D9.34|"&amp;CAPTURA!CT96,CODIFICACION!$F$2:$F$500,0))="sin dato","",INDEX(CODIFICACION!$E$2:$E$500,MATCH("D9.34|"&amp;CAPTURA!CT96,CODIFICACION!$F$2:$F$500,0))),"⚠"))</f>
        <v/>
      </c>
      <c r="BP96" t="str">
        <f>IF(CAPTURA!CU96="","",IFERROR(IF(INDEX(CODIFICACION!$E$2:$E$500,MATCH("D9.35|"&amp;CAPTURA!CU96,CODIFICACION!$F$2:$F$500,0))="sin dato","",INDEX(CODIFICACION!$E$2:$E$500,MATCH("D9.35|"&amp;CAPTURA!CU96,CODIFICACION!$F$2:$F$500,0))),"⚠"))</f>
        <v/>
      </c>
      <c r="BQ96" t="str">
        <f>IF(CAPTURA!CV96="","",IFERROR(IF(INDEX(CODIFICACION!$E$2:$E$500,MATCH("D10.36|"&amp;CAPTURA!CV96,CODIFICACION!$F$2:$F$500,0))="sin dato","",INDEX(CODIFICACION!$E$2:$E$500,MATCH("D10.36|"&amp;CAPTURA!CV96,CODIFICACION!$F$2:$F$500,0))),"⚠"))</f>
        <v/>
      </c>
      <c r="BR96" t="str">
        <f>IF(CAPTURA!CW96="","",IFERROR(IF(INDEX(CODIFICACION!$E$2:$E$500,MATCH("D10.37|"&amp;CAPTURA!CW96,CODIFICACION!$F$2:$F$500,0))="sin dato","",INDEX(CODIFICACION!$E$2:$E$500,MATCH("D10.37|"&amp;CAPTURA!CW96,CODIFICACION!$F$2:$F$500,0))),"⚠"))</f>
        <v/>
      </c>
      <c r="BS96" t="str">
        <f>IF(CAPTURA!CX96="","",IFERROR(IF(INDEX(CODIFICACION!$E$2:$E$500,MATCH("D10.36a|"&amp;CAPTURA!CX96,CODIFICACION!$F$2:$F$500,0))="sin dato","",INDEX(CODIFICACION!$E$2:$E$500,MATCH("D10.36a|"&amp;CAPTURA!CX96,CODIFICACION!$F$2:$F$500,0))),"⚠"))</f>
        <v/>
      </c>
      <c r="BT96" t="str">
        <f>IF(CAPTURA!CY96="","",IF(ISNUMBER(SEARCH("Ninguno",CAPTURA!CY96)),0,MIN(100,ROUND((LEN(CAPTURA!CY96)-LEN(SUBSTITUTE(CAPTURA!CY96,";",""))+1)/6*100,1))))</f>
        <v/>
      </c>
      <c r="BU96" t="str">
        <f>IF(CAPTURA!DA96="","",IFERROR(IF(INDEX(CODIFICACION!$E$2:$E$500,MATCH("D11.39a|"&amp;CAPTURA!DA96,CODIFICACION!$F$2:$F$500,0))="sin dato","",INDEX(CODIFICACION!$E$2:$E$500,MATCH("D11.39a|"&amp;CAPTURA!DA96,CODIFICACION!$F$2:$F$500,0))),"⚠"))</f>
        <v/>
      </c>
      <c r="BV96" t="str">
        <f>IF(CAPTURA!DB96="","",IFERROR(IF(INDEX(CODIFICACION!$E$2:$E$500,MATCH("D12.42|"&amp;CAPTURA!DB96,CODIFICACION!$F$2:$F$500,0))="sin dato","",INDEX(CODIFICACION!$E$2:$E$500,MATCH("D12.42|"&amp;CAPTURA!DB96,CODIFICACION!$F$2:$F$500,0))),"⚠"))</f>
        <v/>
      </c>
      <c r="BW96" t="str">
        <f>IF(CAPTURA!DC96="","",IFERROR(IF(INDEX(CODIFICACION!$E$2:$E$500,MATCH("D13.45|"&amp;CAPTURA!DC96,CODIFICACION!$F$2:$F$500,0))="sin dato","",INDEX(CODIFICACION!$E$2:$E$500,MATCH("D13.45|"&amp;CAPTURA!DC96,CODIFICACION!$F$2:$F$500,0))),"⚠"))</f>
        <v/>
      </c>
      <c r="BX96" t="str">
        <f>IF(CAPTURA!DD96="","",IFERROR(IF(INDEX(CODIFICACION!$E$2:$E$500,MATCH("D14.51|"&amp;CAPTURA!DD96,CODIFICACION!$F$2:$F$500,0))="sin dato","",INDEX(CODIFICACION!$E$2:$E$500,MATCH("D14.51|"&amp;CAPTURA!DD96,CODIFICACION!$F$2:$F$500,0))),"⚠"))</f>
        <v/>
      </c>
      <c r="BY96" t="str">
        <f>IF(CAPTURA!DE96="","",IFERROR(IF(INDEX(CODIFICACION!$E$2:$E$500,MATCH("D15.58|"&amp;CAPTURA!DE96,CODIFICACION!$F$2:$F$500,0))="sin dato","",INDEX(CODIFICACION!$E$2:$E$500,MATCH("D15.58|"&amp;CAPTURA!DE96,CODIFICACION!$F$2:$F$500,0))),"⚠"))</f>
        <v/>
      </c>
      <c r="BZ96" t="str">
        <f>IF(CAPTURA!DF96="","",IFERROR(IF(INDEX(CODIFICACION!$E$2:$E$500,MATCH("PP1|"&amp;CAPTURA!DF96,CODIFICACION!$F$2:$F$500,0))="sin dato","",INDEX(CODIFICACION!$E$2:$E$500,MATCH("PP1|"&amp;CAPTURA!DF96,CODIFICACION!$F$2:$F$500,0))),"⚠"))</f>
        <v/>
      </c>
      <c r="CA96" t="str">
        <f>IF(CAPTURA!DG96="","",IFERROR(IF(INDEX(CODIFICACION!$E$2:$E$500,MATCH("PP2|"&amp;CAPTURA!DG96,CODIFICACION!$F$2:$F$500,0))="sin dato","",INDEX(CODIFICACION!$E$2:$E$500,MATCH("PP2|"&amp;CAPTURA!DG96,CODIFICACION!$F$2:$F$500,0))),"⚠"))</f>
        <v/>
      </c>
      <c r="CB96" t="str">
        <f t="shared" si="22"/>
        <v/>
      </c>
      <c r="CC96" t="str">
        <f t="shared" si="23"/>
        <v/>
      </c>
      <c r="CD96" t="str">
        <f t="shared" si="24"/>
        <v/>
      </c>
      <c r="CE96" t="str">
        <f t="shared" si="25"/>
        <v/>
      </c>
      <c r="CF96" t="str">
        <f t="shared" si="26"/>
        <v/>
      </c>
      <c r="CG96" t="str">
        <f t="shared" si="27"/>
        <v/>
      </c>
      <c r="CH96" t="str">
        <f t="shared" si="28"/>
        <v/>
      </c>
      <c r="CI96" t="str">
        <f t="shared" si="29"/>
        <v/>
      </c>
      <c r="CJ96" t="str">
        <f t="shared" si="30"/>
        <v/>
      </c>
      <c r="CK96" t="str">
        <f t="shared" si="31"/>
        <v/>
      </c>
      <c r="CL96" t="str">
        <f t="shared" si="32"/>
        <v/>
      </c>
    </row>
    <row r="97" spans="1:90" x14ac:dyDescent="0.3">
      <c r="A97">
        <f>CAPTURA!A97</f>
        <v>20573138202</v>
      </c>
      <c r="B97">
        <f>CAPTURA!C97</f>
        <v>0</v>
      </c>
      <c r="C97" t="str">
        <f>IF(CAPTURA!M97="","",ROUND((ISNUMBER(SEARCH("Alemania",CAPTURA!M97))+ISNUMBER(SEARCH("Bélgica",CAPTURA!M97))+ISNUMBER(SEARCH("Países Bajos",CAPTURA!M97))+ISNUMBER(SEARCH("Francia",CAPTURA!M97))+ISNUMBER(SEARCH("Italia",CAPTURA!M97))+ISNUMBER(SEARCH("España",CAPTURA!M97))+ISNUMBER(SEARCH("Suecia",CAPTURA!M97))+ISNUMBER(SEARCH("Dinamarca",CAPTURA!M97)))/((LEN(CAPTURA!M97)-LEN(SUBSTITUTE(CAPTURA!M97,";","")))+1)*100,1))</f>
        <v/>
      </c>
      <c r="D97" t="str">
        <f>IF(CAPTURA!AE97="","",IFERROR(IF(INDEX(CODIFICACION!$E$2:$E$500,MATCH("P8|"&amp;CAPTURA!AE97,CODIFICACION!$F$2:$F$500,0))="sin dato","",INDEX(CODIFICACION!$E$2:$E$500,MATCH("P8|"&amp;CAPTURA!AE97,CODIFICACION!$F$2:$F$500,0))),"⚠"))</f>
        <v/>
      </c>
      <c r="E97" t="str">
        <f>IF(CAPTURA!AG97="","",IFERROR(IF(INDEX(CODIFICACION!$E$2:$E$500,MATCH("P10|"&amp;CAPTURA!AG97,CODIFICACION!$F$2:$F$500,0))="sin dato","",INDEX(CODIFICACION!$E$2:$E$500,MATCH("P10|"&amp;CAPTURA!AG97,CODIFICACION!$F$2:$F$500,0))),"⚠"))</f>
        <v/>
      </c>
      <c r="F97" t="str">
        <f>IF(CAPTURA!AJ97="","",IFERROR(IF(INDEX(CODIFICACION!$E$2:$E$500,MATCH("P13|"&amp;CAPTURA!AJ97,CODIFICACION!$F$2:$F$500,0))="sin dato","",INDEX(CODIFICACION!$E$2:$E$500,MATCH("P13|"&amp;CAPTURA!AJ97,CODIFICACION!$F$2:$F$500,0))),"⚠"))</f>
        <v/>
      </c>
      <c r="G97" t="str">
        <f>IF(CAPTURA!AK97="","",IFERROR(IF(INDEX(CODIFICACION!$E$2:$E$500,MATCH("P14|"&amp;CAPTURA!AK97,CODIFICACION!$F$2:$F$500,0))="sin dato","",INDEX(CODIFICACION!$E$2:$E$500,MATCH("P14|"&amp;CAPTURA!AK97,CODIFICACION!$F$2:$F$500,0))),"⚠"))</f>
        <v/>
      </c>
      <c r="H97" t="str">
        <f>IF(CAPTURA!AL97="","",IFERROR(IF(INDEX(CODIFICACION!$E$2:$E$500,MATCH("D1.1|"&amp;CAPTURA!AL97,CODIFICACION!$F$2:$F$500,0))="sin dato","",INDEX(CODIFICACION!$E$2:$E$500,MATCH("D1.1|"&amp;CAPTURA!AL97,CODIFICACION!$F$2:$F$500,0))),"⚠"))</f>
        <v/>
      </c>
      <c r="I97" t="str">
        <f>IF(CAPTURA!AN97="","",IFERROR(IF(INDEX(CODIFICACION!$E$2:$E$500,MATCH("D1.3|"&amp;CAPTURA!AN97,CODIFICACION!$F$2:$F$500,0))="sin dato","",INDEX(CODIFICACION!$E$2:$E$500,MATCH("D1.3|"&amp;CAPTURA!AN97,CODIFICACION!$F$2:$F$500,0))),"⚠"))</f>
        <v/>
      </c>
      <c r="J97" t="str">
        <f>IF(CAPTURA!AO97="","",IFERROR(IF(INDEX(CODIFICACION!$E$2:$E$500,MATCH("D1.4|"&amp;CAPTURA!AO97,CODIFICACION!$F$2:$F$500,0))="sin dato","",INDEX(CODIFICACION!$E$2:$E$500,MATCH("D1.4|"&amp;CAPTURA!AO97,CODIFICACION!$F$2:$F$500,0))),"⚠"))</f>
        <v/>
      </c>
      <c r="K97" t="str">
        <f>IF(CAPTURA!AP97="","",IFERROR(IF(INDEX(CODIFICACION!$E$2:$E$500,MATCH("D1.3a|"&amp;CAPTURA!AP97,CODIFICACION!$F$2:$F$500,0))="sin dato","",INDEX(CODIFICACION!$E$2:$E$500,MATCH("D1.3a|"&amp;CAPTURA!AP97,CODIFICACION!$F$2:$F$500,0))),"⚠"))</f>
        <v/>
      </c>
      <c r="L97" t="str">
        <f>IF(CAPTURA!AQ97="","",IF(AND(ISNUMBER(CAPTURA!AQ97),CAPTURA!AQ97&gt;=0,CAPTURA!AQ97&lt;=4),CAPTURA!AQ97*25,"⚠"))</f>
        <v/>
      </c>
      <c r="M97" t="str">
        <f>IF(CAPTURA!AR97="","",IF(ISNUMBER(CAPTURA!AR97),MAX(0,MIN(100,CAPTURA!AR97)),"⚠"))</f>
        <v/>
      </c>
      <c r="N97" t="str">
        <f>IF(CAPTURA!AS97="","",IF(AND(ISNUMBER(CAPTURA!AS97),CAPTURA!AS97&gt;=0,CAPTURA!AS97&lt;=4),CAPTURA!AS97*25,"⚠"))</f>
        <v/>
      </c>
      <c r="O97" t="str">
        <f>IF(CAPTURA!AT97="","",IFERROR(IF(INDEX(CODIFICACION!$E$2:$E$500,MATCH("D2.8|"&amp;CAPTURA!AT97,CODIFICACION!$F$2:$F$500,0))="sin dato","",INDEX(CODIFICACION!$E$2:$E$500,MATCH("D2.8|"&amp;CAPTURA!AT97,CODIFICACION!$F$2:$F$500,0))),"⚠"))</f>
        <v/>
      </c>
      <c r="P97" t="str">
        <f>IF(CAPTURA!AU97="","",IFERROR(IF(INDEX(CODIFICACION!$E$2:$E$500,MATCH("D2.9|"&amp;CAPTURA!AU97,CODIFICACION!$F$2:$F$500,0))="sin dato","",INDEX(CODIFICACION!$E$2:$E$500,MATCH("D2.9|"&amp;CAPTURA!AU97,CODIFICACION!$F$2:$F$500,0))),"⚠"))</f>
        <v/>
      </c>
      <c r="Q97" t="str">
        <f>IF(CAPTURA!AV97="","",IFERROR(IF(INDEX(CODIFICACION!$E$2:$E$500,MATCH("D2.10|"&amp;CAPTURA!AV97,CODIFICACION!$F$2:$F$500,0))="sin dato","",INDEX(CODIFICACION!$E$2:$E$500,MATCH("D2.10|"&amp;CAPTURA!AV97,CODIFICACION!$F$2:$F$500,0))),"⚠"))</f>
        <v/>
      </c>
      <c r="R97" t="str">
        <f>IF(CAPTURA!AW97="","",IFERROR(IF(INDEX(CODIFICACION!$E$2:$E$500,MATCH("D2.5a|"&amp;CAPTURA!AW97,CODIFICACION!$F$2:$F$500,0))="sin dato","",INDEX(CODIFICACION!$E$2:$E$500,MATCH("D2.5a|"&amp;CAPTURA!AW97,CODIFICACION!$F$2:$F$500,0))),"⚠"))</f>
        <v/>
      </c>
      <c r="S97" t="str">
        <f>IF(CAPTURA!AX97="","",IFERROR(IF(INDEX(CODIFICACION!$E$2:$E$500,MATCH("D2.5b|"&amp;CAPTURA!AX97,CODIFICACION!$F$2:$F$500,0))="sin dato","",INDEX(CODIFICACION!$E$2:$E$500,MATCH("D2.5b|"&amp;CAPTURA!AX97,CODIFICACION!$F$2:$F$500,0))),"⚠"))</f>
        <v/>
      </c>
      <c r="T97" t="str">
        <f>IF(CAPTURA!AY97="","",IF(ISNUMBER(CAPTURA!AY97),MAX(0,MIN(100,CAPTURA!AY97)),"⚠"))</f>
        <v/>
      </c>
      <c r="U97" t="str">
        <f>IF(CAPTURA!AZ97="","",IFERROR(IF(INDEX(CODIFICACION!$E$2:$E$500,MATCH("D3.12|"&amp;CAPTURA!AZ97,CODIFICACION!$F$2:$F$500,0))="sin dato","",INDEX(CODIFICACION!$E$2:$E$500,MATCH("D3.12|"&amp;CAPTURA!AZ97,CODIFICACION!$F$2:$F$500,0))),"⚠"))</f>
        <v/>
      </c>
      <c r="V97" t="str">
        <f>IF(CAPTURA!BA97="","",IF(AND(ISNUMBER(CAPTURA!BA97),CAPTURA!BA97&gt;=0,CAPTURA!BA97&lt;=4),CAPTURA!BA97*25,"⚠"))</f>
        <v/>
      </c>
      <c r="W97" t="str">
        <f>IF(CAPTURA!BB97="","",IFERROR(IF(INDEX(CODIFICACION!$E$2:$E$500,MATCH("D3.14|"&amp;CAPTURA!BB97,CODIFICACION!$F$2:$F$500,0))="sin dato","",INDEX(CODIFICACION!$E$2:$E$500,MATCH("D3.14|"&amp;CAPTURA!BB97,CODIFICACION!$F$2:$F$500,0))),"⚠"))</f>
        <v/>
      </c>
      <c r="X97" t="str">
        <f>IF(CAPTURA!BC97="","",IFERROR(IF(INDEX(CODIFICACION!$E$2:$E$500,MATCH("D3.14a|"&amp;CAPTURA!BC97,CODIFICACION!$F$2:$F$500,0))="sin dato","",INDEX(CODIFICACION!$E$2:$E$500,MATCH("D3.14a|"&amp;CAPTURA!BC97,CODIFICACION!$F$2:$F$500,0))),"⚠"))</f>
        <v/>
      </c>
      <c r="Y97" t="str">
        <f>IF(CAPTURA!BD97="","",IFERROR(IF(INDEX(CODIFICACION!$E$2:$E$500,MATCH("D3.14b|"&amp;CAPTURA!BD97,CODIFICACION!$F$2:$F$500,0))="sin dato","",INDEX(CODIFICACION!$E$2:$E$500,MATCH("D3.14b|"&amp;CAPTURA!BD97,CODIFICACION!$F$2:$F$500,0))),"⚠"))</f>
        <v/>
      </c>
      <c r="Z97" t="str">
        <f>IF(CAPTURA!BE97="","",IFERROR(IF(INDEX(CODIFICACION!$E$2:$E$500,MATCH("D3.14c|"&amp;CAPTURA!BE97,CODIFICACION!$F$2:$F$500,0))="sin dato","",INDEX(CODIFICACION!$E$2:$E$500,MATCH("D3.14c|"&amp;CAPTURA!BE97,CODIFICACION!$F$2:$F$500,0))),"⚠"))</f>
        <v/>
      </c>
      <c r="AA97" t="str">
        <f>IF(CAPTURA!BF97="","",IFERROR(IF(INDEX(CODIFICACION!$E$2:$E$500,MATCH("D3.14d|"&amp;CAPTURA!BF97,CODIFICACION!$F$2:$F$500,0))="sin dato","",INDEX(CODIFICACION!$E$2:$E$500,MATCH("D3.14d|"&amp;CAPTURA!BF97,CODIFICACION!$F$2:$F$500,0))),"⚠"))</f>
        <v/>
      </c>
      <c r="AB97" t="str">
        <f>IF(CAPTURA!BG97="","",IFERROR(IF(INDEX(CODIFICACION!$E$2:$E$500,MATCH("D3.14e|"&amp;CAPTURA!BG97,CODIFICACION!$F$2:$F$500,0))="sin dato","",INDEX(CODIFICACION!$E$2:$E$500,MATCH("D3.14e|"&amp;CAPTURA!BG97,CODIFICACION!$F$2:$F$500,0))),"⚠"))</f>
        <v/>
      </c>
      <c r="AC97" t="str">
        <f>IF(CAPTURA!BH97="","",IFERROR(IF(INDEX(CODIFICACION!$E$2:$E$500,MATCH("D3.14f|"&amp;CAPTURA!BH97,CODIFICACION!$F$2:$F$500,0))="sin dato","",INDEX(CODIFICACION!$E$2:$E$500,MATCH("D3.14f|"&amp;CAPTURA!BH97,CODIFICACION!$F$2:$F$500,0))),"⚠"))</f>
        <v/>
      </c>
      <c r="AD97" t="str">
        <f>IF(CAPTURA!BI97="","",IFERROR(IF(INDEX(CODIFICACION!$E$2:$E$500,MATCH("D3.14g|"&amp;CAPTURA!BI97,CODIFICACION!$F$2:$F$500,0))="sin dato","",INDEX(CODIFICACION!$E$2:$E$500,MATCH("D3.14g|"&amp;CAPTURA!BI97,CODIFICACION!$F$2:$F$500,0))),"⚠"))</f>
        <v/>
      </c>
      <c r="AE97" t="str">
        <f>IF(CAPTURA!BJ97="","",IFERROR(IF(INDEX(CODIFICACION!$E$2:$E$500,MATCH("D3.14h|"&amp;CAPTURA!BJ97,CODIFICACION!$F$2:$F$500,0))="sin dato","",INDEX(CODIFICACION!$E$2:$E$500,MATCH("D3.14h|"&amp;CAPTURA!BJ97,CODIFICACION!$F$2:$F$500,0))),"⚠"))</f>
        <v/>
      </c>
      <c r="AF97" t="str">
        <f>IF(CAPTURA!BK97="","",IFERROR(IF(INDEX(CODIFICACION!$E$2:$E$500,MATCH("D3.14i|"&amp;CAPTURA!BK97,CODIFICACION!$F$2:$F$500,0))="sin dato","",INDEX(CODIFICACION!$E$2:$E$500,MATCH("D3.14i|"&amp;CAPTURA!BK97,CODIFICACION!$F$2:$F$500,0))),"⚠"))</f>
        <v/>
      </c>
      <c r="AG97" t="str">
        <f>IF(CAPTURA!BL97="","",IFERROR(IF(INDEX(CODIFICACION!$E$2:$E$500,MATCH("D4.15|"&amp;CAPTURA!BL97,CODIFICACION!$F$2:$F$500,0))="sin dato","",INDEX(CODIFICACION!$E$2:$E$500,MATCH("D4.15|"&amp;CAPTURA!BL97,CODIFICACION!$F$2:$F$500,0))),"⚠"))</f>
        <v/>
      </c>
      <c r="AH97" t="str">
        <f>IF(CAPTURA!BM97="","",IF(AND(ISNUMBER(CAPTURA!BM97),CAPTURA!BM97&gt;=0,CAPTURA!BM97&lt;=4),CAPTURA!BM97*25,"⚠"))</f>
        <v/>
      </c>
      <c r="AI97" t="str">
        <f>IF(CAPTURA!BN97="","",IFERROR(IF(INDEX(CODIFICACION!$E$2:$E$500,MATCH("D4.17|"&amp;CAPTURA!BN97,CODIFICACION!$F$2:$F$500,0))="sin dato","",INDEX(CODIFICACION!$E$2:$E$500,MATCH("D4.17|"&amp;CAPTURA!BN97,CODIFICACION!$F$2:$F$500,0))),"⚠"))</f>
        <v/>
      </c>
      <c r="AJ97" t="str">
        <f>IF(CAPTURA!BO97="","",IFERROR(IF(INDEX(CODIFICACION!$E$2:$E$500,MATCH("D4.15a|"&amp;CAPTURA!BO97,CODIFICACION!$F$2:$F$500,0))="sin dato","",INDEX(CODIFICACION!$E$2:$E$500,MATCH("D4.15a|"&amp;CAPTURA!BO97,CODIFICACION!$F$2:$F$500,0))),"⚠"))</f>
        <v/>
      </c>
      <c r="AK97" t="str">
        <f>IF(CAPTURA!BP97="","",IF(AND(ISNUMBER(CAPTURA!BP97),CAPTURA!BP97&gt;=0,CAPTURA!BP97&lt;=4),CAPTURA!BP97*25,"⚠"))</f>
        <v/>
      </c>
      <c r="AL97" t="str">
        <f>IF(CAPTURA!BQ97="","",IF(AND(ISNUMBER(CAPTURA!BQ97),CAPTURA!BQ97&gt;=0,CAPTURA!BQ97&lt;=4),CAPTURA!BQ97*25,"⚠"))</f>
        <v/>
      </c>
      <c r="AM97" t="str">
        <f>IF(CAPTURA!BR97="","",IFERROR(IF(INDEX(CODIFICACION!$E$2:$E$500,MATCH("D5.18b|"&amp;CAPTURA!BR97,CODIFICACION!$F$2:$F$500,0))="sin dato","",INDEX(CODIFICACION!$E$2:$E$500,MATCH("D5.18b|"&amp;CAPTURA!BR97,CODIFICACION!$F$2:$F$500,0))),"⚠"))</f>
        <v/>
      </c>
      <c r="AN97" t="str">
        <f>IF(CAPTURA!BS97="","",IFERROR(IF(INDEX(CODIFICACION!$E$2:$E$500,MATCH("D5.19|"&amp;CAPTURA!BS97,CODIFICACION!$F$2:$F$500,0))="sin dato","",INDEX(CODIFICACION!$E$2:$E$500,MATCH("D5.19|"&amp;CAPTURA!BS97,CODIFICACION!$F$2:$F$500,0))),"⚠"))</f>
        <v/>
      </c>
      <c r="AO97" t="str">
        <f>IF(CAPTURA!BT97="","",MIN(100,ROUND((LEN(CAPTURA!BT97)-LEN(SUBSTITUTE(CAPTURA!BT97,";",""))+1)/7*100,1)))</f>
        <v/>
      </c>
      <c r="AP97" t="str">
        <f>IF(CAPTURA!BU97="","",IFERROR(IF(INDEX(CODIFICACION!$E$2:$E$500,MATCH("D5.20|"&amp;CAPTURA!BU97,CODIFICACION!$F$2:$F$500,0))="sin dato","",INDEX(CODIFICACION!$E$2:$E$500,MATCH("D5.20|"&amp;CAPTURA!BU97,CODIFICACION!$F$2:$F$500,0))),"⚠"))</f>
        <v/>
      </c>
      <c r="AQ97" t="str">
        <f>IF(CAPTURA!BV97="","",IFERROR(IF(INDEX(CODIFICACION!$E$2:$E$500,MATCH("D5.21|"&amp;CAPTURA!BV97,CODIFICACION!$F$2:$F$500,0))="sin dato","",INDEX(CODIFICACION!$E$2:$E$500,MATCH("D5.21|"&amp;CAPTURA!BV97,CODIFICACION!$F$2:$F$500,0))),"⚠"))</f>
        <v/>
      </c>
      <c r="AR97" t="str">
        <f>IF(CAPTURA!BW97="","",IFERROR(IF(INDEX(CODIFICACION!$E$2:$E$500,MATCH("D5.21a|"&amp;CAPTURA!BW97,CODIFICACION!$F$2:$F$500,0))="sin dato","",INDEX(CODIFICACION!$E$2:$E$500,MATCH("D5.21a|"&amp;CAPTURA!BW97,CODIFICACION!$F$2:$F$500,0))),"⚠"))</f>
        <v/>
      </c>
      <c r="AS97" t="str">
        <f>IF(CAPTURA!BX97="","",IFERROR(IF(INDEX(CODIFICACION!$E$2:$E$500,MATCH("D5.21b|"&amp;CAPTURA!BX97,CODIFICACION!$F$2:$F$500,0))="sin dato","",INDEX(CODIFICACION!$E$2:$E$500,MATCH("D5.21b|"&amp;CAPTURA!BX97,CODIFICACION!$F$2:$F$500,0))),"⚠"))</f>
        <v/>
      </c>
      <c r="AT97" t="str">
        <f>IF(CAPTURA!BY97="","",IFERROR(IF(INDEX(CODIFICACION!$E$2:$E$500,MATCH("D6.22|"&amp;CAPTURA!BY97,CODIFICACION!$F$2:$F$500,0))="sin dato","",INDEX(CODIFICACION!$E$2:$E$500,MATCH("D6.22|"&amp;CAPTURA!BY97,CODIFICACION!$F$2:$F$500,0))),"⚠"))</f>
        <v/>
      </c>
      <c r="AU97" t="str">
        <f>IF(CAPTURA!BZ97="","",IFERROR(IF(INDEX(CODIFICACION!$E$2:$E$500,MATCH("D6.22a|"&amp;CAPTURA!BZ97,CODIFICACION!$F$2:$F$500,0))="sin dato","",INDEX(CODIFICACION!$E$2:$E$500,MATCH("D6.22a|"&amp;CAPTURA!BZ97,CODIFICACION!$F$2:$F$500,0))),"⚠"))</f>
        <v/>
      </c>
      <c r="AV97" t="str">
        <f>IF(CAPTURA!CA97="","",IFERROR(IF(INDEX(CODIFICACION!$E$2:$E$500,MATCH("D6.22b|"&amp;CAPTURA!CA97,CODIFICACION!$F$2:$F$500,0))="sin dato","",INDEX(CODIFICACION!$E$2:$E$500,MATCH("D6.22b|"&amp;CAPTURA!CA97,CODIFICACION!$F$2:$F$500,0))),"⚠"))</f>
        <v/>
      </c>
      <c r="AW97" t="str">
        <f>IF(CAPTURA!CB97="","",IFERROR(IF(INDEX(CODIFICACION!$E$2:$E$500,MATCH("D6.23|"&amp;CAPTURA!CB97,CODIFICACION!$F$2:$F$500,0))="sin dato","",INDEX(CODIFICACION!$E$2:$E$500,MATCH("D6.23|"&amp;CAPTURA!CB97,CODIFICACION!$F$2:$F$500,0))),"⚠"))</f>
        <v/>
      </c>
      <c r="AX97" t="str">
        <f>IF(CAPTURA!CC97="","",IFERROR(IF(INDEX(CODIFICACION!$E$2:$E$500,MATCH("D6.24|"&amp;CAPTURA!CC97,CODIFICACION!$F$2:$F$500,0))="sin dato","",INDEX(CODIFICACION!$E$2:$E$500,MATCH("D6.24|"&amp;CAPTURA!CC97,CODIFICACION!$F$2:$F$500,0))),"⚠"))</f>
        <v/>
      </c>
      <c r="AY97" t="str">
        <f>IF(CAPTURA!CD97="","",IFERROR(IF(INDEX(CODIFICACION!$E$2:$E$500,MATCH("D6.25|"&amp;CAPTURA!CD97,CODIFICACION!$F$2:$F$500,0))="sin dato","",INDEX(CODIFICACION!$E$2:$E$500,MATCH("D6.25|"&amp;CAPTURA!CD97,CODIFICACION!$F$2:$F$500,0))),"⚠"))</f>
        <v/>
      </c>
      <c r="AZ97" t="str">
        <f>IF(CAPTURA!CE97="","",IFERROR(IF(INDEX(CODIFICACION!$E$2:$E$500,MATCH("D6.25a|"&amp;CAPTURA!CE97,CODIFICACION!$F$2:$F$500,0))="sin dato","",INDEX(CODIFICACION!$E$2:$E$500,MATCH("D6.25a|"&amp;CAPTURA!CE97,CODIFICACION!$F$2:$F$500,0))),"⚠"))</f>
        <v/>
      </c>
      <c r="BA97" t="str">
        <f>IF(CAPTURA!CF97="","",IFERROR(IF(INDEX(CODIFICACION!$E$2:$E$500,MATCH("D6.25b|"&amp;CAPTURA!CF97,CODIFICACION!$F$2:$F$500,0))="sin dato","",INDEX(CODIFICACION!$E$2:$E$500,MATCH("D6.25b|"&amp;CAPTURA!CF97,CODIFICACION!$F$2:$F$500,0))),"⚠"))</f>
        <v/>
      </c>
      <c r="BB97" t="str">
        <f>IF(CAPTURA!CG97="","",IFERROR(IF(INDEX(CODIFICACION!$E$2:$E$500,MATCH("D6.22c|"&amp;CAPTURA!CG97,CODIFICACION!$F$2:$F$500,0))="sin dato","",INDEX(CODIFICACION!$E$2:$E$500,MATCH("D6.22c|"&amp;CAPTURA!CG97,CODIFICACION!$F$2:$F$500,0))),"⚠"))</f>
        <v/>
      </c>
      <c r="BC97" t="str">
        <f>IF(CAPTURA!CH97="","",IFERROR(IF(INDEX(CODIFICACION!$E$2:$E$500,MATCH("D7.26|"&amp;CAPTURA!CH97,CODIFICACION!$F$2:$F$500,0))="sin dato","",INDEX(CODIFICACION!$E$2:$E$500,MATCH("D7.26|"&amp;CAPTURA!CH97,CODIFICACION!$F$2:$F$500,0))),"⚠"))</f>
        <v/>
      </c>
      <c r="BD97" t="str">
        <f>IF(CAPTURA!CI97="","",IFERROR(IF(INDEX(CODIFICACION!$E$2:$E$500,MATCH("D7.27|"&amp;CAPTURA!CI97,CODIFICACION!$F$2:$F$500,0))="sin dato","",INDEX(CODIFICACION!$E$2:$E$500,MATCH("D7.27|"&amp;CAPTURA!CI97,CODIFICACION!$F$2:$F$500,0))),"⚠"))</f>
        <v/>
      </c>
      <c r="BE97" t="str">
        <f>IF(CAPTURA!CJ97="","",IFERROR(IF(INDEX(CODIFICACION!$E$2:$E$500,MATCH("D7.28|"&amp;CAPTURA!CJ97,CODIFICACION!$F$2:$F$500,0))="sin dato","",INDEX(CODIFICACION!$E$2:$E$500,MATCH("D7.28|"&amp;CAPTURA!CJ97,CODIFICACION!$F$2:$F$500,0))),"⚠"))</f>
        <v/>
      </c>
      <c r="BF97" t="str">
        <f>IF(CAPTURA!CK97="","",IFERROR(IF(INDEX(CODIFICACION!$E$2:$E$500,MATCH("D7.28b|"&amp;CAPTURA!CK97,CODIFICACION!$F$2:$F$500,0))="sin dato","",INDEX(CODIFICACION!$E$2:$E$500,MATCH("D7.28b|"&amp;CAPTURA!CK97,CODIFICACION!$F$2:$F$500,0))),"⚠"))</f>
        <v/>
      </c>
      <c r="BG97" t="str">
        <f>IF(CAPTURA!CL97="","",MIN(100,ROUND((LEN(CAPTURA!CL97)-LEN(SUBSTITUTE(CAPTURA!CL97,";",""))+1)/8*100,1)))</f>
        <v/>
      </c>
      <c r="BH97" t="str">
        <f>IF(CAPTURA!CM97="","",IFERROR(IF(INDEX(CODIFICACION!$E$2:$E$500,MATCH("D7.26a|"&amp;CAPTURA!CM97,CODIFICACION!$F$2:$F$500,0))="sin dato","",INDEX(CODIFICACION!$E$2:$E$500,MATCH("D7.26a|"&amp;CAPTURA!CM97,CODIFICACION!$F$2:$F$500,0))),"⚠"))</f>
        <v/>
      </c>
      <c r="BI97" t="str">
        <f>IF(CAPTURA!CN97="","",IFERROR(IF(INDEX(CODIFICACION!$E$2:$E$500,MATCH("D7.26b|"&amp;CAPTURA!CN97,CODIFICACION!$F$2:$F$500,0))="sin dato","",INDEX(CODIFICACION!$E$2:$E$500,MATCH("D7.26b|"&amp;CAPTURA!CN97,CODIFICACION!$F$2:$F$500,0))),"⚠"))</f>
        <v/>
      </c>
      <c r="BJ97" t="str">
        <f>IF(CAPTURA!CO97="","",IF(AND(ISNUMBER(CAPTURA!CO97),CAPTURA!CO97&gt;=0,CAPTURA!CO97&lt;=4),CAPTURA!CO97*25,"⚠"))</f>
        <v/>
      </c>
      <c r="BK97" t="str">
        <f>IF(CAPTURA!CP97="","",IF(ISNUMBER(CAPTURA!CP97),MAX(0,MIN(100,CAPTURA!CP97)),"⚠"))</f>
        <v/>
      </c>
      <c r="BL97" t="str">
        <f>IF(CAPTURA!CQ97="","",IFERROR(IF(INDEX(CODIFICACION!$E$2:$E$500,MATCH("D8.31|"&amp;CAPTURA!CQ97,CODIFICACION!$F$2:$F$500,0))="sin dato","",INDEX(CODIFICACION!$E$2:$E$500,MATCH("D8.31|"&amp;CAPTURA!CQ97,CODIFICACION!$F$2:$F$500,0))),"⚠"))</f>
        <v/>
      </c>
      <c r="BM97" t="str">
        <f>IF(CAPTURA!CR97="","",IFERROR(IF(INDEX(CODIFICACION!$E$2:$E$500,MATCH("D8.32|"&amp;CAPTURA!CR97,CODIFICACION!$F$2:$F$500,0))="sin dato","",INDEX(CODIFICACION!$E$2:$E$500,MATCH("D8.32|"&amp;CAPTURA!CR97,CODIFICACION!$F$2:$F$500,0))),"⚠"))</f>
        <v/>
      </c>
      <c r="BN97" t="str">
        <f>IF(CAPTURA!CS97="","",IFERROR(IF(INDEX(CODIFICACION!$E$2:$E$500,MATCH("D9.33|"&amp;CAPTURA!CS97,CODIFICACION!$F$2:$F$500,0))="sin dato","",INDEX(CODIFICACION!$E$2:$E$500,MATCH("D9.33|"&amp;CAPTURA!CS97,CODIFICACION!$F$2:$F$500,0))),"⚠"))</f>
        <v/>
      </c>
      <c r="BO97" t="str">
        <f>IF(CAPTURA!CT97="","",IFERROR(IF(INDEX(CODIFICACION!$E$2:$E$500,MATCH("D9.34|"&amp;CAPTURA!CT97,CODIFICACION!$F$2:$F$500,0))="sin dato","",INDEX(CODIFICACION!$E$2:$E$500,MATCH("D9.34|"&amp;CAPTURA!CT97,CODIFICACION!$F$2:$F$500,0))),"⚠"))</f>
        <v/>
      </c>
      <c r="BP97" t="str">
        <f>IF(CAPTURA!CU97="","",IFERROR(IF(INDEX(CODIFICACION!$E$2:$E$500,MATCH("D9.35|"&amp;CAPTURA!CU97,CODIFICACION!$F$2:$F$500,0))="sin dato","",INDEX(CODIFICACION!$E$2:$E$500,MATCH("D9.35|"&amp;CAPTURA!CU97,CODIFICACION!$F$2:$F$500,0))),"⚠"))</f>
        <v/>
      </c>
      <c r="BQ97" t="str">
        <f>IF(CAPTURA!CV97="","",IFERROR(IF(INDEX(CODIFICACION!$E$2:$E$500,MATCH("D10.36|"&amp;CAPTURA!CV97,CODIFICACION!$F$2:$F$500,0))="sin dato","",INDEX(CODIFICACION!$E$2:$E$500,MATCH("D10.36|"&amp;CAPTURA!CV97,CODIFICACION!$F$2:$F$500,0))),"⚠"))</f>
        <v/>
      </c>
      <c r="BR97" t="str">
        <f>IF(CAPTURA!CW97="","",IFERROR(IF(INDEX(CODIFICACION!$E$2:$E$500,MATCH("D10.37|"&amp;CAPTURA!CW97,CODIFICACION!$F$2:$F$500,0))="sin dato","",INDEX(CODIFICACION!$E$2:$E$500,MATCH("D10.37|"&amp;CAPTURA!CW97,CODIFICACION!$F$2:$F$500,0))),"⚠"))</f>
        <v/>
      </c>
      <c r="BS97" t="str">
        <f>IF(CAPTURA!CX97="","",IFERROR(IF(INDEX(CODIFICACION!$E$2:$E$500,MATCH("D10.36a|"&amp;CAPTURA!CX97,CODIFICACION!$F$2:$F$500,0))="sin dato","",INDEX(CODIFICACION!$E$2:$E$500,MATCH("D10.36a|"&amp;CAPTURA!CX97,CODIFICACION!$F$2:$F$500,0))),"⚠"))</f>
        <v/>
      </c>
      <c r="BT97" t="str">
        <f>IF(CAPTURA!CY97="","",IF(ISNUMBER(SEARCH("Ninguno",CAPTURA!CY97)),0,MIN(100,ROUND((LEN(CAPTURA!CY97)-LEN(SUBSTITUTE(CAPTURA!CY97,";",""))+1)/6*100,1))))</f>
        <v/>
      </c>
      <c r="BU97" t="str">
        <f>IF(CAPTURA!DA97="","",IFERROR(IF(INDEX(CODIFICACION!$E$2:$E$500,MATCH("D11.39a|"&amp;CAPTURA!DA97,CODIFICACION!$F$2:$F$500,0))="sin dato","",INDEX(CODIFICACION!$E$2:$E$500,MATCH("D11.39a|"&amp;CAPTURA!DA97,CODIFICACION!$F$2:$F$500,0))),"⚠"))</f>
        <v/>
      </c>
      <c r="BV97" t="str">
        <f>IF(CAPTURA!DB97="","",IFERROR(IF(INDEX(CODIFICACION!$E$2:$E$500,MATCH("D12.42|"&amp;CAPTURA!DB97,CODIFICACION!$F$2:$F$500,0))="sin dato","",INDEX(CODIFICACION!$E$2:$E$500,MATCH("D12.42|"&amp;CAPTURA!DB97,CODIFICACION!$F$2:$F$500,0))),"⚠"))</f>
        <v/>
      </c>
      <c r="BW97" t="str">
        <f>IF(CAPTURA!DC97="","",IFERROR(IF(INDEX(CODIFICACION!$E$2:$E$500,MATCH("D13.45|"&amp;CAPTURA!DC97,CODIFICACION!$F$2:$F$500,0))="sin dato","",INDEX(CODIFICACION!$E$2:$E$500,MATCH("D13.45|"&amp;CAPTURA!DC97,CODIFICACION!$F$2:$F$500,0))),"⚠"))</f>
        <v/>
      </c>
      <c r="BX97" t="str">
        <f>IF(CAPTURA!DD97="","",IFERROR(IF(INDEX(CODIFICACION!$E$2:$E$500,MATCH("D14.51|"&amp;CAPTURA!DD97,CODIFICACION!$F$2:$F$500,0))="sin dato","",INDEX(CODIFICACION!$E$2:$E$500,MATCH("D14.51|"&amp;CAPTURA!DD97,CODIFICACION!$F$2:$F$500,0))),"⚠"))</f>
        <v/>
      </c>
      <c r="BY97" t="str">
        <f>IF(CAPTURA!DE97="","",IFERROR(IF(INDEX(CODIFICACION!$E$2:$E$500,MATCH("D15.58|"&amp;CAPTURA!DE97,CODIFICACION!$F$2:$F$500,0))="sin dato","",INDEX(CODIFICACION!$E$2:$E$500,MATCH("D15.58|"&amp;CAPTURA!DE97,CODIFICACION!$F$2:$F$500,0))),"⚠"))</f>
        <v/>
      </c>
      <c r="BZ97" t="str">
        <f>IF(CAPTURA!DF97="","",IFERROR(IF(INDEX(CODIFICACION!$E$2:$E$500,MATCH("PP1|"&amp;CAPTURA!DF97,CODIFICACION!$F$2:$F$500,0))="sin dato","",INDEX(CODIFICACION!$E$2:$E$500,MATCH("PP1|"&amp;CAPTURA!DF97,CODIFICACION!$F$2:$F$500,0))),"⚠"))</f>
        <v/>
      </c>
      <c r="CA97" t="str">
        <f>IF(CAPTURA!DG97="","",IFERROR(IF(INDEX(CODIFICACION!$E$2:$E$500,MATCH("PP2|"&amp;CAPTURA!DG97,CODIFICACION!$F$2:$F$500,0))="sin dato","",INDEX(CODIFICACION!$E$2:$E$500,MATCH("PP2|"&amp;CAPTURA!DG97,CODIFICACION!$F$2:$F$500,0))),"⚠"))</f>
        <v/>
      </c>
      <c r="CB97" t="str">
        <f t="shared" si="22"/>
        <v/>
      </c>
      <c r="CC97" t="str">
        <f t="shared" si="23"/>
        <v/>
      </c>
      <c r="CD97" t="str">
        <f t="shared" si="24"/>
        <v/>
      </c>
      <c r="CE97" t="str">
        <f t="shared" si="25"/>
        <v/>
      </c>
      <c r="CF97" t="str">
        <f t="shared" si="26"/>
        <v/>
      </c>
      <c r="CG97" t="str">
        <f t="shared" si="27"/>
        <v/>
      </c>
      <c r="CH97" t="str">
        <f t="shared" si="28"/>
        <v/>
      </c>
      <c r="CI97" t="str">
        <f t="shared" si="29"/>
        <v/>
      </c>
      <c r="CJ97" t="str">
        <f t="shared" si="30"/>
        <v/>
      </c>
      <c r="CK97" t="str">
        <f t="shared" si="31"/>
        <v/>
      </c>
      <c r="CL97" t="str">
        <f t="shared" si="32"/>
        <v/>
      </c>
    </row>
    <row r="98" spans="1:90" x14ac:dyDescent="0.3">
      <c r="A98">
        <f>CAPTURA!A98</f>
        <v>20573260008</v>
      </c>
      <c r="B98">
        <f>CAPTURA!C98</f>
        <v>0</v>
      </c>
      <c r="C98" t="str">
        <f>IF(CAPTURA!M98="","",ROUND((ISNUMBER(SEARCH("Alemania",CAPTURA!M98))+ISNUMBER(SEARCH("Bélgica",CAPTURA!M98))+ISNUMBER(SEARCH("Países Bajos",CAPTURA!M98))+ISNUMBER(SEARCH("Francia",CAPTURA!M98))+ISNUMBER(SEARCH("Italia",CAPTURA!M98))+ISNUMBER(SEARCH("España",CAPTURA!M98))+ISNUMBER(SEARCH("Suecia",CAPTURA!M98))+ISNUMBER(SEARCH("Dinamarca",CAPTURA!M98)))/((LEN(CAPTURA!M98)-LEN(SUBSTITUTE(CAPTURA!M98,";","")))+1)*100,1))</f>
        <v/>
      </c>
      <c r="D98" t="str">
        <f>IF(CAPTURA!AE98="","",IFERROR(IF(INDEX(CODIFICACION!$E$2:$E$500,MATCH("P8|"&amp;CAPTURA!AE98,CODIFICACION!$F$2:$F$500,0))="sin dato","",INDEX(CODIFICACION!$E$2:$E$500,MATCH("P8|"&amp;CAPTURA!AE98,CODIFICACION!$F$2:$F$500,0))),"⚠"))</f>
        <v/>
      </c>
      <c r="E98" t="str">
        <f>IF(CAPTURA!AG98="","",IFERROR(IF(INDEX(CODIFICACION!$E$2:$E$500,MATCH("P10|"&amp;CAPTURA!AG98,CODIFICACION!$F$2:$F$500,0))="sin dato","",INDEX(CODIFICACION!$E$2:$E$500,MATCH("P10|"&amp;CAPTURA!AG98,CODIFICACION!$F$2:$F$500,0))),"⚠"))</f>
        <v/>
      </c>
      <c r="F98" t="str">
        <f>IF(CAPTURA!AJ98="","",IFERROR(IF(INDEX(CODIFICACION!$E$2:$E$500,MATCH("P13|"&amp;CAPTURA!AJ98,CODIFICACION!$F$2:$F$500,0))="sin dato","",INDEX(CODIFICACION!$E$2:$E$500,MATCH("P13|"&amp;CAPTURA!AJ98,CODIFICACION!$F$2:$F$500,0))),"⚠"))</f>
        <v/>
      </c>
      <c r="G98" t="str">
        <f>IF(CAPTURA!AK98="","",IFERROR(IF(INDEX(CODIFICACION!$E$2:$E$500,MATCH("P14|"&amp;CAPTURA!AK98,CODIFICACION!$F$2:$F$500,0))="sin dato","",INDEX(CODIFICACION!$E$2:$E$500,MATCH("P14|"&amp;CAPTURA!AK98,CODIFICACION!$F$2:$F$500,0))),"⚠"))</f>
        <v/>
      </c>
      <c r="H98" t="str">
        <f>IF(CAPTURA!AL98="","",IFERROR(IF(INDEX(CODIFICACION!$E$2:$E$500,MATCH("D1.1|"&amp;CAPTURA!AL98,CODIFICACION!$F$2:$F$500,0))="sin dato","",INDEX(CODIFICACION!$E$2:$E$500,MATCH("D1.1|"&amp;CAPTURA!AL98,CODIFICACION!$F$2:$F$500,0))),"⚠"))</f>
        <v/>
      </c>
      <c r="I98" t="str">
        <f>IF(CAPTURA!AN98="","",IFERROR(IF(INDEX(CODIFICACION!$E$2:$E$500,MATCH("D1.3|"&amp;CAPTURA!AN98,CODIFICACION!$F$2:$F$500,0))="sin dato","",INDEX(CODIFICACION!$E$2:$E$500,MATCH("D1.3|"&amp;CAPTURA!AN98,CODIFICACION!$F$2:$F$500,0))),"⚠"))</f>
        <v/>
      </c>
      <c r="J98" t="str">
        <f>IF(CAPTURA!AO98="","",IFERROR(IF(INDEX(CODIFICACION!$E$2:$E$500,MATCH("D1.4|"&amp;CAPTURA!AO98,CODIFICACION!$F$2:$F$500,0))="sin dato","",INDEX(CODIFICACION!$E$2:$E$500,MATCH("D1.4|"&amp;CAPTURA!AO98,CODIFICACION!$F$2:$F$500,0))),"⚠"))</f>
        <v/>
      </c>
      <c r="K98" t="str">
        <f>IF(CAPTURA!AP98="","",IFERROR(IF(INDEX(CODIFICACION!$E$2:$E$500,MATCH("D1.3a|"&amp;CAPTURA!AP98,CODIFICACION!$F$2:$F$500,0))="sin dato","",INDEX(CODIFICACION!$E$2:$E$500,MATCH("D1.3a|"&amp;CAPTURA!AP98,CODIFICACION!$F$2:$F$500,0))),"⚠"))</f>
        <v/>
      </c>
      <c r="L98" t="str">
        <f>IF(CAPTURA!AQ98="","",IF(AND(ISNUMBER(CAPTURA!AQ98),CAPTURA!AQ98&gt;=0,CAPTURA!AQ98&lt;=4),CAPTURA!AQ98*25,"⚠"))</f>
        <v/>
      </c>
      <c r="M98" t="str">
        <f>IF(CAPTURA!AR98="","",IF(ISNUMBER(CAPTURA!AR98),MAX(0,MIN(100,CAPTURA!AR98)),"⚠"))</f>
        <v/>
      </c>
      <c r="N98" t="str">
        <f>IF(CAPTURA!AS98="","",IF(AND(ISNUMBER(CAPTURA!AS98),CAPTURA!AS98&gt;=0,CAPTURA!AS98&lt;=4),CAPTURA!AS98*25,"⚠"))</f>
        <v/>
      </c>
      <c r="O98" t="str">
        <f>IF(CAPTURA!AT98="","",IFERROR(IF(INDEX(CODIFICACION!$E$2:$E$500,MATCH("D2.8|"&amp;CAPTURA!AT98,CODIFICACION!$F$2:$F$500,0))="sin dato","",INDEX(CODIFICACION!$E$2:$E$500,MATCH("D2.8|"&amp;CAPTURA!AT98,CODIFICACION!$F$2:$F$500,0))),"⚠"))</f>
        <v/>
      </c>
      <c r="P98" t="str">
        <f>IF(CAPTURA!AU98="","",IFERROR(IF(INDEX(CODIFICACION!$E$2:$E$500,MATCH("D2.9|"&amp;CAPTURA!AU98,CODIFICACION!$F$2:$F$500,0))="sin dato","",INDEX(CODIFICACION!$E$2:$E$500,MATCH("D2.9|"&amp;CAPTURA!AU98,CODIFICACION!$F$2:$F$500,0))),"⚠"))</f>
        <v/>
      </c>
      <c r="Q98" t="str">
        <f>IF(CAPTURA!AV98="","",IFERROR(IF(INDEX(CODIFICACION!$E$2:$E$500,MATCH("D2.10|"&amp;CAPTURA!AV98,CODIFICACION!$F$2:$F$500,0))="sin dato","",INDEX(CODIFICACION!$E$2:$E$500,MATCH("D2.10|"&amp;CAPTURA!AV98,CODIFICACION!$F$2:$F$500,0))),"⚠"))</f>
        <v/>
      </c>
      <c r="R98" t="str">
        <f>IF(CAPTURA!AW98="","",IFERROR(IF(INDEX(CODIFICACION!$E$2:$E$500,MATCH("D2.5a|"&amp;CAPTURA!AW98,CODIFICACION!$F$2:$F$500,0))="sin dato","",INDEX(CODIFICACION!$E$2:$E$500,MATCH("D2.5a|"&amp;CAPTURA!AW98,CODIFICACION!$F$2:$F$500,0))),"⚠"))</f>
        <v/>
      </c>
      <c r="S98" t="str">
        <f>IF(CAPTURA!AX98="","",IFERROR(IF(INDEX(CODIFICACION!$E$2:$E$500,MATCH("D2.5b|"&amp;CAPTURA!AX98,CODIFICACION!$F$2:$F$500,0))="sin dato","",INDEX(CODIFICACION!$E$2:$E$500,MATCH("D2.5b|"&amp;CAPTURA!AX98,CODIFICACION!$F$2:$F$500,0))),"⚠"))</f>
        <v/>
      </c>
      <c r="T98" t="str">
        <f>IF(CAPTURA!AY98="","",IF(ISNUMBER(CAPTURA!AY98),MAX(0,MIN(100,CAPTURA!AY98)),"⚠"))</f>
        <v/>
      </c>
      <c r="U98" t="str">
        <f>IF(CAPTURA!AZ98="","",IFERROR(IF(INDEX(CODIFICACION!$E$2:$E$500,MATCH("D3.12|"&amp;CAPTURA!AZ98,CODIFICACION!$F$2:$F$500,0))="sin dato","",INDEX(CODIFICACION!$E$2:$E$500,MATCH("D3.12|"&amp;CAPTURA!AZ98,CODIFICACION!$F$2:$F$500,0))),"⚠"))</f>
        <v/>
      </c>
      <c r="V98" t="str">
        <f>IF(CAPTURA!BA98="","",IF(AND(ISNUMBER(CAPTURA!BA98),CAPTURA!BA98&gt;=0,CAPTURA!BA98&lt;=4),CAPTURA!BA98*25,"⚠"))</f>
        <v/>
      </c>
      <c r="W98" t="str">
        <f>IF(CAPTURA!BB98="","",IFERROR(IF(INDEX(CODIFICACION!$E$2:$E$500,MATCH("D3.14|"&amp;CAPTURA!BB98,CODIFICACION!$F$2:$F$500,0))="sin dato","",INDEX(CODIFICACION!$E$2:$E$500,MATCH("D3.14|"&amp;CAPTURA!BB98,CODIFICACION!$F$2:$F$500,0))),"⚠"))</f>
        <v/>
      </c>
      <c r="X98" t="str">
        <f>IF(CAPTURA!BC98="","",IFERROR(IF(INDEX(CODIFICACION!$E$2:$E$500,MATCH("D3.14a|"&amp;CAPTURA!BC98,CODIFICACION!$F$2:$F$500,0))="sin dato","",INDEX(CODIFICACION!$E$2:$E$500,MATCH("D3.14a|"&amp;CAPTURA!BC98,CODIFICACION!$F$2:$F$500,0))),"⚠"))</f>
        <v/>
      </c>
      <c r="Y98" t="str">
        <f>IF(CAPTURA!BD98="","",IFERROR(IF(INDEX(CODIFICACION!$E$2:$E$500,MATCH("D3.14b|"&amp;CAPTURA!BD98,CODIFICACION!$F$2:$F$500,0))="sin dato","",INDEX(CODIFICACION!$E$2:$E$500,MATCH("D3.14b|"&amp;CAPTURA!BD98,CODIFICACION!$F$2:$F$500,0))),"⚠"))</f>
        <v/>
      </c>
      <c r="Z98" t="str">
        <f>IF(CAPTURA!BE98="","",IFERROR(IF(INDEX(CODIFICACION!$E$2:$E$500,MATCH("D3.14c|"&amp;CAPTURA!BE98,CODIFICACION!$F$2:$F$500,0))="sin dato","",INDEX(CODIFICACION!$E$2:$E$500,MATCH("D3.14c|"&amp;CAPTURA!BE98,CODIFICACION!$F$2:$F$500,0))),"⚠"))</f>
        <v/>
      </c>
      <c r="AA98" t="str">
        <f>IF(CAPTURA!BF98="","",IFERROR(IF(INDEX(CODIFICACION!$E$2:$E$500,MATCH("D3.14d|"&amp;CAPTURA!BF98,CODIFICACION!$F$2:$F$500,0))="sin dato","",INDEX(CODIFICACION!$E$2:$E$500,MATCH("D3.14d|"&amp;CAPTURA!BF98,CODIFICACION!$F$2:$F$500,0))),"⚠"))</f>
        <v/>
      </c>
      <c r="AB98" t="str">
        <f>IF(CAPTURA!BG98="","",IFERROR(IF(INDEX(CODIFICACION!$E$2:$E$500,MATCH("D3.14e|"&amp;CAPTURA!BG98,CODIFICACION!$F$2:$F$500,0))="sin dato","",INDEX(CODIFICACION!$E$2:$E$500,MATCH("D3.14e|"&amp;CAPTURA!BG98,CODIFICACION!$F$2:$F$500,0))),"⚠"))</f>
        <v/>
      </c>
      <c r="AC98" t="str">
        <f>IF(CAPTURA!BH98="","",IFERROR(IF(INDEX(CODIFICACION!$E$2:$E$500,MATCH("D3.14f|"&amp;CAPTURA!BH98,CODIFICACION!$F$2:$F$500,0))="sin dato","",INDEX(CODIFICACION!$E$2:$E$500,MATCH("D3.14f|"&amp;CAPTURA!BH98,CODIFICACION!$F$2:$F$500,0))),"⚠"))</f>
        <v/>
      </c>
      <c r="AD98" t="str">
        <f>IF(CAPTURA!BI98="","",IFERROR(IF(INDEX(CODIFICACION!$E$2:$E$500,MATCH("D3.14g|"&amp;CAPTURA!BI98,CODIFICACION!$F$2:$F$500,0))="sin dato","",INDEX(CODIFICACION!$E$2:$E$500,MATCH("D3.14g|"&amp;CAPTURA!BI98,CODIFICACION!$F$2:$F$500,0))),"⚠"))</f>
        <v/>
      </c>
      <c r="AE98" t="str">
        <f>IF(CAPTURA!BJ98="","",IFERROR(IF(INDEX(CODIFICACION!$E$2:$E$500,MATCH("D3.14h|"&amp;CAPTURA!BJ98,CODIFICACION!$F$2:$F$500,0))="sin dato","",INDEX(CODIFICACION!$E$2:$E$500,MATCH("D3.14h|"&amp;CAPTURA!BJ98,CODIFICACION!$F$2:$F$500,0))),"⚠"))</f>
        <v/>
      </c>
      <c r="AF98" t="str">
        <f>IF(CAPTURA!BK98="","",IFERROR(IF(INDEX(CODIFICACION!$E$2:$E$500,MATCH("D3.14i|"&amp;CAPTURA!BK98,CODIFICACION!$F$2:$F$500,0))="sin dato","",INDEX(CODIFICACION!$E$2:$E$500,MATCH("D3.14i|"&amp;CAPTURA!BK98,CODIFICACION!$F$2:$F$500,0))),"⚠"))</f>
        <v/>
      </c>
      <c r="AG98" t="str">
        <f>IF(CAPTURA!BL98="","",IFERROR(IF(INDEX(CODIFICACION!$E$2:$E$500,MATCH("D4.15|"&amp;CAPTURA!BL98,CODIFICACION!$F$2:$F$500,0))="sin dato","",INDEX(CODIFICACION!$E$2:$E$500,MATCH("D4.15|"&amp;CAPTURA!BL98,CODIFICACION!$F$2:$F$500,0))),"⚠"))</f>
        <v/>
      </c>
      <c r="AH98" t="str">
        <f>IF(CAPTURA!BM98="","",IF(AND(ISNUMBER(CAPTURA!BM98),CAPTURA!BM98&gt;=0,CAPTURA!BM98&lt;=4),CAPTURA!BM98*25,"⚠"))</f>
        <v/>
      </c>
      <c r="AI98" t="str">
        <f>IF(CAPTURA!BN98="","",IFERROR(IF(INDEX(CODIFICACION!$E$2:$E$500,MATCH("D4.17|"&amp;CAPTURA!BN98,CODIFICACION!$F$2:$F$500,0))="sin dato","",INDEX(CODIFICACION!$E$2:$E$500,MATCH("D4.17|"&amp;CAPTURA!BN98,CODIFICACION!$F$2:$F$500,0))),"⚠"))</f>
        <v/>
      </c>
      <c r="AJ98" t="str">
        <f>IF(CAPTURA!BO98="","",IFERROR(IF(INDEX(CODIFICACION!$E$2:$E$500,MATCH("D4.15a|"&amp;CAPTURA!BO98,CODIFICACION!$F$2:$F$500,0))="sin dato","",INDEX(CODIFICACION!$E$2:$E$500,MATCH("D4.15a|"&amp;CAPTURA!BO98,CODIFICACION!$F$2:$F$500,0))),"⚠"))</f>
        <v/>
      </c>
      <c r="AK98" t="str">
        <f>IF(CAPTURA!BP98="","",IF(AND(ISNUMBER(CAPTURA!BP98),CAPTURA!BP98&gt;=0,CAPTURA!BP98&lt;=4),CAPTURA!BP98*25,"⚠"))</f>
        <v/>
      </c>
      <c r="AL98" t="str">
        <f>IF(CAPTURA!BQ98="","",IF(AND(ISNUMBER(CAPTURA!BQ98),CAPTURA!BQ98&gt;=0,CAPTURA!BQ98&lt;=4),CAPTURA!BQ98*25,"⚠"))</f>
        <v/>
      </c>
      <c r="AM98" t="str">
        <f>IF(CAPTURA!BR98="","",IFERROR(IF(INDEX(CODIFICACION!$E$2:$E$500,MATCH("D5.18b|"&amp;CAPTURA!BR98,CODIFICACION!$F$2:$F$500,0))="sin dato","",INDEX(CODIFICACION!$E$2:$E$500,MATCH("D5.18b|"&amp;CAPTURA!BR98,CODIFICACION!$F$2:$F$500,0))),"⚠"))</f>
        <v/>
      </c>
      <c r="AN98" t="str">
        <f>IF(CAPTURA!BS98="","",IFERROR(IF(INDEX(CODIFICACION!$E$2:$E$500,MATCH("D5.19|"&amp;CAPTURA!BS98,CODIFICACION!$F$2:$F$500,0))="sin dato","",INDEX(CODIFICACION!$E$2:$E$500,MATCH("D5.19|"&amp;CAPTURA!BS98,CODIFICACION!$F$2:$F$500,0))),"⚠"))</f>
        <v/>
      </c>
      <c r="AO98" t="str">
        <f>IF(CAPTURA!BT98="","",MIN(100,ROUND((LEN(CAPTURA!BT98)-LEN(SUBSTITUTE(CAPTURA!BT98,";",""))+1)/7*100,1)))</f>
        <v/>
      </c>
      <c r="AP98" t="str">
        <f>IF(CAPTURA!BU98="","",IFERROR(IF(INDEX(CODIFICACION!$E$2:$E$500,MATCH("D5.20|"&amp;CAPTURA!BU98,CODIFICACION!$F$2:$F$500,0))="sin dato","",INDEX(CODIFICACION!$E$2:$E$500,MATCH("D5.20|"&amp;CAPTURA!BU98,CODIFICACION!$F$2:$F$500,0))),"⚠"))</f>
        <v/>
      </c>
      <c r="AQ98" t="str">
        <f>IF(CAPTURA!BV98="","",IFERROR(IF(INDEX(CODIFICACION!$E$2:$E$500,MATCH("D5.21|"&amp;CAPTURA!BV98,CODIFICACION!$F$2:$F$500,0))="sin dato","",INDEX(CODIFICACION!$E$2:$E$500,MATCH("D5.21|"&amp;CAPTURA!BV98,CODIFICACION!$F$2:$F$500,0))),"⚠"))</f>
        <v/>
      </c>
      <c r="AR98" t="str">
        <f>IF(CAPTURA!BW98="","",IFERROR(IF(INDEX(CODIFICACION!$E$2:$E$500,MATCH("D5.21a|"&amp;CAPTURA!BW98,CODIFICACION!$F$2:$F$500,0))="sin dato","",INDEX(CODIFICACION!$E$2:$E$500,MATCH("D5.21a|"&amp;CAPTURA!BW98,CODIFICACION!$F$2:$F$500,0))),"⚠"))</f>
        <v/>
      </c>
      <c r="AS98" t="str">
        <f>IF(CAPTURA!BX98="","",IFERROR(IF(INDEX(CODIFICACION!$E$2:$E$500,MATCH("D5.21b|"&amp;CAPTURA!BX98,CODIFICACION!$F$2:$F$500,0))="sin dato","",INDEX(CODIFICACION!$E$2:$E$500,MATCH("D5.21b|"&amp;CAPTURA!BX98,CODIFICACION!$F$2:$F$500,0))),"⚠"))</f>
        <v/>
      </c>
      <c r="AT98" t="str">
        <f>IF(CAPTURA!BY98="","",IFERROR(IF(INDEX(CODIFICACION!$E$2:$E$500,MATCH("D6.22|"&amp;CAPTURA!BY98,CODIFICACION!$F$2:$F$500,0))="sin dato","",INDEX(CODIFICACION!$E$2:$E$500,MATCH("D6.22|"&amp;CAPTURA!BY98,CODIFICACION!$F$2:$F$500,0))),"⚠"))</f>
        <v/>
      </c>
      <c r="AU98" t="str">
        <f>IF(CAPTURA!BZ98="","",IFERROR(IF(INDEX(CODIFICACION!$E$2:$E$500,MATCH("D6.22a|"&amp;CAPTURA!BZ98,CODIFICACION!$F$2:$F$500,0))="sin dato","",INDEX(CODIFICACION!$E$2:$E$500,MATCH("D6.22a|"&amp;CAPTURA!BZ98,CODIFICACION!$F$2:$F$500,0))),"⚠"))</f>
        <v/>
      </c>
      <c r="AV98" t="str">
        <f>IF(CAPTURA!CA98="","",IFERROR(IF(INDEX(CODIFICACION!$E$2:$E$500,MATCH("D6.22b|"&amp;CAPTURA!CA98,CODIFICACION!$F$2:$F$500,0))="sin dato","",INDEX(CODIFICACION!$E$2:$E$500,MATCH("D6.22b|"&amp;CAPTURA!CA98,CODIFICACION!$F$2:$F$500,0))),"⚠"))</f>
        <v/>
      </c>
      <c r="AW98" t="str">
        <f>IF(CAPTURA!CB98="","",IFERROR(IF(INDEX(CODIFICACION!$E$2:$E$500,MATCH("D6.23|"&amp;CAPTURA!CB98,CODIFICACION!$F$2:$F$500,0))="sin dato","",INDEX(CODIFICACION!$E$2:$E$500,MATCH("D6.23|"&amp;CAPTURA!CB98,CODIFICACION!$F$2:$F$500,0))),"⚠"))</f>
        <v/>
      </c>
      <c r="AX98" t="str">
        <f>IF(CAPTURA!CC98="","",IFERROR(IF(INDEX(CODIFICACION!$E$2:$E$500,MATCH("D6.24|"&amp;CAPTURA!CC98,CODIFICACION!$F$2:$F$500,0))="sin dato","",INDEX(CODIFICACION!$E$2:$E$500,MATCH("D6.24|"&amp;CAPTURA!CC98,CODIFICACION!$F$2:$F$500,0))),"⚠"))</f>
        <v/>
      </c>
      <c r="AY98" t="str">
        <f>IF(CAPTURA!CD98="","",IFERROR(IF(INDEX(CODIFICACION!$E$2:$E$500,MATCH("D6.25|"&amp;CAPTURA!CD98,CODIFICACION!$F$2:$F$500,0))="sin dato","",INDEX(CODIFICACION!$E$2:$E$500,MATCH("D6.25|"&amp;CAPTURA!CD98,CODIFICACION!$F$2:$F$500,0))),"⚠"))</f>
        <v/>
      </c>
      <c r="AZ98" t="str">
        <f>IF(CAPTURA!CE98="","",IFERROR(IF(INDEX(CODIFICACION!$E$2:$E$500,MATCH("D6.25a|"&amp;CAPTURA!CE98,CODIFICACION!$F$2:$F$500,0))="sin dato","",INDEX(CODIFICACION!$E$2:$E$500,MATCH("D6.25a|"&amp;CAPTURA!CE98,CODIFICACION!$F$2:$F$500,0))),"⚠"))</f>
        <v/>
      </c>
      <c r="BA98" t="str">
        <f>IF(CAPTURA!CF98="","",IFERROR(IF(INDEX(CODIFICACION!$E$2:$E$500,MATCH("D6.25b|"&amp;CAPTURA!CF98,CODIFICACION!$F$2:$F$500,0))="sin dato","",INDEX(CODIFICACION!$E$2:$E$500,MATCH("D6.25b|"&amp;CAPTURA!CF98,CODIFICACION!$F$2:$F$500,0))),"⚠"))</f>
        <v/>
      </c>
      <c r="BB98" t="str">
        <f>IF(CAPTURA!CG98="","",IFERROR(IF(INDEX(CODIFICACION!$E$2:$E$500,MATCH("D6.22c|"&amp;CAPTURA!CG98,CODIFICACION!$F$2:$F$500,0))="sin dato","",INDEX(CODIFICACION!$E$2:$E$500,MATCH("D6.22c|"&amp;CAPTURA!CG98,CODIFICACION!$F$2:$F$500,0))),"⚠"))</f>
        <v/>
      </c>
      <c r="BC98" t="str">
        <f>IF(CAPTURA!CH98="","",IFERROR(IF(INDEX(CODIFICACION!$E$2:$E$500,MATCH("D7.26|"&amp;CAPTURA!CH98,CODIFICACION!$F$2:$F$500,0))="sin dato","",INDEX(CODIFICACION!$E$2:$E$500,MATCH("D7.26|"&amp;CAPTURA!CH98,CODIFICACION!$F$2:$F$500,0))),"⚠"))</f>
        <v/>
      </c>
      <c r="BD98" t="str">
        <f>IF(CAPTURA!CI98="","",IFERROR(IF(INDEX(CODIFICACION!$E$2:$E$500,MATCH("D7.27|"&amp;CAPTURA!CI98,CODIFICACION!$F$2:$F$500,0))="sin dato","",INDEX(CODIFICACION!$E$2:$E$500,MATCH("D7.27|"&amp;CAPTURA!CI98,CODIFICACION!$F$2:$F$500,0))),"⚠"))</f>
        <v/>
      </c>
      <c r="BE98" t="str">
        <f>IF(CAPTURA!CJ98="","",IFERROR(IF(INDEX(CODIFICACION!$E$2:$E$500,MATCH("D7.28|"&amp;CAPTURA!CJ98,CODIFICACION!$F$2:$F$500,0))="sin dato","",INDEX(CODIFICACION!$E$2:$E$500,MATCH("D7.28|"&amp;CAPTURA!CJ98,CODIFICACION!$F$2:$F$500,0))),"⚠"))</f>
        <v/>
      </c>
      <c r="BF98" t="str">
        <f>IF(CAPTURA!CK98="","",IFERROR(IF(INDEX(CODIFICACION!$E$2:$E$500,MATCH("D7.28b|"&amp;CAPTURA!CK98,CODIFICACION!$F$2:$F$500,0))="sin dato","",INDEX(CODIFICACION!$E$2:$E$500,MATCH("D7.28b|"&amp;CAPTURA!CK98,CODIFICACION!$F$2:$F$500,0))),"⚠"))</f>
        <v/>
      </c>
      <c r="BG98" t="str">
        <f>IF(CAPTURA!CL98="","",MIN(100,ROUND((LEN(CAPTURA!CL98)-LEN(SUBSTITUTE(CAPTURA!CL98,";",""))+1)/8*100,1)))</f>
        <v/>
      </c>
      <c r="BH98" t="str">
        <f>IF(CAPTURA!CM98="","",IFERROR(IF(INDEX(CODIFICACION!$E$2:$E$500,MATCH("D7.26a|"&amp;CAPTURA!CM98,CODIFICACION!$F$2:$F$500,0))="sin dato","",INDEX(CODIFICACION!$E$2:$E$500,MATCH("D7.26a|"&amp;CAPTURA!CM98,CODIFICACION!$F$2:$F$500,0))),"⚠"))</f>
        <v/>
      </c>
      <c r="BI98" t="str">
        <f>IF(CAPTURA!CN98="","",IFERROR(IF(INDEX(CODIFICACION!$E$2:$E$500,MATCH("D7.26b|"&amp;CAPTURA!CN98,CODIFICACION!$F$2:$F$500,0))="sin dato","",INDEX(CODIFICACION!$E$2:$E$500,MATCH("D7.26b|"&amp;CAPTURA!CN98,CODIFICACION!$F$2:$F$500,0))),"⚠"))</f>
        <v/>
      </c>
      <c r="BJ98" t="str">
        <f>IF(CAPTURA!CO98="","",IF(AND(ISNUMBER(CAPTURA!CO98),CAPTURA!CO98&gt;=0,CAPTURA!CO98&lt;=4),CAPTURA!CO98*25,"⚠"))</f>
        <v/>
      </c>
      <c r="BK98" t="str">
        <f>IF(CAPTURA!CP98="","",IF(ISNUMBER(CAPTURA!CP98),MAX(0,MIN(100,CAPTURA!CP98)),"⚠"))</f>
        <v/>
      </c>
      <c r="BL98" t="str">
        <f>IF(CAPTURA!CQ98="","",IFERROR(IF(INDEX(CODIFICACION!$E$2:$E$500,MATCH("D8.31|"&amp;CAPTURA!CQ98,CODIFICACION!$F$2:$F$500,0))="sin dato","",INDEX(CODIFICACION!$E$2:$E$500,MATCH("D8.31|"&amp;CAPTURA!CQ98,CODIFICACION!$F$2:$F$500,0))),"⚠"))</f>
        <v/>
      </c>
      <c r="BM98" t="str">
        <f>IF(CAPTURA!CR98="","",IFERROR(IF(INDEX(CODIFICACION!$E$2:$E$500,MATCH("D8.32|"&amp;CAPTURA!CR98,CODIFICACION!$F$2:$F$500,0))="sin dato","",INDEX(CODIFICACION!$E$2:$E$500,MATCH("D8.32|"&amp;CAPTURA!CR98,CODIFICACION!$F$2:$F$500,0))),"⚠"))</f>
        <v/>
      </c>
      <c r="BN98" t="str">
        <f>IF(CAPTURA!CS98="","",IFERROR(IF(INDEX(CODIFICACION!$E$2:$E$500,MATCH("D9.33|"&amp;CAPTURA!CS98,CODIFICACION!$F$2:$F$500,0))="sin dato","",INDEX(CODIFICACION!$E$2:$E$500,MATCH("D9.33|"&amp;CAPTURA!CS98,CODIFICACION!$F$2:$F$500,0))),"⚠"))</f>
        <v/>
      </c>
      <c r="BO98" t="str">
        <f>IF(CAPTURA!CT98="","",IFERROR(IF(INDEX(CODIFICACION!$E$2:$E$500,MATCH("D9.34|"&amp;CAPTURA!CT98,CODIFICACION!$F$2:$F$500,0))="sin dato","",INDEX(CODIFICACION!$E$2:$E$500,MATCH("D9.34|"&amp;CAPTURA!CT98,CODIFICACION!$F$2:$F$500,0))),"⚠"))</f>
        <v/>
      </c>
      <c r="BP98" t="str">
        <f>IF(CAPTURA!CU98="","",IFERROR(IF(INDEX(CODIFICACION!$E$2:$E$500,MATCH("D9.35|"&amp;CAPTURA!CU98,CODIFICACION!$F$2:$F$500,0))="sin dato","",INDEX(CODIFICACION!$E$2:$E$500,MATCH("D9.35|"&amp;CAPTURA!CU98,CODIFICACION!$F$2:$F$500,0))),"⚠"))</f>
        <v/>
      </c>
      <c r="BQ98" t="str">
        <f>IF(CAPTURA!CV98="","",IFERROR(IF(INDEX(CODIFICACION!$E$2:$E$500,MATCH("D10.36|"&amp;CAPTURA!CV98,CODIFICACION!$F$2:$F$500,0))="sin dato","",INDEX(CODIFICACION!$E$2:$E$500,MATCH("D10.36|"&amp;CAPTURA!CV98,CODIFICACION!$F$2:$F$500,0))),"⚠"))</f>
        <v/>
      </c>
      <c r="BR98" t="str">
        <f>IF(CAPTURA!CW98="","",IFERROR(IF(INDEX(CODIFICACION!$E$2:$E$500,MATCH("D10.37|"&amp;CAPTURA!CW98,CODIFICACION!$F$2:$F$500,0))="sin dato","",INDEX(CODIFICACION!$E$2:$E$500,MATCH("D10.37|"&amp;CAPTURA!CW98,CODIFICACION!$F$2:$F$500,0))),"⚠"))</f>
        <v/>
      </c>
      <c r="BS98" t="str">
        <f>IF(CAPTURA!CX98="","",IFERROR(IF(INDEX(CODIFICACION!$E$2:$E$500,MATCH("D10.36a|"&amp;CAPTURA!CX98,CODIFICACION!$F$2:$F$500,0))="sin dato","",INDEX(CODIFICACION!$E$2:$E$500,MATCH("D10.36a|"&amp;CAPTURA!CX98,CODIFICACION!$F$2:$F$500,0))),"⚠"))</f>
        <v/>
      </c>
      <c r="BT98" t="str">
        <f>IF(CAPTURA!CY98="","",IF(ISNUMBER(SEARCH("Ninguno",CAPTURA!CY98)),0,MIN(100,ROUND((LEN(CAPTURA!CY98)-LEN(SUBSTITUTE(CAPTURA!CY98,";",""))+1)/6*100,1))))</f>
        <v/>
      </c>
      <c r="BU98" t="str">
        <f>IF(CAPTURA!DA98="","",IFERROR(IF(INDEX(CODIFICACION!$E$2:$E$500,MATCH("D11.39a|"&amp;CAPTURA!DA98,CODIFICACION!$F$2:$F$500,0))="sin dato","",INDEX(CODIFICACION!$E$2:$E$500,MATCH("D11.39a|"&amp;CAPTURA!DA98,CODIFICACION!$F$2:$F$500,0))),"⚠"))</f>
        <v/>
      </c>
      <c r="BV98" t="str">
        <f>IF(CAPTURA!DB98="","",IFERROR(IF(INDEX(CODIFICACION!$E$2:$E$500,MATCH("D12.42|"&amp;CAPTURA!DB98,CODIFICACION!$F$2:$F$500,0))="sin dato","",INDEX(CODIFICACION!$E$2:$E$500,MATCH("D12.42|"&amp;CAPTURA!DB98,CODIFICACION!$F$2:$F$500,0))),"⚠"))</f>
        <v/>
      </c>
      <c r="BW98" t="str">
        <f>IF(CAPTURA!DC98="","",IFERROR(IF(INDEX(CODIFICACION!$E$2:$E$500,MATCH("D13.45|"&amp;CAPTURA!DC98,CODIFICACION!$F$2:$F$500,0))="sin dato","",INDEX(CODIFICACION!$E$2:$E$500,MATCH("D13.45|"&amp;CAPTURA!DC98,CODIFICACION!$F$2:$F$500,0))),"⚠"))</f>
        <v/>
      </c>
      <c r="BX98" t="str">
        <f>IF(CAPTURA!DD98="","",IFERROR(IF(INDEX(CODIFICACION!$E$2:$E$500,MATCH("D14.51|"&amp;CAPTURA!DD98,CODIFICACION!$F$2:$F$500,0))="sin dato","",INDEX(CODIFICACION!$E$2:$E$500,MATCH("D14.51|"&amp;CAPTURA!DD98,CODIFICACION!$F$2:$F$500,0))),"⚠"))</f>
        <v/>
      </c>
      <c r="BY98" t="str">
        <f>IF(CAPTURA!DE98="","",IFERROR(IF(INDEX(CODIFICACION!$E$2:$E$500,MATCH("D15.58|"&amp;CAPTURA!DE98,CODIFICACION!$F$2:$F$500,0))="sin dato","",INDEX(CODIFICACION!$E$2:$E$500,MATCH("D15.58|"&amp;CAPTURA!DE98,CODIFICACION!$F$2:$F$500,0))),"⚠"))</f>
        <v/>
      </c>
      <c r="BZ98" t="str">
        <f>IF(CAPTURA!DF98="","",IFERROR(IF(INDEX(CODIFICACION!$E$2:$E$500,MATCH("PP1|"&amp;CAPTURA!DF98,CODIFICACION!$F$2:$F$500,0))="sin dato","",INDEX(CODIFICACION!$E$2:$E$500,MATCH("PP1|"&amp;CAPTURA!DF98,CODIFICACION!$F$2:$F$500,0))),"⚠"))</f>
        <v/>
      </c>
      <c r="CA98" t="str">
        <f>IF(CAPTURA!DG98="","",IFERROR(IF(INDEX(CODIFICACION!$E$2:$E$500,MATCH("PP2|"&amp;CAPTURA!DG98,CODIFICACION!$F$2:$F$500,0))="sin dato","",INDEX(CODIFICACION!$E$2:$E$500,MATCH("PP2|"&amp;CAPTURA!DG98,CODIFICACION!$F$2:$F$500,0))),"⚠"))</f>
        <v/>
      </c>
      <c r="CB98" t="str">
        <f t="shared" si="22"/>
        <v/>
      </c>
      <c r="CC98" t="str">
        <f t="shared" si="23"/>
        <v/>
      </c>
      <c r="CD98" t="str">
        <f t="shared" si="24"/>
        <v/>
      </c>
      <c r="CE98" t="str">
        <f t="shared" si="25"/>
        <v/>
      </c>
      <c r="CF98" t="str">
        <f t="shared" si="26"/>
        <v/>
      </c>
      <c r="CG98" t="str">
        <f t="shared" si="27"/>
        <v/>
      </c>
      <c r="CH98" t="str">
        <f t="shared" si="28"/>
        <v/>
      </c>
      <c r="CI98" t="str">
        <f t="shared" si="29"/>
        <v/>
      </c>
      <c r="CJ98" t="str">
        <f t="shared" si="30"/>
        <v/>
      </c>
      <c r="CK98" t="str">
        <f t="shared" si="31"/>
        <v/>
      </c>
      <c r="CL98" t="str">
        <f t="shared" si="32"/>
        <v/>
      </c>
    </row>
    <row r="99" spans="1:90" x14ac:dyDescent="0.3">
      <c r="A99">
        <f>CAPTURA!A99</f>
        <v>20573344791</v>
      </c>
      <c r="B99">
        <f>CAPTURA!C99</f>
        <v>0</v>
      </c>
      <c r="C99" t="str">
        <f>IF(CAPTURA!M99="","",ROUND((ISNUMBER(SEARCH("Alemania",CAPTURA!M99))+ISNUMBER(SEARCH("Bélgica",CAPTURA!M99))+ISNUMBER(SEARCH("Países Bajos",CAPTURA!M99))+ISNUMBER(SEARCH("Francia",CAPTURA!M99))+ISNUMBER(SEARCH("Italia",CAPTURA!M99))+ISNUMBER(SEARCH("España",CAPTURA!M99))+ISNUMBER(SEARCH("Suecia",CAPTURA!M99))+ISNUMBER(SEARCH("Dinamarca",CAPTURA!M99)))/((LEN(CAPTURA!M99)-LEN(SUBSTITUTE(CAPTURA!M99,";","")))+1)*100,1))</f>
        <v/>
      </c>
      <c r="D99" t="str">
        <f>IF(CAPTURA!AE99="","",IFERROR(IF(INDEX(CODIFICACION!$E$2:$E$500,MATCH("P8|"&amp;CAPTURA!AE99,CODIFICACION!$F$2:$F$500,0))="sin dato","",INDEX(CODIFICACION!$E$2:$E$500,MATCH("P8|"&amp;CAPTURA!AE99,CODIFICACION!$F$2:$F$500,0))),"⚠"))</f>
        <v/>
      </c>
      <c r="E99" t="str">
        <f>IF(CAPTURA!AG99="","",IFERROR(IF(INDEX(CODIFICACION!$E$2:$E$500,MATCH("P10|"&amp;CAPTURA!AG99,CODIFICACION!$F$2:$F$500,0))="sin dato","",INDEX(CODIFICACION!$E$2:$E$500,MATCH("P10|"&amp;CAPTURA!AG99,CODIFICACION!$F$2:$F$500,0))),"⚠"))</f>
        <v/>
      </c>
      <c r="F99" t="str">
        <f>IF(CAPTURA!AJ99="","",IFERROR(IF(INDEX(CODIFICACION!$E$2:$E$500,MATCH("P13|"&amp;CAPTURA!AJ99,CODIFICACION!$F$2:$F$500,0))="sin dato","",INDEX(CODIFICACION!$E$2:$E$500,MATCH("P13|"&amp;CAPTURA!AJ99,CODIFICACION!$F$2:$F$500,0))),"⚠"))</f>
        <v/>
      </c>
      <c r="G99" t="str">
        <f>IF(CAPTURA!AK99="","",IFERROR(IF(INDEX(CODIFICACION!$E$2:$E$500,MATCH("P14|"&amp;CAPTURA!AK99,CODIFICACION!$F$2:$F$500,0))="sin dato","",INDEX(CODIFICACION!$E$2:$E$500,MATCH("P14|"&amp;CAPTURA!AK99,CODIFICACION!$F$2:$F$500,0))),"⚠"))</f>
        <v/>
      </c>
      <c r="H99" t="str">
        <f>IF(CAPTURA!AL99="","",IFERROR(IF(INDEX(CODIFICACION!$E$2:$E$500,MATCH("D1.1|"&amp;CAPTURA!AL99,CODIFICACION!$F$2:$F$500,0))="sin dato","",INDEX(CODIFICACION!$E$2:$E$500,MATCH("D1.1|"&amp;CAPTURA!AL99,CODIFICACION!$F$2:$F$500,0))),"⚠"))</f>
        <v/>
      </c>
      <c r="I99" t="str">
        <f>IF(CAPTURA!AN99="","",IFERROR(IF(INDEX(CODIFICACION!$E$2:$E$500,MATCH("D1.3|"&amp;CAPTURA!AN99,CODIFICACION!$F$2:$F$500,0))="sin dato","",INDEX(CODIFICACION!$E$2:$E$500,MATCH("D1.3|"&amp;CAPTURA!AN99,CODIFICACION!$F$2:$F$500,0))),"⚠"))</f>
        <v/>
      </c>
      <c r="J99" t="str">
        <f>IF(CAPTURA!AO99="","",IFERROR(IF(INDEX(CODIFICACION!$E$2:$E$500,MATCH("D1.4|"&amp;CAPTURA!AO99,CODIFICACION!$F$2:$F$500,0))="sin dato","",INDEX(CODIFICACION!$E$2:$E$500,MATCH("D1.4|"&amp;CAPTURA!AO99,CODIFICACION!$F$2:$F$500,0))),"⚠"))</f>
        <v/>
      </c>
      <c r="K99" t="str">
        <f>IF(CAPTURA!AP99="","",IFERROR(IF(INDEX(CODIFICACION!$E$2:$E$500,MATCH("D1.3a|"&amp;CAPTURA!AP99,CODIFICACION!$F$2:$F$500,0))="sin dato","",INDEX(CODIFICACION!$E$2:$E$500,MATCH("D1.3a|"&amp;CAPTURA!AP99,CODIFICACION!$F$2:$F$500,0))),"⚠"))</f>
        <v/>
      </c>
      <c r="L99" t="str">
        <f>IF(CAPTURA!AQ99="","",IF(AND(ISNUMBER(CAPTURA!AQ99),CAPTURA!AQ99&gt;=0,CAPTURA!AQ99&lt;=4),CAPTURA!AQ99*25,"⚠"))</f>
        <v/>
      </c>
      <c r="M99" t="str">
        <f>IF(CAPTURA!AR99="","",IF(ISNUMBER(CAPTURA!AR99),MAX(0,MIN(100,CAPTURA!AR99)),"⚠"))</f>
        <v/>
      </c>
      <c r="N99" t="str">
        <f>IF(CAPTURA!AS99="","",IF(AND(ISNUMBER(CAPTURA!AS99),CAPTURA!AS99&gt;=0,CAPTURA!AS99&lt;=4),CAPTURA!AS99*25,"⚠"))</f>
        <v/>
      </c>
      <c r="O99" t="str">
        <f>IF(CAPTURA!AT99="","",IFERROR(IF(INDEX(CODIFICACION!$E$2:$E$500,MATCH("D2.8|"&amp;CAPTURA!AT99,CODIFICACION!$F$2:$F$500,0))="sin dato","",INDEX(CODIFICACION!$E$2:$E$500,MATCH("D2.8|"&amp;CAPTURA!AT99,CODIFICACION!$F$2:$F$500,0))),"⚠"))</f>
        <v/>
      </c>
      <c r="P99" t="str">
        <f>IF(CAPTURA!AU99="","",IFERROR(IF(INDEX(CODIFICACION!$E$2:$E$500,MATCH("D2.9|"&amp;CAPTURA!AU99,CODIFICACION!$F$2:$F$500,0))="sin dato","",INDEX(CODIFICACION!$E$2:$E$500,MATCH("D2.9|"&amp;CAPTURA!AU99,CODIFICACION!$F$2:$F$500,0))),"⚠"))</f>
        <v/>
      </c>
      <c r="Q99" t="str">
        <f>IF(CAPTURA!AV99="","",IFERROR(IF(INDEX(CODIFICACION!$E$2:$E$500,MATCH("D2.10|"&amp;CAPTURA!AV99,CODIFICACION!$F$2:$F$500,0))="sin dato","",INDEX(CODIFICACION!$E$2:$E$500,MATCH("D2.10|"&amp;CAPTURA!AV99,CODIFICACION!$F$2:$F$500,0))),"⚠"))</f>
        <v/>
      </c>
      <c r="R99" t="str">
        <f>IF(CAPTURA!AW99="","",IFERROR(IF(INDEX(CODIFICACION!$E$2:$E$500,MATCH("D2.5a|"&amp;CAPTURA!AW99,CODIFICACION!$F$2:$F$500,0))="sin dato","",INDEX(CODIFICACION!$E$2:$E$500,MATCH("D2.5a|"&amp;CAPTURA!AW99,CODIFICACION!$F$2:$F$500,0))),"⚠"))</f>
        <v/>
      </c>
      <c r="S99" t="str">
        <f>IF(CAPTURA!AX99="","",IFERROR(IF(INDEX(CODIFICACION!$E$2:$E$500,MATCH("D2.5b|"&amp;CAPTURA!AX99,CODIFICACION!$F$2:$F$500,0))="sin dato","",INDEX(CODIFICACION!$E$2:$E$500,MATCH("D2.5b|"&amp;CAPTURA!AX99,CODIFICACION!$F$2:$F$500,0))),"⚠"))</f>
        <v/>
      </c>
      <c r="T99" t="str">
        <f>IF(CAPTURA!AY99="","",IF(ISNUMBER(CAPTURA!AY99),MAX(0,MIN(100,CAPTURA!AY99)),"⚠"))</f>
        <v/>
      </c>
      <c r="U99" t="str">
        <f>IF(CAPTURA!AZ99="","",IFERROR(IF(INDEX(CODIFICACION!$E$2:$E$500,MATCH("D3.12|"&amp;CAPTURA!AZ99,CODIFICACION!$F$2:$F$500,0))="sin dato","",INDEX(CODIFICACION!$E$2:$E$500,MATCH("D3.12|"&amp;CAPTURA!AZ99,CODIFICACION!$F$2:$F$500,0))),"⚠"))</f>
        <v/>
      </c>
      <c r="V99" t="str">
        <f>IF(CAPTURA!BA99="","",IF(AND(ISNUMBER(CAPTURA!BA99),CAPTURA!BA99&gt;=0,CAPTURA!BA99&lt;=4),CAPTURA!BA99*25,"⚠"))</f>
        <v/>
      </c>
      <c r="W99" t="str">
        <f>IF(CAPTURA!BB99="","",IFERROR(IF(INDEX(CODIFICACION!$E$2:$E$500,MATCH("D3.14|"&amp;CAPTURA!BB99,CODIFICACION!$F$2:$F$500,0))="sin dato","",INDEX(CODIFICACION!$E$2:$E$500,MATCH("D3.14|"&amp;CAPTURA!BB99,CODIFICACION!$F$2:$F$500,0))),"⚠"))</f>
        <v/>
      </c>
      <c r="X99" t="str">
        <f>IF(CAPTURA!BC99="","",IFERROR(IF(INDEX(CODIFICACION!$E$2:$E$500,MATCH("D3.14a|"&amp;CAPTURA!BC99,CODIFICACION!$F$2:$F$500,0))="sin dato","",INDEX(CODIFICACION!$E$2:$E$500,MATCH("D3.14a|"&amp;CAPTURA!BC99,CODIFICACION!$F$2:$F$500,0))),"⚠"))</f>
        <v/>
      </c>
      <c r="Y99" t="str">
        <f>IF(CAPTURA!BD99="","",IFERROR(IF(INDEX(CODIFICACION!$E$2:$E$500,MATCH("D3.14b|"&amp;CAPTURA!BD99,CODIFICACION!$F$2:$F$500,0))="sin dato","",INDEX(CODIFICACION!$E$2:$E$500,MATCH("D3.14b|"&amp;CAPTURA!BD99,CODIFICACION!$F$2:$F$500,0))),"⚠"))</f>
        <v/>
      </c>
      <c r="Z99" t="str">
        <f>IF(CAPTURA!BE99="","",IFERROR(IF(INDEX(CODIFICACION!$E$2:$E$500,MATCH("D3.14c|"&amp;CAPTURA!BE99,CODIFICACION!$F$2:$F$500,0))="sin dato","",INDEX(CODIFICACION!$E$2:$E$500,MATCH("D3.14c|"&amp;CAPTURA!BE99,CODIFICACION!$F$2:$F$500,0))),"⚠"))</f>
        <v/>
      </c>
      <c r="AA99" t="str">
        <f>IF(CAPTURA!BF99="","",IFERROR(IF(INDEX(CODIFICACION!$E$2:$E$500,MATCH("D3.14d|"&amp;CAPTURA!BF99,CODIFICACION!$F$2:$F$500,0))="sin dato","",INDEX(CODIFICACION!$E$2:$E$500,MATCH("D3.14d|"&amp;CAPTURA!BF99,CODIFICACION!$F$2:$F$500,0))),"⚠"))</f>
        <v/>
      </c>
      <c r="AB99" t="str">
        <f>IF(CAPTURA!BG99="","",IFERROR(IF(INDEX(CODIFICACION!$E$2:$E$500,MATCH("D3.14e|"&amp;CAPTURA!BG99,CODIFICACION!$F$2:$F$500,0))="sin dato","",INDEX(CODIFICACION!$E$2:$E$500,MATCH("D3.14e|"&amp;CAPTURA!BG99,CODIFICACION!$F$2:$F$500,0))),"⚠"))</f>
        <v/>
      </c>
      <c r="AC99" t="str">
        <f>IF(CAPTURA!BH99="","",IFERROR(IF(INDEX(CODIFICACION!$E$2:$E$500,MATCH("D3.14f|"&amp;CAPTURA!BH99,CODIFICACION!$F$2:$F$500,0))="sin dato","",INDEX(CODIFICACION!$E$2:$E$500,MATCH("D3.14f|"&amp;CAPTURA!BH99,CODIFICACION!$F$2:$F$500,0))),"⚠"))</f>
        <v/>
      </c>
      <c r="AD99" t="str">
        <f>IF(CAPTURA!BI99="","",IFERROR(IF(INDEX(CODIFICACION!$E$2:$E$500,MATCH("D3.14g|"&amp;CAPTURA!BI99,CODIFICACION!$F$2:$F$500,0))="sin dato","",INDEX(CODIFICACION!$E$2:$E$500,MATCH("D3.14g|"&amp;CAPTURA!BI99,CODIFICACION!$F$2:$F$500,0))),"⚠"))</f>
        <v/>
      </c>
      <c r="AE99" t="str">
        <f>IF(CAPTURA!BJ99="","",IFERROR(IF(INDEX(CODIFICACION!$E$2:$E$500,MATCH("D3.14h|"&amp;CAPTURA!BJ99,CODIFICACION!$F$2:$F$500,0))="sin dato","",INDEX(CODIFICACION!$E$2:$E$500,MATCH("D3.14h|"&amp;CAPTURA!BJ99,CODIFICACION!$F$2:$F$500,0))),"⚠"))</f>
        <v/>
      </c>
      <c r="AF99" t="str">
        <f>IF(CAPTURA!BK99="","",IFERROR(IF(INDEX(CODIFICACION!$E$2:$E$500,MATCH("D3.14i|"&amp;CAPTURA!BK99,CODIFICACION!$F$2:$F$500,0))="sin dato","",INDEX(CODIFICACION!$E$2:$E$500,MATCH("D3.14i|"&amp;CAPTURA!BK99,CODIFICACION!$F$2:$F$500,0))),"⚠"))</f>
        <v/>
      </c>
      <c r="AG99" t="str">
        <f>IF(CAPTURA!BL99="","",IFERROR(IF(INDEX(CODIFICACION!$E$2:$E$500,MATCH("D4.15|"&amp;CAPTURA!BL99,CODIFICACION!$F$2:$F$500,0))="sin dato","",INDEX(CODIFICACION!$E$2:$E$500,MATCH("D4.15|"&amp;CAPTURA!BL99,CODIFICACION!$F$2:$F$500,0))),"⚠"))</f>
        <v/>
      </c>
      <c r="AH99" t="str">
        <f>IF(CAPTURA!BM99="","",IF(AND(ISNUMBER(CAPTURA!BM99),CAPTURA!BM99&gt;=0,CAPTURA!BM99&lt;=4),CAPTURA!BM99*25,"⚠"))</f>
        <v/>
      </c>
      <c r="AI99" t="str">
        <f>IF(CAPTURA!BN99="","",IFERROR(IF(INDEX(CODIFICACION!$E$2:$E$500,MATCH("D4.17|"&amp;CAPTURA!BN99,CODIFICACION!$F$2:$F$500,0))="sin dato","",INDEX(CODIFICACION!$E$2:$E$500,MATCH("D4.17|"&amp;CAPTURA!BN99,CODIFICACION!$F$2:$F$500,0))),"⚠"))</f>
        <v/>
      </c>
      <c r="AJ99" t="str">
        <f>IF(CAPTURA!BO99="","",IFERROR(IF(INDEX(CODIFICACION!$E$2:$E$500,MATCH("D4.15a|"&amp;CAPTURA!BO99,CODIFICACION!$F$2:$F$500,0))="sin dato","",INDEX(CODIFICACION!$E$2:$E$500,MATCH("D4.15a|"&amp;CAPTURA!BO99,CODIFICACION!$F$2:$F$500,0))),"⚠"))</f>
        <v/>
      </c>
      <c r="AK99" t="str">
        <f>IF(CAPTURA!BP99="","",IF(AND(ISNUMBER(CAPTURA!BP99),CAPTURA!BP99&gt;=0,CAPTURA!BP99&lt;=4),CAPTURA!BP99*25,"⚠"))</f>
        <v/>
      </c>
      <c r="AL99" t="str">
        <f>IF(CAPTURA!BQ99="","",IF(AND(ISNUMBER(CAPTURA!BQ99),CAPTURA!BQ99&gt;=0,CAPTURA!BQ99&lt;=4),CAPTURA!BQ99*25,"⚠"))</f>
        <v/>
      </c>
      <c r="AM99" t="str">
        <f>IF(CAPTURA!BR99="","",IFERROR(IF(INDEX(CODIFICACION!$E$2:$E$500,MATCH("D5.18b|"&amp;CAPTURA!BR99,CODIFICACION!$F$2:$F$500,0))="sin dato","",INDEX(CODIFICACION!$E$2:$E$500,MATCH("D5.18b|"&amp;CAPTURA!BR99,CODIFICACION!$F$2:$F$500,0))),"⚠"))</f>
        <v/>
      </c>
      <c r="AN99" t="str">
        <f>IF(CAPTURA!BS99="","",IFERROR(IF(INDEX(CODIFICACION!$E$2:$E$500,MATCH("D5.19|"&amp;CAPTURA!BS99,CODIFICACION!$F$2:$F$500,0))="sin dato","",INDEX(CODIFICACION!$E$2:$E$500,MATCH("D5.19|"&amp;CAPTURA!BS99,CODIFICACION!$F$2:$F$500,0))),"⚠"))</f>
        <v/>
      </c>
      <c r="AO99" t="str">
        <f>IF(CAPTURA!BT99="","",MIN(100,ROUND((LEN(CAPTURA!BT99)-LEN(SUBSTITUTE(CAPTURA!BT99,";",""))+1)/7*100,1)))</f>
        <v/>
      </c>
      <c r="AP99" t="str">
        <f>IF(CAPTURA!BU99="","",IFERROR(IF(INDEX(CODIFICACION!$E$2:$E$500,MATCH("D5.20|"&amp;CAPTURA!BU99,CODIFICACION!$F$2:$F$500,0))="sin dato","",INDEX(CODIFICACION!$E$2:$E$500,MATCH("D5.20|"&amp;CAPTURA!BU99,CODIFICACION!$F$2:$F$500,0))),"⚠"))</f>
        <v/>
      </c>
      <c r="AQ99" t="str">
        <f>IF(CAPTURA!BV99="","",IFERROR(IF(INDEX(CODIFICACION!$E$2:$E$500,MATCH("D5.21|"&amp;CAPTURA!BV99,CODIFICACION!$F$2:$F$500,0))="sin dato","",INDEX(CODIFICACION!$E$2:$E$500,MATCH("D5.21|"&amp;CAPTURA!BV99,CODIFICACION!$F$2:$F$500,0))),"⚠"))</f>
        <v/>
      </c>
      <c r="AR99" t="str">
        <f>IF(CAPTURA!BW99="","",IFERROR(IF(INDEX(CODIFICACION!$E$2:$E$500,MATCH("D5.21a|"&amp;CAPTURA!BW99,CODIFICACION!$F$2:$F$500,0))="sin dato","",INDEX(CODIFICACION!$E$2:$E$500,MATCH("D5.21a|"&amp;CAPTURA!BW99,CODIFICACION!$F$2:$F$500,0))),"⚠"))</f>
        <v/>
      </c>
      <c r="AS99" t="str">
        <f>IF(CAPTURA!BX99="","",IFERROR(IF(INDEX(CODIFICACION!$E$2:$E$500,MATCH("D5.21b|"&amp;CAPTURA!BX99,CODIFICACION!$F$2:$F$500,0))="sin dato","",INDEX(CODIFICACION!$E$2:$E$500,MATCH("D5.21b|"&amp;CAPTURA!BX99,CODIFICACION!$F$2:$F$500,0))),"⚠"))</f>
        <v/>
      </c>
      <c r="AT99" t="str">
        <f>IF(CAPTURA!BY99="","",IFERROR(IF(INDEX(CODIFICACION!$E$2:$E$500,MATCH("D6.22|"&amp;CAPTURA!BY99,CODIFICACION!$F$2:$F$500,0))="sin dato","",INDEX(CODIFICACION!$E$2:$E$500,MATCH("D6.22|"&amp;CAPTURA!BY99,CODIFICACION!$F$2:$F$500,0))),"⚠"))</f>
        <v/>
      </c>
      <c r="AU99" t="str">
        <f>IF(CAPTURA!BZ99="","",IFERROR(IF(INDEX(CODIFICACION!$E$2:$E$500,MATCH("D6.22a|"&amp;CAPTURA!BZ99,CODIFICACION!$F$2:$F$500,0))="sin dato","",INDEX(CODIFICACION!$E$2:$E$500,MATCH("D6.22a|"&amp;CAPTURA!BZ99,CODIFICACION!$F$2:$F$500,0))),"⚠"))</f>
        <v/>
      </c>
      <c r="AV99" t="str">
        <f>IF(CAPTURA!CA99="","",IFERROR(IF(INDEX(CODIFICACION!$E$2:$E$500,MATCH("D6.22b|"&amp;CAPTURA!CA99,CODIFICACION!$F$2:$F$500,0))="sin dato","",INDEX(CODIFICACION!$E$2:$E$500,MATCH("D6.22b|"&amp;CAPTURA!CA99,CODIFICACION!$F$2:$F$500,0))),"⚠"))</f>
        <v/>
      </c>
      <c r="AW99" t="str">
        <f>IF(CAPTURA!CB99="","",IFERROR(IF(INDEX(CODIFICACION!$E$2:$E$500,MATCH("D6.23|"&amp;CAPTURA!CB99,CODIFICACION!$F$2:$F$500,0))="sin dato","",INDEX(CODIFICACION!$E$2:$E$500,MATCH("D6.23|"&amp;CAPTURA!CB99,CODIFICACION!$F$2:$F$500,0))),"⚠"))</f>
        <v/>
      </c>
      <c r="AX99" t="str">
        <f>IF(CAPTURA!CC99="","",IFERROR(IF(INDEX(CODIFICACION!$E$2:$E$500,MATCH("D6.24|"&amp;CAPTURA!CC99,CODIFICACION!$F$2:$F$500,0))="sin dato","",INDEX(CODIFICACION!$E$2:$E$500,MATCH("D6.24|"&amp;CAPTURA!CC99,CODIFICACION!$F$2:$F$500,0))),"⚠"))</f>
        <v/>
      </c>
      <c r="AY99" t="str">
        <f>IF(CAPTURA!CD99="","",IFERROR(IF(INDEX(CODIFICACION!$E$2:$E$500,MATCH("D6.25|"&amp;CAPTURA!CD99,CODIFICACION!$F$2:$F$500,0))="sin dato","",INDEX(CODIFICACION!$E$2:$E$500,MATCH("D6.25|"&amp;CAPTURA!CD99,CODIFICACION!$F$2:$F$500,0))),"⚠"))</f>
        <v/>
      </c>
      <c r="AZ99" t="str">
        <f>IF(CAPTURA!CE99="","",IFERROR(IF(INDEX(CODIFICACION!$E$2:$E$500,MATCH("D6.25a|"&amp;CAPTURA!CE99,CODIFICACION!$F$2:$F$500,0))="sin dato","",INDEX(CODIFICACION!$E$2:$E$500,MATCH("D6.25a|"&amp;CAPTURA!CE99,CODIFICACION!$F$2:$F$500,0))),"⚠"))</f>
        <v/>
      </c>
      <c r="BA99" t="str">
        <f>IF(CAPTURA!CF99="","",IFERROR(IF(INDEX(CODIFICACION!$E$2:$E$500,MATCH("D6.25b|"&amp;CAPTURA!CF99,CODIFICACION!$F$2:$F$500,0))="sin dato","",INDEX(CODIFICACION!$E$2:$E$500,MATCH("D6.25b|"&amp;CAPTURA!CF99,CODIFICACION!$F$2:$F$500,0))),"⚠"))</f>
        <v/>
      </c>
      <c r="BB99" t="str">
        <f>IF(CAPTURA!CG99="","",IFERROR(IF(INDEX(CODIFICACION!$E$2:$E$500,MATCH("D6.22c|"&amp;CAPTURA!CG99,CODIFICACION!$F$2:$F$500,0))="sin dato","",INDEX(CODIFICACION!$E$2:$E$500,MATCH("D6.22c|"&amp;CAPTURA!CG99,CODIFICACION!$F$2:$F$500,0))),"⚠"))</f>
        <v/>
      </c>
      <c r="BC99" t="str">
        <f>IF(CAPTURA!CH99="","",IFERROR(IF(INDEX(CODIFICACION!$E$2:$E$500,MATCH("D7.26|"&amp;CAPTURA!CH99,CODIFICACION!$F$2:$F$500,0))="sin dato","",INDEX(CODIFICACION!$E$2:$E$500,MATCH("D7.26|"&amp;CAPTURA!CH99,CODIFICACION!$F$2:$F$500,0))),"⚠"))</f>
        <v/>
      </c>
      <c r="BD99" t="str">
        <f>IF(CAPTURA!CI99="","",IFERROR(IF(INDEX(CODIFICACION!$E$2:$E$500,MATCH("D7.27|"&amp;CAPTURA!CI99,CODIFICACION!$F$2:$F$500,0))="sin dato","",INDEX(CODIFICACION!$E$2:$E$500,MATCH("D7.27|"&amp;CAPTURA!CI99,CODIFICACION!$F$2:$F$500,0))),"⚠"))</f>
        <v/>
      </c>
      <c r="BE99" t="str">
        <f>IF(CAPTURA!CJ99="","",IFERROR(IF(INDEX(CODIFICACION!$E$2:$E$500,MATCH("D7.28|"&amp;CAPTURA!CJ99,CODIFICACION!$F$2:$F$500,0))="sin dato","",INDEX(CODIFICACION!$E$2:$E$500,MATCH("D7.28|"&amp;CAPTURA!CJ99,CODIFICACION!$F$2:$F$500,0))),"⚠"))</f>
        <v/>
      </c>
      <c r="BF99" t="str">
        <f>IF(CAPTURA!CK99="","",IFERROR(IF(INDEX(CODIFICACION!$E$2:$E$500,MATCH("D7.28b|"&amp;CAPTURA!CK99,CODIFICACION!$F$2:$F$500,0))="sin dato","",INDEX(CODIFICACION!$E$2:$E$500,MATCH("D7.28b|"&amp;CAPTURA!CK99,CODIFICACION!$F$2:$F$500,0))),"⚠"))</f>
        <v/>
      </c>
      <c r="BG99" t="str">
        <f>IF(CAPTURA!CL99="","",MIN(100,ROUND((LEN(CAPTURA!CL99)-LEN(SUBSTITUTE(CAPTURA!CL99,";",""))+1)/8*100,1)))</f>
        <v/>
      </c>
      <c r="BH99" t="str">
        <f>IF(CAPTURA!CM99="","",IFERROR(IF(INDEX(CODIFICACION!$E$2:$E$500,MATCH("D7.26a|"&amp;CAPTURA!CM99,CODIFICACION!$F$2:$F$500,0))="sin dato","",INDEX(CODIFICACION!$E$2:$E$500,MATCH("D7.26a|"&amp;CAPTURA!CM99,CODIFICACION!$F$2:$F$500,0))),"⚠"))</f>
        <v/>
      </c>
      <c r="BI99" t="str">
        <f>IF(CAPTURA!CN99="","",IFERROR(IF(INDEX(CODIFICACION!$E$2:$E$500,MATCH("D7.26b|"&amp;CAPTURA!CN99,CODIFICACION!$F$2:$F$500,0))="sin dato","",INDEX(CODIFICACION!$E$2:$E$500,MATCH("D7.26b|"&amp;CAPTURA!CN99,CODIFICACION!$F$2:$F$500,0))),"⚠"))</f>
        <v/>
      </c>
      <c r="BJ99" t="str">
        <f>IF(CAPTURA!CO99="","",IF(AND(ISNUMBER(CAPTURA!CO99),CAPTURA!CO99&gt;=0,CAPTURA!CO99&lt;=4),CAPTURA!CO99*25,"⚠"))</f>
        <v/>
      </c>
      <c r="BK99" t="str">
        <f>IF(CAPTURA!CP99="","",IF(ISNUMBER(CAPTURA!CP99),MAX(0,MIN(100,CAPTURA!CP99)),"⚠"))</f>
        <v/>
      </c>
      <c r="BL99" t="str">
        <f>IF(CAPTURA!CQ99="","",IFERROR(IF(INDEX(CODIFICACION!$E$2:$E$500,MATCH("D8.31|"&amp;CAPTURA!CQ99,CODIFICACION!$F$2:$F$500,0))="sin dato","",INDEX(CODIFICACION!$E$2:$E$500,MATCH("D8.31|"&amp;CAPTURA!CQ99,CODIFICACION!$F$2:$F$500,0))),"⚠"))</f>
        <v/>
      </c>
      <c r="BM99" t="str">
        <f>IF(CAPTURA!CR99="","",IFERROR(IF(INDEX(CODIFICACION!$E$2:$E$500,MATCH("D8.32|"&amp;CAPTURA!CR99,CODIFICACION!$F$2:$F$500,0))="sin dato","",INDEX(CODIFICACION!$E$2:$E$500,MATCH("D8.32|"&amp;CAPTURA!CR99,CODIFICACION!$F$2:$F$500,0))),"⚠"))</f>
        <v/>
      </c>
      <c r="BN99" t="str">
        <f>IF(CAPTURA!CS99="","",IFERROR(IF(INDEX(CODIFICACION!$E$2:$E$500,MATCH("D9.33|"&amp;CAPTURA!CS99,CODIFICACION!$F$2:$F$500,0))="sin dato","",INDEX(CODIFICACION!$E$2:$E$500,MATCH("D9.33|"&amp;CAPTURA!CS99,CODIFICACION!$F$2:$F$500,0))),"⚠"))</f>
        <v/>
      </c>
      <c r="BO99" t="str">
        <f>IF(CAPTURA!CT99="","",IFERROR(IF(INDEX(CODIFICACION!$E$2:$E$500,MATCH("D9.34|"&amp;CAPTURA!CT99,CODIFICACION!$F$2:$F$500,0))="sin dato","",INDEX(CODIFICACION!$E$2:$E$500,MATCH("D9.34|"&amp;CAPTURA!CT99,CODIFICACION!$F$2:$F$500,0))),"⚠"))</f>
        <v/>
      </c>
      <c r="BP99" t="str">
        <f>IF(CAPTURA!CU99="","",IFERROR(IF(INDEX(CODIFICACION!$E$2:$E$500,MATCH("D9.35|"&amp;CAPTURA!CU99,CODIFICACION!$F$2:$F$500,0))="sin dato","",INDEX(CODIFICACION!$E$2:$E$500,MATCH("D9.35|"&amp;CAPTURA!CU99,CODIFICACION!$F$2:$F$500,0))),"⚠"))</f>
        <v/>
      </c>
      <c r="BQ99" t="str">
        <f>IF(CAPTURA!CV99="","",IFERROR(IF(INDEX(CODIFICACION!$E$2:$E$500,MATCH("D10.36|"&amp;CAPTURA!CV99,CODIFICACION!$F$2:$F$500,0))="sin dato","",INDEX(CODIFICACION!$E$2:$E$500,MATCH("D10.36|"&amp;CAPTURA!CV99,CODIFICACION!$F$2:$F$500,0))),"⚠"))</f>
        <v/>
      </c>
      <c r="BR99" t="str">
        <f>IF(CAPTURA!CW99="","",IFERROR(IF(INDEX(CODIFICACION!$E$2:$E$500,MATCH("D10.37|"&amp;CAPTURA!CW99,CODIFICACION!$F$2:$F$500,0))="sin dato","",INDEX(CODIFICACION!$E$2:$E$500,MATCH("D10.37|"&amp;CAPTURA!CW99,CODIFICACION!$F$2:$F$500,0))),"⚠"))</f>
        <v/>
      </c>
      <c r="BS99" t="str">
        <f>IF(CAPTURA!CX99="","",IFERROR(IF(INDEX(CODIFICACION!$E$2:$E$500,MATCH("D10.36a|"&amp;CAPTURA!CX99,CODIFICACION!$F$2:$F$500,0))="sin dato","",INDEX(CODIFICACION!$E$2:$E$500,MATCH("D10.36a|"&amp;CAPTURA!CX99,CODIFICACION!$F$2:$F$500,0))),"⚠"))</f>
        <v/>
      </c>
      <c r="BT99" t="str">
        <f>IF(CAPTURA!CY99="","",IF(ISNUMBER(SEARCH("Ninguno",CAPTURA!CY99)),0,MIN(100,ROUND((LEN(CAPTURA!CY99)-LEN(SUBSTITUTE(CAPTURA!CY99,";",""))+1)/6*100,1))))</f>
        <v/>
      </c>
      <c r="BU99" t="str">
        <f>IF(CAPTURA!DA99="","",IFERROR(IF(INDEX(CODIFICACION!$E$2:$E$500,MATCH("D11.39a|"&amp;CAPTURA!DA99,CODIFICACION!$F$2:$F$500,0))="sin dato","",INDEX(CODIFICACION!$E$2:$E$500,MATCH("D11.39a|"&amp;CAPTURA!DA99,CODIFICACION!$F$2:$F$500,0))),"⚠"))</f>
        <v/>
      </c>
      <c r="BV99" t="str">
        <f>IF(CAPTURA!DB99="","",IFERROR(IF(INDEX(CODIFICACION!$E$2:$E$500,MATCH("D12.42|"&amp;CAPTURA!DB99,CODIFICACION!$F$2:$F$500,0))="sin dato","",INDEX(CODIFICACION!$E$2:$E$500,MATCH("D12.42|"&amp;CAPTURA!DB99,CODIFICACION!$F$2:$F$500,0))),"⚠"))</f>
        <v/>
      </c>
      <c r="BW99" t="str">
        <f>IF(CAPTURA!DC99="","",IFERROR(IF(INDEX(CODIFICACION!$E$2:$E$500,MATCH("D13.45|"&amp;CAPTURA!DC99,CODIFICACION!$F$2:$F$500,0))="sin dato","",INDEX(CODIFICACION!$E$2:$E$500,MATCH("D13.45|"&amp;CAPTURA!DC99,CODIFICACION!$F$2:$F$500,0))),"⚠"))</f>
        <v/>
      </c>
      <c r="BX99" t="str">
        <f>IF(CAPTURA!DD99="","",IFERROR(IF(INDEX(CODIFICACION!$E$2:$E$500,MATCH("D14.51|"&amp;CAPTURA!DD99,CODIFICACION!$F$2:$F$500,0))="sin dato","",INDEX(CODIFICACION!$E$2:$E$500,MATCH("D14.51|"&amp;CAPTURA!DD99,CODIFICACION!$F$2:$F$500,0))),"⚠"))</f>
        <v/>
      </c>
      <c r="BY99" t="str">
        <f>IF(CAPTURA!DE99="","",IFERROR(IF(INDEX(CODIFICACION!$E$2:$E$500,MATCH("D15.58|"&amp;CAPTURA!DE99,CODIFICACION!$F$2:$F$500,0))="sin dato","",INDEX(CODIFICACION!$E$2:$E$500,MATCH("D15.58|"&amp;CAPTURA!DE99,CODIFICACION!$F$2:$F$500,0))),"⚠"))</f>
        <v/>
      </c>
      <c r="BZ99" t="str">
        <f>IF(CAPTURA!DF99="","",IFERROR(IF(INDEX(CODIFICACION!$E$2:$E$500,MATCH("PP1|"&amp;CAPTURA!DF99,CODIFICACION!$F$2:$F$500,0))="sin dato","",INDEX(CODIFICACION!$E$2:$E$500,MATCH("PP1|"&amp;CAPTURA!DF99,CODIFICACION!$F$2:$F$500,0))),"⚠"))</f>
        <v/>
      </c>
      <c r="CA99" t="str">
        <f>IF(CAPTURA!DG99="","",IFERROR(IF(INDEX(CODIFICACION!$E$2:$E$500,MATCH("PP2|"&amp;CAPTURA!DG99,CODIFICACION!$F$2:$F$500,0))="sin dato","",INDEX(CODIFICACION!$E$2:$E$500,MATCH("PP2|"&amp;CAPTURA!DG99,CODIFICACION!$F$2:$F$500,0))),"⚠"))</f>
        <v/>
      </c>
      <c r="CB99" t="str">
        <f t="shared" ref="CB99:CB130" si="33">IFERROR(AVERAGE(H99,I99,J99,K99),"")</f>
        <v/>
      </c>
      <c r="CC99" t="str">
        <f t="shared" ref="CC99:CC130" si="34">IFERROR(AVERAGE(L99,M99,N99,O99,P99,Q99,R99,S99),"")</f>
        <v/>
      </c>
      <c r="CD99" t="str">
        <f t="shared" ref="CD99:CD130" si="35">IFERROR(AVERAGE(T99,U99,V99,W99,X99,Y99,Z99,AA99,AB99,AC99,AD99,AE99,AF99),"")</f>
        <v/>
      </c>
      <c r="CE99" t="str">
        <f t="shared" ref="CE99:CE130" si="36">IFERROR(AVERAGE(AG99,AH99,AI99,AJ99),"")</f>
        <v/>
      </c>
      <c r="CF99" t="str">
        <f t="shared" ref="CF99:CF130" si="37">IFERROR(AVERAGE(D99,AK99,AL99,AM99,AN99,AO99,AP99,AQ99,AR99,AS99),"")</f>
        <v/>
      </c>
      <c r="CG99" t="str">
        <f t="shared" ref="CG99:CG130" si="38">IFERROR(AVERAGE(AT99,AU99,AV99,BB99,AW99,AX99,AY99,AZ99,BA99),"")</f>
        <v/>
      </c>
      <c r="CH99" t="str">
        <f t="shared" ref="CH99:CH130" si="39">IFERROR(AVERAGE(C99,E99,F99,BC99,BH99,BI99,BD99,BE99,BF99,BG99),"")</f>
        <v/>
      </c>
      <c r="CI99" t="str">
        <f t="shared" ref="CI99:CI130" si="40">IFERROR(AVERAGE(BJ99,BK99,BL99,BM99),"")</f>
        <v/>
      </c>
      <c r="CJ99" t="str">
        <f t="shared" ref="CJ99:CJ130" si="41">IFERROR(AVERAGE(G99,BN99,BO99,BP99),"")</f>
        <v/>
      </c>
      <c r="CK99" t="str">
        <f t="shared" ref="CK99:CK130" si="42">IFERROR(AVERAGE(BQ99,BS99,BR99),"")</f>
        <v/>
      </c>
      <c r="CL99" t="str">
        <f t="shared" ref="CL99:CL130" si="43">IFERROR(AVERAGE(BT99,BU99),"")</f>
        <v/>
      </c>
    </row>
    <row r="100" spans="1:90" x14ac:dyDescent="0.3">
      <c r="A100">
        <f>CAPTURA!A100</f>
        <v>20574797013</v>
      </c>
      <c r="B100">
        <f>CAPTURA!C100</f>
        <v>0</v>
      </c>
      <c r="C100" t="str">
        <f>IF(CAPTURA!M100="","",ROUND((ISNUMBER(SEARCH("Alemania",CAPTURA!M100))+ISNUMBER(SEARCH("Bélgica",CAPTURA!M100))+ISNUMBER(SEARCH("Países Bajos",CAPTURA!M100))+ISNUMBER(SEARCH("Francia",CAPTURA!M100))+ISNUMBER(SEARCH("Italia",CAPTURA!M100))+ISNUMBER(SEARCH("España",CAPTURA!M100))+ISNUMBER(SEARCH("Suecia",CAPTURA!M100))+ISNUMBER(SEARCH("Dinamarca",CAPTURA!M100)))/((LEN(CAPTURA!M100)-LEN(SUBSTITUTE(CAPTURA!M100,";","")))+1)*100,1))</f>
        <v/>
      </c>
      <c r="D100" t="str">
        <f>IF(CAPTURA!AE100="","",IFERROR(IF(INDEX(CODIFICACION!$E$2:$E$500,MATCH("P8|"&amp;CAPTURA!AE100,CODIFICACION!$F$2:$F$500,0))="sin dato","",INDEX(CODIFICACION!$E$2:$E$500,MATCH("P8|"&amp;CAPTURA!AE100,CODIFICACION!$F$2:$F$500,0))),"⚠"))</f>
        <v/>
      </c>
      <c r="E100" t="str">
        <f>IF(CAPTURA!AG100="","",IFERROR(IF(INDEX(CODIFICACION!$E$2:$E$500,MATCH("P10|"&amp;CAPTURA!AG100,CODIFICACION!$F$2:$F$500,0))="sin dato","",INDEX(CODIFICACION!$E$2:$E$500,MATCH("P10|"&amp;CAPTURA!AG100,CODIFICACION!$F$2:$F$500,0))),"⚠"))</f>
        <v/>
      </c>
      <c r="F100" t="str">
        <f>IF(CAPTURA!AJ100="","",IFERROR(IF(INDEX(CODIFICACION!$E$2:$E$500,MATCH("P13|"&amp;CAPTURA!AJ100,CODIFICACION!$F$2:$F$500,0))="sin dato","",INDEX(CODIFICACION!$E$2:$E$500,MATCH("P13|"&amp;CAPTURA!AJ100,CODIFICACION!$F$2:$F$500,0))),"⚠"))</f>
        <v/>
      </c>
      <c r="G100" t="str">
        <f>IF(CAPTURA!AK100="","",IFERROR(IF(INDEX(CODIFICACION!$E$2:$E$500,MATCH("P14|"&amp;CAPTURA!AK100,CODIFICACION!$F$2:$F$500,0))="sin dato","",INDEX(CODIFICACION!$E$2:$E$500,MATCH("P14|"&amp;CAPTURA!AK100,CODIFICACION!$F$2:$F$500,0))),"⚠"))</f>
        <v/>
      </c>
      <c r="H100" t="str">
        <f>IF(CAPTURA!AL100="","",IFERROR(IF(INDEX(CODIFICACION!$E$2:$E$500,MATCH("D1.1|"&amp;CAPTURA!AL100,CODIFICACION!$F$2:$F$500,0))="sin dato","",INDEX(CODIFICACION!$E$2:$E$500,MATCH("D1.1|"&amp;CAPTURA!AL100,CODIFICACION!$F$2:$F$500,0))),"⚠"))</f>
        <v/>
      </c>
      <c r="I100" t="str">
        <f>IF(CAPTURA!AN100="","",IFERROR(IF(INDEX(CODIFICACION!$E$2:$E$500,MATCH("D1.3|"&amp;CAPTURA!AN100,CODIFICACION!$F$2:$F$500,0))="sin dato","",INDEX(CODIFICACION!$E$2:$E$500,MATCH("D1.3|"&amp;CAPTURA!AN100,CODIFICACION!$F$2:$F$500,0))),"⚠"))</f>
        <v/>
      </c>
      <c r="J100" t="str">
        <f>IF(CAPTURA!AO100="","",IFERROR(IF(INDEX(CODIFICACION!$E$2:$E$500,MATCH("D1.4|"&amp;CAPTURA!AO100,CODIFICACION!$F$2:$F$500,0))="sin dato","",INDEX(CODIFICACION!$E$2:$E$500,MATCH("D1.4|"&amp;CAPTURA!AO100,CODIFICACION!$F$2:$F$500,0))),"⚠"))</f>
        <v/>
      </c>
      <c r="K100" t="str">
        <f>IF(CAPTURA!AP100="","",IFERROR(IF(INDEX(CODIFICACION!$E$2:$E$500,MATCH("D1.3a|"&amp;CAPTURA!AP100,CODIFICACION!$F$2:$F$500,0))="sin dato","",INDEX(CODIFICACION!$E$2:$E$500,MATCH("D1.3a|"&amp;CAPTURA!AP100,CODIFICACION!$F$2:$F$500,0))),"⚠"))</f>
        <v/>
      </c>
      <c r="L100" t="str">
        <f>IF(CAPTURA!AQ100="","",IF(AND(ISNUMBER(CAPTURA!AQ100),CAPTURA!AQ100&gt;=0,CAPTURA!AQ100&lt;=4),CAPTURA!AQ100*25,"⚠"))</f>
        <v/>
      </c>
      <c r="M100" t="str">
        <f>IF(CAPTURA!AR100="","",IF(ISNUMBER(CAPTURA!AR100),MAX(0,MIN(100,CAPTURA!AR100)),"⚠"))</f>
        <v/>
      </c>
      <c r="N100" t="str">
        <f>IF(CAPTURA!AS100="","",IF(AND(ISNUMBER(CAPTURA!AS100),CAPTURA!AS100&gt;=0,CAPTURA!AS100&lt;=4),CAPTURA!AS100*25,"⚠"))</f>
        <v/>
      </c>
      <c r="O100" t="str">
        <f>IF(CAPTURA!AT100="","",IFERROR(IF(INDEX(CODIFICACION!$E$2:$E$500,MATCH("D2.8|"&amp;CAPTURA!AT100,CODIFICACION!$F$2:$F$500,0))="sin dato","",INDEX(CODIFICACION!$E$2:$E$500,MATCH("D2.8|"&amp;CAPTURA!AT100,CODIFICACION!$F$2:$F$500,0))),"⚠"))</f>
        <v/>
      </c>
      <c r="P100" t="str">
        <f>IF(CAPTURA!AU100="","",IFERROR(IF(INDEX(CODIFICACION!$E$2:$E$500,MATCH("D2.9|"&amp;CAPTURA!AU100,CODIFICACION!$F$2:$F$500,0))="sin dato","",INDEX(CODIFICACION!$E$2:$E$500,MATCH("D2.9|"&amp;CAPTURA!AU100,CODIFICACION!$F$2:$F$500,0))),"⚠"))</f>
        <v/>
      </c>
      <c r="Q100" t="str">
        <f>IF(CAPTURA!AV100="","",IFERROR(IF(INDEX(CODIFICACION!$E$2:$E$500,MATCH("D2.10|"&amp;CAPTURA!AV100,CODIFICACION!$F$2:$F$500,0))="sin dato","",INDEX(CODIFICACION!$E$2:$E$500,MATCH("D2.10|"&amp;CAPTURA!AV100,CODIFICACION!$F$2:$F$500,0))),"⚠"))</f>
        <v/>
      </c>
      <c r="R100" t="str">
        <f>IF(CAPTURA!AW100="","",IFERROR(IF(INDEX(CODIFICACION!$E$2:$E$500,MATCH("D2.5a|"&amp;CAPTURA!AW100,CODIFICACION!$F$2:$F$500,0))="sin dato","",INDEX(CODIFICACION!$E$2:$E$500,MATCH("D2.5a|"&amp;CAPTURA!AW100,CODIFICACION!$F$2:$F$500,0))),"⚠"))</f>
        <v/>
      </c>
      <c r="S100" t="str">
        <f>IF(CAPTURA!AX100="","",IFERROR(IF(INDEX(CODIFICACION!$E$2:$E$500,MATCH("D2.5b|"&amp;CAPTURA!AX100,CODIFICACION!$F$2:$F$500,0))="sin dato","",INDEX(CODIFICACION!$E$2:$E$500,MATCH("D2.5b|"&amp;CAPTURA!AX100,CODIFICACION!$F$2:$F$500,0))),"⚠"))</f>
        <v/>
      </c>
      <c r="T100" t="str">
        <f>IF(CAPTURA!AY100="","",IF(ISNUMBER(CAPTURA!AY100),MAX(0,MIN(100,CAPTURA!AY100)),"⚠"))</f>
        <v/>
      </c>
      <c r="U100" t="str">
        <f>IF(CAPTURA!AZ100="","",IFERROR(IF(INDEX(CODIFICACION!$E$2:$E$500,MATCH("D3.12|"&amp;CAPTURA!AZ100,CODIFICACION!$F$2:$F$500,0))="sin dato","",INDEX(CODIFICACION!$E$2:$E$500,MATCH("D3.12|"&amp;CAPTURA!AZ100,CODIFICACION!$F$2:$F$500,0))),"⚠"))</f>
        <v/>
      </c>
      <c r="V100" t="str">
        <f>IF(CAPTURA!BA100="","",IF(AND(ISNUMBER(CAPTURA!BA100),CAPTURA!BA100&gt;=0,CAPTURA!BA100&lt;=4),CAPTURA!BA100*25,"⚠"))</f>
        <v/>
      </c>
      <c r="W100" t="str">
        <f>IF(CAPTURA!BB100="","",IFERROR(IF(INDEX(CODIFICACION!$E$2:$E$500,MATCH("D3.14|"&amp;CAPTURA!BB100,CODIFICACION!$F$2:$F$500,0))="sin dato","",INDEX(CODIFICACION!$E$2:$E$500,MATCH("D3.14|"&amp;CAPTURA!BB100,CODIFICACION!$F$2:$F$500,0))),"⚠"))</f>
        <v/>
      </c>
      <c r="X100" t="str">
        <f>IF(CAPTURA!BC100="","",IFERROR(IF(INDEX(CODIFICACION!$E$2:$E$500,MATCH("D3.14a|"&amp;CAPTURA!BC100,CODIFICACION!$F$2:$F$500,0))="sin dato","",INDEX(CODIFICACION!$E$2:$E$500,MATCH("D3.14a|"&amp;CAPTURA!BC100,CODIFICACION!$F$2:$F$500,0))),"⚠"))</f>
        <v/>
      </c>
      <c r="Y100" t="str">
        <f>IF(CAPTURA!BD100="","",IFERROR(IF(INDEX(CODIFICACION!$E$2:$E$500,MATCH("D3.14b|"&amp;CAPTURA!BD100,CODIFICACION!$F$2:$F$500,0))="sin dato","",INDEX(CODIFICACION!$E$2:$E$500,MATCH("D3.14b|"&amp;CAPTURA!BD100,CODIFICACION!$F$2:$F$500,0))),"⚠"))</f>
        <v/>
      </c>
      <c r="Z100" t="str">
        <f>IF(CAPTURA!BE100="","",IFERROR(IF(INDEX(CODIFICACION!$E$2:$E$500,MATCH("D3.14c|"&amp;CAPTURA!BE100,CODIFICACION!$F$2:$F$500,0))="sin dato","",INDEX(CODIFICACION!$E$2:$E$500,MATCH("D3.14c|"&amp;CAPTURA!BE100,CODIFICACION!$F$2:$F$500,0))),"⚠"))</f>
        <v/>
      </c>
      <c r="AA100" t="str">
        <f>IF(CAPTURA!BF100="","",IFERROR(IF(INDEX(CODIFICACION!$E$2:$E$500,MATCH("D3.14d|"&amp;CAPTURA!BF100,CODIFICACION!$F$2:$F$500,0))="sin dato","",INDEX(CODIFICACION!$E$2:$E$500,MATCH("D3.14d|"&amp;CAPTURA!BF100,CODIFICACION!$F$2:$F$500,0))),"⚠"))</f>
        <v/>
      </c>
      <c r="AB100" t="str">
        <f>IF(CAPTURA!BG100="","",IFERROR(IF(INDEX(CODIFICACION!$E$2:$E$500,MATCH("D3.14e|"&amp;CAPTURA!BG100,CODIFICACION!$F$2:$F$500,0))="sin dato","",INDEX(CODIFICACION!$E$2:$E$500,MATCH("D3.14e|"&amp;CAPTURA!BG100,CODIFICACION!$F$2:$F$500,0))),"⚠"))</f>
        <v/>
      </c>
      <c r="AC100" t="str">
        <f>IF(CAPTURA!BH100="","",IFERROR(IF(INDEX(CODIFICACION!$E$2:$E$500,MATCH("D3.14f|"&amp;CAPTURA!BH100,CODIFICACION!$F$2:$F$500,0))="sin dato","",INDEX(CODIFICACION!$E$2:$E$500,MATCH("D3.14f|"&amp;CAPTURA!BH100,CODIFICACION!$F$2:$F$500,0))),"⚠"))</f>
        <v/>
      </c>
      <c r="AD100" t="str">
        <f>IF(CAPTURA!BI100="","",IFERROR(IF(INDEX(CODIFICACION!$E$2:$E$500,MATCH("D3.14g|"&amp;CAPTURA!BI100,CODIFICACION!$F$2:$F$500,0))="sin dato","",INDEX(CODIFICACION!$E$2:$E$500,MATCH("D3.14g|"&amp;CAPTURA!BI100,CODIFICACION!$F$2:$F$500,0))),"⚠"))</f>
        <v/>
      </c>
      <c r="AE100" t="str">
        <f>IF(CAPTURA!BJ100="","",IFERROR(IF(INDEX(CODIFICACION!$E$2:$E$500,MATCH("D3.14h|"&amp;CAPTURA!BJ100,CODIFICACION!$F$2:$F$500,0))="sin dato","",INDEX(CODIFICACION!$E$2:$E$500,MATCH("D3.14h|"&amp;CAPTURA!BJ100,CODIFICACION!$F$2:$F$500,0))),"⚠"))</f>
        <v/>
      </c>
      <c r="AF100" t="str">
        <f>IF(CAPTURA!BK100="","",IFERROR(IF(INDEX(CODIFICACION!$E$2:$E$500,MATCH("D3.14i|"&amp;CAPTURA!BK100,CODIFICACION!$F$2:$F$500,0))="sin dato","",INDEX(CODIFICACION!$E$2:$E$500,MATCH("D3.14i|"&amp;CAPTURA!BK100,CODIFICACION!$F$2:$F$500,0))),"⚠"))</f>
        <v/>
      </c>
      <c r="AG100" t="str">
        <f>IF(CAPTURA!BL100="","",IFERROR(IF(INDEX(CODIFICACION!$E$2:$E$500,MATCH("D4.15|"&amp;CAPTURA!BL100,CODIFICACION!$F$2:$F$500,0))="sin dato","",INDEX(CODIFICACION!$E$2:$E$500,MATCH("D4.15|"&amp;CAPTURA!BL100,CODIFICACION!$F$2:$F$500,0))),"⚠"))</f>
        <v/>
      </c>
      <c r="AH100" t="str">
        <f>IF(CAPTURA!BM100="","",IF(AND(ISNUMBER(CAPTURA!BM100),CAPTURA!BM100&gt;=0,CAPTURA!BM100&lt;=4),CAPTURA!BM100*25,"⚠"))</f>
        <v/>
      </c>
      <c r="AI100" t="str">
        <f>IF(CAPTURA!BN100="","",IFERROR(IF(INDEX(CODIFICACION!$E$2:$E$500,MATCH("D4.17|"&amp;CAPTURA!BN100,CODIFICACION!$F$2:$F$500,0))="sin dato","",INDEX(CODIFICACION!$E$2:$E$500,MATCH("D4.17|"&amp;CAPTURA!BN100,CODIFICACION!$F$2:$F$500,0))),"⚠"))</f>
        <v/>
      </c>
      <c r="AJ100" t="str">
        <f>IF(CAPTURA!BO100="","",IFERROR(IF(INDEX(CODIFICACION!$E$2:$E$500,MATCH("D4.15a|"&amp;CAPTURA!BO100,CODIFICACION!$F$2:$F$500,0))="sin dato","",INDEX(CODIFICACION!$E$2:$E$500,MATCH("D4.15a|"&amp;CAPTURA!BO100,CODIFICACION!$F$2:$F$500,0))),"⚠"))</f>
        <v/>
      </c>
      <c r="AK100" t="str">
        <f>IF(CAPTURA!BP100="","",IF(AND(ISNUMBER(CAPTURA!BP100),CAPTURA!BP100&gt;=0,CAPTURA!BP100&lt;=4),CAPTURA!BP100*25,"⚠"))</f>
        <v/>
      </c>
      <c r="AL100" t="str">
        <f>IF(CAPTURA!BQ100="","",IF(AND(ISNUMBER(CAPTURA!BQ100),CAPTURA!BQ100&gt;=0,CAPTURA!BQ100&lt;=4),CAPTURA!BQ100*25,"⚠"))</f>
        <v/>
      </c>
      <c r="AM100" t="str">
        <f>IF(CAPTURA!BR100="","",IFERROR(IF(INDEX(CODIFICACION!$E$2:$E$500,MATCH("D5.18b|"&amp;CAPTURA!BR100,CODIFICACION!$F$2:$F$500,0))="sin dato","",INDEX(CODIFICACION!$E$2:$E$500,MATCH("D5.18b|"&amp;CAPTURA!BR100,CODIFICACION!$F$2:$F$500,0))),"⚠"))</f>
        <v/>
      </c>
      <c r="AN100" t="str">
        <f>IF(CAPTURA!BS100="","",IFERROR(IF(INDEX(CODIFICACION!$E$2:$E$500,MATCH("D5.19|"&amp;CAPTURA!BS100,CODIFICACION!$F$2:$F$500,0))="sin dato","",INDEX(CODIFICACION!$E$2:$E$500,MATCH("D5.19|"&amp;CAPTURA!BS100,CODIFICACION!$F$2:$F$500,0))),"⚠"))</f>
        <v/>
      </c>
      <c r="AO100" t="str">
        <f>IF(CAPTURA!BT100="","",MIN(100,ROUND((LEN(CAPTURA!BT100)-LEN(SUBSTITUTE(CAPTURA!BT100,";",""))+1)/7*100,1)))</f>
        <v/>
      </c>
      <c r="AP100" t="str">
        <f>IF(CAPTURA!BU100="","",IFERROR(IF(INDEX(CODIFICACION!$E$2:$E$500,MATCH("D5.20|"&amp;CAPTURA!BU100,CODIFICACION!$F$2:$F$500,0))="sin dato","",INDEX(CODIFICACION!$E$2:$E$500,MATCH("D5.20|"&amp;CAPTURA!BU100,CODIFICACION!$F$2:$F$500,0))),"⚠"))</f>
        <v/>
      </c>
      <c r="AQ100" t="str">
        <f>IF(CAPTURA!BV100="","",IFERROR(IF(INDEX(CODIFICACION!$E$2:$E$500,MATCH("D5.21|"&amp;CAPTURA!BV100,CODIFICACION!$F$2:$F$500,0))="sin dato","",INDEX(CODIFICACION!$E$2:$E$500,MATCH("D5.21|"&amp;CAPTURA!BV100,CODIFICACION!$F$2:$F$500,0))),"⚠"))</f>
        <v/>
      </c>
      <c r="AR100" t="str">
        <f>IF(CAPTURA!BW100="","",IFERROR(IF(INDEX(CODIFICACION!$E$2:$E$500,MATCH("D5.21a|"&amp;CAPTURA!BW100,CODIFICACION!$F$2:$F$500,0))="sin dato","",INDEX(CODIFICACION!$E$2:$E$500,MATCH("D5.21a|"&amp;CAPTURA!BW100,CODIFICACION!$F$2:$F$500,0))),"⚠"))</f>
        <v/>
      </c>
      <c r="AS100" t="str">
        <f>IF(CAPTURA!BX100="","",IFERROR(IF(INDEX(CODIFICACION!$E$2:$E$500,MATCH("D5.21b|"&amp;CAPTURA!BX100,CODIFICACION!$F$2:$F$500,0))="sin dato","",INDEX(CODIFICACION!$E$2:$E$500,MATCH("D5.21b|"&amp;CAPTURA!BX100,CODIFICACION!$F$2:$F$500,0))),"⚠"))</f>
        <v/>
      </c>
      <c r="AT100" t="str">
        <f>IF(CAPTURA!BY100="","",IFERROR(IF(INDEX(CODIFICACION!$E$2:$E$500,MATCH("D6.22|"&amp;CAPTURA!BY100,CODIFICACION!$F$2:$F$500,0))="sin dato","",INDEX(CODIFICACION!$E$2:$E$500,MATCH("D6.22|"&amp;CAPTURA!BY100,CODIFICACION!$F$2:$F$500,0))),"⚠"))</f>
        <v/>
      </c>
      <c r="AU100" t="str">
        <f>IF(CAPTURA!BZ100="","",IFERROR(IF(INDEX(CODIFICACION!$E$2:$E$500,MATCH("D6.22a|"&amp;CAPTURA!BZ100,CODIFICACION!$F$2:$F$500,0))="sin dato","",INDEX(CODIFICACION!$E$2:$E$500,MATCH("D6.22a|"&amp;CAPTURA!BZ100,CODIFICACION!$F$2:$F$500,0))),"⚠"))</f>
        <v/>
      </c>
      <c r="AV100" t="str">
        <f>IF(CAPTURA!CA100="","",IFERROR(IF(INDEX(CODIFICACION!$E$2:$E$500,MATCH("D6.22b|"&amp;CAPTURA!CA100,CODIFICACION!$F$2:$F$500,0))="sin dato","",INDEX(CODIFICACION!$E$2:$E$500,MATCH("D6.22b|"&amp;CAPTURA!CA100,CODIFICACION!$F$2:$F$500,0))),"⚠"))</f>
        <v/>
      </c>
      <c r="AW100" t="str">
        <f>IF(CAPTURA!CB100="","",IFERROR(IF(INDEX(CODIFICACION!$E$2:$E$500,MATCH("D6.23|"&amp;CAPTURA!CB100,CODIFICACION!$F$2:$F$500,0))="sin dato","",INDEX(CODIFICACION!$E$2:$E$500,MATCH("D6.23|"&amp;CAPTURA!CB100,CODIFICACION!$F$2:$F$500,0))),"⚠"))</f>
        <v/>
      </c>
      <c r="AX100" t="str">
        <f>IF(CAPTURA!CC100="","",IFERROR(IF(INDEX(CODIFICACION!$E$2:$E$500,MATCH("D6.24|"&amp;CAPTURA!CC100,CODIFICACION!$F$2:$F$500,0))="sin dato","",INDEX(CODIFICACION!$E$2:$E$500,MATCH("D6.24|"&amp;CAPTURA!CC100,CODIFICACION!$F$2:$F$500,0))),"⚠"))</f>
        <v/>
      </c>
      <c r="AY100" t="str">
        <f>IF(CAPTURA!CD100="","",IFERROR(IF(INDEX(CODIFICACION!$E$2:$E$500,MATCH("D6.25|"&amp;CAPTURA!CD100,CODIFICACION!$F$2:$F$500,0))="sin dato","",INDEX(CODIFICACION!$E$2:$E$500,MATCH("D6.25|"&amp;CAPTURA!CD100,CODIFICACION!$F$2:$F$500,0))),"⚠"))</f>
        <v/>
      </c>
      <c r="AZ100" t="str">
        <f>IF(CAPTURA!CE100="","",IFERROR(IF(INDEX(CODIFICACION!$E$2:$E$500,MATCH("D6.25a|"&amp;CAPTURA!CE100,CODIFICACION!$F$2:$F$500,0))="sin dato","",INDEX(CODIFICACION!$E$2:$E$500,MATCH("D6.25a|"&amp;CAPTURA!CE100,CODIFICACION!$F$2:$F$500,0))),"⚠"))</f>
        <v/>
      </c>
      <c r="BA100" t="str">
        <f>IF(CAPTURA!CF100="","",IFERROR(IF(INDEX(CODIFICACION!$E$2:$E$500,MATCH("D6.25b|"&amp;CAPTURA!CF100,CODIFICACION!$F$2:$F$500,0))="sin dato","",INDEX(CODIFICACION!$E$2:$E$500,MATCH("D6.25b|"&amp;CAPTURA!CF100,CODIFICACION!$F$2:$F$500,0))),"⚠"))</f>
        <v/>
      </c>
      <c r="BB100" t="str">
        <f>IF(CAPTURA!CG100="","",IFERROR(IF(INDEX(CODIFICACION!$E$2:$E$500,MATCH("D6.22c|"&amp;CAPTURA!CG100,CODIFICACION!$F$2:$F$500,0))="sin dato","",INDEX(CODIFICACION!$E$2:$E$500,MATCH("D6.22c|"&amp;CAPTURA!CG100,CODIFICACION!$F$2:$F$500,0))),"⚠"))</f>
        <v/>
      </c>
      <c r="BC100" t="str">
        <f>IF(CAPTURA!CH100="","",IFERROR(IF(INDEX(CODIFICACION!$E$2:$E$500,MATCH("D7.26|"&amp;CAPTURA!CH100,CODIFICACION!$F$2:$F$500,0))="sin dato","",INDEX(CODIFICACION!$E$2:$E$500,MATCH("D7.26|"&amp;CAPTURA!CH100,CODIFICACION!$F$2:$F$500,0))),"⚠"))</f>
        <v/>
      </c>
      <c r="BD100" t="str">
        <f>IF(CAPTURA!CI100="","",IFERROR(IF(INDEX(CODIFICACION!$E$2:$E$500,MATCH("D7.27|"&amp;CAPTURA!CI100,CODIFICACION!$F$2:$F$500,0))="sin dato","",INDEX(CODIFICACION!$E$2:$E$500,MATCH("D7.27|"&amp;CAPTURA!CI100,CODIFICACION!$F$2:$F$500,0))),"⚠"))</f>
        <v/>
      </c>
      <c r="BE100" t="str">
        <f>IF(CAPTURA!CJ100="","",IFERROR(IF(INDEX(CODIFICACION!$E$2:$E$500,MATCH("D7.28|"&amp;CAPTURA!CJ100,CODIFICACION!$F$2:$F$500,0))="sin dato","",INDEX(CODIFICACION!$E$2:$E$500,MATCH("D7.28|"&amp;CAPTURA!CJ100,CODIFICACION!$F$2:$F$500,0))),"⚠"))</f>
        <v/>
      </c>
      <c r="BF100" t="str">
        <f>IF(CAPTURA!CK100="","",IFERROR(IF(INDEX(CODIFICACION!$E$2:$E$500,MATCH("D7.28b|"&amp;CAPTURA!CK100,CODIFICACION!$F$2:$F$500,0))="sin dato","",INDEX(CODIFICACION!$E$2:$E$500,MATCH("D7.28b|"&amp;CAPTURA!CK100,CODIFICACION!$F$2:$F$500,0))),"⚠"))</f>
        <v/>
      </c>
      <c r="BG100" t="str">
        <f>IF(CAPTURA!CL100="","",MIN(100,ROUND((LEN(CAPTURA!CL100)-LEN(SUBSTITUTE(CAPTURA!CL100,";",""))+1)/8*100,1)))</f>
        <v/>
      </c>
      <c r="BH100" t="str">
        <f>IF(CAPTURA!CM100="","",IFERROR(IF(INDEX(CODIFICACION!$E$2:$E$500,MATCH("D7.26a|"&amp;CAPTURA!CM100,CODIFICACION!$F$2:$F$500,0))="sin dato","",INDEX(CODIFICACION!$E$2:$E$500,MATCH("D7.26a|"&amp;CAPTURA!CM100,CODIFICACION!$F$2:$F$500,0))),"⚠"))</f>
        <v/>
      </c>
      <c r="BI100" t="str">
        <f>IF(CAPTURA!CN100="","",IFERROR(IF(INDEX(CODIFICACION!$E$2:$E$500,MATCH("D7.26b|"&amp;CAPTURA!CN100,CODIFICACION!$F$2:$F$500,0))="sin dato","",INDEX(CODIFICACION!$E$2:$E$500,MATCH("D7.26b|"&amp;CAPTURA!CN100,CODIFICACION!$F$2:$F$500,0))),"⚠"))</f>
        <v/>
      </c>
      <c r="BJ100" t="str">
        <f>IF(CAPTURA!CO100="","",IF(AND(ISNUMBER(CAPTURA!CO100),CAPTURA!CO100&gt;=0,CAPTURA!CO100&lt;=4),CAPTURA!CO100*25,"⚠"))</f>
        <v/>
      </c>
      <c r="BK100" t="str">
        <f>IF(CAPTURA!CP100="","",IF(ISNUMBER(CAPTURA!CP100),MAX(0,MIN(100,CAPTURA!CP100)),"⚠"))</f>
        <v/>
      </c>
      <c r="BL100" t="str">
        <f>IF(CAPTURA!CQ100="","",IFERROR(IF(INDEX(CODIFICACION!$E$2:$E$500,MATCH("D8.31|"&amp;CAPTURA!CQ100,CODIFICACION!$F$2:$F$500,0))="sin dato","",INDEX(CODIFICACION!$E$2:$E$500,MATCH("D8.31|"&amp;CAPTURA!CQ100,CODIFICACION!$F$2:$F$500,0))),"⚠"))</f>
        <v/>
      </c>
      <c r="BM100" t="str">
        <f>IF(CAPTURA!CR100="","",IFERROR(IF(INDEX(CODIFICACION!$E$2:$E$500,MATCH("D8.32|"&amp;CAPTURA!CR100,CODIFICACION!$F$2:$F$500,0))="sin dato","",INDEX(CODIFICACION!$E$2:$E$500,MATCH("D8.32|"&amp;CAPTURA!CR100,CODIFICACION!$F$2:$F$500,0))),"⚠"))</f>
        <v/>
      </c>
      <c r="BN100" t="str">
        <f>IF(CAPTURA!CS100="","",IFERROR(IF(INDEX(CODIFICACION!$E$2:$E$500,MATCH("D9.33|"&amp;CAPTURA!CS100,CODIFICACION!$F$2:$F$500,0))="sin dato","",INDEX(CODIFICACION!$E$2:$E$500,MATCH("D9.33|"&amp;CAPTURA!CS100,CODIFICACION!$F$2:$F$500,0))),"⚠"))</f>
        <v/>
      </c>
      <c r="BO100" t="str">
        <f>IF(CAPTURA!CT100="","",IFERROR(IF(INDEX(CODIFICACION!$E$2:$E$500,MATCH("D9.34|"&amp;CAPTURA!CT100,CODIFICACION!$F$2:$F$500,0))="sin dato","",INDEX(CODIFICACION!$E$2:$E$500,MATCH("D9.34|"&amp;CAPTURA!CT100,CODIFICACION!$F$2:$F$500,0))),"⚠"))</f>
        <v/>
      </c>
      <c r="BP100" t="str">
        <f>IF(CAPTURA!CU100="","",IFERROR(IF(INDEX(CODIFICACION!$E$2:$E$500,MATCH("D9.35|"&amp;CAPTURA!CU100,CODIFICACION!$F$2:$F$500,0))="sin dato","",INDEX(CODIFICACION!$E$2:$E$500,MATCH("D9.35|"&amp;CAPTURA!CU100,CODIFICACION!$F$2:$F$500,0))),"⚠"))</f>
        <v/>
      </c>
      <c r="BQ100" t="str">
        <f>IF(CAPTURA!CV100="","",IFERROR(IF(INDEX(CODIFICACION!$E$2:$E$500,MATCH("D10.36|"&amp;CAPTURA!CV100,CODIFICACION!$F$2:$F$500,0))="sin dato","",INDEX(CODIFICACION!$E$2:$E$500,MATCH("D10.36|"&amp;CAPTURA!CV100,CODIFICACION!$F$2:$F$500,0))),"⚠"))</f>
        <v/>
      </c>
      <c r="BR100" t="str">
        <f>IF(CAPTURA!CW100="","",IFERROR(IF(INDEX(CODIFICACION!$E$2:$E$500,MATCH("D10.37|"&amp;CAPTURA!CW100,CODIFICACION!$F$2:$F$500,0))="sin dato","",INDEX(CODIFICACION!$E$2:$E$500,MATCH("D10.37|"&amp;CAPTURA!CW100,CODIFICACION!$F$2:$F$500,0))),"⚠"))</f>
        <v/>
      </c>
      <c r="BS100" t="str">
        <f>IF(CAPTURA!CX100="","",IFERROR(IF(INDEX(CODIFICACION!$E$2:$E$500,MATCH("D10.36a|"&amp;CAPTURA!CX100,CODIFICACION!$F$2:$F$500,0))="sin dato","",INDEX(CODIFICACION!$E$2:$E$500,MATCH("D10.36a|"&amp;CAPTURA!CX100,CODIFICACION!$F$2:$F$500,0))),"⚠"))</f>
        <v/>
      </c>
      <c r="BT100" t="str">
        <f>IF(CAPTURA!CY100="","",IF(ISNUMBER(SEARCH("Ninguno",CAPTURA!CY100)),0,MIN(100,ROUND((LEN(CAPTURA!CY100)-LEN(SUBSTITUTE(CAPTURA!CY100,";",""))+1)/6*100,1))))</f>
        <v/>
      </c>
      <c r="BU100" t="str">
        <f>IF(CAPTURA!DA100="","",IFERROR(IF(INDEX(CODIFICACION!$E$2:$E$500,MATCH("D11.39a|"&amp;CAPTURA!DA100,CODIFICACION!$F$2:$F$500,0))="sin dato","",INDEX(CODIFICACION!$E$2:$E$500,MATCH("D11.39a|"&amp;CAPTURA!DA100,CODIFICACION!$F$2:$F$500,0))),"⚠"))</f>
        <v/>
      </c>
      <c r="BV100" t="str">
        <f>IF(CAPTURA!DB100="","",IFERROR(IF(INDEX(CODIFICACION!$E$2:$E$500,MATCH("D12.42|"&amp;CAPTURA!DB100,CODIFICACION!$F$2:$F$500,0))="sin dato","",INDEX(CODIFICACION!$E$2:$E$500,MATCH("D12.42|"&amp;CAPTURA!DB100,CODIFICACION!$F$2:$F$500,0))),"⚠"))</f>
        <v/>
      </c>
      <c r="BW100" t="str">
        <f>IF(CAPTURA!DC100="","",IFERROR(IF(INDEX(CODIFICACION!$E$2:$E$500,MATCH("D13.45|"&amp;CAPTURA!DC100,CODIFICACION!$F$2:$F$500,0))="sin dato","",INDEX(CODIFICACION!$E$2:$E$500,MATCH("D13.45|"&amp;CAPTURA!DC100,CODIFICACION!$F$2:$F$500,0))),"⚠"))</f>
        <v/>
      </c>
      <c r="BX100" t="str">
        <f>IF(CAPTURA!DD100="","",IFERROR(IF(INDEX(CODIFICACION!$E$2:$E$500,MATCH("D14.51|"&amp;CAPTURA!DD100,CODIFICACION!$F$2:$F$500,0))="sin dato","",INDEX(CODIFICACION!$E$2:$E$500,MATCH("D14.51|"&amp;CAPTURA!DD100,CODIFICACION!$F$2:$F$500,0))),"⚠"))</f>
        <v/>
      </c>
      <c r="BY100" t="str">
        <f>IF(CAPTURA!DE100="","",IFERROR(IF(INDEX(CODIFICACION!$E$2:$E$500,MATCH("D15.58|"&amp;CAPTURA!DE100,CODIFICACION!$F$2:$F$500,0))="sin dato","",INDEX(CODIFICACION!$E$2:$E$500,MATCH("D15.58|"&amp;CAPTURA!DE100,CODIFICACION!$F$2:$F$500,0))),"⚠"))</f>
        <v/>
      </c>
      <c r="BZ100" t="str">
        <f>IF(CAPTURA!DF100="","",IFERROR(IF(INDEX(CODIFICACION!$E$2:$E$500,MATCH("PP1|"&amp;CAPTURA!DF100,CODIFICACION!$F$2:$F$500,0))="sin dato","",INDEX(CODIFICACION!$E$2:$E$500,MATCH("PP1|"&amp;CAPTURA!DF100,CODIFICACION!$F$2:$F$500,0))),"⚠"))</f>
        <v/>
      </c>
      <c r="CA100" t="str">
        <f>IF(CAPTURA!DG100="","",IFERROR(IF(INDEX(CODIFICACION!$E$2:$E$500,MATCH("PP2|"&amp;CAPTURA!DG100,CODIFICACION!$F$2:$F$500,0))="sin dato","",INDEX(CODIFICACION!$E$2:$E$500,MATCH("PP2|"&amp;CAPTURA!DG100,CODIFICACION!$F$2:$F$500,0))),"⚠"))</f>
        <v/>
      </c>
      <c r="CB100" t="str">
        <f t="shared" si="33"/>
        <v/>
      </c>
      <c r="CC100" t="str">
        <f t="shared" si="34"/>
        <v/>
      </c>
      <c r="CD100" t="str">
        <f t="shared" si="35"/>
        <v/>
      </c>
      <c r="CE100" t="str">
        <f t="shared" si="36"/>
        <v/>
      </c>
      <c r="CF100" t="str">
        <f t="shared" si="37"/>
        <v/>
      </c>
      <c r="CG100" t="str">
        <f t="shared" si="38"/>
        <v/>
      </c>
      <c r="CH100" t="str">
        <f t="shared" si="39"/>
        <v/>
      </c>
      <c r="CI100" t="str">
        <f t="shared" si="40"/>
        <v/>
      </c>
      <c r="CJ100" t="str">
        <f t="shared" si="41"/>
        <v/>
      </c>
      <c r="CK100" t="str">
        <f t="shared" si="42"/>
        <v/>
      </c>
      <c r="CL100" t="str">
        <f t="shared" si="43"/>
        <v/>
      </c>
    </row>
    <row r="101" spans="1:90" x14ac:dyDescent="0.3">
      <c r="A101">
        <f>CAPTURA!A101</f>
        <v>20600001109</v>
      </c>
      <c r="B101">
        <f>CAPTURA!C101</f>
        <v>0</v>
      </c>
      <c r="C101" t="str">
        <f>IF(CAPTURA!M101="","",ROUND((ISNUMBER(SEARCH("Alemania",CAPTURA!M101))+ISNUMBER(SEARCH("Bélgica",CAPTURA!M101))+ISNUMBER(SEARCH("Países Bajos",CAPTURA!M101))+ISNUMBER(SEARCH("Francia",CAPTURA!M101))+ISNUMBER(SEARCH("Italia",CAPTURA!M101))+ISNUMBER(SEARCH("España",CAPTURA!M101))+ISNUMBER(SEARCH("Suecia",CAPTURA!M101))+ISNUMBER(SEARCH("Dinamarca",CAPTURA!M101)))/((LEN(CAPTURA!M101)-LEN(SUBSTITUTE(CAPTURA!M101,";","")))+1)*100,1))</f>
        <v/>
      </c>
      <c r="D101" t="str">
        <f>IF(CAPTURA!AE101="","",IFERROR(IF(INDEX(CODIFICACION!$E$2:$E$500,MATCH("P8|"&amp;CAPTURA!AE101,CODIFICACION!$F$2:$F$500,0))="sin dato","",INDEX(CODIFICACION!$E$2:$E$500,MATCH("P8|"&amp;CAPTURA!AE101,CODIFICACION!$F$2:$F$500,0))),"⚠"))</f>
        <v/>
      </c>
      <c r="E101" t="str">
        <f>IF(CAPTURA!AG101="","",IFERROR(IF(INDEX(CODIFICACION!$E$2:$E$500,MATCH("P10|"&amp;CAPTURA!AG101,CODIFICACION!$F$2:$F$500,0))="sin dato","",INDEX(CODIFICACION!$E$2:$E$500,MATCH("P10|"&amp;CAPTURA!AG101,CODIFICACION!$F$2:$F$500,0))),"⚠"))</f>
        <v/>
      </c>
      <c r="F101" t="str">
        <f>IF(CAPTURA!AJ101="","",IFERROR(IF(INDEX(CODIFICACION!$E$2:$E$500,MATCH("P13|"&amp;CAPTURA!AJ101,CODIFICACION!$F$2:$F$500,0))="sin dato","",INDEX(CODIFICACION!$E$2:$E$500,MATCH("P13|"&amp;CAPTURA!AJ101,CODIFICACION!$F$2:$F$500,0))),"⚠"))</f>
        <v/>
      </c>
      <c r="G101" t="str">
        <f>IF(CAPTURA!AK101="","",IFERROR(IF(INDEX(CODIFICACION!$E$2:$E$500,MATCH("P14|"&amp;CAPTURA!AK101,CODIFICACION!$F$2:$F$500,0))="sin dato","",INDEX(CODIFICACION!$E$2:$E$500,MATCH("P14|"&amp;CAPTURA!AK101,CODIFICACION!$F$2:$F$500,0))),"⚠"))</f>
        <v/>
      </c>
      <c r="H101" t="str">
        <f>IF(CAPTURA!AL101="","",IFERROR(IF(INDEX(CODIFICACION!$E$2:$E$500,MATCH("D1.1|"&amp;CAPTURA!AL101,CODIFICACION!$F$2:$F$500,0))="sin dato","",INDEX(CODIFICACION!$E$2:$E$500,MATCH("D1.1|"&amp;CAPTURA!AL101,CODIFICACION!$F$2:$F$500,0))),"⚠"))</f>
        <v/>
      </c>
      <c r="I101" t="str">
        <f>IF(CAPTURA!AN101="","",IFERROR(IF(INDEX(CODIFICACION!$E$2:$E$500,MATCH("D1.3|"&amp;CAPTURA!AN101,CODIFICACION!$F$2:$F$500,0))="sin dato","",INDEX(CODIFICACION!$E$2:$E$500,MATCH("D1.3|"&amp;CAPTURA!AN101,CODIFICACION!$F$2:$F$500,0))),"⚠"))</f>
        <v/>
      </c>
      <c r="J101" t="str">
        <f>IF(CAPTURA!AO101="","",IFERROR(IF(INDEX(CODIFICACION!$E$2:$E$500,MATCH("D1.4|"&amp;CAPTURA!AO101,CODIFICACION!$F$2:$F$500,0))="sin dato","",INDEX(CODIFICACION!$E$2:$E$500,MATCH("D1.4|"&amp;CAPTURA!AO101,CODIFICACION!$F$2:$F$500,0))),"⚠"))</f>
        <v/>
      </c>
      <c r="K101" t="str">
        <f>IF(CAPTURA!AP101="","",IFERROR(IF(INDEX(CODIFICACION!$E$2:$E$500,MATCH("D1.3a|"&amp;CAPTURA!AP101,CODIFICACION!$F$2:$F$500,0))="sin dato","",INDEX(CODIFICACION!$E$2:$E$500,MATCH("D1.3a|"&amp;CAPTURA!AP101,CODIFICACION!$F$2:$F$500,0))),"⚠"))</f>
        <v/>
      </c>
      <c r="L101" t="str">
        <f>IF(CAPTURA!AQ101="","",IF(AND(ISNUMBER(CAPTURA!AQ101),CAPTURA!AQ101&gt;=0,CAPTURA!AQ101&lt;=4),CAPTURA!AQ101*25,"⚠"))</f>
        <v/>
      </c>
      <c r="M101" t="str">
        <f>IF(CAPTURA!AR101="","",IF(ISNUMBER(CAPTURA!AR101),MAX(0,MIN(100,CAPTURA!AR101)),"⚠"))</f>
        <v/>
      </c>
      <c r="N101" t="str">
        <f>IF(CAPTURA!AS101="","",IF(AND(ISNUMBER(CAPTURA!AS101),CAPTURA!AS101&gt;=0,CAPTURA!AS101&lt;=4),CAPTURA!AS101*25,"⚠"))</f>
        <v/>
      </c>
      <c r="O101" t="str">
        <f>IF(CAPTURA!AT101="","",IFERROR(IF(INDEX(CODIFICACION!$E$2:$E$500,MATCH("D2.8|"&amp;CAPTURA!AT101,CODIFICACION!$F$2:$F$500,0))="sin dato","",INDEX(CODIFICACION!$E$2:$E$500,MATCH("D2.8|"&amp;CAPTURA!AT101,CODIFICACION!$F$2:$F$500,0))),"⚠"))</f>
        <v/>
      </c>
      <c r="P101" t="str">
        <f>IF(CAPTURA!AU101="","",IFERROR(IF(INDEX(CODIFICACION!$E$2:$E$500,MATCH("D2.9|"&amp;CAPTURA!AU101,CODIFICACION!$F$2:$F$500,0))="sin dato","",INDEX(CODIFICACION!$E$2:$E$500,MATCH("D2.9|"&amp;CAPTURA!AU101,CODIFICACION!$F$2:$F$500,0))),"⚠"))</f>
        <v/>
      </c>
      <c r="Q101" t="str">
        <f>IF(CAPTURA!AV101="","",IFERROR(IF(INDEX(CODIFICACION!$E$2:$E$500,MATCH("D2.10|"&amp;CAPTURA!AV101,CODIFICACION!$F$2:$F$500,0))="sin dato","",INDEX(CODIFICACION!$E$2:$E$500,MATCH("D2.10|"&amp;CAPTURA!AV101,CODIFICACION!$F$2:$F$500,0))),"⚠"))</f>
        <v/>
      </c>
      <c r="R101" t="str">
        <f>IF(CAPTURA!AW101="","",IFERROR(IF(INDEX(CODIFICACION!$E$2:$E$500,MATCH("D2.5a|"&amp;CAPTURA!AW101,CODIFICACION!$F$2:$F$500,0))="sin dato","",INDEX(CODIFICACION!$E$2:$E$500,MATCH("D2.5a|"&amp;CAPTURA!AW101,CODIFICACION!$F$2:$F$500,0))),"⚠"))</f>
        <v/>
      </c>
      <c r="S101" t="str">
        <f>IF(CAPTURA!AX101="","",IFERROR(IF(INDEX(CODIFICACION!$E$2:$E$500,MATCH("D2.5b|"&amp;CAPTURA!AX101,CODIFICACION!$F$2:$F$500,0))="sin dato","",INDEX(CODIFICACION!$E$2:$E$500,MATCH("D2.5b|"&amp;CAPTURA!AX101,CODIFICACION!$F$2:$F$500,0))),"⚠"))</f>
        <v/>
      </c>
      <c r="T101" t="str">
        <f>IF(CAPTURA!AY101="","",IF(ISNUMBER(CAPTURA!AY101),MAX(0,MIN(100,CAPTURA!AY101)),"⚠"))</f>
        <v/>
      </c>
      <c r="U101" t="str">
        <f>IF(CAPTURA!AZ101="","",IFERROR(IF(INDEX(CODIFICACION!$E$2:$E$500,MATCH("D3.12|"&amp;CAPTURA!AZ101,CODIFICACION!$F$2:$F$500,0))="sin dato","",INDEX(CODIFICACION!$E$2:$E$500,MATCH("D3.12|"&amp;CAPTURA!AZ101,CODIFICACION!$F$2:$F$500,0))),"⚠"))</f>
        <v/>
      </c>
      <c r="V101" t="str">
        <f>IF(CAPTURA!BA101="","",IF(AND(ISNUMBER(CAPTURA!BA101),CAPTURA!BA101&gt;=0,CAPTURA!BA101&lt;=4),CAPTURA!BA101*25,"⚠"))</f>
        <v/>
      </c>
      <c r="W101" t="str">
        <f>IF(CAPTURA!BB101="","",IFERROR(IF(INDEX(CODIFICACION!$E$2:$E$500,MATCH("D3.14|"&amp;CAPTURA!BB101,CODIFICACION!$F$2:$F$500,0))="sin dato","",INDEX(CODIFICACION!$E$2:$E$500,MATCH("D3.14|"&amp;CAPTURA!BB101,CODIFICACION!$F$2:$F$500,0))),"⚠"))</f>
        <v/>
      </c>
      <c r="X101" t="str">
        <f>IF(CAPTURA!BC101="","",IFERROR(IF(INDEX(CODIFICACION!$E$2:$E$500,MATCH("D3.14a|"&amp;CAPTURA!BC101,CODIFICACION!$F$2:$F$500,0))="sin dato","",INDEX(CODIFICACION!$E$2:$E$500,MATCH("D3.14a|"&amp;CAPTURA!BC101,CODIFICACION!$F$2:$F$500,0))),"⚠"))</f>
        <v/>
      </c>
      <c r="Y101" t="str">
        <f>IF(CAPTURA!BD101="","",IFERROR(IF(INDEX(CODIFICACION!$E$2:$E$500,MATCH("D3.14b|"&amp;CAPTURA!BD101,CODIFICACION!$F$2:$F$500,0))="sin dato","",INDEX(CODIFICACION!$E$2:$E$500,MATCH("D3.14b|"&amp;CAPTURA!BD101,CODIFICACION!$F$2:$F$500,0))),"⚠"))</f>
        <v/>
      </c>
      <c r="Z101" t="str">
        <f>IF(CAPTURA!BE101="","",IFERROR(IF(INDEX(CODIFICACION!$E$2:$E$500,MATCH("D3.14c|"&amp;CAPTURA!BE101,CODIFICACION!$F$2:$F$500,0))="sin dato","",INDEX(CODIFICACION!$E$2:$E$500,MATCH("D3.14c|"&amp;CAPTURA!BE101,CODIFICACION!$F$2:$F$500,0))),"⚠"))</f>
        <v/>
      </c>
      <c r="AA101" t="str">
        <f>IF(CAPTURA!BF101="","",IFERROR(IF(INDEX(CODIFICACION!$E$2:$E$500,MATCH("D3.14d|"&amp;CAPTURA!BF101,CODIFICACION!$F$2:$F$500,0))="sin dato","",INDEX(CODIFICACION!$E$2:$E$500,MATCH("D3.14d|"&amp;CAPTURA!BF101,CODIFICACION!$F$2:$F$500,0))),"⚠"))</f>
        <v/>
      </c>
      <c r="AB101" t="str">
        <f>IF(CAPTURA!BG101="","",IFERROR(IF(INDEX(CODIFICACION!$E$2:$E$500,MATCH("D3.14e|"&amp;CAPTURA!BG101,CODIFICACION!$F$2:$F$500,0))="sin dato","",INDEX(CODIFICACION!$E$2:$E$500,MATCH("D3.14e|"&amp;CAPTURA!BG101,CODIFICACION!$F$2:$F$500,0))),"⚠"))</f>
        <v/>
      </c>
      <c r="AC101" t="str">
        <f>IF(CAPTURA!BH101="","",IFERROR(IF(INDEX(CODIFICACION!$E$2:$E$500,MATCH("D3.14f|"&amp;CAPTURA!BH101,CODIFICACION!$F$2:$F$500,0))="sin dato","",INDEX(CODIFICACION!$E$2:$E$500,MATCH("D3.14f|"&amp;CAPTURA!BH101,CODIFICACION!$F$2:$F$500,0))),"⚠"))</f>
        <v/>
      </c>
      <c r="AD101" t="str">
        <f>IF(CAPTURA!BI101="","",IFERROR(IF(INDEX(CODIFICACION!$E$2:$E$500,MATCH("D3.14g|"&amp;CAPTURA!BI101,CODIFICACION!$F$2:$F$500,0))="sin dato","",INDEX(CODIFICACION!$E$2:$E$500,MATCH("D3.14g|"&amp;CAPTURA!BI101,CODIFICACION!$F$2:$F$500,0))),"⚠"))</f>
        <v/>
      </c>
      <c r="AE101" t="str">
        <f>IF(CAPTURA!BJ101="","",IFERROR(IF(INDEX(CODIFICACION!$E$2:$E$500,MATCH("D3.14h|"&amp;CAPTURA!BJ101,CODIFICACION!$F$2:$F$500,0))="sin dato","",INDEX(CODIFICACION!$E$2:$E$500,MATCH("D3.14h|"&amp;CAPTURA!BJ101,CODIFICACION!$F$2:$F$500,0))),"⚠"))</f>
        <v/>
      </c>
      <c r="AF101" t="str">
        <f>IF(CAPTURA!BK101="","",IFERROR(IF(INDEX(CODIFICACION!$E$2:$E$500,MATCH("D3.14i|"&amp;CAPTURA!BK101,CODIFICACION!$F$2:$F$500,0))="sin dato","",INDEX(CODIFICACION!$E$2:$E$500,MATCH("D3.14i|"&amp;CAPTURA!BK101,CODIFICACION!$F$2:$F$500,0))),"⚠"))</f>
        <v/>
      </c>
      <c r="AG101" t="str">
        <f>IF(CAPTURA!BL101="","",IFERROR(IF(INDEX(CODIFICACION!$E$2:$E$500,MATCH("D4.15|"&amp;CAPTURA!BL101,CODIFICACION!$F$2:$F$500,0))="sin dato","",INDEX(CODIFICACION!$E$2:$E$500,MATCH("D4.15|"&amp;CAPTURA!BL101,CODIFICACION!$F$2:$F$500,0))),"⚠"))</f>
        <v/>
      </c>
      <c r="AH101" t="str">
        <f>IF(CAPTURA!BM101="","",IF(AND(ISNUMBER(CAPTURA!BM101),CAPTURA!BM101&gt;=0,CAPTURA!BM101&lt;=4),CAPTURA!BM101*25,"⚠"))</f>
        <v/>
      </c>
      <c r="AI101" t="str">
        <f>IF(CAPTURA!BN101="","",IFERROR(IF(INDEX(CODIFICACION!$E$2:$E$500,MATCH("D4.17|"&amp;CAPTURA!BN101,CODIFICACION!$F$2:$F$500,0))="sin dato","",INDEX(CODIFICACION!$E$2:$E$500,MATCH("D4.17|"&amp;CAPTURA!BN101,CODIFICACION!$F$2:$F$500,0))),"⚠"))</f>
        <v/>
      </c>
      <c r="AJ101" t="str">
        <f>IF(CAPTURA!BO101="","",IFERROR(IF(INDEX(CODIFICACION!$E$2:$E$500,MATCH("D4.15a|"&amp;CAPTURA!BO101,CODIFICACION!$F$2:$F$500,0))="sin dato","",INDEX(CODIFICACION!$E$2:$E$500,MATCH("D4.15a|"&amp;CAPTURA!BO101,CODIFICACION!$F$2:$F$500,0))),"⚠"))</f>
        <v/>
      </c>
      <c r="AK101" t="str">
        <f>IF(CAPTURA!BP101="","",IF(AND(ISNUMBER(CAPTURA!BP101),CAPTURA!BP101&gt;=0,CAPTURA!BP101&lt;=4),CAPTURA!BP101*25,"⚠"))</f>
        <v/>
      </c>
      <c r="AL101" t="str">
        <f>IF(CAPTURA!BQ101="","",IF(AND(ISNUMBER(CAPTURA!BQ101),CAPTURA!BQ101&gt;=0,CAPTURA!BQ101&lt;=4),CAPTURA!BQ101*25,"⚠"))</f>
        <v/>
      </c>
      <c r="AM101" t="str">
        <f>IF(CAPTURA!BR101="","",IFERROR(IF(INDEX(CODIFICACION!$E$2:$E$500,MATCH("D5.18b|"&amp;CAPTURA!BR101,CODIFICACION!$F$2:$F$500,0))="sin dato","",INDEX(CODIFICACION!$E$2:$E$500,MATCH("D5.18b|"&amp;CAPTURA!BR101,CODIFICACION!$F$2:$F$500,0))),"⚠"))</f>
        <v/>
      </c>
      <c r="AN101" t="str">
        <f>IF(CAPTURA!BS101="","",IFERROR(IF(INDEX(CODIFICACION!$E$2:$E$500,MATCH("D5.19|"&amp;CAPTURA!BS101,CODIFICACION!$F$2:$F$500,0))="sin dato","",INDEX(CODIFICACION!$E$2:$E$500,MATCH("D5.19|"&amp;CAPTURA!BS101,CODIFICACION!$F$2:$F$500,0))),"⚠"))</f>
        <v/>
      </c>
      <c r="AO101" t="str">
        <f>IF(CAPTURA!BT101="","",MIN(100,ROUND((LEN(CAPTURA!BT101)-LEN(SUBSTITUTE(CAPTURA!BT101,";",""))+1)/7*100,1)))</f>
        <v/>
      </c>
      <c r="AP101" t="str">
        <f>IF(CAPTURA!BU101="","",IFERROR(IF(INDEX(CODIFICACION!$E$2:$E$500,MATCH("D5.20|"&amp;CAPTURA!BU101,CODIFICACION!$F$2:$F$500,0))="sin dato","",INDEX(CODIFICACION!$E$2:$E$500,MATCH("D5.20|"&amp;CAPTURA!BU101,CODIFICACION!$F$2:$F$500,0))),"⚠"))</f>
        <v/>
      </c>
      <c r="AQ101" t="str">
        <f>IF(CAPTURA!BV101="","",IFERROR(IF(INDEX(CODIFICACION!$E$2:$E$500,MATCH("D5.21|"&amp;CAPTURA!BV101,CODIFICACION!$F$2:$F$500,0))="sin dato","",INDEX(CODIFICACION!$E$2:$E$500,MATCH("D5.21|"&amp;CAPTURA!BV101,CODIFICACION!$F$2:$F$500,0))),"⚠"))</f>
        <v/>
      </c>
      <c r="AR101" t="str">
        <f>IF(CAPTURA!BW101="","",IFERROR(IF(INDEX(CODIFICACION!$E$2:$E$500,MATCH("D5.21a|"&amp;CAPTURA!BW101,CODIFICACION!$F$2:$F$500,0))="sin dato","",INDEX(CODIFICACION!$E$2:$E$500,MATCH("D5.21a|"&amp;CAPTURA!BW101,CODIFICACION!$F$2:$F$500,0))),"⚠"))</f>
        <v/>
      </c>
      <c r="AS101" t="str">
        <f>IF(CAPTURA!BX101="","",IFERROR(IF(INDEX(CODIFICACION!$E$2:$E$500,MATCH("D5.21b|"&amp;CAPTURA!BX101,CODIFICACION!$F$2:$F$500,0))="sin dato","",INDEX(CODIFICACION!$E$2:$E$500,MATCH("D5.21b|"&amp;CAPTURA!BX101,CODIFICACION!$F$2:$F$500,0))),"⚠"))</f>
        <v/>
      </c>
      <c r="AT101" t="str">
        <f>IF(CAPTURA!BY101="","",IFERROR(IF(INDEX(CODIFICACION!$E$2:$E$500,MATCH("D6.22|"&amp;CAPTURA!BY101,CODIFICACION!$F$2:$F$500,0))="sin dato","",INDEX(CODIFICACION!$E$2:$E$500,MATCH("D6.22|"&amp;CAPTURA!BY101,CODIFICACION!$F$2:$F$500,0))),"⚠"))</f>
        <v/>
      </c>
      <c r="AU101" t="str">
        <f>IF(CAPTURA!BZ101="","",IFERROR(IF(INDEX(CODIFICACION!$E$2:$E$500,MATCH("D6.22a|"&amp;CAPTURA!BZ101,CODIFICACION!$F$2:$F$500,0))="sin dato","",INDEX(CODIFICACION!$E$2:$E$500,MATCH("D6.22a|"&amp;CAPTURA!BZ101,CODIFICACION!$F$2:$F$500,0))),"⚠"))</f>
        <v/>
      </c>
      <c r="AV101" t="str">
        <f>IF(CAPTURA!CA101="","",IFERROR(IF(INDEX(CODIFICACION!$E$2:$E$500,MATCH("D6.22b|"&amp;CAPTURA!CA101,CODIFICACION!$F$2:$F$500,0))="sin dato","",INDEX(CODIFICACION!$E$2:$E$500,MATCH("D6.22b|"&amp;CAPTURA!CA101,CODIFICACION!$F$2:$F$500,0))),"⚠"))</f>
        <v/>
      </c>
      <c r="AW101" t="str">
        <f>IF(CAPTURA!CB101="","",IFERROR(IF(INDEX(CODIFICACION!$E$2:$E$500,MATCH("D6.23|"&amp;CAPTURA!CB101,CODIFICACION!$F$2:$F$500,0))="sin dato","",INDEX(CODIFICACION!$E$2:$E$500,MATCH("D6.23|"&amp;CAPTURA!CB101,CODIFICACION!$F$2:$F$500,0))),"⚠"))</f>
        <v/>
      </c>
      <c r="AX101" t="str">
        <f>IF(CAPTURA!CC101="","",IFERROR(IF(INDEX(CODIFICACION!$E$2:$E$500,MATCH("D6.24|"&amp;CAPTURA!CC101,CODIFICACION!$F$2:$F$500,0))="sin dato","",INDEX(CODIFICACION!$E$2:$E$500,MATCH("D6.24|"&amp;CAPTURA!CC101,CODIFICACION!$F$2:$F$500,0))),"⚠"))</f>
        <v/>
      </c>
      <c r="AY101" t="str">
        <f>IF(CAPTURA!CD101="","",IFERROR(IF(INDEX(CODIFICACION!$E$2:$E$500,MATCH("D6.25|"&amp;CAPTURA!CD101,CODIFICACION!$F$2:$F$500,0))="sin dato","",INDEX(CODIFICACION!$E$2:$E$500,MATCH("D6.25|"&amp;CAPTURA!CD101,CODIFICACION!$F$2:$F$500,0))),"⚠"))</f>
        <v/>
      </c>
      <c r="AZ101" t="str">
        <f>IF(CAPTURA!CE101="","",IFERROR(IF(INDEX(CODIFICACION!$E$2:$E$500,MATCH("D6.25a|"&amp;CAPTURA!CE101,CODIFICACION!$F$2:$F$500,0))="sin dato","",INDEX(CODIFICACION!$E$2:$E$500,MATCH("D6.25a|"&amp;CAPTURA!CE101,CODIFICACION!$F$2:$F$500,0))),"⚠"))</f>
        <v/>
      </c>
      <c r="BA101" t="str">
        <f>IF(CAPTURA!CF101="","",IFERROR(IF(INDEX(CODIFICACION!$E$2:$E$500,MATCH("D6.25b|"&amp;CAPTURA!CF101,CODIFICACION!$F$2:$F$500,0))="sin dato","",INDEX(CODIFICACION!$E$2:$E$500,MATCH("D6.25b|"&amp;CAPTURA!CF101,CODIFICACION!$F$2:$F$500,0))),"⚠"))</f>
        <v/>
      </c>
      <c r="BB101" t="str">
        <f>IF(CAPTURA!CG101="","",IFERROR(IF(INDEX(CODIFICACION!$E$2:$E$500,MATCH("D6.22c|"&amp;CAPTURA!CG101,CODIFICACION!$F$2:$F$500,0))="sin dato","",INDEX(CODIFICACION!$E$2:$E$500,MATCH("D6.22c|"&amp;CAPTURA!CG101,CODIFICACION!$F$2:$F$500,0))),"⚠"))</f>
        <v/>
      </c>
      <c r="BC101" t="str">
        <f>IF(CAPTURA!CH101="","",IFERROR(IF(INDEX(CODIFICACION!$E$2:$E$500,MATCH("D7.26|"&amp;CAPTURA!CH101,CODIFICACION!$F$2:$F$500,0))="sin dato","",INDEX(CODIFICACION!$E$2:$E$500,MATCH("D7.26|"&amp;CAPTURA!CH101,CODIFICACION!$F$2:$F$500,0))),"⚠"))</f>
        <v/>
      </c>
      <c r="BD101" t="str">
        <f>IF(CAPTURA!CI101="","",IFERROR(IF(INDEX(CODIFICACION!$E$2:$E$500,MATCH("D7.27|"&amp;CAPTURA!CI101,CODIFICACION!$F$2:$F$500,0))="sin dato","",INDEX(CODIFICACION!$E$2:$E$500,MATCH("D7.27|"&amp;CAPTURA!CI101,CODIFICACION!$F$2:$F$500,0))),"⚠"))</f>
        <v/>
      </c>
      <c r="BE101" t="str">
        <f>IF(CAPTURA!CJ101="","",IFERROR(IF(INDEX(CODIFICACION!$E$2:$E$500,MATCH("D7.28|"&amp;CAPTURA!CJ101,CODIFICACION!$F$2:$F$500,0))="sin dato","",INDEX(CODIFICACION!$E$2:$E$500,MATCH("D7.28|"&amp;CAPTURA!CJ101,CODIFICACION!$F$2:$F$500,0))),"⚠"))</f>
        <v/>
      </c>
      <c r="BF101" t="str">
        <f>IF(CAPTURA!CK101="","",IFERROR(IF(INDEX(CODIFICACION!$E$2:$E$500,MATCH("D7.28b|"&amp;CAPTURA!CK101,CODIFICACION!$F$2:$F$500,0))="sin dato","",INDEX(CODIFICACION!$E$2:$E$500,MATCH("D7.28b|"&amp;CAPTURA!CK101,CODIFICACION!$F$2:$F$500,0))),"⚠"))</f>
        <v/>
      </c>
      <c r="BG101" t="str">
        <f>IF(CAPTURA!CL101="","",MIN(100,ROUND((LEN(CAPTURA!CL101)-LEN(SUBSTITUTE(CAPTURA!CL101,";",""))+1)/8*100,1)))</f>
        <v/>
      </c>
      <c r="BH101" t="str">
        <f>IF(CAPTURA!CM101="","",IFERROR(IF(INDEX(CODIFICACION!$E$2:$E$500,MATCH("D7.26a|"&amp;CAPTURA!CM101,CODIFICACION!$F$2:$F$500,0))="sin dato","",INDEX(CODIFICACION!$E$2:$E$500,MATCH("D7.26a|"&amp;CAPTURA!CM101,CODIFICACION!$F$2:$F$500,0))),"⚠"))</f>
        <v/>
      </c>
      <c r="BI101" t="str">
        <f>IF(CAPTURA!CN101="","",IFERROR(IF(INDEX(CODIFICACION!$E$2:$E$500,MATCH("D7.26b|"&amp;CAPTURA!CN101,CODIFICACION!$F$2:$F$500,0))="sin dato","",INDEX(CODIFICACION!$E$2:$E$500,MATCH("D7.26b|"&amp;CAPTURA!CN101,CODIFICACION!$F$2:$F$500,0))),"⚠"))</f>
        <v/>
      </c>
      <c r="BJ101" t="str">
        <f>IF(CAPTURA!CO101="","",IF(AND(ISNUMBER(CAPTURA!CO101),CAPTURA!CO101&gt;=0,CAPTURA!CO101&lt;=4),CAPTURA!CO101*25,"⚠"))</f>
        <v/>
      </c>
      <c r="BK101" t="str">
        <f>IF(CAPTURA!CP101="","",IF(ISNUMBER(CAPTURA!CP101),MAX(0,MIN(100,CAPTURA!CP101)),"⚠"))</f>
        <v/>
      </c>
      <c r="BL101" t="str">
        <f>IF(CAPTURA!CQ101="","",IFERROR(IF(INDEX(CODIFICACION!$E$2:$E$500,MATCH("D8.31|"&amp;CAPTURA!CQ101,CODIFICACION!$F$2:$F$500,0))="sin dato","",INDEX(CODIFICACION!$E$2:$E$500,MATCH("D8.31|"&amp;CAPTURA!CQ101,CODIFICACION!$F$2:$F$500,0))),"⚠"))</f>
        <v/>
      </c>
      <c r="BM101" t="str">
        <f>IF(CAPTURA!CR101="","",IFERROR(IF(INDEX(CODIFICACION!$E$2:$E$500,MATCH("D8.32|"&amp;CAPTURA!CR101,CODIFICACION!$F$2:$F$500,0))="sin dato","",INDEX(CODIFICACION!$E$2:$E$500,MATCH("D8.32|"&amp;CAPTURA!CR101,CODIFICACION!$F$2:$F$500,0))),"⚠"))</f>
        <v/>
      </c>
      <c r="BN101" t="str">
        <f>IF(CAPTURA!CS101="","",IFERROR(IF(INDEX(CODIFICACION!$E$2:$E$500,MATCH("D9.33|"&amp;CAPTURA!CS101,CODIFICACION!$F$2:$F$500,0))="sin dato","",INDEX(CODIFICACION!$E$2:$E$500,MATCH("D9.33|"&amp;CAPTURA!CS101,CODIFICACION!$F$2:$F$500,0))),"⚠"))</f>
        <v/>
      </c>
      <c r="BO101" t="str">
        <f>IF(CAPTURA!CT101="","",IFERROR(IF(INDEX(CODIFICACION!$E$2:$E$500,MATCH("D9.34|"&amp;CAPTURA!CT101,CODIFICACION!$F$2:$F$500,0))="sin dato","",INDEX(CODIFICACION!$E$2:$E$500,MATCH("D9.34|"&amp;CAPTURA!CT101,CODIFICACION!$F$2:$F$500,0))),"⚠"))</f>
        <v/>
      </c>
      <c r="BP101" t="str">
        <f>IF(CAPTURA!CU101="","",IFERROR(IF(INDEX(CODIFICACION!$E$2:$E$500,MATCH("D9.35|"&amp;CAPTURA!CU101,CODIFICACION!$F$2:$F$500,0))="sin dato","",INDEX(CODIFICACION!$E$2:$E$500,MATCH("D9.35|"&amp;CAPTURA!CU101,CODIFICACION!$F$2:$F$500,0))),"⚠"))</f>
        <v/>
      </c>
      <c r="BQ101" t="str">
        <f>IF(CAPTURA!CV101="","",IFERROR(IF(INDEX(CODIFICACION!$E$2:$E$500,MATCH("D10.36|"&amp;CAPTURA!CV101,CODIFICACION!$F$2:$F$500,0))="sin dato","",INDEX(CODIFICACION!$E$2:$E$500,MATCH("D10.36|"&amp;CAPTURA!CV101,CODIFICACION!$F$2:$F$500,0))),"⚠"))</f>
        <v/>
      </c>
      <c r="BR101" t="str">
        <f>IF(CAPTURA!CW101="","",IFERROR(IF(INDEX(CODIFICACION!$E$2:$E$500,MATCH("D10.37|"&amp;CAPTURA!CW101,CODIFICACION!$F$2:$F$500,0))="sin dato","",INDEX(CODIFICACION!$E$2:$E$500,MATCH("D10.37|"&amp;CAPTURA!CW101,CODIFICACION!$F$2:$F$500,0))),"⚠"))</f>
        <v/>
      </c>
      <c r="BS101" t="str">
        <f>IF(CAPTURA!CX101="","",IFERROR(IF(INDEX(CODIFICACION!$E$2:$E$500,MATCH("D10.36a|"&amp;CAPTURA!CX101,CODIFICACION!$F$2:$F$500,0))="sin dato","",INDEX(CODIFICACION!$E$2:$E$500,MATCH("D10.36a|"&amp;CAPTURA!CX101,CODIFICACION!$F$2:$F$500,0))),"⚠"))</f>
        <v/>
      </c>
      <c r="BT101" t="str">
        <f>IF(CAPTURA!CY101="","",IF(ISNUMBER(SEARCH("Ninguno",CAPTURA!CY101)),0,MIN(100,ROUND((LEN(CAPTURA!CY101)-LEN(SUBSTITUTE(CAPTURA!CY101,";",""))+1)/6*100,1))))</f>
        <v/>
      </c>
      <c r="BU101" t="str">
        <f>IF(CAPTURA!DA101="","",IFERROR(IF(INDEX(CODIFICACION!$E$2:$E$500,MATCH("D11.39a|"&amp;CAPTURA!DA101,CODIFICACION!$F$2:$F$500,0))="sin dato","",INDEX(CODIFICACION!$E$2:$E$500,MATCH("D11.39a|"&amp;CAPTURA!DA101,CODIFICACION!$F$2:$F$500,0))),"⚠"))</f>
        <v/>
      </c>
      <c r="BV101" t="str">
        <f>IF(CAPTURA!DB101="","",IFERROR(IF(INDEX(CODIFICACION!$E$2:$E$500,MATCH("D12.42|"&amp;CAPTURA!DB101,CODIFICACION!$F$2:$F$500,0))="sin dato","",INDEX(CODIFICACION!$E$2:$E$500,MATCH("D12.42|"&amp;CAPTURA!DB101,CODIFICACION!$F$2:$F$500,0))),"⚠"))</f>
        <v/>
      </c>
      <c r="BW101" t="str">
        <f>IF(CAPTURA!DC101="","",IFERROR(IF(INDEX(CODIFICACION!$E$2:$E$500,MATCH("D13.45|"&amp;CAPTURA!DC101,CODIFICACION!$F$2:$F$500,0))="sin dato","",INDEX(CODIFICACION!$E$2:$E$500,MATCH("D13.45|"&amp;CAPTURA!DC101,CODIFICACION!$F$2:$F$500,0))),"⚠"))</f>
        <v/>
      </c>
      <c r="BX101" t="str">
        <f>IF(CAPTURA!DD101="","",IFERROR(IF(INDEX(CODIFICACION!$E$2:$E$500,MATCH("D14.51|"&amp;CAPTURA!DD101,CODIFICACION!$F$2:$F$500,0))="sin dato","",INDEX(CODIFICACION!$E$2:$E$500,MATCH("D14.51|"&amp;CAPTURA!DD101,CODIFICACION!$F$2:$F$500,0))),"⚠"))</f>
        <v/>
      </c>
      <c r="BY101" t="str">
        <f>IF(CAPTURA!DE101="","",IFERROR(IF(INDEX(CODIFICACION!$E$2:$E$500,MATCH("D15.58|"&amp;CAPTURA!DE101,CODIFICACION!$F$2:$F$500,0))="sin dato","",INDEX(CODIFICACION!$E$2:$E$500,MATCH("D15.58|"&amp;CAPTURA!DE101,CODIFICACION!$F$2:$F$500,0))),"⚠"))</f>
        <v/>
      </c>
      <c r="BZ101" t="str">
        <f>IF(CAPTURA!DF101="","",IFERROR(IF(INDEX(CODIFICACION!$E$2:$E$500,MATCH("PP1|"&amp;CAPTURA!DF101,CODIFICACION!$F$2:$F$500,0))="sin dato","",INDEX(CODIFICACION!$E$2:$E$500,MATCH("PP1|"&amp;CAPTURA!DF101,CODIFICACION!$F$2:$F$500,0))),"⚠"))</f>
        <v/>
      </c>
      <c r="CA101" t="str">
        <f>IF(CAPTURA!DG101="","",IFERROR(IF(INDEX(CODIFICACION!$E$2:$E$500,MATCH("PP2|"&amp;CAPTURA!DG101,CODIFICACION!$F$2:$F$500,0))="sin dato","",INDEX(CODIFICACION!$E$2:$E$500,MATCH("PP2|"&amp;CAPTURA!DG101,CODIFICACION!$F$2:$F$500,0))),"⚠"))</f>
        <v/>
      </c>
      <c r="CB101" t="str">
        <f t="shared" si="33"/>
        <v/>
      </c>
      <c r="CC101" t="str">
        <f t="shared" si="34"/>
        <v/>
      </c>
      <c r="CD101" t="str">
        <f t="shared" si="35"/>
        <v/>
      </c>
      <c r="CE101" t="str">
        <f t="shared" si="36"/>
        <v/>
      </c>
      <c r="CF101" t="str">
        <f t="shared" si="37"/>
        <v/>
      </c>
      <c r="CG101" t="str">
        <f t="shared" si="38"/>
        <v/>
      </c>
      <c r="CH101" t="str">
        <f t="shared" si="39"/>
        <v/>
      </c>
      <c r="CI101" t="str">
        <f t="shared" si="40"/>
        <v/>
      </c>
      <c r="CJ101" t="str">
        <f t="shared" si="41"/>
        <v/>
      </c>
      <c r="CK101" t="str">
        <f t="shared" si="42"/>
        <v/>
      </c>
      <c r="CL101" t="str">
        <f t="shared" si="43"/>
        <v/>
      </c>
    </row>
    <row r="102" spans="1:90" x14ac:dyDescent="0.3">
      <c r="A102">
        <f>CAPTURA!A102</f>
        <v>20600010086</v>
      </c>
      <c r="B102">
        <f>CAPTURA!C102</f>
        <v>0</v>
      </c>
      <c r="C102" t="str">
        <f>IF(CAPTURA!M102="","",ROUND((ISNUMBER(SEARCH("Alemania",CAPTURA!M102))+ISNUMBER(SEARCH("Bélgica",CAPTURA!M102))+ISNUMBER(SEARCH("Países Bajos",CAPTURA!M102))+ISNUMBER(SEARCH("Francia",CAPTURA!M102))+ISNUMBER(SEARCH("Italia",CAPTURA!M102))+ISNUMBER(SEARCH("España",CAPTURA!M102))+ISNUMBER(SEARCH("Suecia",CAPTURA!M102))+ISNUMBER(SEARCH("Dinamarca",CAPTURA!M102)))/((LEN(CAPTURA!M102)-LEN(SUBSTITUTE(CAPTURA!M102,";","")))+1)*100,1))</f>
        <v/>
      </c>
      <c r="D102" t="str">
        <f>IF(CAPTURA!AE102="","",IFERROR(IF(INDEX(CODIFICACION!$E$2:$E$500,MATCH("P8|"&amp;CAPTURA!AE102,CODIFICACION!$F$2:$F$500,0))="sin dato","",INDEX(CODIFICACION!$E$2:$E$500,MATCH("P8|"&amp;CAPTURA!AE102,CODIFICACION!$F$2:$F$500,0))),"⚠"))</f>
        <v/>
      </c>
      <c r="E102" t="str">
        <f>IF(CAPTURA!AG102="","",IFERROR(IF(INDEX(CODIFICACION!$E$2:$E$500,MATCH("P10|"&amp;CAPTURA!AG102,CODIFICACION!$F$2:$F$500,0))="sin dato","",INDEX(CODIFICACION!$E$2:$E$500,MATCH("P10|"&amp;CAPTURA!AG102,CODIFICACION!$F$2:$F$500,0))),"⚠"))</f>
        <v/>
      </c>
      <c r="F102" t="str">
        <f>IF(CAPTURA!AJ102="","",IFERROR(IF(INDEX(CODIFICACION!$E$2:$E$500,MATCH("P13|"&amp;CAPTURA!AJ102,CODIFICACION!$F$2:$F$500,0))="sin dato","",INDEX(CODIFICACION!$E$2:$E$500,MATCH("P13|"&amp;CAPTURA!AJ102,CODIFICACION!$F$2:$F$500,0))),"⚠"))</f>
        <v/>
      </c>
      <c r="G102" t="str">
        <f>IF(CAPTURA!AK102="","",IFERROR(IF(INDEX(CODIFICACION!$E$2:$E$500,MATCH("P14|"&amp;CAPTURA!AK102,CODIFICACION!$F$2:$F$500,0))="sin dato","",INDEX(CODIFICACION!$E$2:$E$500,MATCH("P14|"&amp;CAPTURA!AK102,CODIFICACION!$F$2:$F$500,0))),"⚠"))</f>
        <v/>
      </c>
      <c r="H102" t="str">
        <f>IF(CAPTURA!AL102="","",IFERROR(IF(INDEX(CODIFICACION!$E$2:$E$500,MATCH("D1.1|"&amp;CAPTURA!AL102,CODIFICACION!$F$2:$F$500,0))="sin dato","",INDEX(CODIFICACION!$E$2:$E$500,MATCH("D1.1|"&amp;CAPTURA!AL102,CODIFICACION!$F$2:$F$500,0))),"⚠"))</f>
        <v/>
      </c>
      <c r="I102" t="str">
        <f>IF(CAPTURA!AN102="","",IFERROR(IF(INDEX(CODIFICACION!$E$2:$E$500,MATCH("D1.3|"&amp;CAPTURA!AN102,CODIFICACION!$F$2:$F$500,0))="sin dato","",INDEX(CODIFICACION!$E$2:$E$500,MATCH("D1.3|"&amp;CAPTURA!AN102,CODIFICACION!$F$2:$F$500,0))),"⚠"))</f>
        <v/>
      </c>
      <c r="J102" t="str">
        <f>IF(CAPTURA!AO102="","",IFERROR(IF(INDEX(CODIFICACION!$E$2:$E$500,MATCH("D1.4|"&amp;CAPTURA!AO102,CODIFICACION!$F$2:$F$500,0))="sin dato","",INDEX(CODIFICACION!$E$2:$E$500,MATCH("D1.4|"&amp;CAPTURA!AO102,CODIFICACION!$F$2:$F$500,0))),"⚠"))</f>
        <v/>
      </c>
      <c r="K102" t="str">
        <f>IF(CAPTURA!AP102="","",IFERROR(IF(INDEX(CODIFICACION!$E$2:$E$500,MATCH("D1.3a|"&amp;CAPTURA!AP102,CODIFICACION!$F$2:$F$500,0))="sin dato","",INDEX(CODIFICACION!$E$2:$E$500,MATCH("D1.3a|"&amp;CAPTURA!AP102,CODIFICACION!$F$2:$F$500,0))),"⚠"))</f>
        <v/>
      </c>
      <c r="L102" t="str">
        <f>IF(CAPTURA!AQ102="","",IF(AND(ISNUMBER(CAPTURA!AQ102),CAPTURA!AQ102&gt;=0,CAPTURA!AQ102&lt;=4),CAPTURA!AQ102*25,"⚠"))</f>
        <v/>
      </c>
      <c r="M102" t="str">
        <f>IF(CAPTURA!AR102="","",IF(ISNUMBER(CAPTURA!AR102),MAX(0,MIN(100,CAPTURA!AR102)),"⚠"))</f>
        <v/>
      </c>
      <c r="N102" t="str">
        <f>IF(CAPTURA!AS102="","",IF(AND(ISNUMBER(CAPTURA!AS102),CAPTURA!AS102&gt;=0,CAPTURA!AS102&lt;=4),CAPTURA!AS102*25,"⚠"))</f>
        <v/>
      </c>
      <c r="O102" t="str">
        <f>IF(CAPTURA!AT102="","",IFERROR(IF(INDEX(CODIFICACION!$E$2:$E$500,MATCH("D2.8|"&amp;CAPTURA!AT102,CODIFICACION!$F$2:$F$500,0))="sin dato","",INDEX(CODIFICACION!$E$2:$E$500,MATCH("D2.8|"&amp;CAPTURA!AT102,CODIFICACION!$F$2:$F$500,0))),"⚠"))</f>
        <v/>
      </c>
      <c r="P102" t="str">
        <f>IF(CAPTURA!AU102="","",IFERROR(IF(INDEX(CODIFICACION!$E$2:$E$500,MATCH("D2.9|"&amp;CAPTURA!AU102,CODIFICACION!$F$2:$F$500,0))="sin dato","",INDEX(CODIFICACION!$E$2:$E$500,MATCH("D2.9|"&amp;CAPTURA!AU102,CODIFICACION!$F$2:$F$500,0))),"⚠"))</f>
        <v/>
      </c>
      <c r="Q102" t="str">
        <f>IF(CAPTURA!AV102="","",IFERROR(IF(INDEX(CODIFICACION!$E$2:$E$500,MATCH("D2.10|"&amp;CAPTURA!AV102,CODIFICACION!$F$2:$F$500,0))="sin dato","",INDEX(CODIFICACION!$E$2:$E$500,MATCH("D2.10|"&amp;CAPTURA!AV102,CODIFICACION!$F$2:$F$500,0))),"⚠"))</f>
        <v/>
      </c>
      <c r="R102" t="str">
        <f>IF(CAPTURA!AW102="","",IFERROR(IF(INDEX(CODIFICACION!$E$2:$E$500,MATCH("D2.5a|"&amp;CAPTURA!AW102,CODIFICACION!$F$2:$F$500,0))="sin dato","",INDEX(CODIFICACION!$E$2:$E$500,MATCH("D2.5a|"&amp;CAPTURA!AW102,CODIFICACION!$F$2:$F$500,0))),"⚠"))</f>
        <v/>
      </c>
      <c r="S102" t="str">
        <f>IF(CAPTURA!AX102="","",IFERROR(IF(INDEX(CODIFICACION!$E$2:$E$500,MATCH("D2.5b|"&amp;CAPTURA!AX102,CODIFICACION!$F$2:$F$500,0))="sin dato","",INDEX(CODIFICACION!$E$2:$E$500,MATCH("D2.5b|"&amp;CAPTURA!AX102,CODIFICACION!$F$2:$F$500,0))),"⚠"))</f>
        <v/>
      </c>
      <c r="T102" t="str">
        <f>IF(CAPTURA!AY102="","",IF(ISNUMBER(CAPTURA!AY102),MAX(0,MIN(100,CAPTURA!AY102)),"⚠"))</f>
        <v/>
      </c>
      <c r="U102" t="str">
        <f>IF(CAPTURA!AZ102="","",IFERROR(IF(INDEX(CODIFICACION!$E$2:$E$500,MATCH("D3.12|"&amp;CAPTURA!AZ102,CODIFICACION!$F$2:$F$500,0))="sin dato","",INDEX(CODIFICACION!$E$2:$E$500,MATCH("D3.12|"&amp;CAPTURA!AZ102,CODIFICACION!$F$2:$F$500,0))),"⚠"))</f>
        <v/>
      </c>
      <c r="V102" t="str">
        <f>IF(CAPTURA!BA102="","",IF(AND(ISNUMBER(CAPTURA!BA102),CAPTURA!BA102&gt;=0,CAPTURA!BA102&lt;=4),CAPTURA!BA102*25,"⚠"))</f>
        <v/>
      </c>
      <c r="W102" t="str">
        <f>IF(CAPTURA!BB102="","",IFERROR(IF(INDEX(CODIFICACION!$E$2:$E$500,MATCH("D3.14|"&amp;CAPTURA!BB102,CODIFICACION!$F$2:$F$500,0))="sin dato","",INDEX(CODIFICACION!$E$2:$E$500,MATCH("D3.14|"&amp;CAPTURA!BB102,CODIFICACION!$F$2:$F$500,0))),"⚠"))</f>
        <v/>
      </c>
      <c r="X102" t="str">
        <f>IF(CAPTURA!BC102="","",IFERROR(IF(INDEX(CODIFICACION!$E$2:$E$500,MATCH("D3.14a|"&amp;CAPTURA!BC102,CODIFICACION!$F$2:$F$500,0))="sin dato","",INDEX(CODIFICACION!$E$2:$E$500,MATCH("D3.14a|"&amp;CAPTURA!BC102,CODIFICACION!$F$2:$F$500,0))),"⚠"))</f>
        <v/>
      </c>
      <c r="Y102" t="str">
        <f>IF(CAPTURA!BD102="","",IFERROR(IF(INDEX(CODIFICACION!$E$2:$E$500,MATCH("D3.14b|"&amp;CAPTURA!BD102,CODIFICACION!$F$2:$F$500,0))="sin dato","",INDEX(CODIFICACION!$E$2:$E$500,MATCH("D3.14b|"&amp;CAPTURA!BD102,CODIFICACION!$F$2:$F$500,0))),"⚠"))</f>
        <v/>
      </c>
      <c r="Z102" t="str">
        <f>IF(CAPTURA!BE102="","",IFERROR(IF(INDEX(CODIFICACION!$E$2:$E$500,MATCH("D3.14c|"&amp;CAPTURA!BE102,CODIFICACION!$F$2:$F$500,0))="sin dato","",INDEX(CODIFICACION!$E$2:$E$500,MATCH("D3.14c|"&amp;CAPTURA!BE102,CODIFICACION!$F$2:$F$500,0))),"⚠"))</f>
        <v/>
      </c>
      <c r="AA102" t="str">
        <f>IF(CAPTURA!BF102="","",IFERROR(IF(INDEX(CODIFICACION!$E$2:$E$500,MATCH("D3.14d|"&amp;CAPTURA!BF102,CODIFICACION!$F$2:$F$500,0))="sin dato","",INDEX(CODIFICACION!$E$2:$E$500,MATCH("D3.14d|"&amp;CAPTURA!BF102,CODIFICACION!$F$2:$F$500,0))),"⚠"))</f>
        <v/>
      </c>
      <c r="AB102" t="str">
        <f>IF(CAPTURA!BG102="","",IFERROR(IF(INDEX(CODIFICACION!$E$2:$E$500,MATCH("D3.14e|"&amp;CAPTURA!BG102,CODIFICACION!$F$2:$F$500,0))="sin dato","",INDEX(CODIFICACION!$E$2:$E$500,MATCH("D3.14e|"&amp;CAPTURA!BG102,CODIFICACION!$F$2:$F$500,0))),"⚠"))</f>
        <v/>
      </c>
      <c r="AC102" t="str">
        <f>IF(CAPTURA!BH102="","",IFERROR(IF(INDEX(CODIFICACION!$E$2:$E$500,MATCH("D3.14f|"&amp;CAPTURA!BH102,CODIFICACION!$F$2:$F$500,0))="sin dato","",INDEX(CODIFICACION!$E$2:$E$500,MATCH("D3.14f|"&amp;CAPTURA!BH102,CODIFICACION!$F$2:$F$500,0))),"⚠"))</f>
        <v/>
      </c>
      <c r="AD102" t="str">
        <f>IF(CAPTURA!BI102="","",IFERROR(IF(INDEX(CODIFICACION!$E$2:$E$500,MATCH("D3.14g|"&amp;CAPTURA!BI102,CODIFICACION!$F$2:$F$500,0))="sin dato","",INDEX(CODIFICACION!$E$2:$E$500,MATCH("D3.14g|"&amp;CAPTURA!BI102,CODIFICACION!$F$2:$F$500,0))),"⚠"))</f>
        <v/>
      </c>
      <c r="AE102" t="str">
        <f>IF(CAPTURA!BJ102="","",IFERROR(IF(INDEX(CODIFICACION!$E$2:$E$500,MATCH("D3.14h|"&amp;CAPTURA!BJ102,CODIFICACION!$F$2:$F$500,0))="sin dato","",INDEX(CODIFICACION!$E$2:$E$500,MATCH("D3.14h|"&amp;CAPTURA!BJ102,CODIFICACION!$F$2:$F$500,0))),"⚠"))</f>
        <v/>
      </c>
      <c r="AF102" t="str">
        <f>IF(CAPTURA!BK102="","",IFERROR(IF(INDEX(CODIFICACION!$E$2:$E$500,MATCH("D3.14i|"&amp;CAPTURA!BK102,CODIFICACION!$F$2:$F$500,0))="sin dato","",INDEX(CODIFICACION!$E$2:$E$500,MATCH("D3.14i|"&amp;CAPTURA!BK102,CODIFICACION!$F$2:$F$500,0))),"⚠"))</f>
        <v/>
      </c>
      <c r="AG102" t="str">
        <f>IF(CAPTURA!BL102="","",IFERROR(IF(INDEX(CODIFICACION!$E$2:$E$500,MATCH("D4.15|"&amp;CAPTURA!BL102,CODIFICACION!$F$2:$F$500,0))="sin dato","",INDEX(CODIFICACION!$E$2:$E$500,MATCH("D4.15|"&amp;CAPTURA!BL102,CODIFICACION!$F$2:$F$500,0))),"⚠"))</f>
        <v/>
      </c>
      <c r="AH102" t="str">
        <f>IF(CAPTURA!BM102="","",IF(AND(ISNUMBER(CAPTURA!BM102),CAPTURA!BM102&gt;=0,CAPTURA!BM102&lt;=4),CAPTURA!BM102*25,"⚠"))</f>
        <v/>
      </c>
      <c r="AI102" t="str">
        <f>IF(CAPTURA!BN102="","",IFERROR(IF(INDEX(CODIFICACION!$E$2:$E$500,MATCH("D4.17|"&amp;CAPTURA!BN102,CODIFICACION!$F$2:$F$500,0))="sin dato","",INDEX(CODIFICACION!$E$2:$E$500,MATCH("D4.17|"&amp;CAPTURA!BN102,CODIFICACION!$F$2:$F$500,0))),"⚠"))</f>
        <v/>
      </c>
      <c r="AJ102" t="str">
        <f>IF(CAPTURA!BO102="","",IFERROR(IF(INDEX(CODIFICACION!$E$2:$E$500,MATCH("D4.15a|"&amp;CAPTURA!BO102,CODIFICACION!$F$2:$F$500,0))="sin dato","",INDEX(CODIFICACION!$E$2:$E$500,MATCH("D4.15a|"&amp;CAPTURA!BO102,CODIFICACION!$F$2:$F$500,0))),"⚠"))</f>
        <v/>
      </c>
      <c r="AK102" t="str">
        <f>IF(CAPTURA!BP102="","",IF(AND(ISNUMBER(CAPTURA!BP102),CAPTURA!BP102&gt;=0,CAPTURA!BP102&lt;=4),CAPTURA!BP102*25,"⚠"))</f>
        <v/>
      </c>
      <c r="AL102" t="str">
        <f>IF(CAPTURA!BQ102="","",IF(AND(ISNUMBER(CAPTURA!BQ102),CAPTURA!BQ102&gt;=0,CAPTURA!BQ102&lt;=4),CAPTURA!BQ102*25,"⚠"))</f>
        <v/>
      </c>
      <c r="AM102" t="str">
        <f>IF(CAPTURA!BR102="","",IFERROR(IF(INDEX(CODIFICACION!$E$2:$E$500,MATCH("D5.18b|"&amp;CAPTURA!BR102,CODIFICACION!$F$2:$F$500,0))="sin dato","",INDEX(CODIFICACION!$E$2:$E$500,MATCH("D5.18b|"&amp;CAPTURA!BR102,CODIFICACION!$F$2:$F$500,0))),"⚠"))</f>
        <v/>
      </c>
      <c r="AN102" t="str">
        <f>IF(CAPTURA!BS102="","",IFERROR(IF(INDEX(CODIFICACION!$E$2:$E$500,MATCH("D5.19|"&amp;CAPTURA!BS102,CODIFICACION!$F$2:$F$500,0))="sin dato","",INDEX(CODIFICACION!$E$2:$E$500,MATCH("D5.19|"&amp;CAPTURA!BS102,CODIFICACION!$F$2:$F$500,0))),"⚠"))</f>
        <v/>
      </c>
      <c r="AO102" t="str">
        <f>IF(CAPTURA!BT102="","",MIN(100,ROUND((LEN(CAPTURA!BT102)-LEN(SUBSTITUTE(CAPTURA!BT102,";",""))+1)/7*100,1)))</f>
        <v/>
      </c>
      <c r="AP102" t="str">
        <f>IF(CAPTURA!BU102="","",IFERROR(IF(INDEX(CODIFICACION!$E$2:$E$500,MATCH("D5.20|"&amp;CAPTURA!BU102,CODIFICACION!$F$2:$F$500,0))="sin dato","",INDEX(CODIFICACION!$E$2:$E$500,MATCH("D5.20|"&amp;CAPTURA!BU102,CODIFICACION!$F$2:$F$500,0))),"⚠"))</f>
        <v/>
      </c>
      <c r="AQ102" t="str">
        <f>IF(CAPTURA!BV102="","",IFERROR(IF(INDEX(CODIFICACION!$E$2:$E$500,MATCH("D5.21|"&amp;CAPTURA!BV102,CODIFICACION!$F$2:$F$500,0))="sin dato","",INDEX(CODIFICACION!$E$2:$E$500,MATCH("D5.21|"&amp;CAPTURA!BV102,CODIFICACION!$F$2:$F$500,0))),"⚠"))</f>
        <v/>
      </c>
      <c r="AR102" t="str">
        <f>IF(CAPTURA!BW102="","",IFERROR(IF(INDEX(CODIFICACION!$E$2:$E$500,MATCH("D5.21a|"&amp;CAPTURA!BW102,CODIFICACION!$F$2:$F$500,0))="sin dato","",INDEX(CODIFICACION!$E$2:$E$500,MATCH("D5.21a|"&amp;CAPTURA!BW102,CODIFICACION!$F$2:$F$500,0))),"⚠"))</f>
        <v/>
      </c>
      <c r="AS102" t="str">
        <f>IF(CAPTURA!BX102="","",IFERROR(IF(INDEX(CODIFICACION!$E$2:$E$500,MATCH("D5.21b|"&amp;CAPTURA!BX102,CODIFICACION!$F$2:$F$500,0))="sin dato","",INDEX(CODIFICACION!$E$2:$E$500,MATCH("D5.21b|"&amp;CAPTURA!BX102,CODIFICACION!$F$2:$F$500,0))),"⚠"))</f>
        <v/>
      </c>
      <c r="AT102" t="str">
        <f>IF(CAPTURA!BY102="","",IFERROR(IF(INDEX(CODIFICACION!$E$2:$E$500,MATCH("D6.22|"&amp;CAPTURA!BY102,CODIFICACION!$F$2:$F$500,0))="sin dato","",INDEX(CODIFICACION!$E$2:$E$500,MATCH("D6.22|"&amp;CAPTURA!BY102,CODIFICACION!$F$2:$F$500,0))),"⚠"))</f>
        <v/>
      </c>
      <c r="AU102" t="str">
        <f>IF(CAPTURA!BZ102="","",IFERROR(IF(INDEX(CODIFICACION!$E$2:$E$500,MATCH("D6.22a|"&amp;CAPTURA!BZ102,CODIFICACION!$F$2:$F$500,0))="sin dato","",INDEX(CODIFICACION!$E$2:$E$500,MATCH("D6.22a|"&amp;CAPTURA!BZ102,CODIFICACION!$F$2:$F$500,0))),"⚠"))</f>
        <v/>
      </c>
      <c r="AV102" t="str">
        <f>IF(CAPTURA!CA102="","",IFERROR(IF(INDEX(CODIFICACION!$E$2:$E$500,MATCH("D6.22b|"&amp;CAPTURA!CA102,CODIFICACION!$F$2:$F$500,0))="sin dato","",INDEX(CODIFICACION!$E$2:$E$500,MATCH("D6.22b|"&amp;CAPTURA!CA102,CODIFICACION!$F$2:$F$500,0))),"⚠"))</f>
        <v/>
      </c>
      <c r="AW102" t="str">
        <f>IF(CAPTURA!CB102="","",IFERROR(IF(INDEX(CODIFICACION!$E$2:$E$500,MATCH("D6.23|"&amp;CAPTURA!CB102,CODIFICACION!$F$2:$F$500,0))="sin dato","",INDEX(CODIFICACION!$E$2:$E$500,MATCH("D6.23|"&amp;CAPTURA!CB102,CODIFICACION!$F$2:$F$500,0))),"⚠"))</f>
        <v/>
      </c>
      <c r="AX102" t="str">
        <f>IF(CAPTURA!CC102="","",IFERROR(IF(INDEX(CODIFICACION!$E$2:$E$500,MATCH("D6.24|"&amp;CAPTURA!CC102,CODIFICACION!$F$2:$F$500,0))="sin dato","",INDEX(CODIFICACION!$E$2:$E$500,MATCH("D6.24|"&amp;CAPTURA!CC102,CODIFICACION!$F$2:$F$500,0))),"⚠"))</f>
        <v/>
      </c>
      <c r="AY102" t="str">
        <f>IF(CAPTURA!CD102="","",IFERROR(IF(INDEX(CODIFICACION!$E$2:$E$500,MATCH("D6.25|"&amp;CAPTURA!CD102,CODIFICACION!$F$2:$F$500,0))="sin dato","",INDEX(CODIFICACION!$E$2:$E$500,MATCH("D6.25|"&amp;CAPTURA!CD102,CODIFICACION!$F$2:$F$500,0))),"⚠"))</f>
        <v/>
      </c>
      <c r="AZ102" t="str">
        <f>IF(CAPTURA!CE102="","",IFERROR(IF(INDEX(CODIFICACION!$E$2:$E$500,MATCH("D6.25a|"&amp;CAPTURA!CE102,CODIFICACION!$F$2:$F$500,0))="sin dato","",INDEX(CODIFICACION!$E$2:$E$500,MATCH("D6.25a|"&amp;CAPTURA!CE102,CODIFICACION!$F$2:$F$500,0))),"⚠"))</f>
        <v/>
      </c>
      <c r="BA102" t="str">
        <f>IF(CAPTURA!CF102="","",IFERROR(IF(INDEX(CODIFICACION!$E$2:$E$500,MATCH("D6.25b|"&amp;CAPTURA!CF102,CODIFICACION!$F$2:$F$500,0))="sin dato","",INDEX(CODIFICACION!$E$2:$E$500,MATCH("D6.25b|"&amp;CAPTURA!CF102,CODIFICACION!$F$2:$F$500,0))),"⚠"))</f>
        <v/>
      </c>
      <c r="BB102" t="str">
        <f>IF(CAPTURA!CG102="","",IFERROR(IF(INDEX(CODIFICACION!$E$2:$E$500,MATCH("D6.22c|"&amp;CAPTURA!CG102,CODIFICACION!$F$2:$F$500,0))="sin dato","",INDEX(CODIFICACION!$E$2:$E$500,MATCH("D6.22c|"&amp;CAPTURA!CG102,CODIFICACION!$F$2:$F$500,0))),"⚠"))</f>
        <v/>
      </c>
      <c r="BC102" t="str">
        <f>IF(CAPTURA!CH102="","",IFERROR(IF(INDEX(CODIFICACION!$E$2:$E$500,MATCH("D7.26|"&amp;CAPTURA!CH102,CODIFICACION!$F$2:$F$500,0))="sin dato","",INDEX(CODIFICACION!$E$2:$E$500,MATCH("D7.26|"&amp;CAPTURA!CH102,CODIFICACION!$F$2:$F$500,0))),"⚠"))</f>
        <v/>
      </c>
      <c r="BD102" t="str">
        <f>IF(CAPTURA!CI102="","",IFERROR(IF(INDEX(CODIFICACION!$E$2:$E$500,MATCH("D7.27|"&amp;CAPTURA!CI102,CODIFICACION!$F$2:$F$500,0))="sin dato","",INDEX(CODIFICACION!$E$2:$E$500,MATCH("D7.27|"&amp;CAPTURA!CI102,CODIFICACION!$F$2:$F$500,0))),"⚠"))</f>
        <v/>
      </c>
      <c r="BE102" t="str">
        <f>IF(CAPTURA!CJ102="","",IFERROR(IF(INDEX(CODIFICACION!$E$2:$E$500,MATCH("D7.28|"&amp;CAPTURA!CJ102,CODIFICACION!$F$2:$F$500,0))="sin dato","",INDEX(CODIFICACION!$E$2:$E$500,MATCH("D7.28|"&amp;CAPTURA!CJ102,CODIFICACION!$F$2:$F$500,0))),"⚠"))</f>
        <v/>
      </c>
      <c r="BF102" t="str">
        <f>IF(CAPTURA!CK102="","",IFERROR(IF(INDEX(CODIFICACION!$E$2:$E$500,MATCH("D7.28b|"&amp;CAPTURA!CK102,CODIFICACION!$F$2:$F$500,0))="sin dato","",INDEX(CODIFICACION!$E$2:$E$500,MATCH("D7.28b|"&amp;CAPTURA!CK102,CODIFICACION!$F$2:$F$500,0))),"⚠"))</f>
        <v/>
      </c>
      <c r="BG102" t="str">
        <f>IF(CAPTURA!CL102="","",MIN(100,ROUND((LEN(CAPTURA!CL102)-LEN(SUBSTITUTE(CAPTURA!CL102,";",""))+1)/8*100,1)))</f>
        <v/>
      </c>
      <c r="BH102" t="str">
        <f>IF(CAPTURA!CM102="","",IFERROR(IF(INDEX(CODIFICACION!$E$2:$E$500,MATCH("D7.26a|"&amp;CAPTURA!CM102,CODIFICACION!$F$2:$F$500,0))="sin dato","",INDEX(CODIFICACION!$E$2:$E$500,MATCH("D7.26a|"&amp;CAPTURA!CM102,CODIFICACION!$F$2:$F$500,0))),"⚠"))</f>
        <v/>
      </c>
      <c r="BI102" t="str">
        <f>IF(CAPTURA!CN102="","",IFERROR(IF(INDEX(CODIFICACION!$E$2:$E$500,MATCH("D7.26b|"&amp;CAPTURA!CN102,CODIFICACION!$F$2:$F$500,0))="sin dato","",INDEX(CODIFICACION!$E$2:$E$500,MATCH("D7.26b|"&amp;CAPTURA!CN102,CODIFICACION!$F$2:$F$500,0))),"⚠"))</f>
        <v/>
      </c>
      <c r="BJ102" t="str">
        <f>IF(CAPTURA!CO102="","",IF(AND(ISNUMBER(CAPTURA!CO102),CAPTURA!CO102&gt;=0,CAPTURA!CO102&lt;=4),CAPTURA!CO102*25,"⚠"))</f>
        <v/>
      </c>
      <c r="BK102" t="str">
        <f>IF(CAPTURA!CP102="","",IF(ISNUMBER(CAPTURA!CP102),MAX(0,MIN(100,CAPTURA!CP102)),"⚠"))</f>
        <v/>
      </c>
      <c r="BL102" t="str">
        <f>IF(CAPTURA!CQ102="","",IFERROR(IF(INDEX(CODIFICACION!$E$2:$E$500,MATCH("D8.31|"&amp;CAPTURA!CQ102,CODIFICACION!$F$2:$F$500,0))="sin dato","",INDEX(CODIFICACION!$E$2:$E$500,MATCH("D8.31|"&amp;CAPTURA!CQ102,CODIFICACION!$F$2:$F$500,0))),"⚠"))</f>
        <v/>
      </c>
      <c r="BM102" t="str">
        <f>IF(CAPTURA!CR102="","",IFERROR(IF(INDEX(CODIFICACION!$E$2:$E$500,MATCH("D8.32|"&amp;CAPTURA!CR102,CODIFICACION!$F$2:$F$500,0))="sin dato","",INDEX(CODIFICACION!$E$2:$E$500,MATCH("D8.32|"&amp;CAPTURA!CR102,CODIFICACION!$F$2:$F$500,0))),"⚠"))</f>
        <v/>
      </c>
      <c r="BN102" t="str">
        <f>IF(CAPTURA!CS102="","",IFERROR(IF(INDEX(CODIFICACION!$E$2:$E$500,MATCH("D9.33|"&amp;CAPTURA!CS102,CODIFICACION!$F$2:$F$500,0))="sin dato","",INDEX(CODIFICACION!$E$2:$E$500,MATCH("D9.33|"&amp;CAPTURA!CS102,CODIFICACION!$F$2:$F$500,0))),"⚠"))</f>
        <v/>
      </c>
      <c r="BO102" t="str">
        <f>IF(CAPTURA!CT102="","",IFERROR(IF(INDEX(CODIFICACION!$E$2:$E$500,MATCH("D9.34|"&amp;CAPTURA!CT102,CODIFICACION!$F$2:$F$500,0))="sin dato","",INDEX(CODIFICACION!$E$2:$E$500,MATCH("D9.34|"&amp;CAPTURA!CT102,CODIFICACION!$F$2:$F$500,0))),"⚠"))</f>
        <v/>
      </c>
      <c r="BP102" t="str">
        <f>IF(CAPTURA!CU102="","",IFERROR(IF(INDEX(CODIFICACION!$E$2:$E$500,MATCH("D9.35|"&amp;CAPTURA!CU102,CODIFICACION!$F$2:$F$500,0))="sin dato","",INDEX(CODIFICACION!$E$2:$E$500,MATCH("D9.35|"&amp;CAPTURA!CU102,CODIFICACION!$F$2:$F$500,0))),"⚠"))</f>
        <v/>
      </c>
      <c r="BQ102" t="str">
        <f>IF(CAPTURA!CV102="","",IFERROR(IF(INDEX(CODIFICACION!$E$2:$E$500,MATCH("D10.36|"&amp;CAPTURA!CV102,CODIFICACION!$F$2:$F$500,0))="sin dato","",INDEX(CODIFICACION!$E$2:$E$500,MATCH("D10.36|"&amp;CAPTURA!CV102,CODIFICACION!$F$2:$F$500,0))),"⚠"))</f>
        <v/>
      </c>
      <c r="BR102" t="str">
        <f>IF(CAPTURA!CW102="","",IFERROR(IF(INDEX(CODIFICACION!$E$2:$E$500,MATCH("D10.37|"&amp;CAPTURA!CW102,CODIFICACION!$F$2:$F$500,0))="sin dato","",INDEX(CODIFICACION!$E$2:$E$500,MATCH("D10.37|"&amp;CAPTURA!CW102,CODIFICACION!$F$2:$F$500,0))),"⚠"))</f>
        <v/>
      </c>
      <c r="BS102" t="str">
        <f>IF(CAPTURA!CX102="","",IFERROR(IF(INDEX(CODIFICACION!$E$2:$E$500,MATCH("D10.36a|"&amp;CAPTURA!CX102,CODIFICACION!$F$2:$F$500,0))="sin dato","",INDEX(CODIFICACION!$E$2:$E$500,MATCH("D10.36a|"&amp;CAPTURA!CX102,CODIFICACION!$F$2:$F$500,0))),"⚠"))</f>
        <v/>
      </c>
      <c r="BT102" t="str">
        <f>IF(CAPTURA!CY102="","",IF(ISNUMBER(SEARCH("Ninguno",CAPTURA!CY102)),0,MIN(100,ROUND((LEN(CAPTURA!CY102)-LEN(SUBSTITUTE(CAPTURA!CY102,";",""))+1)/6*100,1))))</f>
        <v/>
      </c>
      <c r="BU102" t="str">
        <f>IF(CAPTURA!DA102="","",IFERROR(IF(INDEX(CODIFICACION!$E$2:$E$500,MATCH("D11.39a|"&amp;CAPTURA!DA102,CODIFICACION!$F$2:$F$500,0))="sin dato","",INDEX(CODIFICACION!$E$2:$E$500,MATCH("D11.39a|"&amp;CAPTURA!DA102,CODIFICACION!$F$2:$F$500,0))),"⚠"))</f>
        <v/>
      </c>
      <c r="BV102" t="str">
        <f>IF(CAPTURA!DB102="","",IFERROR(IF(INDEX(CODIFICACION!$E$2:$E$500,MATCH("D12.42|"&amp;CAPTURA!DB102,CODIFICACION!$F$2:$F$500,0))="sin dato","",INDEX(CODIFICACION!$E$2:$E$500,MATCH("D12.42|"&amp;CAPTURA!DB102,CODIFICACION!$F$2:$F$500,0))),"⚠"))</f>
        <v/>
      </c>
      <c r="BW102" t="str">
        <f>IF(CAPTURA!DC102="","",IFERROR(IF(INDEX(CODIFICACION!$E$2:$E$500,MATCH("D13.45|"&amp;CAPTURA!DC102,CODIFICACION!$F$2:$F$500,0))="sin dato","",INDEX(CODIFICACION!$E$2:$E$500,MATCH("D13.45|"&amp;CAPTURA!DC102,CODIFICACION!$F$2:$F$500,0))),"⚠"))</f>
        <v/>
      </c>
      <c r="BX102" t="str">
        <f>IF(CAPTURA!DD102="","",IFERROR(IF(INDEX(CODIFICACION!$E$2:$E$500,MATCH("D14.51|"&amp;CAPTURA!DD102,CODIFICACION!$F$2:$F$500,0))="sin dato","",INDEX(CODIFICACION!$E$2:$E$500,MATCH("D14.51|"&amp;CAPTURA!DD102,CODIFICACION!$F$2:$F$500,0))),"⚠"))</f>
        <v/>
      </c>
      <c r="BY102" t="str">
        <f>IF(CAPTURA!DE102="","",IFERROR(IF(INDEX(CODIFICACION!$E$2:$E$500,MATCH("D15.58|"&amp;CAPTURA!DE102,CODIFICACION!$F$2:$F$500,0))="sin dato","",INDEX(CODIFICACION!$E$2:$E$500,MATCH("D15.58|"&amp;CAPTURA!DE102,CODIFICACION!$F$2:$F$500,0))),"⚠"))</f>
        <v/>
      </c>
      <c r="BZ102" t="str">
        <f>IF(CAPTURA!DF102="","",IFERROR(IF(INDEX(CODIFICACION!$E$2:$E$500,MATCH("PP1|"&amp;CAPTURA!DF102,CODIFICACION!$F$2:$F$500,0))="sin dato","",INDEX(CODIFICACION!$E$2:$E$500,MATCH("PP1|"&amp;CAPTURA!DF102,CODIFICACION!$F$2:$F$500,0))),"⚠"))</f>
        <v/>
      </c>
      <c r="CA102" t="str">
        <f>IF(CAPTURA!DG102="","",IFERROR(IF(INDEX(CODIFICACION!$E$2:$E$500,MATCH("PP2|"&amp;CAPTURA!DG102,CODIFICACION!$F$2:$F$500,0))="sin dato","",INDEX(CODIFICACION!$E$2:$E$500,MATCH("PP2|"&amp;CAPTURA!DG102,CODIFICACION!$F$2:$F$500,0))),"⚠"))</f>
        <v/>
      </c>
      <c r="CB102" t="str">
        <f t="shared" si="33"/>
        <v/>
      </c>
      <c r="CC102" t="str">
        <f t="shared" si="34"/>
        <v/>
      </c>
      <c r="CD102" t="str">
        <f t="shared" si="35"/>
        <v/>
      </c>
      <c r="CE102" t="str">
        <f t="shared" si="36"/>
        <v/>
      </c>
      <c r="CF102" t="str">
        <f t="shared" si="37"/>
        <v/>
      </c>
      <c r="CG102" t="str">
        <f t="shared" si="38"/>
        <v/>
      </c>
      <c r="CH102" t="str">
        <f t="shared" si="39"/>
        <v/>
      </c>
      <c r="CI102" t="str">
        <f t="shared" si="40"/>
        <v/>
      </c>
      <c r="CJ102" t="str">
        <f t="shared" si="41"/>
        <v/>
      </c>
      <c r="CK102" t="str">
        <f t="shared" si="42"/>
        <v/>
      </c>
      <c r="CL102" t="str">
        <f t="shared" si="43"/>
        <v/>
      </c>
    </row>
    <row r="103" spans="1:90" x14ac:dyDescent="0.3">
      <c r="A103">
        <f>CAPTURA!A103</f>
        <v>20600029887</v>
      </c>
      <c r="B103">
        <f>CAPTURA!C103</f>
        <v>0</v>
      </c>
      <c r="C103" t="str">
        <f>IF(CAPTURA!M103="","",ROUND((ISNUMBER(SEARCH("Alemania",CAPTURA!M103))+ISNUMBER(SEARCH("Bélgica",CAPTURA!M103))+ISNUMBER(SEARCH("Países Bajos",CAPTURA!M103))+ISNUMBER(SEARCH("Francia",CAPTURA!M103))+ISNUMBER(SEARCH("Italia",CAPTURA!M103))+ISNUMBER(SEARCH("España",CAPTURA!M103))+ISNUMBER(SEARCH("Suecia",CAPTURA!M103))+ISNUMBER(SEARCH("Dinamarca",CAPTURA!M103)))/((LEN(CAPTURA!M103)-LEN(SUBSTITUTE(CAPTURA!M103,";","")))+1)*100,1))</f>
        <v/>
      </c>
      <c r="D103" t="str">
        <f>IF(CAPTURA!AE103="","",IFERROR(IF(INDEX(CODIFICACION!$E$2:$E$500,MATCH("P8|"&amp;CAPTURA!AE103,CODIFICACION!$F$2:$F$500,0))="sin dato","",INDEX(CODIFICACION!$E$2:$E$500,MATCH("P8|"&amp;CAPTURA!AE103,CODIFICACION!$F$2:$F$500,0))),"⚠"))</f>
        <v/>
      </c>
      <c r="E103" t="str">
        <f>IF(CAPTURA!AG103="","",IFERROR(IF(INDEX(CODIFICACION!$E$2:$E$500,MATCH("P10|"&amp;CAPTURA!AG103,CODIFICACION!$F$2:$F$500,0))="sin dato","",INDEX(CODIFICACION!$E$2:$E$500,MATCH("P10|"&amp;CAPTURA!AG103,CODIFICACION!$F$2:$F$500,0))),"⚠"))</f>
        <v/>
      </c>
      <c r="F103" t="str">
        <f>IF(CAPTURA!AJ103="","",IFERROR(IF(INDEX(CODIFICACION!$E$2:$E$500,MATCH("P13|"&amp;CAPTURA!AJ103,CODIFICACION!$F$2:$F$500,0))="sin dato","",INDEX(CODIFICACION!$E$2:$E$500,MATCH("P13|"&amp;CAPTURA!AJ103,CODIFICACION!$F$2:$F$500,0))),"⚠"))</f>
        <v/>
      </c>
      <c r="G103" t="str">
        <f>IF(CAPTURA!AK103="","",IFERROR(IF(INDEX(CODIFICACION!$E$2:$E$500,MATCH("P14|"&amp;CAPTURA!AK103,CODIFICACION!$F$2:$F$500,0))="sin dato","",INDEX(CODIFICACION!$E$2:$E$500,MATCH("P14|"&amp;CAPTURA!AK103,CODIFICACION!$F$2:$F$500,0))),"⚠"))</f>
        <v/>
      </c>
      <c r="H103" t="str">
        <f>IF(CAPTURA!AL103="","",IFERROR(IF(INDEX(CODIFICACION!$E$2:$E$500,MATCH("D1.1|"&amp;CAPTURA!AL103,CODIFICACION!$F$2:$F$500,0))="sin dato","",INDEX(CODIFICACION!$E$2:$E$500,MATCH("D1.1|"&amp;CAPTURA!AL103,CODIFICACION!$F$2:$F$500,0))),"⚠"))</f>
        <v/>
      </c>
      <c r="I103" t="str">
        <f>IF(CAPTURA!AN103="","",IFERROR(IF(INDEX(CODIFICACION!$E$2:$E$500,MATCH("D1.3|"&amp;CAPTURA!AN103,CODIFICACION!$F$2:$F$500,0))="sin dato","",INDEX(CODIFICACION!$E$2:$E$500,MATCH("D1.3|"&amp;CAPTURA!AN103,CODIFICACION!$F$2:$F$500,0))),"⚠"))</f>
        <v/>
      </c>
      <c r="J103" t="str">
        <f>IF(CAPTURA!AO103="","",IFERROR(IF(INDEX(CODIFICACION!$E$2:$E$500,MATCH("D1.4|"&amp;CAPTURA!AO103,CODIFICACION!$F$2:$F$500,0))="sin dato","",INDEX(CODIFICACION!$E$2:$E$500,MATCH("D1.4|"&amp;CAPTURA!AO103,CODIFICACION!$F$2:$F$500,0))),"⚠"))</f>
        <v/>
      </c>
      <c r="K103" t="str">
        <f>IF(CAPTURA!AP103="","",IFERROR(IF(INDEX(CODIFICACION!$E$2:$E$500,MATCH("D1.3a|"&amp;CAPTURA!AP103,CODIFICACION!$F$2:$F$500,0))="sin dato","",INDEX(CODIFICACION!$E$2:$E$500,MATCH("D1.3a|"&amp;CAPTURA!AP103,CODIFICACION!$F$2:$F$500,0))),"⚠"))</f>
        <v/>
      </c>
      <c r="L103" t="str">
        <f>IF(CAPTURA!AQ103="","",IF(AND(ISNUMBER(CAPTURA!AQ103),CAPTURA!AQ103&gt;=0,CAPTURA!AQ103&lt;=4),CAPTURA!AQ103*25,"⚠"))</f>
        <v/>
      </c>
      <c r="M103" t="str">
        <f>IF(CAPTURA!AR103="","",IF(ISNUMBER(CAPTURA!AR103),MAX(0,MIN(100,CAPTURA!AR103)),"⚠"))</f>
        <v/>
      </c>
      <c r="N103" t="str">
        <f>IF(CAPTURA!AS103="","",IF(AND(ISNUMBER(CAPTURA!AS103),CAPTURA!AS103&gt;=0,CAPTURA!AS103&lt;=4),CAPTURA!AS103*25,"⚠"))</f>
        <v/>
      </c>
      <c r="O103" t="str">
        <f>IF(CAPTURA!AT103="","",IFERROR(IF(INDEX(CODIFICACION!$E$2:$E$500,MATCH("D2.8|"&amp;CAPTURA!AT103,CODIFICACION!$F$2:$F$500,0))="sin dato","",INDEX(CODIFICACION!$E$2:$E$500,MATCH("D2.8|"&amp;CAPTURA!AT103,CODIFICACION!$F$2:$F$500,0))),"⚠"))</f>
        <v/>
      </c>
      <c r="P103" t="str">
        <f>IF(CAPTURA!AU103="","",IFERROR(IF(INDEX(CODIFICACION!$E$2:$E$500,MATCH("D2.9|"&amp;CAPTURA!AU103,CODIFICACION!$F$2:$F$500,0))="sin dato","",INDEX(CODIFICACION!$E$2:$E$500,MATCH("D2.9|"&amp;CAPTURA!AU103,CODIFICACION!$F$2:$F$500,0))),"⚠"))</f>
        <v/>
      </c>
      <c r="Q103" t="str">
        <f>IF(CAPTURA!AV103="","",IFERROR(IF(INDEX(CODIFICACION!$E$2:$E$500,MATCH("D2.10|"&amp;CAPTURA!AV103,CODIFICACION!$F$2:$F$500,0))="sin dato","",INDEX(CODIFICACION!$E$2:$E$500,MATCH("D2.10|"&amp;CAPTURA!AV103,CODIFICACION!$F$2:$F$500,0))),"⚠"))</f>
        <v/>
      </c>
      <c r="R103" t="str">
        <f>IF(CAPTURA!AW103="","",IFERROR(IF(INDEX(CODIFICACION!$E$2:$E$500,MATCH("D2.5a|"&amp;CAPTURA!AW103,CODIFICACION!$F$2:$F$500,0))="sin dato","",INDEX(CODIFICACION!$E$2:$E$500,MATCH("D2.5a|"&amp;CAPTURA!AW103,CODIFICACION!$F$2:$F$500,0))),"⚠"))</f>
        <v/>
      </c>
      <c r="S103" t="str">
        <f>IF(CAPTURA!AX103="","",IFERROR(IF(INDEX(CODIFICACION!$E$2:$E$500,MATCH("D2.5b|"&amp;CAPTURA!AX103,CODIFICACION!$F$2:$F$500,0))="sin dato","",INDEX(CODIFICACION!$E$2:$E$500,MATCH("D2.5b|"&amp;CAPTURA!AX103,CODIFICACION!$F$2:$F$500,0))),"⚠"))</f>
        <v/>
      </c>
      <c r="T103" t="str">
        <f>IF(CAPTURA!AY103="","",IF(ISNUMBER(CAPTURA!AY103),MAX(0,MIN(100,CAPTURA!AY103)),"⚠"))</f>
        <v/>
      </c>
      <c r="U103" t="str">
        <f>IF(CAPTURA!AZ103="","",IFERROR(IF(INDEX(CODIFICACION!$E$2:$E$500,MATCH("D3.12|"&amp;CAPTURA!AZ103,CODIFICACION!$F$2:$F$500,0))="sin dato","",INDEX(CODIFICACION!$E$2:$E$500,MATCH("D3.12|"&amp;CAPTURA!AZ103,CODIFICACION!$F$2:$F$500,0))),"⚠"))</f>
        <v/>
      </c>
      <c r="V103" t="str">
        <f>IF(CAPTURA!BA103="","",IF(AND(ISNUMBER(CAPTURA!BA103),CAPTURA!BA103&gt;=0,CAPTURA!BA103&lt;=4),CAPTURA!BA103*25,"⚠"))</f>
        <v/>
      </c>
      <c r="W103" t="str">
        <f>IF(CAPTURA!BB103="","",IFERROR(IF(INDEX(CODIFICACION!$E$2:$E$500,MATCH("D3.14|"&amp;CAPTURA!BB103,CODIFICACION!$F$2:$F$500,0))="sin dato","",INDEX(CODIFICACION!$E$2:$E$500,MATCH("D3.14|"&amp;CAPTURA!BB103,CODIFICACION!$F$2:$F$500,0))),"⚠"))</f>
        <v/>
      </c>
      <c r="X103" t="str">
        <f>IF(CAPTURA!BC103="","",IFERROR(IF(INDEX(CODIFICACION!$E$2:$E$500,MATCH("D3.14a|"&amp;CAPTURA!BC103,CODIFICACION!$F$2:$F$500,0))="sin dato","",INDEX(CODIFICACION!$E$2:$E$500,MATCH("D3.14a|"&amp;CAPTURA!BC103,CODIFICACION!$F$2:$F$500,0))),"⚠"))</f>
        <v/>
      </c>
      <c r="Y103" t="str">
        <f>IF(CAPTURA!BD103="","",IFERROR(IF(INDEX(CODIFICACION!$E$2:$E$500,MATCH("D3.14b|"&amp;CAPTURA!BD103,CODIFICACION!$F$2:$F$500,0))="sin dato","",INDEX(CODIFICACION!$E$2:$E$500,MATCH("D3.14b|"&amp;CAPTURA!BD103,CODIFICACION!$F$2:$F$500,0))),"⚠"))</f>
        <v/>
      </c>
      <c r="Z103" t="str">
        <f>IF(CAPTURA!BE103="","",IFERROR(IF(INDEX(CODIFICACION!$E$2:$E$500,MATCH("D3.14c|"&amp;CAPTURA!BE103,CODIFICACION!$F$2:$F$500,0))="sin dato","",INDEX(CODIFICACION!$E$2:$E$500,MATCH("D3.14c|"&amp;CAPTURA!BE103,CODIFICACION!$F$2:$F$500,0))),"⚠"))</f>
        <v/>
      </c>
      <c r="AA103" t="str">
        <f>IF(CAPTURA!BF103="","",IFERROR(IF(INDEX(CODIFICACION!$E$2:$E$500,MATCH("D3.14d|"&amp;CAPTURA!BF103,CODIFICACION!$F$2:$F$500,0))="sin dato","",INDEX(CODIFICACION!$E$2:$E$500,MATCH("D3.14d|"&amp;CAPTURA!BF103,CODIFICACION!$F$2:$F$500,0))),"⚠"))</f>
        <v/>
      </c>
      <c r="AB103" t="str">
        <f>IF(CAPTURA!BG103="","",IFERROR(IF(INDEX(CODIFICACION!$E$2:$E$500,MATCH("D3.14e|"&amp;CAPTURA!BG103,CODIFICACION!$F$2:$F$500,0))="sin dato","",INDEX(CODIFICACION!$E$2:$E$500,MATCH("D3.14e|"&amp;CAPTURA!BG103,CODIFICACION!$F$2:$F$500,0))),"⚠"))</f>
        <v/>
      </c>
      <c r="AC103" t="str">
        <f>IF(CAPTURA!BH103="","",IFERROR(IF(INDEX(CODIFICACION!$E$2:$E$500,MATCH("D3.14f|"&amp;CAPTURA!BH103,CODIFICACION!$F$2:$F$500,0))="sin dato","",INDEX(CODIFICACION!$E$2:$E$500,MATCH("D3.14f|"&amp;CAPTURA!BH103,CODIFICACION!$F$2:$F$500,0))),"⚠"))</f>
        <v/>
      </c>
      <c r="AD103" t="str">
        <f>IF(CAPTURA!BI103="","",IFERROR(IF(INDEX(CODIFICACION!$E$2:$E$500,MATCH("D3.14g|"&amp;CAPTURA!BI103,CODIFICACION!$F$2:$F$500,0))="sin dato","",INDEX(CODIFICACION!$E$2:$E$500,MATCH("D3.14g|"&amp;CAPTURA!BI103,CODIFICACION!$F$2:$F$500,0))),"⚠"))</f>
        <v/>
      </c>
      <c r="AE103" t="str">
        <f>IF(CAPTURA!BJ103="","",IFERROR(IF(INDEX(CODIFICACION!$E$2:$E$500,MATCH("D3.14h|"&amp;CAPTURA!BJ103,CODIFICACION!$F$2:$F$500,0))="sin dato","",INDEX(CODIFICACION!$E$2:$E$500,MATCH("D3.14h|"&amp;CAPTURA!BJ103,CODIFICACION!$F$2:$F$500,0))),"⚠"))</f>
        <v/>
      </c>
      <c r="AF103" t="str">
        <f>IF(CAPTURA!BK103="","",IFERROR(IF(INDEX(CODIFICACION!$E$2:$E$500,MATCH("D3.14i|"&amp;CAPTURA!BK103,CODIFICACION!$F$2:$F$500,0))="sin dato","",INDEX(CODIFICACION!$E$2:$E$500,MATCH("D3.14i|"&amp;CAPTURA!BK103,CODIFICACION!$F$2:$F$500,0))),"⚠"))</f>
        <v/>
      </c>
      <c r="AG103" t="str">
        <f>IF(CAPTURA!BL103="","",IFERROR(IF(INDEX(CODIFICACION!$E$2:$E$500,MATCH("D4.15|"&amp;CAPTURA!BL103,CODIFICACION!$F$2:$F$500,0))="sin dato","",INDEX(CODIFICACION!$E$2:$E$500,MATCH("D4.15|"&amp;CAPTURA!BL103,CODIFICACION!$F$2:$F$500,0))),"⚠"))</f>
        <v/>
      </c>
      <c r="AH103" t="str">
        <f>IF(CAPTURA!BM103="","",IF(AND(ISNUMBER(CAPTURA!BM103),CAPTURA!BM103&gt;=0,CAPTURA!BM103&lt;=4),CAPTURA!BM103*25,"⚠"))</f>
        <v/>
      </c>
      <c r="AI103" t="str">
        <f>IF(CAPTURA!BN103="","",IFERROR(IF(INDEX(CODIFICACION!$E$2:$E$500,MATCH("D4.17|"&amp;CAPTURA!BN103,CODIFICACION!$F$2:$F$500,0))="sin dato","",INDEX(CODIFICACION!$E$2:$E$500,MATCH("D4.17|"&amp;CAPTURA!BN103,CODIFICACION!$F$2:$F$500,0))),"⚠"))</f>
        <v/>
      </c>
      <c r="AJ103" t="str">
        <f>IF(CAPTURA!BO103="","",IFERROR(IF(INDEX(CODIFICACION!$E$2:$E$500,MATCH("D4.15a|"&amp;CAPTURA!BO103,CODIFICACION!$F$2:$F$500,0))="sin dato","",INDEX(CODIFICACION!$E$2:$E$500,MATCH("D4.15a|"&amp;CAPTURA!BO103,CODIFICACION!$F$2:$F$500,0))),"⚠"))</f>
        <v/>
      </c>
      <c r="AK103" t="str">
        <f>IF(CAPTURA!BP103="","",IF(AND(ISNUMBER(CAPTURA!BP103),CAPTURA!BP103&gt;=0,CAPTURA!BP103&lt;=4),CAPTURA!BP103*25,"⚠"))</f>
        <v/>
      </c>
      <c r="AL103" t="str">
        <f>IF(CAPTURA!BQ103="","",IF(AND(ISNUMBER(CAPTURA!BQ103),CAPTURA!BQ103&gt;=0,CAPTURA!BQ103&lt;=4),CAPTURA!BQ103*25,"⚠"))</f>
        <v/>
      </c>
      <c r="AM103" t="str">
        <f>IF(CAPTURA!BR103="","",IFERROR(IF(INDEX(CODIFICACION!$E$2:$E$500,MATCH("D5.18b|"&amp;CAPTURA!BR103,CODIFICACION!$F$2:$F$500,0))="sin dato","",INDEX(CODIFICACION!$E$2:$E$500,MATCH("D5.18b|"&amp;CAPTURA!BR103,CODIFICACION!$F$2:$F$500,0))),"⚠"))</f>
        <v/>
      </c>
      <c r="AN103" t="str">
        <f>IF(CAPTURA!BS103="","",IFERROR(IF(INDEX(CODIFICACION!$E$2:$E$500,MATCH("D5.19|"&amp;CAPTURA!BS103,CODIFICACION!$F$2:$F$500,0))="sin dato","",INDEX(CODIFICACION!$E$2:$E$500,MATCH("D5.19|"&amp;CAPTURA!BS103,CODIFICACION!$F$2:$F$500,0))),"⚠"))</f>
        <v/>
      </c>
      <c r="AO103" t="str">
        <f>IF(CAPTURA!BT103="","",MIN(100,ROUND((LEN(CAPTURA!BT103)-LEN(SUBSTITUTE(CAPTURA!BT103,";",""))+1)/7*100,1)))</f>
        <v/>
      </c>
      <c r="AP103" t="str">
        <f>IF(CAPTURA!BU103="","",IFERROR(IF(INDEX(CODIFICACION!$E$2:$E$500,MATCH("D5.20|"&amp;CAPTURA!BU103,CODIFICACION!$F$2:$F$500,0))="sin dato","",INDEX(CODIFICACION!$E$2:$E$500,MATCH("D5.20|"&amp;CAPTURA!BU103,CODIFICACION!$F$2:$F$500,0))),"⚠"))</f>
        <v/>
      </c>
      <c r="AQ103" t="str">
        <f>IF(CAPTURA!BV103="","",IFERROR(IF(INDEX(CODIFICACION!$E$2:$E$500,MATCH("D5.21|"&amp;CAPTURA!BV103,CODIFICACION!$F$2:$F$500,0))="sin dato","",INDEX(CODIFICACION!$E$2:$E$500,MATCH("D5.21|"&amp;CAPTURA!BV103,CODIFICACION!$F$2:$F$500,0))),"⚠"))</f>
        <v/>
      </c>
      <c r="AR103" t="str">
        <f>IF(CAPTURA!BW103="","",IFERROR(IF(INDEX(CODIFICACION!$E$2:$E$500,MATCH("D5.21a|"&amp;CAPTURA!BW103,CODIFICACION!$F$2:$F$500,0))="sin dato","",INDEX(CODIFICACION!$E$2:$E$500,MATCH("D5.21a|"&amp;CAPTURA!BW103,CODIFICACION!$F$2:$F$500,0))),"⚠"))</f>
        <v/>
      </c>
      <c r="AS103" t="str">
        <f>IF(CAPTURA!BX103="","",IFERROR(IF(INDEX(CODIFICACION!$E$2:$E$500,MATCH("D5.21b|"&amp;CAPTURA!BX103,CODIFICACION!$F$2:$F$500,0))="sin dato","",INDEX(CODIFICACION!$E$2:$E$500,MATCH("D5.21b|"&amp;CAPTURA!BX103,CODIFICACION!$F$2:$F$500,0))),"⚠"))</f>
        <v/>
      </c>
      <c r="AT103" t="str">
        <f>IF(CAPTURA!BY103="","",IFERROR(IF(INDEX(CODIFICACION!$E$2:$E$500,MATCH("D6.22|"&amp;CAPTURA!BY103,CODIFICACION!$F$2:$F$500,0))="sin dato","",INDEX(CODIFICACION!$E$2:$E$500,MATCH("D6.22|"&amp;CAPTURA!BY103,CODIFICACION!$F$2:$F$500,0))),"⚠"))</f>
        <v/>
      </c>
      <c r="AU103" t="str">
        <f>IF(CAPTURA!BZ103="","",IFERROR(IF(INDEX(CODIFICACION!$E$2:$E$500,MATCH("D6.22a|"&amp;CAPTURA!BZ103,CODIFICACION!$F$2:$F$500,0))="sin dato","",INDEX(CODIFICACION!$E$2:$E$500,MATCH("D6.22a|"&amp;CAPTURA!BZ103,CODIFICACION!$F$2:$F$500,0))),"⚠"))</f>
        <v/>
      </c>
      <c r="AV103" t="str">
        <f>IF(CAPTURA!CA103="","",IFERROR(IF(INDEX(CODIFICACION!$E$2:$E$500,MATCH("D6.22b|"&amp;CAPTURA!CA103,CODIFICACION!$F$2:$F$500,0))="sin dato","",INDEX(CODIFICACION!$E$2:$E$500,MATCH("D6.22b|"&amp;CAPTURA!CA103,CODIFICACION!$F$2:$F$500,0))),"⚠"))</f>
        <v/>
      </c>
      <c r="AW103" t="str">
        <f>IF(CAPTURA!CB103="","",IFERROR(IF(INDEX(CODIFICACION!$E$2:$E$500,MATCH("D6.23|"&amp;CAPTURA!CB103,CODIFICACION!$F$2:$F$500,0))="sin dato","",INDEX(CODIFICACION!$E$2:$E$500,MATCH("D6.23|"&amp;CAPTURA!CB103,CODIFICACION!$F$2:$F$500,0))),"⚠"))</f>
        <v/>
      </c>
      <c r="AX103" t="str">
        <f>IF(CAPTURA!CC103="","",IFERROR(IF(INDEX(CODIFICACION!$E$2:$E$500,MATCH("D6.24|"&amp;CAPTURA!CC103,CODIFICACION!$F$2:$F$500,0))="sin dato","",INDEX(CODIFICACION!$E$2:$E$500,MATCH("D6.24|"&amp;CAPTURA!CC103,CODIFICACION!$F$2:$F$500,0))),"⚠"))</f>
        <v/>
      </c>
      <c r="AY103" t="str">
        <f>IF(CAPTURA!CD103="","",IFERROR(IF(INDEX(CODIFICACION!$E$2:$E$500,MATCH("D6.25|"&amp;CAPTURA!CD103,CODIFICACION!$F$2:$F$500,0))="sin dato","",INDEX(CODIFICACION!$E$2:$E$500,MATCH("D6.25|"&amp;CAPTURA!CD103,CODIFICACION!$F$2:$F$500,0))),"⚠"))</f>
        <v/>
      </c>
      <c r="AZ103" t="str">
        <f>IF(CAPTURA!CE103="","",IFERROR(IF(INDEX(CODIFICACION!$E$2:$E$500,MATCH("D6.25a|"&amp;CAPTURA!CE103,CODIFICACION!$F$2:$F$500,0))="sin dato","",INDEX(CODIFICACION!$E$2:$E$500,MATCH("D6.25a|"&amp;CAPTURA!CE103,CODIFICACION!$F$2:$F$500,0))),"⚠"))</f>
        <v/>
      </c>
      <c r="BA103" t="str">
        <f>IF(CAPTURA!CF103="","",IFERROR(IF(INDEX(CODIFICACION!$E$2:$E$500,MATCH("D6.25b|"&amp;CAPTURA!CF103,CODIFICACION!$F$2:$F$500,0))="sin dato","",INDEX(CODIFICACION!$E$2:$E$500,MATCH("D6.25b|"&amp;CAPTURA!CF103,CODIFICACION!$F$2:$F$500,0))),"⚠"))</f>
        <v/>
      </c>
      <c r="BB103" t="str">
        <f>IF(CAPTURA!CG103="","",IFERROR(IF(INDEX(CODIFICACION!$E$2:$E$500,MATCH("D6.22c|"&amp;CAPTURA!CG103,CODIFICACION!$F$2:$F$500,0))="sin dato","",INDEX(CODIFICACION!$E$2:$E$500,MATCH("D6.22c|"&amp;CAPTURA!CG103,CODIFICACION!$F$2:$F$500,0))),"⚠"))</f>
        <v/>
      </c>
      <c r="BC103" t="str">
        <f>IF(CAPTURA!CH103="","",IFERROR(IF(INDEX(CODIFICACION!$E$2:$E$500,MATCH("D7.26|"&amp;CAPTURA!CH103,CODIFICACION!$F$2:$F$500,0))="sin dato","",INDEX(CODIFICACION!$E$2:$E$500,MATCH("D7.26|"&amp;CAPTURA!CH103,CODIFICACION!$F$2:$F$500,0))),"⚠"))</f>
        <v/>
      </c>
      <c r="BD103" t="str">
        <f>IF(CAPTURA!CI103="","",IFERROR(IF(INDEX(CODIFICACION!$E$2:$E$500,MATCH("D7.27|"&amp;CAPTURA!CI103,CODIFICACION!$F$2:$F$500,0))="sin dato","",INDEX(CODIFICACION!$E$2:$E$500,MATCH("D7.27|"&amp;CAPTURA!CI103,CODIFICACION!$F$2:$F$500,0))),"⚠"))</f>
        <v/>
      </c>
      <c r="BE103" t="str">
        <f>IF(CAPTURA!CJ103="","",IFERROR(IF(INDEX(CODIFICACION!$E$2:$E$500,MATCH("D7.28|"&amp;CAPTURA!CJ103,CODIFICACION!$F$2:$F$500,0))="sin dato","",INDEX(CODIFICACION!$E$2:$E$500,MATCH("D7.28|"&amp;CAPTURA!CJ103,CODIFICACION!$F$2:$F$500,0))),"⚠"))</f>
        <v/>
      </c>
      <c r="BF103" t="str">
        <f>IF(CAPTURA!CK103="","",IFERROR(IF(INDEX(CODIFICACION!$E$2:$E$500,MATCH("D7.28b|"&amp;CAPTURA!CK103,CODIFICACION!$F$2:$F$500,0))="sin dato","",INDEX(CODIFICACION!$E$2:$E$500,MATCH("D7.28b|"&amp;CAPTURA!CK103,CODIFICACION!$F$2:$F$500,0))),"⚠"))</f>
        <v/>
      </c>
      <c r="BG103" t="str">
        <f>IF(CAPTURA!CL103="","",MIN(100,ROUND((LEN(CAPTURA!CL103)-LEN(SUBSTITUTE(CAPTURA!CL103,";",""))+1)/8*100,1)))</f>
        <v/>
      </c>
      <c r="BH103" t="str">
        <f>IF(CAPTURA!CM103="","",IFERROR(IF(INDEX(CODIFICACION!$E$2:$E$500,MATCH("D7.26a|"&amp;CAPTURA!CM103,CODIFICACION!$F$2:$F$500,0))="sin dato","",INDEX(CODIFICACION!$E$2:$E$500,MATCH("D7.26a|"&amp;CAPTURA!CM103,CODIFICACION!$F$2:$F$500,0))),"⚠"))</f>
        <v/>
      </c>
      <c r="BI103" t="str">
        <f>IF(CAPTURA!CN103="","",IFERROR(IF(INDEX(CODIFICACION!$E$2:$E$500,MATCH("D7.26b|"&amp;CAPTURA!CN103,CODIFICACION!$F$2:$F$500,0))="sin dato","",INDEX(CODIFICACION!$E$2:$E$500,MATCH("D7.26b|"&amp;CAPTURA!CN103,CODIFICACION!$F$2:$F$500,0))),"⚠"))</f>
        <v/>
      </c>
      <c r="BJ103" t="str">
        <f>IF(CAPTURA!CO103="","",IF(AND(ISNUMBER(CAPTURA!CO103),CAPTURA!CO103&gt;=0,CAPTURA!CO103&lt;=4),CAPTURA!CO103*25,"⚠"))</f>
        <v/>
      </c>
      <c r="BK103" t="str">
        <f>IF(CAPTURA!CP103="","",IF(ISNUMBER(CAPTURA!CP103),MAX(0,MIN(100,CAPTURA!CP103)),"⚠"))</f>
        <v/>
      </c>
      <c r="BL103" t="str">
        <f>IF(CAPTURA!CQ103="","",IFERROR(IF(INDEX(CODIFICACION!$E$2:$E$500,MATCH("D8.31|"&amp;CAPTURA!CQ103,CODIFICACION!$F$2:$F$500,0))="sin dato","",INDEX(CODIFICACION!$E$2:$E$500,MATCH("D8.31|"&amp;CAPTURA!CQ103,CODIFICACION!$F$2:$F$500,0))),"⚠"))</f>
        <v/>
      </c>
      <c r="BM103" t="str">
        <f>IF(CAPTURA!CR103="","",IFERROR(IF(INDEX(CODIFICACION!$E$2:$E$500,MATCH("D8.32|"&amp;CAPTURA!CR103,CODIFICACION!$F$2:$F$500,0))="sin dato","",INDEX(CODIFICACION!$E$2:$E$500,MATCH("D8.32|"&amp;CAPTURA!CR103,CODIFICACION!$F$2:$F$500,0))),"⚠"))</f>
        <v/>
      </c>
      <c r="BN103" t="str">
        <f>IF(CAPTURA!CS103="","",IFERROR(IF(INDEX(CODIFICACION!$E$2:$E$500,MATCH("D9.33|"&amp;CAPTURA!CS103,CODIFICACION!$F$2:$F$500,0))="sin dato","",INDEX(CODIFICACION!$E$2:$E$500,MATCH("D9.33|"&amp;CAPTURA!CS103,CODIFICACION!$F$2:$F$500,0))),"⚠"))</f>
        <v/>
      </c>
      <c r="BO103" t="str">
        <f>IF(CAPTURA!CT103="","",IFERROR(IF(INDEX(CODIFICACION!$E$2:$E$500,MATCH("D9.34|"&amp;CAPTURA!CT103,CODIFICACION!$F$2:$F$500,0))="sin dato","",INDEX(CODIFICACION!$E$2:$E$500,MATCH("D9.34|"&amp;CAPTURA!CT103,CODIFICACION!$F$2:$F$500,0))),"⚠"))</f>
        <v/>
      </c>
      <c r="BP103" t="str">
        <f>IF(CAPTURA!CU103="","",IFERROR(IF(INDEX(CODIFICACION!$E$2:$E$500,MATCH("D9.35|"&amp;CAPTURA!CU103,CODIFICACION!$F$2:$F$500,0))="sin dato","",INDEX(CODIFICACION!$E$2:$E$500,MATCH("D9.35|"&amp;CAPTURA!CU103,CODIFICACION!$F$2:$F$500,0))),"⚠"))</f>
        <v/>
      </c>
      <c r="BQ103" t="str">
        <f>IF(CAPTURA!CV103="","",IFERROR(IF(INDEX(CODIFICACION!$E$2:$E$500,MATCH("D10.36|"&amp;CAPTURA!CV103,CODIFICACION!$F$2:$F$500,0))="sin dato","",INDEX(CODIFICACION!$E$2:$E$500,MATCH("D10.36|"&amp;CAPTURA!CV103,CODIFICACION!$F$2:$F$500,0))),"⚠"))</f>
        <v/>
      </c>
      <c r="BR103" t="str">
        <f>IF(CAPTURA!CW103="","",IFERROR(IF(INDEX(CODIFICACION!$E$2:$E$500,MATCH("D10.37|"&amp;CAPTURA!CW103,CODIFICACION!$F$2:$F$500,0))="sin dato","",INDEX(CODIFICACION!$E$2:$E$500,MATCH("D10.37|"&amp;CAPTURA!CW103,CODIFICACION!$F$2:$F$500,0))),"⚠"))</f>
        <v/>
      </c>
      <c r="BS103" t="str">
        <f>IF(CAPTURA!CX103="","",IFERROR(IF(INDEX(CODIFICACION!$E$2:$E$500,MATCH("D10.36a|"&amp;CAPTURA!CX103,CODIFICACION!$F$2:$F$500,0))="sin dato","",INDEX(CODIFICACION!$E$2:$E$500,MATCH("D10.36a|"&amp;CAPTURA!CX103,CODIFICACION!$F$2:$F$500,0))),"⚠"))</f>
        <v/>
      </c>
      <c r="BT103" t="str">
        <f>IF(CAPTURA!CY103="","",IF(ISNUMBER(SEARCH("Ninguno",CAPTURA!CY103)),0,MIN(100,ROUND((LEN(CAPTURA!CY103)-LEN(SUBSTITUTE(CAPTURA!CY103,";",""))+1)/6*100,1))))</f>
        <v/>
      </c>
      <c r="BU103" t="str">
        <f>IF(CAPTURA!DA103="","",IFERROR(IF(INDEX(CODIFICACION!$E$2:$E$500,MATCH("D11.39a|"&amp;CAPTURA!DA103,CODIFICACION!$F$2:$F$500,0))="sin dato","",INDEX(CODIFICACION!$E$2:$E$500,MATCH("D11.39a|"&amp;CAPTURA!DA103,CODIFICACION!$F$2:$F$500,0))),"⚠"))</f>
        <v/>
      </c>
      <c r="BV103" t="str">
        <f>IF(CAPTURA!DB103="","",IFERROR(IF(INDEX(CODIFICACION!$E$2:$E$500,MATCH("D12.42|"&amp;CAPTURA!DB103,CODIFICACION!$F$2:$F$500,0))="sin dato","",INDEX(CODIFICACION!$E$2:$E$500,MATCH("D12.42|"&amp;CAPTURA!DB103,CODIFICACION!$F$2:$F$500,0))),"⚠"))</f>
        <v/>
      </c>
      <c r="BW103" t="str">
        <f>IF(CAPTURA!DC103="","",IFERROR(IF(INDEX(CODIFICACION!$E$2:$E$500,MATCH("D13.45|"&amp;CAPTURA!DC103,CODIFICACION!$F$2:$F$500,0))="sin dato","",INDEX(CODIFICACION!$E$2:$E$500,MATCH("D13.45|"&amp;CAPTURA!DC103,CODIFICACION!$F$2:$F$500,0))),"⚠"))</f>
        <v/>
      </c>
      <c r="BX103" t="str">
        <f>IF(CAPTURA!DD103="","",IFERROR(IF(INDEX(CODIFICACION!$E$2:$E$500,MATCH("D14.51|"&amp;CAPTURA!DD103,CODIFICACION!$F$2:$F$500,0))="sin dato","",INDEX(CODIFICACION!$E$2:$E$500,MATCH("D14.51|"&amp;CAPTURA!DD103,CODIFICACION!$F$2:$F$500,0))),"⚠"))</f>
        <v/>
      </c>
      <c r="BY103" t="str">
        <f>IF(CAPTURA!DE103="","",IFERROR(IF(INDEX(CODIFICACION!$E$2:$E$500,MATCH("D15.58|"&amp;CAPTURA!DE103,CODIFICACION!$F$2:$F$500,0))="sin dato","",INDEX(CODIFICACION!$E$2:$E$500,MATCH("D15.58|"&amp;CAPTURA!DE103,CODIFICACION!$F$2:$F$500,0))),"⚠"))</f>
        <v/>
      </c>
      <c r="BZ103" t="str">
        <f>IF(CAPTURA!DF103="","",IFERROR(IF(INDEX(CODIFICACION!$E$2:$E$500,MATCH("PP1|"&amp;CAPTURA!DF103,CODIFICACION!$F$2:$F$500,0))="sin dato","",INDEX(CODIFICACION!$E$2:$E$500,MATCH("PP1|"&amp;CAPTURA!DF103,CODIFICACION!$F$2:$F$500,0))),"⚠"))</f>
        <v/>
      </c>
      <c r="CA103" t="str">
        <f>IF(CAPTURA!DG103="","",IFERROR(IF(INDEX(CODIFICACION!$E$2:$E$500,MATCH("PP2|"&amp;CAPTURA!DG103,CODIFICACION!$F$2:$F$500,0))="sin dato","",INDEX(CODIFICACION!$E$2:$E$500,MATCH("PP2|"&amp;CAPTURA!DG103,CODIFICACION!$F$2:$F$500,0))),"⚠"))</f>
        <v/>
      </c>
      <c r="CB103" t="str">
        <f t="shared" si="33"/>
        <v/>
      </c>
      <c r="CC103" t="str">
        <f t="shared" si="34"/>
        <v/>
      </c>
      <c r="CD103" t="str">
        <f t="shared" si="35"/>
        <v/>
      </c>
      <c r="CE103" t="str">
        <f t="shared" si="36"/>
        <v/>
      </c>
      <c r="CF103" t="str">
        <f t="shared" si="37"/>
        <v/>
      </c>
      <c r="CG103" t="str">
        <f t="shared" si="38"/>
        <v/>
      </c>
      <c r="CH103" t="str">
        <f t="shared" si="39"/>
        <v/>
      </c>
      <c r="CI103" t="str">
        <f t="shared" si="40"/>
        <v/>
      </c>
      <c r="CJ103" t="str">
        <f t="shared" si="41"/>
        <v/>
      </c>
      <c r="CK103" t="str">
        <f t="shared" si="42"/>
        <v/>
      </c>
      <c r="CL103" t="str">
        <f t="shared" si="43"/>
        <v/>
      </c>
    </row>
    <row r="104" spans="1:90" x14ac:dyDescent="0.3">
      <c r="A104">
        <f>CAPTURA!A104</f>
        <v>20600146689</v>
      </c>
      <c r="B104">
        <f>CAPTURA!C104</f>
        <v>0</v>
      </c>
      <c r="C104" t="str">
        <f>IF(CAPTURA!M104="","",ROUND((ISNUMBER(SEARCH("Alemania",CAPTURA!M104))+ISNUMBER(SEARCH("Bélgica",CAPTURA!M104))+ISNUMBER(SEARCH("Países Bajos",CAPTURA!M104))+ISNUMBER(SEARCH("Francia",CAPTURA!M104))+ISNUMBER(SEARCH("Italia",CAPTURA!M104))+ISNUMBER(SEARCH("España",CAPTURA!M104))+ISNUMBER(SEARCH("Suecia",CAPTURA!M104))+ISNUMBER(SEARCH("Dinamarca",CAPTURA!M104)))/((LEN(CAPTURA!M104)-LEN(SUBSTITUTE(CAPTURA!M104,";","")))+1)*100,1))</f>
        <v/>
      </c>
      <c r="D104" t="str">
        <f>IF(CAPTURA!AE104="","",IFERROR(IF(INDEX(CODIFICACION!$E$2:$E$500,MATCH("P8|"&amp;CAPTURA!AE104,CODIFICACION!$F$2:$F$500,0))="sin dato","",INDEX(CODIFICACION!$E$2:$E$500,MATCH("P8|"&amp;CAPTURA!AE104,CODIFICACION!$F$2:$F$500,0))),"⚠"))</f>
        <v/>
      </c>
      <c r="E104" t="str">
        <f>IF(CAPTURA!AG104="","",IFERROR(IF(INDEX(CODIFICACION!$E$2:$E$500,MATCH("P10|"&amp;CAPTURA!AG104,CODIFICACION!$F$2:$F$500,0))="sin dato","",INDEX(CODIFICACION!$E$2:$E$500,MATCH("P10|"&amp;CAPTURA!AG104,CODIFICACION!$F$2:$F$500,0))),"⚠"))</f>
        <v/>
      </c>
      <c r="F104" t="str">
        <f>IF(CAPTURA!AJ104="","",IFERROR(IF(INDEX(CODIFICACION!$E$2:$E$500,MATCH("P13|"&amp;CAPTURA!AJ104,CODIFICACION!$F$2:$F$500,0))="sin dato","",INDEX(CODIFICACION!$E$2:$E$500,MATCH("P13|"&amp;CAPTURA!AJ104,CODIFICACION!$F$2:$F$500,0))),"⚠"))</f>
        <v/>
      </c>
      <c r="G104" t="str">
        <f>IF(CAPTURA!AK104="","",IFERROR(IF(INDEX(CODIFICACION!$E$2:$E$500,MATCH("P14|"&amp;CAPTURA!AK104,CODIFICACION!$F$2:$F$500,0))="sin dato","",INDEX(CODIFICACION!$E$2:$E$500,MATCH("P14|"&amp;CAPTURA!AK104,CODIFICACION!$F$2:$F$500,0))),"⚠"))</f>
        <v/>
      </c>
      <c r="H104" t="str">
        <f>IF(CAPTURA!AL104="","",IFERROR(IF(INDEX(CODIFICACION!$E$2:$E$500,MATCH("D1.1|"&amp;CAPTURA!AL104,CODIFICACION!$F$2:$F$500,0))="sin dato","",INDEX(CODIFICACION!$E$2:$E$500,MATCH("D1.1|"&amp;CAPTURA!AL104,CODIFICACION!$F$2:$F$500,0))),"⚠"))</f>
        <v/>
      </c>
      <c r="I104" t="str">
        <f>IF(CAPTURA!AN104="","",IFERROR(IF(INDEX(CODIFICACION!$E$2:$E$500,MATCH("D1.3|"&amp;CAPTURA!AN104,CODIFICACION!$F$2:$F$500,0))="sin dato","",INDEX(CODIFICACION!$E$2:$E$500,MATCH("D1.3|"&amp;CAPTURA!AN104,CODIFICACION!$F$2:$F$500,0))),"⚠"))</f>
        <v/>
      </c>
      <c r="J104" t="str">
        <f>IF(CAPTURA!AO104="","",IFERROR(IF(INDEX(CODIFICACION!$E$2:$E$500,MATCH("D1.4|"&amp;CAPTURA!AO104,CODIFICACION!$F$2:$F$500,0))="sin dato","",INDEX(CODIFICACION!$E$2:$E$500,MATCH("D1.4|"&amp;CAPTURA!AO104,CODIFICACION!$F$2:$F$500,0))),"⚠"))</f>
        <v/>
      </c>
      <c r="K104" t="str">
        <f>IF(CAPTURA!AP104="","",IFERROR(IF(INDEX(CODIFICACION!$E$2:$E$500,MATCH("D1.3a|"&amp;CAPTURA!AP104,CODIFICACION!$F$2:$F$500,0))="sin dato","",INDEX(CODIFICACION!$E$2:$E$500,MATCH("D1.3a|"&amp;CAPTURA!AP104,CODIFICACION!$F$2:$F$500,0))),"⚠"))</f>
        <v/>
      </c>
      <c r="L104" t="str">
        <f>IF(CAPTURA!AQ104="","",IF(AND(ISNUMBER(CAPTURA!AQ104),CAPTURA!AQ104&gt;=0,CAPTURA!AQ104&lt;=4),CAPTURA!AQ104*25,"⚠"))</f>
        <v/>
      </c>
      <c r="M104" t="str">
        <f>IF(CAPTURA!AR104="","",IF(ISNUMBER(CAPTURA!AR104),MAX(0,MIN(100,CAPTURA!AR104)),"⚠"))</f>
        <v/>
      </c>
      <c r="N104" t="str">
        <f>IF(CAPTURA!AS104="","",IF(AND(ISNUMBER(CAPTURA!AS104),CAPTURA!AS104&gt;=0,CAPTURA!AS104&lt;=4),CAPTURA!AS104*25,"⚠"))</f>
        <v/>
      </c>
      <c r="O104" t="str">
        <f>IF(CAPTURA!AT104="","",IFERROR(IF(INDEX(CODIFICACION!$E$2:$E$500,MATCH("D2.8|"&amp;CAPTURA!AT104,CODIFICACION!$F$2:$F$500,0))="sin dato","",INDEX(CODIFICACION!$E$2:$E$500,MATCH("D2.8|"&amp;CAPTURA!AT104,CODIFICACION!$F$2:$F$500,0))),"⚠"))</f>
        <v/>
      </c>
      <c r="P104" t="str">
        <f>IF(CAPTURA!AU104="","",IFERROR(IF(INDEX(CODIFICACION!$E$2:$E$500,MATCH("D2.9|"&amp;CAPTURA!AU104,CODIFICACION!$F$2:$F$500,0))="sin dato","",INDEX(CODIFICACION!$E$2:$E$500,MATCH("D2.9|"&amp;CAPTURA!AU104,CODIFICACION!$F$2:$F$500,0))),"⚠"))</f>
        <v/>
      </c>
      <c r="Q104" t="str">
        <f>IF(CAPTURA!AV104="","",IFERROR(IF(INDEX(CODIFICACION!$E$2:$E$500,MATCH("D2.10|"&amp;CAPTURA!AV104,CODIFICACION!$F$2:$F$500,0))="sin dato","",INDEX(CODIFICACION!$E$2:$E$500,MATCH("D2.10|"&amp;CAPTURA!AV104,CODIFICACION!$F$2:$F$500,0))),"⚠"))</f>
        <v/>
      </c>
      <c r="R104" t="str">
        <f>IF(CAPTURA!AW104="","",IFERROR(IF(INDEX(CODIFICACION!$E$2:$E$500,MATCH("D2.5a|"&amp;CAPTURA!AW104,CODIFICACION!$F$2:$F$500,0))="sin dato","",INDEX(CODIFICACION!$E$2:$E$500,MATCH("D2.5a|"&amp;CAPTURA!AW104,CODIFICACION!$F$2:$F$500,0))),"⚠"))</f>
        <v/>
      </c>
      <c r="S104" t="str">
        <f>IF(CAPTURA!AX104="","",IFERROR(IF(INDEX(CODIFICACION!$E$2:$E$500,MATCH("D2.5b|"&amp;CAPTURA!AX104,CODIFICACION!$F$2:$F$500,0))="sin dato","",INDEX(CODIFICACION!$E$2:$E$500,MATCH("D2.5b|"&amp;CAPTURA!AX104,CODIFICACION!$F$2:$F$500,0))),"⚠"))</f>
        <v/>
      </c>
      <c r="T104" t="str">
        <f>IF(CAPTURA!AY104="","",IF(ISNUMBER(CAPTURA!AY104),MAX(0,MIN(100,CAPTURA!AY104)),"⚠"))</f>
        <v/>
      </c>
      <c r="U104" t="str">
        <f>IF(CAPTURA!AZ104="","",IFERROR(IF(INDEX(CODIFICACION!$E$2:$E$500,MATCH("D3.12|"&amp;CAPTURA!AZ104,CODIFICACION!$F$2:$F$500,0))="sin dato","",INDEX(CODIFICACION!$E$2:$E$500,MATCH("D3.12|"&amp;CAPTURA!AZ104,CODIFICACION!$F$2:$F$500,0))),"⚠"))</f>
        <v/>
      </c>
      <c r="V104" t="str">
        <f>IF(CAPTURA!BA104="","",IF(AND(ISNUMBER(CAPTURA!BA104),CAPTURA!BA104&gt;=0,CAPTURA!BA104&lt;=4),CAPTURA!BA104*25,"⚠"))</f>
        <v/>
      </c>
      <c r="W104" t="str">
        <f>IF(CAPTURA!BB104="","",IFERROR(IF(INDEX(CODIFICACION!$E$2:$E$500,MATCH("D3.14|"&amp;CAPTURA!BB104,CODIFICACION!$F$2:$F$500,0))="sin dato","",INDEX(CODIFICACION!$E$2:$E$500,MATCH("D3.14|"&amp;CAPTURA!BB104,CODIFICACION!$F$2:$F$500,0))),"⚠"))</f>
        <v/>
      </c>
      <c r="X104" t="str">
        <f>IF(CAPTURA!BC104="","",IFERROR(IF(INDEX(CODIFICACION!$E$2:$E$500,MATCH("D3.14a|"&amp;CAPTURA!BC104,CODIFICACION!$F$2:$F$500,0))="sin dato","",INDEX(CODIFICACION!$E$2:$E$500,MATCH("D3.14a|"&amp;CAPTURA!BC104,CODIFICACION!$F$2:$F$500,0))),"⚠"))</f>
        <v/>
      </c>
      <c r="Y104" t="str">
        <f>IF(CAPTURA!BD104="","",IFERROR(IF(INDEX(CODIFICACION!$E$2:$E$500,MATCH("D3.14b|"&amp;CAPTURA!BD104,CODIFICACION!$F$2:$F$500,0))="sin dato","",INDEX(CODIFICACION!$E$2:$E$500,MATCH("D3.14b|"&amp;CAPTURA!BD104,CODIFICACION!$F$2:$F$500,0))),"⚠"))</f>
        <v/>
      </c>
      <c r="Z104" t="str">
        <f>IF(CAPTURA!BE104="","",IFERROR(IF(INDEX(CODIFICACION!$E$2:$E$500,MATCH("D3.14c|"&amp;CAPTURA!BE104,CODIFICACION!$F$2:$F$500,0))="sin dato","",INDEX(CODIFICACION!$E$2:$E$500,MATCH("D3.14c|"&amp;CAPTURA!BE104,CODIFICACION!$F$2:$F$500,0))),"⚠"))</f>
        <v/>
      </c>
      <c r="AA104" t="str">
        <f>IF(CAPTURA!BF104="","",IFERROR(IF(INDEX(CODIFICACION!$E$2:$E$500,MATCH("D3.14d|"&amp;CAPTURA!BF104,CODIFICACION!$F$2:$F$500,0))="sin dato","",INDEX(CODIFICACION!$E$2:$E$500,MATCH("D3.14d|"&amp;CAPTURA!BF104,CODIFICACION!$F$2:$F$500,0))),"⚠"))</f>
        <v/>
      </c>
      <c r="AB104" t="str">
        <f>IF(CAPTURA!BG104="","",IFERROR(IF(INDEX(CODIFICACION!$E$2:$E$500,MATCH("D3.14e|"&amp;CAPTURA!BG104,CODIFICACION!$F$2:$F$500,0))="sin dato","",INDEX(CODIFICACION!$E$2:$E$500,MATCH("D3.14e|"&amp;CAPTURA!BG104,CODIFICACION!$F$2:$F$500,0))),"⚠"))</f>
        <v/>
      </c>
      <c r="AC104" t="str">
        <f>IF(CAPTURA!BH104="","",IFERROR(IF(INDEX(CODIFICACION!$E$2:$E$500,MATCH("D3.14f|"&amp;CAPTURA!BH104,CODIFICACION!$F$2:$F$500,0))="sin dato","",INDEX(CODIFICACION!$E$2:$E$500,MATCH("D3.14f|"&amp;CAPTURA!BH104,CODIFICACION!$F$2:$F$500,0))),"⚠"))</f>
        <v/>
      </c>
      <c r="AD104" t="str">
        <f>IF(CAPTURA!BI104="","",IFERROR(IF(INDEX(CODIFICACION!$E$2:$E$500,MATCH("D3.14g|"&amp;CAPTURA!BI104,CODIFICACION!$F$2:$F$500,0))="sin dato","",INDEX(CODIFICACION!$E$2:$E$500,MATCH("D3.14g|"&amp;CAPTURA!BI104,CODIFICACION!$F$2:$F$500,0))),"⚠"))</f>
        <v/>
      </c>
      <c r="AE104" t="str">
        <f>IF(CAPTURA!BJ104="","",IFERROR(IF(INDEX(CODIFICACION!$E$2:$E$500,MATCH("D3.14h|"&amp;CAPTURA!BJ104,CODIFICACION!$F$2:$F$500,0))="sin dato","",INDEX(CODIFICACION!$E$2:$E$500,MATCH("D3.14h|"&amp;CAPTURA!BJ104,CODIFICACION!$F$2:$F$500,0))),"⚠"))</f>
        <v/>
      </c>
      <c r="AF104" t="str">
        <f>IF(CAPTURA!BK104="","",IFERROR(IF(INDEX(CODIFICACION!$E$2:$E$500,MATCH("D3.14i|"&amp;CAPTURA!BK104,CODIFICACION!$F$2:$F$500,0))="sin dato","",INDEX(CODIFICACION!$E$2:$E$500,MATCH("D3.14i|"&amp;CAPTURA!BK104,CODIFICACION!$F$2:$F$500,0))),"⚠"))</f>
        <v/>
      </c>
      <c r="AG104" t="str">
        <f>IF(CAPTURA!BL104="","",IFERROR(IF(INDEX(CODIFICACION!$E$2:$E$500,MATCH("D4.15|"&amp;CAPTURA!BL104,CODIFICACION!$F$2:$F$500,0))="sin dato","",INDEX(CODIFICACION!$E$2:$E$500,MATCH("D4.15|"&amp;CAPTURA!BL104,CODIFICACION!$F$2:$F$500,0))),"⚠"))</f>
        <v/>
      </c>
      <c r="AH104" t="str">
        <f>IF(CAPTURA!BM104="","",IF(AND(ISNUMBER(CAPTURA!BM104),CAPTURA!BM104&gt;=0,CAPTURA!BM104&lt;=4),CAPTURA!BM104*25,"⚠"))</f>
        <v/>
      </c>
      <c r="AI104" t="str">
        <f>IF(CAPTURA!BN104="","",IFERROR(IF(INDEX(CODIFICACION!$E$2:$E$500,MATCH("D4.17|"&amp;CAPTURA!BN104,CODIFICACION!$F$2:$F$500,0))="sin dato","",INDEX(CODIFICACION!$E$2:$E$500,MATCH("D4.17|"&amp;CAPTURA!BN104,CODIFICACION!$F$2:$F$500,0))),"⚠"))</f>
        <v/>
      </c>
      <c r="AJ104" t="str">
        <f>IF(CAPTURA!BO104="","",IFERROR(IF(INDEX(CODIFICACION!$E$2:$E$500,MATCH("D4.15a|"&amp;CAPTURA!BO104,CODIFICACION!$F$2:$F$500,0))="sin dato","",INDEX(CODIFICACION!$E$2:$E$500,MATCH("D4.15a|"&amp;CAPTURA!BO104,CODIFICACION!$F$2:$F$500,0))),"⚠"))</f>
        <v/>
      </c>
      <c r="AK104" t="str">
        <f>IF(CAPTURA!BP104="","",IF(AND(ISNUMBER(CAPTURA!BP104),CAPTURA!BP104&gt;=0,CAPTURA!BP104&lt;=4),CAPTURA!BP104*25,"⚠"))</f>
        <v/>
      </c>
      <c r="AL104" t="str">
        <f>IF(CAPTURA!BQ104="","",IF(AND(ISNUMBER(CAPTURA!BQ104),CAPTURA!BQ104&gt;=0,CAPTURA!BQ104&lt;=4),CAPTURA!BQ104*25,"⚠"))</f>
        <v/>
      </c>
      <c r="AM104" t="str">
        <f>IF(CAPTURA!BR104="","",IFERROR(IF(INDEX(CODIFICACION!$E$2:$E$500,MATCH("D5.18b|"&amp;CAPTURA!BR104,CODIFICACION!$F$2:$F$500,0))="sin dato","",INDEX(CODIFICACION!$E$2:$E$500,MATCH("D5.18b|"&amp;CAPTURA!BR104,CODIFICACION!$F$2:$F$500,0))),"⚠"))</f>
        <v/>
      </c>
      <c r="AN104" t="str">
        <f>IF(CAPTURA!BS104="","",IFERROR(IF(INDEX(CODIFICACION!$E$2:$E$500,MATCH("D5.19|"&amp;CAPTURA!BS104,CODIFICACION!$F$2:$F$500,0))="sin dato","",INDEX(CODIFICACION!$E$2:$E$500,MATCH("D5.19|"&amp;CAPTURA!BS104,CODIFICACION!$F$2:$F$500,0))),"⚠"))</f>
        <v/>
      </c>
      <c r="AO104" t="str">
        <f>IF(CAPTURA!BT104="","",MIN(100,ROUND((LEN(CAPTURA!BT104)-LEN(SUBSTITUTE(CAPTURA!BT104,";",""))+1)/7*100,1)))</f>
        <v/>
      </c>
      <c r="AP104" t="str">
        <f>IF(CAPTURA!BU104="","",IFERROR(IF(INDEX(CODIFICACION!$E$2:$E$500,MATCH("D5.20|"&amp;CAPTURA!BU104,CODIFICACION!$F$2:$F$500,0))="sin dato","",INDEX(CODIFICACION!$E$2:$E$500,MATCH("D5.20|"&amp;CAPTURA!BU104,CODIFICACION!$F$2:$F$500,0))),"⚠"))</f>
        <v/>
      </c>
      <c r="AQ104" t="str">
        <f>IF(CAPTURA!BV104="","",IFERROR(IF(INDEX(CODIFICACION!$E$2:$E$500,MATCH("D5.21|"&amp;CAPTURA!BV104,CODIFICACION!$F$2:$F$500,0))="sin dato","",INDEX(CODIFICACION!$E$2:$E$500,MATCH("D5.21|"&amp;CAPTURA!BV104,CODIFICACION!$F$2:$F$500,0))),"⚠"))</f>
        <v/>
      </c>
      <c r="AR104" t="str">
        <f>IF(CAPTURA!BW104="","",IFERROR(IF(INDEX(CODIFICACION!$E$2:$E$500,MATCH("D5.21a|"&amp;CAPTURA!BW104,CODIFICACION!$F$2:$F$500,0))="sin dato","",INDEX(CODIFICACION!$E$2:$E$500,MATCH("D5.21a|"&amp;CAPTURA!BW104,CODIFICACION!$F$2:$F$500,0))),"⚠"))</f>
        <v/>
      </c>
      <c r="AS104" t="str">
        <f>IF(CAPTURA!BX104="","",IFERROR(IF(INDEX(CODIFICACION!$E$2:$E$500,MATCH("D5.21b|"&amp;CAPTURA!BX104,CODIFICACION!$F$2:$F$500,0))="sin dato","",INDEX(CODIFICACION!$E$2:$E$500,MATCH("D5.21b|"&amp;CAPTURA!BX104,CODIFICACION!$F$2:$F$500,0))),"⚠"))</f>
        <v/>
      </c>
      <c r="AT104" t="str">
        <f>IF(CAPTURA!BY104="","",IFERROR(IF(INDEX(CODIFICACION!$E$2:$E$500,MATCH("D6.22|"&amp;CAPTURA!BY104,CODIFICACION!$F$2:$F$500,0))="sin dato","",INDEX(CODIFICACION!$E$2:$E$500,MATCH("D6.22|"&amp;CAPTURA!BY104,CODIFICACION!$F$2:$F$500,0))),"⚠"))</f>
        <v/>
      </c>
      <c r="AU104" t="str">
        <f>IF(CAPTURA!BZ104="","",IFERROR(IF(INDEX(CODIFICACION!$E$2:$E$500,MATCH("D6.22a|"&amp;CAPTURA!BZ104,CODIFICACION!$F$2:$F$500,0))="sin dato","",INDEX(CODIFICACION!$E$2:$E$500,MATCH("D6.22a|"&amp;CAPTURA!BZ104,CODIFICACION!$F$2:$F$500,0))),"⚠"))</f>
        <v/>
      </c>
      <c r="AV104" t="str">
        <f>IF(CAPTURA!CA104="","",IFERROR(IF(INDEX(CODIFICACION!$E$2:$E$500,MATCH("D6.22b|"&amp;CAPTURA!CA104,CODIFICACION!$F$2:$F$500,0))="sin dato","",INDEX(CODIFICACION!$E$2:$E$500,MATCH("D6.22b|"&amp;CAPTURA!CA104,CODIFICACION!$F$2:$F$500,0))),"⚠"))</f>
        <v/>
      </c>
      <c r="AW104" t="str">
        <f>IF(CAPTURA!CB104="","",IFERROR(IF(INDEX(CODIFICACION!$E$2:$E$500,MATCH("D6.23|"&amp;CAPTURA!CB104,CODIFICACION!$F$2:$F$500,0))="sin dato","",INDEX(CODIFICACION!$E$2:$E$500,MATCH("D6.23|"&amp;CAPTURA!CB104,CODIFICACION!$F$2:$F$500,0))),"⚠"))</f>
        <v/>
      </c>
      <c r="AX104" t="str">
        <f>IF(CAPTURA!CC104="","",IFERROR(IF(INDEX(CODIFICACION!$E$2:$E$500,MATCH("D6.24|"&amp;CAPTURA!CC104,CODIFICACION!$F$2:$F$500,0))="sin dato","",INDEX(CODIFICACION!$E$2:$E$500,MATCH("D6.24|"&amp;CAPTURA!CC104,CODIFICACION!$F$2:$F$500,0))),"⚠"))</f>
        <v/>
      </c>
      <c r="AY104" t="str">
        <f>IF(CAPTURA!CD104="","",IFERROR(IF(INDEX(CODIFICACION!$E$2:$E$500,MATCH("D6.25|"&amp;CAPTURA!CD104,CODIFICACION!$F$2:$F$500,0))="sin dato","",INDEX(CODIFICACION!$E$2:$E$500,MATCH("D6.25|"&amp;CAPTURA!CD104,CODIFICACION!$F$2:$F$500,0))),"⚠"))</f>
        <v/>
      </c>
      <c r="AZ104" t="str">
        <f>IF(CAPTURA!CE104="","",IFERROR(IF(INDEX(CODIFICACION!$E$2:$E$500,MATCH("D6.25a|"&amp;CAPTURA!CE104,CODIFICACION!$F$2:$F$500,0))="sin dato","",INDEX(CODIFICACION!$E$2:$E$500,MATCH("D6.25a|"&amp;CAPTURA!CE104,CODIFICACION!$F$2:$F$500,0))),"⚠"))</f>
        <v/>
      </c>
      <c r="BA104" t="str">
        <f>IF(CAPTURA!CF104="","",IFERROR(IF(INDEX(CODIFICACION!$E$2:$E$500,MATCH("D6.25b|"&amp;CAPTURA!CF104,CODIFICACION!$F$2:$F$500,0))="sin dato","",INDEX(CODIFICACION!$E$2:$E$500,MATCH("D6.25b|"&amp;CAPTURA!CF104,CODIFICACION!$F$2:$F$500,0))),"⚠"))</f>
        <v/>
      </c>
      <c r="BB104" t="str">
        <f>IF(CAPTURA!CG104="","",IFERROR(IF(INDEX(CODIFICACION!$E$2:$E$500,MATCH("D6.22c|"&amp;CAPTURA!CG104,CODIFICACION!$F$2:$F$500,0))="sin dato","",INDEX(CODIFICACION!$E$2:$E$500,MATCH("D6.22c|"&amp;CAPTURA!CG104,CODIFICACION!$F$2:$F$500,0))),"⚠"))</f>
        <v/>
      </c>
      <c r="BC104" t="str">
        <f>IF(CAPTURA!CH104="","",IFERROR(IF(INDEX(CODIFICACION!$E$2:$E$500,MATCH("D7.26|"&amp;CAPTURA!CH104,CODIFICACION!$F$2:$F$500,0))="sin dato","",INDEX(CODIFICACION!$E$2:$E$500,MATCH("D7.26|"&amp;CAPTURA!CH104,CODIFICACION!$F$2:$F$500,0))),"⚠"))</f>
        <v/>
      </c>
      <c r="BD104" t="str">
        <f>IF(CAPTURA!CI104="","",IFERROR(IF(INDEX(CODIFICACION!$E$2:$E$500,MATCH("D7.27|"&amp;CAPTURA!CI104,CODIFICACION!$F$2:$F$500,0))="sin dato","",INDEX(CODIFICACION!$E$2:$E$500,MATCH("D7.27|"&amp;CAPTURA!CI104,CODIFICACION!$F$2:$F$500,0))),"⚠"))</f>
        <v/>
      </c>
      <c r="BE104" t="str">
        <f>IF(CAPTURA!CJ104="","",IFERROR(IF(INDEX(CODIFICACION!$E$2:$E$500,MATCH("D7.28|"&amp;CAPTURA!CJ104,CODIFICACION!$F$2:$F$500,0))="sin dato","",INDEX(CODIFICACION!$E$2:$E$500,MATCH("D7.28|"&amp;CAPTURA!CJ104,CODIFICACION!$F$2:$F$500,0))),"⚠"))</f>
        <v/>
      </c>
      <c r="BF104" t="str">
        <f>IF(CAPTURA!CK104="","",IFERROR(IF(INDEX(CODIFICACION!$E$2:$E$500,MATCH("D7.28b|"&amp;CAPTURA!CK104,CODIFICACION!$F$2:$F$500,0))="sin dato","",INDEX(CODIFICACION!$E$2:$E$500,MATCH("D7.28b|"&amp;CAPTURA!CK104,CODIFICACION!$F$2:$F$500,0))),"⚠"))</f>
        <v/>
      </c>
      <c r="BG104" t="str">
        <f>IF(CAPTURA!CL104="","",MIN(100,ROUND((LEN(CAPTURA!CL104)-LEN(SUBSTITUTE(CAPTURA!CL104,";",""))+1)/8*100,1)))</f>
        <v/>
      </c>
      <c r="BH104" t="str">
        <f>IF(CAPTURA!CM104="","",IFERROR(IF(INDEX(CODIFICACION!$E$2:$E$500,MATCH("D7.26a|"&amp;CAPTURA!CM104,CODIFICACION!$F$2:$F$500,0))="sin dato","",INDEX(CODIFICACION!$E$2:$E$500,MATCH("D7.26a|"&amp;CAPTURA!CM104,CODIFICACION!$F$2:$F$500,0))),"⚠"))</f>
        <v/>
      </c>
      <c r="BI104" t="str">
        <f>IF(CAPTURA!CN104="","",IFERROR(IF(INDEX(CODIFICACION!$E$2:$E$500,MATCH("D7.26b|"&amp;CAPTURA!CN104,CODIFICACION!$F$2:$F$500,0))="sin dato","",INDEX(CODIFICACION!$E$2:$E$500,MATCH("D7.26b|"&amp;CAPTURA!CN104,CODIFICACION!$F$2:$F$500,0))),"⚠"))</f>
        <v/>
      </c>
      <c r="BJ104" t="str">
        <f>IF(CAPTURA!CO104="","",IF(AND(ISNUMBER(CAPTURA!CO104),CAPTURA!CO104&gt;=0,CAPTURA!CO104&lt;=4),CAPTURA!CO104*25,"⚠"))</f>
        <v/>
      </c>
      <c r="BK104" t="str">
        <f>IF(CAPTURA!CP104="","",IF(ISNUMBER(CAPTURA!CP104),MAX(0,MIN(100,CAPTURA!CP104)),"⚠"))</f>
        <v/>
      </c>
      <c r="BL104" t="str">
        <f>IF(CAPTURA!CQ104="","",IFERROR(IF(INDEX(CODIFICACION!$E$2:$E$500,MATCH("D8.31|"&amp;CAPTURA!CQ104,CODIFICACION!$F$2:$F$500,0))="sin dato","",INDEX(CODIFICACION!$E$2:$E$500,MATCH("D8.31|"&amp;CAPTURA!CQ104,CODIFICACION!$F$2:$F$500,0))),"⚠"))</f>
        <v/>
      </c>
      <c r="BM104" t="str">
        <f>IF(CAPTURA!CR104="","",IFERROR(IF(INDEX(CODIFICACION!$E$2:$E$500,MATCH("D8.32|"&amp;CAPTURA!CR104,CODIFICACION!$F$2:$F$500,0))="sin dato","",INDEX(CODIFICACION!$E$2:$E$500,MATCH("D8.32|"&amp;CAPTURA!CR104,CODIFICACION!$F$2:$F$500,0))),"⚠"))</f>
        <v/>
      </c>
      <c r="BN104" t="str">
        <f>IF(CAPTURA!CS104="","",IFERROR(IF(INDEX(CODIFICACION!$E$2:$E$500,MATCH("D9.33|"&amp;CAPTURA!CS104,CODIFICACION!$F$2:$F$500,0))="sin dato","",INDEX(CODIFICACION!$E$2:$E$500,MATCH("D9.33|"&amp;CAPTURA!CS104,CODIFICACION!$F$2:$F$500,0))),"⚠"))</f>
        <v/>
      </c>
      <c r="BO104" t="str">
        <f>IF(CAPTURA!CT104="","",IFERROR(IF(INDEX(CODIFICACION!$E$2:$E$500,MATCH("D9.34|"&amp;CAPTURA!CT104,CODIFICACION!$F$2:$F$500,0))="sin dato","",INDEX(CODIFICACION!$E$2:$E$500,MATCH("D9.34|"&amp;CAPTURA!CT104,CODIFICACION!$F$2:$F$500,0))),"⚠"))</f>
        <v/>
      </c>
      <c r="BP104" t="str">
        <f>IF(CAPTURA!CU104="","",IFERROR(IF(INDEX(CODIFICACION!$E$2:$E$500,MATCH("D9.35|"&amp;CAPTURA!CU104,CODIFICACION!$F$2:$F$500,0))="sin dato","",INDEX(CODIFICACION!$E$2:$E$500,MATCH("D9.35|"&amp;CAPTURA!CU104,CODIFICACION!$F$2:$F$500,0))),"⚠"))</f>
        <v/>
      </c>
      <c r="BQ104" t="str">
        <f>IF(CAPTURA!CV104="","",IFERROR(IF(INDEX(CODIFICACION!$E$2:$E$500,MATCH("D10.36|"&amp;CAPTURA!CV104,CODIFICACION!$F$2:$F$500,0))="sin dato","",INDEX(CODIFICACION!$E$2:$E$500,MATCH("D10.36|"&amp;CAPTURA!CV104,CODIFICACION!$F$2:$F$500,0))),"⚠"))</f>
        <v/>
      </c>
      <c r="BR104" t="str">
        <f>IF(CAPTURA!CW104="","",IFERROR(IF(INDEX(CODIFICACION!$E$2:$E$500,MATCH("D10.37|"&amp;CAPTURA!CW104,CODIFICACION!$F$2:$F$500,0))="sin dato","",INDEX(CODIFICACION!$E$2:$E$500,MATCH("D10.37|"&amp;CAPTURA!CW104,CODIFICACION!$F$2:$F$500,0))),"⚠"))</f>
        <v/>
      </c>
      <c r="BS104" t="str">
        <f>IF(CAPTURA!CX104="","",IFERROR(IF(INDEX(CODIFICACION!$E$2:$E$500,MATCH("D10.36a|"&amp;CAPTURA!CX104,CODIFICACION!$F$2:$F$500,0))="sin dato","",INDEX(CODIFICACION!$E$2:$E$500,MATCH("D10.36a|"&amp;CAPTURA!CX104,CODIFICACION!$F$2:$F$500,0))),"⚠"))</f>
        <v/>
      </c>
      <c r="BT104" t="str">
        <f>IF(CAPTURA!CY104="","",IF(ISNUMBER(SEARCH("Ninguno",CAPTURA!CY104)),0,MIN(100,ROUND((LEN(CAPTURA!CY104)-LEN(SUBSTITUTE(CAPTURA!CY104,";",""))+1)/6*100,1))))</f>
        <v/>
      </c>
      <c r="BU104" t="str">
        <f>IF(CAPTURA!DA104="","",IFERROR(IF(INDEX(CODIFICACION!$E$2:$E$500,MATCH("D11.39a|"&amp;CAPTURA!DA104,CODIFICACION!$F$2:$F$500,0))="sin dato","",INDEX(CODIFICACION!$E$2:$E$500,MATCH("D11.39a|"&amp;CAPTURA!DA104,CODIFICACION!$F$2:$F$500,0))),"⚠"))</f>
        <v/>
      </c>
      <c r="BV104" t="str">
        <f>IF(CAPTURA!DB104="","",IFERROR(IF(INDEX(CODIFICACION!$E$2:$E$500,MATCH("D12.42|"&amp;CAPTURA!DB104,CODIFICACION!$F$2:$F$500,0))="sin dato","",INDEX(CODIFICACION!$E$2:$E$500,MATCH("D12.42|"&amp;CAPTURA!DB104,CODIFICACION!$F$2:$F$500,0))),"⚠"))</f>
        <v/>
      </c>
      <c r="BW104" t="str">
        <f>IF(CAPTURA!DC104="","",IFERROR(IF(INDEX(CODIFICACION!$E$2:$E$500,MATCH("D13.45|"&amp;CAPTURA!DC104,CODIFICACION!$F$2:$F$500,0))="sin dato","",INDEX(CODIFICACION!$E$2:$E$500,MATCH("D13.45|"&amp;CAPTURA!DC104,CODIFICACION!$F$2:$F$500,0))),"⚠"))</f>
        <v/>
      </c>
      <c r="BX104" t="str">
        <f>IF(CAPTURA!DD104="","",IFERROR(IF(INDEX(CODIFICACION!$E$2:$E$500,MATCH("D14.51|"&amp;CAPTURA!DD104,CODIFICACION!$F$2:$F$500,0))="sin dato","",INDEX(CODIFICACION!$E$2:$E$500,MATCH("D14.51|"&amp;CAPTURA!DD104,CODIFICACION!$F$2:$F$500,0))),"⚠"))</f>
        <v/>
      </c>
      <c r="BY104" t="str">
        <f>IF(CAPTURA!DE104="","",IFERROR(IF(INDEX(CODIFICACION!$E$2:$E$500,MATCH("D15.58|"&amp;CAPTURA!DE104,CODIFICACION!$F$2:$F$500,0))="sin dato","",INDEX(CODIFICACION!$E$2:$E$500,MATCH("D15.58|"&amp;CAPTURA!DE104,CODIFICACION!$F$2:$F$500,0))),"⚠"))</f>
        <v/>
      </c>
      <c r="BZ104" t="str">
        <f>IF(CAPTURA!DF104="","",IFERROR(IF(INDEX(CODIFICACION!$E$2:$E$500,MATCH("PP1|"&amp;CAPTURA!DF104,CODIFICACION!$F$2:$F$500,0))="sin dato","",INDEX(CODIFICACION!$E$2:$E$500,MATCH("PP1|"&amp;CAPTURA!DF104,CODIFICACION!$F$2:$F$500,0))),"⚠"))</f>
        <v/>
      </c>
      <c r="CA104" t="str">
        <f>IF(CAPTURA!DG104="","",IFERROR(IF(INDEX(CODIFICACION!$E$2:$E$500,MATCH("PP2|"&amp;CAPTURA!DG104,CODIFICACION!$F$2:$F$500,0))="sin dato","",INDEX(CODIFICACION!$E$2:$E$500,MATCH("PP2|"&amp;CAPTURA!DG104,CODIFICACION!$F$2:$F$500,0))),"⚠"))</f>
        <v/>
      </c>
      <c r="CB104" t="str">
        <f t="shared" si="33"/>
        <v/>
      </c>
      <c r="CC104" t="str">
        <f t="shared" si="34"/>
        <v/>
      </c>
      <c r="CD104" t="str">
        <f t="shared" si="35"/>
        <v/>
      </c>
      <c r="CE104" t="str">
        <f t="shared" si="36"/>
        <v/>
      </c>
      <c r="CF104" t="str">
        <f t="shared" si="37"/>
        <v/>
      </c>
      <c r="CG104" t="str">
        <f t="shared" si="38"/>
        <v/>
      </c>
      <c r="CH104" t="str">
        <f t="shared" si="39"/>
        <v/>
      </c>
      <c r="CI104" t="str">
        <f t="shared" si="40"/>
        <v/>
      </c>
      <c r="CJ104" t="str">
        <f t="shared" si="41"/>
        <v/>
      </c>
      <c r="CK104" t="str">
        <f t="shared" si="42"/>
        <v/>
      </c>
      <c r="CL104" t="str">
        <f t="shared" si="43"/>
        <v/>
      </c>
    </row>
    <row r="105" spans="1:90" x14ac:dyDescent="0.3">
      <c r="A105">
        <f>CAPTURA!A105</f>
        <v>20600200756</v>
      </c>
      <c r="B105">
        <f>CAPTURA!C105</f>
        <v>0</v>
      </c>
      <c r="C105" t="str">
        <f>IF(CAPTURA!M105="","",ROUND((ISNUMBER(SEARCH("Alemania",CAPTURA!M105))+ISNUMBER(SEARCH("Bélgica",CAPTURA!M105))+ISNUMBER(SEARCH("Países Bajos",CAPTURA!M105))+ISNUMBER(SEARCH("Francia",CAPTURA!M105))+ISNUMBER(SEARCH("Italia",CAPTURA!M105))+ISNUMBER(SEARCH("España",CAPTURA!M105))+ISNUMBER(SEARCH("Suecia",CAPTURA!M105))+ISNUMBER(SEARCH("Dinamarca",CAPTURA!M105)))/((LEN(CAPTURA!M105)-LEN(SUBSTITUTE(CAPTURA!M105,";","")))+1)*100,1))</f>
        <v/>
      </c>
      <c r="D105" t="str">
        <f>IF(CAPTURA!AE105="","",IFERROR(IF(INDEX(CODIFICACION!$E$2:$E$500,MATCH("P8|"&amp;CAPTURA!AE105,CODIFICACION!$F$2:$F$500,0))="sin dato","",INDEX(CODIFICACION!$E$2:$E$500,MATCH("P8|"&amp;CAPTURA!AE105,CODIFICACION!$F$2:$F$500,0))),"⚠"))</f>
        <v/>
      </c>
      <c r="E105" t="str">
        <f>IF(CAPTURA!AG105="","",IFERROR(IF(INDEX(CODIFICACION!$E$2:$E$500,MATCH("P10|"&amp;CAPTURA!AG105,CODIFICACION!$F$2:$F$500,0))="sin dato","",INDEX(CODIFICACION!$E$2:$E$500,MATCH("P10|"&amp;CAPTURA!AG105,CODIFICACION!$F$2:$F$500,0))),"⚠"))</f>
        <v/>
      </c>
      <c r="F105" t="str">
        <f>IF(CAPTURA!AJ105="","",IFERROR(IF(INDEX(CODIFICACION!$E$2:$E$500,MATCH("P13|"&amp;CAPTURA!AJ105,CODIFICACION!$F$2:$F$500,0))="sin dato","",INDEX(CODIFICACION!$E$2:$E$500,MATCH("P13|"&amp;CAPTURA!AJ105,CODIFICACION!$F$2:$F$500,0))),"⚠"))</f>
        <v/>
      </c>
      <c r="G105" t="str">
        <f>IF(CAPTURA!AK105="","",IFERROR(IF(INDEX(CODIFICACION!$E$2:$E$500,MATCH("P14|"&amp;CAPTURA!AK105,CODIFICACION!$F$2:$F$500,0))="sin dato","",INDEX(CODIFICACION!$E$2:$E$500,MATCH("P14|"&amp;CAPTURA!AK105,CODIFICACION!$F$2:$F$500,0))),"⚠"))</f>
        <v/>
      </c>
      <c r="H105" t="str">
        <f>IF(CAPTURA!AL105="","",IFERROR(IF(INDEX(CODIFICACION!$E$2:$E$500,MATCH("D1.1|"&amp;CAPTURA!AL105,CODIFICACION!$F$2:$F$500,0))="sin dato","",INDEX(CODIFICACION!$E$2:$E$500,MATCH("D1.1|"&amp;CAPTURA!AL105,CODIFICACION!$F$2:$F$500,0))),"⚠"))</f>
        <v/>
      </c>
      <c r="I105" t="str">
        <f>IF(CAPTURA!AN105="","",IFERROR(IF(INDEX(CODIFICACION!$E$2:$E$500,MATCH("D1.3|"&amp;CAPTURA!AN105,CODIFICACION!$F$2:$F$500,0))="sin dato","",INDEX(CODIFICACION!$E$2:$E$500,MATCH("D1.3|"&amp;CAPTURA!AN105,CODIFICACION!$F$2:$F$500,0))),"⚠"))</f>
        <v/>
      </c>
      <c r="J105" t="str">
        <f>IF(CAPTURA!AO105="","",IFERROR(IF(INDEX(CODIFICACION!$E$2:$E$500,MATCH("D1.4|"&amp;CAPTURA!AO105,CODIFICACION!$F$2:$F$500,0))="sin dato","",INDEX(CODIFICACION!$E$2:$E$500,MATCH("D1.4|"&amp;CAPTURA!AO105,CODIFICACION!$F$2:$F$500,0))),"⚠"))</f>
        <v/>
      </c>
      <c r="K105" t="str">
        <f>IF(CAPTURA!AP105="","",IFERROR(IF(INDEX(CODIFICACION!$E$2:$E$500,MATCH("D1.3a|"&amp;CAPTURA!AP105,CODIFICACION!$F$2:$F$500,0))="sin dato","",INDEX(CODIFICACION!$E$2:$E$500,MATCH("D1.3a|"&amp;CAPTURA!AP105,CODIFICACION!$F$2:$F$500,0))),"⚠"))</f>
        <v/>
      </c>
      <c r="L105" t="str">
        <f>IF(CAPTURA!AQ105="","",IF(AND(ISNUMBER(CAPTURA!AQ105),CAPTURA!AQ105&gt;=0,CAPTURA!AQ105&lt;=4),CAPTURA!AQ105*25,"⚠"))</f>
        <v/>
      </c>
      <c r="M105" t="str">
        <f>IF(CAPTURA!AR105="","",IF(ISNUMBER(CAPTURA!AR105),MAX(0,MIN(100,CAPTURA!AR105)),"⚠"))</f>
        <v/>
      </c>
      <c r="N105" t="str">
        <f>IF(CAPTURA!AS105="","",IF(AND(ISNUMBER(CAPTURA!AS105),CAPTURA!AS105&gt;=0,CAPTURA!AS105&lt;=4),CAPTURA!AS105*25,"⚠"))</f>
        <v/>
      </c>
      <c r="O105" t="str">
        <f>IF(CAPTURA!AT105="","",IFERROR(IF(INDEX(CODIFICACION!$E$2:$E$500,MATCH("D2.8|"&amp;CAPTURA!AT105,CODIFICACION!$F$2:$F$500,0))="sin dato","",INDEX(CODIFICACION!$E$2:$E$500,MATCH("D2.8|"&amp;CAPTURA!AT105,CODIFICACION!$F$2:$F$500,0))),"⚠"))</f>
        <v/>
      </c>
      <c r="P105" t="str">
        <f>IF(CAPTURA!AU105="","",IFERROR(IF(INDEX(CODIFICACION!$E$2:$E$500,MATCH("D2.9|"&amp;CAPTURA!AU105,CODIFICACION!$F$2:$F$500,0))="sin dato","",INDEX(CODIFICACION!$E$2:$E$500,MATCH("D2.9|"&amp;CAPTURA!AU105,CODIFICACION!$F$2:$F$500,0))),"⚠"))</f>
        <v/>
      </c>
      <c r="Q105" t="str">
        <f>IF(CAPTURA!AV105="","",IFERROR(IF(INDEX(CODIFICACION!$E$2:$E$500,MATCH("D2.10|"&amp;CAPTURA!AV105,CODIFICACION!$F$2:$F$500,0))="sin dato","",INDEX(CODIFICACION!$E$2:$E$500,MATCH("D2.10|"&amp;CAPTURA!AV105,CODIFICACION!$F$2:$F$500,0))),"⚠"))</f>
        <v/>
      </c>
      <c r="R105" t="str">
        <f>IF(CAPTURA!AW105="","",IFERROR(IF(INDEX(CODIFICACION!$E$2:$E$500,MATCH("D2.5a|"&amp;CAPTURA!AW105,CODIFICACION!$F$2:$F$500,0))="sin dato","",INDEX(CODIFICACION!$E$2:$E$500,MATCH("D2.5a|"&amp;CAPTURA!AW105,CODIFICACION!$F$2:$F$500,0))),"⚠"))</f>
        <v/>
      </c>
      <c r="S105" t="str">
        <f>IF(CAPTURA!AX105="","",IFERROR(IF(INDEX(CODIFICACION!$E$2:$E$500,MATCH("D2.5b|"&amp;CAPTURA!AX105,CODIFICACION!$F$2:$F$500,0))="sin dato","",INDEX(CODIFICACION!$E$2:$E$500,MATCH("D2.5b|"&amp;CAPTURA!AX105,CODIFICACION!$F$2:$F$500,0))),"⚠"))</f>
        <v/>
      </c>
      <c r="T105" t="str">
        <f>IF(CAPTURA!AY105="","",IF(ISNUMBER(CAPTURA!AY105),MAX(0,MIN(100,CAPTURA!AY105)),"⚠"))</f>
        <v/>
      </c>
      <c r="U105" t="str">
        <f>IF(CAPTURA!AZ105="","",IFERROR(IF(INDEX(CODIFICACION!$E$2:$E$500,MATCH("D3.12|"&amp;CAPTURA!AZ105,CODIFICACION!$F$2:$F$500,0))="sin dato","",INDEX(CODIFICACION!$E$2:$E$500,MATCH("D3.12|"&amp;CAPTURA!AZ105,CODIFICACION!$F$2:$F$500,0))),"⚠"))</f>
        <v/>
      </c>
      <c r="V105" t="str">
        <f>IF(CAPTURA!BA105="","",IF(AND(ISNUMBER(CAPTURA!BA105),CAPTURA!BA105&gt;=0,CAPTURA!BA105&lt;=4),CAPTURA!BA105*25,"⚠"))</f>
        <v/>
      </c>
      <c r="W105" t="str">
        <f>IF(CAPTURA!BB105="","",IFERROR(IF(INDEX(CODIFICACION!$E$2:$E$500,MATCH("D3.14|"&amp;CAPTURA!BB105,CODIFICACION!$F$2:$F$500,0))="sin dato","",INDEX(CODIFICACION!$E$2:$E$500,MATCH("D3.14|"&amp;CAPTURA!BB105,CODIFICACION!$F$2:$F$500,0))),"⚠"))</f>
        <v/>
      </c>
      <c r="X105" t="str">
        <f>IF(CAPTURA!BC105="","",IFERROR(IF(INDEX(CODIFICACION!$E$2:$E$500,MATCH("D3.14a|"&amp;CAPTURA!BC105,CODIFICACION!$F$2:$F$500,0))="sin dato","",INDEX(CODIFICACION!$E$2:$E$500,MATCH("D3.14a|"&amp;CAPTURA!BC105,CODIFICACION!$F$2:$F$500,0))),"⚠"))</f>
        <v/>
      </c>
      <c r="Y105" t="str">
        <f>IF(CAPTURA!BD105="","",IFERROR(IF(INDEX(CODIFICACION!$E$2:$E$500,MATCH("D3.14b|"&amp;CAPTURA!BD105,CODIFICACION!$F$2:$F$500,0))="sin dato","",INDEX(CODIFICACION!$E$2:$E$500,MATCH("D3.14b|"&amp;CAPTURA!BD105,CODIFICACION!$F$2:$F$500,0))),"⚠"))</f>
        <v/>
      </c>
      <c r="Z105" t="str">
        <f>IF(CAPTURA!BE105="","",IFERROR(IF(INDEX(CODIFICACION!$E$2:$E$500,MATCH("D3.14c|"&amp;CAPTURA!BE105,CODIFICACION!$F$2:$F$500,0))="sin dato","",INDEX(CODIFICACION!$E$2:$E$500,MATCH("D3.14c|"&amp;CAPTURA!BE105,CODIFICACION!$F$2:$F$500,0))),"⚠"))</f>
        <v/>
      </c>
      <c r="AA105" t="str">
        <f>IF(CAPTURA!BF105="","",IFERROR(IF(INDEX(CODIFICACION!$E$2:$E$500,MATCH("D3.14d|"&amp;CAPTURA!BF105,CODIFICACION!$F$2:$F$500,0))="sin dato","",INDEX(CODIFICACION!$E$2:$E$500,MATCH("D3.14d|"&amp;CAPTURA!BF105,CODIFICACION!$F$2:$F$500,0))),"⚠"))</f>
        <v/>
      </c>
      <c r="AB105" t="str">
        <f>IF(CAPTURA!BG105="","",IFERROR(IF(INDEX(CODIFICACION!$E$2:$E$500,MATCH("D3.14e|"&amp;CAPTURA!BG105,CODIFICACION!$F$2:$F$500,0))="sin dato","",INDEX(CODIFICACION!$E$2:$E$500,MATCH("D3.14e|"&amp;CAPTURA!BG105,CODIFICACION!$F$2:$F$500,0))),"⚠"))</f>
        <v/>
      </c>
      <c r="AC105" t="str">
        <f>IF(CAPTURA!BH105="","",IFERROR(IF(INDEX(CODIFICACION!$E$2:$E$500,MATCH("D3.14f|"&amp;CAPTURA!BH105,CODIFICACION!$F$2:$F$500,0))="sin dato","",INDEX(CODIFICACION!$E$2:$E$500,MATCH("D3.14f|"&amp;CAPTURA!BH105,CODIFICACION!$F$2:$F$500,0))),"⚠"))</f>
        <v/>
      </c>
      <c r="AD105" t="str">
        <f>IF(CAPTURA!BI105="","",IFERROR(IF(INDEX(CODIFICACION!$E$2:$E$500,MATCH("D3.14g|"&amp;CAPTURA!BI105,CODIFICACION!$F$2:$F$500,0))="sin dato","",INDEX(CODIFICACION!$E$2:$E$500,MATCH("D3.14g|"&amp;CAPTURA!BI105,CODIFICACION!$F$2:$F$500,0))),"⚠"))</f>
        <v/>
      </c>
      <c r="AE105" t="str">
        <f>IF(CAPTURA!BJ105="","",IFERROR(IF(INDEX(CODIFICACION!$E$2:$E$500,MATCH("D3.14h|"&amp;CAPTURA!BJ105,CODIFICACION!$F$2:$F$500,0))="sin dato","",INDEX(CODIFICACION!$E$2:$E$500,MATCH("D3.14h|"&amp;CAPTURA!BJ105,CODIFICACION!$F$2:$F$500,0))),"⚠"))</f>
        <v/>
      </c>
      <c r="AF105" t="str">
        <f>IF(CAPTURA!BK105="","",IFERROR(IF(INDEX(CODIFICACION!$E$2:$E$500,MATCH("D3.14i|"&amp;CAPTURA!BK105,CODIFICACION!$F$2:$F$500,0))="sin dato","",INDEX(CODIFICACION!$E$2:$E$500,MATCH("D3.14i|"&amp;CAPTURA!BK105,CODIFICACION!$F$2:$F$500,0))),"⚠"))</f>
        <v/>
      </c>
      <c r="AG105" t="str">
        <f>IF(CAPTURA!BL105="","",IFERROR(IF(INDEX(CODIFICACION!$E$2:$E$500,MATCH("D4.15|"&amp;CAPTURA!BL105,CODIFICACION!$F$2:$F$500,0))="sin dato","",INDEX(CODIFICACION!$E$2:$E$500,MATCH("D4.15|"&amp;CAPTURA!BL105,CODIFICACION!$F$2:$F$500,0))),"⚠"))</f>
        <v/>
      </c>
      <c r="AH105" t="str">
        <f>IF(CAPTURA!BM105="","",IF(AND(ISNUMBER(CAPTURA!BM105),CAPTURA!BM105&gt;=0,CAPTURA!BM105&lt;=4),CAPTURA!BM105*25,"⚠"))</f>
        <v/>
      </c>
      <c r="AI105" t="str">
        <f>IF(CAPTURA!BN105="","",IFERROR(IF(INDEX(CODIFICACION!$E$2:$E$500,MATCH("D4.17|"&amp;CAPTURA!BN105,CODIFICACION!$F$2:$F$500,0))="sin dato","",INDEX(CODIFICACION!$E$2:$E$500,MATCH("D4.17|"&amp;CAPTURA!BN105,CODIFICACION!$F$2:$F$500,0))),"⚠"))</f>
        <v/>
      </c>
      <c r="AJ105" t="str">
        <f>IF(CAPTURA!BO105="","",IFERROR(IF(INDEX(CODIFICACION!$E$2:$E$500,MATCH("D4.15a|"&amp;CAPTURA!BO105,CODIFICACION!$F$2:$F$500,0))="sin dato","",INDEX(CODIFICACION!$E$2:$E$500,MATCH("D4.15a|"&amp;CAPTURA!BO105,CODIFICACION!$F$2:$F$500,0))),"⚠"))</f>
        <v/>
      </c>
      <c r="AK105" t="str">
        <f>IF(CAPTURA!BP105="","",IF(AND(ISNUMBER(CAPTURA!BP105),CAPTURA!BP105&gt;=0,CAPTURA!BP105&lt;=4),CAPTURA!BP105*25,"⚠"))</f>
        <v/>
      </c>
      <c r="AL105" t="str">
        <f>IF(CAPTURA!BQ105="","",IF(AND(ISNUMBER(CAPTURA!BQ105),CAPTURA!BQ105&gt;=0,CAPTURA!BQ105&lt;=4),CAPTURA!BQ105*25,"⚠"))</f>
        <v/>
      </c>
      <c r="AM105" t="str">
        <f>IF(CAPTURA!BR105="","",IFERROR(IF(INDEX(CODIFICACION!$E$2:$E$500,MATCH("D5.18b|"&amp;CAPTURA!BR105,CODIFICACION!$F$2:$F$500,0))="sin dato","",INDEX(CODIFICACION!$E$2:$E$500,MATCH("D5.18b|"&amp;CAPTURA!BR105,CODIFICACION!$F$2:$F$500,0))),"⚠"))</f>
        <v/>
      </c>
      <c r="AN105" t="str">
        <f>IF(CAPTURA!BS105="","",IFERROR(IF(INDEX(CODIFICACION!$E$2:$E$500,MATCH("D5.19|"&amp;CAPTURA!BS105,CODIFICACION!$F$2:$F$500,0))="sin dato","",INDEX(CODIFICACION!$E$2:$E$500,MATCH("D5.19|"&amp;CAPTURA!BS105,CODIFICACION!$F$2:$F$500,0))),"⚠"))</f>
        <v/>
      </c>
      <c r="AO105" t="str">
        <f>IF(CAPTURA!BT105="","",MIN(100,ROUND((LEN(CAPTURA!BT105)-LEN(SUBSTITUTE(CAPTURA!BT105,";",""))+1)/7*100,1)))</f>
        <v/>
      </c>
      <c r="AP105" t="str">
        <f>IF(CAPTURA!BU105="","",IFERROR(IF(INDEX(CODIFICACION!$E$2:$E$500,MATCH("D5.20|"&amp;CAPTURA!BU105,CODIFICACION!$F$2:$F$500,0))="sin dato","",INDEX(CODIFICACION!$E$2:$E$500,MATCH("D5.20|"&amp;CAPTURA!BU105,CODIFICACION!$F$2:$F$500,0))),"⚠"))</f>
        <v/>
      </c>
      <c r="AQ105" t="str">
        <f>IF(CAPTURA!BV105="","",IFERROR(IF(INDEX(CODIFICACION!$E$2:$E$500,MATCH("D5.21|"&amp;CAPTURA!BV105,CODIFICACION!$F$2:$F$500,0))="sin dato","",INDEX(CODIFICACION!$E$2:$E$500,MATCH("D5.21|"&amp;CAPTURA!BV105,CODIFICACION!$F$2:$F$500,0))),"⚠"))</f>
        <v/>
      </c>
      <c r="AR105" t="str">
        <f>IF(CAPTURA!BW105="","",IFERROR(IF(INDEX(CODIFICACION!$E$2:$E$500,MATCH("D5.21a|"&amp;CAPTURA!BW105,CODIFICACION!$F$2:$F$500,0))="sin dato","",INDEX(CODIFICACION!$E$2:$E$500,MATCH("D5.21a|"&amp;CAPTURA!BW105,CODIFICACION!$F$2:$F$500,0))),"⚠"))</f>
        <v/>
      </c>
      <c r="AS105" t="str">
        <f>IF(CAPTURA!BX105="","",IFERROR(IF(INDEX(CODIFICACION!$E$2:$E$500,MATCH("D5.21b|"&amp;CAPTURA!BX105,CODIFICACION!$F$2:$F$500,0))="sin dato","",INDEX(CODIFICACION!$E$2:$E$500,MATCH("D5.21b|"&amp;CAPTURA!BX105,CODIFICACION!$F$2:$F$500,0))),"⚠"))</f>
        <v/>
      </c>
      <c r="AT105" t="str">
        <f>IF(CAPTURA!BY105="","",IFERROR(IF(INDEX(CODIFICACION!$E$2:$E$500,MATCH("D6.22|"&amp;CAPTURA!BY105,CODIFICACION!$F$2:$F$500,0))="sin dato","",INDEX(CODIFICACION!$E$2:$E$500,MATCH("D6.22|"&amp;CAPTURA!BY105,CODIFICACION!$F$2:$F$500,0))),"⚠"))</f>
        <v/>
      </c>
      <c r="AU105" t="str">
        <f>IF(CAPTURA!BZ105="","",IFERROR(IF(INDEX(CODIFICACION!$E$2:$E$500,MATCH("D6.22a|"&amp;CAPTURA!BZ105,CODIFICACION!$F$2:$F$500,0))="sin dato","",INDEX(CODIFICACION!$E$2:$E$500,MATCH("D6.22a|"&amp;CAPTURA!BZ105,CODIFICACION!$F$2:$F$500,0))),"⚠"))</f>
        <v/>
      </c>
      <c r="AV105" t="str">
        <f>IF(CAPTURA!CA105="","",IFERROR(IF(INDEX(CODIFICACION!$E$2:$E$500,MATCH("D6.22b|"&amp;CAPTURA!CA105,CODIFICACION!$F$2:$F$500,0))="sin dato","",INDEX(CODIFICACION!$E$2:$E$500,MATCH("D6.22b|"&amp;CAPTURA!CA105,CODIFICACION!$F$2:$F$500,0))),"⚠"))</f>
        <v/>
      </c>
      <c r="AW105" t="str">
        <f>IF(CAPTURA!CB105="","",IFERROR(IF(INDEX(CODIFICACION!$E$2:$E$500,MATCH("D6.23|"&amp;CAPTURA!CB105,CODIFICACION!$F$2:$F$500,0))="sin dato","",INDEX(CODIFICACION!$E$2:$E$500,MATCH("D6.23|"&amp;CAPTURA!CB105,CODIFICACION!$F$2:$F$500,0))),"⚠"))</f>
        <v/>
      </c>
      <c r="AX105" t="str">
        <f>IF(CAPTURA!CC105="","",IFERROR(IF(INDEX(CODIFICACION!$E$2:$E$500,MATCH("D6.24|"&amp;CAPTURA!CC105,CODIFICACION!$F$2:$F$500,0))="sin dato","",INDEX(CODIFICACION!$E$2:$E$500,MATCH("D6.24|"&amp;CAPTURA!CC105,CODIFICACION!$F$2:$F$500,0))),"⚠"))</f>
        <v/>
      </c>
      <c r="AY105" t="str">
        <f>IF(CAPTURA!CD105="","",IFERROR(IF(INDEX(CODIFICACION!$E$2:$E$500,MATCH("D6.25|"&amp;CAPTURA!CD105,CODIFICACION!$F$2:$F$500,0))="sin dato","",INDEX(CODIFICACION!$E$2:$E$500,MATCH("D6.25|"&amp;CAPTURA!CD105,CODIFICACION!$F$2:$F$500,0))),"⚠"))</f>
        <v/>
      </c>
      <c r="AZ105" t="str">
        <f>IF(CAPTURA!CE105="","",IFERROR(IF(INDEX(CODIFICACION!$E$2:$E$500,MATCH("D6.25a|"&amp;CAPTURA!CE105,CODIFICACION!$F$2:$F$500,0))="sin dato","",INDEX(CODIFICACION!$E$2:$E$500,MATCH("D6.25a|"&amp;CAPTURA!CE105,CODIFICACION!$F$2:$F$500,0))),"⚠"))</f>
        <v/>
      </c>
      <c r="BA105" t="str">
        <f>IF(CAPTURA!CF105="","",IFERROR(IF(INDEX(CODIFICACION!$E$2:$E$500,MATCH("D6.25b|"&amp;CAPTURA!CF105,CODIFICACION!$F$2:$F$500,0))="sin dato","",INDEX(CODIFICACION!$E$2:$E$500,MATCH("D6.25b|"&amp;CAPTURA!CF105,CODIFICACION!$F$2:$F$500,0))),"⚠"))</f>
        <v/>
      </c>
      <c r="BB105" t="str">
        <f>IF(CAPTURA!CG105="","",IFERROR(IF(INDEX(CODIFICACION!$E$2:$E$500,MATCH("D6.22c|"&amp;CAPTURA!CG105,CODIFICACION!$F$2:$F$500,0))="sin dato","",INDEX(CODIFICACION!$E$2:$E$500,MATCH("D6.22c|"&amp;CAPTURA!CG105,CODIFICACION!$F$2:$F$500,0))),"⚠"))</f>
        <v/>
      </c>
      <c r="BC105" t="str">
        <f>IF(CAPTURA!CH105="","",IFERROR(IF(INDEX(CODIFICACION!$E$2:$E$500,MATCH("D7.26|"&amp;CAPTURA!CH105,CODIFICACION!$F$2:$F$500,0))="sin dato","",INDEX(CODIFICACION!$E$2:$E$500,MATCH("D7.26|"&amp;CAPTURA!CH105,CODIFICACION!$F$2:$F$500,0))),"⚠"))</f>
        <v/>
      </c>
      <c r="BD105" t="str">
        <f>IF(CAPTURA!CI105="","",IFERROR(IF(INDEX(CODIFICACION!$E$2:$E$500,MATCH("D7.27|"&amp;CAPTURA!CI105,CODIFICACION!$F$2:$F$500,0))="sin dato","",INDEX(CODIFICACION!$E$2:$E$500,MATCH("D7.27|"&amp;CAPTURA!CI105,CODIFICACION!$F$2:$F$500,0))),"⚠"))</f>
        <v/>
      </c>
      <c r="BE105" t="str">
        <f>IF(CAPTURA!CJ105="","",IFERROR(IF(INDEX(CODIFICACION!$E$2:$E$500,MATCH("D7.28|"&amp;CAPTURA!CJ105,CODIFICACION!$F$2:$F$500,0))="sin dato","",INDEX(CODIFICACION!$E$2:$E$500,MATCH("D7.28|"&amp;CAPTURA!CJ105,CODIFICACION!$F$2:$F$500,0))),"⚠"))</f>
        <v/>
      </c>
      <c r="BF105" t="str">
        <f>IF(CAPTURA!CK105="","",IFERROR(IF(INDEX(CODIFICACION!$E$2:$E$500,MATCH("D7.28b|"&amp;CAPTURA!CK105,CODIFICACION!$F$2:$F$500,0))="sin dato","",INDEX(CODIFICACION!$E$2:$E$500,MATCH("D7.28b|"&amp;CAPTURA!CK105,CODIFICACION!$F$2:$F$500,0))),"⚠"))</f>
        <v/>
      </c>
      <c r="BG105" t="str">
        <f>IF(CAPTURA!CL105="","",MIN(100,ROUND((LEN(CAPTURA!CL105)-LEN(SUBSTITUTE(CAPTURA!CL105,";",""))+1)/8*100,1)))</f>
        <v/>
      </c>
      <c r="BH105" t="str">
        <f>IF(CAPTURA!CM105="","",IFERROR(IF(INDEX(CODIFICACION!$E$2:$E$500,MATCH("D7.26a|"&amp;CAPTURA!CM105,CODIFICACION!$F$2:$F$500,0))="sin dato","",INDEX(CODIFICACION!$E$2:$E$500,MATCH("D7.26a|"&amp;CAPTURA!CM105,CODIFICACION!$F$2:$F$500,0))),"⚠"))</f>
        <v/>
      </c>
      <c r="BI105" t="str">
        <f>IF(CAPTURA!CN105="","",IFERROR(IF(INDEX(CODIFICACION!$E$2:$E$500,MATCH("D7.26b|"&amp;CAPTURA!CN105,CODIFICACION!$F$2:$F$500,0))="sin dato","",INDEX(CODIFICACION!$E$2:$E$500,MATCH("D7.26b|"&amp;CAPTURA!CN105,CODIFICACION!$F$2:$F$500,0))),"⚠"))</f>
        <v/>
      </c>
      <c r="BJ105" t="str">
        <f>IF(CAPTURA!CO105="","",IF(AND(ISNUMBER(CAPTURA!CO105),CAPTURA!CO105&gt;=0,CAPTURA!CO105&lt;=4),CAPTURA!CO105*25,"⚠"))</f>
        <v/>
      </c>
      <c r="BK105" t="str">
        <f>IF(CAPTURA!CP105="","",IF(ISNUMBER(CAPTURA!CP105),MAX(0,MIN(100,CAPTURA!CP105)),"⚠"))</f>
        <v/>
      </c>
      <c r="BL105" t="str">
        <f>IF(CAPTURA!CQ105="","",IFERROR(IF(INDEX(CODIFICACION!$E$2:$E$500,MATCH("D8.31|"&amp;CAPTURA!CQ105,CODIFICACION!$F$2:$F$500,0))="sin dato","",INDEX(CODIFICACION!$E$2:$E$500,MATCH("D8.31|"&amp;CAPTURA!CQ105,CODIFICACION!$F$2:$F$500,0))),"⚠"))</f>
        <v/>
      </c>
      <c r="BM105" t="str">
        <f>IF(CAPTURA!CR105="","",IFERROR(IF(INDEX(CODIFICACION!$E$2:$E$500,MATCH("D8.32|"&amp;CAPTURA!CR105,CODIFICACION!$F$2:$F$500,0))="sin dato","",INDEX(CODIFICACION!$E$2:$E$500,MATCH("D8.32|"&amp;CAPTURA!CR105,CODIFICACION!$F$2:$F$500,0))),"⚠"))</f>
        <v/>
      </c>
      <c r="BN105" t="str">
        <f>IF(CAPTURA!CS105="","",IFERROR(IF(INDEX(CODIFICACION!$E$2:$E$500,MATCH("D9.33|"&amp;CAPTURA!CS105,CODIFICACION!$F$2:$F$500,0))="sin dato","",INDEX(CODIFICACION!$E$2:$E$500,MATCH("D9.33|"&amp;CAPTURA!CS105,CODIFICACION!$F$2:$F$500,0))),"⚠"))</f>
        <v/>
      </c>
      <c r="BO105" t="str">
        <f>IF(CAPTURA!CT105="","",IFERROR(IF(INDEX(CODIFICACION!$E$2:$E$500,MATCH("D9.34|"&amp;CAPTURA!CT105,CODIFICACION!$F$2:$F$500,0))="sin dato","",INDEX(CODIFICACION!$E$2:$E$500,MATCH("D9.34|"&amp;CAPTURA!CT105,CODIFICACION!$F$2:$F$500,0))),"⚠"))</f>
        <v/>
      </c>
      <c r="BP105" t="str">
        <f>IF(CAPTURA!CU105="","",IFERROR(IF(INDEX(CODIFICACION!$E$2:$E$500,MATCH("D9.35|"&amp;CAPTURA!CU105,CODIFICACION!$F$2:$F$500,0))="sin dato","",INDEX(CODIFICACION!$E$2:$E$500,MATCH("D9.35|"&amp;CAPTURA!CU105,CODIFICACION!$F$2:$F$500,0))),"⚠"))</f>
        <v/>
      </c>
      <c r="BQ105" t="str">
        <f>IF(CAPTURA!CV105="","",IFERROR(IF(INDEX(CODIFICACION!$E$2:$E$500,MATCH("D10.36|"&amp;CAPTURA!CV105,CODIFICACION!$F$2:$F$500,0))="sin dato","",INDEX(CODIFICACION!$E$2:$E$500,MATCH("D10.36|"&amp;CAPTURA!CV105,CODIFICACION!$F$2:$F$500,0))),"⚠"))</f>
        <v/>
      </c>
      <c r="BR105" t="str">
        <f>IF(CAPTURA!CW105="","",IFERROR(IF(INDEX(CODIFICACION!$E$2:$E$500,MATCH("D10.37|"&amp;CAPTURA!CW105,CODIFICACION!$F$2:$F$500,0))="sin dato","",INDEX(CODIFICACION!$E$2:$E$500,MATCH("D10.37|"&amp;CAPTURA!CW105,CODIFICACION!$F$2:$F$500,0))),"⚠"))</f>
        <v/>
      </c>
      <c r="BS105" t="str">
        <f>IF(CAPTURA!CX105="","",IFERROR(IF(INDEX(CODIFICACION!$E$2:$E$500,MATCH("D10.36a|"&amp;CAPTURA!CX105,CODIFICACION!$F$2:$F$500,0))="sin dato","",INDEX(CODIFICACION!$E$2:$E$500,MATCH("D10.36a|"&amp;CAPTURA!CX105,CODIFICACION!$F$2:$F$500,0))),"⚠"))</f>
        <v/>
      </c>
      <c r="BT105" t="str">
        <f>IF(CAPTURA!CY105="","",IF(ISNUMBER(SEARCH("Ninguno",CAPTURA!CY105)),0,MIN(100,ROUND((LEN(CAPTURA!CY105)-LEN(SUBSTITUTE(CAPTURA!CY105,";",""))+1)/6*100,1))))</f>
        <v/>
      </c>
      <c r="BU105" t="str">
        <f>IF(CAPTURA!DA105="","",IFERROR(IF(INDEX(CODIFICACION!$E$2:$E$500,MATCH("D11.39a|"&amp;CAPTURA!DA105,CODIFICACION!$F$2:$F$500,0))="sin dato","",INDEX(CODIFICACION!$E$2:$E$500,MATCH("D11.39a|"&amp;CAPTURA!DA105,CODIFICACION!$F$2:$F$500,0))),"⚠"))</f>
        <v/>
      </c>
      <c r="BV105" t="str">
        <f>IF(CAPTURA!DB105="","",IFERROR(IF(INDEX(CODIFICACION!$E$2:$E$500,MATCH("D12.42|"&amp;CAPTURA!DB105,CODIFICACION!$F$2:$F$500,0))="sin dato","",INDEX(CODIFICACION!$E$2:$E$500,MATCH("D12.42|"&amp;CAPTURA!DB105,CODIFICACION!$F$2:$F$500,0))),"⚠"))</f>
        <v/>
      </c>
      <c r="BW105" t="str">
        <f>IF(CAPTURA!DC105="","",IFERROR(IF(INDEX(CODIFICACION!$E$2:$E$500,MATCH("D13.45|"&amp;CAPTURA!DC105,CODIFICACION!$F$2:$F$500,0))="sin dato","",INDEX(CODIFICACION!$E$2:$E$500,MATCH("D13.45|"&amp;CAPTURA!DC105,CODIFICACION!$F$2:$F$500,0))),"⚠"))</f>
        <v/>
      </c>
      <c r="BX105" t="str">
        <f>IF(CAPTURA!DD105="","",IFERROR(IF(INDEX(CODIFICACION!$E$2:$E$500,MATCH("D14.51|"&amp;CAPTURA!DD105,CODIFICACION!$F$2:$F$500,0))="sin dato","",INDEX(CODIFICACION!$E$2:$E$500,MATCH("D14.51|"&amp;CAPTURA!DD105,CODIFICACION!$F$2:$F$500,0))),"⚠"))</f>
        <v/>
      </c>
      <c r="BY105" t="str">
        <f>IF(CAPTURA!DE105="","",IFERROR(IF(INDEX(CODIFICACION!$E$2:$E$500,MATCH("D15.58|"&amp;CAPTURA!DE105,CODIFICACION!$F$2:$F$500,0))="sin dato","",INDEX(CODIFICACION!$E$2:$E$500,MATCH("D15.58|"&amp;CAPTURA!DE105,CODIFICACION!$F$2:$F$500,0))),"⚠"))</f>
        <v/>
      </c>
      <c r="BZ105" t="str">
        <f>IF(CAPTURA!DF105="","",IFERROR(IF(INDEX(CODIFICACION!$E$2:$E$500,MATCH("PP1|"&amp;CAPTURA!DF105,CODIFICACION!$F$2:$F$500,0))="sin dato","",INDEX(CODIFICACION!$E$2:$E$500,MATCH("PP1|"&amp;CAPTURA!DF105,CODIFICACION!$F$2:$F$500,0))),"⚠"))</f>
        <v/>
      </c>
      <c r="CA105" t="str">
        <f>IF(CAPTURA!DG105="","",IFERROR(IF(INDEX(CODIFICACION!$E$2:$E$500,MATCH("PP2|"&amp;CAPTURA!DG105,CODIFICACION!$F$2:$F$500,0))="sin dato","",INDEX(CODIFICACION!$E$2:$E$500,MATCH("PP2|"&amp;CAPTURA!DG105,CODIFICACION!$F$2:$F$500,0))),"⚠"))</f>
        <v/>
      </c>
      <c r="CB105" t="str">
        <f t="shared" si="33"/>
        <v/>
      </c>
      <c r="CC105" t="str">
        <f t="shared" si="34"/>
        <v/>
      </c>
      <c r="CD105" t="str">
        <f t="shared" si="35"/>
        <v/>
      </c>
      <c r="CE105" t="str">
        <f t="shared" si="36"/>
        <v/>
      </c>
      <c r="CF105" t="str">
        <f t="shared" si="37"/>
        <v/>
      </c>
      <c r="CG105" t="str">
        <f t="shared" si="38"/>
        <v/>
      </c>
      <c r="CH105" t="str">
        <f t="shared" si="39"/>
        <v/>
      </c>
      <c r="CI105" t="str">
        <f t="shared" si="40"/>
        <v/>
      </c>
      <c r="CJ105" t="str">
        <f t="shared" si="41"/>
        <v/>
      </c>
      <c r="CK105" t="str">
        <f t="shared" si="42"/>
        <v/>
      </c>
      <c r="CL105" t="str">
        <f t="shared" si="43"/>
        <v/>
      </c>
    </row>
    <row r="106" spans="1:90" x14ac:dyDescent="0.3">
      <c r="A106">
        <f>CAPTURA!A106</f>
        <v>20600263286</v>
      </c>
      <c r="B106">
        <f>CAPTURA!C106</f>
        <v>0</v>
      </c>
      <c r="C106" t="str">
        <f>IF(CAPTURA!M106="","",ROUND((ISNUMBER(SEARCH("Alemania",CAPTURA!M106))+ISNUMBER(SEARCH("Bélgica",CAPTURA!M106))+ISNUMBER(SEARCH("Países Bajos",CAPTURA!M106))+ISNUMBER(SEARCH("Francia",CAPTURA!M106))+ISNUMBER(SEARCH("Italia",CAPTURA!M106))+ISNUMBER(SEARCH("España",CAPTURA!M106))+ISNUMBER(SEARCH("Suecia",CAPTURA!M106))+ISNUMBER(SEARCH("Dinamarca",CAPTURA!M106)))/((LEN(CAPTURA!M106)-LEN(SUBSTITUTE(CAPTURA!M106,";","")))+1)*100,1))</f>
        <v/>
      </c>
      <c r="D106" t="str">
        <f>IF(CAPTURA!AE106="","",IFERROR(IF(INDEX(CODIFICACION!$E$2:$E$500,MATCH("P8|"&amp;CAPTURA!AE106,CODIFICACION!$F$2:$F$500,0))="sin dato","",INDEX(CODIFICACION!$E$2:$E$500,MATCH("P8|"&amp;CAPTURA!AE106,CODIFICACION!$F$2:$F$500,0))),"⚠"))</f>
        <v/>
      </c>
      <c r="E106" t="str">
        <f>IF(CAPTURA!AG106="","",IFERROR(IF(INDEX(CODIFICACION!$E$2:$E$500,MATCH("P10|"&amp;CAPTURA!AG106,CODIFICACION!$F$2:$F$500,0))="sin dato","",INDEX(CODIFICACION!$E$2:$E$500,MATCH("P10|"&amp;CAPTURA!AG106,CODIFICACION!$F$2:$F$500,0))),"⚠"))</f>
        <v/>
      </c>
      <c r="F106" t="str">
        <f>IF(CAPTURA!AJ106="","",IFERROR(IF(INDEX(CODIFICACION!$E$2:$E$500,MATCH("P13|"&amp;CAPTURA!AJ106,CODIFICACION!$F$2:$F$500,0))="sin dato","",INDEX(CODIFICACION!$E$2:$E$500,MATCH("P13|"&amp;CAPTURA!AJ106,CODIFICACION!$F$2:$F$500,0))),"⚠"))</f>
        <v/>
      </c>
      <c r="G106" t="str">
        <f>IF(CAPTURA!AK106="","",IFERROR(IF(INDEX(CODIFICACION!$E$2:$E$500,MATCH("P14|"&amp;CAPTURA!AK106,CODIFICACION!$F$2:$F$500,0))="sin dato","",INDEX(CODIFICACION!$E$2:$E$500,MATCH("P14|"&amp;CAPTURA!AK106,CODIFICACION!$F$2:$F$500,0))),"⚠"))</f>
        <v/>
      </c>
      <c r="H106" t="str">
        <f>IF(CAPTURA!AL106="","",IFERROR(IF(INDEX(CODIFICACION!$E$2:$E$500,MATCH("D1.1|"&amp;CAPTURA!AL106,CODIFICACION!$F$2:$F$500,0))="sin dato","",INDEX(CODIFICACION!$E$2:$E$500,MATCH("D1.1|"&amp;CAPTURA!AL106,CODIFICACION!$F$2:$F$500,0))),"⚠"))</f>
        <v/>
      </c>
      <c r="I106" t="str">
        <f>IF(CAPTURA!AN106="","",IFERROR(IF(INDEX(CODIFICACION!$E$2:$E$500,MATCH("D1.3|"&amp;CAPTURA!AN106,CODIFICACION!$F$2:$F$500,0))="sin dato","",INDEX(CODIFICACION!$E$2:$E$500,MATCH("D1.3|"&amp;CAPTURA!AN106,CODIFICACION!$F$2:$F$500,0))),"⚠"))</f>
        <v/>
      </c>
      <c r="J106" t="str">
        <f>IF(CAPTURA!AO106="","",IFERROR(IF(INDEX(CODIFICACION!$E$2:$E$500,MATCH("D1.4|"&amp;CAPTURA!AO106,CODIFICACION!$F$2:$F$500,0))="sin dato","",INDEX(CODIFICACION!$E$2:$E$500,MATCH("D1.4|"&amp;CAPTURA!AO106,CODIFICACION!$F$2:$F$500,0))),"⚠"))</f>
        <v/>
      </c>
      <c r="K106" t="str">
        <f>IF(CAPTURA!AP106="","",IFERROR(IF(INDEX(CODIFICACION!$E$2:$E$500,MATCH("D1.3a|"&amp;CAPTURA!AP106,CODIFICACION!$F$2:$F$500,0))="sin dato","",INDEX(CODIFICACION!$E$2:$E$500,MATCH("D1.3a|"&amp;CAPTURA!AP106,CODIFICACION!$F$2:$F$500,0))),"⚠"))</f>
        <v/>
      </c>
      <c r="L106" t="str">
        <f>IF(CAPTURA!AQ106="","",IF(AND(ISNUMBER(CAPTURA!AQ106),CAPTURA!AQ106&gt;=0,CAPTURA!AQ106&lt;=4),CAPTURA!AQ106*25,"⚠"))</f>
        <v/>
      </c>
      <c r="M106" t="str">
        <f>IF(CAPTURA!AR106="","",IF(ISNUMBER(CAPTURA!AR106),MAX(0,MIN(100,CAPTURA!AR106)),"⚠"))</f>
        <v/>
      </c>
      <c r="N106" t="str">
        <f>IF(CAPTURA!AS106="","",IF(AND(ISNUMBER(CAPTURA!AS106),CAPTURA!AS106&gt;=0,CAPTURA!AS106&lt;=4),CAPTURA!AS106*25,"⚠"))</f>
        <v/>
      </c>
      <c r="O106" t="str">
        <f>IF(CAPTURA!AT106="","",IFERROR(IF(INDEX(CODIFICACION!$E$2:$E$500,MATCH("D2.8|"&amp;CAPTURA!AT106,CODIFICACION!$F$2:$F$500,0))="sin dato","",INDEX(CODIFICACION!$E$2:$E$500,MATCH("D2.8|"&amp;CAPTURA!AT106,CODIFICACION!$F$2:$F$500,0))),"⚠"))</f>
        <v/>
      </c>
      <c r="P106" t="str">
        <f>IF(CAPTURA!AU106="","",IFERROR(IF(INDEX(CODIFICACION!$E$2:$E$500,MATCH("D2.9|"&amp;CAPTURA!AU106,CODIFICACION!$F$2:$F$500,0))="sin dato","",INDEX(CODIFICACION!$E$2:$E$500,MATCH("D2.9|"&amp;CAPTURA!AU106,CODIFICACION!$F$2:$F$500,0))),"⚠"))</f>
        <v/>
      </c>
      <c r="Q106" t="str">
        <f>IF(CAPTURA!AV106="","",IFERROR(IF(INDEX(CODIFICACION!$E$2:$E$500,MATCH("D2.10|"&amp;CAPTURA!AV106,CODIFICACION!$F$2:$F$500,0))="sin dato","",INDEX(CODIFICACION!$E$2:$E$500,MATCH("D2.10|"&amp;CAPTURA!AV106,CODIFICACION!$F$2:$F$500,0))),"⚠"))</f>
        <v/>
      </c>
      <c r="R106" t="str">
        <f>IF(CAPTURA!AW106="","",IFERROR(IF(INDEX(CODIFICACION!$E$2:$E$500,MATCH("D2.5a|"&amp;CAPTURA!AW106,CODIFICACION!$F$2:$F$500,0))="sin dato","",INDEX(CODIFICACION!$E$2:$E$500,MATCH("D2.5a|"&amp;CAPTURA!AW106,CODIFICACION!$F$2:$F$500,0))),"⚠"))</f>
        <v/>
      </c>
      <c r="S106" t="str">
        <f>IF(CAPTURA!AX106="","",IFERROR(IF(INDEX(CODIFICACION!$E$2:$E$500,MATCH("D2.5b|"&amp;CAPTURA!AX106,CODIFICACION!$F$2:$F$500,0))="sin dato","",INDEX(CODIFICACION!$E$2:$E$500,MATCH("D2.5b|"&amp;CAPTURA!AX106,CODIFICACION!$F$2:$F$500,0))),"⚠"))</f>
        <v/>
      </c>
      <c r="T106" t="str">
        <f>IF(CAPTURA!AY106="","",IF(ISNUMBER(CAPTURA!AY106),MAX(0,MIN(100,CAPTURA!AY106)),"⚠"))</f>
        <v/>
      </c>
      <c r="U106" t="str">
        <f>IF(CAPTURA!AZ106="","",IFERROR(IF(INDEX(CODIFICACION!$E$2:$E$500,MATCH("D3.12|"&amp;CAPTURA!AZ106,CODIFICACION!$F$2:$F$500,0))="sin dato","",INDEX(CODIFICACION!$E$2:$E$500,MATCH("D3.12|"&amp;CAPTURA!AZ106,CODIFICACION!$F$2:$F$500,0))),"⚠"))</f>
        <v/>
      </c>
      <c r="V106" t="str">
        <f>IF(CAPTURA!BA106="","",IF(AND(ISNUMBER(CAPTURA!BA106),CAPTURA!BA106&gt;=0,CAPTURA!BA106&lt;=4),CAPTURA!BA106*25,"⚠"))</f>
        <v/>
      </c>
      <c r="W106" t="str">
        <f>IF(CAPTURA!BB106="","",IFERROR(IF(INDEX(CODIFICACION!$E$2:$E$500,MATCH("D3.14|"&amp;CAPTURA!BB106,CODIFICACION!$F$2:$F$500,0))="sin dato","",INDEX(CODIFICACION!$E$2:$E$500,MATCH("D3.14|"&amp;CAPTURA!BB106,CODIFICACION!$F$2:$F$500,0))),"⚠"))</f>
        <v/>
      </c>
      <c r="X106" t="str">
        <f>IF(CAPTURA!BC106="","",IFERROR(IF(INDEX(CODIFICACION!$E$2:$E$500,MATCH("D3.14a|"&amp;CAPTURA!BC106,CODIFICACION!$F$2:$F$500,0))="sin dato","",INDEX(CODIFICACION!$E$2:$E$500,MATCH("D3.14a|"&amp;CAPTURA!BC106,CODIFICACION!$F$2:$F$500,0))),"⚠"))</f>
        <v/>
      </c>
      <c r="Y106" t="str">
        <f>IF(CAPTURA!BD106="","",IFERROR(IF(INDEX(CODIFICACION!$E$2:$E$500,MATCH("D3.14b|"&amp;CAPTURA!BD106,CODIFICACION!$F$2:$F$500,0))="sin dato","",INDEX(CODIFICACION!$E$2:$E$500,MATCH("D3.14b|"&amp;CAPTURA!BD106,CODIFICACION!$F$2:$F$500,0))),"⚠"))</f>
        <v/>
      </c>
      <c r="Z106" t="str">
        <f>IF(CAPTURA!BE106="","",IFERROR(IF(INDEX(CODIFICACION!$E$2:$E$500,MATCH("D3.14c|"&amp;CAPTURA!BE106,CODIFICACION!$F$2:$F$500,0))="sin dato","",INDEX(CODIFICACION!$E$2:$E$500,MATCH("D3.14c|"&amp;CAPTURA!BE106,CODIFICACION!$F$2:$F$500,0))),"⚠"))</f>
        <v/>
      </c>
      <c r="AA106" t="str">
        <f>IF(CAPTURA!BF106="","",IFERROR(IF(INDEX(CODIFICACION!$E$2:$E$500,MATCH("D3.14d|"&amp;CAPTURA!BF106,CODIFICACION!$F$2:$F$500,0))="sin dato","",INDEX(CODIFICACION!$E$2:$E$500,MATCH("D3.14d|"&amp;CAPTURA!BF106,CODIFICACION!$F$2:$F$500,0))),"⚠"))</f>
        <v/>
      </c>
      <c r="AB106" t="str">
        <f>IF(CAPTURA!BG106="","",IFERROR(IF(INDEX(CODIFICACION!$E$2:$E$500,MATCH("D3.14e|"&amp;CAPTURA!BG106,CODIFICACION!$F$2:$F$500,0))="sin dato","",INDEX(CODIFICACION!$E$2:$E$500,MATCH("D3.14e|"&amp;CAPTURA!BG106,CODIFICACION!$F$2:$F$500,0))),"⚠"))</f>
        <v/>
      </c>
      <c r="AC106" t="str">
        <f>IF(CAPTURA!BH106="","",IFERROR(IF(INDEX(CODIFICACION!$E$2:$E$500,MATCH("D3.14f|"&amp;CAPTURA!BH106,CODIFICACION!$F$2:$F$500,0))="sin dato","",INDEX(CODIFICACION!$E$2:$E$500,MATCH("D3.14f|"&amp;CAPTURA!BH106,CODIFICACION!$F$2:$F$500,0))),"⚠"))</f>
        <v/>
      </c>
      <c r="AD106" t="str">
        <f>IF(CAPTURA!BI106="","",IFERROR(IF(INDEX(CODIFICACION!$E$2:$E$500,MATCH("D3.14g|"&amp;CAPTURA!BI106,CODIFICACION!$F$2:$F$500,0))="sin dato","",INDEX(CODIFICACION!$E$2:$E$500,MATCH("D3.14g|"&amp;CAPTURA!BI106,CODIFICACION!$F$2:$F$500,0))),"⚠"))</f>
        <v/>
      </c>
      <c r="AE106" t="str">
        <f>IF(CAPTURA!BJ106="","",IFERROR(IF(INDEX(CODIFICACION!$E$2:$E$500,MATCH("D3.14h|"&amp;CAPTURA!BJ106,CODIFICACION!$F$2:$F$500,0))="sin dato","",INDEX(CODIFICACION!$E$2:$E$500,MATCH("D3.14h|"&amp;CAPTURA!BJ106,CODIFICACION!$F$2:$F$500,0))),"⚠"))</f>
        <v/>
      </c>
      <c r="AF106" t="str">
        <f>IF(CAPTURA!BK106="","",IFERROR(IF(INDEX(CODIFICACION!$E$2:$E$500,MATCH("D3.14i|"&amp;CAPTURA!BK106,CODIFICACION!$F$2:$F$500,0))="sin dato","",INDEX(CODIFICACION!$E$2:$E$500,MATCH("D3.14i|"&amp;CAPTURA!BK106,CODIFICACION!$F$2:$F$500,0))),"⚠"))</f>
        <v/>
      </c>
      <c r="AG106" t="str">
        <f>IF(CAPTURA!BL106="","",IFERROR(IF(INDEX(CODIFICACION!$E$2:$E$500,MATCH("D4.15|"&amp;CAPTURA!BL106,CODIFICACION!$F$2:$F$500,0))="sin dato","",INDEX(CODIFICACION!$E$2:$E$500,MATCH("D4.15|"&amp;CAPTURA!BL106,CODIFICACION!$F$2:$F$500,0))),"⚠"))</f>
        <v/>
      </c>
      <c r="AH106" t="str">
        <f>IF(CAPTURA!BM106="","",IF(AND(ISNUMBER(CAPTURA!BM106),CAPTURA!BM106&gt;=0,CAPTURA!BM106&lt;=4),CAPTURA!BM106*25,"⚠"))</f>
        <v/>
      </c>
      <c r="AI106" t="str">
        <f>IF(CAPTURA!BN106="","",IFERROR(IF(INDEX(CODIFICACION!$E$2:$E$500,MATCH("D4.17|"&amp;CAPTURA!BN106,CODIFICACION!$F$2:$F$500,0))="sin dato","",INDEX(CODIFICACION!$E$2:$E$500,MATCH("D4.17|"&amp;CAPTURA!BN106,CODIFICACION!$F$2:$F$500,0))),"⚠"))</f>
        <v/>
      </c>
      <c r="AJ106" t="str">
        <f>IF(CAPTURA!BO106="","",IFERROR(IF(INDEX(CODIFICACION!$E$2:$E$500,MATCH("D4.15a|"&amp;CAPTURA!BO106,CODIFICACION!$F$2:$F$500,0))="sin dato","",INDEX(CODIFICACION!$E$2:$E$500,MATCH("D4.15a|"&amp;CAPTURA!BO106,CODIFICACION!$F$2:$F$500,0))),"⚠"))</f>
        <v/>
      </c>
      <c r="AK106" t="str">
        <f>IF(CAPTURA!BP106="","",IF(AND(ISNUMBER(CAPTURA!BP106),CAPTURA!BP106&gt;=0,CAPTURA!BP106&lt;=4),CAPTURA!BP106*25,"⚠"))</f>
        <v/>
      </c>
      <c r="AL106" t="str">
        <f>IF(CAPTURA!BQ106="","",IF(AND(ISNUMBER(CAPTURA!BQ106),CAPTURA!BQ106&gt;=0,CAPTURA!BQ106&lt;=4),CAPTURA!BQ106*25,"⚠"))</f>
        <v/>
      </c>
      <c r="AM106" t="str">
        <f>IF(CAPTURA!BR106="","",IFERROR(IF(INDEX(CODIFICACION!$E$2:$E$500,MATCH("D5.18b|"&amp;CAPTURA!BR106,CODIFICACION!$F$2:$F$500,0))="sin dato","",INDEX(CODIFICACION!$E$2:$E$500,MATCH("D5.18b|"&amp;CAPTURA!BR106,CODIFICACION!$F$2:$F$500,0))),"⚠"))</f>
        <v/>
      </c>
      <c r="AN106" t="str">
        <f>IF(CAPTURA!BS106="","",IFERROR(IF(INDEX(CODIFICACION!$E$2:$E$500,MATCH("D5.19|"&amp;CAPTURA!BS106,CODIFICACION!$F$2:$F$500,0))="sin dato","",INDEX(CODIFICACION!$E$2:$E$500,MATCH("D5.19|"&amp;CAPTURA!BS106,CODIFICACION!$F$2:$F$500,0))),"⚠"))</f>
        <v/>
      </c>
      <c r="AO106" t="str">
        <f>IF(CAPTURA!BT106="","",MIN(100,ROUND((LEN(CAPTURA!BT106)-LEN(SUBSTITUTE(CAPTURA!BT106,";",""))+1)/7*100,1)))</f>
        <v/>
      </c>
      <c r="AP106" t="str">
        <f>IF(CAPTURA!BU106="","",IFERROR(IF(INDEX(CODIFICACION!$E$2:$E$500,MATCH("D5.20|"&amp;CAPTURA!BU106,CODIFICACION!$F$2:$F$500,0))="sin dato","",INDEX(CODIFICACION!$E$2:$E$500,MATCH("D5.20|"&amp;CAPTURA!BU106,CODIFICACION!$F$2:$F$500,0))),"⚠"))</f>
        <v/>
      </c>
      <c r="AQ106" t="str">
        <f>IF(CAPTURA!BV106="","",IFERROR(IF(INDEX(CODIFICACION!$E$2:$E$500,MATCH("D5.21|"&amp;CAPTURA!BV106,CODIFICACION!$F$2:$F$500,0))="sin dato","",INDEX(CODIFICACION!$E$2:$E$500,MATCH("D5.21|"&amp;CAPTURA!BV106,CODIFICACION!$F$2:$F$500,0))),"⚠"))</f>
        <v/>
      </c>
      <c r="AR106" t="str">
        <f>IF(CAPTURA!BW106="","",IFERROR(IF(INDEX(CODIFICACION!$E$2:$E$500,MATCH("D5.21a|"&amp;CAPTURA!BW106,CODIFICACION!$F$2:$F$500,0))="sin dato","",INDEX(CODIFICACION!$E$2:$E$500,MATCH("D5.21a|"&amp;CAPTURA!BW106,CODIFICACION!$F$2:$F$500,0))),"⚠"))</f>
        <v/>
      </c>
      <c r="AS106" t="str">
        <f>IF(CAPTURA!BX106="","",IFERROR(IF(INDEX(CODIFICACION!$E$2:$E$500,MATCH("D5.21b|"&amp;CAPTURA!BX106,CODIFICACION!$F$2:$F$500,0))="sin dato","",INDEX(CODIFICACION!$E$2:$E$500,MATCH("D5.21b|"&amp;CAPTURA!BX106,CODIFICACION!$F$2:$F$500,0))),"⚠"))</f>
        <v/>
      </c>
      <c r="AT106" t="str">
        <f>IF(CAPTURA!BY106="","",IFERROR(IF(INDEX(CODIFICACION!$E$2:$E$500,MATCH("D6.22|"&amp;CAPTURA!BY106,CODIFICACION!$F$2:$F$500,0))="sin dato","",INDEX(CODIFICACION!$E$2:$E$500,MATCH("D6.22|"&amp;CAPTURA!BY106,CODIFICACION!$F$2:$F$500,0))),"⚠"))</f>
        <v/>
      </c>
      <c r="AU106" t="str">
        <f>IF(CAPTURA!BZ106="","",IFERROR(IF(INDEX(CODIFICACION!$E$2:$E$500,MATCH("D6.22a|"&amp;CAPTURA!BZ106,CODIFICACION!$F$2:$F$500,0))="sin dato","",INDEX(CODIFICACION!$E$2:$E$500,MATCH("D6.22a|"&amp;CAPTURA!BZ106,CODIFICACION!$F$2:$F$500,0))),"⚠"))</f>
        <v/>
      </c>
      <c r="AV106" t="str">
        <f>IF(CAPTURA!CA106="","",IFERROR(IF(INDEX(CODIFICACION!$E$2:$E$500,MATCH("D6.22b|"&amp;CAPTURA!CA106,CODIFICACION!$F$2:$F$500,0))="sin dato","",INDEX(CODIFICACION!$E$2:$E$500,MATCH("D6.22b|"&amp;CAPTURA!CA106,CODIFICACION!$F$2:$F$500,0))),"⚠"))</f>
        <v/>
      </c>
      <c r="AW106" t="str">
        <f>IF(CAPTURA!CB106="","",IFERROR(IF(INDEX(CODIFICACION!$E$2:$E$500,MATCH("D6.23|"&amp;CAPTURA!CB106,CODIFICACION!$F$2:$F$500,0))="sin dato","",INDEX(CODIFICACION!$E$2:$E$500,MATCH("D6.23|"&amp;CAPTURA!CB106,CODIFICACION!$F$2:$F$500,0))),"⚠"))</f>
        <v/>
      </c>
      <c r="AX106" t="str">
        <f>IF(CAPTURA!CC106="","",IFERROR(IF(INDEX(CODIFICACION!$E$2:$E$500,MATCH("D6.24|"&amp;CAPTURA!CC106,CODIFICACION!$F$2:$F$500,0))="sin dato","",INDEX(CODIFICACION!$E$2:$E$500,MATCH("D6.24|"&amp;CAPTURA!CC106,CODIFICACION!$F$2:$F$500,0))),"⚠"))</f>
        <v/>
      </c>
      <c r="AY106" t="str">
        <f>IF(CAPTURA!CD106="","",IFERROR(IF(INDEX(CODIFICACION!$E$2:$E$500,MATCH("D6.25|"&amp;CAPTURA!CD106,CODIFICACION!$F$2:$F$500,0))="sin dato","",INDEX(CODIFICACION!$E$2:$E$500,MATCH("D6.25|"&amp;CAPTURA!CD106,CODIFICACION!$F$2:$F$500,0))),"⚠"))</f>
        <v/>
      </c>
      <c r="AZ106" t="str">
        <f>IF(CAPTURA!CE106="","",IFERROR(IF(INDEX(CODIFICACION!$E$2:$E$500,MATCH("D6.25a|"&amp;CAPTURA!CE106,CODIFICACION!$F$2:$F$500,0))="sin dato","",INDEX(CODIFICACION!$E$2:$E$500,MATCH("D6.25a|"&amp;CAPTURA!CE106,CODIFICACION!$F$2:$F$500,0))),"⚠"))</f>
        <v/>
      </c>
      <c r="BA106" t="str">
        <f>IF(CAPTURA!CF106="","",IFERROR(IF(INDEX(CODIFICACION!$E$2:$E$500,MATCH("D6.25b|"&amp;CAPTURA!CF106,CODIFICACION!$F$2:$F$500,0))="sin dato","",INDEX(CODIFICACION!$E$2:$E$500,MATCH("D6.25b|"&amp;CAPTURA!CF106,CODIFICACION!$F$2:$F$500,0))),"⚠"))</f>
        <v/>
      </c>
      <c r="BB106" t="str">
        <f>IF(CAPTURA!CG106="","",IFERROR(IF(INDEX(CODIFICACION!$E$2:$E$500,MATCH("D6.22c|"&amp;CAPTURA!CG106,CODIFICACION!$F$2:$F$500,0))="sin dato","",INDEX(CODIFICACION!$E$2:$E$500,MATCH("D6.22c|"&amp;CAPTURA!CG106,CODIFICACION!$F$2:$F$500,0))),"⚠"))</f>
        <v/>
      </c>
      <c r="BC106" t="str">
        <f>IF(CAPTURA!CH106="","",IFERROR(IF(INDEX(CODIFICACION!$E$2:$E$500,MATCH("D7.26|"&amp;CAPTURA!CH106,CODIFICACION!$F$2:$F$500,0))="sin dato","",INDEX(CODIFICACION!$E$2:$E$500,MATCH("D7.26|"&amp;CAPTURA!CH106,CODIFICACION!$F$2:$F$500,0))),"⚠"))</f>
        <v/>
      </c>
      <c r="BD106" t="str">
        <f>IF(CAPTURA!CI106="","",IFERROR(IF(INDEX(CODIFICACION!$E$2:$E$500,MATCH("D7.27|"&amp;CAPTURA!CI106,CODIFICACION!$F$2:$F$500,0))="sin dato","",INDEX(CODIFICACION!$E$2:$E$500,MATCH("D7.27|"&amp;CAPTURA!CI106,CODIFICACION!$F$2:$F$500,0))),"⚠"))</f>
        <v/>
      </c>
      <c r="BE106" t="str">
        <f>IF(CAPTURA!CJ106="","",IFERROR(IF(INDEX(CODIFICACION!$E$2:$E$500,MATCH("D7.28|"&amp;CAPTURA!CJ106,CODIFICACION!$F$2:$F$500,0))="sin dato","",INDEX(CODIFICACION!$E$2:$E$500,MATCH("D7.28|"&amp;CAPTURA!CJ106,CODIFICACION!$F$2:$F$500,0))),"⚠"))</f>
        <v/>
      </c>
      <c r="BF106" t="str">
        <f>IF(CAPTURA!CK106="","",IFERROR(IF(INDEX(CODIFICACION!$E$2:$E$500,MATCH("D7.28b|"&amp;CAPTURA!CK106,CODIFICACION!$F$2:$F$500,0))="sin dato","",INDEX(CODIFICACION!$E$2:$E$500,MATCH("D7.28b|"&amp;CAPTURA!CK106,CODIFICACION!$F$2:$F$500,0))),"⚠"))</f>
        <v/>
      </c>
      <c r="BG106" t="str">
        <f>IF(CAPTURA!CL106="","",MIN(100,ROUND((LEN(CAPTURA!CL106)-LEN(SUBSTITUTE(CAPTURA!CL106,";",""))+1)/8*100,1)))</f>
        <v/>
      </c>
      <c r="BH106" t="str">
        <f>IF(CAPTURA!CM106="","",IFERROR(IF(INDEX(CODIFICACION!$E$2:$E$500,MATCH("D7.26a|"&amp;CAPTURA!CM106,CODIFICACION!$F$2:$F$500,0))="sin dato","",INDEX(CODIFICACION!$E$2:$E$500,MATCH("D7.26a|"&amp;CAPTURA!CM106,CODIFICACION!$F$2:$F$500,0))),"⚠"))</f>
        <v/>
      </c>
      <c r="BI106" t="str">
        <f>IF(CAPTURA!CN106="","",IFERROR(IF(INDEX(CODIFICACION!$E$2:$E$500,MATCH("D7.26b|"&amp;CAPTURA!CN106,CODIFICACION!$F$2:$F$500,0))="sin dato","",INDEX(CODIFICACION!$E$2:$E$500,MATCH("D7.26b|"&amp;CAPTURA!CN106,CODIFICACION!$F$2:$F$500,0))),"⚠"))</f>
        <v/>
      </c>
      <c r="BJ106" t="str">
        <f>IF(CAPTURA!CO106="","",IF(AND(ISNUMBER(CAPTURA!CO106),CAPTURA!CO106&gt;=0,CAPTURA!CO106&lt;=4),CAPTURA!CO106*25,"⚠"))</f>
        <v/>
      </c>
      <c r="BK106" t="str">
        <f>IF(CAPTURA!CP106="","",IF(ISNUMBER(CAPTURA!CP106),MAX(0,MIN(100,CAPTURA!CP106)),"⚠"))</f>
        <v/>
      </c>
      <c r="BL106" t="str">
        <f>IF(CAPTURA!CQ106="","",IFERROR(IF(INDEX(CODIFICACION!$E$2:$E$500,MATCH("D8.31|"&amp;CAPTURA!CQ106,CODIFICACION!$F$2:$F$500,0))="sin dato","",INDEX(CODIFICACION!$E$2:$E$500,MATCH("D8.31|"&amp;CAPTURA!CQ106,CODIFICACION!$F$2:$F$500,0))),"⚠"))</f>
        <v/>
      </c>
      <c r="BM106" t="str">
        <f>IF(CAPTURA!CR106="","",IFERROR(IF(INDEX(CODIFICACION!$E$2:$E$500,MATCH("D8.32|"&amp;CAPTURA!CR106,CODIFICACION!$F$2:$F$500,0))="sin dato","",INDEX(CODIFICACION!$E$2:$E$500,MATCH("D8.32|"&amp;CAPTURA!CR106,CODIFICACION!$F$2:$F$500,0))),"⚠"))</f>
        <v/>
      </c>
      <c r="BN106" t="str">
        <f>IF(CAPTURA!CS106="","",IFERROR(IF(INDEX(CODIFICACION!$E$2:$E$500,MATCH("D9.33|"&amp;CAPTURA!CS106,CODIFICACION!$F$2:$F$500,0))="sin dato","",INDEX(CODIFICACION!$E$2:$E$500,MATCH("D9.33|"&amp;CAPTURA!CS106,CODIFICACION!$F$2:$F$500,0))),"⚠"))</f>
        <v/>
      </c>
      <c r="BO106" t="str">
        <f>IF(CAPTURA!CT106="","",IFERROR(IF(INDEX(CODIFICACION!$E$2:$E$500,MATCH("D9.34|"&amp;CAPTURA!CT106,CODIFICACION!$F$2:$F$500,0))="sin dato","",INDEX(CODIFICACION!$E$2:$E$500,MATCH("D9.34|"&amp;CAPTURA!CT106,CODIFICACION!$F$2:$F$500,0))),"⚠"))</f>
        <v/>
      </c>
      <c r="BP106" t="str">
        <f>IF(CAPTURA!CU106="","",IFERROR(IF(INDEX(CODIFICACION!$E$2:$E$500,MATCH("D9.35|"&amp;CAPTURA!CU106,CODIFICACION!$F$2:$F$500,0))="sin dato","",INDEX(CODIFICACION!$E$2:$E$500,MATCH("D9.35|"&amp;CAPTURA!CU106,CODIFICACION!$F$2:$F$500,0))),"⚠"))</f>
        <v/>
      </c>
      <c r="BQ106" t="str">
        <f>IF(CAPTURA!CV106="","",IFERROR(IF(INDEX(CODIFICACION!$E$2:$E$500,MATCH("D10.36|"&amp;CAPTURA!CV106,CODIFICACION!$F$2:$F$500,0))="sin dato","",INDEX(CODIFICACION!$E$2:$E$500,MATCH("D10.36|"&amp;CAPTURA!CV106,CODIFICACION!$F$2:$F$500,0))),"⚠"))</f>
        <v/>
      </c>
      <c r="BR106" t="str">
        <f>IF(CAPTURA!CW106="","",IFERROR(IF(INDEX(CODIFICACION!$E$2:$E$500,MATCH("D10.37|"&amp;CAPTURA!CW106,CODIFICACION!$F$2:$F$500,0))="sin dato","",INDEX(CODIFICACION!$E$2:$E$500,MATCH("D10.37|"&amp;CAPTURA!CW106,CODIFICACION!$F$2:$F$500,0))),"⚠"))</f>
        <v/>
      </c>
      <c r="BS106" t="str">
        <f>IF(CAPTURA!CX106="","",IFERROR(IF(INDEX(CODIFICACION!$E$2:$E$500,MATCH("D10.36a|"&amp;CAPTURA!CX106,CODIFICACION!$F$2:$F$500,0))="sin dato","",INDEX(CODIFICACION!$E$2:$E$500,MATCH("D10.36a|"&amp;CAPTURA!CX106,CODIFICACION!$F$2:$F$500,0))),"⚠"))</f>
        <v/>
      </c>
      <c r="BT106" t="str">
        <f>IF(CAPTURA!CY106="","",IF(ISNUMBER(SEARCH("Ninguno",CAPTURA!CY106)),0,MIN(100,ROUND((LEN(CAPTURA!CY106)-LEN(SUBSTITUTE(CAPTURA!CY106,";",""))+1)/6*100,1))))</f>
        <v/>
      </c>
      <c r="BU106" t="str">
        <f>IF(CAPTURA!DA106="","",IFERROR(IF(INDEX(CODIFICACION!$E$2:$E$500,MATCH("D11.39a|"&amp;CAPTURA!DA106,CODIFICACION!$F$2:$F$500,0))="sin dato","",INDEX(CODIFICACION!$E$2:$E$500,MATCH("D11.39a|"&amp;CAPTURA!DA106,CODIFICACION!$F$2:$F$500,0))),"⚠"))</f>
        <v/>
      </c>
      <c r="BV106" t="str">
        <f>IF(CAPTURA!DB106="","",IFERROR(IF(INDEX(CODIFICACION!$E$2:$E$500,MATCH("D12.42|"&amp;CAPTURA!DB106,CODIFICACION!$F$2:$F$500,0))="sin dato","",INDEX(CODIFICACION!$E$2:$E$500,MATCH("D12.42|"&amp;CAPTURA!DB106,CODIFICACION!$F$2:$F$500,0))),"⚠"))</f>
        <v/>
      </c>
      <c r="BW106" t="str">
        <f>IF(CAPTURA!DC106="","",IFERROR(IF(INDEX(CODIFICACION!$E$2:$E$500,MATCH("D13.45|"&amp;CAPTURA!DC106,CODIFICACION!$F$2:$F$500,0))="sin dato","",INDEX(CODIFICACION!$E$2:$E$500,MATCH("D13.45|"&amp;CAPTURA!DC106,CODIFICACION!$F$2:$F$500,0))),"⚠"))</f>
        <v/>
      </c>
      <c r="BX106" t="str">
        <f>IF(CAPTURA!DD106="","",IFERROR(IF(INDEX(CODIFICACION!$E$2:$E$500,MATCH("D14.51|"&amp;CAPTURA!DD106,CODIFICACION!$F$2:$F$500,0))="sin dato","",INDEX(CODIFICACION!$E$2:$E$500,MATCH("D14.51|"&amp;CAPTURA!DD106,CODIFICACION!$F$2:$F$500,0))),"⚠"))</f>
        <v/>
      </c>
      <c r="BY106" t="str">
        <f>IF(CAPTURA!DE106="","",IFERROR(IF(INDEX(CODIFICACION!$E$2:$E$500,MATCH("D15.58|"&amp;CAPTURA!DE106,CODIFICACION!$F$2:$F$500,0))="sin dato","",INDEX(CODIFICACION!$E$2:$E$500,MATCH("D15.58|"&amp;CAPTURA!DE106,CODIFICACION!$F$2:$F$500,0))),"⚠"))</f>
        <v/>
      </c>
      <c r="BZ106" t="str">
        <f>IF(CAPTURA!DF106="","",IFERROR(IF(INDEX(CODIFICACION!$E$2:$E$500,MATCH("PP1|"&amp;CAPTURA!DF106,CODIFICACION!$F$2:$F$500,0))="sin dato","",INDEX(CODIFICACION!$E$2:$E$500,MATCH("PP1|"&amp;CAPTURA!DF106,CODIFICACION!$F$2:$F$500,0))),"⚠"))</f>
        <v/>
      </c>
      <c r="CA106" t="str">
        <f>IF(CAPTURA!DG106="","",IFERROR(IF(INDEX(CODIFICACION!$E$2:$E$500,MATCH("PP2|"&amp;CAPTURA!DG106,CODIFICACION!$F$2:$F$500,0))="sin dato","",INDEX(CODIFICACION!$E$2:$E$500,MATCH("PP2|"&amp;CAPTURA!DG106,CODIFICACION!$F$2:$F$500,0))),"⚠"))</f>
        <v/>
      </c>
      <c r="CB106" t="str">
        <f t="shared" si="33"/>
        <v/>
      </c>
      <c r="CC106" t="str">
        <f t="shared" si="34"/>
        <v/>
      </c>
      <c r="CD106" t="str">
        <f t="shared" si="35"/>
        <v/>
      </c>
      <c r="CE106" t="str">
        <f t="shared" si="36"/>
        <v/>
      </c>
      <c r="CF106" t="str">
        <f t="shared" si="37"/>
        <v/>
      </c>
      <c r="CG106" t="str">
        <f t="shared" si="38"/>
        <v/>
      </c>
      <c r="CH106" t="str">
        <f t="shared" si="39"/>
        <v/>
      </c>
      <c r="CI106" t="str">
        <f t="shared" si="40"/>
        <v/>
      </c>
      <c r="CJ106" t="str">
        <f t="shared" si="41"/>
        <v/>
      </c>
      <c r="CK106" t="str">
        <f t="shared" si="42"/>
        <v/>
      </c>
      <c r="CL106" t="str">
        <f t="shared" si="43"/>
        <v/>
      </c>
    </row>
    <row r="107" spans="1:90" x14ac:dyDescent="0.3">
      <c r="A107">
        <f>CAPTURA!A107</f>
        <v>20600382064</v>
      </c>
      <c r="B107">
        <f>CAPTURA!C107</f>
        <v>0</v>
      </c>
      <c r="C107" t="str">
        <f>IF(CAPTURA!M107="","",ROUND((ISNUMBER(SEARCH("Alemania",CAPTURA!M107))+ISNUMBER(SEARCH("Bélgica",CAPTURA!M107))+ISNUMBER(SEARCH("Países Bajos",CAPTURA!M107))+ISNUMBER(SEARCH("Francia",CAPTURA!M107))+ISNUMBER(SEARCH("Italia",CAPTURA!M107))+ISNUMBER(SEARCH("España",CAPTURA!M107))+ISNUMBER(SEARCH("Suecia",CAPTURA!M107))+ISNUMBER(SEARCH("Dinamarca",CAPTURA!M107)))/((LEN(CAPTURA!M107)-LEN(SUBSTITUTE(CAPTURA!M107,";","")))+1)*100,1))</f>
        <v/>
      </c>
      <c r="D107" t="str">
        <f>IF(CAPTURA!AE107="","",IFERROR(IF(INDEX(CODIFICACION!$E$2:$E$500,MATCH("P8|"&amp;CAPTURA!AE107,CODIFICACION!$F$2:$F$500,0))="sin dato","",INDEX(CODIFICACION!$E$2:$E$500,MATCH("P8|"&amp;CAPTURA!AE107,CODIFICACION!$F$2:$F$500,0))),"⚠"))</f>
        <v/>
      </c>
      <c r="E107" t="str">
        <f>IF(CAPTURA!AG107="","",IFERROR(IF(INDEX(CODIFICACION!$E$2:$E$500,MATCH("P10|"&amp;CAPTURA!AG107,CODIFICACION!$F$2:$F$500,0))="sin dato","",INDEX(CODIFICACION!$E$2:$E$500,MATCH("P10|"&amp;CAPTURA!AG107,CODIFICACION!$F$2:$F$500,0))),"⚠"))</f>
        <v/>
      </c>
      <c r="F107" t="str">
        <f>IF(CAPTURA!AJ107="","",IFERROR(IF(INDEX(CODIFICACION!$E$2:$E$500,MATCH("P13|"&amp;CAPTURA!AJ107,CODIFICACION!$F$2:$F$500,0))="sin dato","",INDEX(CODIFICACION!$E$2:$E$500,MATCH("P13|"&amp;CAPTURA!AJ107,CODIFICACION!$F$2:$F$500,0))),"⚠"))</f>
        <v/>
      </c>
      <c r="G107" t="str">
        <f>IF(CAPTURA!AK107="","",IFERROR(IF(INDEX(CODIFICACION!$E$2:$E$500,MATCH("P14|"&amp;CAPTURA!AK107,CODIFICACION!$F$2:$F$500,0))="sin dato","",INDEX(CODIFICACION!$E$2:$E$500,MATCH("P14|"&amp;CAPTURA!AK107,CODIFICACION!$F$2:$F$500,0))),"⚠"))</f>
        <v/>
      </c>
      <c r="H107" t="str">
        <f>IF(CAPTURA!AL107="","",IFERROR(IF(INDEX(CODIFICACION!$E$2:$E$500,MATCH("D1.1|"&amp;CAPTURA!AL107,CODIFICACION!$F$2:$F$500,0))="sin dato","",INDEX(CODIFICACION!$E$2:$E$500,MATCH("D1.1|"&amp;CAPTURA!AL107,CODIFICACION!$F$2:$F$500,0))),"⚠"))</f>
        <v/>
      </c>
      <c r="I107" t="str">
        <f>IF(CAPTURA!AN107="","",IFERROR(IF(INDEX(CODIFICACION!$E$2:$E$500,MATCH("D1.3|"&amp;CAPTURA!AN107,CODIFICACION!$F$2:$F$500,0))="sin dato","",INDEX(CODIFICACION!$E$2:$E$500,MATCH("D1.3|"&amp;CAPTURA!AN107,CODIFICACION!$F$2:$F$500,0))),"⚠"))</f>
        <v/>
      </c>
      <c r="J107" t="str">
        <f>IF(CAPTURA!AO107="","",IFERROR(IF(INDEX(CODIFICACION!$E$2:$E$500,MATCH("D1.4|"&amp;CAPTURA!AO107,CODIFICACION!$F$2:$F$500,0))="sin dato","",INDEX(CODIFICACION!$E$2:$E$500,MATCH("D1.4|"&amp;CAPTURA!AO107,CODIFICACION!$F$2:$F$500,0))),"⚠"))</f>
        <v/>
      </c>
      <c r="K107" t="str">
        <f>IF(CAPTURA!AP107="","",IFERROR(IF(INDEX(CODIFICACION!$E$2:$E$500,MATCH("D1.3a|"&amp;CAPTURA!AP107,CODIFICACION!$F$2:$F$500,0))="sin dato","",INDEX(CODIFICACION!$E$2:$E$500,MATCH("D1.3a|"&amp;CAPTURA!AP107,CODIFICACION!$F$2:$F$500,0))),"⚠"))</f>
        <v/>
      </c>
      <c r="L107" t="str">
        <f>IF(CAPTURA!AQ107="","",IF(AND(ISNUMBER(CAPTURA!AQ107),CAPTURA!AQ107&gt;=0,CAPTURA!AQ107&lt;=4),CAPTURA!AQ107*25,"⚠"))</f>
        <v/>
      </c>
      <c r="M107" t="str">
        <f>IF(CAPTURA!AR107="","",IF(ISNUMBER(CAPTURA!AR107),MAX(0,MIN(100,CAPTURA!AR107)),"⚠"))</f>
        <v/>
      </c>
      <c r="N107" t="str">
        <f>IF(CAPTURA!AS107="","",IF(AND(ISNUMBER(CAPTURA!AS107),CAPTURA!AS107&gt;=0,CAPTURA!AS107&lt;=4),CAPTURA!AS107*25,"⚠"))</f>
        <v/>
      </c>
      <c r="O107" t="str">
        <f>IF(CAPTURA!AT107="","",IFERROR(IF(INDEX(CODIFICACION!$E$2:$E$500,MATCH("D2.8|"&amp;CAPTURA!AT107,CODIFICACION!$F$2:$F$500,0))="sin dato","",INDEX(CODIFICACION!$E$2:$E$500,MATCH("D2.8|"&amp;CAPTURA!AT107,CODIFICACION!$F$2:$F$500,0))),"⚠"))</f>
        <v/>
      </c>
      <c r="P107" t="str">
        <f>IF(CAPTURA!AU107="","",IFERROR(IF(INDEX(CODIFICACION!$E$2:$E$500,MATCH("D2.9|"&amp;CAPTURA!AU107,CODIFICACION!$F$2:$F$500,0))="sin dato","",INDEX(CODIFICACION!$E$2:$E$500,MATCH("D2.9|"&amp;CAPTURA!AU107,CODIFICACION!$F$2:$F$500,0))),"⚠"))</f>
        <v/>
      </c>
      <c r="Q107" t="str">
        <f>IF(CAPTURA!AV107="","",IFERROR(IF(INDEX(CODIFICACION!$E$2:$E$500,MATCH("D2.10|"&amp;CAPTURA!AV107,CODIFICACION!$F$2:$F$500,0))="sin dato","",INDEX(CODIFICACION!$E$2:$E$500,MATCH("D2.10|"&amp;CAPTURA!AV107,CODIFICACION!$F$2:$F$500,0))),"⚠"))</f>
        <v/>
      </c>
      <c r="R107" t="str">
        <f>IF(CAPTURA!AW107="","",IFERROR(IF(INDEX(CODIFICACION!$E$2:$E$500,MATCH("D2.5a|"&amp;CAPTURA!AW107,CODIFICACION!$F$2:$F$500,0))="sin dato","",INDEX(CODIFICACION!$E$2:$E$500,MATCH("D2.5a|"&amp;CAPTURA!AW107,CODIFICACION!$F$2:$F$500,0))),"⚠"))</f>
        <v/>
      </c>
      <c r="S107" t="str">
        <f>IF(CAPTURA!AX107="","",IFERROR(IF(INDEX(CODIFICACION!$E$2:$E$500,MATCH("D2.5b|"&amp;CAPTURA!AX107,CODIFICACION!$F$2:$F$500,0))="sin dato","",INDEX(CODIFICACION!$E$2:$E$500,MATCH("D2.5b|"&amp;CAPTURA!AX107,CODIFICACION!$F$2:$F$500,0))),"⚠"))</f>
        <v/>
      </c>
      <c r="T107" t="str">
        <f>IF(CAPTURA!AY107="","",IF(ISNUMBER(CAPTURA!AY107),MAX(0,MIN(100,CAPTURA!AY107)),"⚠"))</f>
        <v/>
      </c>
      <c r="U107" t="str">
        <f>IF(CAPTURA!AZ107="","",IFERROR(IF(INDEX(CODIFICACION!$E$2:$E$500,MATCH("D3.12|"&amp;CAPTURA!AZ107,CODIFICACION!$F$2:$F$500,0))="sin dato","",INDEX(CODIFICACION!$E$2:$E$500,MATCH("D3.12|"&amp;CAPTURA!AZ107,CODIFICACION!$F$2:$F$500,0))),"⚠"))</f>
        <v/>
      </c>
      <c r="V107" t="str">
        <f>IF(CAPTURA!BA107="","",IF(AND(ISNUMBER(CAPTURA!BA107),CAPTURA!BA107&gt;=0,CAPTURA!BA107&lt;=4),CAPTURA!BA107*25,"⚠"))</f>
        <v/>
      </c>
      <c r="W107" t="str">
        <f>IF(CAPTURA!BB107="","",IFERROR(IF(INDEX(CODIFICACION!$E$2:$E$500,MATCH("D3.14|"&amp;CAPTURA!BB107,CODIFICACION!$F$2:$F$500,0))="sin dato","",INDEX(CODIFICACION!$E$2:$E$500,MATCH("D3.14|"&amp;CAPTURA!BB107,CODIFICACION!$F$2:$F$500,0))),"⚠"))</f>
        <v/>
      </c>
      <c r="X107" t="str">
        <f>IF(CAPTURA!BC107="","",IFERROR(IF(INDEX(CODIFICACION!$E$2:$E$500,MATCH("D3.14a|"&amp;CAPTURA!BC107,CODIFICACION!$F$2:$F$500,0))="sin dato","",INDEX(CODIFICACION!$E$2:$E$500,MATCH("D3.14a|"&amp;CAPTURA!BC107,CODIFICACION!$F$2:$F$500,0))),"⚠"))</f>
        <v/>
      </c>
      <c r="Y107" t="str">
        <f>IF(CAPTURA!BD107="","",IFERROR(IF(INDEX(CODIFICACION!$E$2:$E$500,MATCH("D3.14b|"&amp;CAPTURA!BD107,CODIFICACION!$F$2:$F$500,0))="sin dato","",INDEX(CODIFICACION!$E$2:$E$500,MATCH("D3.14b|"&amp;CAPTURA!BD107,CODIFICACION!$F$2:$F$500,0))),"⚠"))</f>
        <v/>
      </c>
      <c r="Z107" t="str">
        <f>IF(CAPTURA!BE107="","",IFERROR(IF(INDEX(CODIFICACION!$E$2:$E$500,MATCH("D3.14c|"&amp;CAPTURA!BE107,CODIFICACION!$F$2:$F$500,0))="sin dato","",INDEX(CODIFICACION!$E$2:$E$500,MATCH("D3.14c|"&amp;CAPTURA!BE107,CODIFICACION!$F$2:$F$500,0))),"⚠"))</f>
        <v/>
      </c>
      <c r="AA107" t="str">
        <f>IF(CAPTURA!BF107="","",IFERROR(IF(INDEX(CODIFICACION!$E$2:$E$500,MATCH("D3.14d|"&amp;CAPTURA!BF107,CODIFICACION!$F$2:$F$500,0))="sin dato","",INDEX(CODIFICACION!$E$2:$E$500,MATCH("D3.14d|"&amp;CAPTURA!BF107,CODIFICACION!$F$2:$F$500,0))),"⚠"))</f>
        <v/>
      </c>
      <c r="AB107" t="str">
        <f>IF(CAPTURA!BG107="","",IFERROR(IF(INDEX(CODIFICACION!$E$2:$E$500,MATCH("D3.14e|"&amp;CAPTURA!BG107,CODIFICACION!$F$2:$F$500,0))="sin dato","",INDEX(CODIFICACION!$E$2:$E$500,MATCH("D3.14e|"&amp;CAPTURA!BG107,CODIFICACION!$F$2:$F$500,0))),"⚠"))</f>
        <v/>
      </c>
      <c r="AC107" t="str">
        <f>IF(CAPTURA!BH107="","",IFERROR(IF(INDEX(CODIFICACION!$E$2:$E$500,MATCH("D3.14f|"&amp;CAPTURA!BH107,CODIFICACION!$F$2:$F$500,0))="sin dato","",INDEX(CODIFICACION!$E$2:$E$500,MATCH("D3.14f|"&amp;CAPTURA!BH107,CODIFICACION!$F$2:$F$500,0))),"⚠"))</f>
        <v/>
      </c>
      <c r="AD107" t="str">
        <f>IF(CAPTURA!BI107="","",IFERROR(IF(INDEX(CODIFICACION!$E$2:$E$500,MATCH("D3.14g|"&amp;CAPTURA!BI107,CODIFICACION!$F$2:$F$500,0))="sin dato","",INDEX(CODIFICACION!$E$2:$E$500,MATCH("D3.14g|"&amp;CAPTURA!BI107,CODIFICACION!$F$2:$F$500,0))),"⚠"))</f>
        <v/>
      </c>
      <c r="AE107" t="str">
        <f>IF(CAPTURA!BJ107="","",IFERROR(IF(INDEX(CODIFICACION!$E$2:$E$500,MATCH("D3.14h|"&amp;CAPTURA!BJ107,CODIFICACION!$F$2:$F$500,0))="sin dato","",INDEX(CODIFICACION!$E$2:$E$500,MATCH("D3.14h|"&amp;CAPTURA!BJ107,CODIFICACION!$F$2:$F$500,0))),"⚠"))</f>
        <v/>
      </c>
      <c r="AF107" t="str">
        <f>IF(CAPTURA!BK107="","",IFERROR(IF(INDEX(CODIFICACION!$E$2:$E$500,MATCH("D3.14i|"&amp;CAPTURA!BK107,CODIFICACION!$F$2:$F$500,0))="sin dato","",INDEX(CODIFICACION!$E$2:$E$500,MATCH("D3.14i|"&amp;CAPTURA!BK107,CODIFICACION!$F$2:$F$500,0))),"⚠"))</f>
        <v/>
      </c>
      <c r="AG107" t="str">
        <f>IF(CAPTURA!BL107="","",IFERROR(IF(INDEX(CODIFICACION!$E$2:$E$500,MATCH("D4.15|"&amp;CAPTURA!BL107,CODIFICACION!$F$2:$F$500,0))="sin dato","",INDEX(CODIFICACION!$E$2:$E$500,MATCH("D4.15|"&amp;CAPTURA!BL107,CODIFICACION!$F$2:$F$500,0))),"⚠"))</f>
        <v/>
      </c>
      <c r="AH107" t="str">
        <f>IF(CAPTURA!BM107="","",IF(AND(ISNUMBER(CAPTURA!BM107),CAPTURA!BM107&gt;=0,CAPTURA!BM107&lt;=4),CAPTURA!BM107*25,"⚠"))</f>
        <v/>
      </c>
      <c r="AI107" t="str">
        <f>IF(CAPTURA!BN107="","",IFERROR(IF(INDEX(CODIFICACION!$E$2:$E$500,MATCH("D4.17|"&amp;CAPTURA!BN107,CODIFICACION!$F$2:$F$500,0))="sin dato","",INDEX(CODIFICACION!$E$2:$E$500,MATCH("D4.17|"&amp;CAPTURA!BN107,CODIFICACION!$F$2:$F$500,0))),"⚠"))</f>
        <v/>
      </c>
      <c r="AJ107" t="str">
        <f>IF(CAPTURA!BO107="","",IFERROR(IF(INDEX(CODIFICACION!$E$2:$E$500,MATCH("D4.15a|"&amp;CAPTURA!BO107,CODIFICACION!$F$2:$F$500,0))="sin dato","",INDEX(CODIFICACION!$E$2:$E$500,MATCH("D4.15a|"&amp;CAPTURA!BO107,CODIFICACION!$F$2:$F$500,0))),"⚠"))</f>
        <v/>
      </c>
      <c r="AK107" t="str">
        <f>IF(CAPTURA!BP107="","",IF(AND(ISNUMBER(CAPTURA!BP107),CAPTURA!BP107&gt;=0,CAPTURA!BP107&lt;=4),CAPTURA!BP107*25,"⚠"))</f>
        <v/>
      </c>
      <c r="AL107" t="str">
        <f>IF(CAPTURA!BQ107="","",IF(AND(ISNUMBER(CAPTURA!BQ107),CAPTURA!BQ107&gt;=0,CAPTURA!BQ107&lt;=4),CAPTURA!BQ107*25,"⚠"))</f>
        <v/>
      </c>
      <c r="AM107" t="str">
        <f>IF(CAPTURA!BR107="","",IFERROR(IF(INDEX(CODIFICACION!$E$2:$E$500,MATCH("D5.18b|"&amp;CAPTURA!BR107,CODIFICACION!$F$2:$F$500,0))="sin dato","",INDEX(CODIFICACION!$E$2:$E$500,MATCH("D5.18b|"&amp;CAPTURA!BR107,CODIFICACION!$F$2:$F$500,0))),"⚠"))</f>
        <v/>
      </c>
      <c r="AN107" t="str">
        <f>IF(CAPTURA!BS107="","",IFERROR(IF(INDEX(CODIFICACION!$E$2:$E$500,MATCH("D5.19|"&amp;CAPTURA!BS107,CODIFICACION!$F$2:$F$500,0))="sin dato","",INDEX(CODIFICACION!$E$2:$E$500,MATCH("D5.19|"&amp;CAPTURA!BS107,CODIFICACION!$F$2:$F$500,0))),"⚠"))</f>
        <v/>
      </c>
      <c r="AO107" t="str">
        <f>IF(CAPTURA!BT107="","",MIN(100,ROUND((LEN(CAPTURA!BT107)-LEN(SUBSTITUTE(CAPTURA!BT107,";",""))+1)/7*100,1)))</f>
        <v/>
      </c>
      <c r="AP107" t="str">
        <f>IF(CAPTURA!BU107="","",IFERROR(IF(INDEX(CODIFICACION!$E$2:$E$500,MATCH("D5.20|"&amp;CAPTURA!BU107,CODIFICACION!$F$2:$F$500,0))="sin dato","",INDEX(CODIFICACION!$E$2:$E$500,MATCH("D5.20|"&amp;CAPTURA!BU107,CODIFICACION!$F$2:$F$500,0))),"⚠"))</f>
        <v/>
      </c>
      <c r="AQ107" t="str">
        <f>IF(CAPTURA!BV107="","",IFERROR(IF(INDEX(CODIFICACION!$E$2:$E$500,MATCH("D5.21|"&amp;CAPTURA!BV107,CODIFICACION!$F$2:$F$500,0))="sin dato","",INDEX(CODIFICACION!$E$2:$E$500,MATCH("D5.21|"&amp;CAPTURA!BV107,CODIFICACION!$F$2:$F$500,0))),"⚠"))</f>
        <v/>
      </c>
      <c r="AR107" t="str">
        <f>IF(CAPTURA!BW107="","",IFERROR(IF(INDEX(CODIFICACION!$E$2:$E$500,MATCH("D5.21a|"&amp;CAPTURA!BW107,CODIFICACION!$F$2:$F$500,0))="sin dato","",INDEX(CODIFICACION!$E$2:$E$500,MATCH("D5.21a|"&amp;CAPTURA!BW107,CODIFICACION!$F$2:$F$500,0))),"⚠"))</f>
        <v/>
      </c>
      <c r="AS107" t="str">
        <f>IF(CAPTURA!BX107="","",IFERROR(IF(INDEX(CODIFICACION!$E$2:$E$500,MATCH("D5.21b|"&amp;CAPTURA!BX107,CODIFICACION!$F$2:$F$500,0))="sin dato","",INDEX(CODIFICACION!$E$2:$E$500,MATCH("D5.21b|"&amp;CAPTURA!BX107,CODIFICACION!$F$2:$F$500,0))),"⚠"))</f>
        <v/>
      </c>
      <c r="AT107" t="str">
        <f>IF(CAPTURA!BY107="","",IFERROR(IF(INDEX(CODIFICACION!$E$2:$E$500,MATCH("D6.22|"&amp;CAPTURA!BY107,CODIFICACION!$F$2:$F$500,0))="sin dato","",INDEX(CODIFICACION!$E$2:$E$500,MATCH("D6.22|"&amp;CAPTURA!BY107,CODIFICACION!$F$2:$F$500,0))),"⚠"))</f>
        <v/>
      </c>
      <c r="AU107" t="str">
        <f>IF(CAPTURA!BZ107="","",IFERROR(IF(INDEX(CODIFICACION!$E$2:$E$500,MATCH("D6.22a|"&amp;CAPTURA!BZ107,CODIFICACION!$F$2:$F$500,0))="sin dato","",INDEX(CODIFICACION!$E$2:$E$500,MATCH("D6.22a|"&amp;CAPTURA!BZ107,CODIFICACION!$F$2:$F$500,0))),"⚠"))</f>
        <v/>
      </c>
      <c r="AV107" t="str">
        <f>IF(CAPTURA!CA107="","",IFERROR(IF(INDEX(CODIFICACION!$E$2:$E$500,MATCH("D6.22b|"&amp;CAPTURA!CA107,CODIFICACION!$F$2:$F$500,0))="sin dato","",INDEX(CODIFICACION!$E$2:$E$500,MATCH("D6.22b|"&amp;CAPTURA!CA107,CODIFICACION!$F$2:$F$500,0))),"⚠"))</f>
        <v/>
      </c>
      <c r="AW107" t="str">
        <f>IF(CAPTURA!CB107="","",IFERROR(IF(INDEX(CODIFICACION!$E$2:$E$500,MATCH("D6.23|"&amp;CAPTURA!CB107,CODIFICACION!$F$2:$F$500,0))="sin dato","",INDEX(CODIFICACION!$E$2:$E$500,MATCH("D6.23|"&amp;CAPTURA!CB107,CODIFICACION!$F$2:$F$500,0))),"⚠"))</f>
        <v/>
      </c>
      <c r="AX107" t="str">
        <f>IF(CAPTURA!CC107="","",IFERROR(IF(INDEX(CODIFICACION!$E$2:$E$500,MATCH("D6.24|"&amp;CAPTURA!CC107,CODIFICACION!$F$2:$F$500,0))="sin dato","",INDEX(CODIFICACION!$E$2:$E$500,MATCH("D6.24|"&amp;CAPTURA!CC107,CODIFICACION!$F$2:$F$500,0))),"⚠"))</f>
        <v/>
      </c>
      <c r="AY107" t="str">
        <f>IF(CAPTURA!CD107="","",IFERROR(IF(INDEX(CODIFICACION!$E$2:$E$500,MATCH("D6.25|"&amp;CAPTURA!CD107,CODIFICACION!$F$2:$F$500,0))="sin dato","",INDEX(CODIFICACION!$E$2:$E$500,MATCH("D6.25|"&amp;CAPTURA!CD107,CODIFICACION!$F$2:$F$500,0))),"⚠"))</f>
        <v/>
      </c>
      <c r="AZ107" t="str">
        <f>IF(CAPTURA!CE107="","",IFERROR(IF(INDEX(CODIFICACION!$E$2:$E$500,MATCH("D6.25a|"&amp;CAPTURA!CE107,CODIFICACION!$F$2:$F$500,0))="sin dato","",INDEX(CODIFICACION!$E$2:$E$500,MATCH("D6.25a|"&amp;CAPTURA!CE107,CODIFICACION!$F$2:$F$500,0))),"⚠"))</f>
        <v/>
      </c>
      <c r="BA107" t="str">
        <f>IF(CAPTURA!CF107="","",IFERROR(IF(INDEX(CODIFICACION!$E$2:$E$500,MATCH("D6.25b|"&amp;CAPTURA!CF107,CODIFICACION!$F$2:$F$500,0))="sin dato","",INDEX(CODIFICACION!$E$2:$E$500,MATCH("D6.25b|"&amp;CAPTURA!CF107,CODIFICACION!$F$2:$F$500,0))),"⚠"))</f>
        <v/>
      </c>
      <c r="BB107" t="str">
        <f>IF(CAPTURA!CG107="","",IFERROR(IF(INDEX(CODIFICACION!$E$2:$E$500,MATCH("D6.22c|"&amp;CAPTURA!CG107,CODIFICACION!$F$2:$F$500,0))="sin dato","",INDEX(CODIFICACION!$E$2:$E$500,MATCH("D6.22c|"&amp;CAPTURA!CG107,CODIFICACION!$F$2:$F$500,0))),"⚠"))</f>
        <v/>
      </c>
      <c r="BC107" t="str">
        <f>IF(CAPTURA!CH107="","",IFERROR(IF(INDEX(CODIFICACION!$E$2:$E$500,MATCH("D7.26|"&amp;CAPTURA!CH107,CODIFICACION!$F$2:$F$500,0))="sin dato","",INDEX(CODIFICACION!$E$2:$E$500,MATCH("D7.26|"&amp;CAPTURA!CH107,CODIFICACION!$F$2:$F$500,0))),"⚠"))</f>
        <v/>
      </c>
      <c r="BD107" t="str">
        <f>IF(CAPTURA!CI107="","",IFERROR(IF(INDEX(CODIFICACION!$E$2:$E$500,MATCH("D7.27|"&amp;CAPTURA!CI107,CODIFICACION!$F$2:$F$500,0))="sin dato","",INDEX(CODIFICACION!$E$2:$E$500,MATCH("D7.27|"&amp;CAPTURA!CI107,CODIFICACION!$F$2:$F$500,0))),"⚠"))</f>
        <v/>
      </c>
      <c r="BE107" t="str">
        <f>IF(CAPTURA!CJ107="","",IFERROR(IF(INDEX(CODIFICACION!$E$2:$E$500,MATCH("D7.28|"&amp;CAPTURA!CJ107,CODIFICACION!$F$2:$F$500,0))="sin dato","",INDEX(CODIFICACION!$E$2:$E$500,MATCH("D7.28|"&amp;CAPTURA!CJ107,CODIFICACION!$F$2:$F$500,0))),"⚠"))</f>
        <v/>
      </c>
      <c r="BF107" t="str">
        <f>IF(CAPTURA!CK107="","",IFERROR(IF(INDEX(CODIFICACION!$E$2:$E$500,MATCH("D7.28b|"&amp;CAPTURA!CK107,CODIFICACION!$F$2:$F$500,0))="sin dato","",INDEX(CODIFICACION!$E$2:$E$500,MATCH("D7.28b|"&amp;CAPTURA!CK107,CODIFICACION!$F$2:$F$500,0))),"⚠"))</f>
        <v/>
      </c>
      <c r="BG107" t="str">
        <f>IF(CAPTURA!CL107="","",MIN(100,ROUND((LEN(CAPTURA!CL107)-LEN(SUBSTITUTE(CAPTURA!CL107,";",""))+1)/8*100,1)))</f>
        <v/>
      </c>
      <c r="BH107" t="str">
        <f>IF(CAPTURA!CM107="","",IFERROR(IF(INDEX(CODIFICACION!$E$2:$E$500,MATCH("D7.26a|"&amp;CAPTURA!CM107,CODIFICACION!$F$2:$F$500,0))="sin dato","",INDEX(CODIFICACION!$E$2:$E$500,MATCH("D7.26a|"&amp;CAPTURA!CM107,CODIFICACION!$F$2:$F$500,0))),"⚠"))</f>
        <v/>
      </c>
      <c r="BI107" t="str">
        <f>IF(CAPTURA!CN107="","",IFERROR(IF(INDEX(CODIFICACION!$E$2:$E$500,MATCH("D7.26b|"&amp;CAPTURA!CN107,CODIFICACION!$F$2:$F$500,0))="sin dato","",INDEX(CODIFICACION!$E$2:$E$500,MATCH("D7.26b|"&amp;CAPTURA!CN107,CODIFICACION!$F$2:$F$500,0))),"⚠"))</f>
        <v/>
      </c>
      <c r="BJ107" t="str">
        <f>IF(CAPTURA!CO107="","",IF(AND(ISNUMBER(CAPTURA!CO107),CAPTURA!CO107&gt;=0,CAPTURA!CO107&lt;=4),CAPTURA!CO107*25,"⚠"))</f>
        <v/>
      </c>
      <c r="BK107" t="str">
        <f>IF(CAPTURA!CP107="","",IF(ISNUMBER(CAPTURA!CP107),MAX(0,MIN(100,CAPTURA!CP107)),"⚠"))</f>
        <v/>
      </c>
      <c r="BL107" t="str">
        <f>IF(CAPTURA!CQ107="","",IFERROR(IF(INDEX(CODIFICACION!$E$2:$E$500,MATCH("D8.31|"&amp;CAPTURA!CQ107,CODIFICACION!$F$2:$F$500,0))="sin dato","",INDEX(CODIFICACION!$E$2:$E$500,MATCH("D8.31|"&amp;CAPTURA!CQ107,CODIFICACION!$F$2:$F$500,0))),"⚠"))</f>
        <v/>
      </c>
      <c r="BM107" t="str">
        <f>IF(CAPTURA!CR107="","",IFERROR(IF(INDEX(CODIFICACION!$E$2:$E$500,MATCH("D8.32|"&amp;CAPTURA!CR107,CODIFICACION!$F$2:$F$500,0))="sin dato","",INDEX(CODIFICACION!$E$2:$E$500,MATCH("D8.32|"&amp;CAPTURA!CR107,CODIFICACION!$F$2:$F$500,0))),"⚠"))</f>
        <v/>
      </c>
      <c r="BN107" t="str">
        <f>IF(CAPTURA!CS107="","",IFERROR(IF(INDEX(CODIFICACION!$E$2:$E$500,MATCH("D9.33|"&amp;CAPTURA!CS107,CODIFICACION!$F$2:$F$500,0))="sin dato","",INDEX(CODIFICACION!$E$2:$E$500,MATCH("D9.33|"&amp;CAPTURA!CS107,CODIFICACION!$F$2:$F$500,0))),"⚠"))</f>
        <v/>
      </c>
      <c r="BO107" t="str">
        <f>IF(CAPTURA!CT107="","",IFERROR(IF(INDEX(CODIFICACION!$E$2:$E$500,MATCH("D9.34|"&amp;CAPTURA!CT107,CODIFICACION!$F$2:$F$500,0))="sin dato","",INDEX(CODIFICACION!$E$2:$E$500,MATCH("D9.34|"&amp;CAPTURA!CT107,CODIFICACION!$F$2:$F$500,0))),"⚠"))</f>
        <v/>
      </c>
      <c r="BP107" t="str">
        <f>IF(CAPTURA!CU107="","",IFERROR(IF(INDEX(CODIFICACION!$E$2:$E$500,MATCH("D9.35|"&amp;CAPTURA!CU107,CODIFICACION!$F$2:$F$500,0))="sin dato","",INDEX(CODIFICACION!$E$2:$E$500,MATCH("D9.35|"&amp;CAPTURA!CU107,CODIFICACION!$F$2:$F$500,0))),"⚠"))</f>
        <v/>
      </c>
      <c r="BQ107" t="str">
        <f>IF(CAPTURA!CV107="","",IFERROR(IF(INDEX(CODIFICACION!$E$2:$E$500,MATCH("D10.36|"&amp;CAPTURA!CV107,CODIFICACION!$F$2:$F$500,0))="sin dato","",INDEX(CODIFICACION!$E$2:$E$500,MATCH("D10.36|"&amp;CAPTURA!CV107,CODIFICACION!$F$2:$F$500,0))),"⚠"))</f>
        <v/>
      </c>
      <c r="BR107" t="str">
        <f>IF(CAPTURA!CW107="","",IFERROR(IF(INDEX(CODIFICACION!$E$2:$E$500,MATCH("D10.37|"&amp;CAPTURA!CW107,CODIFICACION!$F$2:$F$500,0))="sin dato","",INDEX(CODIFICACION!$E$2:$E$500,MATCH("D10.37|"&amp;CAPTURA!CW107,CODIFICACION!$F$2:$F$500,0))),"⚠"))</f>
        <v/>
      </c>
      <c r="BS107" t="str">
        <f>IF(CAPTURA!CX107="","",IFERROR(IF(INDEX(CODIFICACION!$E$2:$E$500,MATCH("D10.36a|"&amp;CAPTURA!CX107,CODIFICACION!$F$2:$F$500,0))="sin dato","",INDEX(CODIFICACION!$E$2:$E$500,MATCH("D10.36a|"&amp;CAPTURA!CX107,CODIFICACION!$F$2:$F$500,0))),"⚠"))</f>
        <v/>
      </c>
      <c r="BT107" t="str">
        <f>IF(CAPTURA!CY107="","",IF(ISNUMBER(SEARCH("Ninguno",CAPTURA!CY107)),0,MIN(100,ROUND((LEN(CAPTURA!CY107)-LEN(SUBSTITUTE(CAPTURA!CY107,";",""))+1)/6*100,1))))</f>
        <v/>
      </c>
      <c r="BU107" t="str">
        <f>IF(CAPTURA!DA107="","",IFERROR(IF(INDEX(CODIFICACION!$E$2:$E$500,MATCH("D11.39a|"&amp;CAPTURA!DA107,CODIFICACION!$F$2:$F$500,0))="sin dato","",INDEX(CODIFICACION!$E$2:$E$500,MATCH("D11.39a|"&amp;CAPTURA!DA107,CODIFICACION!$F$2:$F$500,0))),"⚠"))</f>
        <v/>
      </c>
      <c r="BV107" t="str">
        <f>IF(CAPTURA!DB107="","",IFERROR(IF(INDEX(CODIFICACION!$E$2:$E$500,MATCH("D12.42|"&amp;CAPTURA!DB107,CODIFICACION!$F$2:$F$500,0))="sin dato","",INDEX(CODIFICACION!$E$2:$E$500,MATCH("D12.42|"&amp;CAPTURA!DB107,CODIFICACION!$F$2:$F$500,0))),"⚠"))</f>
        <v/>
      </c>
      <c r="BW107" t="str">
        <f>IF(CAPTURA!DC107="","",IFERROR(IF(INDEX(CODIFICACION!$E$2:$E$500,MATCH("D13.45|"&amp;CAPTURA!DC107,CODIFICACION!$F$2:$F$500,0))="sin dato","",INDEX(CODIFICACION!$E$2:$E$500,MATCH("D13.45|"&amp;CAPTURA!DC107,CODIFICACION!$F$2:$F$500,0))),"⚠"))</f>
        <v/>
      </c>
      <c r="BX107" t="str">
        <f>IF(CAPTURA!DD107="","",IFERROR(IF(INDEX(CODIFICACION!$E$2:$E$500,MATCH("D14.51|"&amp;CAPTURA!DD107,CODIFICACION!$F$2:$F$500,0))="sin dato","",INDEX(CODIFICACION!$E$2:$E$500,MATCH("D14.51|"&amp;CAPTURA!DD107,CODIFICACION!$F$2:$F$500,0))),"⚠"))</f>
        <v/>
      </c>
      <c r="BY107" t="str">
        <f>IF(CAPTURA!DE107="","",IFERROR(IF(INDEX(CODIFICACION!$E$2:$E$500,MATCH("D15.58|"&amp;CAPTURA!DE107,CODIFICACION!$F$2:$F$500,0))="sin dato","",INDEX(CODIFICACION!$E$2:$E$500,MATCH("D15.58|"&amp;CAPTURA!DE107,CODIFICACION!$F$2:$F$500,0))),"⚠"))</f>
        <v/>
      </c>
      <c r="BZ107" t="str">
        <f>IF(CAPTURA!DF107="","",IFERROR(IF(INDEX(CODIFICACION!$E$2:$E$500,MATCH("PP1|"&amp;CAPTURA!DF107,CODIFICACION!$F$2:$F$500,0))="sin dato","",INDEX(CODIFICACION!$E$2:$E$500,MATCH("PP1|"&amp;CAPTURA!DF107,CODIFICACION!$F$2:$F$500,0))),"⚠"))</f>
        <v/>
      </c>
      <c r="CA107" t="str">
        <f>IF(CAPTURA!DG107="","",IFERROR(IF(INDEX(CODIFICACION!$E$2:$E$500,MATCH("PP2|"&amp;CAPTURA!DG107,CODIFICACION!$F$2:$F$500,0))="sin dato","",INDEX(CODIFICACION!$E$2:$E$500,MATCH("PP2|"&amp;CAPTURA!DG107,CODIFICACION!$F$2:$F$500,0))),"⚠"))</f>
        <v/>
      </c>
      <c r="CB107" t="str">
        <f t="shared" si="33"/>
        <v/>
      </c>
      <c r="CC107" t="str">
        <f t="shared" si="34"/>
        <v/>
      </c>
      <c r="CD107" t="str">
        <f t="shared" si="35"/>
        <v/>
      </c>
      <c r="CE107" t="str">
        <f t="shared" si="36"/>
        <v/>
      </c>
      <c r="CF107" t="str">
        <f t="shared" si="37"/>
        <v/>
      </c>
      <c r="CG107" t="str">
        <f t="shared" si="38"/>
        <v/>
      </c>
      <c r="CH107" t="str">
        <f t="shared" si="39"/>
        <v/>
      </c>
      <c r="CI107" t="str">
        <f t="shared" si="40"/>
        <v/>
      </c>
      <c r="CJ107" t="str">
        <f t="shared" si="41"/>
        <v/>
      </c>
      <c r="CK107" t="str">
        <f t="shared" si="42"/>
        <v/>
      </c>
      <c r="CL107" t="str">
        <f t="shared" si="43"/>
        <v/>
      </c>
    </row>
    <row r="108" spans="1:90" x14ac:dyDescent="0.3">
      <c r="A108">
        <f>CAPTURA!A108</f>
        <v>20600390911</v>
      </c>
      <c r="B108">
        <f>CAPTURA!C108</f>
        <v>0</v>
      </c>
      <c r="C108" t="str">
        <f>IF(CAPTURA!M108="","",ROUND((ISNUMBER(SEARCH("Alemania",CAPTURA!M108))+ISNUMBER(SEARCH("Bélgica",CAPTURA!M108))+ISNUMBER(SEARCH("Países Bajos",CAPTURA!M108))+ISNUMBER(SEARCH("Francia",CAPTURA!M108))+ISNUMBER(SEARCH("Italia",CAPTURA!M108))+ISNUMBER(SEARCH("España",CAPTURA!M108))+ISNUMBER(SEARCH("Suecia",CAPTURA!M108))+ISNUMBER(SEARCH("Dinamarca",CAPTURA!M108)))/((LEN(CAPTURA!M108)-LEN(SUBSTITUTE(CAPTURA!M108,";","")))+1)*100,1))</f>
        <v/>
      </c>
      <c r="D108" t="str">
        <f>IF(CAPTURA!AE108="","",IFERROR(IF(INDEX(CODIFICACION!$E$2:$E$500,MATCH("P8|"&amp;CAPTURA!AE108,CODIFICACION!$F$2:$F$500,0))="sin dato","",INDEX(CODIFICACION!$E$2:$E$500,MATCH("P8|"&amp;CAPTURA!AE108,CODIFICACION!$F$2:$F$500,0))),"⚠"))</f>
        <v/>
      </c>
      <c r="E108" t="str">
        <f>IF(CAPTURA!AG108="","",IFERROR(IF(INDEX(CODIFICACION!$E$2:$E$500,MATCH("P10|"&amp;CAPTURA!AG108,CODIFICACION!$F$2:$F$500,0))="sin dato","",INDEX(CODIFICACION!$E$2:$E$500,MATCH("P10|"&amp;CAPTURA!AG108,CODIFICACION!$F$2:$F$500,0))),"⚠"))</f>
        <v/>
      </c>
      <c r="F108" t="str">
        <f>IF(CAPTURA!AJ108="","",IFERROR(IF(INDEX(CODIFICACION!$E$2:$E$500,MATCH("P13|"&amp;CAPTURA!AJ108,CODIFICACION!$F$2:$F$500,0))="sin dato","",INDEX(CODIFICACION!$E$2:$E$500,MATCH("P13|"&amp;CAPTURA!AJ108,CODIFICACION!$F$2:$F$500,0))),"⚠"))</f>
        <v/>
      </c>
      <c r="G108" t="str">
        <f>IF(CAPTURA!AK108="","",IFERROR(IF(INDEX(CODIFICACION!$E$2:$E$500,MATCH("P14|"&amp;CAPTURA!AK108,CODIFICACION!$F$2:$F$500,0))="sin dato","",INDEX(CODIFICACION!$E$2:$E$500,MATCH("P14|"&amp;CAPTURA!AK108,CODIFICACION!$F$2:$F$500,0))),"⚠"))</f>
        <v/>
      </c>
      <c r="H108" t="str">
        <f>IF(CAPTURA!AL108="","",IFERROR(IF(INDEX(CODIFICACION!$E$2:$E$500,MATCH("D1.1|"&amp;CAPTURA!AL108,CODIFICACION!$F$2:$F$500,0))="sin dato","",INDEX(CODIFICACION!$E$2:$E$500,MATCH("D1.1|"&amp;CAPTURA!AL108,CODIFICACION!$F$2:$F$500,0))),"⚠"))</f>
        <v/>
      </c>
      <c r="I108" t="str">
        <f>IF(CAPTURA!AN108="","",IFERROR(IF(INDEX(CODIFICACION!$E$2:$E$500,MATCH("D1.3|"&amp;CAPTURA!AN108,CODIFICACION!$F$2:$F$500,0))="sin dato","",INDEX(CODIFICACION!$E$2:$E$500,MATCH("D1.3|"&amp;CAPTURA!AN108,CODIFICACION!$F$2:$F$500,0))),"⚠"))</f>
        <v/>
      </c>
      <c r="J108" t="str">
        <f>IF(CAPTURA!AO108="","",IFERROR(IF(INDEX(CODIFICACION!$E$2:$E$500,MATCH("D1.4|"&amp;CAPTURA!AO108,CODIFICACION!$F$2:$F$500,0))="sin dato","",INDEX(CODIFICACION!$E$2:$E$500,MATCH("D1.4|"&amp;CAPTURA!AO108,CODIFICACION!$F$2:$F$500,0))),"⚠"))</f>
        <v/>
      </c>
      <c r="K108" t="str">
        <f>IF(CAPTURA!AP108="","",IFERROR(IF(INDEX(CODIFICACION!$E$2:$E$500,MATCH("D1.3a|"&amp;CAPTURA!AP108,CODIFICACION!$F$2:$F$500,0))="sin dato","",INDEX(CODIFICACION!$E$2:$E$500,MATCH("D1.3a|"&amp;CAPTURA!AP108,CODIFICACION!$F$2:$F$500,0))),"⚠"))</f>
        <v/>
      </c>
      <c r="L108" t="str">
        <f>IF(CAPTURA!AQ108="","",IF(AND(ISNUMBER(CAPTURA!AQ108),CAPTURA!AQ108&gt;=0,CAPTURA!AQ108&lt;=4),CAPTURA!AQ108*25,"⚠"))</f>
        <v/>
      </c>
      <c r="M108" t="str">
        <f>IF(CAPTURA!AR108="","",IF(ISNUMBER(CAPTURA!AR108),MAX(0,MIN(100,CAPTURA!AR108)),"⚠"))</f>
        <v/>
      </c>
      <c r="N108" t="str">
        <f>IF(CAPTURA!AS108="","",IF(AND(ISNUMBER(CAPTURA!AS108),CAPTURA!AS108&gt;=0,CAPTURA!AS108&lt;=4),CAPTURA!AS108*25,"⚠"))</f>
        <v/>
      </c>
      <c r="O108" t="str">
        <f>IF(CAPTURA!AT108="","",IFERROR(IF(INDEX(CODIFICACION!$E$2:$E$500,MATCH("D2.8|"&amp;CAPTURA!AT108,CODIFICACION!$F$2:$F$500,0))="sin dato","",INDEX(CODIFICACION!$E$2:$E$500,MATCH("D2.8|"&amp;CAPTURA!AT108,CODIFICACION!$F$2:$F$500,0))),"⚠"))</f>
        <v/>
      </c>
      <c r="P108" t="str">
        <f>IF(CAPTURA!AU108="","",IFERROR(IF(INDEX(CODIFICACION!$E$2:$E$500,MATCH("D2.9|"&amp;CAPTURA!AU108,CODIFICACION!$F$2:$F$500,0))="sin dato","",INDEX(CODIFICACION!$E$2:$E$500,MATCH("D2.9|"&amp;CAPTURA!AU108,CODIFICACION!$F$2:$F$500,0))),"⚠"))</f>
        <v/>
      </c>
      <c r="Q108" t="str">
        <f>IF(CAPTURA!AV108="","",IFERROR(IF(INDEX(CODIFICACION!$E$2:$E$500,MATCH("D2.10|"&amp;CAPTURA!AV108,CODIFICACION!$F$2:$F$500,0))="sin dato","",INDEX(CODIFICACION!$E$2:$E$500,MATCH("D2.10|"&amp;CAPTURA!AV108,CODIFICACION!$F$2:$F$500,0))),"⚠"))</f>
        <v/>
      </c>
      <c r="R108" t="str">
        <f>IF(CAPTURA!AW108="","",IFERROR(IF(INDEX(CODIFICACION!$E$2:$E$500,MATCH("D2.5a|"&amp;CAPTURA!AW108,CODIFICACION!$F$2:$F$500,0))="sin dato","",INDEX(CODIFICACION!$E$2:$E$500,MATCH("D2.5a|"&amp;CAPTURA!AW108,CODIFICACION!$F$2:$F$500,0))),"⚠"))</f>
        <v/>
      </c>
      <c r="S108" t="str">
        <f>IF(CAPTURA!AX108="","",IFERROR(IF(INDEX(CODIFICACION!$E$2:$E$500,MATCH("D2.5b|"&amp;CAPTURA!AX108,CODIFICACION!$F$2:$F$500,0))="sin dato","",INDEX(CODIFICACION!$E$2:$E$500,MATCH("D2.5b|"&amp;CAPTURA!AX108,CODIFICACION!$F$2:$F$500,0))),"⚠"))</f>
        <v/>
      </c>
      <c r="T108" t="str">
        <f>IF(CAPTURA!AY108="","",IF(ISNUMBER(CAPTURA!AY108),MAX(0,MIN(100,CAPTURA!AY108)),"⚠"))</f>
        <v/>
      </c>
      <c r="U108" t="str">
        <f>IF(CAPTURA!AZ108="","",IFERROR(IF(INDEX(CODIFICACION!$E$2:$E$500,MATCH("D3.12|"&amp;CAPTURA!AZ108,CODIFICACION!$F$2:$F$500,0))="sin dato","",INDEX(CODIFICACION!$E$2:$E$500,MATCH("D3.12|"&amp;CAPTURA!AZ108,CODIFICACION!$F$2:$F$500,0))),"⚠"))</f>
        <v/>
      </c>
      <c r="V108" t="str">
        <f>IF(CAPTURA!BA108="","",IF(AND(ISNUMBER(CAPTURA!BA108),CAPTURA!BA108&gt;=0,CAPTURA!BA108&lt;=4),CAPTURA!BA108*25,"⚠"))</f>
        <v/>
      </c>
      <c r="W108" t="str">
        <f>IF(CAPTURA!BB108="","",IFERROR(IF(INDEX(CODIFICACION!$E$2:$E$500,MATCH("D3.14|"&amp;CAPTURA!BB108,CODIFICACION!$F$2:$F$500,0))="sin dato","",INDEX(CODIFICACION!$E$2:$E$500,MATCH("D3.14|"&amp;CAPTURA!BB108,CODIFICACION!$F$2:$F$500,0))),"⚠"))</f>
        <v/>
      </c>
      <c r="X108" t="str">
        <f>IF(CAPTURA!BC108="","",IFERROR(IF(INDEX(CODIFICACION!$E$2:$E$500,MATCH("D3.14a|"&amp;CAPTURA!BC108,CODIFICACION!$F$2:$F$500,0))="sin dato","",INDEX(CODIFICACION!$E$2:$E$500,MATCH("D3.14a|"&amp;CAPTURA!BC108,CODIFICACION!$F$2:$F$500,0))),"⚠"))</f>
        <v/>
      </c>
      <c r="Y108" t="str">
        <f>IF(CAPTURA!BD108="","",IFERROR(IF(INDEX(CODIFICACION!$E$2:$E$500,MATCH("D3.14b|"&amp;CAPTURA!BD108,CODIFICACION!$F$2:$F$500,0))="sin dato","",INDEX(CODIFICACION!$E$2:$E$500,MATCH("D3.14b|"&amp;CAPTURA!BD108,CODIFICACION!$F$2:$F$500,0))),"⚠"))</f>
        <v/>
      </c>
      <c r="Z108" t="str">
        <f>IF(CAPTURA!BE108="","",IFERROR(IF(INDEX(CODIFICACION!$E$2:$E$500,MATCH("D3.14c|"&amp;CAPTURA!BE108,CODIFICACION!$F$2:$F$500,0))="sin dato","",INDEX(CODIFICACION!$E$2:$E$500,MATCH("D3.14c|"&amp;CAPTURA!BE108,CODIFICACION!$F$2:$F$500,0))),"⚠"))</f>
        <v/>
      </c>
      <c r="AA108" t="str">
        <f>IF(CAPTURA!BF108="","",IFERROR(IF(INDEX(CODIFICACION!$E$2:$E$500,MATCH("D3.14d|"&amp;CAPTURA!BF108,CODIFICACION!$F$2:$F$500,0))="sin dato","",INDEX(CODIFICACION!$E$2:$E$500,MATCH("D3.14d|"&amp;CAPTURA!BF108,CODIFICACION!$F$2:$F$500,0))),"⚠"))</f>
        <v/>
      </c>
      <c r="AB108" t="str">
        <f>IF(CAPTURA!BG108="","",IFERROR(IF(INDEX(CODIFICACION!$E$2:$E$500,MATCH("D3.14e|"&amp;CAPTURA!BG108,CODIFICACION!$F$2:$F$500,0))="sin dato","",INDEX(CODIFICACION!$E$2:$E$500,MATCH("D3.14e|"&amp;CAPTURA!BG108,CODIFICACION!$F$2:$F$500,0))),"⚠"))</f>
        <v/>
      </c>
      <c r="AC108" t="str">
        <f>IF(CAPTURA!BH108="","",IFERROR(IF(INDEX(CODIFICACION!$E$2:$E$500,MATCH("D3.14f|"&amp;CAPTURA!BH108,CODIFICACION!$F$2:$F$500,0))="sin dato","",INDEX(CODIFICACION!$E$2:$E$500,MATCH("D3.14f|"&amp;CAPTURA!BH108,CODIFICACION!$F$2:$F$500,0))),"⚠"))</f>
        <v/>
      </c>
      <c r="AD108" t="str">
        <f>IF(CAPTURA!BI108="","",IFERROR(IF(INDEX(CODIFICACION!$E$2:$E$500,MATCH("D3.14g|"&amp;CAPTURA!BI108,CODIFICACION!$F$2:$F$500,0))="sin dato","",INDEX(CODIFICACION!$E$2:$E$500,MATCH("D3.14g|"&amp;CAPTURA!BI108,CODIFICACION!$F$2:$F$500,0))),"⚠"))</f>
        <v/>
      </c>
      <c r="AE108" t="str">
        <f>IF(CAPTURA!BJ108="","",IFERROR(IF(INDEX(CODIFICACION!$E$2:$E$500,MATCH("D3.14h|"&amp;CAPTURA!BJ108,CODIFICACION!$F$2:$F$500,0))="sin dato","",INDEX(CODIFICACION!$E$2:$E$500,MATCH("D3.14h|"&amp;CAPTURA!BJ108,CODIFICACION!$F$2:$F$500,0))),"⚠"))</f>
        <v/>
      </c>
      <c r="AF108" t="str">
        <f>IF(CAPTURA!BK108="","",IFERROR(IF(INDEX(CODIFICACION!$E$2:$E$500,MATCH("D3.14i|"&amp;CAPTURA!BK108,CODIFICACION!$F$2:$F$500,0))="sin dato","",INDEX(CODIFICACION!$E$2:$E$500,MATCH("D3.14i|"&amp;CAPTURA!BK108,CODIFICACION!$F$2:$F$500,0))),"⚠"))</f>
        <v/>
      </c>
      <c r="AG108" t="str">
        <f>IF(CAPTURA!BL108="","",IFERROR(IF(INDEX(CODIFICACION!$E$2:$E$500,MATCH("D4.15|"&amp;CAPTURA!BL108,CODIFICACION!$F$2:$F$500,0))="sin dato","",INDEX(CODIFICACION!$E$2:$E$500,MATCH("D4.15|"&amp;CAPTURA!BL108,CODIFICACION!$F$2:$F$500,0))),"⚠"))</f>
        <v/>
      </c>
      <c r="AH108" t="str">
        <f>IF(CAPTURA!BM108="","",IF(AND(ISNUMBER(CAPTURA!BM108),CAPTURA!BM108&gt;=0,CAPTURA!BM108&lt;=4),CAPTURA!BM108*25,"⚠"))</f>
        <v/>
      </c>
      <c r="AI108" t="str">
        <f>IF(CAPTURA!BN108="","",IFERROR(IF(INDEX(CODIFICACION!$E$2:$E$500,MATCH("D4.17|"&amp;CAPTURA!BN108,CODIFICACION!$F$2:$F$500,0))="sin dato","",INDEX(CODIFICACION!$E$2:$E$500,MATCH("D4.17|"&amp;CAPTURA!BN108,CODIFICACION!$F$2:$F$500,0))),"⚠"))</f>
        <v/>
      </c>
      <c r="AJ108" t="str">
        <f>IF(CAPTURA!BO108="","",IFERROR(IF(INDEX(CODIFICACION!$E$2:$E$500,MATCH("D4.15a|"&amp;CAPTURA!BO108,CODIFICACION!$F$2:$F$500,0))="sin dato","",INDEX(CODIFICACION!$E$2:$E$500,MATCH("D4.15a|"&amp;CAPTURA!BO108,CODIFICACION!$F$2:$F$500,0))),"⚠"))</f>
        <v/>
      </c>
      <c r="AK108" t="str">
        <f>IF(CAPTURA!BP108="","",IF(AND(ISNUMBER(CAPTURA!BP108),CAPTURA!BP108&gt;=0,CAPTURA!BP108&lt;=4),CAPTURA!BP108*25,"⚠"))</f>
        <v/>
      </c>
      <c r="AL108" t="str">
        <f>IF(CAPTURA!BQ108="","",IF(AND(ISNUMBER(CAPTURA!BQ108),CAPTURA!BQ108&gt;=0,CAPTURA!BQ108&lt;=4),CAPTURA!BQ108*25,"⚠"))</f>
        <v/>
      </c>
      <c r="AM108" t="str">
        <f>IF(CAPTURA!BR108="","",IFERROR(IF(INDEX(CODIFICACION!$E$2:$E$500,MATCH("D5.18b|"&amp;CAPTURA!BR108,CODIFICACION!$F$2:$F$500,0))="sin dato","",INDEX(CODIFICACION!$E$2:$E$500,MATCH("D5.18b|"&amp;CAPTURA!BR108,CODIFICACION!$F$2:$F$500,0))),"⚠"))</f>
        <v/>
      </c>
      <c r="AN108" t="str">
        <f>IF(CAPTURA!BS108="","",IFERROR(IF(INDEX(CODIFICACION!$E$2:$E$500,MATCH("D5.19|"&amp;CAPTURA!BS108,CODIFICACION!$F$2:$F$500,0))="sin dato","",INDEX(CODIFICACION!$E$2:$E$500,MATCH("D5.19|"&amp;CAPTURA!BS108,CODIFICACION!$F$2:$F$500,0))),"⚠"))</f>
        <v/>
      </c>
      <c r="AO108" t="str">
        <f>IF(CAPTURA!BT108="","",MIN(100,ROUND((LEN(CAPTURA!BT108)-LEN(SUBSTITUTE(CAPTURA!BT108,";",""))+1)/7*100,1)))</f>
        <v/>
      </c>
      <c r="AP108" t="str">
        <f>IF(CAPTURA!BU108="","",IFERROR(IF(INDEX(CODIFICACION!$E$2:$E$500,MATCH("D5.20|"&amp;CAPTURA!BU108,CODIFICACION!$F$2:$F$500,0))="sin dato","",INDEX(CODIFICACION!$E$2:$E$500,MATCH("D5.20|"&amp;CAPTURA!BU108,CODIFICACION!$F$2:$F$500,0))),"⚠"))</f>
        <v/>
      </c>
      <c r="AQ108" t="str">
        <f>IF(CAPTURA!BV108="","",IFERROR(IF(INDEX(CODIFICACION!$E$2:$E$500,MATCH("D5.21|"&amp;CAPTURA!BV108,CODIFICACION!$F$2:$F$500,0))="sin dato","",INDEX(CODIFICACION!$E$2:$E$500,MATCH("D5.21|"&amp;CAPTURA!BV108,CODIFICACION!$F$2:$F$500,0))),"⚠"))</f>
        <v/>
      </c>
      <c r="AR108" t="str">
        <f>IF(CAPTURA!BW108="","",IFERROR(IF(INDEX(CODIFICACION!$E$2:$E$500,MATCH("D5.21a|"&amp;CAPTURA!BW108,CODIFICACION!$F$2:$F$500,0))="sin dato","",INDEX(CODIFICACION!$E$2:$E$500,MATCH("D5.21a|"&amp;CAPTURA!BW108,CODIFICACION!$F$2:$F$500,0))),"⚠"))</f>
        <v/>
      </c>
      <c r="AS108" t="str">
        <f>IF(CAPTURA!BX108="","",IFERROR(IF(INDEX(CODIFICACION!$E$2:$E$500,MATCH("D5.21b|"&amp;CAPTURA!BX108,CODIFICACION!$F$2:$F$500,0))="sin dato","",INDEX(CODIFICACION!$E$2:$E$500,MATCH("D5.21b|"&amp;CAPTURA!BX108,CODIFICACION!$F$2:$F$500,0))),"⚠"))</f>
        <v/>
      </c>
      <c r="AT108" t="str">
        <f>IF(CAPTURA!BY108="","",IFERROR(IF(INDEX(CODIFICACION!$E$2:$E$500,MATCH("D6.22|"&amp;CAPTURA!BY108,CODIFICACION!$F$2:$F$500,0))="sin dato","",INDEX(CODIFICACION!$E$2:$E$500,MATCH("D6.22|"&amp;CAPTURA!BY108,CODIFICACION!$F$2:$F$500,0))),"⚠"))</f>
        <v/>
      </c>
      <c r="AU108" t="str">
        <f>IF(CAPTURA!BZ108="","",IFERROR(IF(INDEX(CODIFICACION!$E$2:$E$500,MATCH("D6.22a|"&amp;CAPTURA!BZ108,CODIFICACION!$F$2:$F$500,0))="sin dato","",INDEX(CODIFICACION!$E$2:$E$500,MATCH("D6.22a|"&amp;CAPTURA!BZ108,CODIFICACION!$F$2:$F$500,0))),"⚠"))</f>
        <v/>
      </c>
      <c r="AV108" t="str">
        <f>IF(CAPTURA!CA108="","",IFERROR(IF(INDEX(CODIFICACION!$E$2:$E$500,MATCH("D6.22b|"&amp;CAPTURA!CA108,CODIFICACION!$F$2:$F$500,0))="sin dato","",INDEX(CODIFICACION!$E$2:$E$500,MATCH("D6.22b|"&amp;CAPTURA!CA108,CODIFICACION!$F$2:$F$500,0))),"⚠"))</f>
        <v/>
      </c>
      <c r="AW108" t="str">
        <f>IF(CAPTURA!CB108="","",IFERROR(IF(INDEX(CODIFICACION!$E$2:$E$500,MATCH("D6.23|"&amp;CAPTURA!CB108,CODIFICACION!$F$2:$F$500,0))="sin dato","",INDEX(CODIFICACION!$E$2:$E$500,MATCH("D6.23|"&amp;CAPTURA!CB108,CODIFICACION!$F$2:$F$500,0))),"⚠"))</f>
        <v/>
      </c>
      <c r="AX108" t="str">
        <f>IF(CAPTURA!CC108="","",IFERROR(IF(INDEX(CODIFICACION!$E$2:$E$500,MATCH("D6.24|"&amp;CAPTURA!CC108,CODIFICACION!$F$2:$F$500,0))="sin dato","",INDEX(CODIFICACION!$E$2:$E$500,MATCH("D6.24|"&amp;CAPTURA!CC108,CODIFICACION!$F$2:$F$500,0))),"⚠"))</f>
        <v/>
      </c>
      <c r="AY108" t="str">
        <f>IF(CAPTURA!CD108="","",IFERROR(IF(INDEX(CODIFICACION!$E$2:$E$500,MATCH("D6.25|"&amp;CAPTURA!CD108,CODIFICACION!$F$2:$F$500,0))="sin dato","",INDEX(CODIFICACION!$E$2:$E$500,MATCH("D6.25|"&amp;CAPTURA!CD108,CODIFICACION!$F$2:$F$500,0))),"⚠"))</f>
        <v/>
      </c>
      <c r="AZ108" t="str">
        <f>IF(CAPTURA!CE108="","",IFERROR(IF(INDEX(CODIFICACION!$E$2:$E$500,MATCH("D6.25a|"&amp;CAPTURA!CE108,CODIFICACION!$F$2:$F$500,0))="sin dato","",INDEX(CODIFICACION!$E$2:$E$500,MATCH("D6.25a|"&amp;CAPTURA!CE108,CODIFICACION!$F$2:$F$500,0))),"⚠"))</f>
        <v/>
      </c>
      <c r="BA108" t="str">
        <f>IF(CAPTURA!CF108="","",IFERROR(IF(INDEX(CODIFICACION!$E$2:$E$500,MATCH("D6.25b|"&amp;CAPTURA!CF108,CODIFICACION!$F$2:$F$500,0))="sin dato","",INDEX(CODIFICACION!$E$2:$E$500,MATCH("D6.25b|"&amp;CAPTURA!CF108,CODIFICACION!$F$2:$F$500,0))),"⚠"))</f>
        <v/>
      </c>
      <c r="BB108" t="str">
        <f>IF(CAPTURA!CG108="","",IFERROR(IF(INDEX(CODIFICACION!$E$2:$E$500,MATCH("D6.22c|"&amp;CAPTURA!CG108,CODIFICACION!$F$2:$F$500,0))="sin dato","",INDEX(CODIFICACION!$E$2:$E$500,MATCH("D6.22c|"&amp;CAPTURA!CG108,CODIFICACION!$F$2:$F$500,0))),"⚠"))</f>
        <v/>
      </c>
      <c r="BC108" t="str">
        <f>IF(CAPTURA!CH108="","",IFERROR(IF(INDEX(CODIFICACION!$E$2:$E$500,MATCH("D7.26|"&amp;CAPTURA!CH108,CODIFICACION!$F$2:$F$500,0))="sin dato","",INDEX(CODIFICACION!$E$2:$E$500,MATCH("D7.26|"&amp;CAPTURA!CH108,CODIFICACION!$F$2:$F$500,0))),"⚠"))</f>
        <v/>
      </c>
      <c r="BD108" t="str">
        <f>IF(CAPTURA!CI108="","",IFERROR(IF(INDEX(CODIFICACION!$E$2:$E$500,MATCH("D7.27|"&amp;CAPTURA!CI108,CODIFICACION!$F$2:$F$500,0))="sin dato","",INDEX(CODIFICACION!$E$2:$E$500,MATCH("D7.27|"&amp;CAPTURA!CI108,CODIFICACION!$F$2:$F$500,0))),"⚠"))</f>
        <v/>
      </c>
      <c r="BE108" t="str">
        <f>IF(CAPTURA!CJ108="","",IFERROR(IF(INDEX(CODIFICACION!$E$2:$E$500,MATCH("D7.28|"&amp;CAPTURA!CJ108,CODIFICACION!$F$2:$F$500,0))="sin dato","",INDEX(CODIFICACION!$E$2:$E$500,MATCH("D7.28|"&amp;CAPTURA!CJ108,CODIFICACION!$F$2:$F$500,0))),"⚠"))</f>
        <v/>
      </c>
      <c r="BF108" t="str">
        <f>IF(CAPTURA!CK108="","",IFERROR(IF(INDEX(CODIFICACION!$E$2:$E$500,MATCH("D7.28b|"&amp;CAPTURA!CK108,CODIFICACION!$F$2:$F$500,0))="sin dato","",INDEX(CODIFICACION!$E$2:$E$500,MATCH("D7.28b|"&amp;CAPTURA!CK108,CODIFICACION!$F$2:$F$500,0))),"⚠"))</f>
        <v/>
      </c>
      <c r="BG108" t="str">
        <f>IF(CAPTURA!CL108="","",MIN(100,ROUND((LEN(CAPTURA!CL108)-LEN(SUBSTITUTE(CAPTURA!CL108,";",""))+1)/8*100,1)))</f>
        <v/>
      </c>
      <c r="BH108" t="str">
        <f>IF(CAPTURA!CM108="","",IFERROR(IF(INDEX(CODIFICACION!$E$2:$E$500,MATCH("D7.26a|"&amp;CAPTURA!CM108,CODIFICACION!$F$2:$F$500,0))="sin dato","",INDEX(CODIFICACION!$E$2:$E$500,MATCH("D7.26a|"&amp;CAPTURA!CM108,CODIFICACION!$F$2:$F$500,0))),"⚠"))</f>
        <v/>
      </c>
      <c r="BI108" t="str">
        <f>IF(CAPTURA!CN108="","",IFERROR(IF(INDEX(CODIFICACION!$E$2:$E$500,MATCH("D7.26b|"&amp;CAPTURA!CN108,CODIFICACION!$F$2:$F$500,0))="sin dato","",INDEX(CODIFICACION!$E$2:$E$500,MATCH("D7.26b|"&amp;CAPTURA!CN108,CODIFICACION!$F$2:$F$500,0))),"⚠"))</f>
        <v/>
      </c>
      <c r="BJ108" t="str">
        <f>IF(CAPTURA!CO108="","",IF(AND(ISNUMBER(CAPTURA!CO108),CAPTURA!CO108&gt;=0,CAPTURA!CO108&lt;=4),CAPTURA!CO108*25,"⚠"))</f>
        <v/>
      </c>
      <c r="BK108" t="str">
        <f>IF(CAPTURA!CP108="","",IF(ISNUMBER(CAPTURA!CP108),MAX(0,MIN(100,CAPTURA!CP108)),"⚠"))</f>
        <v/>
      </c>
      <c r="BL108" t="str">
        <f>IF(CAPTURA!CQ108="","",IFERROR(IF(INDEX(CODIFICACION!$E$2:$E$500,MATCH("D8.31|"&amp;CAPTURA!CQ108,CODIFICACION!$F$2:$F$500,0))="sin dato","",INDEX(CODIFICACION!$E$2:$E$500,MATCH("D8.31|"&amp;CAPTURA!CQ108,CODIFICACION!$F$2:$F$500,0))),"⚠"))</f>
        <v/>
      </c>
      <c r="BM108" t="str">
        <f>IF(CAPTURA!CR108="","",IFERROR(IF(INDEX(CODIFICACION!$E$2:$E$500,MATCH("D8.32|"&amp;CAPTURA!CR108,CODIFICACION!$F$2:$F$500,0))="sin dato","",INDEX(CODIFICACION!$E$2:$E$500,MATCH("D8.32|"&amp;CAPTURA!CR108,CODIFICACION!$F$2:$F$500,0))),"⚠"))</f>
        <v/>
      </c>
      <c r="BN108" t="str">
        <f>IF(CAPTURA!CS108="","",IFERROR(IF(INDEX(CODIFICACION!$E$2:$E$500,MATCH("D9.33|"&amp;CAPTURA!CS108,CODIFICACION!$F$2:$F$500,0))="sin dato","",INDEX(CODIFICACION!$E$2:$E$500,MATCH("D9.33|"&amp;CAPTURA!CS108,CODIFICACION!$F$2:$F$500,0))),"⚠"))</f>
        <v/>
      </c>
      <c r="BO108" t="str">
        <f>IF(CAPTURA!CT108="","",IFERROR(IF(INDEX(CODIFICACION!$E$2:$E$500,MATCH("D9.34|"&amp;CAPTURA!CT108,CODIFICACION!$F$2:$F$500,0))="sin dato","",INDEX(CODIFICACION!$E$2:$E$500,MATCH("D9.34|"&amp;CAPTURA!CT108,CODIFICACION!$F$2:$F$500,0))),"⚠"))</f>
        <v/>
      </c>
      <c r="BP108" t="str">
        <f>IF(CAPTURA!CU108="","",IFERROR(IF(INDEX(CODIFICACION!$E$2:$E$500,MATCH("D9.35|"&amp;CAPTURA!CU108,CODIFICACION!$F$2:$F$500,0))="sin dato","",INDEX(CODIFICACION!$E$2:$E$500,MATCH("D9.35|"&amp;CAPTURA!CU108,CODIFICACION!$F$2:$F$500,0))),"⚠"))</f>
        <v/>
      </c>
      <c r="BQ108" t="str">
        <f>IF(CAPTURA!CV108="","",IFERROR(IF(INDEX(CODIFICACION!$E$2:$E$500,MATCH("D10.36|"&amp;CAPTURA!CV108,CODIFICACION!$F$2:$F$500,0))="sin dato","",INDEX(CODIFICACION!$E$2:$E$500,MATCH("D10.36|"&amp;CAPTURA!CV108,CODIFICACION!$F$2:$F$500,0))),"⚠"))</f>
        <v/>
      </c>
      <c r="BR108" t="str">
        <f>IF(CAPTURA!CW108="","",IFERROR(IF(INDEX(CODIFICACION!$E$2:$E$500,MATCH("D10.37|"&amp;CAPTURA!CW108,CODIFICACION!$F$2:$F$500,0))="sin dato","",INDEX(CODIFICACION!$E$2:$E$500,MATCH("D10.37|"&amp;CAPTURA!CW108,CODIFICACION!$F$2:$F$500,0))),"⚠"))</f>
        <v/>
      </c>
      <c r="BS108" t="str">
        <f>IF(CAPTURA!CX108="","",IFERROR(IF(INDEX(CODIFICACION!$E$2:$E$500,MATCH("D10.36a|"&amp;CAPTURA!CX108,CODIFICACION!$F$2:$F$500,0))="sin dato","",INDEX(CODIFICACION!$E$2:$E$500,MATCH("D10.36a|"&amp;CAPTURA!CX108,CODIFICACION!$F$2:$F$500,0))),"⚠"))</f>
        <v/>
      </c>
      <c r="BT108" t="str">
        <f>IF(CAPTURA!CY108="","",IF(ISNUMBER(SEARCH("Ninguno",CAPTURA!CY108)),0,MIN(100,ROUND((LEN(CAPTURA!CY108)-LEN(SUBSTITUTE(CAPTURA!CY108,";",""))+1)/6*100,1))))</f>
        <v/>
      </c>
      <c r="BU108" t="str">
        <f>IF(CAPTURA!DA108="","",IFERROR(IF(INDEX(CODIFICACION!$E$2:$E$500,MATCH("D11.39a|"&amp;CAPTURA!DA108,CODIFICACION!$F$2:$F$500,0))="sin dato","",INDEX(CODIFICACION!$E$2:$E$500,MATCH("D11.39a|"&amp;CAPTURA!DA108,CODIFICACION!$F$2:$F$500,0))),"⚠"))</f>
        <v/>
      </c>
      <c r="BV108" t="str">
        <f>IF(CAPTURA!DB108="","",IFERROR(IF(INDEX(CODIFICACION!$E$2:$E$500,MATCH("D12.42|"&amp;CAPTURA!DB108,CODIFICACION!$F$2:$F$500,0))="sin dato","",INDEX(CODIFICACION!$E$2:$E$500,MATCH("D12.42|"&amp;CAPTURA!DB108,CODIFICACION!$F$2:$F$500,0))),"⚠"))</f>
        <v/>
      </c>
      <c r="BW108" t="str">
        <f>IF(CAPTURA!DC108="","",IFERROR(IF(INDEX(CODIFICACION!$E$2:$E$500,MATCH("D13.45|"&amp;CAPTURA!DC108,CODIFICACION!$F$2:$F$500,0))="sin dato","",INDEX(CODIFICACION!$E$2:$E$500,MATCH("D13.45|"&amp;CAPTURA!DC108,CODIFICACION!$F$2:$F$500,0))),"⚠"))</f>
        <v/>
      </c>
      <c r="BX108" t="str">
        <f>IF(CAPTURA!DD108="","",IFERROR(IF(INDEX(CODIFICACION!$E$2:$E$500,MATCH("D14.51|"&amp;CAPTURA!DD108,CODIFICACION!$F$2:$F$500,0))="sin dato","",INDEX(CODIFICACION!$E$2:$E$500,MATCH("D14.51|"&amp;CAPTURA!DD108,CODIFICACION!$F$2:$F$500,0))),"⚠"))</f>
        <v/>
      </c>
      <c r="BY108" t="str">
        <f>IF(CAPTURA!DE108="","",IFERROR(IF(INDEX(CODIFICACION!$E$2:$E$500,MATCH("D15.58|"&amp;CAPTURA!DE108,CODIFICACION!$F$2:$F$500,0))="sin dato","",INDEX(CODIFICACION!$E$2:$E$500,MATCH("D15.58|"&amp;CAPTURA!DE108,CODIFICACION!$F$2:$F$500,0))),"⚠"))</f>
        <v/>
      </c>
      <c r="BZ108" t="str">
        <f>IF(CAPTURA!DF108="","",IFERROR(IF(INDEX(CODIFICACION!$E$2:$E$500,MATCH("PP1|"&amp;CAPTURA!DF108,CODIFICACION!$F$2:$F$500,0))="sin dato","",INDEX(CODIFICACION!$E$2:$E$500,MATCH("PP1|"&amp;CAPTURA!DF108,CODIFICACION!$F$2:$F$500,0))),"⚠"))</f>
        <v/>
      </c>
      <c r="CA108" t="str">
        <f>IF(CAPTURA!DG108="","",IFERROR(IF(INDEX(CODIFICACION!$E$2:$E$500,MATCH("PP2|"&amp;CAPTURA!DG108,CODIFICACION!$F$2:$F$500,0))="sin dato","",INDEX(CODIFICACION!$E$2:$E$500,MATCH("PP2|"&amp;CAPTURA!DG108,CODIFICACION!$F$2:$F$500,0))),"⚠"))</f>
        <v/>
      </c>
      <c r="CB108" t="str">
        <f t="shared" si="33"/>
        <v/>
      </c>
      <c r="CC108" t="str">
        <f t="shared" si="34"/>
        <v/>
      </c>
      <c r="CD108" t="str">
        <f t="shared" si="35"/>
        <v/>
      </c>
      <c r="CE108" t="str">
        <f t="shared" si="36"/>
        <v/>
      </c>
      <c r="CF108" t="str">
        <f t="shared" si="37"/>
        <v/>
      </c>
      <c r="CG108" t="str">
        <f t="shared" si="38"/>
        <v/>
      </c>
      <c r="CH108" t="str">
        <f t="shared" si="39"/>
        <v/>
      </c>
      <c r="CI108" t="str">
        <f t="shared" si="40"/>
        <v/>
      </c>
      <c r="CJ108" t="str">
        <f t="shared" si="41"/>
        <v/>
      </c>
      <c r="CK108" t="str">
        <f t="shared" si="42"/>
        <v/>
      </c>
      <c r="CL108" t="str">
        <f t="shared" si="43"/>
        <v/>
      </c>
    </row>
    <row r="109" spans="1:90" x14ac:dyDescent="0.3">
      <c r="A109">
        <f>CAPTURA!A109</f>
        <v>20600529693</v>
      </c>
      <c r="B109">
        <f>CAPTURA!C109</f>
        <v>0</v>
      </c>
      <c r="C109" t="str">
        <f>IF(CAPTURA!M109="","",ROUND((ISNUMBER(SEARCH("Alemania",CAPTURA!M109))+ISNUMBER(SEARCH("Bélgica",CAPTURA!M109))+ISNUMBER(SEARCH("Países Bajos",CAPTURA!M109))+ISNUMBER(SEARCH("Francia",CAPTURA!M109))+ISNUMBER(SEARCH("Italia",CAPTURA!M109))+ISNUMBER(SEARCH("España",CAPTURA!M109))+ISNUMBER(SEARCH("Suecia",CAPTURA!M109))+ISNUMBER(SEARCH("Dinamarca",CAPTURA!M109)))/((LEN(CAPTURA!M109)-LEN(SUBSTITUTE(CAPTURA!M109,";","")))+1)*100,1))</f>
        <v/>
      </c>
      <c r="D109" t="str">
        <f>IF(CAPTURA!AE109="","",IFERROR(IF(INDEX(CODIFICACION!$E$2:$E$500,MATCH("P8|"&amp;CAPTURA!AE109,CODIFICACION!$F$2:$F$500,0))="sin dato","",INDEX(CODIFICACION!$E$2:$E$500,MATCH("P8|"&amp;CAPTURA!AE109,CODIFICACION!$F$2:$F$500,0))),"⚠"))</f>
        <v/>
      </c>
      <c r="E109" t="str">
        <f>IF(CAPTURA!AG109="","",IFERROR(IF(INDEX(CODIFICACION!$E$2:$E$500,MATCH("P10|"&amp;CAPTURA!AG109,CODIFICACION!$F$2:$F$500,0))="sin dato","",INDEX(CODIFICACION!$E$2:$E$500,MATCH("P10|"&amp;CAPTURA!AG109,CODIFICACION!$F$2:$F$500,0))),"⚠"))</f>
        <v/>
      </c>
      <c r="F109" t="str">
        <f>IF(CAPTURA!AJ109="","",IFERROR(IF(INDEX(CODIFICACION!$E$2:$E$500,MATCH("P13|"&amp;CAPTURA!AJ109,CODIFICACION!$F$2:$F$500,0))="sin dato","",INDEX(CODIFICACION!$E$2:$E$500,MATCH("P13|"&amp;CAPTURA!AJ109,CODIFICACION!$F$2:$F$500,0))),"⚠"))</f>
        <v/>
      </c>
      <c r="G109" t="str">
        <f>IF(CAPTURA!AK109="","",IFERROR(IF(INDEX(CODIFICACION!$E$2:$E$500,MATCH("P14|"&amp;CAPTURA!AK109,CODIFICACION!$F$2:$F$500,0))="sin dato","",INDEX(CODIFICACION!$E$2:$E$500,MATCH("P14|"&amp;CAPTURA!AK109,CODIFICACION!$F$2:$F$500,0))),"⚠"))</f>
        <v/>
      </c>
      <c r="H109" t="str">
        <f>IF(CAPTURA!AL109="","",IFERROR(IF(INDEX(CODIFICACION!$E$2:$E$500,MATCH("D1.1|"&amp;CAPTURA!AL109,CODIFICACION!$F$2:$F$500,0))="sin dato","",INDEX(CODIFICACION!$E$2:$E$500,MATCH("D1.1|"&amp;CAPTURA!AL109,CODIFICACION!$F$2:$F$500,0))),"⚠"))</f>
        <v/>
      </c>
      <c r="I109" t="str">
        <f>IF(CAPTURA!AN109="","",IFERROR(IF(INDEX(CODIFICACION!$E$2:$E$500,MATCH("D1.3|"&amp;CAPTURA!AN109,CODIFICACION!$F$2:$F$500,0))="sin dato","",INDEX(CODIFICACION!$E$2:$E$500,MATCH("D1.3|"&amp;CAPTURA!AN109,CODIFICACION!$F$2:$F$500,0))),"⚠"))</f>
        <v/>
      </c>
      <c r="J109" t="str">
        <f>IF(CAPTURA!AO109="","",IFERROR(IF(INDEX(CODIFICACION!$E$2:$E$500,MATCH("D1.4|"&amp;CAPTURA!AO109,CODIFICACION!$F$2:$F$500,0))="sin dato","",INDEX(CODIFICACION!$E$2:$E$500,MATCH("D1.4|"&amp;CAPTURA!AO109,CODIFICACION!$F$2:$F$500,0))),"⚠"))</f>
        <v/>
      </c>
      <c r="K109" t="str">
        <f>IF(CAPTURA!AP109="","",IFERROR(IF(INDEX(CODIFICACION!$E$2:$E$500,MATCH("D1.3a|"&amp;CAPTURA!AP109,CODIFICACION!$F$2:$F$500,0))="sin dato","",INDEX(CODIFICACION!$E$2:$E$500,MATCH("D1.3a|"&amp;CAPTURA!AP109,CODIFICACION!$F$2:$F$500,0))),"⚠"))</f>
        <v/>
      </c>
      <c r="L109" t="str">
        <f>IF(CAPTURA!AQ109="","",IF(AND(ISNUMBER(CAPTURA!AQ109),CAPTURA!AQ109&gt;=0,CAPTURA!AQ109&lt;=4),CAPTURA!AQ109*25,"⚠"))</f>
        <v/>
      </c>
      <c r="M109" t="str">
        <f>IF(CAPTURA!AR109="","",IF(ISNUMBER(CAPTURA!AR109),MAX(0,MIN(100,CAPTURA!AR109)),"⚠"))</f>
        <v/>
      </c>
      <c r="N109" t="str">
        <f>IF(CAPTURA!AS109="","",IF(AND(ISNUMBER(CAPTURA!AS109),CAPTURA!AS109&gt;=0,CAPTURA!AS109&lt;=4),CAPTURA!AS109*25,"⚠"))</f>
        <v/>
      </c>
      <c r="O109" t="str">
        <f>IF(CAPTURA!AT109="","",IFERROR(IF(INDEX(CODIFICACION!$E$2:$E$500,MATCH("D2.8|"&amp;CAPTURA!AT109,CODIFICACION!$F$2:$F$500,0))="sin dato","",INDEX(CODIFICACION!$E$2:$E$500,MATCH("D2.8|"&amp;CAPTURA!AT109,CODIFICACION!$F$2:$F$500,0))),"⚠"))</f>
        <v/>
      </c>
      <c r="P109" t="str">
        <f>IF(CAPTURA!AU109="","",IFERROR(IF(INDEX(CODIFICACION!$E$2:$E$500,MATCH("D2.9|"&amp;CAPTURA!AU109,CODIFICACION!$F$2:$F$500,0))="sin dato","",INDEX(CODIFICACION!$E$2:$E$500,MATCH("D2.9|"&amp;CAPTURA!AU109,CODIFICACION!$F$2:$F$500,0))),"⚠"))</f>
        <v/>
      </c>
      <c r="Q109" t="str">
        <f>IF(CAPTURA!AV109="","",IFERROR(IF(INDEX(CODIFICACION!$E$2:$E$500,MATCH("D2.10|"&amp;CAPTURA!AV109,CODIFICACION!$F$2:$F$500,0))="sin dato","",INDEX(CODIFICACION!$E$2:$E$500,MATCH("D2.10|"&amp;CAPTURA!AV109,CODIFICACION!$F$2:$F$500,0))),"⚠"))</f>
        <v/>
      </c>
      <c r="R109" t="str">
        <f>IF(CAPTURA!AW109="","",IFERROR(IF(INDEX(CODIFICACION!$E$2:$E$500,MATCH("D2.5a|"&amp;CAPTURA!AW109,CODIFICACION!$F$2:$F$500,0))="sin dato","",INDEX(CODIFICACION!$E$2:$E$500,MATCH("D2.5a|"&amp;CAPTURA!AW109,CODIFICACION!$F$2:$F$500,0))),"⚠"))</f>
        <v/>
      </c>
      <c r="S109" t="str">
        <f>IF(CAPTURA!AX109="","",IFERROR(IF(INDEX(CODIFICACION!$E$2:$E$500,MATCH("D2.5b|"&amp;CAPTURA!AX109,CODIFICACION!$F$2:$F$500,0))="sin dato","",INDEX(CODIFICACION!$E$2:$E$500,MATCH("D2.5b|"&amp;CAPTURA!AX109,CODIFICACION!$F$2:$F$500,0))),"⚠"))</f>
        <v/>
      </c>
      <c r="T109" t="str">
        <f>IF(CAPTURA!AY109="","",IF(ISNUMBER(CAPTURA!AY109),MAX(0,MIN(100,CAPTURA!AY109)),"⚠"))</f>
        <v/>
      </c>
      <c r="U109" t="str">
        <f>IF(CAPTURA!AZ109="","",IFERROR(IF(INDEX(CODIFICACION!$E$2:$E$500,MATCH("D3.12|"&amp;CAPTURA!AZ109,CODIFICACION!$F$2:$F$500,0))="sin dato","",INDEX(CODIFICACION!$E$2:$E$500,MATCH("D3.12|"&amp;CAPTURA!AZ109,CODIFICACION!$F$2:$F$500,0))),"⚠"))</f>
        <v/>
      </c>
      <c r="V109" t="str">
        <f>IF(CAPTURA!BA109="","",IF(AND(ISNUMBER(CAPTURA!BA109),CAPTURA!BA109&gt;=0,CAPTURA!BA109&lt;=4),CAPTURA!BA109*25,"⚠"))</f>
        <v/>
      </c>
      <c r="W109" t="str">
        <f>IF(CAPTURA!BB109="","",IFERROR(IF(INDEX(CODIFICACION!$E$2:$E$500,MATCH("D3.14|"&amp;CAPTURA!BB109,CODIFICACION!$F$2:$F$500,0))="sin dato","",INDEX(CODIFICACION!$E$2:$E$500,MATCH("D3.14|"&amp;CAPTURA!BB109,CODIFICACION!$F$2:$F$500,0))),"⚠"))</f>
        <v/>
      </c>
      <c r="X109" t="str">
        <f>IF(CAPTURA!BC109="","",IFERROR(IF(INDEX(CODIFICACION!$E$2:$E$500,MATCH("D3.14a|"&amp;CAPTURA!BC109,CODIFICACION!$F$2:$F$500,0))="sin dato","",INDEX(CODIFICACION!$E$2:$E$500,MATCH("D3.14a|"&amp;CAPTURA!BC109,CODIFICACION!$F$2:$F$500,0))),"⚠"))</f>
        <v/>
      </c>
      <c r="Y109" t="str">
        <f>IF(CAPTURA!BD109="","",IFERROR(IF(INDEX(CODIFICACION!$E$2:$E$500,MATCH("D3.14b|"&amp;CAPTURA!BD109,CODIFICACION!$F$2:$F$500,0))="sin dato","",INDEX(CODIFICACION!$E$2:$E$500,MATCH("D3.14b|"&amp;CAPTURA!BD109,CODIFICACION!$F$2:$F$500,0))),"⚠"))</f>
        <v/>
      </c>
      <c r="Z109" t="str">
        <f>IF(CAPTURA!BE109="","",IFERROR(IF(INDEX(CODIFICACION!$E$2:$E$500,MATCH("D3.14c|"&amp;CAPTURA!BE109,CODIFICACION!$F$2:$F$500,0))="sin dato","",INDEX(CODIFICACION!$E$2:$E$500,MATCH("D3.14c|"&amp;CAPTURA!BE109,CODIFICACION!$F$2:$F$500,0))),"⚠"))</f>
        <v/>
      </c>
      <c r="AA109" t="str">
        <f>IF(CAPTURA!BF109="","",IFERROR(IF(INDEX(CODIFICACION!$E$2:$E$500,MATCH("D3.14d|"&amp;CAPTURA!BF109,CODIFICACION!$F$2:$F$500,0))="sin dato","",INDEX(CODIFICACION!$E$2:$E$500,MATCH("D3.14d|"&amp;CAPTURA!BF109,CODIFICACION!$F$2:$F$500,0))),"⚠"))</f>
        <v/>
      </c>
      <c r="AB109" t="str">
        <f>IF(CAPTURA!BG109="","",IFERROR(IF(INDEX(CODIFICACION!$E$2:$E$500,MATCH("D3.14e|"&amp;CAPTURA!BG109,CODIFICACION!$F$2:$F$500,0))="sin dato","",INDEX(CODIFICACION!$E$2:$E$500,MATCH("D3.14e|"&amp;CAPTURA!BG109,CODIFICACION!$F$2:$F$500,0))),"⚠"))</f>
        <v/>
      </c>
      <c r="AC109" t="str">
        <f>IF(CAPTURA!BH109="","",IFERROR(IF(INDEX(CODIFICACION!$E$2:$E$500,MATCH("D3.14f|"&amp;CAPTURA!BH109,CODIFICACION!$F$2:$F$500,0))="sin dato","",INDEX(CODIFICACION!$E$2:$E$500,MATCH("D3.14f|"&amp;CAPTURA!BH109,CODIFICACION!$F$2:$F$500,0))),"⚠"))</f>
        <v/>
      </c>
      <c r="AD109" t="str">
        <f>IF(CAPTURA!BI109="","",IFERROR(IF(INDEX(CODIFICACION!$E$2:$E$500,MATCH("D3.14g|"&amp;CAPTURA!BI109,CODIFICACION!$F$2:$F$500,0))="sin dato","",INDEX(CODIFICACION!$E$2:$E$500,MATCH("D3.14g|"&amp;CAPTURA!BI109,CODIFICACION!$F$2:$F$500,0))),"⚠"))</f>
        <v/>
      </c>
      <c r="AE109" t="str">
        <f>IF(CAPTURA!BJ109="","",IFERROR(IF(INDEX(CODIFICACION!$E$2:$E$500,MATCH("D3.14h|"&amp;CAPTURA!BJ109,CODIFICACION!$F$2:$F$500,0))="sin dato","",INDEX(CODIFICACION!$E$2:$E$500,MATCH("D3.14h|"&amp;CAPTURA!BJ109,CODIFICACION!$F$2:$F$500,0))),"⚠"))</f>
        <v/>
      </c>
      <c r="AF109" t="str">
        <f>IF(CAPTURA!BK109="","",IFERROR(IF(INDEX(CODIFICACION!$E$2:$E$500,MATCH("D3.14i|"&amp;CAPTURA!BK109,CODIFICACION!$F$2:$F$500,0))="sin dato","",INDEX(CODIFICACION!$E$2:$E$500,MATCH("D3.14i|"&amp;CAPTURA!BK109,CODIFICACION!$F$2:$F$500,0))),"⚠"))</f>
        <v/>
      </c>
      <c r="AG109" t="str">
        <f>IF(CAPTURA!BL109="","",IFERROR(IF(INDEX(CODIFICACION!$E$2:$E$500,MATCH("D4.15|"&amp;CAPTURA!BL109,CODIFICACION!$F$2:$F$500,0))="sin dato","",INDEX(CODIFICACION!$E$2:$E$500,MATCH("D4.15|"&amp;CAPTURA!BL109,CODIFICACION!$F$2:$F$500,0))),"⚠"))</f>
        <v/>
      </c>
      <c r="AH109" t="str">
        <f>IF(CAPTURA!BM109="","",IF(AND(ISNUMBER(CAPTURA!BM109),CAPTURA!BM109&gt;=0,CAPTURA!BM109&lt;=4),CAPTURA!BM109*25,"⚠"))</f>
        <v/>
      </c>
      <c r="AI109" t="str">
        <f>IF(CAPTURA!BN109="","",IFERROR(IF(INDEX(CODIFICACION!$E$2:$E$500,MATCH("D4.17|"&amp;CAPTURA!BN109,CODIFICACION!$F$2:$F$500,0))="sin dato","",INDEX(CODIFICACION!$E$2:$E$500,MATCH("D4.17|"&amp;CAPTURA!BN109,CODIFICACION!$F$2:$F$500,0))),"⚠"))</f>
        <v/>
      </c>
      <c r="AJ109" t="str">
        <f>IF(CAPTURA!BO109="","",IFERROR(IF(INDEX(CODIFICACION!$E$2:$E$500,MATCH("D4.15a|"&amp;CAPTURA!BO109,CODIFICACION!$F$2:$F$500,0))="sin dato","",INDEX(CODIFICACION!$E$2:$E$500,MATCH("D4.15a|"&amp;CAPTURA!BO109,CODIFICACION!$F$2:$F$500,0))),"⚠"))</f>
        <v/>
      </c>
      <c r="AK109" t="str">
        <f>IF(CAPTURA!BP109="","",IF(AND(ISNUMBER(CAPTURA!BP109),CAPTURA!BP109&gt;=0,CAPTURA!BP109&lt;=4),CAPTURA!BP109*25,"⚠"))</f>
        <v/>
      </c>
      <c r="AL109" t="str">
        <f>IF(CAPTURA!BQ109="","",IF(AND(ISNUMBER(CAPTURA!BQ109),CAPTURA!BQ109&gt;=0,CAPTURA!BQ109&lt;=4),CAPTURA!BQ109*25,"⚠"))</f>
        <v/>
      </c>
      <c r="AM109" t="str">
        <f>IF(CAPTURA!BR109="","",IFERROR(IF(INDEX(CODIFICACION!$E$2:$E$500,MATCH("D5.18b|"&amp;CAPTURA!BR109,CODIFICACION!$F$2:$F$500,0))="sin dato","",INDEX(CODIFICACION!$E$2:$E$500,MATCH("D5.18b|"&amp;CAPTURA!BR109,CODIFICACION!$F$2:$F$500,0))),"⚠"))</f>
        <v/>
      </c>
      <c r="AN109" t="str">
        <f>IF(CAPTURA!BS109="","",IFERROR(IF(INDEX(CODIFICACION!$E$2:$E$500,MATCH("D5.19|"&amp;CAPTURA!BS109,CODIFICACION!$F$2:$F$500,0))="sin dato","",INDEX(CODIFICACION!$E$2:$E$500,MATCH("D5.19|"&amp;CAPTURA!BS109,CODIFICACION!$F$2:$F$500,0))),"⚠"))</f>
        <v/>
      </c>
      <c r="AO109" t="str">
        <f>IF(CAPTURA!BT109="","",MIN(100,ROUND((LEN(CAPTURA!BT109)-LEN(SUBSTITUTE(CAPTURA!BT109,";",""))+1)/7*100,1)))</f>
        <v/>
      </c>
      <c r="AP109" t="str">
        <f>IF(CAPTURA!BU109="","",IFERROR(IF(INDEX(CODIFICACION!$E$2:$E$500,MATCH("D5.20|"&amp;CAPTURA!BU109,CODIFICACION!$F$2:$F$500,0))="sin dato","",INDEX(CODIFICACION!$E$2:$E$500,MATCH("D5.20|"&amp;CAPTURA!BU109,CODIFICACION!$F$2:$F$500,0))),"⚠"))</f>
        <v/>
      </c>
      <c r="AQ109" t="str">
        <f>IF(CAPTURA!BV109="","",IFERROR(IF(INDEX(CODIFICACION!$E$2:$E$500,MATCH("D5.21|"&amp;CAPTURA!BV109,CODIFICACION!$F$2:$F$500,0))="sin dato","",INDEX(CODIFICACION!$E$2:$E$500,MATCH("D5.21|"&amp;CAPTURA!BV109,CODIFICACION!$F$2:$F$500,0))),"⚠"))</f>
        <v/>
      </c>
      <c r="AR109" t="str">
        <f>IF(CAPTURA!BW109="","",IFERROR(IF(INDEX(CODIFICACION!$E$2:$E$500,MATCH("D5.21a|"&amp;CAPTURA!BW109,CODIFICACION!$F$2:$F$500,0))="sin dato","",INDEX(CODIFICACION!$E$2:$E$500,MATCH("D5.21a|"&amp;CAPTURA!BW109,CODIFICACION!$F$2:$F$500,0))),"⚠"))</f>
        <v/>
      </c>
      <c r="AS109" t="str">
        <f>IF(CAPTURA!BX109="","",IFERROR(IF(INDEX(CODIFICACION!$E$2:$E$500,MATCH("D5.21b|"&amp;CAPTURA!BX109,CODIFICACION!$F$2:$F$500,0))="sin dato","",INDEX(CODIFICACION!$E$2:$E$500,MATCH("D5.21b|"&amp;CAPTURA!BX109,CODIFICACION!$F$2:$F$500,0))),"⚠"))</f>
        <v/>
      </c>
      <c r="AT109" t="str">
        <f>IF(CAPTURA!BY109="","",IFERROR(IF(INDEX(CODIFICACION!$E$2:$E$500,MATCH("D6.22|"&amp;CAPTURA!BY109,CODIFICACION!$F$2:$F$500,0))="sin dato","",INDEX(CODIFICACION!$E$2:$E$500,MATCH("D6.22|"&amp;CAPTURA!BY109,CODIFICACION!$F$2:$F$500,0))),"⚠"))</f>
        <v/>
      </c>
      <c r="AU109" t="str">
        <f>IF(CAPTURA!BZ109="","",IFERROR(IF(INDEX(CODIFICACION!$E$2:$E$500,MATCH("D6.22a|"&amp;CAPTURA!BZ109,CODIFICACION!$F$2:$F$500,0))="sin dato","",INDEX(CODIFICACION!$E$2:$E$500,MATCH("D6.22a|"&amp;CAPTURA!BZ109,CODIFICACION!$F$2:$F$500,0))),"⚠"))</f>
        <v/>
      </c>
      <c r="AV109" t="str">
        <f>IF(CAPTURA!CA109="","",IFERROR(IF(INDEX(CODIFICACION!$E$2:$E$500,MATCH("D6.22b|"&amp;CAPTURA!CA109,CODIFICACION!$F$2:$F$500,0))="sin dato","",INDEX(CODIFICACION!$E$2:$E$500,MATCH("D6.22b|"&amp;CAPTURA!CA109,CODIFICACION!$F$2:$F$500,0))),"⚠"))</f>
        <v/>
      </c>
      <c r="AW109" t="str">
        <f>IF(CAPTURA!CB109="","",IFERROR(IF(INDEX(CODIFICACION!$E$2:$E$500,MATCH("D6.23|"&amp;CAPTURA!CB109,CODIFICACION!$F$2:$F$500,0))="sin dato","",INDEX(CODIFICACION!$E$2:$E$500,MATCH("D6.23|"&amp;CAPTURA!CB109,CODIFICACION!$F$2:$F$500,0))),"⚠"))</f>
        <v/>
      </c>
      <c r="AX109" t="str">
        <f>IF(CAPTURA!CC109="","",IFERROR(IF(INDEX(CODIFICACION!$E$2:$E$500,MATCH("D6.24|"&amp;CAPTURA!CC109,CODIFICACION!$F$2:$F$500,0))="sin dato","",INDEX(CODIFICACION!$E$2:$E$500,MATCH("D6.24|"&amp;CAPTURA!CC109,CODIFICACION!$F$2:$F$500,0))),"⚠"))</f>
        <v/>
      </c>
      <c r="AY109" t="str">
        <f>IF(CAPTURA!CD109="","",IFERROR(IF(INDEX(CODIFICACION!$E$2:$E$500,MATCH("D6.25|"&amp;CAPTURA!CD109,CODIFICACION!$F$2:$F$500,0))="sin dato","",INDEX(CODIFICACION!$E$2:$E$500,MATCH("D6.25|"&amp;CAPTURA!CD109,CODIFICACION!$F$2:$F$500,0))),"⚠"))</f>
        <v/>
      </c>
      <c r="AZ109" t="str">
        <f>IF(CAPTURA!CE109="","",IFERROR(IF(INDEX(CODIFICACION!$E$2:$E$500,MATCH("D6.25a|"&amp;CAPTURA!CE109,CODIFICACION!$F$2:$F$500,0))="sin dato","",INDEX(CODIFICACION!$E$2:$E$500,MATCH("D6.25a|"&amp;CAPTURA!CE109,CODIFICACION!$F$2:$F$500,0))),"⚠"))</f>
        <v/>
      </c>
      <c r="BA109" t="str">
        <f>IF(CAPTURA!CF109="","",IFERROR(IF(INDEX(CODIFICACION!$E$2:$E$500,MATCH("D6.25b|"&amp;CAPTURA!CF109,CODIFICACION!$F$2:$F$500,0))="sin dato","",INDEX(CODIFICACION!$E$2:$E$500,MATCH("D6.25b|"&amp;CAPTURA!CF109,CODIFICACION!$F$2:$F$500,0))),"⚠"))</f>
        <v/>
      </c>
      <c r="BB109" t="str">
        <f>IF(CAPTURA!CG109="","",IFERROR(IF(INDEX(CODIFICACION!$E$2:$E$500,MATCH("D6.22c|"&amp;CAPTURA!CG109,CODIFICACION!$F$2:$F$500,0))="sin dato","",INDEX(CODIFICACION!$E$2:$E$500,MATCH("D6.22c|"&amp;CAPTURA!CG109,CODIFICACION!$F$2:$F$500,0))),"⚠"))</f>
        <v/>
      </c>
      <c r="BC109" t="str">
        <f>IF(CAPTURA!CH109="","",IFERROR(IF(INDEX(CODIFICACION!$E$2:$E$500,MATCH("D7.26|"&amp;CAPTURA!CH109,CODIFICACION!$F$2:$F$500,0))="sin dato","",INDEX(CODIFICACION!$E$2:$E$500,MATCH("D7.26|"&amp;CAPTURA!CH109,CODIFICACION!$F$2:$F$500,0))),"⚠"))</f>
        <v/>
      </c>
      <c r="BD109" t="str">
        <f>IF(CAPTURA!CI109="","",IFERROR(IF(INDEX(CODIFICACION!$E$2:$E$500,MATCH("D7.27|"&amp;CAPTURA!CI109,CODIFICACION!$F$2:$F$500,0))="sin dato","",INDEX(CODIFICACION!$E$2:$E$500,MATCH("D7.27|"&amp;CAPTURA!CI109,CODIFICACION!$F$2:$F$500,0))),"⚠"))</f>
        <v/>
      </c>
      <c r="BE109" t="str">
        <f>IF(CAPTURA!CJ109="","",IFERROR(IF(INDEX(CODIFICACION!$E$2:$E$500,MATCH("D7.28|"&amp;CAPTURA!CJ109,CODIFICACION!$F$2:$F$500,0))="sin dato","",INDEX(CODIFICACION!$E$2:$E$500,MATCH("D7.28|"&amp;CAPTURA!CJ109,CODIFICACION!$F$2:$F$500,0))),"⚠"))</f>
        <v/>
      </c>
      <c r="BF109" t="str">
        <f>IF(CAPTURA!CK109="","",IFERROR(IF(INDEX(CODIFICACION!$E$2:$E$500,MATCH("D7.28b|"&amp;CAPTURA!CK109,CODIFICACION!$F$2:$F$500,0))="sin dato","",INDEX(CODIFICACION!$E$2:$E$500,MATCH("D7.28b|"&amp;CAPTURA!CK109,CODIFICACION!$F$2:$F$500,0))),"⚠"))</f>
        <v/>
      </c>
      <c r="BG109" t="str">
        <f>IF(CAPTURA!CL109="","",MIN(100,ROUND((LEN(CAPTURA!CL109)-LEN(SUBSTITUTE(CAPTURA!CL109,";",""))+1)/8*100,1)))</f>
        <v/>
      </c>
      <c r="BH109" t="str">
        <f>IF(CAPTURA!CM109="","",IFERROR(IF(INDEX(CODIFICACION!$E$2:$E$500,MATCH("D7.26a|"&amp;CAPTURA!CM109,CODIFICACION!$F$2:$F$500,0))="sin dato","",INDEX(CODIFICACION!$E$2:$E$500,MATCH("D7.26a|"&amp;CAPTURA!CM109,CODIFICACION!$F$2:$F$500,0))),"⚠"))</f>
        <v/>
      </c>
      <c r="BI109" t="str">
        <f>IF(CAPTURA!CN109="","",IFERROR(IF(INDEX(CODIFICACION!$E$2:$E$500,MATCH("D7.26b|"&amp;CAPTURA!CN109,CODIFICACION!$F$2:$F$500,0))="sin dato","",INDEX(CODIFICACION!$E$2:$E$500,MATCH("D7.26b|"&amp;CAPTURA!CN109,CODIFICACION!$F$2:$F$500,0))),"⚠"))</f>
        <v/>
      </c>
      <c r="BJ109" t="str">
        <f>IF(CAPTURA!CO109="","",IF(AND(ISNUMBER(CAPTURA!CO109),CAPTURA!CO109&gt;=0,CAPTURA!CO109&lt;=4),CAPTURA!CO109*25,"⚠"))</f>
        <v/>
      </c>
      <c r="BK109" t="str">
        <f>IF(CAPTURA!CP109="","",IF(ISNUMBER(CAPTURA!CP109),MAX(0,MIN(100,CAPTURA!CP109)),"⚠"))</f>
        <v/>
      </c>
      <c r="BL109" t="str">
        <f>IF(CAPTURA!CQ109="","",IFERROR(IF(INDEX(CODIFICACION!$E$2:$E$500,MATCH("D8.31|"&amp;CAPTURA!CQ109,CODIFICACION!$F$2:$F$500,0))="sin dato","",INDEX(CODIFICACION!$E$2:$E$500,MATCH("D8.31|"&amp;CAPTURA!CQ109,CODIFICACION!$F$2:$F$500,0))),"⚠"))</f>
        <v/>
      </c>
      <c r="BM109" t="str">
        <f>IF(CAPTURA!CR109="","",IFERROR(IF(INDEX(CODIFICACION!$E$2:$E$500,MATCH("D8.32|"&amp;CAPTURA!CR109,CODIFICACION!$F$2:$F$500,0))="sin dato","",INDEX(CODIFICACION!$E$2:$E$500,MATCH("D8.32|"&amp;CAPTURA!CR109,CODIFICACION!$F$2:$F$500,0))),"⚠"))</f>
        <v/>
      </c>
      <c r="BN109" t="str">
        <f>IF(CAPTURA!CS109="","",IFERROR(IF(INDEX(CODIFICACION!$E$2:$E$500,MATCH("D9.33|"&amp;CAPTURA!CS109,CODIFICACION!$F$2:$F$500,0))="sin dato","",INDEX(CODIFICACION!$E$2:$E$500,MATCH("D9.33|"&amp;CAPTURA!CS109,CODIFICACION!$F$2:$F$500,0))),"⚠"))</f>
        <v/>
      </c>
      <c r="BO109" t="str">
        <f>IF(CAPTURA!CT109="","",IFERROR(IF(INDEX(CODIFICACION!$E$2:$E$500,MATCH("D9.34|"&amp;CAPTURA!CT109,CODIFICACION!$F$2:$F$500,0))="sin dato","",INDEX(CODIFICACION!$E$2:$E$500,MATCH("D9.34|"&amp;CAPTURA!CT109,CODIFICACION!$F$2:$F$500,0))),"⚠"))</f>
        <v/>
      </c>
      <c r="BP109" t="str">
        <f>IF(CAPTURA!CU109="","",IFERROR(IF(INDEX(CODIFICACION!$E$2:$E$500,MATCH("D9.35|"&amp;CAPTURA!CU109,CODIFICACION!$F$2:$F$500,0))="sin dato","",INDEX(CODIFICACION!$E$2:$E$500,MATCH("D9.35|"&amp;CAPTURA!CU109,CODIFICACION!$F$2:$F$500,0))),"⚠"))</f>
        <v/>
      </c>
      <c r="BQ109" t="str">
        <f>IF(CAPTURA!CV109="","",IFERROR(IF(INDEX(CODIFICACION!$E$2:$E$500,MATCH("D10.36|"&amp;CAPTURA!CV109,CODIFICACION!$F$2:$F$500,0))="sin dato","",INDEX(CODIFICACION!$E$2:$E$500,MATCH("D10.36|"&amp;CAPTURA!CV109,CODIFICACION!$F$2:$F$500,0))),"⚠"))</f>
        <v/>
      </c>
      <c r="BR109" t="str">
        <f>IF(CAPTURA!CW109="","",IFERROR(IF(INDEX(CODIFICACION!$E$2:$E$500,MATCH("D10.37|"&amp;CAPTURA!CW109,CODIFICACION!$F$2:$F$500,0))="sin dato","",INDEX(CODIFICACION!$E$2:$E$500,MATCH("D10.37|"&amp;CAPTURA!CW109,CODIFICACION!$F$2:$F$500,0))),"⚠"))</f>
        <v/>
      </c>
      <c r="BS109" t="str">
        <f>IF(CAPTURA!CX109="","",IFERROR(IF(INDEX(CODIFICACION!$E$2:$E$500,MATCH("D10.36a|"&amp;CAPTURA!CX109,CODIFICACION!$F$2:$F$500,0))="sin dato","",INDEX(CODIFICACION!$E$2:$E$500,MATCH("D10.36a|"&amp;CAPTURA!CX109,CODIFICACION!$F$2:$F$500,0))),"⚠"))</f>
        <v/>
      </c>
      <c r="BT109" t="str">
        <f>IF(CAPTURA!CY109="","",IF(ISNUMBER(SEARCH("Ninguno",CAPTURA!CY109)),0,MIN(100,ROUND((LEN(CAPTURA!CY109)-LEN(SUBSTITUTE(CAPTURA!CY109,";",""))+1)/6*100,1))))</f>
        <v/>
      </c>
      <c r="BU109" t="str">
        <f>IF(CAPTURA!DA109="","",IFERROR(IF(INDEX(CODIFICACION!$E$2:$E$500,MATCH("D11.39a|"&amp;CAPTURA!DA109,CODIFICACION!$F$2:$F$500,0))="sin dato","",INDEX(CODIFICACION!$E$2:$E$500,MATCH("D11.39a|"&amp;CAPTURA!DA109,CODIFICACION!$F$2:$F$500,0))),"⚠"))</f>
        <v/>
      </c>
      <c r="BV109" t="str">
        <f>IF(CAPTURA!DB109="","",IFERROR(IF(INDEX(CODIFICACION!$E$2:$E$500,MATCH("D12.42|"&amp;CAPTURA!DB109,CODIFICACION!$F$2:$F$500,0))="sin dato","",INDEX(CODIFICACION!$E$2:$E$500,MATCH("D12.42|"&amp;CAPTURA!DB109,CODIFICACION!$F$2:$F$500,0))),"⚠"))</f>
        <v/>
      </c>
      <c r="BW109" t="str">
        <f>IF(CAPTURA!DC109="","",IFERROR(IF(INDEX(CODIFICACION!$E$2:$E$500,MATCH("D13.45|"&amp;CAPTURA!DC109,CODIFICACION!$F$2:$F$500,0))="sin dato","",INDEX(CODIFICACION!$E$2:$E$500,MATCH("D13.45|"&amp;CAPTURA!DC109,CODIFICACION!$F$2:$F$500,0))),"⚠"))</f>
        <v/>
      </c>
      <c r="BX109" t="str">
        <f>IF(CAPTURA!DD109="","",IFERROR(IF(INDEX(CODIFICACION!$E$2:$E$500,MATCH("D14.51|"&amp;CAPTURA!DD109,CODIFICACION!$F$2:$F$500,0))="sin dato","",INDEX(CODIFICACION!$E$2:$E$500,MATCH("D14.51|"&amp;CAPTURA!DD109,CODIFICACION!$F$2:$F$500,0))),"⚠"))</f>
        <v/>
      </c>
      <c r="BY109" t="str">
        <f>IF(CAPTURA!DE109="","",IFERROR(IF(INDEX(CODIFICACION!$E$2:$E$500,MATCH("D15.58|"&amp;CAPTURA!DE109,CODIFICACION!$F$2:$F$500,0))="sin dato","",INDEX(CODIFICACION!$E$2:$E$500,MATCH("D15.58|"&amp;CAPTURA!DE109,CODIFICACION!$F$2:$F$500,0))),"⚠"))</f>
        <v/>
      </c>
      <c r="BZ109" t="str">
        <f>IF(CAPTURA!DF109="","",IFERROR(IF(INDEX(CODIFICACION!$E$2:$E$500,MATCH("PP1|"&amp;CAPTURA!DF109,CODIFICACION!$F$2:$F$500,0))="sin dato","",INDEX(CODIFICACION!$E$2:$E$500,MATCH("PP1|"&amp;CAPTURA!DF109,CODIFICACION!$F$2:$F$500,0))),"⚠"))</f>
        <v/>
      </c>
      <c r="CA109" t="str">
        <f>IF(CAPTURA!DG109="","",IFERROR(IF(INDEX(CODIFICACION!$E$2:$E$500,MATCH("PP2|"&amp;CAPTURA!DG109,CODIFICACION!$F$2:$F$500,0))="sin dato","",INDEX(CODIFICACION!$E$2:$E$500,MATCH("PP2|"&amp;CAPTURA!DG109,CODIFICACION!$F$2:$F$500,0))),"⚠"))</f>
        <v/>
      </c>
      <c r="CB109" t="str">
        <f t="shared" si="33"/>
        <v/>
      </c>
      <c r="CC109" t="str">
        <f t="shared" si="34"/>
        <v/>
      </c>
      <c r="CD109" t="str">
        <f t="shared" si="35"/>
        <v/>
      </c>
      <c r="CE109" t="str">
        <f t="shared" si="36"/>
        <v/>
      </c>
      <c r="CF109" t="str">
        <f t="shared" si="37"/>
        <v/>
      </c>
      <c r="CG109" t="str">
        <f t="shared" si="38"/>
        <v/>
      </c>
      <c r="CH109" t="str">
        <f t="shared" si="39"/>
        <v/>
      </c>
      <c r="CI109" t="str">
        <f t="shared" si="40"/>
        <v/>
      </c>
      <c r="CJ109" t="str">
        <f t="shared" si="41"/>
        <v/>
      </c>
      <c r="CK109" t="str">
        <f t="shared" si="42"/>
        <v/>
      </c>
      <c r="CL109" t="str">
        <f t="shared" si="43"/>
        <v/>
      </c>
    </row>
    <row r="110" spans="1:90" x14ac:dyDescent="0.3">
      <c r="A110">
        <f>CAPTURA!A110</f>
        <v>20600668430</v>
      </c>
      <c r="B110">
        <f>CAPTURA!C110</f>
        <v>0</v>
      </c>
      <c r="C110" t="str">
        <f>IF(CAPTURA!M110="","",ROUND((ISNUMBER(SEARCH("Alemania",CAPTURA!M110))+ISNUMBER(SEARCH("Bélgica",CAPTURA!M110))+ISNUMBER(SEARCH("Países Bajos",CAPTURA!M110))+ISNUMBER(SEARCH("Francia",CAPTURA!M110))+ISNUMBER(SEARCH("Italia",CAPTURA!M110))+ISNUMBER(SEARCH("España",CAPTURA!M110))+ISNUMBER(SEARCH("Suecia",CAPTURA!M110))+ISNUMBER(SEARCH("Dinamarca",CAPTURA!M110)))/((LEN(CAPTURA!M110)-LEN(SUBSTITUTE(CAPTURA!M110,";","")))+1)*100,1))</f>
        <v/>
      </c>
      <c r="D110" t="str">
        <f>IF(CAPTURA!AE110="","",IFERROR(IF(INDEX(CODIFICACION!$E$2:$E$500,MATCH("P8|"&amp;CAPTURA!AE110,CODIFICACION!$F$2:$F$500,0))="sin dato","",INDEX(CODIFICACION!$E$2:$E$500,MATCH("P8|"&amp;CAPTURA!AE110,CODIFICACION!$F$2:$F$500,0))),"⚠"))</f>
        <v/>
      </c>
      <c r="E110" t="str">
        <f>IF(CAPTURA!AG110="","",IFERROR(IF(INDEX(CODIFICACION!$E$2:$E$500,MATCH("P10|"&amp;CAPTURA!AG110,CODIFICACION!$F$2:$F$500,0))="sin dato","",INDEX(CODIFICACION!$E$2:$E$500,MATCH("P10|"&amp;CAPTURA!AG110,CODIFICACION!$F$2:$F$500,0))),"⚠"))</f>
        <v/>
      </c>
      <c r="F110" t="str">
        <f>IF(CAPTURA!AJ110="","",IFERROR(IF(INDEX(CODIFICACION!$E$2:$E$500,MATCH("P13|"&amp;CAPTURA!AJ110,CODIFICACION!$F$2:$F$500,0))="sin dato","",INDEX(CODIFICACION!$E$2:$E$500,MATCH("P13|"&amp;CAPTURA!AJ110,CODIFICACION!$F$2:$F$500,0))),"⚠"))</f>
        <v/>
      </c>
      <c r="G110" t="str">
        <f>IF(CAPTURA!AK110="","",IFERROR(IF(INDEX(CODIFICACION!$E$2:$E$500,MATCH("P14|"&amp;CAPTURA!AK110,CODIFICACION!$F$2:$F$500,0))="sin dato","",INDEX(CODIFICACION!$E$2:$E$500,MATCH("P14|"&amp;CAPTURA!AK110,CODIFICACION!$F$2:$F$500,0))),"⚠"))</f>
        <v/>
      </c>
      <c r="H110" t="str">
        <f>IF(CAPTURA!AL110="","",IFERROR(IF(INDEX(CODIFICACION!$E$2:$E$500,MATCH("D1.1|"&amp;CAPTURA!AL110,CODIFICACION!$F$2:$F$500,0))="sin dato","",INDEX(CODIFICACION!$E$2:$E$500,MATCH("D1.1|"&amp;CAPTURA!AL110,CODIFICACION!$F$2:$F$500,0))),"⚠"))</f>
        <v/>
      </c>
      <c r="I110" t="str">
        <f>IF(CAPTURA!AN110="","",IFERROR(IF(INDEX(CODIFICACION!$E$2:$E$500,MATCH("D1.3|"&amp;CAPTURA!AN110,CODIFICACION!$F$2:$F$500,0))="sin dato","",INDEX(CODIFICACION!$E$2:$E$500,MATCH("D1.3|"&amp;CAPTURA!AN110,CODIFICACION!$F$2:$F$500,0))),"⚠"))</f>
        <v/>
      </c>
      <c r="J110" t="str">
        <f>IF(CAPTURA!AO110="","",IFERROR(IF(INDEX(CODIFICACION!$E$2:$E$500,MATCH("D1.4|"&amp;CAPTURA!AO110,CODIFICACION!$F$2:$F$500,0))="sin dato","",INDEX(CODIFICACION!$E$2:$E$500,MATCH("D1.4|"&amp;CAPTURA!AO110,CODIFICACION!$F$2:$F$500,0))),"⚠"))</f>
        <v/>
      </c>
      <c r="K110" t="str">
        <f>IF(CAPTURA!AP110="","",IFERROR(IF(INDEX(CODIFICACION!$E$2:$E$500,MATCH("D1.3a|"&amp;CAPTURA!AP110,CODIFICACION!$F$2:$F$500,0))="sin dato","",INDEX(CODIFICACION!$E$2:$E$500,MATCH("D1.3a|"&amp;CAPTURA!AP110,CODIFICACION!$F$2:$F$500,0))),"⚠"))</f>
        <v/>
      </c>
      <c r="L110" t="str">
        <f>IF(CAPTURA!AQ110="","",IF(AND(ISNUMBER(CAPTURA!AQ110),CAPTURA!AQ110&gt;=0,CAPTURA!AQ110&lt;=4),CAPTURA!AQ110*25,"⚠"))</f>
        <v/>
      </c>
      <c r="M110" t="str">
        <f>IF(CAPTURA!AR110="","",IF(ISNUMBER(CAPTURA!AR110),MAX(0,MIN(100,CAPTURA!AR110)),"⚠"))</f>
        <v/>
      </c>
      <c r="N110" t="str">
        <f>IF(CAPTURA!AS110="","",IF(AND(ISNUMBER(CAPTURA!AS110),CAPTURA!AS110&gt;=0,CAPTURA!AS110&lt;=4),CAPTURA!AS110*25,"⚠"))</f>
        <v/>
      </c>
      <c r="O110" t="str">
        <f>IF(CAPTURA!AT110="","",IFERROR(IF(INDEX(CODIFICACION!$E$2:$E$500,MATCH("D2.8|"&amp;CAPTURA!AT110,CODIFICACION!$F$2:$F$500,0))="sin dato","",INDEX(CODIFICACION!$E$2:$E$500,MATCH("D2.8|"&amp;CAPTURA!AT110,CODIFICACION!$F$2:$F$500,0))),"⚠"))</f>
        <v/>
      </c>
      <c r="P110" t="str">
        <f>IF(CAPTURA!AU110="","",IFERROR(IF(INDEX(CODIFICACION!$E$2:$E$500,MATCH("D2.9|"&amp;CAPTURA!AU110,CODIFICACION!$F$2:$F$500,0))="sin dato","",INDEX(CODIFICACION!$E$2:$E$500,MATCH("D2.9|"&amp;CAPTURA!AU110,CODIFICACION!$F$2:$F$500,0))),"⚠"))</f>
        <v/>
      </c>
      <c r="Q110" t="str">
        <f>IF(CAPTURA!AV110="","",IFERROR(IF(INDEX(CODIFICACION!$E$2:$E$500,MATCH("D2.10|"&amp;CAPTURA!AV110,CODIFICACION!$F$2:$F$500,0))="sin dato","",INDEX(CODIFICACION!$E$2:$E$500,MATCH("D2.10|"&amp;CAPTURA!AV110,CODIFICACION!$F$2:$F$500,0))),"⚠"))</f>
        <v/>
      </c>
      <c r="R110" t="str">
        <f>IF(CAPTURA!AW110="","",IFERROR(IF(INDEX(CODIFICACION!$E$2:$E$500,MATCH("D2.5a|"&amp;CAPTURA!AW110,CODIFICACION!$F$2:$F$500,0))="sin dato","",INDEX(CODIFICACION!$E$2:$E$500,MATCH("D2.5a|"&amp;CAPTURA!AW110,CODIFICACION!$F$2:$F$500,0))),"⚠"))</f>
        <v/>
      </c>
      <c r="S110" t="str">
        <f>IF(CAPTURA!AX110="","",IFERROR(IF(INDEX(CODIFICACION!$E$2:$E$500,MATCH("D2.5b|"&amp;CAPTURA!AX110,CODIFICACION!$F$2:$F$500,0))="sin dato","",INDEX(CODIFICACION!$E$2:$E$500,MATCH("D2.5b|"&amp;CAPTURA!AX110,CODIFICACION!$F$2:$F$500,0))),"⚠"))</f>
        <v/>
      </c>
      <c r="T110" t="str">
        <f>IF(CAPTURA!AY110="","",IF(ISNUMBER(CAPTURA!AY110),MAX(0,MIN(100,CAPTURA!AY110)),"⚠"))</f>
        <v/>
      </c>
      <c r="U110" t="str">
        <f>IF(CAPTURA!AZ110="","",IFERROR(IF(INDEX(CODIFICACION!$E$2:$E$500,MATCH("D3.12|"&amp;CAPTURA!AZ110,CODIFICACION!$F$2:$F$500,0))="sin dato","",INDEX(CODIFICACION!$E$2:$E$500,MATCH("D3.12|"&amp;CAPTURA!AZ110,CODIFICACION!$F$2:$F$500,0))),"⚠"))</f>
        <v/>
      </c>
      <c r="V110" t="str">
        <f>IF(CAPTURA!BA110="","",IF(AND(ISNUMBER(CAPTURA!BA110),CAPTURA!BA110&gt;=0,CAPTURA!BA110&lt;=4),CAPTURA!BA110*25,"⚠"))</f>
        <v/>
      </c>
      <c r="W110" t="str">
        <f>IF(CAPTURA!BB110="","",IFERROR(IF(INDEX(CODIFICACION!$E$2:$E$500,MATCH("D3.14|"&amp;CAPTURA!BB110,CODIFICACION!$F$2:$F$500,0))="sin dato","",INDEX(CODIFICACION!$E$2:$E$500,MATCH("D3.14|"&amp;CAPTURA!BB110,CODIFICACION!$F$2:$F$500,0))),"⚠"))</f>
        <v/>
      </c>
      <c r="X110" t="str">
        <f>IF(CAPTURA!BC110="","",IFERROR(IF(INDEX(CODIFICACION!$E$2:$E$500,MATCH("D3.14a|"&amp;CAPTURA!BC110,CODIFICACION!$F$2:$F$500,0))="sin dato","",INDEX(CODIFICACION!$E$2:$E$500,MATCH("D3.14a|"&amp;CAPTURA!BC110,CODIFICACION!$F$2:$F$500,0))),"⚠"))</f>
        <v/>
      </c>
      <c r="Y110" t="str">
        <f>IF(CAPTURA!BD110="","",IFERROR(IF(INDEX(CODIFICACION!$E$2:$E$500,MATCH("D3.14b|"&amp;CAPTURA!BD110,CODIFICACION!$F$2:$F$500,0))="sin dato","",INDEX(CODIFICACION!$E$2:$E$500,MATCH("D3.14b|"&amp;CAPTURA!BD110,CODIFICACION!$F$2:$F$500,0))),"⚠"))</f>
        <v/>
      </c>
      <c r="Z110" t="str">
        <f>IF(CAPTURA!BE110="","",IFERROR(IF(INDEX(CODIFICACION!$E$2:$E$500,MATCH("D3.14c|"&amp;CAPTURA!BE110,CODIFICACION!$F$2:$F$500,0))="sin dato","",INDEX(CODIFICACION!$E$2:$E$500,MATCH("D3.14c|"&amp;CAPTURA!BE110,CODIFICACION!$F$2:$F$500,0))),"⚠"))</f>
        <v/>
      </c>
      <c r="AA110" t="str">
        <f>IF(CAPTURA!BF110="","",IFERROR(IF(INDEX(CODIFICACION!$E$2:$E$500,MATCH("D3.14d|"&amp;CAPTURA!BF110,CODIFICACION!$F$2:$F$500,0))="sin dato","",INDEX(CODIFICACION!$E$2:$E$500,MATCH("D3.14d|"&amp;CAPTURA!BF110,CODIFICACION!$F$2:$F$500,0))),"⚠"))</f>
        <v/>
      </c>
      <c r="AB110" t="str">
        <f>IF(CAPTURA!BG110="","",IFERROR(IF(INDEX(CODIFICACION!$E$2:$E$500,MATCH("D3.14e|"&amp;CAPTURA!BG110,CODIFICACION!$F$2:$F$500,0))="sin dato","",INDEX(CODIFICACION!$E$2:$E$500,MATCH("D3.14e|"&amp;CAPTURA!BG110,CODIFICACION!$F$2:$F$500,0))),"⚠"))</f>
        <v/>
      </c>
      <c r="AC110" t="str">
        <f>IF(CAPTURA!BH110="","",IFERROR(IF(INDEX(CODIFICACION!$E$2:$E$500,MATCH("D3.14f|"&amp;CAPTURA!BH110,CODIFICACION!$F$2:$F$500,0))="sin dato","",INDEX(CODIFICACION!$E$2:$E$500,MATCH("D3.14f|"&amp;CAPTURA!BH110,CODIFICACION!$F$2:$F$500,0))),"⚠"))</f>
        <v/>
      </c>
      <c r="AD110" t="str">
        <f>IF(CAPTURA!BI110="","",IFERROR(IF(INDEX(CODIFICACION!$E$2:$E$500,MATCH("D3.14g|"&amp;CAPTURA!BI110,CODIFICACION!$F$2:$F$500,0))="sin dato","",INDEX(CODIFICACION!$E$2:$E$500,MATCH("D3.14g|"&amp;CAPTURA!BI110,CODIFICACION!$F$2:$F$500,0))),"⚠"))</f>
        <v/>
      </c>
      <c r="AE110" t="str">
        <f>IF(CAPTURA!BJ110="","",IFERROR(IF(INDEX(CODIFICACION!$E$2:$E$500,MATCH("D3.14h|"&amp;CAPTURA!BJ110,CODIFICACION!$F$2:$F$500,0))="sin dato","",INDEX(CODIFICACION!$E$2:$E$500,MATCH("D3.14h|"&amp;CAPTURA!BJ110,CODIFICACION!$F$2:$F$500,0))),"⚠"))</f>
        <v/>
      </c>
      <c r="AF110" t="str">
        <f>IF(CAPTURA!BK110="","",IFERROR(IF(INDEX(CODIFICACION!$E$2:$E$500,MATCH("D3.14i|"&amp;CAPTURA!BK110,CODIFICACION!$F$2:$F$500,0))="sin dato","",INDEX(CODIFICACION!$E$2:$E$500,MATCH("D3.14i|"&amp;CAPTURA!BK110,CODIFICACION!$F$2:$F$500,0))),"⚠"))</f>
        <v/>
      </c>
      <c r="AG110" t="str">
        <f>IF(CAPTURA!BL110="","",IFERROR(IF(INDEX(CODIFICACION!$E$2:$E$500,MATCH("D4.15|"&amp;CAPTURA!BL110,CODIFICACION!$F$2:$F$500,0))="sin dato","",INDEX(CODIFICACION!$E$2:$E$500,MATCH("D4.15|"&amp;CAPTURA!BL110,CODIFICACION!$F$2:$F$500,0))),"⚠"))</f>
        <v/>
      </c>
      <c r="AH110" t="str">
        <f>IF(CAPTURA!BM110="","",IF(AND(ISNUMBER(CAPTURA!BM110),CAPTURA!BM110&gt;=0,CAPTURA!BM110&lt;=4),CAPTURA!BM110*25,"⚠"))</f>
        <v/>
      </c>
      <c r="AI110" t="str">
        <f>IF(CAPTURA!BN110="","",IFERROR(IF(INDEX(CODIFICACION!$E$2:$E$500,MATCH("D4.17|"&amp;CAPTURA!BN110,CODIFICACION!$F$2:$F$500,0))="sin dato","",INDEX(CODIFICACION!$E$2:$E$500,MATCH("D4.17|"&amp;CAPTURA!BN110,CODIFICACION!$F$2:$F$500,0))),"⚠"))</f>
        <v/>
      </c>
      <c r="AJ110" t="str">
        <f>IF(CAPTURA!BO110="","",IFERROR(IF(INDEX(CODIFICACION!$E$2:$E$500,MATCH("D4.15a|"&amp;CAPTURA!BO110,CODIFICACION!$F$2:$F$500,0))="sin dato","",INDEX(CODIFICACION!$E$2:$E$500,MATCH("D4.15a|"&amp;CAPTURA!BO110,CODIFICACION!$F$2:$F$500,0))),"⚠"))</f>
        <v/>
      </c>
      <c r="AK110" t="str">
        <f>IF(CAPTURA!BP110="","",IF(AND(ISNUMBER(CAPTURA!BP110),CAPTURA!BP110&gt;=0,CAPTURA!BP110&lt;=4),CAPTURA!BP110*25,"⚠"))</f>
        <v/>
      </c>
      <c r="AL110" t="str">
        <f>IF(CAPTURA!BQ110="","",IF(AND(ISNUMBER(CAPTURA!BQ110),CAPTURA!BQ110&gt;=0,CAPTURA!BQ110&lt;=4),CAPTURA!BQ110*25,"⚠"))</f>
        <v/>
      </c>
      <c r="AM110" t="str">
        <f>IF(CAPTURA!BR110="","",IFERROR(IF(INDEX(CODIFICACION!$E$2:$E$500,MATCH("D5.18b|"&amp;CAPTURA!BR110,CODIFICACION!$F$2:$F$500,0))="sin dato","",INDEX(CODIFICACION!$E$2:$E$500,MATCH("D5.18b|"&amp;CAPTURA!BR110,CODIFICACION!$F$2:$F$500,0))),"⚠"))</f>
        <v/>
      </c>
      <c r="AN110" t="str">
        <f>IF(CAPTURA!BS110="","",IFERROR(IF(INDEX(CODIFICACION!$E$2:$E$500,MATCH("D5.19|"&amp;CAPTURA!BS110,CODIFICACION!$F$2:$F$500,0))="sin dato","",INDEX(CODIFICACION!$E$2:$E$500,MATCH("D5.19|"&amp;CAPTURA!BS110,CODIFICACION!$F$2:$F$500,0))),"⚠"))</f>
        <v/>
      </c>
      <c r="AO110" t="str">
        <f>IF(CAPTURA!BT110="","",MIN(100,ROUND((LEN(CAPTURA!BT110)-LEN(SUBSTITUTE(CAPTURA!BT110,";",""))+1)/7*100,1)))</f>
        <v/>
      </c>
      <c r="AP110" t="str">
        <f>IF(CAPTURA!BU110="","",IFERROR(IF(INDEX(CODIFICACION!$E$2:$E$500,MATCH("D5.20|"&amp;CAPTURA!BU110,CODIFICACION!$F$2:$F$500,0))="sin dato","",INDEX(CODIFICACION!$E$2:$E$500,MATCH("D5.20|"&amp;CAPTURA!BU110,CODIFICACION!$F$2:$F$500,0))),"⚠"))</f>
        <v/>
      </c>
      <c r="AQ110" t="str">
        <f>IF(CAPTURA!BV110="","",IFERROR(IF(INDEX(CODIFICACION!$E$2:$E$500,MATCH("D5.21|"&amp;CAPTURA!BV110,CODIFICACION!$F$2:$F$500,0))="sin dato","",INDEX(CODIFICACION!$E$2:$E$500,MATCH("D5.21|"&amp;CAPTURA!BV110,CODIFICACION!$F$2:$F$500,0))),"⚠"))</f>
        <v/>
      </c>
      <c r="AR110" t="str">
        <f>IF(CAPTURA!BW110="","",IFERROR(IF(INDEX(CODIFICACION!$E$2:$E$500,MATCH("D5.21a|"&amp;CAPTURA!BW110,CODIFICACION!$F$2:$F$500,0))="sin dato","",INDEX(CODIFICACION!$E$2:$E$500,MATCH("D5.21a|"&amp;CAPTURA!BW110,CODIFICACION!$F$2:$F$500,0))),"⚠"))</f>
        <v/>
      </c>
      <c r="AS110" t="str">
        <f>IF(CAPTURA!BX110="","",IFERROR(IF(INDEX(CODIFICACION!$E$2:$E$500,MATCH("D5.21b|"&amp;CAPTURA!BX110,CODIFICACION!$F$2:$F$500,0))="sin dato","",INDEX(CODIFICACION!$E$2:$E$500,MATCH("D5.21b|"&amp;CAPTURA!BX110,CODIFICACION!$F$2:$F$500,0))),"⚠"))</f>
        <v/>
      </c>
      <c r="AT110" t="str">
        <f>IF(CAPTURA!BY110="","",IFERROR(IF(INDEX(CODIFICACION!$E$2:$E$500,MATCH("D6.22|"&amp;CAPTURA!BY110,CODIFICACION!$F$2:$F$500,0))="sin dato","",INDEX(CODIFICACION!$E$2:$E$500,MATCH("D6.22|"&amp;CAPTURA!BY110,CODIFICACION!$F$2:$F$500,0))),"⚠"))</f>
        <v/>
      </c>
      <c r="AU110" t="str">
        <f>IF(CAPTURA!BZ110="","",IFERROR(IF(INDEX(CODIFICACION!$E$2:$E$500,MATCH("D6.22a|"&amp;CAPTURA!BZ110,CODIFICACION!$F$2:$F$500,0))="sin dato","",INDEX(CODIFICACION!$E$2:$E$500,MATCH("D6.22a|"&amp;CAPTURA!BZ110,CODIFICACION!$F$2:$F$500,0))),"⚠"))</f>
        <v/>
      </c>
      <c r="AV110" t="str">
        <f>IF(CAPTURA!CA110="","",IFERROR(IF(INDEX(CODIFICACION!$E$2:$E$500,MATCH("D6.22b|"&amp;CAPTURA!CA110,CODIFICACION!$F$2:$F$500,0))="sin dato","",INDEX(CODIFICACION!$E$2:$E$500,MATCH("D6.22b|"&amp;CAPTURA!CA110,CODIFICACION!$F$2:$F$500,0))),"⚠"))</f>
        <v/>
      </c>
      <c r="AW110" t="str">
        <f>IF(CAPTURA!CB110="","",IFERROR(IF(INDEX(CODIFICACION!$E$2:$E$500,MATCH("D6.23|"&amp;CAPTURA!CB110,CODIFICACION!$F$2:$F$500,0))="sin dato","",INDEX(CODIFICACION!$E$2:$E$500,MATCH("D6.23|"&amp;CAPTURA!CB110,CODIFICACION!$F$2:$F$500,0))),"⚠"))</f>
        <v/>
      </c>
      <c r="AX110" t="str">
        <f>IF(CAPTURA!CC110="","",IFERROR(IF(INDEX(CODIFICACION!$E$2:$E$500,MATCH("D6.24|"&amp;CAPTURA!CC110,CODIFICACION!$F$2:$F$500,0))="sin dato","",INDEX(CODIFICACION!$E$2:$E$500,MATCH("D6.24|"&amp;CAPTURA!CC110,CODIFICACION!$F$2:$F$500,0))),"⚠"))</f>
        <v/>
      </c>
      <c r="AY110" t="str">
        <f>IF(CAPTURA!CD110="","",IFERROR(IF(INDEX(CODIFICACION!$E$2:$E$500,MATCH("D6.25|"&amp;CAPTURA!CD110,CODIFICACION!$F$2:$F$500,0))="sin dato","",INDEX(CODIFICACION!$E$2:$E$500,MATCH("D6.25|"&amp;CAPTURA!CD110,CODIFICACION!$F$2:$F$500,0))),"⚠"))</f>
        <v/>
      </c>
      <c r="AZ110" t="str">
        <f>IF(CAPTURA!CE110="","",IFERROR(IF(INDEX(CODIFICACION!$E$2:$E$500,MATCH("D6.25a|"&amp;CAPTURA!CE110,CODIFICACION!$F$2:$F$500,0))="sin dato","",INDEX(CODIFICACION!$E$2:$E$500,MATCH("D6.25a|"&amp;CAPTURA!CE110,CODIFICACION!$F$2:$F$500,0))),"⚠"))</f>
        <v/>
      </c>
      <c r="BA110" t="str">
        <f>IF(CAPTURA!CF110="","",IFERROR(IF(INDEX(CODIFICACION!$E$2:$E$500,MATCH("D6.25b|"&amp;CAPTURA!CF110,CODIFICACION!$F$2:$F$500,0))="sin dato","",INDEX(CODIFICACION!$E$2:$E$500,MATCH("D6.25b|"&amp;CAPTURA!CF110,CODIFICACION!$F$2:$F$500,0))),"⚠"))</f>
        <v/>
      </c>
      <c r="BB110" t="str">
        <f>IF(CAPTURA!CG110="","",IFERROR(IF(INDEX(CODIFICACION!$E$2:$E$500,MATCH("D6.22c|"&amp;CAPTURA!CG110,CODIFICACION!$F$2:$F$500,0))="sin dato","",INDEX(CODIFICACION!$E$2:$E$500,MATCH("D6.22c|"&amp;CAPTURA!CG110,CODIFICACION!$F$2:$F$500,0))),"⚠"))</f>
        <v/>
      </c>
      <c r="BC110" t="str">
        <f>IF(CAPTURA!CH110="","",IFERROR(IF(INDEX(CODIFICACION!$E$2:$E$500,MATCH("D7.26|"&amp;CAPTURA!CH110,CODIFICACION!$F$2:$F$500,0))="sin dato","",INDEX(CODIFICACION!$E$2:$E$500,MATCH("D7.26|"&amp;CAPTURA!CH110,CODIFICACION!$F$2:$F$500,0))),"⚠"))</f>
        <v/>
      </c>
      <c r="BD110" t="str">
        <f>IF(CAPTURA!CI110="","",IFERROR(IF(INDEX(CODIFICACION!$E$2:$E$500,MATCH("D7.27|"&amp;CAPTURA!CI110,CODIFICACION!$F$2:$F$500,0))="sin dato","",INDEX(CODIFICACION!$E$2:$E$500,MATCH("D7.27|"&amp;CAPTURA!CI110,CODIFICACION!$F$2:$F$500,0))),"⚠"))</f>
        <v/>
      </c>
      <c r="BE110" t="str">
        <f>IF(CAPTURA!CJ110="","",IFERROR(IF(INDEX(CODIFICACION!$E$2:$E$500,MATCH("D7.28|"&amp;CAPTURA!CJ110,CODIFICACION!$F$2:$F$500,0))="sin dato","",INDEX(CODIFICACION!$E$2:$E$500,MATCH("D7.28|"&amp;CAPTURA!CJ110,CODIFICACION!$F$2:$F$500,0))),"⚠"))</f>
        <v/>
      </c>
      <c r="BF110" t="str">
        <f>IF(CAPTURA!CK110="","",IFERROR(IF(INDEX(CODIFICACION!$E$2:$E$500,MATCH("D7.28b|"&amp;CAPTURA!CK110,CODIFICACION!$F$2:$F$500,0))="sin dato","",INDEX(CODIFICACION!$E$2:$E$500,MATCH("D7.28b|"&amp;CAPTURA!CK110,CODIFICACION!$F$2:$F$500,0))),"⚠"))</f>
        <v/>
      </c>
      <c r="BG110" t="str">
        <f>IF(CAPTURA!CL110="","",MIN(100,ROUND((LEN(CAPTURA!CL110)-LEN(SUBSTITUTE(CAPTURA!CL110,";",""))+1)/8*100,1)))</f>
        <v/>
      </c>
      <c r="BH110" t="str">
        <f>IF(CAPTURA!CM110="","",IFERROR(IF(INDEX(CODIFICACION!$E$2:$E$500,MATCH("D7.26a|"&amp;CAPTURA!CM110,CODIFICACION!$F$2:$F$500,0))="sin dato","",INDEX(CODIFICACION!$E$2:$E$500,MATCH("D7.26a|"&amp;CAPTURA!CM110,CODIFICACION!$F$2:$F$500,0))),"⚠"))</f>
        <v/>
      </c>
      <c r="BI110" t="str">
        <f>IF(CAPTURA!CN110="","",IFERROR(IF(INDEX(CODIFICACION!$E$2:$E$500,MATCH("D7.26b|"&amp;CAPTURA!CN110,CODIFICACION!$F$2:$F$500,0))="sin dato","",INDEX(CODIFICACION!$E$2:$E$500,MATCH("D7.26b|"&amp;CAPTURA!CN110,CODIFICACION!$F$2:$F$500,0))),"⚠"))</f>
        <v/>
      </c>
      <c r="BJ110" t="str">
        <f>IF(CAPTURA!CO110="","",IF(AND(ISNUMBER(CAPTURA!CO110),CAPTURA!CO110&gt;=0,CAPTURA!CO110&lt;=4),CAPTURA!CO110*25,"⚠"))</f>
        <v/>
      </c>
      <c r="BK110" t="str">
        <f>IF(CAPTURA!CP110="","",IF(ISNUMBER(CAPTURA!CP110),MAX(0,MIN(100,CAPTURA!CP110)),"⚠"))</f>
        <v/>
      </c>
      <c r="BL110" t="str">
        <f>IF(CAPTURA!CQ110="","",IFERROR(IF(INDEX(CODIFICACION!$E$2:$E$500,MATCH("D8.31|"&amp;CAPTURA!CQ110,CODIFICACION!$F$2:$F$500,0))="sin dato","",INDEX(CODIFICACION!$E$2:$E$500,MATCH("D8.31|"&amp;CAPTURA!CQ110,CODIFICACION!$F$2:$F$500,0))),"⚠"))</f>
        <v/>
      </c>
      <c r="BM110" t="str">
        <f>IF(CAPTURA!CR110="","",IFERROR(IF(INDEX(CODIFICACION!$E$2:$E$500,MATCH("D8.32|"&amp;CAPTURA!CR110,CODIFICACION!$F$2:$F$500,0))="sin dato","",INDEX(CODIFICACION!$E$2:$E$500,MATCH("D8.32|"&amp;CAPTURA!CR110,CODIFICACION!$F$2:$F$500,0))),"⚠"))</f>
        <v/>
      </c>
      <c r="BN110" t="str">
        <f>IF(CAPTURA!CS110="","",IFERROR(IF(INDEX(CODIFICACION!$E$2:$E$500,MATCH("D9.33|"&amp;CAPTURA!CS110,CODIFICACION!$F$2:$F$500,0))="sin dato","",INDEX(CODIFICACION!$E$2:$E$500,MATCH("D9.33|"&amp;CAPTURA!CS110,CODIFICACION!$F$2:$F$500,0))),"⚠"))</f>
        <v/>
      </c>
      <c r="BO110" t="str">
        <f>IF(CAPTURA!CT110="","",IFERROR(IF(INDEX(CODIFICACION!$E$2:$E$500,MATCH("D9.34|"&amp;CAPTURA!CT110,CODIFICACION!$F$2:$F$500,0))="sin dato","",INDEX(CODIFICACION!$E$2:$E$500,MATCH("D9.34|"&amp;CAPTURA!CT110,CODIFICACION!$F$2:$F$500,0))),"⚠"))</f>
        <v/>
      </c>
      <c r="BP110" t="str">
        <f>IF(CAPTURA!CU110="","",IFERROR(IF(INDEX(CODIFICACION!$E$2:$E$500,MATCH("D9.35|"&amp;CAPTURA!CU110,CODIFICACION!$F$2:$F$500,0))="sin dato","",INDEX(CODIFICACION!$E$2:$E$500,MATCH("D9.35|"&amp;CAPTURA!CU110,CODIFICACION!$F$2:$F$500,0))),"⚠"))</f>
        <v/>
      </c>
      <c r="BQ110" t="str">
        <f>IF(CAPTURA!CV110="","",IFERROR(IF(INDEX(CODIFICACION!$E$2:$E$500,MATCH("D10.36|"&amp;CAPTURA!CV110,CODIFICACION!$F$2:$F$500,0))="sin dato","",INDEX(CODIFICACION!$E$2:$E$500,MATCH("D10.36|"&amp;CAPTURA!CV110,CODIFICACION!$F$2:$F$500,0))),"⚠"))</f>
        <v/>
      </c>
      <c r="BR110" t="str">
        <f>IF(CAPTURA!CW110="","",IFERROR(IF(INDEX(CODIFICACION!$E$2:$E$500,MATCH("D10.37|"&amp;CAPTURA!CW110,CODIFICACION!$F$2:$F$500,0))="sin dato","",INDEX(CODIFICACION!$E$2:$E$500,MATCH("D10.37|"&amp;CAPTURA!CW110,CODIFICACION!$F$2:$F$500,0))),"⚠"))</f>
        <v/>
      </c>
      <c r="BS110" t="str">
        <f>IF(CAPTURA!CX110="","",IFERROR(IF(INDEX(CODIFICACION!$E$2:$E$500,MATCH("D10.36a|"&amp;CAPTURA!CX110,CODIFICACION!$F$2:$F$500,0))="sin dato","",INDEX(CODIFICACION!$E$2:$E$500,MATCH("D10.36a|"&amp;CAPTURA!CX110,CODIFICACION!$F$2:$F$500,0))),"⚠"))</f>
        <v/>
      </c>
      <c r="BT110" t="str">
        <f>IF(CAPTURA!CY110="","",IF(ISNUMBER(SEARCH("Ninguno",CAPTURA!CY110)),0,MIN(100,ROUND((LEN(CAPTURA!CY110)-LEN(SUBSTITUTE(CAPTURA!CY110,";",""))+1)/6*100,1))))</f>
        <v/>
      </c>
      <c r="BU110" t="str">
        <f>IF(CAPTURA!DA110="","",IFERROR(IF(INDEX(CODIFICACION!$E$2:$E$500,MATCH("D11.39a|"&amp;CAPTURA!DA110,CODIFICACION!$F$2:$F$500,0))="sin dato","",INDEX(CODIFICACION!$E$2:$E$500,MATCH("D11.39a|"&amp;CAPTURA!DA110,CODIFICACION!$F$2:$F$500,0))),"⚠"))</f>
        <v/>
      </c>
      <c r="BV110" t="str">
        <f>IF(CAPTURA!DB110="","",IFERROR(IF(INDEX(CODIFICACION!$E$2:$E$500,MATCH("D12.42|"&amp;CAPTURA!DB110,CODIFICACION!$F$2:$F$500,0))="sin dato","",INDEX(CODIFICACION!$E$2:$E$500,MATCH("D12.42|"&amp;CAPTURA!DB110,CODIFICACION!$F$2:$F$500,0))),"⚠"))</f>
        <v/>
      </c>
      <c r="BW110" t="str">
        <f>IF(CAPTURA!DC110="","",IFERROR(IF(INDEX(CODIFICACION!$E$2:$E$500,MATCH("D13.45|"&amp;CAPTURA!DC110,CODIFICACION!$F$2:$F$500,0))="sin dato","",INDEX(CODIFICACION!$E$2:$E$500,MATCH("D13.45|"&amp;CAPTURA!DC110,CODIFICACION!$F$2:$F$500,0))),"⚠"))</f>
        <v/>
      </c>
      <c r="BX110" t="str">
        <f>IF(CAPTURA!DD110="","",IFERROR(IF(INDEX(CODIFICACION!$E$2:$E$500,MATCH("D14.51|"&amp;CAPTURA!DD110,CODIFICACION!$F$2:$F$500,0))="sin dato","",INDEX(CODIFICACION!$E$2:$E$500,MATCH("D14.51|"&amp;CAPTURA!DD110,CODIFICACION!$F$2:$F$500,0))),"⚠"))</f>
        <v/>
      </c>
      <c r="BY110" t="str">
        <f>IF(CAPTURA!DE110="","",IFERROR(IF(INDEX(CODIFICACION!$E$2:$E$500,MATCH("D15.58|"&amp;CAPTURA!DE110,CODIFICACION!$F$2:$F$500,0))="sin dato","",INDEX(CODIFICACION!$E$2:$E$500,MATCH("D15.58|"&amp;CAPTURA!DE110,CODIFICACION!$F$2:$F$500,0))),"⚠"))</f>
        <v/>
      </c>
      <c r="BZ110" t="str">
        <f>IF(CAPTURA!DF110="","",IFERROR(IF(INDEX(CODIFICACION!$E$2:$E$500,MATCH("PP1|"&amp;CAPTURA!DF110,CODIFICACION!$F$2:$F$500,0))="sin dato","",INDEX(CODIFICACION!$E$2:$E$500,MATCH("PP1|"&amp;CAPTURA!DF110,CODIFICACION!$F$2:$F$500,0))),"⚠"))</f>
        <v/>
      </c>
      <c r="CA110" t="str">
        <f>IF(CAPTURA!DG110="","",IFERROR(IF(INDEX(CODIFICACION!$E$2:$E$500,MATCH("PP2|"&amp;CAPTURA!DG110,CODIFICACION!$F$2:$F$500,0))="sin dato","",INDEX(CODIFICACION!$E$2:$E$500,MATCH("PP2|"&amp;CAPTURA!DG110,CODIFICACION!$F$2:$F$500,0))),"⚠"))</f>
        <v/>
      </c>
      <c r="CB110" t="str">
        <f t="shared" si="33"/>
        <v/>
      </c>
      <c r="CC110" t="str">
        <f t="shared" si="34"/>
        <v/>
      </c>
      <c r="CD110" t="str">
        <f t="shared" si="35"/>
        <v/>
      </c>
      <c r="CE110" t="str">
        <f t="shared" si="36"/>
        <v/>
      </c>
      <c r="CF110" t="str">
        <f t="shared" si="37"/>
        <v/>
      </c>
      <c r="CG110" t="str">
        <f t="shared" si="38"/>
        <v/>
      </c>
      <c r="CH110" t="str">
        <f t="shared" si="39"/>
        <v/>
      </c>
      <c r="CI110" t="str">
        <f t="shared" si="40"/>
        <v/>
      </c>
      <c r="CJ110" t="str">
        <f t="shared" si="41"/>
        <v/>
      </c>
      <c r="CK110" t="str">
        <f t="shared" si="42"/>
        <v/>
      </c>
      <c r="CL110" t="str">
        <f t="shared" si="43"/>
        <v/>
      </c>
    </row>
    <row r="111" spans="1:90" x14ac:dyDescent="0.3">
      <c r="A111">
        <f>CAPTURA!A111</f>
        <v>20600682386</v>
      </c>
      <c r="B111">
        <f>CAPTURA!C111</f>
        <v>0</v>
      </c>
      <c r="C111" t="str">
        <f>IF(CAPTURA!M111="","",ROUND((ISNUMBER(SEARCH("Alemania",CAPTURA!M111))+ISNUMBER(SEARCH("Bélgica",CAPTURA!M111))+ISNUMBER(SEARCH("Países Bajos",CAPTURA!M111))+ISNUMBER(SEARCH("Francia",CAPTURA!M111))+ISNUMBER(SEARCH("Italia",CAPTURA!M111))+ISNUMBER(SEARCH("España",CAPTURA!M111))+ISNUMBER(SEARCH("Suecia",CAPTURA!M111))+ISNUMBER(SEARCH("Dinamarca",CAPTURA!M111)))/((LEN(CAPTURA!M111)-LEN(SUBSTITUTE(CAPTURA!M111,";","")))+1)*100,1))</f>
        <v/>
      </c>
      <c r="D111" t="str">
        <f>IF(CAPTURA!AE111="","",IFERROR(IF(INDEX(CODIFICACION!$E$2:$E$500,MATCH("P8|"&amp;CAPTURA!AE111,CODIFICACION!$F$2:$F$500,0))="sin dato","",INDEX(CODIFICACION!$E$2:$E$500,MATCH("P8|"&amp;CAPTURA!AE111,CODIFICACION!$F$2:$F$500,0))),"⚠"))</f>
        <v/>
      </c>
      <c r="E111" t="str">
        <f>IF(CAPTURA!AG111="","",IFERROR(IF(INDEX(CODIFICACION!$E$2:$E$500,MATCH("P10|"&amp;CAPTURA!AG111,CODIFICACION!$F$2:$F$500,0))="sin dato","",INDEX(CODIFICACION!$E$2:$E$500,MATCH("P10|"&amp;CAPTURA!AG111,CODIFICACION!$F$2:$F$500,0))),"⚠"))</f>
        <v/>
      </c>
      <c r="F111" t="str">
        <f>IF(CAPTURA!AJ111="","",IFERROR(IF(INDEX(CODIFICACION!$E$2:$E$500,MATCH("P13|"&amp;CAPTURA!AJ111,CODIFICACION!$F$2:$F$500,0))="sin dato","",INDEX(CODIFICACION!$E$2:$E$500,MATCH("P13|"&amp;CAPTURA!AJ111,CODIFICACION!$F$2:$F$500,0))),"⚠"))</f>
        <v/>
      </c>
      <c r="G111" t="str">
        <f>IF(CAPTURA!AK111="","",IFERROR(IF(INDEX(CODIFICACION!$E$2:$E$500,MATCH("P14|"&amp;CAPTURA!AK111,CODIFICACION!$F$2:$F$500,0))="sin dato","",INDEX(CODIFICACION!$E$2:$E$500,MATCH("P14|"&amp;CAPTURA!AK111,CODIFICACION!$F$2:$F$500,0))),"⚠"))</f>
        <v/>
      </c>
      <c r="H111" t="str">
        <f>IF(CAPTURA!AL111="","",IFERROR(IF(INDEX(CODIFICACION!$E$2:$E$500,MATCH("D1.1|"&amp;CAPTURA!AL111,CODIFICACION!$F$2:$F$500,0))="sin dato","",INDEX(CODIFICACION!$E$2:$E$500,MATCH("D1.1|"&amp;CAPTURA!AL111,CODIFICACION!$F$2:$F$500,0))),"⚠"))</f>
        <v/>
      </c>
      <c r="I111" t="str">
        <f>IF(CAPTURA!AN111="","",IFERROR(IF(INDEX(CODIFICACION!$E$2:$E$500,MATCH("D1.3|"&amp;CAPTURA!AN111,CODIFICACION!$F$2:$F$500,0))="sin dato","",INDEX(CODIFICACION!$E$2:$E$500,MATCH("D1.3|"&amp;CAPTURA!AN111,CODIFICACION!$F$2:$F$500,0))),"⚠"))</f>
        <v/>
      </c>
      <c r="J111" t="str">
        <f>IF(CAPTURA!AO111="","",IFERROR(IF(INDEX(CODIFICACION!$E$2:$E$500,MATCH("D1.4|"&amp;CAPTURA!AO111,CODIFICACION!$F$2:$F$500,0))="sin dato","",INDEX(CODIFICACION!$E$2:$E$500,MATCH("D1.4|"&amp;CAPTURA!AO111,CODIFICACION!$F$2:$F$500,0))),"⚠"))</f>
        <v/>
      </c>
      <c r="K111" t="str">
        <f>IF(CAPTURA!AP111="","",IFERROR(IF(INDEX(CODIFICACION!$E$2:$E$500,MATCH("D1.3a|"&amp;CAPTURA!AP111,CODIFICACION!$F$2:$F$500,0))="sin dato","",INDEX(CODIFICACION!$E$2:$E$500,MATCH("D1.3a|"&amp;CAPTURA!AP111,CODIFICACION!$F$2:$F$500,0))),"⚠"))</f>
        <v/>
      </c>
      <c r="L111" t="str">
        <f>IF(CAPTURA!AQ111="","",IF(AND(ISNUMBER(CAPTURA!AQ111),CAPTURA!AQ111&gt;=0,CAPTURA!AQ111&lt;=4),CAPTURA!AQ111*25,"⚠"))</f>
        <v/>
      </c>
      <c r="M111" t="str">
        <f>IF(CAPTURA!AR111="","",IF(ISNUMBER(CAPTURA!AR111),MAX(0,MIN(100,CAPTURA!AR111)),"⚠"))</f>
        <v/>
      </c>
      <c r="N111" t="str">
        <f>IF(CAPTURA!AS111="","",IF(AND(ISNUMBER(CAPTURA!AS111),CAPTURA!AS111&gt;=0,CAPTURA!AS111&lt;=4),CAPTURA!AS111*25,"⚠"))</f>
        <v/>
      </c>
      <c r="O111" t="str">
        <f>IF(CAPTURA!AT111="","",IFERROR(IF(INDEX(CODIFICACION!$E$2:$E$500,MATCH("D2.8|"&amp;CAPTURA!AT111,CODIFICACION!$F$2:$F$500,0))="sin dato","",INDEX(CODIFICACION!$E$2:$E$500,MATCH("D2.8|"&amp;CAPTURA!AT111,CODIFICACION!$F$2:$F$500,0))),"⚠"))</f>
        <v/>
      </c>
      <c r="P111" t="str">
        <f>IF(CAPTURA!AU111="","",IFERROR(IF(INDEX(CODIFICACION!$E$2:$E$500,MATCH("D2.9|"&amp;CAPTURA!AU111,CODIFICACION!$F$2:$F$500,0))="sin dato","",INDEX(CODIFICACION!$E$2:$E$500,MATCH("D2.9|"&amp;CAPTURA!AU111,CODIFICACION!$F$2:$F$500,0))),"⚠"))</f>
        <v/>
      </c>
      <c r="Q111" t="str">
        <f>IF(CAPTURA!AV111="","",IFERROR(IF(INDEX(CODIFICACION!$E$2:$E$500,MATCH("D2.10|"&amp;CAPTURA!AV111,CODIFICACION!$F$2:$F$500,0))="sin dato","",INDEX(CODIFICACION!$E$2:$E$500,MATCH("D2.10|"&amp;CAPTURA!AV111,CODIFICACION!$F$2:$F$500,0))),"⚠"))</f>
        <v/>
      </c>
      <c r="R111" t="str">
        <f>IF(CAPTURA!AW111="","",IFERROR(IF(INDEX(CODIFICACION!$E$2:$E$500,MATCH("D2.5a|"&amp;CAPTURA!AW111,CODIFICACION!$F$2:$F$500,0))="sin dato","",INDEX(CODIFICACION!$E$2:$E$500,MATCH("D2.5a|"&amp;CAPTURA!AW111,CODIFICACION!$F$2:$F$500,0))),"⚠"))</f>
        <v/>
      </c>
      <c r="S111" t="str">
        <f>IF(CAPTURA!AX111="","",IFERROR(IF(INDEX(CODIFICACION!$E$2:$E$500,MATCH("D2.5b|"&amp;CAPTURA!AX111,CODIFICACION!$F$2:$F$500,0))="sin dato","",INDEX(CODIFICACION!$E$2:$E$500,MATCH("D2.5b|"&amp;CAPTURA!AX111,CODIFICACION!$F$2:$F$500,0))),"⚠"))</f>
        <v/>
      </c>
      <c r="T111" t="str">
        <f>IF(CAPTURA!AY111="","",IF(ISNUMBER(CAPTURA!AY111),MAX(0,MIN(100,CAPTURA!AY111)),"⚠"))</f>
        <v/>
      </c>
      <c r="U111" t="str">
        <f>IF(CAPTURA!AZ111="","",IFERROR(IF(INDEX(CODIFICACION!$E$2:$E$500,MATCH("D3.12|"&amp;CAPTURA!AZ111,CODIFICACION!$F$2:$F$500,0))="sin dato","",INDEX(CODIFICACION!$E$2:$E$500,MATCH("D3.12|"&amp;CAPTURA!AZ111,CODIFICACION!$F$2:$F$500,0))),"⚠"))</f>
        <v/>
      </c>
      <c r="V111" t="str">
        <f>IF(CAPTURA!BA111="","",IF(AND(ISNUMBER(CAPTURA!BA111),CAPTURA!BA111&gt;=0,CAPTURA!BA111&lt;=4),CAPTURA!BA111*25,"⚠"))</f>
        <v/>
      </c>
      <c r="W111" t="str">
        <f>IF(CAPTURA!BB111="","",IFERROR(IF(INDEX(CODIFICACION!$E$2:$E$500,MATCH("D3.14|"&amp;CAPTURA!BB111,CODIFICACION!$F$2:$F$500,0))="sin dato","",INDEX(CODIFICACION!$E$2:$E$500,MATCH("D3.14|"&amp;CAPTURA!BB111,CODIFICACION!$F$2:$F$500,0))),"⚠"))</f>
        <v/>
      </c>
      <c r="X111" t="str">
        <f>IF(CAPTURA!BC111="","",IFERROR(IF(INDEX(CODIFICACION!$E$2:$E$500,MATCH("D3.14a|"&amp;CAPTURA!BC111,CODIFICACION!$F$2:$F$500,0))="sin dato","",INDEX(CODIFICACION!$E$2:$E$500,MATCH("D3.14a|"&amp;CAPTURA!BC111,CODIFICACION!$F$2:$F$500,0))),"⚠"))</f>
        <v/>
      </c>
      <c r="Y111" t="str">
        <f>IF(CAPTURA!BD111="","",IFERROR(IF(INDEX(CODIFICACION!$E$2:$E$500,MATCH("D3.14b|"&amp;CAPTURA!BD111,CODIFICACION!$F$2:$F$500,0))="sin dato","",INDEX(CODIFICACION!$E$2:$E$500,MATCH("D3.14b|"&amp;CAPTURA!BD111,CODIFICACION!$F$2:$F$500,0))),"⚠"))</f>
        <v/>
      </c>
      <c r="Z111" t="str">
        <f>IF(CAPTURA!BE111="","",IFERROR(IF(INDEX(CODIFICACION!$E$2:$E$500,MATCH("D3.14c|"&amp;CAPTURA!BE111,CODIFICACION!$F$2:$F$500,0))="sin dato","",INDEX(CODIFICACION!$E$2:$E$500,MATCH("D3.14c|"&amp;CAPTURA!BE111,CODIFICACION!$F$2:$F$500,0))),"⚠"))</f>
        <v/>
      </c>
      <c r="AA111" t="str">
        <f>IF(CAPTURA!BF111="","",IFERROR(IF(INDEX(CODIFICACION!$E$2:$E$500,MATCH("D3.14d|"&amp;CAPTURA!BF111,CODIFICACION!$F$2:$F$500,0))="sin dato","",INDEX(CODIFICACION!$E$2:$E$500,MATCH("D3.14d|"&amp;CAPTURA!BF111,CODIFICACION!$F$2:$F$500,0))),"⚠"))</f>
        <v/>
      </c>
      <c r="AB111" t="str">
        <f>IF(CAPTURA!BG111="","",IFERROR(IF(INDEX(CODIFICACION!$E$2:$E$500,MATCH("D3.14e|"&amp;CAPTURA!BG111,CODIFICACION!$F$2:$F$500,0))="sin dato","",INDEX(CODIFICACION!$E$2:$E$500,MATCH("D3.14e|"&amp;CAPTURA!BG111,CODIFICACION!$F$2:$F$500,0))),"⚠"))</f>
        <v/>
      </c>
      <c r="AC111" t="str">
        <f>IF(CAPTURA!BH111="","",IFERROR(IF(INDEX(CODIFICACION!$E$2:$E$500,MATCH("D3.14f|"&amp;CAPTURA!BH111,CODIFICACION!$F$2:$F$500,0))="sin dato","",INDEX(CODIFICACION!$E$2:$E$500,MATCH("D3.14f|"&amp;CAPTURA!BH111,CODIFICACION!$F$2:$F$500,0))),"⚠"))</f>
        <v/>
      </c>
      <c r="AD111" t="str">
        <f>IF(CAPTURA!BI111="","",IFERROR(IF(INDEX(CODIFICACION!$E$2:$E$500,MATCH("D3.14g|"&amp;CAPTURA!BI111,CODIFICACION!$F$2:$F$500,0))="sin dato","",INDEX(CODIFICACION!$E$2:$E$500,MATCH("D3.14g|"&amp;CAPTURA!BI111,CODIFICACION!$F$2:$F$500,0))),"⚠"))</f>
        <v/>
      </c>
      <c r="AE111" t="str">
        <f>IF(CAPTURA!BJ111="","",IFERROR(IF(INDEX(CODIFICACION!$E$2:$E$500,MATCH("D3.14h|"&amp;CAPTURA!BJ111,CODIFICACION!$F$2:$F$500,0))="sin dato","",INDEX(CODIFICACION!$E$2:$E$500,MATCH("D3.14h|"&amp;CAPTURA!BJ111,CODIFICACION!$F$2:$F$500,0))),"⚠"))</f>
        <v/>
      </c>
      <c r="AF111" t="str">
        <f>IF(CAPTURA!BK111="","",IFERROR(IF(INDEX(CODIFICACION!$E$2:$E$500,MATCH("D3.14i|"&amp;CAPTURA!BK111,CODIFICACION!$F$2:$F$500,0))="sin dato","",INDEX(CODIFICACION!$E$2:$E$500,MATCH("D3.14i|"&amp;CAPTURA!BK111,CODIFICACION!$F$2:$F$500,0))),"⚠"))</f>
        <v/>
      </c>
      <c r="AG111" t="str">
        <f>IF(CAPTURA!BL111="","",IFERROR(IF(INDEX(CODIFICACION!$E$2:$E$500,MATCH("D4.15|"&amp;CAPTURA!BL111,CODIFICACION!$F$2:$F$500,0))="sin dato","",INDEX(CODIFICACION!$E$2:$E$500,MATCH("D4.15|"&amp;CAPTURA!BL111,CODIFICACION!$F$2:$F$500,0))),"⚠"))</f>
        <v/>
      </c>
      <c r="AH111" t="str">
        <f>IF(CAPTURA!BM111="","",IF(AND(ISNUMBER(CAPTURA!BM111),CAPTURA!BM111&gt;=0,CAPTURA!BM111&lt;=4),CAPTURA!BM111*25,"⚠"))</f>
        <v/>
      </c>
      <c r="AI111" t="str">
        <f>IF(CAPTURA!BN111="","",IFERROR(IF(INDEX(CODIFICACION!$E$2:$E$500,MATCH("D4.17|"&amp;CAPTURA!BN111,CODIFICACION!$F$2:$F$500,0))="sin dato","",INDEX(CODIFICACION!$E$2:$E$500,MATCH("D4.17|"&amp;CAPTURA!BN111,CODIFICACION!$F$2:$F$500,0))),"⚠"))</f>
        <v/>
      </c>
      <c r="AJ111" t="str">
        <f>IF(CAPTURA!BO111="","",IFERROR(IF(INDEX(CODIFICACION!$E$2:$E$500,MATCH("D4.15a|"&amp;CAPTURA!BO111,CODIFICACION!$F$2:$F$500,0))="sin dato","",INDEX(CODIFICACION!$E$2:$E$500,MATCH("D4.15a|"&amp;CAPTURA!BO111,CODIFICACION!$F$2:$F$500,0))),"⚠"))</f>
        <v/>
      </c>
      <c r="AK111" t="str">
        <f>IF(CAPTURA!BP111="","",IF(AND(ISNUMBER(CAPTURA!BP111),CAPTURA!BP111&gt;=0,CAPTURA!BP111&lt;=4),CAPTURA!BP111*25,"⚠"))</f>
        <v/>
      </c>
      <c r="AL111" t="str">
        <f>IF(CAPTURA!BQ111="","",IF(AND(ISNUMBER(CAPTURA!BQ111),CAPTURA!BQ111&gt;=0,CAPTURA!BQ111&lt;=4),CAPTURA!BQ111*25,"⚠"))</f>
        <v/>
      </c>
      <c r="AM111" t="str">
        <f>IF(CAPTURA!BR111="","",IFERROR(IF(INDEX(CODIFICACION!$E$2:$E$500,MATCH("D5.18b|"&amp;CAPTURA!BR111,CODIFICACION!$F$2:$F$500,0))="sin dato","",INDEX(CODIFICACION!$E$2:$E$500,MATCH("D5.18b|"&amp;CAPTURA!BR111,CODIFICACION!$F$2:$F$500,0))),"⚠"))</f>
        <v/>
      </c>
      <c r="AN111" t="str">
        <f>IF(CAPTURA!BS111="","",IFERROR(IF(INDEX(CODIFICACION!$E$2:$E$500,MATCH("D5.19|"&amp;CAPTURA!BS111,CODIFICACION!$F$2:$F$500,0))="sin dato","",INDEX(CODIFICACION!$E$2:$E$500,MATCH("D5.19|"&amp;CAPTURA!BS111,CODIFICACION!$F$2:$F$500,0))),"⚠"))</f>
        <v/>
      </c>
      <c r="AO111" t="str">
        <f>IF(CAPTURA!BT111="","",MIN(100,ROUND((LEN(CAPTURA!BT111)-LEN(SUBSTITUTE(CAPTURA!BT111,";",""))+1)/7*100,1)))</f>
        <v/>
      </c>
      <c r="AP111" t="str">
        <f>IF(CAPTURA!BU111="","",IFERROR(IF(INDEX(CODIFICACION!$E$2:$E$500,MATCH("D5.20|"&amp;CAPTURA!BU111,CODIFICACION!$F$2:$F$500,0))="sin dato","",INDEX(CODIFICACION!$E$2:$E$500,MATCH("D5.20|"&amp;CAPTURA!BU111,CODIFICACION!$F$2:$F$500,0))),"⚠"))</f>
        <v/>
      </c>
      <c r="AQ111" t="str">
        <f>IF(CAPTURA!BV111="","",IFERROR(IF(INDEX(CODIFICACION!$E$2:$E$500,MATCH("D5.21|"&amp;CAPTURA!BV111,CODIFICACION!$F$2:$F$500,0))="sin dato","",INDEX(CODIFICACION!$E$2:$E$500,MATCH("D5.21|"&amp;CAPTURA!BV111,CODIFICACION!$F$2:$F$500,0))),"⚠"))</f>
        <v/>
      </c>
      <c r="AR111" t="str">
        <f>IF(CAPTURA!BW111="","",IFERROR(IF(INDEX(CODIFICACION!$E$2:$E$500,MATCH("D5.21a|"&amp;CAPTURA!BW111,CODIFICACION!$F$2:$F$500,0))="sin dato","",INDEX(CODIFICACION!$E$2:$E$500,MATCH("D5.21a|"&amp;CAPTURA!BW111,CODIFICACION!$F$2:$F$500,0))),"⚠"))</f>
        <v/>
      </c>
      <c r="AS111" t="str">
        <f>IF(CAPTURA!BX111="","",IFERROR(IF(INDEX(CODIFICACION!$E$2:$E$500,MATCH("D5.21b|"&amp;CAPTURA!BX111,CODIFICACION!$F$2:$F$500,0))="sin dato","",INDEX(CODIFICACION!$E$2:$E$500,MATCH("D5.21b|"&amp;CAPTURA!BX111,CODIFICACION!$F$2:$F$500,0))),"⚠"))</f>
        <v/>
      </c>
      <c r="AT111" t="str">
        <f>IF(CAPTURA!BY111="","",IFERROR(IF(INDEX(CODIFICACION!$E$2:$E$500,MATCH("D6.22|"&amp;CAPTURA!BY111,CODIFICACION!$F$2:$F$500,0))="sin dato","",INDEX(CODIFICACION!$E$2:$E$500,MATCH("D6.22|"&amp;CAPTURA!BY111,CODIFICACION!$F$2:$F$500,0))),"⚠"))</f>
        <v/>
      </c>
      <c r="AU111" t="str">
        <f>IF(CAPTURA!BZ111="","",IFERROR(IF(INDEX(CODIFICACION!$E$2:$E$500,MATCH("D6.22a|"&amp;CAPTURA!BZ111,CODIFICACION!$F$2:$F$500,0))="sin dato","",INDEX(CODIFICACION!$E$2:$E$500,MATCH("D6.22a|"&amp;CAPTURA!BZ111,CODIFICACION!$F$2:$F$500,0))),"⚠"))</f>
        <v/>
      </c>
      <c r="AV111" t="str">
        <f>IF(CAPTURA!CA111="","",IFERROR(IF(INDEX(CODIFICACION!$E$2:$E$500,MATCH("D6.22b|"&amp;CAPTURA!CA111,CODIFICACION!$F$2:$F$500,0))="sin dato","",INDEX(CODIFICACION!$E$2:$E$500,MATCH("D6.22b|"&amp;CAPTURA!CA111,CODIFICACION!$F$2:$F$500,0))),"⚠"))</f>
        <v/>
      </c>
      <c r="AW111" t="str">
        <f>IF(CAPTURA!CB111="","",IFERROR(IF(INDEX(CODIFICACION!$E$2:$E$500,MATCH("D6.23|"&amp;CAPTURA!CB111,CODIFICACION!$F$2:$F$500,0))="sin dato","",INDEX(CODIFICACION!$E$2:$E$500,MATCH("D6.23|"&amp;CAPTURA!CB111,CODIFICACION!$F$2:$F$500,0))),"⚠"))</f>
        <v/>
      </c>
      <c r="AX111" t="str">
        <f>IF(CAPTURA!CC111="","",IFERROR(IF(INDEX(CODIFICACION!$E$2:$E$500,MATCH("D6.24|"&amp;CAPTURA!CC111,CODIFICACION!$F$2:$F$500,0))="sin dato","",INDEX(CODIFICACION!$E$2:$E$500,MATCH("D6.24|"&amp;CAPTURA!CC111,CODIFICACION!$F$2:$F$500,0))),"⚠"))</f>
        <v/>
      </c>
      <c r="AY111" t="str">
        <f>IF(CAPTURA!CD111="","",IFERROR(IF(INDEX(CODIFICACION!$E$2:$E$500,MATCH("D6.25|"&amp;CAPTURA!CD111,CODIFICACION!$F$2:$F$500,0))="sin dato","",INDEX(CODIFICACION!$E$2:$E$500,MATCH("D6.25|"&amp;CAPTURA!CD111,CODIFICACION!$F$2:$F$500,0))),"⚠"))</f>
        <v/>
      </c>
      <c r="AZ111" t="str">
        <f>IF(CAPTURA!CE111="","",IFERROR(IF(INDEX(CODIFICACION!$E$2:$E$500,MATCH("D6.25a|"&amp;CAPTURA!CE111,CODIFICACION!$F$2:$F$500,0))="sin dato","",INDEX(CODIFICACION!$E$2:$E$500,MATCH("D6.25a|"&amp;CAPTURA!CE111,CODIFICACION!$F$2:$F$500,0))),"⚠"))</f>
        <v/>
      </c>
      <c r="BA111" t="str">
        <f>IF(CAPTURA!CF111="","",IFERROR(IF(INDEX(CODIFICACION!$E$2:$E$500,MATCH("D6.25b|"&amp;CAPTURA!CF111,CODIFICACION!$F$2:$F$500,0))="sin dato","",INDEX(CODIFICACION!$E$2:$E$500,MATCH("D6.25b|"&amp;CAPTURA!CF111,CODIFICACION!$F$2:$F$500,0))),"⚠"))</f>
        <v/>
      </c>
      <c r="BB111" t="str">
        <f>IF(CAPTURA!CG111="","",IFERROR(IF(INDEX(CODIFICACION!$E$2:$E$500,MATCH("D6.22c|"&amp;CAPTURA!CG111,CODIFICACION!$F$2:$F$500,0))="sin dato","",INDEX(CODIFICACION!$E$2:$E$500,MATCH("D6.22c|"&amp;CAPTURA!CG111,CODIFICACION!$F$2:$F$500,0))),"⚠"))</f>
        <v/>
      </c>
      <c r="BC111" t="str">
        <f>IF(CAPTURA!CH111="","",IFERROR(IF(INDEX(CODIFICACION!$E$2:$E$500,MATCH("D7.26|"&amp;CAPTURA!CH111,CODIFICACION!$F$2:$F$500,0))="sin dato","",INDEX(CODIFICACION!$E$2:$E$500,MATCH("D7.26|"&amp;CAPTURA!CH111,CODIFICACION!$F$2:$F$500,0))),"⚠"))</f>
        <v/>
      </c>
      <c r="BD111" t="str">
        <f>IF(CAPTURA!CI111="","",IFERROR(IF(INDEX(CODIFICACION!$E$2:$E$500,MATCH("D7.27|"&amp;CAPTURA!CI111,CODIFICACION!$F$2:$F$500,0))="sin dato","",INDEX(CODIFICACION!$E$2:$E$500,MATCH("D7.27|"&amp;CAPTURA!CI111,CODIFICACION!$F$2:$F$500,0))),"⚠"))</f>
        <v/>
      </c>
      <c r="BE111" t="str">
        <f>IF(CAPTURA!CJ111="","",IFERROR(IF(INDEX(CODIFICACION!$E$2:$E$500,MATCH("D7.28|"&amp;CAPTURA!CJ111,CODIFICACION!$F$2:$F$500,0))="sin dato","",INDEX(CODIFICACION!$E$2:$E$500,MATCH("D7.28|"&amp;CAPTURA!CJ111,CODIFICACION!$F$2:$F$500,0))),"⚠"))</f>
        <v/>
      </c>
      <c r="BF111" t="str">
        <f>IF(CAPTURA!CK111="","",IFERROR(IF(INDEX(CODIFICACION!$E$2:$E$500,MATCH("D7.28b|"&amp;CAPTURA!CK111,CODIFICACION!$F$2:$F$500,0))="sin dato","",INDEX(CODIFICACION!$E$2:$E$500,MATCH("D7.28b|"&amp;CAPTURA!CK111,CODIFICACION!$F$2:$F$500,0))),"⚠"))</f>
        <v/>
      </c>
      <c r="BG111" t="str">
        <f>IF(CAPTURA!CL111="","",MIN(100,ROUND((LEN(CAPTURA!CL111)-LEN(SUBSTITUTE(CAPTURA!CL111,";",""))+1)/8*100,1)))</f>
        <v/>
      </c>
      <c r="BH111" t="str">
        <f>IF(CAPTURA!CM111="","",IFERROR(IF(INDEX(CODIFICACION!$E$2:$E$500,MATCH("D7.26a|"&amp;CAPTURA!CM111,CODIFICACION!$F$2:$F$500,0))="sin dato","",INDEX(CODIFICACION!$E$2:$E$500,MATCH("D7.26a|"&amp;CAPTURA!CM111,CODIFICACION!$F$2:$F$500,0))),"⚠"))</f>
        <v/>
      </c>
      <c r="BI111" t="str">
        <f>IF(CAPTURA!CN111="","",IFERROR(IF(INDEX(CODIFICACION!$E$2:$E$500,MATCH("D7.26b|"&amp;CAPTURA!CN111,CODIFICACION!$F$2:$F$500,0))="sin dato","",INDEX(CODIFICACION!$E$2:$E$500,MATCH("D7.26b|"&amp;CAPTURA!CN111,CODIFICACION!$F$2:$F$500,0))),"⚠"))</f>
        <v/>
      </c>
      <c r="BJ111" t="str">
        <f>IF(CAPTURA!CO111="","",IF(AND(ISNUMBER(CAPTURA!CO111),CAPTURA!CO111&gt;=0,CAPTURA!CO111&lt;=4),CAPTURA!CO111*25,"⚠"))</f>
        <v/>
      </c>
      <c r="BK111" t="str">
        <f>IF(CAPTURA!CP111="","",IF(ISNUMBER(CAPTURA!CP111),MAX(0,MIN(100,CAPTURA!CP111)),"⚠"))</f>
        <v/>
      </c>
      <c r="BL111" t="str">
        <f>IF(CAPTURA!CQ111="","",IFERROR(IF(INDEX(CODIFICACION!$E$2:$E$500,MATCH("D8.31|"&amp;CAPTURA!CQ111,CODIFICACION!$F$2:$F$500,0))="sin dato","",INDEX(CODIFICACION!$E$2:$E$500,MATCH("D8.31|"&amp;CAPTURA!CQ111,CODIFICACION!$F$2:$F$500,0))),"⚠"))</f>
        <v/>
      </c>
      <c r="BM111" t="str">
        <f>IF(CAPTURA!CR111="","",IFERROR(IF(INDEX(CODIFICACION!$E$2:$E$500,MATCH("D8.32|"&amp;CAPTURA!CR111,CODIFICACION!$F$2:$F$500,0))="sin dato","",INDEX(CODIFICACION!$E$2:$E$500,MATCH("D8.32|"&amp;CAPTURA!CR111,CODIFICACION!$F$2:$F$500,0))),"⚠"))</f>
        <v/>
      </c>
      <c r="BN111" t="str">
        <f>IF(CAPTURA!CS111="","",IFERROR(IF(INDEX(CODIFICACION!$E$2:$E$500,MATCH("D9.33|"&amp;CAPTURA!CS111,CODIFICACION!$F$2:$F$500,0))="sin dato","",INDEX(CODIFICACION!$E$2:$E$500,MATCH("D9.33|"&amp;CAPTURA!CS111,CODIFICACION!$F$2:$F$500,0))),"⚠"))</f>
        <v/>
      </c>
      <c r="BO111" t="str">
        <f>IF(CAPTURA!CT111="","",IFERROR(IF(INDEX(CODIFICACION!$E$2:$E$500,MATCH("D9.34|"&amp;CAPTURA!CT111,CODIFICACION!$F$2:$F$500,0))="sin dato","",INDEX(CODIFICACION!$E$2:$E$500,MATCH("D9.34|"&amp;CAPTURA!CT111,CODIFICACION!$F$2:$F$500,0))),"⚠"))</f>
        <v/>
      </c>
      <c r="BP111" t="str">
        <f>IF(CAPTURA!CU111="","",IFERROR(IF(INDEX(CODIFICACION!$E$2:$E$500,MATCH("D9.35|"&amp;CAPTURA!CU111,CODIFICACION!$F$2:$F$500,0))="sin dato","",INDEX(CODIFICACION!$E$2:$E$500,MATCH("D9.35|"&amp;CAPTURA!CU111,CODIFICACION!$F$2:$F$500,0))),"⚠"))</f>
        <v/>
      </c>
      <c r="BQ111" t="str">
        <f>IF(CAPTURA!CV111="","",IFERROR(IF(INDEX(CODIFICACION!$E$2:$E$500,MATCH("D10.36|"&amp;CAPTURA!CV111,CODIFICACION!$F$2:$F$500,0))="sin dato","",INDEX(CODIFICACION!$E$2:$E$500,MATCH("D10.36|"&amp;CAPTURA!CV111,CODIFICACION!$F$2:$F$500,0))),"⚠"))</f>
        <v/>
      </c>
      <c r="BR111" t="str">
        <f>IF(CAPTURA!CW111="","",IFERROR(IF(INDEX(CODIFICACION!$E$2:$E$500,MATCH("D10.37|"&amp;CAPTURA!CW111,CODIFICACION!$F$2:$F$500,0))="sin dato","",INDEX(CODIFICACION!$E$2:$E$500,MATCH("D10.37|"&amp;CAPTURA!CW111,CODIFICACION!$F$2:$F$500,0))),"⚠"))</f>
        <v/>
      </c>
      <c r="BS111" t="str">
        <f>IF(CAPTURA!CX111="","",IFERROR(IF(INDEX(CODIFICACION!$E$2:$E$500,MATCH("D10.36a|"&amp;CAPTURA!CX111,CODIFICACION!$F$2:$F$500,0))="sin dato","",INDEX(CODIFICACION!$E$2:$E$500,MATCH("D10.36a|"&amp;CAPTURA!CX111,CODIFICACION!$F$2:$F$500,0))),"⚠"))</f>
        <v/>
      </c>
      <c r="BT111" t="str">
        <f>IF(CAPTURA!CY111="","",IF(ISNUMBER(SEARCH("Ninguno",CAPTURA!CY111)),0,MIN(100,ROUND((LEN(CAPTURA!CY111)-LEN(SUBSTITUTE(CAPTURA!CY111,";",""))+1)/6*100,1))))</f>
        <v/>
      </c>
      <c r="BU111" t="str">
        <f>IF(CAPTURA!DA111="","",IFERROR(IF(INDEX(CODIFICACION!$E$2:$E$500,MATCH("D11.39a|"&amp;CAPTURA!DA111,CODIFICACION!$F$2:$F$500,0))="sin dato","",INDEX(CODIFICACION!$E$2:$E$500,MATCH("D11.39a|"&amp;CAPTURA!DA111,CODIFICACION!$F$2:$F$500,0))),"⚠"))</f>
        <v/>
      </c>
      <c r="BV111" t="str">
        <f>IF(CAPTURA!DB111="","",IFERROR(IF(INDEX(CODIFICACION!$E$2:$E$500,MATCH("D12.42|"&amp;CAPTURA!DB111,CODIFICACION!$F$2:$F$500,0))="sin dato","",INDEX(CODIFICACION!$E$2:$E$500,MATCH("D12.42|"&amp;CAPTURA!DB111,CODIFICACION!$F$2:$F$500,0))),"⚠"))</f>
        <v/>
      </c>
      <c r="BW111" t="str">
        <f>IF(CAPTURA!DC111="","",IFERROR(IF(INDEX(CODIFICACION!$E$2:$E$500,MATCH("D13.45|"&amp;CAPTURA!DC111,CODIFICACION!$F$2:$F$500,0))="sin dato","",INDEX(CODIFICACION!$E$2:$E$500,MATCH("D13.45|"&amp;CAPTURA!DC111,CODIFICACION!$F$2:$F$500,0))),"⚠"))</f>
        <v/>
      </c>
      <c r="BX111" t="str">
        <f>IF(CAPTURA!DD111="","",IFERROR(IF(INDEX(CODIFICACION!$E$2:$E$500,MATCH("D14.51|"&amp;CAPTURA!DD111,CODIFICACION!$F$2:$F$500,0))="sin dato","",INDEX(CODIFICACION!$E$2:$E$500,MATCH("D14.51|"&amp;CAPTURA!DD111,CODIFICACION!$F$2:$F$500,0))),"⚠"))</f>
        <v/>
      </c>
      <c r="BY111" t="str">
        <f>IF(CAPTURA!DE111="","",IFERROR(IF(INDEX(CODIFICACION!$E$2:$E$500,MATCH("D15.58|"&amp;CAPTURA!DE111,CODIFICACION!$F$2:$F$500,0))="sin dato","",INDEX(CODIFICACION!$E$2:$E$500,MATCH("D15.58|"&amp;CAPTURA!DE111,CODIFICACION!$F$2:$F$500,0))),"⚠"))</f>
        <v/>
      </c>
      <c r="BZ111" t="str">
        <f>IF(CAPTURA!DF111="","",IFERROR(IF(INDEX(CODIFICACION!$E$2:$E$500,MATCH("PP1|"&amp;CAPTURA!DF111,CODIFICACION!$F$2:$F$500,0))="sin dato","",INDEX(CODIFICACION!$E$2:$E$500,MATCH("PP1|"&amp;CAPTURA!DF111,CODIFICACION!$F$2:$F$500,0))),"⚠"))</f>
        <v/>
      </c>
      <c r="CA111" t="str">
        <f>IF(CAPTURA!DG111="","",IFERROR(IF(INDEX(CODIFICACION!$E$2:$E$500,MATCH("PP2|"&amp;CAPTURA!DG111,CODIFICACION!$F$2:$F$500,0))="sin dato","",INDEX(CODIFICACION!$E$2:$E$500,MATCH("PP2|"&amp;CAPTURA!DG111,CODIFICACION!$F$2:$F$500,0))),"⚠"))</f>
        <v/>
      </c>
      <c r="CB111" t="str">
        <f t="shared" si="33"/>
        <v/>
      </c>
      <c r="CC111" t="str">
        <f t="shared" si="34"/>
        <v/>
      </c>
      <c r="CD111" t="str">
        <f t="shared" si="35"/>
        <v/>
      </c>
      <c r="CE111" t="str">
        <f t="shared" si="36"/>
        <v/>
      </c>
      <c r="CF111" t="str">
        <f t="shared" si="37"/>
        <v/>
      </c>
      <c r="CG111" t="str">
        <f t="shared" si="38"/>
        <v/>
      </c>
      <c r="CH111" t="str">
        <f t="shared" si="39"/>
        <v/>
      </c>
      <c r="CI111" t="str">
        <f t="shared" si="40"/>
        <v/>
      </c>
      <c r="CJ111" t="str">
        <f t="shared" si="41"/>
        <v/>
      </c>
      <c r="CK111" t="str">
        <f t="shared" si="42"/>
        <v/>
      </c>
      <c r="CL111" t="str">
        <f t="shared" si="43"/>
        <v/>
      </c>
    </row>
    <row r="112" spans="1:90" x14ac:dyDescent="0.3">
      <c r="A112">
        <f>CAPTURA!A112</f>
        <v>20600720733</v>
      </c>
      <c r="B112">
        <f>CAPTURA!C112</f>
        <v>0</v>
      </c>
      <c r="C112" t="str">
        <f>IF(CAPTURA!M112="","",ROUND((ISNUMBER(SEARCH("Alemania",CAPTURA!M112))+ISNUMBER(SEARCH("Bélgica",CAPTURA!M112))+ISNUMBER(SEARCH("Países Bajos",CAPTURA!M112))+ISNUMBER(SEARCH("Francia",CAPTURA!M112))+ISNUMBER(SEARCH("Italia",CAPTURA!M112))+ISNUMBER(SEARCH("España",CAPTURA!M112))+ISNUMBER(SEARCH("Suecia",CAPTURA!M112))+ISNUMBER(SEARCH("Dinamarca",CAPTURA!M112)))/((LEN(CAPTURA!M112)-LEN(SUBSTITUTE(CAPTURA!M112,";","")))+1)*100,1))</f>
        <v/>
      </c>
      <c r="D112" t="str">
        <f>IF(CAPTURA!AE112="","",IFERROR(IF(INDEX(CODIFICACION!$E$2:$E$500,MATCH("P8|"&amp;CAPTURA!AE112,CODIFICACION!$F$2:$F$500,0))="sin dato","",INDEX(CODIFICACION!$E$2:$E$500,MATCH("P8|"&amp;CAPTURA!AE112,CODIFICACION!$F$2:$F$500,0))),"⚠"))</f>
        <v/>
      </c>
      <c r="E112" t="str">
        <f>IF(CAPTURA!AG112="","",IFERROR(IF(INDEX(CODIFICACION!$E$2:$E$500,MATCH("P10|"&amp;CAPTURA!AG112,CODIFICACION!$F$2:$F$500,0))="sin dato","",INDEX(CODIFICACION!$E$2:$E$500,MATCH("P10|"&amp;CAPTURA!AG112,CODIFICACION!$F$2:$F$500,0))),"⚠"))</f>
        <v/>
      </c>
      <c r="F112" t="str">
        <f>IF(CAPTURA!AJ112="","",IFERROR(IF(INDEX(CODIFICACION!$E$2:$E$500,MATCH("P13|"&amp;CAPTURA!AJ112,CODIFICACION!$F$2:$F$500,0))="sin dato","",INDEX(CODIFICACION!$E$2:$E$500,MATCH("P13|"&amp;CAPTURA!AJ112,CODIFICACION!$F$2:$F$500,0))),"⚠"))</f>
        <v/>
      </c>
      <c r="G112" t="str">
        <f>IF(CAPTURA!AK112="","",IFERROR(IF(INDEX(CODIFICACION!$E$2:$E$500,MATCH("P14|"&amp;CAPTURA!AK112,CODIFICACION!$F$2:$F$500,0))="sin dato","",INDEX(CODIFICACION!$E$2:$E$500,MATCH("P14|"&amp;CAPTURA!AK112,CODIFICACION!$F$2:$F$500,0))),"⚠"))</f>
        <v/>
      </c>
      <c r="H112" t="str">
        <f>IF(CAPTURA!AL112="","",IFERROR(IF(INDEX(CODIFICACION!$E$2:$E$500,MATCH("D1.1|"&amp;CAPTURA!AL112,CODIFICACION!$F$2:$F$500,0))="sin dato","",INDEX(CODIFICACION!$E$2:$E$500,MATCH("D1.1|"&amp;CAPTURA!AL112,CODIFICACION!$F$2:$F$500,0))),"⚠"))</f>
        <v/>
      </c>
      <c r="I112" t="str">
        <f>IF(CAPTURA!AN112="","",IFERROR(IF(INDEX(CODIFICACION!$E$2:$E$500,MATCH("D1.3|"&amp;CAPTURA!AN112,CODIFICACION!$F$2:$F$500,0))="sin dato","",INDEX(CODIFICACION!$E$2:$E$500,MATCH("D1.3|"&amp;CAPTURA!AN112,CODIFICACION!$F$2:$F$500,0))),"⚠"))</f>
        <v/>
      </c>
      <c r="J112" t="str">
        <f>IF(CAPTURA!AO112="","",IFERROR(IF(INDEX(CODIFICACION!$E$2:$E$500,MATCH("D1.4|"&amp;CAPTURA!AO112,CODIFICACION!$F$2:$F$500,0))="sin dato","",INDEX(CODIFICACION!$E$2:$E$500,MATCH("D1.4|"&amp;CAPTURA!AO112,CODIFICACION!$F$2:$F$500,0))),"⚠"))</f>
        <v/>
      </c>
      <c r="K112" t="str">
        <f>IF(CAPTURA!AP112="","",IFERROR(IF(INDEX(CODIFICACION!$E$2:$E$500,MATCH("D1.3a|"&amp;CAPTURA!AP112,CODIFICACION!$F$2:$F$500,0))="sin dato","",INDEX(CODIFICACION!$E$2:$E$500,MATCH("D1.3a|"&amp;CAPTURA!AP112,CODIFICACION!$F$2:$F$500,0))),"⚠"))</f>
        <v/>
      </c>
      <c r="L112" t="str">
        <f>IF(CAPTURA!AQ112="","",IF(AND(ISNUMBER(CAPTURA!AQ112),CAPTURA!AQ112&gt;=0,CAPTURA!AQ112&lt;=4),CAPTURA!AQ112*25,"⚠"))</f>
        <v/>
      </c>
      <c r="M112" t="str">
        <f>IF(CAPTURA!AR112="","",IF(ISNUMBER(CAPTURA!AR112),MAX(0,MIN(100,CAPTURA!AR112)),"⚠"))</f>
        <v/>
      </c>
      <c r="N112" t="str">
        <f>IF(CAPTURA!AS112="","",IF(AND(ISNUMBER(CAPTURA!AS112),CAPTURA!AS112&gt;=0,CAPTURA!AS112&lt;=4),CAPTURA!AS112*25,"⚠"))</f>
        <v/>
      </c>
      <c r="O112" t="str">
        <f>IF(CAPTURA!AT112="","",IFERROR(IF(INDEX(CODIFICACION!$E$2:$E$500,MATCH("D2.8|"&amp;CAPTURA!AT112,CODIFICACION!$F$2:$F$500,0))="sin dato","",INDEX(CODIFICACION!$E$2:$E$500,MATCH("D2.8|"&amp;CAPTURA!AT112,CODIFICACION!$F$2:$F$500,0))),"⚠"))</f>
        <v/>
      </c>
      <c r="P112" t="str">
        <f>IF(CAPTURA!AU112="","",IFERROR(IF(INDEX(CODIFICACION!$E$2:$E$500,MATCH("D2.9|"&amp;CAPTURA!AU112,CODIFICACION!$F$2:$F$500,0))="sin dato","",INDEX(CODIFICACION!$E$2:$E$500,MATCH("D2.9|"&amp;CAPTURA!AU112,CODIFICACION!$F$2:$F$500,0))),"⚠"))</f>
        <v/>
      </c>
      <c r="Q112" t="str">
        <f>IF(CAPTURA!AV112="","",IFERROR(IF(INDEX(CODIFICACION!$E$2:$E$500,MATCH("D2.10|"&amp;CAPTURA!AV112,CODIFICACION!$F$2:$F$500,0))="sin dato","",INDEX(CODIFICACION!$E$2:$E$500,MATCH("D2.10|"&amp;CAPTURA!AV112,CODIFICACION!$F$2:$F$500,0))),"⚠"))</f>
        <v/>
      </c>
      <c r="R112" t="str">
        <f>IF(CAPTURA!AW112="","",IFERROR(IF(INDEX(CODIFICACION!$E$2:$E$500,MATCH("D2.5a|"&amp;CAPTURA!AW112,CODIFICACION!$F$2:$F$500,0))="sin dato","",INDEX(CODIFICACION!$E$2:$E$500,MATCH("D2.5a|"&amp;CAPTURA!AW112,CODIFICACION!$F$2:$F$500,0))),"⚠"))</f>
        <v/>
      </c>
      <c r="S112" t="str">
        <f>IF(CAPTURA!AX112="","",IFERROR(IF(INDEX(CODIFICACION!$E$2:$E$500,MATCH("D2.5b|"&amp;CAPTURA!AX112,CODIFICACION!$F$2:$F$500,0))="sin dato","",INDEX(CODIFICACION!$E$2:$E$500,MATCH("D2.5b|"&amp;CAPTURA!AX112,CODIFICACION!$F$2:$F$500,0))),"⚠"))</f>
        <v/>
      </c>
      <c r="T112" t="str">
        <f>IF(CAPTURA!AY112="","",IF(ISNUMBER(CAPTURA!AY112),MAX(0,MIN(100,CAPTURA!AY112)),"⚠"))</f>
        <v/>
      </c>
      <c r="U112" t="str">
        <f>IF(CAPTURA!AZ112="","",IFERROR(IF(INDEX(CODIFICACION!$E$2:$E$500,MATCH("D3.12|"&amp;CAPTURA!AZ112,CODIFICACION!$F$2:$F$500,0))="sin dato","",INDEX(CODIFICACION!$E$2:$E$500,MATCH("D3.12|"&amp;CAPTURA!AZ112,CODIFICACION!$F$2:$F$500,0))),"⚠"))</f>
        <v/>
      </c>
      <c r="V112" t="str">
        <f>IF(CAPTURA!BA112="","",IF(AND(ISNUMBER(CAPTURA!BA112),CAPTURA!BA112&gt;=0,CAPTURA!BA112&lt;=4),CAPTURA!BA112*25,"⚠"))</f>
        <v/>
      </c>
      <c r="W112" t="str">
        <f>IF(CAPTURA!BB112="","",IFERROR(IF(INDEX(CODIFICACION!$E$2:$E$500,MATCH("D3.14|"&amp;CAPTURA!BB112,CODIFICACION!$F$2:$F$500,0))="sin dato","",INDEX(CODIFICACION!$E$2:$E$500,MATCH("D3.14|"&amp;CAPTURA!BB112,CODIFICACION!$F$2:$F$500,0))),"⚠"))</f>
        <v/>
      </c>
      <c r="X112" t="str">
        <f>IF(CAPTURA!BC112="","",IFERROR(IF(INDEX(CODIFICACION!$E$2:$E$500,MATCH("D3.14a|"&amp;CAPTURA!BC112,CODIFICACION!$F$2:$F$500,0))="sin dato","",INDEX(CODIFICACION!$E$2:$E$500,MATCH("D3.14a|"&amp;CAPTURA!BC112,CODIFICACION!$F$2:$F$500,0))),"⚠"))</f>
        <v/>
      </c>
      <c r="Y112" t="str">
        <f>IF(CAPTURA!BD112="","",IFERROR(IF(INDEX(CODIFICACION!$E$2:$E$500,MATCH("D3.14b|"&amp;CAPTURA!BD112,CODIFICACION!$F$2:$F$500,0))="sin dato","",INDEX(CODIFICACION!$E$2:$E$500,MATCH("D3.14b|"&amp;CAPTURA!BD112,CODIFICACION!$F$2:$F$500,0))),"⚠"))</f>
        <v/>
      </c>
      <c r="Z112" t="str">
        <f>IF(CAPTURA!BE112="","",IFERROR(IF(INDEX(CODIFICACION!$E$2:$E$500,MATCH("D3.14c|"&amp;CAPTURA!BE112,CODIFICACION!$F$2:$F$500,0))="sin dato","",INDEX(CODIFICACION!$E$2:$E$500,MATCH("D3.14c|"&amp;CAPTURA!BE112,CODIFICACION!$F$2:$F$500,0))),"⚠"))</f>
        <v/>
      </c>
      <c r="AA112" t="str">
        <f>IF(CAPTURA!BF112="","",IFERROR(IF(INDEX(CODIFICACION!$E$2:$E$500,MATCH("D3.14d|"&amp;CAPTURA!BF112,CODIFICACION!$F$2:$F$500,0))="sin dato","",INDEX(CODIFICACION!$E$2:$E$500,MATCH("D3.14d|"&amp;CAPTURA!BF112,CODIFICACION!$F$2:$F$500,0))),"⚠"))</f>
        <v/>
      </c>
      <c r="AB112" t="str">
        <f>IF(CAPTURA!BG112="","",IFERROR(IF(INDEX(CODIFICACION!$E$2:$E$500,MATCH("D3.14e|"&amp;CAPTURA!BG112,CODIFICACION!$F$2:$F$500,0))="sin dato","",INDEX(CODIFICACION!$E$2:$E$500,MATCH("D3.14e|"&amp;CAPTURA!BG112,CODIFICACION!$F$2:$F$500,0))),"⚠"))</f>
        <v/>
      </c>
      <c r="AC112" t="str">
        <f>IF(CAPTURA!BH112="","",IFERROR(IF(INDEX(CODIFICACION!$E$2:$E$500,MATCH("D3.14f|"&amp;CAPTURA!BH112,CODIFICACION!$F$2:$F$500,0))="sin dato","",INDEX(CODIFICACION!$E$2:$E$500,MATCH("D3.14f|"&amp;CAPTURA!BH112,CODIFICACION!$F$2:$F$500,0))),"⚠"))</f>
        <v/>
      </c>
      <c r="AD112" t="str">
        <f>IF(CAPTURA!BI112="","",IFERROR(IF(INDEX(CODIFICACION!$E$2:$E$500,MATCH("D3.14g|"&amp;CAPTURA!BI112,CODIFICACION!$F$2:$F$500,0))="sin dato","",INDEX(CODIFICACION!$E$2:$E$500,MATCH("D3.14g|"&amp;CAPTURA!BI112,CODIFICACION!$F$2:$F$500,0))),"⚠"))</f>
        <v/>
      </c>
      <c r="AE112" t="str">
        <f>IF(CAPTURA!BJ112="","",IFERROR(IF(INDEX(CODIFICACION!$E$2:$E$500,MATCH("D3.14h|"&amp;CAPTURA!BJ112,CODIFICACION!$F$2:$F$500,0))="sin dato","",INDEX(CODIFICACION!$E$2:$E$500,MATCH("D3.14h|"&amp;CAPTURA!BJ112,CODIFICACION!$F$2:$F$500,0))),"⚠"))</f>
        <v/>
      </c>
      <c r="AF112" t="str">
        <f>IF(CAPTURA!BK112="","",IFERROR(IF(INDEX(CODIFICACION!$E$2:$E$500,MATCH("D3.14i|"&amp;CAPTURA!BK112,CODIFICACION!$F$2:$F$500,0))="sin dato","",INDEX(CODIFICACION!$E$2:$E$500,MATCH("D3.14i|"&amp;CAPTURA!BK112,CODIFICACION!$F$2:$F$500,0))),"⚠"))</f>
        <v/>
      </c>
      <c r="AG112" t="str">
        <f>IF(CAPTURA!BL112="","",IFERROR(IF(INDEX(CODIFICACION!$E$2:$E$500,MATCH("D4.15|"&amp;CAPTURA!BL112,CODIFICACION!$F$2:$F$500,0))="sin dato","",INDEX(CODIFICACION!$E$2:$E$500,MATCH("D4.15|"&amp;CAPTURA!BL112,CODIFICACION!$F$2:$F$500,0))),"⚠"))</f>
        <v/>
      </c>
      <c r="AH112" t="str">
        <f>IF(CAPTURA!BM112="","",IF(AND(ISNUMBER(CAPTURA!BM112),CAPTURA!BM112&gt;=0,CAPTURA!BM112&lt;=4),CAPTURA!BM112*25,"⚠"))</f>
        <v/>
      </c>
      <c r="AI112" t="str">
        <f>IF(CAPTURA!BN112="","",IFERROR(IF(INDEX(CODIFICACION!$E$2:$E$500,MATCH("D4.17|"&amp;CAPTURA!BN112,CODIFICACION!$F$2:$F$500,0))="sin dato","",INDEX(CODIFICACION!$E$2:$E$500,MATCH("D4.17|"&amp;CAPTURA!BN112,CODIFICACION!$F$2:$F$500,0))),"⚠"))</f>
        <v/>
      </c>
      <c r="AJ112" t="str">
        <f>IF(CAPTURA!BO112="","",IFERROR(IF(INDEX(CODIFICACION!$E$2:$E$500,MATCH("D4.15a|"&amp;CAPTURA!BO112,CODIFICACION!$F$2:$F$500,0))="sin dato","",INDEX(CODIFICACION!$E$2:$E$500,MATCH("D4.15a|"&amp;CAPTURA!BO112,CODIFICACION!$F$2:$F$500,0))),"⚠"))</f>
        <v/>
      </c>
      <c r="AK112" t="str">
        <f>IF(CAPTURA!BP112="","",IF(AND(ISNUMBER(CAPTURA!BP112),CAPTURA!BP112&gt;=0,CAPTURA!BP112&lt;=4),CAPTURA!BP112*25,"⚠"))</f>
        <v/>
      </c>
      <c r="AL112" t="str">
        <f>IF(CAPTURA!BQ112="","",IF(AND(ISNUMBER(CAPTURA!BQ112),CAPTURA!BQ112&gt;=0,CAPTURA!BQ112&lt;=4),CAPTURA!BQ112*25,"⚠"))</f>
        <v/>
      </c>
      <c r="AM112" t="str">
        <f>IF(CAPTURA!BR112="","",IFERROR(IF(INDEX(CODIFICACION!$E$2:$E$500,MATCH("D5.18b|"&amp;CAPTURA!BR112,CODIFICACION!$F$2:$F$500,0))="sin dato","",INDEX(CODIFICACION!$E$2:$E$500,MATCH("D5.18b|"&amp;CAPTURA!BR112,CODIFICACION!$F$2:$F$500,0))),"⚠"))</f>
        <v/>
      </c>
      <c r="AN112" t="str">
        <f>IF(CAPTURA!BS112="","",IFERROR(IF(INDEX(CODIFICACION!$E$2:$E$500,MATCH("D5.19|"&amp;CAPTURA!BS112,CODIFICACION!$F$2:$F$500,0))="sin dato","",INDEX(CODIFICACION!$E$2:$E$500,MATCH("D5.19|"&amp;CAPTURA!BS112,CODIFICACION!$F$2:$F$500,0))),"⚠"))</f>
        <v/>
      </c>
      <c r="AO112" t="str">
        <f>IF(CAPTURA!BT112="","",MIN(100,ROUND((LEN(CAPTURA!BT112)-LEN(SUBSTITUTE(CAPTURA!BT112,";",""))+1)/7*100,1)))</f>
        <v/>
      </c>
      <c r="AP112" t="str">
        <f>IF(CAPTURA!BU112="","",IFERROR(IF(INDEX(CODIFICACION!$E$2:$E$500,MATCH("D5.20|"&amp;CAPTURA!BU112,CODIFICACION!$F$2:$F$500,0))="sin dato","",INDEX(CODIFICACION!$E$2:$E$500,MATCH("D5.20|"&amp;CAPTURA!BU112,CODIFICACION!$F$2:$F$500,0))),"⚠"))</f>
        <v/>
      </c>
      <c r="AQ112" t="str">
        <f>IF(CAPTURA!BV112="","",IFERROR(IF(INDEX(CODIFICACION!$E$2:$E$500,MATCH("D5.21|"&amp;CAPTURA!BV112,CODIFICACION!$F$2:$F$500,0))="sin dato","",INDEX(CODIFICACION!$E$2:$E$500,MATCH("D5.21|"&amp;CAPTURA!BV112,CODIFICACION!$F$2:$F$500,0))),"⚠"))</f>
        <v/>
      </c>
      <c r="AR112" t="str">
        <f>IF(CAPTURA!BW112="","",IFERROR(IF(INDEX(CODIFICACION!$E$2:$E$500,MATCH("D5.21a|"&amp;CAPTURA!BW112,CODIFICACION!$F$2:$F$500,0))="sin dato","",INDEX(CODIFICACION!$E$2:$E$500,MATCH("D5.21a|"&amp;CAPTURA!BW112,CODIFICACION!$F$2:$F$500,0))),"⚠"))</f>
        <v/>
      </c>
      <c r="AS112" t="str">
        <f>IF(CAPTURA!BX112="","",IFERROR(IF(INDEX(CODIFICACION!$E$2:$E$500,MATCH("D5.21b|"&amp;CAPTURA!BX112,CODIFICACION!$F$2:$F$500,0))="sin dato","",INDEX(CODIFICACION!$E$2:$E$500,MATCH("D5.21b|"&amp;CAPTURA!BX112,CODIFICACION!$F$2:$F$500,0))),"⚠"))</f>
        <v/>
      </c>
      <c r="AT112" t="str">
        <f>IF(CAPTURA!BY112="","",IFERROR(IF(INDEX(CODIFICACION!$E$2:$E$500,MATCH("D6.22|"&amp;CAPTURA!BY112,CODIFICACION!$F$2:$F$500,0))="sin dato","",INDEX(CODIFICACION!$E$2:$E$500,MATCH("D6.22|"&amp;CAPTURA!BY112,CODIFICACION!$F$2:$F$500,0))),"⚠"))</f>
        <v/>
      </c>
      <c r="AU112" t="str">
        <f>IF(CAPTURA!BZ112="","",IFERROR(IF(INDEX(CODIFICACION!$E$2:$E$500,MATCH("D6.22a|"&amp;CAPTURA!BZ112,CODIFICACION!$F$2:$F$500,0))="sin dato","",INDEX(CODIFICACION!$E$2:$E$500,MATCH("D6.22a|"&amp;CAPTURA!BZ112,CODIFICACION!$F$2:$F$500,0))),"⚠"))</f>
        <v/>
      </c>
      <c r="AV112" t="str">
        <f>IF(CAPTURA!CA112="","",IFERROR(IF(INDEX(CODIFICACION!$E$2:$E$500,MATCH("D6.22b|"&amp;CAPTURA!CA112,CODIFICACION!$F$2:$F$500,0))="sin dato","",INDEX(CODIFICACION!$E$2:$E$500,MATCH("D6.22b|"&amp;CAPTURA!CA112,CODIFICACION!$F$2:$F$500,0))),"⚠"))</f>
        <v/>
      </c>
      <c r="AW112" t="str">
        <f>IF(CAPTURA!CB112="","",IFERROR(IF(INDEX(CODIFICACION!$E$2:$E$500,MATCH("D6.23|"&amp;CAPTURA!CB112,CODIFICACION!$F$2:$F$500,0))="sin dato","",INDEX(CODIFICACION!$E$2:$E$500,MATCH("D6.23|"&amp;CAPTURA!CB112,CODIFICACION!$F$2:$F$500,0))),"⚠"))</f>
        <v/>
      </c>
      <c r="AX112" t="str">
        <f>IF(CAPTURA!CC112="","",IFERROR(IF(INDEX(CODIFICACION!$E$2:$E$500,MATCH("D6.24|"&amp;CAPTURA!CC112,CODIFICACION!$F$2:$F$500,0))="sin dato","",INDEX(CODIFICACION!$E$2:$E$500,MATCH("D6.24|"&amp;CAPTURA!CC112,CODIFICACION!$F$2:$F$500,0))),"⚠"))</f>
        <v/>
      </c>
      <c r="AY112" t="str">
        <f>IF(CAPTURA!CD112="","",IFERROR(IF(INDEX(CODIFICACION!$E$2:$E$500,MATCH("D6.25|"&amp;CAPTURA!CD112,CODIFICACION!$F$2:$F$500,0))="sin dato","",INDEX(CODIFICACION!$E$2:$E$500,MATCH("D6.25|"&amp;CAPTURA!CD112,CODIFICACION!$F$2:$F$500,0))),"⚠"))</f>
        <v/>
      </c>
      <c r="AZ112" t="str">
        <f>IF(CAPTURA!CE112="","",IFERROR(IF(INDEX(CODIFICACION!$E$2:$E$500,MATCH("D6.25a|"&amp;CAPTURA!CE112,CODIFICACION!$F$2:$F$500,0))="sin dato","",INDEX(CODIFICACION!$E$2:$E$500,MATCH("D6.25a|"&amp;CAPTURA!CE112,CODIFICACION!$F$2:$F$500,0))),"⚠"))</f>
        <v/>
      </c>
      <c r="BA112" t="str">
        <f>IF(CAPTURA!CF112="","",IFERROR(IF(INDEX(CODIFICACION!$E$2:$E$500,MATCH("D6.25b|"&amp;CAPTURA!CF112,CODIFICACION!$F$2:$F$500,0))="sin dato","",INDEX(CODIFICACION!$E$2:$E$500,MATCH("D6.25b|"&amp;CAPTURA!CF112,CODIFICACION!$F$2:$F$500,0))),"⚠"))</f>
        <v/>
      </c>
      <c r="BB112" t="str">
        <f>IF(CAPTURA!CG112="","",IFERROR(IF(INDEX(CODIFICACION!$E$2:$E$500,MATCH("D6.22c|"&amp;CAPTURA!CG112,CODIFICACION!$F$2:$F$500,0))="sin dato","",INDEX(CODIFICACION!$E$2:$E$500,MATCH("D6.22c|"&amp;CAPTURA!CG112,CODIFICACION!$F$2:$F$500,0))),"⚠"))</f>
        <v/>
      </c>
      <c r="BC112" t="str">
        <f>IF(CAPTURA!CH112="","",IFERROR(IF(INDEX(CODIFICACION!$E$2:$E$500,MATCH("D7.26|"&amp;CAPTURA!CH112,CODIFICACION!$F$2:$F$500,0))="sin dato","",INDEX(CODIFICACION!$E$2:$E$500,MATCH("D7.26|"&amp;CAPTURA!CH112,CODIFICACION!$F$2:$F$500,0))),"⚠"))</f>
        <v/>
      </c>
      <c r="BD112" t="str">
        <f>IF(CAPTURA!CI112="","",IFERROR(IF(INDEX(CODIFICACION!$E$2:$E$500,MATCH("D7.27|"&amp;CAPTURA!CI112,CODIFICACION!$F$2:$F$500,0))="sin dato","",INDEX(CODIFICACION!$E$2:$E$500,MATCH("D7.27|"&amp;CAPTURA!CI112,CODIFICACION!$F$2:$F$500,0))),"⚠"))</f>
        <v/>
      </c>
      <c r="BE112" t="str">
        <f>IF(CAPTURA!CJ112="","",IFERROR(IF(INDEX(CODIFICACION!$E$2:$E$500,MATCH("D7.28|"&amp;CAPTURA!CJ112,CODIFICACION!$F$2:$F$500,0))="sin dato","",INDEX(CODIFICACION!$E$2:$E$500,MATCH("D7.28|"&amp;CAPTURA!CJ112,CODIFICACION!$F$2:$F$500,0))),"⚠"))</f>
        <v/>
      </c>
      <c r="BF112" t="str">
        <f>IF(CAPTURA!CK112="","",IFERROR(IF(INDEX(CODIFICACION!$E$2:$E$500,MATCH("D7.28b|"&amp;CAPTURA!CK112,CODIFICACION!$F$2:$F$500,0))="sin dato","",INDEX(CODIFICACION!$E$2:$E$500,MATCH("D7.28b|"&amp;CAPTURA!CK112,CODIFICACION!$F$2:$F$500,0))),"⚠"))</f>
        <v/>
      </c>
      <c r="BG112" t="str">
        <f>IF(CAPTURA!CL112="","",MIN(100,ROUND((LEN(CAPTURA!CL112)-LEN(SUBSTITUTE(CAPTURA!CL112,";",""))+1)/8*100,1)))</f>
        <v/>
      </c>
      <c r="BH112" t="str">
        <f>IF(CAPTURA!CM112="","",IFERROR(IF(INDEX(CODIFICACION!$E$2:$E$500,MATCH("D7.26a|"&amp;CAPTURA!CM112,CODIFICACION!$F$2:$F$500,0))="sin dato","",INDEX(CODIFICACION!$E$2:$E$500,MATCH("D7.26a|"&amp;CAPTURA!CM112,CODIFICACION!$F$2:$F$500,0))),"⚠"))</f>
        <v/>
      </c>
      <c r="BI112" t="str">
        <f>IF(CAPTURA!CN112="","",IFERROR(IF(INDEX(CODIFICACION!$E$2:$E$500,MATCH("D7.26b|"&amp;CAPTURA!CN112,CODIFICACION!$F$2:$F$500,0))="sin dato","",INDEX(CODIFICACION!$E$2:$E$500,MATCH("D7.26b|"&amp;CAPTURA!CN112,CODIFICACION!$F$2:$F$500,0))),"⚠"))</f>
        <v/>
      </c>
      <c r="BJ112" t="str">
        <f>IF(CAPTURA!CO112="","",IF(AND(ISNUMBER(CAPTURA!CO112),CAPTURA!CO112&gt;=0,CAPTURA!CO112&lt;=4),CAPTURA!CO112*25,"⚠"))</f>
        <v/>
      </c>
      <c r="BK112" t="str">
        <f>IF(CAPTURA!CP112="","",IF(ISNUMBER(CAPTURA!CP112),MAX(0,MIN(100,CAPTURA!CP112)),"⚠"))</f>
        <v/>
      </c>
      <c r="BL112" t="str">
        <f>IF(CAPTURA!CQ112="","",IFERROR(IF(INDEX(CODIFICACION!$E$2:$E$500,MATCH("D8.31|"&amp;CAPTURA!CQ112,CODIFICACION!$F$2:$F$500,0))="sin dato","",INDEX(CODIFICACION!$E$2:$E$500,MATCH("D8.31|"&amp;CAPTURA!CQ112,CODIFICACION!$F$2:$F$500,0))),"⚠"))</f>
        <v/>
      </c>
      <c r="BM112" t="str">
        <f>IF(CAPTURA!CR112="","",IFERROR(IF(INDEX(CODIFICACION!$E$2:$E$500,MATCH("D8.32|"&amp;CAPTURA!CR112,CODIFICACION!$F$2:$F$500,0))="sin dato","",INDEX(CODIFICACION!$E$2:$E$500,MATCH("D8.32|"&amp;CAPTURA!CR112,CODIFICACION!$F$2:$F$500,0))),"⚠"))</f>
        <v/>
      </c>
      <c r="BN112" t="str">
        <f>IF(CAPTURA!CS112="","",IFERROR(IF(INDEX(CODIFICACION!$E$2:$E$500,MATCH("D9.33|"&amp;CAPTURA!CS112,CODIFICACION!$F$2:$F$500,0))="sin dato","",INDEX(CODIFICACION!$E$2:$E$500,MATCH("D9.33|"&amp;CAPTURA!CS112,CODIFICACION!$F$2:$F$500,0))),"⚠"))</f>
        <v/>
      </c>
      <c r="BO112" t="str">
        <f>IF(CAPTURA!CT112="","",IFERROR(IF(INDEX(CODIFICACION!$E$2:$E$500,MATCH("D9.34|"&amp;CAPTURA!CT112,CODIFICACION!$F$2:$F$500,0))="sin dato","",INDEX(CODIFICACION!$E$2:$E$500,MATCH("D9.34|"&amp;CAPTURA!CT112,CODIFICACION!$F$2:$F$500,0))),"⚠"))</f>
        <v/>
      </c>
      <c r="BP112" t="str">
        <f>IF(CAPTURA!CU112="","",IFERROR(IF(INDEX(CODIFICACION!$E$2:$E$500,MATCH("D9.35|"&amp;CAPTURA!CU112,CODIFICACION!$F$2:$F$500,0))="sin dato","",INDEX(CODIFICACION!$E$2:$E$500,MATCH("D9.35|"&amp;CAPTURA!CU112,CODIFICACION!$F$2:$F$500,0))),"⚠"))</f>
        <v/>
      </c>
      <c r="BQ112" t="str">
        <f>IF(CAPTURA!CV112="","",IFERROR(IF(INDEX(CODIFICACION!$E$2:$E$500,MATCH("D10.36|"&amp;CAPTURA!CV112,CODIFICACION!$F$2:$F$500,0))="sin dato","",INDEX(CODIFICACION!$E$2:$E$500,MATCH("D10.36|"&amp;CAPTURA!CV112,CODIFICACION!$F$2:$F$500,0))),"⚠"))</f>
        <v/>
      </c>
      <c r="BR112" t="str">
        <f>IF(CAPTURA!CW112="","",IFERROR(IF(INDEX(CODIFICACION!$E$2:$E$500,MATCH("D10.37|"&amp;CAPTURA!CW112,CODIFICACION!$F$2:$F$500,0))="sin dato","",INDEX(CODIFICACION!$E$2:$E$500,MATCH("D10.37|"&amp;CAPTURA!CW112,CODIFICACION!$F$2:$F$500,0))),"⚠"))</f>
        <v/>
      </c>
      <c r="BS112" t="str">
        <f>IF(CAPTURA!CX112="","",IFERROR(IF(INDEX(CODIFICACION!$E$2:$E$500,MATCH("D10.36a|"&amp;CAPTURA!CX112,CODIFICACION!$F$2:$F$500,0))="sin dato","",INDEX(CODIFICACION!$E$2:$E$500,MATCH("D10.36a|"&amp;CAPTURA!CX112,CODIFICACION!$F$2:$F$500,0))),"⚠"))</f>
        <v/>
      </c>
      <c r="BT112" t="str">
        <f>IF(CAPTURA!CY112="","",IF(ISNUMBER(SEARCH("Ninguno",CAPTURA!CY112)),0,MIN(100,ROUND((LEN(CAPTURA!CY112)-LEN(SUBSTITUTE(CAPTURA!CY112,";",""))+1)/6*100,1))))</f>
        <v/>
      </c>
      <c r="BU112" t="str">
        <f>IF(CAPTURA!DA112="","",IFERROR(IF(INDEX(CODIFICACION!$E$2:$E$500,MATCH("D11.39a|"&amp;CAPTURA!DA112,CODIFICACION!$F$2:$F$500,0))="sin dato","",INDEX(CODIFICACION!$E$2:$E$500,MATCH("D11.39a|"&amp;CAPTURA!DA112,CODIFICACION!$F$2:$F$500,0))),"⚠"))</f>
        <v/>
      </c>
      <c r="BV112" t="str">
        <f>IF(CAPTURA!DB112="","",IFERROR(IF(INDEX(CODIFICACION!$E$2:$E$500,MATCH("D12.42|"&amp;CAPTURA!DB112,CODIFICACION!$F$2:$F$500,0))="sin dato","",INDEX(CODIFICACION!$E$2:$E$500,MATCH("D12.42|"&amp;CAPTURA!DB112,CODIFICACION!$F$2:$F$500,0))),"⚠"))</f>
        <v/>
      </c>
      <c r="BW112" t="str">
        <f>IF(CAPTURA!DC112="","",IFERROR(IF(INDEX(CODIFICACION!$E$2:$E$500,MATCH("D13.45|"&amp;CAPTURA!DC112,CODIFICACION!$F$2:$F$500,0))="sin dato","",INDEX(CODIFICACION!$E$2:$E$500,MATCH("D13.45|"&amp;CAPTURA!DC112,CODIFICACION!$F$2:$F$500,0))),"⚠"))</f>
        <v/>
      </c>
      <c r="BX112" t="str">
        <f>IF(CAPTURA!DD112="","",IFERROR(IF(INDEX(CODIFICACION!$E$2:$E$500,MATCH("D14.51|"&amp;CAPTURA!DD112,CODIFICACION!$F$2:$F$500,0))="sin dato","",INDEX(CODIFICACION!$E$2:$E$500,MATCH("D14.51|"&amp;CAPTURA!DD112,CODIFICACION!$F$2:$F$500,0))),"⚠"))</f>
        <v/>
      </c>
      <c r="BY112" t="str">
        <f>IF(CAPTURA!DE112="","",IFERROR(IF(INDEX(CODIFICACION!$E$2:$E$500,MATCH("D15.58|"&amp;CAPTURA!DE112,CODIFICACION!$F$2:$F$500,0))="sin dato","",INDEX(CODIFICACION!$E$2:$E$500,MATCH("D15.58|"&amp;CAPTURA!DE112,CODIFICACION!$F$2:$F$500,0))),"⚠"))</f>
        <v/>
      </c>
      <c r="BZ112" t="str">
        <f>IF(CAPTURA!DF112="","",IFERROR(IF(INDEX(CODIFICACION!$E$2:$E$500,MATCH("PP1|"&amp;CAPTURA!DF112,CODIFICACION!$F$2:$F$500,0))="sin dato","",INDEX(CODIFICACION!$E$2:$E$500,MATCH("PP1|"&amp;CAPTURA!DF112,CODIFICACION!$F$2:$F$500,0))),"⚠"))</f>
        <v/>
      </c>
      <c r="CA112" t="str">
        <f>IF(CAPTURA!DG112="","",IFERROR(IF(INDEX(CODIFICACION!$E$2:$E$500,MATCH("PP2|"&amp;CAPTURA!DG112,CODIFICACION!$F$2:$F$500,0))="sin dato","",INDEX(CODIFICACION!$E$2:$E$500,MATCH("PP2|"&amp;CAPTURA!DG112,CODIFICACION!$F$2:$F$500,0))),"⚠"))</f>
        <v/>
      </c>
      <c r="CB112" t="str">
        <f t="shared" si="33"/>
        <v/>
      </c>
      <c r="CC112" t="str">
        <f t="shared" si="34"/>
        <v/>
      </c>
      <c r="CD112" t="str">
        <f t="shared" si="35"/>
        <v/>
      </c>
      <c r="CE112" t="str">
        <f t="shared" si="36"/>
        <v/>
      </c>
      <c r="CF112" t="str">
        <f t="shared" si="37"/>
        <v/>
      </c>
      <c r="CG112" t="str">
        <f t="shared" si="38"/>
        <v/>
      </c>
      <c r="CH112" t="str">
        <f t="shared" si="39"/>
        <v/>
      </c>
      <c r="CI112" t="str">
        <f t="shared" si="40"/>
        <v/>
      </c>
      <c r="CJ112" t="str">
        <f t="shared" si="41"/>
        <v/>
      </c>
      <c r="CK112" t="str">
        <f t="shared" si="42"/>
        <v/>
      </c>
      <c r="CL112" t="str">
        <f t="shared" si="43"/>
        <v/>
      </c>
    </row>
    <row r="113" spans="1:90" x14ac:dyDescent="0.3">
      <c r="A113">
        <f>CAPTURA!A113</f>
        <v>20600785541</v>
      </c>
      <c r="B113">
        <f>CAPTURA!C113</f>
        <v>0</v>
      </c>
      <c r="C113" t="str">
        <f>IF(CAPTURA!M113="","",ROUND((ISNUMBER(SEARCH("Alemania",CAPTURA!M113))+ISNUMBER(SEARCH("Bélgica",CAPTURA!M113))+ISNUMBER(SEARCH("Países Bajos",CAPTURA!M113))+ISNUMBER(SEARCH("Francia",CAPTURA!M113))+ISNUMBER(SEARCH("Italia",CAPTURA!M113))+ISNUMBER(SEARCH("España",CAPTURA!M113))+ISNUMBER(SEARCH("Suecia",CAPTURA!M113))+ISNUMBER(SEARCH("Dinamarca",CAPTURA!M113)))/((LEN(CAPTURA!M113)-LEN(SUBSTITUTE(CAPTURA!M113,";","")))+1)*100,1))</f>
        <v/>
      </c>
      <c r="D113" t="str">
        <f>IF(CAPTURA!AE113="","",IFERROR(IF(INDEX(CODIFICACION!$E$2:$E$500,MATCH("P8|"&amp;CAPTURA!AE113,CODIFICACION!$F$2:$F$500,0))="sin dato","",INDEX(CODIFICACION!$E$2:$E$500,MATCH("P8|"&amp;CAPTURA!AE113,CODIFICACION!$F$2:$F$500,0))),"⚠"))</f>
        <v/>
      </c>
      <c r="E113" t="str">
        <f>IF(CAPTURA!AG113="","",IFERROR(IF(INDEX(CODIFICACION!$E$2:$E$500,MATCH("P10|"&amp;CAPTURA!AG113,CODIFICACION!$F$2:$F$500,0))="sin dato","",INDEX(CODIFICACION!$E$2:$E$500,MATCH("P10|"&amp;CAPTURA!AG113,CODIFICACION!$F$2:$F$500,0))),"⚠"))</f>
        <v/>
      </c>
      <c r="F113" t="str">
        <f>IF(CAPTURA!AJ113="","",IFERROR(IF(INDEX(CODIFICACION!$E$2:$E$500,MATCH("P13|"&amp;CAPTURA!AJ113,CODIFICACION!$F$2:$F$500,0))="sin dato","",INDEX(CODIFICACION!$E$2:$E$500,MATCH("P13|"&amp;CAPTURA!AJ113,CODIFICACION!$F$2:$F$500,0))),"⚠"))</f>
        <v/>
      </c>
      <c r="G113" t="str">
        <f>IF(CAPTURA!AK113="","",IFERROR(IF(INDEX(CODIFICACION!$E$2:$E$500,MATCH("P14|"&amp;CAPTURA!AK113,CODIFICACION!$F$2:$F$500,0))="sin dato","",INDEX(CODIFICACION!$E$2:$E$500,MATCH("P14|"&amp;CAPTURA!AK113,CODIFICACION!$F$2:$F$500,0))),"⚠"))</f>
        <v/>
      </c>
      <c r="H113" t="str">
        <f>IF(CAPTURA!AL113="","",IFERROR(IF(INDEX(CODIFICACION!$E$2:$E$500,MATCH("D1.1|"&amp;CAPTURA!AL113,CODIFICACION!$F$2:$F$500,0))="sin dato","",INDEX(CODIFICACION!$E$2:$E$500,MATCH("D1.1|"&amp;CAPTURA!AL113,CODIFICACION!$F$2:$F$500,0))),"⚠"))</f>
        <v/>
      </c>
      <c r="I113" t="str">
        <f>IF(CAPTURA!AN113="","",IFERROR(IF(INDEX(CODIFICACION!$E$2:$E$500,MATCH("D1.3|"&amp;CAPTURA!AN113,CODIFICACION!$F$2:$F$500,0))="sin dato","",INDEX(CODIFICACION!$E$2:$E$500,MATCH("D1.3|"&amp;CAPTURA!AN113,CODIFICACION!$F$2:$F$500,0))),"⚠"))</f>
        <v/>
      </c>
      <c r="J113" t="str">
        <f>IF(CAPTURA!AO113="","",IFERROR(IF(INDEX(CODIFICACION!$E$2:$E$500,MATCH("D1.4|"&amp;CAPTURA!AO113,CODIFICACION!$F$2:$F$500,0))="sin dato","",INDEX(CODIFICACION!$E$2:$E$500,MATCH("D1.4|"&amp;CAPTURA!AO113,CODIFICACION!$F$2:$F$500,0))),"⚠"))</f>
        <v/>
      </c>
      <c r="K113" t="str">
        <f>IF(CAPTURA!AP113="","",IFERROR(IF(INDEX(CODIFICACION!$E$2:$E$500,MATCH("D1.3a|"&amp;CAPTURA!AP113,CODIFICACION!$F$2:$F$500,0))="sin dato","",INDEX(CODIFICACION!$E$2:$E$500,MATCH("D1.3a|"&amp;CAPTURA!AP113,CODIFICACION!$F$2:$F$500,0))),"⚠"))</f>
        <v/>
      </c>
      <c r="L113" t="str">
        <f>IF(CAPTURA!AQ113="","",IF(AND(ISNUMBER(CAPTURA!AQ113),CAPTURA!AQ113&gt;=0,CAPTURA!AQ113&lt;=4),CAPTURA!AQ113*25,"⚠"))</f>
        <v/>
      </c>
      <c r="M113" t="str">
        <f>IF(CAPTURA!AR113="","",IF(ISNUMBER(CAPTURA!AR113),MAX(0,MIN(100,CAPTURA!AR113)),"⚠"))</f>
        <v/>
      </c>
      <c r="N113" t="str">
        <f>IF(CAPTURA!AS113="","",IF(AND(ISNUMBER(CAPTURA!AS113),CAPTURA!AS113&gt;=0,CAPTURA!AS113&lt;=4),CAPTURA!AS113*25,"⚠"))</f>
        <v/>
      </c>
      <c r="O113" t="str">
        <f>IF(CAPTURA!AT113="","",IFERROR(IF(INDEX(CODIFICACION!$E$2:$E$500,MATCH("D2.8|"&amp;CAPTURA!AT113,CODIFICACION!$F$2:$F$500,0))="sin dato","",INDEX(CODIFICACION!$E$2:$E$500,MATCH("D2.8|"&amp;CAPTURA!AT113,CODIFICACION!$F$2:$F$500,0))),"⚠"))</f>
        <v/>
      </c>
      <c r="P113" t="str">
        <f>IF(CAPTURA!AU113="","",IFERROR(IF(INDEX(CODIFICACION!$E$2:$E$500,MATCH("D2.9|"&amp;CAPTURA!AU113,CODIFICACION!$F$2:$F$500,0))="sin dato","",INDEX(CODIFICACION!$E$2:$E$500,MATCH("D2.9|"&amp;CAPTURA!AU113,CODIFICACION!$F$2:$F$500,0))),"⚠"))</f>
        <v/>
      </c>
      <c r="Q113" t="str">
        <f>IF(CAPTURA!AV113="","",IFERROR(IF(INDEX(CODIFICACION!$E$2:$E$500,MATCH("D2.10|"&amp;CAPTURA!AV113,CODIFICACION!$F$2:$F$500,0))="sin dato","",INDEX(CODIFICACION!$E$2:$E$500,MATCH("D2.10|"&amp;CAPTURA!AV113,CODIFICACION!$F$2:$F$500,0))),"⚠"))</f>
        <v/>
      </c>
      <c r="R113" t="str">
        <f>IF(CAPTURA!AW113="","",IFERROR(IF(INDEX(CODIFICACION!$E$2:$E$500,MATCH("D2.5a|"&amp;CAPTURA!AW113,CODIFICACION!$F$2:$F$500,0))="sin dato","",INDEX(CODIFICACION!$E$2:$E$500,MATCH("D2.5a|"&amp;CAPTURA!AW113,CODIFICACION!$F$2:$F$500,0))),"⚠"))</f>
        <v/>
      </c>
      <c r="S113" t="str">
        <f>IF(CAPTURA!AX113="","",IFERROR(IF(INDEX(CODIFICACION!$E$2:$E$500,MATCH("D2.5b|"&amp;CAPTURA!AX113,CODIFICACION!$F$2:$F$500,0))="sin dato","",INDEX(CODIFICACION!$E$2:$E$500,MATCH("D2.5b|"&amp;CAPTURA!AX113,CODIFICACION!$F$2:$F$500,0))),"⚠"))</f>
        <v/>
      </c>
      <c r="T113" t="str">
        <f>IF(CAPTURA!AY113="","",IF(ISNUMBER(CAPTURA!AY113),MAX(0,MIN(100,CAPTURA!AY113)),"⚠"))</f>
        <v/>
      </c>
      <c r="U113" t="str">
        <f>IF(CAPTURA!AZ113="","",IFERROR(IF(INDEX(CODIFICACION!$E$2:$E$500,MATCH("D3.12|"&amp;CAPTURA!AZ113,CODIFICACION!$F$2:$F$500,0))="sin dato","",INDEX(CODIFICACION!$E$2:$E$500,MATCH("D3.12|"&amp;CAPTURA!AZ113,CODIFICACION!$F$2:$F$500,0))),"⚠"))</f>
        <v/>
      </c>
      <c r="V113" t="str">
        <f>IF(CAPTURA!BA113="","",IF(AND(ISNUMBER(CAPTURA!BA113),CAPTURA!BA113&gt;=0,CAPTURA!BA113&lt;=4),CAPTURA!BA113*25,"⚠"))</f>
        <v/>
      </c>
      <c r="W113" t="str">
        <f>IF(CAPTURA!BB113="","",IFERROR(IF(INDEX(CODIFICACION!$E$2:$E$500,MATCH("D3.14|"&amp;CAPTURA!BB113,CODIFICACION!$F$2:$F$500,0))="sin dato","",INDEX(CODIFICACION!$E$2:$E$500,MATCH("D3.14|"&amp;CAPTURA!BB113,CODIFICACION!$F$2:$F$500,0))),"⚠"))</f>
        <v/>
      </c>
      <c r="X113" t="str">
        <f>IF(CAPTURA!BC113="","",IFERROR(IF(INDEX(CODIFICACION!$E$2:$E$500,MATCH("D3.14a|"&amp;CAPTURA!BC113,CODIFICACION!$F$2:$F$500,0))="sin dato","",INDEX(CODIFICACION!$E$2:$E$500,MATCH("D3.14a|"&amp;CAPTURA!BC113,CODIFICACION!$F$2:$F$500,0))),"⚠"))</f>
        <v/>
      </c>
      <c r="Y113" t="str">
        <f>IF(CAPTURA!BD113="","",IFERROR(IF(INDEX(CODIFICACION!$E$2:$E$500,MATCH("D3.14b|"&amp;CAPTURA!BD113,CODIFICACION!$F$2:$F$500,0))="sin dato","",INDEX(CODIFICACION!$E$2:$E$500,MATCH("D3.14b|"&amp;CAPTURA!BD113,CODIFICACION!$F$2:$F$500,0))),"⚠"))</f>
        <v/>
      </c>
      <c r="Z113" t="str">
        <f>IF(CAPTURA!BE113="","",IFERROR(IF(INDEX(CODIFICACION!$E$2:$E$500,MATCH("D3.14c|"&amp;CAPTURA!BE113,CODIFICACION!$F$2:$F$500,0))="sin dato","",INDEX(CODIFICACION!$E$2:$E$500,MATCH("D3.14c|"&amp;CAPTURA!BE113,CODIFICACION!$F$2:$F$500,0))),"⚠"))</f>
        <v/>
      </c>
      <c r="AA113" t="str">
        <f>IF(CAPTURA!BF113="","",IFERROR(IF(INDEX(CODIFICACION!$E$2:$E$500,MATCH("D3.14d|"&amp;CAPTURA!BF113,CODIFICACION!$F$2:$F$500,0))="sin dato","",INDEX(CODIFICACION!$E$2:$E$500,MATCH("D3.14d|"&amp;CAPTURA!BF113,CODIFICACION!$F$2:$F$500,0))),"⚠"))</f>
        <v/>
      </c>
      <c r="AB113" t="str">
        <f>IF(CAPTURA!BG113="","",IFERROR(IF(INDEX(CODIFICACION!$E$2:$E$500,MATCH("D3.14e|"&amp;CAPTURA!BG113,CODIFICACION!$F$2:$F$500,0))="sin dato","",INDEX(CODIFICACION!$E$2:$E$500,MATCH("D3.14e|"&amp;CAPTURA!BG113,CODIFICACION!$F$2:$F$500,0))),"⚠"))</f>
        <v/>
      </c>
      <c r="AC113" t="str">
        <f>IF(CAPTURA!BH113="","",IFERROR(IF(INDEX(CODIFICACION!$E$2:$E$500,MATCH("D3.14f|"&amp;CAPTURA!BH113,CODIFICACION!$F$2:$F$500,0))="sin dato","",INDEX(CODIFICACION!$E$2:$E$500,MATCH("D3.14f|"&amp;CAPTURA!BH113,CODIFICACION!$F$2:$F$500,0))),"⚠"))</f>
        <v/>
      </c>
      <c r="AD113" t="str">
        <f>IF(CAPTURA!BI113="","",IFERROR(IF(INDEX(CODIFICACION!$E$2:$E$500,MATCH("D3.14g|"&amp;CAPTURA!BI113,CODIFICACION!$F$2:$F$500,0))="sin dato","",INDEX(CODIFICACION!$E$2:$E$500,MATCH("D3.14g|"&amp;CAPTURA!BI113,CODIFICACION!$F$2:$F$500,0))),"⚠"))</f>
        <v/>
      </c>
      <c r="AE113" t="str">
        <f>IF(CAPTURA!BJ113="","",IFERROR(IF(INDEX(CODIFICACION!$E$2:$E$500,MATCH("D3.14h|"&amp;CAPTURA!BJ113,CODIFICACION!$F$2:$F$500,0))="sin dato","",INDEX(CODIFICACION!$E$2:$E$500,MATCH("D3.14h|"&amp;CAPTURA!BJ113,CODIFICACION!$F$2:$F$500,0))),"⚠"))</f>
        <v/>
      </c>
      <c r="AF113" t="str">
        <f>IF(CAPTURA!BK113="","",IFERROR(IF(INDEX(CODIFICACION!$E$2:$E$500,MATCH("D3.14i|"&amp;CAPTURA!BK113,CODIFICACION!$F$2:$F$500,0))="sin dato","",INDEX(CODIFICACION!$E$2:$E$500,MATCH("D3.14i|"&amp;CAPTURA!BK113,CODIFICACION!$F$2:$F$500,0))),"⚠"))</f>
        <v/>
      </c>
      <c r="AG113" t="str">
        <f>IF(CAPTURA!BL113="","",IFERROR(IF(INDEX(CODIFICACION!$E$2:$E$500,MATCH("D4.15|"&amp;CAPTURA!BL113,CODIFICACION!$F$2:$F$500,0))="sin dato","",INDEX(CODIFICACION!$E$2:$E$500,MATCH("D4.15|"&amp;CAPTURA!BL113,CODIFICACION!$F$2:$F$500,0))),"⚠"))</f>
        <v/>
      </c>
      <c r="AH113" t="str">
        <f>IF(CAPTURA!BM113="","",IF(AND(ISNUMBER(CAPTURA!BM113),CAPTURA!BM113&gt;=0,CAPTURA!BM113&lt;=4),CAPTURA!BM113*25,"⚠"))</f>
        <v/>
      </c>
      <c r="AI113" t="str">
        <f>IF(CAPTURA!BN113="","",IFERROR(IF(INDEX(CODIFICACION!$E$2:$E$500,MATCH("D4.17|"&amp;CAPTURA!BN113,CODIFICACION!$F$2:$F$500,0))="sin dato","",INDEX(CODIFICACION!$E$2:$E$500,MATCH("D4.17|"&amp;CAPTURA!BN113,CODIFICACION!$F$2:$F$500,0))),"⚠"))</f>
        <v/>
      </c>
      <c r="AJ113" t="str">
        <f>IF(CAPTURA!BO113="","",IFERROR(IF(INDEX(CODIFICACION!$E$2:$E$500,MATCH("D4.15a|"&amp;CAPTURA!BO113,CODIFICACION!$F$2:$F$500,0))="sin dato","",INDEX(CODIFICACION!$E$2:$E$500,MATCH("D4.15a|"&amp;CAPTURA!BO113,CODIFICACION!$F$2:$F$500,0))),"⚠"))</f>
        <v/>
      </c>
      <c r="AK113" t="str">
        <f>IF(CAPTURA!BP113="","",IF(AND(ISNUMBER(CAPTURA!BP113),CAPTURA!BP113&gt;=0,CAPTURA!BP113&lt;=4),CAPTURA!BP113*25,"⚠"))</f>
        <v/>
      </c>
      <c r="AL113" t="str">
        <f>IF(CAPTURA!BQ113="","",IF(AND(ISNUMBER(CAPTURA!BQ113),CAPTURA!BQ113&gt;=0,CAPTURA!BQ113&lt;=4),CAPTURA!BQ113*25,"⚠"))</f>
        <v/>
      </c>
      <c r="AM113" t="str">
        <f>IF(CAPTURA!BR113="","",IFERROR(IF(INDEX(CODIFICACION!$E$2:$E$500,MATCH("D5.18b|"&amp;CAPTURA!BR113,CODIFICACION!$F$2:$F$500,0))="sin dato","",INDEX(CODIFICACION!$E$2:$E$500,MATCH("D5.18b|"&amp;CAPTURA!BR113,CODIFICACION!$F$2:$F$500,0))),"⚠"))</f>
        <v/>
      </c>
      <c r="AN113" t="str">
        <f>IF(CAPTURA!BS113="","",IFERROR(IF(INDEX(CODIFICACION!$E$2:$E$500,MATCH("D5.19|"&amp;CAPTURA!BS113,CODIFICACION!$F$2:$F$500,0))="sin dato","",INDEX(CODIFICACION!$E$2:$E$500,MATCH("D5.19|"&amp;CAPTURA!BS113,CODIFICACION!$F$2:$F$500,0))),"⚠"))</f>
        <v/>
      </c>
      <c r="AO113" t="str">
        <f>IF(CAPTURA!BT113="","",MIN(100,ROUND((LEN(CAPTURA!BT113)-LEN(SUBSTITUTE(CAPTURA!BT113,";",""))+1)/7*100,1)))</f>
        <v/>
      </c>
      <c r="AP113" t="str">
        <f>IF(CAPTURA!BU113="","",IFERROR(IF(INDEX(CODIFICACION!$E$2:$E$500,MATCH("D5.20|"&amp;CAPTURA!BU113,CODIFICACION!$F$2:$F$500,0))="sin dato","",INDEX(CODIFICACION!$E$2:$E$500,MATCH("D5.20|"&amp;CAPTURA!BU113,CODIFICACION!$F$2:$F$500,0))),"⚠"))</f>
        <v/>
      </c>
      <c r="AQ113" t="str">
        <f>IF(CAPTURA!BV113="","",IFERROR(IF(INDEX(CODIFICACION!$E$2:$E$500,MATCH("D5.21|"&amp;CAPTURA!BV113,CODIFICACION!$F$2:$F$500,0))="sin dato","",INDEX(CODIFICACION!$E$2:$E$500,MATCH("D5.21|"&amp;CAPTURA!BV113,CODIFICACION!$F$2:$F$500,0))),"⚠"))</f>
        <v/>
      </c>
      <c r="AR113" t="str">
        <f>IF(CAPTURA!BW113="","",IFERROR(IF(INDEX(CODIFICACION!$E$2:$E$500,MATCH("D5.21a|"&amp;CAPTURA!BW113,CODIFICACION!$F$2:$F$500,0))="sin dato","",INDEX(CODIFICACION!$E$2:$E$500,MATCH("D5.21a|"&amp;CAPTURA!BW113,CODIFICACION!$F$2:$F$500,0))),"⚠"))</f>
        <v/>
      </c>
      <c r="AS113" t="str">
        <f>IF(CAPTURA!BX113="","",IFERROR(IF(INDEX(CODIFICACION!$E$2:$E$500,MATCH("D5.21b|"&amp;CAPTURA!BX113,CODIFICACION!$F$2:$F$500,0))="sin dato","",INDEX(CODIFICACION!$E$2:$E$500,MATCH("D5.21b|"&amp;CAPTURA!BX113,CODIFICACION!$F$2:$F$500,0))),"⚠"))</f>
        <v/>
      </c>
      <c r="AT113" t="str">
        <f>IF(CAPTURA!BY113="","",IFERROR(IF(INDEX(CODIFICACION!$E$2:$E$500,MATCH("D6.22|"&amp;CAPTURA!BY113,CODIFICACION!$F$2:$F$500,0))="sin dato","",INDEX(CODIFICACION!$E$2:$E$500,MATCH("D6.22|"&amp;CAPTURA!BY113,CODIFICACION!$F$2:$F$500,0))),"⚠"))</f>
        <v/>
      </c>
      <c r="AU113" t="str">
        <f>IF(CAPTURA!BZ113="","",IFERROR(IF(INDEX(CODIFICACION!$E$2:$E$500,MATCH("D6.22a|"&amp;CAPTURA!BZ113,CODIFICACION!$F$2:$F$500,0))="sin dato","",INDEX(CODIFICACION!$E$2:$E$500,MATCH("D6.22a|"&amp;CAPTURA!BZ113,CODIFICACION!$F$2:$F$500,0))),"⚠"))</f>
        <v/>
      </c>
      <c r="AV113" t="str">
        <f>IF(CAPTURA!CA113="","",IFERROR(IF(INDEX(CODIFICACION!$E$2:$E$500,MATCH("D6.22b|"&amp;CAPTURA!CA113,CODIFICACION!$F$2:$F$500,0))="sin dato","",INDEX(CODIFICACION!$E$2:$E$500,MATCH("D6.22b|"&amp;CAPTURA!CA113,CODIFICACION!$F$2:$F$500,0))),"⚠"))</f>
        <v/>
      </c>
      <c r="AW113" t="str">
        <f>IF(CAPTURA!CB113="","",IFERROR(IF(INDEX(CODIFICACION!$E$2:$E$500,MATCH("D6.23|"&amp;CAPTURA!CB113,CODIFICACION!$F$2:$F$500,0))="sin dato","",INDEX(CODIFICACION!$E$2:$E$500,MATCH("D6.23|"&amp;CAPTURA!CB113,CODIFICACION!$F$2:$F$500,0))),"⚠"))</f>
        <v/>
      </c>
      <c r="AX113" t="str">
        <f>IF(CAPTURA!CC113="","",IFERROR(IF(INDEX(CODIFICACION!$E$2:$E$500,MATCH("D6.24|"&amp;CAPTURA!CC113,CODIFICACION!$F$2:$F$500,0))="sin dato","",INDEX(CODIFICACION!$E$2:$E$500,MATCH("D6.24|"&amp;CAPTURA!CC113,CODIFICACION!$F$2:$F$500,0))),"⚠"))</f>
        <v/>
      </c>
      <c r="AY113" t="str">
        <f>IF(CAPTURA!CD113="","",IFERROR(IF(INDEX(CODIFICACION!$E$2:$E$500,MATCH("D6.25|"&amp;CAPTURA!CD113,CODIFICACION!$F$2:$F$500,0))="sin dato","",INDEX(CODIFICACION!$E$2:$E$500,MATCH("D6.25|"&amp;CAPTURA!CD113,CODIFICACION!$F$2:$F$500,0))),"⚠"))</f>
        <v/>
      </c>
      <c r="AZ113" t="str">
        <f>IF(CAPTURA!CE113="","",IFERROR(IF(INDEX(CODIFICACION!$E$2:$E$500,MATCH("D6.25a|"&amp;CAPTURA!CE113,CODIFICACION!$F$2:$F$500,0))="sin dato","",INDEX(CODIFICACION!$E$2:$E$500,MATCH("D6.25a|"&amp;CAPTURA!CE113,CODIFICACION!$F$2:$F$500,0))),"⚠"))</f>
        <v/>
      </c>
      <c r="BA113" t="str">
        <f>IF(CAPTURA!CF113="","",IFERROR(IF(INDEX(CODIFICACION!$E$2:$E$500,MATCH("D6.25b|"&amp;CAPTURA!CF113,CODIFICACION!$F$2:$F$500,0))="sin dato","",INDEX(CODIFICACION!$E$2:$E$500,MATCH("D6.25b|"&amp;CAPTURA!CF113,CODIFICACION!$F$2:$F$500,0))),"⚠"))</f>
        <v/>
      </c>
      <c r="BB113" t="str">
        <f>IF(CAPTURA!CG113="","",IFERROR(IF(INDEX(CODIFICACION!$E$2:$E$500,MATCH("D6.22c|"&amp;CAPTURA!CG113,CODIFICACION!$F$2:$F$500,0))="sin dato","",INDEX(CODIFICACION!$E$2:$E$500,MATCH("D6.22c|"&amp;CAPTURA!CG113,CODIFICACION!$F$2:$F$500,0))),"⚠"))</f>
        <v/>
      </c>
      <c r="BC113" t="str">
        <f>IF(CAPTURA!CH113="","",IFERROR(IF(INDEX(CODIFICACION!$E$2:$E$500,MATCH("D7.26|"&amp;CAPTURA!CH113,CODIFICACION!$F$2:$F$500,0))="sin dato","",INDEX(CODIFICACION!$E$2:$E$500,MATCH("D7.26|"&amp;CAPTURA!CH113,CODIFICACION!$F$2:$F$500,0))),"⚠"))</f>
        <v/>
      </c>
      <c r="BD113" t="str">
        <f>IF(CAPTURA!CI113="","",IFERROR(IF(INDEX(CODIFICACION!$E$2:$E$500,MATCH("D7.27|"&amp;CAPTURA!CI113,CODIFICACION!$F$2:$F$500,0))="sin dato","",INDEX(CODIFICACION!$E$2:$E$500,MATCH("D7.27|"&amp;CAPTURA!CI113,CODIFICACION!$F$2:$F$500,0))),"⚠"))</f>
        <v/>
      </c>
      <c r="BE113" t="str">
        <f>IF(CAPTURA!CJ113="","",IFERROR(IF(INDEX(CODIFICACION!$E$2:$E$500,MATCH("D7.28|"&amp;CAPTURA!CJ113,CODIFICACION!$F$2:$F$500,0))="sin dato","",INDEX(CODIFICACION!$E$2:$E$500,MATCH("D7.28|"&amp;CAPTURA!CJ113,CODIFICACION!$F$2:$F$500,0))),"⚠"))</f>
        <v/>
      </c>
      <c r="BF113" t="str">
        <f>IF(CAPTURA!CK113="","",IFERROR(IF(INDEX(CODIFICACION!$E$2:$E$500,MATCH("D7.28b|"&amp;CAPTURA!CK113,CODIFICACION!$F$2:$F$500,0))="sin dato","",INDEX(CODIFICACION!$E$2:$E$500,MATCH("D7.28b|"&amp;CAPTURA!CK113,CODIFICACION!$F$2:$F$500,0))),"⚠"))</f>
        <v/>
      </c>
      <c r="BG113" t="str">
        <f>IF(CAPTURA!CL113="","",MIN(100,ROUND((LEN(CAPTURA!CL113)-LEN(SUBSTITUTE(CAPTURA!CL113,";",""))+1)/8*100,1)))</f>
        <v/>
      </c>
      <c r="BH113" t="str">
        <f>IF(CAPTURA!CM113="","",IFERROR(IF(INDEX(CODIFICACION!$E$2:$E$500,MATCH("D7.26a|"&amp;CAPTURA!CM113,CODIFICACION!$F$2:$F$500,0))="sin dato","",INDEX(CODIFICACION!$E$2:$E$500,MATCH("D7.26a|"&amp;CAPTURA!CM113,CODIFICACION!$F$2:$F$500,0))),"⚠"))</f>
        <v/>
      </c>
      <c r="BI113" t="str">
        <f>IF(CAPTURA!CN113="","",IFERROR(IF(INDEX(CODIFICACION!$E$2:$E$500,MATCH("D7.26b|"&amp;CAPTURA!CN113,CODIFICACION!$F$2:$F$500,0))="sin dato","",INDEX(CODIFICACION!$E$2:$E$500,MATCH("D7.26b|"&amp;CAPTURA!CN113,CODIFICACION!$F$2:$F$500,0))),"⚠"))</f>
        <v/>
      </c>
      <c r="BJ113" t="str">
        <f>IF(CAPTURA!CO113="","",IF(AND(ISNUMBER(CAPTURA!CO113),CAPTURA!CO113&gt;=0,CAPTURA!CO113&lt;=4),CAPTURA!CO113*25,"⚠"))</f>
        <v/>
      </c>
      <c r="BK113" t="str">
        <f>IF(CAPTURA!CP113="","",IF(ISNUMBER(CAPTURA!CP113),MAX(0,MIN(100,CAPTURA!CP113)),"⚠"))</f>
        <v/>
      </c>
      <c r="BL113" t="str">
        <f>IF(CAPTURA!CQ113="","",IFERROR(IF(INDEX(CODIFICACION!$E$2:$E$500,MATCH("D8.31|"&amp;CAPTURA!CQ113,CODIFICACION!$F$2:$F$500,0))="sin dato","",INDEX(CODIFICACION!$E$2:$E$500,MATCH("D8.31|"&amp;CAPTURA!CQ113,CODIFICACION!$F$2:$F$500,0))),"⚠"))</f>
        <v/>
      </c>
      <c r="BM113" t="str">
        <f>IF(CAPTURA!CR113="","",IFERROR(IF(INDEX(CODIFICACION!$E$2:$E$500,MATCH("D8.32|"&amp;CAPTURA!CR113,CODIFICACION!$F$2:$F$500,0))="sin dato","",INDEX(CODIFICACION!$E$2:$E$500,MATCH("D8.32|"&amp;CAPTURA!CR113,CODIFICACION!$F$2:$F$500,0))),"⚠"))</f>
        <v/>
      </c>
      <c r="BN113" t="str">
        <f>IF(CAPTURA!CS113="","",IFERROR(IF(INDEX(CODIFICACION!$E$2:$E$500,MATCH("D9.33|"&amp;CAPTURA!CS113,CODIFICACION!$F$2:$F$500,0))="sin dato","",INDEX(CODIFICACION!$E$2:$E$500,MATCH("D9.33|"&amp;CAPTURA!CS113,CODIFICACION!$F$2:$F$500,0))),"⚠"))</f>
        <v/>
      </c>
      <c r="BO113" t="str">
        <f>IF(CAPTURA!CT113="","",IFERROR(IF(INDEX(CODIFICACION!$E$2:$E$500,MATCH("D9.34|"&amp;CAPTURA!CT113,CODIFICACION!$F$2:$F$500,0))="sin dato","",INDEX(CODIFICACION!$E$2:$E$500,MATCH("D9.34|"&amp;CAPTURA!CT113,CODIFICACION!$F$2:$F$500,0))),"⚠"))</f>
        <v/>
      </c>
      <c r="BP113" t="str">
        <f>IF(CAPTURA!CU113="","",IFERROR(IF(INDEX(CODIFICACION!$E$2:$E$500,MATCH("D9.35|"&amp;CAPTURA!CU113,CODIFICACION!$F$2:$F$500,0))="sin dato","",INDEX(CODIFICACION!$E$2:$E$500,MATCH("D9.35|"&amp;CAPTURA!CU113,CODIFICACION!$F$2:$F$500,0))),"⚠"))</f>
        <v/>
      </c>
      <c r="BQ113" t="str">
        <f>IF(CAPTURA!CV113="","",IFERROR(IF(INDEX(CODIFICACION!$E$2:$E$500,MATCH("D10.36|"&amp;CAPTURA!CV113,CODIFICACION!$F$2:$F$500,0))="sin dato","",INDEX(CODIFICACION!$E$2:$E$500,MATCH("D10.36|"&amp;CAPTURA!CV113,CODIFICACION!$F$2:$F$500,0))),"⚠"))</f>
        <v/>
      </c>
      <c r="BR113" t="str">
        <f>IF(CAPTURA!CW113="","",IFERROR(IF(INDEX(CODIFICACION!$E$2:$E$500,MATCH("D10.37|"&amp;CAPTURA!CW113,CODIFICACION!$F$2:$F$500,0))="sin dato","",INDEX(CODIFICACION!$E$2:$E$500,MATCH("D10.37|"&amp;CAPTURA!CW113,CODIFICACION!$F$2:$F$500,0))),"⚠"))</f>
        <v/>
      </c>
      <c r="BS113" t="str">
        <f>IF(CAPTURA!CX113="","",IFERROR(IF(INDEX(CODIFICACION!$E$2:$E$500,MATCH("D10.36a|"&amp;CAPTURA!CX113,CODIFICACION!$F$2:$F$500,0))="sin dato","",INDEX(CODIFICACION!$E$2:$E$500,MATCH("D10.36a|"&amp;CAPTURA!CX113,CODIFICACION!$F$2:$F$500,0))),"⚠"))</f>
        <v/>
      </c>
      <c r="BT113" t="str">
        <f>IF(CAPTURA!CY113="","",IF(ISNUMBER(SEARCH("Ninguno",CAPTURA!CY113)),0,MIN(100,ROUND((LEN(CAPTURA!CY113)-LEN(SUBSTITUTE(CAPTURA!CY113,";",""))+1)/6*100,1))))</f>
        <v/>
      </c>
      <c r="BU113" t="str">
        <f>IF(CAPTURA!DA113="","",IFERROR(IF(INDEX(CODIFICACION!$E$2:$E$500,MATCH("D11.39a|"&amp;CAPTURA!DA113,CODIFICACION!$F$2:$F$500,0))="sin dato","",INDEX(CODIFICACION!$E$2:$E$500,MATCH("D11.39a|"&amp;CAPTURA!DA113,CODIFICACION!$F$2:$F$500,0))),"⚠"))</f>
        <v/>
      </c>
      <c r="BV113" t="str">
        <f>IF(CAPTURA!DB113="","",IFERROR(IF(INDEX(CODIFICACION!$E$2:$E$500,MATCH("D12.42|"&amp;CAPTURA!DB113,CODIFICACION!$F$2:$F$500,0))="sin dato","",INDEX(CODIFICACION!$E$2:$E$500,MATCH("D12.42|"&amp;CAPTURA!DB113,CODIFICACION!$F$2:$F$500,0))),"⚠"))</f>
        <v/>
      </c>
      <c r="BW113" t="str">
        <f>IF(CAPTURA!DC113="","",IFERROR(IF(INDEX(CODIFICACION!$E$2:$E$500,MATCH("D13.45|"&amp;CAPTURA!DC113,CODIFICACION!$F$2:$F$500,0))="sin dato","",INDEX(CODIFICACION!$E$2:$E$500,MATCH("D13.45|"&amp;CAPTURA!DC113,CODIFICACION!$F$2:$F$500,0))),"⚠"))</f>
        <v/>
      </c>
      <c r="BX113" t="str">
        <f>IF(CAPTURA!DD113="","",IFERROR(IF(INDEX(CODIFICACION!$E$2:$E$500,MATCH("D14.51|"&amp;CAPTURA!DD113,CODIFICACION!$F$2:$F$500,0))="sin dato","",INDEX(CODIFICACION!$E$2:$E$500,MATCH("D14.51|"&amp;CAPTURA!DD113,CODIFICACION!$F$2:$F$500,0))),"⚠"))</f>
        <v/>
      </c>
      <c r="BY113" t="str">
        <f>IF(CAPTURA!DE113="","",IFERROR(IF(INDEX(CODIFICACION!$E$2:$E$500,MATCH("D15.58|"&amp;CAPTURA!DE113,CODIFICACION!$F$2:$F$500,0))="sin dato","",INDEX(CODIFICACION!$E$2:$E$500,MATCH("D15.58|"&amp;CAPTURA!DE113,CODIFICACION!$F$2:$F$500,0))),"⚠"))</f>
        <v/>
      </c>
      <c r="BZ113" t="str">
        <f>IF(CAPTURA!DF113="","",IFERROR(IF(INDEX(CODIFICACION!$E$2:$E$500,MATCH("PP1|"&amp;CAPTURA!DF113,CODIFICACION!$F$2:$F$500,0))="sin dato","",INDEX(CODIFICACION!$E$2:$E$500,MATCH("PP1|"&amp;CAPTURA!DF113,CODIFICACION!$F$2:$F$500,0))),"⚠"))</f>
        <v/>
      </c>
      <c r="CA113" t="str">
        <f>IF(CAPTURA!DG113="","",IFERROR(IF(INDEX(CODIFICACION!$E$2:$E$500,MATCH("PP2|"&amp;CAPTURA!DG113,CODIFICACION!$F$2:$F$500,0))="sin dato","",INDEX(CODIFICACION!$E$2:$E$500,MATCH("PP2|"&amp;CAPTURA!DG113,CODIFICACION!$F$2:$F$500,0))),"⚠"))</f>
        <v/>
      </c>
      <c r="CB113" t="str">
        <f t="shared" si="33"/>
        <v/>
      </c>
      <c r="CC113" t="str">
        <f t="shared" si="34"/>
        <v/>
      </c>
      <c r="CD113" t="str">
        <f t="shared" si="35"/>
        <v/>
      </c>
      <c r="CE113" t="str">
        <f t="shared" si="36"/>
        <v/>
      </c>
      <c r="CF113" t="str">
        <f t="shared" si="37"/>
        <v/>
      </c>
      <c r="CG113" t="str">
        <f t="shared" si="38"/>
        <v/>
      </c>
      <c r="CH113" t="str">
        <f t="shared" si="39"/>
        <v/>
      </c>
      <c r="CI113" t="str">
        <f t="shared" si="40"/>
        <v/>
      </c>
      <c r="CJ113" t="str">
        <f t="shared" si="41"/>
        <v/>
      </c>
      <c r="CK113" t="str">
        <f t="shared" si="42"/>
        <v/>
      </c>
      <c r="CL113" t="str">
        <f t="shared" si="43"/>
        <v/>
      </c>
    </row>
    <row r="114" spans="1:90" x14ac:dyDescent="0.3">
      <c r="A114">
        <f>CAPTURA!A114</f>
        <v>20600796683</v>
      </c>
      <c r="B114">
        <f>CAPTURA!C114</f>
        <v>0</v>
      </c>
      <c r="C114" t="str">
        <f>IF(CAPTURA!M114="","",ROUND((ISNUMBER(SEARCH("Alemania",CAPTURA!M114))+ISNUMBER(SEARCH("Bélgica",CAPTURA!M114))+ISNUMBER(SEARCH("Países Bajos",CAPTURA!M114))+ISNUMBER(SEARCH("Francia",CAPTURA!M114))+ISNUMBER(SEARCH("Italia",CAPTURA!M114))+ISNUMBER(SEARCH("España",CAPTURA!M114))+ISNUMBER(SEARCH("Suecia",CAPTURA!M114))+ISNUMBER(SEARCH("Dinamarca",CAPTURA!M114)))/((LEN(CAPTURA!M114)-LEN(SUBSTITUTE(CAPTURA!M114,";","")))+1)*100,1))</f>
        <v/>
      </c>
      <c r="D114" t="str">
        <f>IF(CAPTURA!AE114="","",IFERROR(IF(INDEX(CODIFICACION!$E$2:$E$500,MATCH("P8|"&amp;CAPTURA!AE114,CODIFICACION!$F$2:$F$500,0))="sin dato","",INDEX(CODIFICACION!$E$2:$E$500,MATCH("P8|"&amp;CAPTURA!AE114,CODIFICACION!$F$2:$F$500,0))),"⚠"))</f>
        <v/>
      </c>
      <c r="E114" t="str">
        <f>IF(CAPTURA!AG114="","",IFERROR(IF(INDEX(CODIFICACION!$E$2:$E$500,MATCH("P10|"&amp;CAPTURA!AG114,CODIFICACION!$F$2:$F$500,0))="sin dato","",INDEX(CODIFICACION!$E$2:$E$500,MATCH("P10|"&amp;CAPTURA!AG114,CODIFICACION!$F$2:$F$500,0))),"⚠"))</f>
        <v/>
      </c>
      <c r="F114" t="str">
        <f>IF(CAPTURA!AJ114="","",IFERROR(IF(INDEX(CODIFICACION!$E$2:$E$500,MATCH("P13|"&amp;CAPTURA!AJ114,CODIFICACION!$F$2:$F$500,0))="sin dato","",INDEX(CODIFICACION!$E$2:$E$500,MATCH("P13|"&amp;CAPTURA!AJ114,CODIFICACION!$F$2:$F$500,0))),"⚠"))</f>
        <v/>
      </c>
      <c r="G114" t="str">
        <f>IF(CAPTURA!AK114="","",IFERROR(IF(INDEX(CODIFICACION!$E$2:$E$500,MATCH("P14|"&amp;CAPTURA!AK114,CODIFICACION!$F$2:$F$500,0))="sin dato","",INDEX(CODIFICACION!$E$2:$E$500,MATCH("P14|"&amp;CAPTURA!AK114,CODIFICACION!$F$2:$F$500,0))),"⚠"))</f>
        <v/>
      </c>
      <c r="H114" t="str">
        <f>IF(CAPTURA!AL114="","",IFERROR(IF(INDEX(CODIFICACION!$E$2:$E$500,MATCH("D1.1|"&amp;CAPTURA!AL114,CODIFICACION!$F$2:$F$500,0))="sin dato","",INDEX(CODIFICACION!$E$2:$E$500,MATCH("D1.1|"&amp;CAPTURA!AL114,CODIFICACION!$F$2:$F$500,0))),"⚠"))</f>
        <v/>
      </c>
      <c r="I114" t="str">
        <f>IF(CAPTURA!AN114="","",IFERROR(IF(INDEX(CODIFICACION!$E$2:$E$500,MATCH("D1.3|"&amp;CAPTURA!AN114,CODIFICACION!$F$2:$F$500,0))="sin dato","",INDEX(CODIFICACION!$E$2:$E$500,MATCH("D1.3|"&amp;CAPTURA!AN114,CODIFICACION!$F$2:$F$500,0))),"⚠"))</f>
        <v/>
      </c>
      <c r="J114" t="str">
        <f>IF(CAPTURA!AO114="","",IFERROR(IF(INDEX(CODIFICACION!$E$2:$E$500,MATCH("D1.4|"&amp;CAPTURA!AO114,CODIFICACION!$F$2:$F$500,0))="sin dato","",INDEX(CODIFICACION!$E$2:$E$500,MATCH("D1.4|"&amp;CAPTURA!AO114,CODIFICACION!$F$2:$F$500,0))),"⚠"))</f>
        <v/>
      </c>
      <c r="K114" t="str">
        <f>IF(CAPTURA!AP114="","",IFERROR(IF(INDEX(CODIFICACION!$E$2:$E$500,MATCH("D1.3a|"&amp;CAPTURA!AP114,CODIFICACION!$F$2:$F$500,0))="sin dato","",INDEX(CODIFICACION!$E$2:$E$500,MATCH("D1.3a|"&amp;CAPTURA!AP114,CODIFICACION!$F$2:$F$500,0))),"⚠"))</f>
        <v/>
      </c>
      <c r="L114" t="str">
        <f>IF(CAPTURA!AQ114="","",IF(AND(ISNUMBER(CAPTURA!AQ114),CAPTURA!AQ114&gt;=0,CAPTURA!AQ114&lt;=4),CAPTURA!AQ114*25,"⚠"))</f>
        <v/>
      </c>
      <c r="M114" t="str">
        <f>IF(CAPTURA!AR114="","",IF(ISNUMBER(CAPTURA!AR114),MAX(0,MIN(100,CAPTURA!AR114)),"⚠"))</f>
        <v/>
      </c>
      <c r="N114" t="str">
        <f>IF(CAPTURA!AS114="","",IF(AND(ISNUMBER(CAPTURA!AS114),CAPTURA!AS114&gt;=0,CAPTURA!AS114&lt;=4),CAPTURA!AS114*25,"⚠"))</f>
        <v/>
      </c>
      <c r="O114" t="str">
        <f>IF(CAPTURA!AT114="","",IFERROR(IF(INDEX(CODIFICACION!$E$2:$E$500,MATCH("D2.8|"&amp;CAPTURA!AT114,CODIFICACION!$F$2:$F$500,0))="sin dato","",INDEX(CODIFICACION!$E$2:$E$500,MATCH("D2.8|"&amp;CAPTURA!AT114,CODIFICACION!$F$2:$F$500,0))),"⚠"))</f>
        <v/>
      </c>
      <c r="P114" t="str">
        <f>IF(CAPTURA!AU114="","",IFERROR(IF(INDEX(CODIFICACION!$E$2:$E$500,MATCH("D2.9|"&amp;CAPTURA!AU114,CODIFICACION!$F$2:$F$500,0))="sin dato","",INDEX(CODIFICACION!$E$2:$E$500,MATCH("D2.9|"&amp;CAPTURA!AU114,CODIFICACION!$F$2:$F$500,0))),"⚠"))</f>
        <v/>
      </c>
      <c r="Q114" t="str">
        <f>IF(CAPTURA!AV114="","",IFERROR(IF(INDEX(CODIFICACION!$E$2:$E$500,MATCH("D2.10|"&amp;CAPTURA!AV114,CODIFICACION!$F$2:$F$500,0))="sin dato","",INDEX(CODIFICACION!$E$2:$E$500,MATCH("D2.10|"&amp;CAPTURA!AV114,CODIFICACION!$F$2:$F$500,0))),"⚠"))</f>
        <v/>
      </c>
      <c r="R114" t="str">
        <f>IF(CAPTURA!AW114="","",IFERROR(IF(INDEX(CODIFICACION!$E$2:$E$500,MATCH("D2.5a|"&amp;CAPTURA!AW114,CODIFICACION!$F$2:$F$500,0))="sin dato","",INDEX(CODIFICACION!$E$2:$E$500,MATCH("D2.5a|"&amp;CAPTURA!AW114,CODIFICACION!$F$2:$F$500,0))),"⚠"))</f>
        <v/>
      </c>
      <c r="S114" t="str">
        <f>IF(CAPTURA!AX114="","",IFERROR(IF(INDEX(CODIFICACION!$E$2:$E$500,MATCH("D2.5b|"&amp;CAPTURA!AX114,CODIFICACION!$F$2:$F$500,0))="sin dato","",INDEX(CODIFICACION!$E$2:$E$500,MATCH("D2.5b|"&amp;CAPTURA!AX114,CODIFICACION!$F$2:$F$500,0))),"⚠"))</f>
        <v/>
      </c>
      <c r="T114" t="str">
        <f>IF(CAPTURA!AY114="","",IF(ISNUMBER(CAPTURA!AY114),MAX(0,MIN(100,CAPTURA!AY114)),"⚠"))</f>
        <v/>
      </c>
      <c r="U114" t="str">
        <f>IF(CAPTURA!AZ114="","",IFERROR(IF(INDEX(CODIFICACION!$E$2:$E$500,MATCH("D3.12|"&amp;CAPTURA!AZ114,CODIFICACION!$F$2:$F$500,0))="sin dato","",INDEX(CODIFICACION!$E$2:$E$500,MATCH("D3.12|"&amp;CAPTURA!AZ114,CODIFICACION!$F$2:$F$500,0))),"⚠"))</f>
        <v/>
      </c>
      <c r="V114" t="str">
        <f>IF(CAPTURA!BA114="","",IF(AND(ISNUMBER(CAPTURA!BA114),CAPTURA!BA114&gt;=0,CAPTURA!BA114&lt;=4),CAPTURA!BA114*25,"⚠"))</f>
        <v/>
      </c>
      <c r="W114" t="str">
        <f>IF(CAPTURA!BB114="","",IFERROR(IF(INDEX(CODIFICACION!$E$2:$E$500,MATCH("D3.14|"&amp;CAPTURA!BB114,CODIFICACION!$F$2:$F$500,0))="sin dato","",INDEX(CODIFICACION!$E$2:$E$500,MATCH("D3.14|"&amp;CAPTURA!BB114,CODIFICACION!$F$2:$F$500,0))),"⚠"))</f>
        <v/>
      </c>
      <c r="X114" t="str">
        <f>IF(CAPTURA!BC114="","",IFERROR(IF(INDEX(CODIFICACION!$E$2:$E$500,MATCH("D3.14a|"&amp;CAPTURA!BC114,CODIFICACION!$F$2:$F$500,0))="sin dato","",INDEX(CODIFICACION!$E$2:$E$500,MATCH("D3.14a|"&amp;CAPTURA!BC114,CODIFICACION!$F$2:$F$500,0))),"⚠"))</f>
        <v/>
      </c>
      <c r="Y114" t="str">
        <f>IF(CAPTURA!BD114="","",IFERROR(IF(INDEX(CODIFICACION!$E$2:$E$500,MATCH("D3.14b|"&amp;CAPTURA!BD114,CODIFICACION!$F$2:$F$500,0))="sin dato","",INDEX(CODIFICACION!$E$2:$E$500,MATCH("D3.14b|"&amp;CAPTURA!BD114,CODIFICACION!$F$2:$F$500,0))),"⚠"))</f>
        <v/>
      </c>
      <c r="Z114" t="str">
        <f>IF(CAPTURA!BE114="","",IFERROR(IF(INDEX(CODIFICACION!$E$2:$E$500,MATCH("D3.14c|"&amp;CAPTURA!BE114,CODIFICACION!$F$2:$F$500,0))="sin dato","",INDEX(CODIFICACION!$E$2:$E$500,MATCH("D3.14c|"&amp;CAPTURA!BE114,CODIFICACION!$F$2:$F$500,0))),"⚠"))</f>
        <v/>
      </c>
      <c r="AA114" t="str">
        <f>IF(CAPTURA!BF114="","",IFERROR(IF(INDEX(CODIFICACION!$E$2:$E$500,MATCH("D3.14d|"&amp;CAPTURA!BF114,CODIFICACION!$F$2:$F$500,0))="sin dato","",INDEX(CODIFICACION!$E$2:$E$500,MATCH("D3.14d|"&amp;CAPTURA!BF114,CODIFICACION!$F$2:$F$500,0))),"⚠"))</f>
        <v/>
      </c>
      <c r="AB114" t="str">
        <f>IF(CAPTURA!BG114="","",IFERROR(IF(INDEX(CODIFICACION!$E$2:$E$500,MATCH("D3.14e|"&amp;CAPTURA!BG114,CODIFICACION!$F$2:$F$500,0))="sin dato","",INDEX(CODIFICACION!$E$2:$E$500,MATCH("D3.14e|"&amp;CAPTURA!BG114,CODIFICACION!$F$2:$F$500,0))),"⚠"))</f>
        <v/>
      </c>
      <c r="AC114" t="str">
        <f>IF(CAPTURA!BH114="","",IFERROR(IF(INDEX(CODIFICACION!$E$2:$E$500,MATCH("D3.14f|"&amp;CAPTURA!BH114,CODIFICACION!$F$2:$F$500,0))="sin dato","",INDEX(CODIFICACION!$E$2:$E$500,MATCH("D3.14f|"&amp;CAPTURA!BH114,CODIFICACION!$F$2:$F$500,0))),"⚠"))</f>
        <v/>
      </c>
      <c r="AD114" t="str">
        <f>IF(CAPTURA!BI114="","",IFERROR(IF(INDEX(CODIFICACION!$E$2:$E$500,MATCH("D3.14g|"&amp;CAPTURA!BI114,CODIFICACION!$F$2:$F$500,0))="sin dato","",INDEX(CODIFICACION!$E$2:$E$500,MATCH("D3.14g|"&amp;CAPTURA!BI114,CODIFICACION!$F$2:$F$500,0))),"⚠"))</f>
        <v/>
      </c>
      <c r="AE114" t="str">
        <f>IF(CAPTURA!BJ114="","",IFERROR(IF(INDEX(CODIFICACION!$E$2:$E$500,MATCH("D3.14h|"&amp;CAPTURA!BJ114,CODIFICACION!$F$2:$F$500,0))="sin dato","",INDEX(CODIFICACION!$E$2:$E$500,MATCH("D3.14h|"&amp;CAPTURA!BJ114,CODIFICACION!$F$2:$F$500,0))),"⚠"))</f>
        <v/>
      </c>
      <c r="AF114" t="str">
        <f>IF(CAPTURA!BK114="","",IFERROR(IF(INDEX(CODIFICACION!$E$2:$E$500,MATCH("D3.14i|"&amp;CAPTURA!BK114,CODIFICACION!$F$2:$F$500,0))="sin dato","",INDEX(CODIFICACION!$E$2:$E$500,MATCH("D3.14i|"&amp;CAPTURA!BK114,CODIFICACION!$F$2:$F$500,0))),"⚠"))</f>
        <v/>
      </c>
      <c r="AG114" t="str">
        <f>IF(CAPTURA!BL114="","",IFERROR(IF(INDEX(CODIFICACION!$E$2:$E$500,MATCH("D4.15|"&amp;CAPTURA!BL114,CODIFICACION!$F$2:$F$500,0))="sin dato","",INDEX(CODIFICACION!$E$2:$E$500,MATCH("D4.15|"&amp;CAPTURA!BL114,CODIFICACION!$F$2:$F$500,0))),"⚠"))</f>
        <v/>
      </c>
      <c r="AH114" t="str">
        <f>IF(CAPTURA!BM114="","",IF(AND(ISNUMBER(CAPTURA!BM114),CAPTURA!BM114&gt;=0,CAPTURA!BM114&lt;=4),CAPTURA!BM114*25,"⚠"))</f>
        <v/>
      </c>
      <c r="AI114" t="str">
        <f>IF(CAPTURA!BN114="","",IFERROR(IF(INDEX(CODIFICACION!$E$2:$E$500,MATCH("D4.17|"&amp;CAPTURA!BN114,CODIFICACION!$F$2:$F$500,0))="sin dato","",INDEX(CODIFICACION!$E$2:$E$500,MATCH("D4.17|"&amp;CAPTURA!BN114,CODIFICACION!$F$2:$F$500,0))),"⚠"))</f>
        <v/>
      </c>
      <c r="AJ114" t="str">
        <f>IF(CAPTURA!BO114="","",IFERROR(IF(INDEX(CODIFICACION!$E$2:$E$500,MATCH("D4.15a|"&amp;CAPTURA!BO114,CODIFICACION!$F$2:$F$500,0))="sin dato","",INDEX(CODIFICACION!$E$2:$E$500,MATCH("D4.15a|"&amp;CAPTURA!BO114,CODIFICACION!$F$2:$F$500,0))),"⚠"))</f>
        <v/>
      </c>
      <c r="AK114" t="str">
        <f>IF(CAPTURA!BP114="","",IF(AND(ISNUMBER(CAPTURA!BP114),CAPTURA!BP114&gt;=0,CAPTURA!BP114&lt;=4),CAPTURA!BP114*25,"⚠"))</f>
        <v/>
      </c>
      <c r="AL114" t="str">
        <f>IF(CAPTURA!BQ114="","",IF(AND(ISNUMBER(CAPTURA!BQ114),CAPTURA!BQ114&gt;=0,CAPTURA!BQ114&lt;=4),CAPTURA!BQ114*25,"⚠"))</f>
        <v/>
      </c>
      <c r="AM114" t="str">
        <f>IF(CAPTURA!BR114="","",IFERROR(IF(INDEX(CODIFICACION!$E$2:$E$500,MATCH("D5.18b|"&amp;CAPTURA!BR114,CODIFICACION!$F$2:$F$500,0))="sin dato","",INDEX(CODIFICACION!$E$2:$E$500,MATCH("D5.18b|"&amp;CAPTURA!BR114,CODIFICACION!$F$2:$F$500,0))),"⚠"))</f>
        <v/>
      </c>
      <c r="AN114" t="str">
        <f>IF(CAPTURA!BS114="","",IFERROR(IF(INDEX(CODIFICACION!$E$2:$E$500,MATCH("D5.19|"&amp;CAPTURA!BS114,CODIFICACION!$F$2:$F$500,0))="sin dato","",INDEX(CODIFICACION!$E$2:$E$500,MATCH("D5.19|"&amp;CAPTURA!BS114,CODIFICACION!$F$2:$F$500,0))),"⚠"))</f>
        <v/>
      </c>
      <c r="AO114" t="str">
        <f>IF(CAPTURA!BT114="","",MIN(100,ROUND((LEN(CAPTURA!BT114)-LEN(SUBSTITUTE(CAPTURA!BT114,";",""))+1)/7*100,1)))</f>
        <v/>
      </c>
      <c r="AP114" t="str">
        <f>IF(CAPTURA!BU114="","",IFERROR(IF(INDEX(CODIFICACION!$E$2:$E$500,MATCH("D5.20|"&amp;CAPTURA!BU114,CODIFICACION!$F$2:$F$500,0))="sin dato","",INDEX(CODIFICACION!$E$2:$E$500,MATCH("D5.20|"&amp;CAPTURA!BU114,CODIFICACION!$F$2:$F$500,0))),"⚠"))</f>
        <v/>
      </c>
      <c r="AQ114" t="str">
        <f>IF(CAPTURA!BV114="","",IFERROR(IF(INDEX(CODIFICACION!$E$2:$E$500,MATCH("D5.21|"&amp;CAPTURA!BV114,CODIFICACION!$F$2:$F$500,0))="sin dato","",INDEX(CODIFICACION!$E$2:$E$500,MATCH("D5.21|"&amp;CAPTURA!BV114,CODIFICACION!$F$2:$F$500,0))),"⚠"))</f>
        <v/>
      </c>
      <c r="AR114" t="str">
        <f>IF(CAPTURA!BW114="","",IFERROR(IF(INDEX(CODIFICACION!$E$2:$E$500,MATCH("D5.21a|"&amp;CAPTURA!BW114,CODIFICACION!$F$2:$F$500,0))="sin dato","",INDEX(CODIFICACION!$E$2:$E$500,MATCH("D5.21a|"&amp;CAPTURA!BW114,CODIFICACION!$F$2:$F$500,0))),"⚠"))</f>
        <v/>
      </c>
      <c r="AS114" t="str">
        <f>IF(CAPTURA!BX114="","",IFERROR(IF(INDEX(CODIFICACION!$E$2:$E$500,MATCH("D5.21b|"&amp;CAPTURA!BX114,CODIFICACION!$F$2:$F$500,0))="sin dato","",INDEX(CODIFICACION!$E$2:$E$500,MATCH("D5.21b|"&amp;CAPTURA!BX114,CODIFICACION!$F$2:$F$500,0))),"⚠"))</f>
        <v/>
      </c>
      <c r="AT114" t="str">
        <f>IF(CAPTURA!BY114="","",IFERROR(IF(INDEX(CODIFICACION!$E$2:$E$500,MATCH("D6.22|"&amp;CAPTURA!BY114,CODIFICACION!$F$2:$F$500,0))="sin dato","",INDEX(CODIFICACION!$E$2:$E$500,MATCH("D6.22|"&amp;CAPTURA!BY114,CODIFICACION!$F$2:$F$500,0))),"⚠"))</f>
        <v/>
      </c>
      <c r="AU114" t="str">
        <f>IF(CAPTURA!BZ114="","",IFERROR(IF(INDEX(CODIFICACION!$E$2:$E$500,MATCH("D6.22a|"&amp;CAPTURA!BZ114,CODIFICACION!$F$2:$F$500,0))="sin dato","",INDEX(CODIFICACION!$E$2:$E$500,MATCH("D6.22a|"&amp;CAPTURA!BZ114,CODIFICACION!$F$2:$F$500,0))),"⚠"))</f>
        <v/>
      </c>
      <c r="AV114" t="str">
        <f>IF(CAPTURA!CA114="","",IFERROR(IF(INDEX(CODIFICACION!$E$2:$E$500,MATCH("D6.22b|"&amp;CAPTURA!CA114,CODIFICACION!$F$2:$F$500,0))="sin dato","",INDEX(CODIFICACION!$E$2:$E$500,MATCH("D6.22b|"&amp;CAPTURA!CA114,CODIFICACION!$F$2:$F$500,0))),"⚠"))</f>
        <v/>
      </c>
      <c r="AW114" t="str">
        <f>IF(CAPTURA!CB114="","",IFERROR(IF(INDEX(CODIFICACION!$E$2:$E$500,MATCH("D6.23|"&amp;CAPTURA!CB114,CODIFICACION!$F$2:$F$500,0))="sin dato","",INDEX(CODIFICACION!$E$2:$E$500,MATCH("D6.23|"&amp;CAPTURA!CB114,CODIFICACION!$F$2:$F$500,0))),"⚠"))</f>
        <v/>
      </c>
      <c r="AX114" t="str">
        <f>IF(CAPTURA!CC114="","",IFERROR(IF(INDEX(CODIFICACION!$E$2:$E$500,MATCH("D6.24|"&amp;CAPTURA!CC114,CODIFICACION!$F$2:$F$500,0))="sin dato","",INDEX(CODIFICACION!$E$2:$E$500,MATCH("D6.24|"&amp;CAPTURA!CC114,CODIFICACION!$F$2:$F$500,0))),"⚠"))</f>
        <v/>
      </c>
      <c r="AY114" t="str">
        <f>IF(CAPTURA!CD114="","",IFERROR(IF(INDEX(CODIFICACION!$E$2:$E$500,MATCH("D6.25|"&amp;CAPTURA!CD114,CODIFICACION!$F$2:$F$500,0))="sin dato","",INDEX(CODIFICACION!$E$2:$E$500,MATCH("D6.25|"&amp;CAPTURA!CD114,CODIFICACION!$F$2:$F$500,0))),"⚠"))</f>
        <v/>
      </c>
      <c r="AZ114" t="str">
        <f>IF(CAPTURA!CE114="","",IFERROR(IF(INDEX(CODIFICACION!$E$2:$E$500,MATCH("D6.25a|"&amp;CAPTURA!CE114,CODIFICACION!$F$2:$F$500,0))="sin dato","",INDEX(CODIFICACION!$E$2:$E$500,MATCH("D6.25a|"&amp;CAPTURA!CE114,CODIFICACION!$F$2:$F$500,0))),"⚠"))</f>
        <v/>
      </c>
      <c r="BA114" t="str">
        <f>IF(CAPTURA!CF114="","",IFERROR(IF(INDEX(CODIFICACION!$E$2:$E$500,MATCH("D6.25b|"&amp;CAPTURA!CF114,CODIFICACION!$F$2:$F$500,0))="sin dato","",INDEX(CODIFICACION!$E$2:$E$500,MATCH("D6.25b|"&amp;CAPTURA!CF114,CODIFICACION!$F$2:$F$500,0))),"⚠"))</f>
        <v/>
      </c>
      <c r="BB114" t="str">
        <f>IF(CAPTURA!CG114="","",IFERROR(IF(INDEX(CODIFICACION!$E$2:$E$500,MATCH("D6.22c|"&amp;CAPTURA!CG114,CODIFICACION!$F$2:$F$500,0))="sin dato","",INDEX(CODIFICACION!$E$2:$E$500,MATCH("D6.22c|"&amp;CAPTURA!CG114,CODIFICACION!$F$2:$F$500,0))),"⚠"))</f>
        <v/>
      </c>
      <c r="BC114" t="str">
        <f>IF(CAPTURA!CH114="","",IFERROR(IF(INDEX(CODIFICACION!$E$2:$E$500,MATCH("D7.26|"&amp;CAPTURA!CH114,CODIFICACION!$F$2:$F$500,0))="sin dato","",INDEX(CODIFICACION!$E$2:$E$500,MATCH("D7.26|"&amp;CAPTURA!CH114,CODIFICACION!$F$2:$F$500,0))),"⚠"))</f>
        <v/>
      </c>
      <c r="BD114" t="str">
        <f>IF(CAPTURA!CI114="","",IFERROR(IF(INDEX(CODIFICACION!$E$2:$E$500,MATCH("D7.27|"&amp;CAPTURA!CI114,CODIFICACION!$F$2:$F$500,0))="sin dato","",INDEX(CODIFICACION!$E$2:$E$500,MATCH("D7.27|"&amp;CAPTURA!CI114,CODIFICACION!$F$2:$F$500,0))),"⚠"))</f>
        <v/>
      </c>
      <c r="BE114" t="str">
        <f>IF(CAPTURA!CJ114="","",IFERROR(IF(INDEX(CODIFICACION!$E$2:$E$500,MATCH("D7.28|"&amp;CAPTURA!CJ114,CODIFICACION!$F$2:$F$500,0))="sin dato","",INDEX(CODIFICACION!$E$2:$E$500,MATCH("D7.28|"&amp;CAPTURA!CJ114,CODIFICACION!$F$2:$F$500,0))),"⚠"))</f>
        <v/>
      </c>
      <c r="BF114" t="str">
        <f>IF(CAPTURA!CK114="","",IFERROR(IF(INDEX(CODIFICACION!$E$2:$E$500,MATCH("D7.28b|"&amp;CAPTURA!CK114,CODIFICACION!$F$2:$F$500,0))="sin dato","",INDEX(CODIFICACION!$E$2:$E$500,MATCH("D7.28b|"&amp;CAPTURA!CK114,CODIFICACION!$F$2:$F$500,0))),"⚠"))</f>
        <v/>
      </c>
      <c r="BG114" t="str">
        <f>IF(CAPTURA!CL114="","",MIN(100,ROUND((LEN(CAPTURA!CL114)-LEN(SUBSTITUTE(CAPTURA!CL114,";",""))+1)/8*100,1)))</f>
        <v/>
      </c>
      <c r="BH114" t="str">
        <f>IF(CAPTURA!CM114="","",IFERROR(IF(INDEX(CODIFICACION!$E$2:$E$500,MATCH("D7.26a|"&amp;CAPTURA!CM114,CODIFICACION!$F$2:$F$500,0))="sin dato","",INDEX(CODIFICACION!$E$2:$E$500,MATCH("D7.26a|"&amp;CAPTURA!CM114,CODIFICACION!$F$2:$F$500,0))),"⚠"))</f>
        <v/>
      </c>
      <c r="BI114" t="str">
        <f>IF(CAPTURA!CN114="","",IFERROR(IF(INDEX(CODIFICACION!$E$2:$E$500,MATCH("D7.26b|"&amp;CAPTURA!CN114,CODIFICACION!$F$2:$F$500,0))="sin dato","",INDEX(CODIFICACION!$E$2:$E$500,MATCH("D7.26b|"&amp;CAPTURA!CN114,CODIFICACION!$F$2:$F$500,0))),"⚠"))</f>
        <v/>
      </c>
      <c r="BJ114" t="str">
        <f>IF(CAPTURA!CO114="","",IF(AND(ISNUMBER(CAPTURA!CO114),CAPTURA!CO114&gt;=0,CAPTURA!CO114&lt;=4),CAPTURA!CO114*25,"⚠"))</f>
        <v/>
      </c>
      <c r="BK114" t="str">
        <f>IF(CAPTURA!CP114="","",IF(ISNUMBER(CAPTURA!CP114),MAX(0,MIN(100,CAPTURA!CP114)),"⚠"))</f>
        <v/>
      </c>
      <c r="BL114" t="str">
        <f>IF(CAPTURA!CQ114="","",IFERROR(IF(INDEX(CODIFICACION!$E$2:$E$500,MATCH("D8.31|"&amp;CAPTURA!CQ114,CODIFICACION!$F$2:$F$500,0))="sin dato","",INDEX(CODIFICACION!$E$2:$E$500,MATCH("D8.31|"&amp;CAPTURA!CQ114,CODIFICACION!$F$2:$F$500,0))),"⚠"))</f>
        <v/>
      </c>
      <c r="BM114" t="str">
        <f>IF(CAPTURA!CR114="","",IFERROR(IF(INDEX(CODIFICACION!$E$2:$E$500,MATCH("D8.32|"&amp;CAPTURA!CR114,CODIFICACION!$F$2:$F$500,0))="sin dato","",INDEX(CODIFICACION!$E$2:$E$500,MATCH("D8.32|"&amp;CAPTURA!CR114,CODIFICACION!$F$2:$F$500,0))),"⚠"))</f>
        <v/>
      </c>
      <c r="BN114" t="str">
        <f>IF(CAPTURA!CS114="","",IFERROR(IF(INDEX(CODIFICACION!$E$2:$E$500,MATCH("D9.33|"&amp;CAPTURA!CS114,CODIFICACION!$F$2:$F$500,0))="sin dato","",INDEX(CODIFICACION!$E$2:$E$500,MATCH("D9.33|"&amp;CAPTURA!CS114,CODIFICACION!$F$2:$F$500,0))),"⚠"))</f>
        <v/>
      </c>
      <c r="BO114" t="str">
        <f>IF(CAPTURA!CT114="","",IFERROR(IF(INDEX(CODIFICACION!$E$2:$E$500,MATCH("D9.34|"&amp;CAPTURA!CT114,CODIFICACION!$F$2:$F$500,0))="sin dato","",INDEX(CODIFICACION!$E$2:$E$500,MATCH("D9.34|"&amp;CAPTURA!CT114,CODIFICACION!$F$2:$F$500,0))),"⚠"))</f>
        <v/>
      </c>
      <c r="BP114" t="str">
        <f>IF(CAPTURA!CU114="","",IFERROR(IF(INDEX(CODIFICACION!$E$2:$E$500,MATCH("D9.35|"&amp;CAPTURA!CU114,CODIFICACION!$F$2:$F$500,0))="sin dato","",INDEX(CODIFICACION!$E$2:$E$500,MATCH("D9.35|"&amp;CAPTURA!CU114,CODIFICACION!$F$2:$F$500,0))),"⚠"))</f>
        <v/>
      </c>
      <c r="BQ114" t="str">
        <f>IF(CAPTURA!CV114="","",IFERROR(IF(INDEX(CODIFICACION!$E$2:$E$500,MATCH("D10.36|"&amp;CAPTURA!CV114,CODIFICACION!$F$2:$F$500,0))="sin dato","",INDEX(CODIFICACION!$E$2:$E$500,MATCH("D10.36|"&amp;CAPTURA!CV114,CODIFICACION!$F$2:$F$500,0))),"⚠"))</f>
        <v/>
      </c>
      <c r="BR114" t="str">
        <f>IF(CAPTURA!CW114="","",IFERROR(IF(INDEX(CODIFICACION!$E$2:$E$500,MATCH("D10.37|"&amp;CAPTURA!CW114,CODIFICACION!$F$2:$F$500,0))="sin dato","",INDEX(CODIFICACION!$E$2:$E$500,MATCH("D10.37|"&amp;CAPTURA!CW114,CODIFICACION!$F$2:$F$500,0))),"⚠"))</f>
        <v/>
      </c>
      <c r="BS114" t="str">
        <f>IF(CAPTURA!CX114="","",IFERROR(IF(INDEX(CODIFICACION!$E$2:$E$500,MATCH("D10.36a|"&amp;CAPTURA!CX114,CODIFICACION!$F$2:$F$500,0))="sin dato","",INDEX(CODIFICACION!$E$2:$E$500,MATCH("D10.36a|"&amp;CAPTURA!CX114,CODIFICACION!$F$2:$F$500,0))),"⚠"))</f>
        <v/>
      </c>
      <c r="BT114" t="str">
        <f>IF(CAPTURA!CY114="","",IF(ISNUMBER(SEARCH("Ninguno",CAPTURA!CY114)),0,MIN(100,ROUND((LEN(CAPTURA!CY114)-LEN(SUBSTITUTE(CAPTURA!CY114,";",""))+1)/6*100,1))))</f>
        <v/>
      </c>
      <c r="BU114" t="str">
        <f>IF(CAPTURA!DA114="","",IFERROR(IF(INDEX(CODIFICACION!$E$2:$E$500,MATCH("D11.39a|"&amp;CAPTURA!DA114,CODIFICACION!$F$2:$F$500,0))="sin dato","",INDEX(CODIFICACION!$E$2:$E$500,MATCH("D11.39a|"&amp;CAPTURA!DA114,CODIFICACION!$F$2:$F$500,0))),"⚠"))</f>
        <v/>
      </c>
      <c r="BV114" t="str">
        <f>IF(CAPTURA!DB114="","",IFERROR(IF(INDEX(CODIFICACION!$E$2:$E$500,MATCH("D12.42|"&amp;CAPTURA!DB114,CODIFICACION!$F$2:$F$500,0))="sin dato","",INDEX(CODIFICACION!$E$2:$E$500,MATCH("D12.42|"&amp;CAPTURA!DB114,CODIFICACION!$F$2:$F$500,0))),"⚠"))</f>
        <v/>
      </c>
      <c r="BW114" t="str">
        <f>IF(CAPTURA!DC114="","",IFERROR(IF(INDEX(CODIFICACION!$E$2:$E$500,MATCH("D13.45|"&amp;CAPTURA!DC114,CODIFICACION!$F$2:$F$500,0))="sin dato","",INDEX(CODIFICACION!$E$2:$E$500,MATCH("D13.45|"&amp;CAPTURA!DC114,CODIFICACION!$F$2:$F$500,0))),"⚠"))</f>
        <v/>
      </c>
      <c r="BX114" t="str">
        <f>IF(CAPTURA!DD114="","",IFERROR(IF(INDEX(CODIFICACION!$E$2:$E$500,MATCH("D14.51|"&amp;CAPTURA!DD114,CODIFICACION!$F$2:$F$500,0))="sin dato","",INDEX(CODIFICACION!$E$2:$E$500,MATCH("D14.51|"&amp;CAPTURA!DD114,CODIFICACION!$F$2:$F$500,0))),"⚠"))</f>
        <v/>
      </c>
      <c r="BY114" t="str">
        <f>IF(CAPTURA!DE114="","",IFERROR(IF(INDEX(CODIFICACION!$E$2:$E$500,MATCH("D15.58|"&amp;CAPTURA!DE114,CODIFICACION!$F$2:$F$500,0))="sin dato","",INDEX(CODIFICACION!$E$2:$E$500,MATCH("D15.58|"&amp;CAPTURA!DE114,CODIFICACION!$F$2:$F$500,0))),"⚠"))</f>
        <v/>
      </c>
      <c r="BZ114" t="str">
        <f>IF(CAPTURA!DF114="","",IFERROR(IF(INDEX(CODIFICACION!$E$2:$E$500,MATCH("PP1|"&amp;CAPTURA!DF114,CODIFICACION!$F$2:$F$500,0))="sin dato","",INDEX(CODIFICACION!$E$2:$E$500,MATCH("PP1|"&amp;CAPTURA!DF114,CODIFICACION!$F$2:$F$500,0))),"⚠"))</f>
        <v/>
      </c>
      <c r="CA114" t="str">
        <f>IF(CAPTURA!DG114="","",IFERROR(IF(INDEX(CODIFICACION!$E$2:$E$500,MATCH("PP2|"&amp;CAPTURA!DG114,CODIFICACION!$F$2:$F$500,0))="sin dato","",INDEX(CODIFICACION!$E$2:$E$500,MATCH("PP2|"&amp;CAPTURA!DG114,CODIFICACION!$F$2:$F$500,0))),"⚠"))</f>
        <v/>
      </c>
      <c r="CB114" t="str">
        <f t="shared" si="33"/>
        <v/>
      </c>
      <c r="CC114" t="str">
        <f t="shared" si="34"/>
        <v/>
      </c>
      <c r="CD114" t="str">
        <f t="shared" si="35"/>
        <v/>
      </c>
      <c r="CE114" t="str">
        <f t="shared" si="36"/>
        <v/>
      </c>
      <c r="CF114" t="str">
        <f t="shared" si="37"/>
        <v/>
      </c>
      <c r="CG114" t="str">
        <f t="shared" si="38"/>
        <v/>
      </c>
      <c r="CH114" t="str">
        <f t="shared" si="39"/>
        <v/>
      </c>
      <c r="CI114" t="str">
        <f t="shared" si="40"/>
        <v/>
      </c>
      <c r="CJ114" t="str">
        <f t="shared" si="41"/>
        <v/>
      </c>
      <c r="CK114" t="str">
        <f t="shared" si="42"/>
        <v/>
      </c>
      <c r="CL114" t="str">
        <f t="shared" si="43"/>
        <v/>
      </c>
    </row>
    <row r="115" spans="1:90" x14ac:dyDescent="0.3">
      <c r="A115">
        <f>CAPTURA!A115</f>
        <v>20600796721</v>
      </c>
      <c r="B115">
        <f>CAPTURA!C115</f>
        <v>0</v>
      </c>
      <c r="C115" t="str">
        <f>IF(CAPTURA!M115="","",ROUND((ISNUMBER(SEARCH("Alemania",CAPTURA!M115))+ISNUMBER(SEARCH("Bélgica",CAPTURA!M115))+ISNUMBER(SEARCH("Países Bajos",CAPTURA!M115))+ISNUMBER(SEARCH("Francia",CAPTURA!M115))+ISNUMBER(SEARCH("Italia",CAPTURA!M115))+ISNUMBER(SEARCH("España",CAPTURA!M115))+ISNUMBER(SEARCH("Suecia",CAPTURA!M115))+ISNUMBER(SEARCH("Dinamarca",CAPTURA!M115)))/((LEN(CAPTURA!M115)-LEN(SUBSTITUTE(CAPTURA!M115,";","")))+1)*100,1))</f>
        <v/>
      </c>
      <c r="D115" t="str">
        <f>IF(CAPTURA!AE115="","",IFERROR(IF(INDEX(CODIFICACION!$E$2:$E$500,MATCH("P8|"&amp;CAPTURA!AE115,CODIFICACION!$F$2:$F$500,0))="sin dato","",INDEX(CODIFICACION!$E$2:$E$500,MATCH("P8|"&amp;CAPTURA!AE115,CODIFICACION!$F$2:$F$500,0))),"⚠"))</f>
        <v/>
      </c>
      <c r="E115" t="str">
        <f>IF(CAPTURA!AG115="","",IFERROR(IF(INDEX(CODIFICACION!$E$2:$E$500,MATCH("P10|"&amp;CAPTURA!AG115,CODIFICACION!$F$2:$F$500,0))="sin dato","",INDEX(CODIFICACION!$E$2:$E$500,MATCH("P10|"&amp;CAPTURA!AG115,CODIFICACION!$F$2:$F$500,0))),"⚠"))</f>
        <v/>
      </c>
      <c r="F115" t="str">
        <f>IF(CAPTURA!AJ115="","",IFERROR(IF(INDEX(CODIFICACION!$E$2:$E$500,MATCH("P13|"&amp;CAPTURA!AJ115,CODIFICACION!$F$2:$F$500,0))="sin dato","",INDEX(CODIFICACION!$E$2:$E$500,MATCH("P13|"&amp;CAPTURA!AJ115,CODIFICACION!$F$2:$F$500,0))),"⚠"))</f>
        <v/>
      </c>
      <c r="G115" t="str">
        <f>IF(CAPTURA!AK115="","",IFERROR(IF(INDEX(CODIFICACION!$E$2:$E$500,MATCH("P14|"&amp;CAPTURA!AK115,CODIFICACION!$F$2:$F$500,0))="sin dato","",INDEX(CODIFICACION!$E$2:$E$500,MATCH("P14|"&amp;CAPTURA!AK115,CODIFICACION!$F$2:$F$500,0))),"⚠"))</f>
        <v/>
      </c>
      <c r="H115" t="str">
        <f>IF(CAPTURA!AL115="","",IFERROR(IF(INDEX(CODIFICACION!$E$2:$E$500,MATCH("D1.1|"&amp;CAPTURA!AL115,CODIFICACION!$F$2:$F$500,0))="sin dato","",INDEX(CODIFICACION!$E$2:$E$500,MATCH("D1.1|"&amp;CAPTURA!AL115,CODIFICACION!$F$2:$F$500,0))),"⚠"))</f>
        <v/>
      </c>
      <c r="I115" t="str">
        <f>IF(CAPTURA!AN115="","",IFERROR(IF(INDEX(CODIFICACION!$E$2:$E$500,MATCH("D1.3|"&amp;CAPTURA!AN115,CODIFICACION!$F$2:$F$500,0))="sin dato","",INDEX(CODIFICACION!$E$2:$E$500,MATCH("D1.3|"&amp;CAPTURA!AN115,CODIFICACION!$F$2:$F$500,0))),"⚠"))</f>
        <v/>
      </c>
      <c r="J115" t="str">
        <f>IF(CAPTURA!AO115="","",IFERROR(IF(INDEX(CODIFICACION!$E$2:$E$500,MATCH("D1.4|"&amp;CAPTURA!AO115,CODIFICACION!$F$2:$F$500,0))="sin dato","",INDEX(CODIFICACION!$E$2:$E$500,MATCH("D1.4|"&amp;CAPTURA!AO115,CODIFICACION!$F$2:$F$500,0))),"⚠"))</f>
        <v/>
      </c>
      <c r="K115" t="str">
        <f>IF(CAPTURA!AP115="","",IFERROR(IF(INDEX(CODIFICACION!$E$2:$E$500,MATCH("D1.3a|"&amp;CAPTURA!AP115,CODIFICACION!$F$2:$F$500,0))="sin dato","",INDEX(CODIFICACION!$E$2:$E$500,MATCH("D1.3a|"&amp;CAPTURA!AP115,CODIFICACION!$F$2:$F$500,0))),"⚠"))</f>
        <v/>
      </c>
      <c r="L115" t="str">
        <f>IF(CAPTURA!AQ115="","",IF(AND(ISNUMBER(CAPTURA!AQ115),CAPTURA!AQ115&gt;=0,CAPTURA!AQ115&lt;=4),CAPTURA!AQ115*25,"⚠"))</f>
        <v/>
      </c>
      <c r="M115" t="str">
        <f>IF(CAPTURA!AR115="","",IF(ISNUMBER(CAPTURA!AR115),MAX(0,MIN(100,CAPTURA!AR115)),"⚠"))</f>
        <v/>
      </c>
      <c r="N115" t="str">
        <f>IF(CAPTURA!AS115="","",IF(AND(ISNUMBER(CAPTURA!AS115),CAPTURA!AS115&gt;=0,CAPTURA!AS115&lt;=4),CAPTURA!AS115*25,"⚠"))</f>
        <v/>
      </c>
      <c r="O115" t="str">
        <f>IF(CAPTURA!AT115="","",IFERROR(IF(INDEX(CODIFICACION!$E$2:$E$500,MATCH("D2.8|"&amp;CAPTURA!AT115,CODIFICACION!$F$2:$F$500,0))="sin dato","",INDEX(CODIFICACION!$E$2:$E$500,MATCH("D2.8|"&amp;CAPTURA!AT115,CODIFICACION!$F$2:$F$500,0))),"⚠"))</f>
        <v/>
      </c>
      <c r="P115" t="str">
        <f>IF(CAPTURA!AU115="","",IFERROR(IF(INDEX(CODIFICACION!$E$2:$E$500,MATCH("D2.9|"&amp;CAPTURA!AU115,CODIFICACION!$F$2:$F$500,0))="sin dato","",INDEX(CODIFICACION!$E$2:$E$500,MATCH("D2.9|"&amp;CAPTURA!AU115,CODIFICACION!$F$2:$F$500,0))),"⚠"))</f>
        <v/>
      </c>
      <c r="Q115" t="str">
        <f>IF(CAPTURA!AV115="","",IFERROR(IF(INDEX(CODIFICACION!$E$2:$E$500,MATCH("D2.10|"&amp;CAPTURA!AV115,CODIFICACION!$F$2:$F$500,0))="sin dato","",INDEX(CODIFICACION!$E$2:$E$500,MATCH("D2.10|"&amp;CAPTURA!AV115,CODIFICACION!$F$2:$F$500,0))),"⚠"))</f>
        <v/>
      </c>
      <c r="R115" t="str">
        <f>IF(CAPTURA!AW115="","",IFERROR(IF(INDEX(CODIFICACION!$E$2:$E$500,MATCH("D2.5a|"&amp;CAPTURA!AW115,CODIFICACION!$F$2:$F$500,0))="sin dato","",INDEX(CODIFICACION!$E$2:$E$500,MATCH("D2.5a|"&amp;CAPTURA!AW115,CODIFICACION!$F$2:$F$500,0))),"⚠"))</f>
        <v/>
      </c>
      <c r="S115" t="str">
        <f>IF(CAPTURA!AX115="","",IFERROR(IF(INDEX(CODIFICACION!$E$2:$E$500,MATCH("D2.5b|"&amp;CAPTURA!AX115,CODIFICACION!$F$2:$F$500,0))="sin dato","",INDEX(CODIFICACION!$E$2:$E$500,MATCH("D2.5b|"&amp;CAPTURA!AX115,CODIFICACION!$F$2:$F$500,0))),"⚠"))</f>
        <v/>
      </c>
      <c r="T115" t="str">
        <f>IF(CAPTURA!AY115="","",IF(ISNUMBER(CAPTURA!AY115),MAX(0,MIN(100,CAPTURA!AY115)),"⚠"))</f>
        <v/>
      </c>
      <c r="U115" t="str">
        <f>IF(CAPTURA!AZ115="","",IFERROR(IF(INDEX(CODIFICACION!$E$2:$E$500,MATCH("D3.12|"&amp;CAPTURA!AZ115,CODIFICACION!$F$2:$F$500,0))="sin dato","",INDEX(CODIFICACION!$E$2:$E$500,MATCH("D3.12|"&amp;CAPTURA!AZ115,CODIFICACION!$F$2:$F$500,0))),"⚠"))</f>
        <v/>
      </c>
      <c r="V115" t="str">
        <f>IF(CAPTURA!BA115="","",IF(AND(ISNUMBER(CAPTURA!BA115),CAPTURA!BA115&gt;=0,CAPTURA!BA115&lt;=4),CAPTURA!BA115*25,"⚠"))</f>
        <v/>
      </c>
      <c r="W115" t="str">
        <f>IF(CAPTURA!BB115="","",IFERROR(IF(INDEX(CODIFICACION!$E$2:$E$500,MATCH("D3.14|"&amp;CAPTURA!BB115,CODIFICACION!$F$2:$F$500,0))="sin dato","",INDEX(CODIFICACION!$E$2:$E$500,MATCH("D3.14|"&amp;CAPTURA!BB115,CODIFICACION!$F$2:$F$500,0))),"⚠"))</f>
        <v/>
      </c>
      <c r="X115" t="str">
        <f>IF(CAPTURA!BC115="","",IFERROR(IF(INDEX(CODIFICACION!$E$2:$E$500,MATCH("D3.14a|"&amp;CAPTURA!BC115,CODIFICACION!$F$2:$F$500,0))="sin dato","",INDEX(CODIFICACION!$E$2:$E$500,MATCH("D3.14a|"&amp;CAPTURA!BC115,CODIFICACION!$F$2:$F$500,0))),"⚠"))</f>
        <v/>
      </c>
      <c r="Y115" t="str">
        <f>IF(CAPTURA!BD115="","",IFERROR(IF(INDEX(CODIFICACION!$E$2:$E$500,MATCH("D3.14b|"&amp;CAPTURA!BD115,CODIFICACION!$F$2:$F$500,0))="sin dato","",INDEX(CODIFICACION!$E$2:$E$500,MATCH("D3.14b|"&amp;CAPTURA!BD115,CODIFICACION!$F$2:$F$500,0))),"⚠"))</f>
        <v/>
      </c>
      <c r="Z115" t="str">
        <f>IF(CAPTURA!BE115="","",IFERROR(IF(INDEX(CODIFICACION!$E$2:$E$500,MATCH("D3.14c|"&amp;CAPTURA!BE115,CODIFICACION!$F$2:$F$500,0))="sin dato","",INDEX(CODIFICACION!$E$2:$E$500,MATCH("D3.14c|"&amp;CAPTURA!BE115,CODIFICACION!$F$2:$F$500,0))),"⚠"))</f>
        <v/>
      </c>
      <c r="AA115" t="str">
        <f>IF(CAPTURA!BF115="","",IFERROR(IF(INDEX(CODIFICACION!$E$2:$E$500,MATCH("D3.14d|"&amp;CAPTURA!BF115,CODIFICACION!$F$2:$F$500,0))="sin dato","",INDEX(CODIFICACION!$E$2:$E$500,MATCH("D3.14d|"&amp;CAPTURA!BF115,CODIFICACION!$F$2:$F$500,0))),"⚠"))</f>
        <v/>
      </c>
      <c r="AB115" t="str">
        <f>IF(CAPTURA!BG115="","",IFERROR(IF(INDEX(CODIFICACION!$E$2:$E$500,MATCH("D3.14e|"&amp;CAPTURA!BG115,CODIFICACION!$F$2:$F$500,0))="sin dato","",INDEX(CODIFICACION!$E$2:$E$500,MATCH("D3.14e|"&amp;CAPTURA!BG115,CODIFICACION!$F$2:$F$500,0))),"⚠"))</f>
        <v/>
      </c>
      <c r="AC115" t="str">
        <f>IF(CAPTURA!BH115="","",IFERROR(IF(INDEX(CODIFICACION!$E$2:$E$500,MATCH("D3.14f|"&amp;CAPTURA!BH115,CODIFICACION!$F$2:$F$500,0))="sin dato","",INDEX(CODIFICACION!$E$2:$E$500,MATCH("D3.14f|"&amp;CAPTURA!BH115,CODIFICACION!$F$2:$F$500,0))),"⚠"))</f>
        <v/>
      </c>
      <c r="AD115" t="str">
        <f>IF(CAPTURA!BI115="","",IFERROR(IF(INDEX(CODIFICACION!$E$2:$E$500,MATCH("D3.14g|"&amp;CAPTURA!BI115,CODIFICACION!$F$2:$F$500,0))="sin dato","",INDEX(CODIFICACION!$E$2:$E$500,MATCH("D3.14g|"&amp;CAPTURA!BI115,CODIFICACION!$F$2:$F$500,0))),"⚠"))</f>
        <v/>
      </c>
      <c r="AE115" t="str">
        <f>IF(CAPTURA!BJ115="","",IFERROR(IF(INDEX(CODIFICACION!$E$2:$E$500,MATCH("D3.14h|"&amp;CAPTURA!BJ115,CODIFICACION!$F$2:$F$500,0))="sin dato","",INDEX(CODIFICACION!$E$2:$E$500,MATCH("D3.14h|"&amp;CAPTURA!BJ115,CODIFICACION!$F$2:$F$500,0))),"⚠"))</f>
        <v/>
      </c>
      <c r="AF115" t="str">
        <f>IF(CAPTURA!BK115="","",IFERROR(IF(INDEX(CODIFICACION!$E$2:$E$500,MATCH("D3.14i|"&amp;CAPTURA!BK115,CODIFICACION!$F$2:$F$500,0))="sin dato","",INDEX(CODIFICACION!$E$2:$E$500,MATCH("D3.14i|"&amp;CAPTURA!BK115,CODIFICACION!$F$2:$F$500,0))),"⚠"))</f>
        <v/>
      </c>
      <c r="AG115" t="str">
        <f>IF(CAPTURA!BL115="","",IFERROR(IF(INDEX(CODIFICACION!$E$2:$E$500,MATCH("D4.15|"&amp;CAPTURA!BL115,CODIFICACION!$F$2:$F$500,0))="sin dato","",INDEX(CODIFICACION!$E$2:$E$500,MATCH("D4.15|"&amp;CAPTURA!BL115,CODIFICACION!$F$2:$F$500,0))),"⚠"))</f>
        <v/>
      </c>
      <c r="AH115" t="str">
        <f>IF(CAPTURA!BM115="","",IF(AND(ISNUMBER(CAPTURA!BM115),CAPTURA!BM115&gt;=0,CAPTURA!BM115&lt;=4),CAPTURA!BM115*25,"⚠"))</f>
        <v/>
      </c>
      <c r="AI115" t="str">
        <f>IF(CAPTURA!BN115="","",IFERROR(IF(INDEX(CODIFICACION!$E$2:$E$500,MATCH("D4.17|"&amp;CAPTURA!BN115,CODIFICACION!$F$2:$F$500,0))="sin dato","",INDEX(CODIFICACION!$E$2:$E$500,MATCH("D4.17|"&amp;CAPTURA!BN115,CODIFICACION!$F$2:$F$500,0))),"⚠"))</f>
        <v/>
      </c>
      <c r="AJ115" t="str">
        <f>IF(CAPTURA!BO115="","",IFERROR(IF(INDEX(CODIFICACION!$E$2:$E$500,MATCH("D4.15a|"&amp;CAPTURA!BO115,CODIFICACION!$F$2:$F$500,0))="sin dato","",INDEX(CODIFICACION!$E$2:$E$500,MATCH("D4.15a|"&amp;CAPTURA!BO115,CODIFICACION!$F$2:$F$500,0))),"⚠"))</f>
        <v/>
      </c>
      <c r="AK115" t="str">
        <f>IF(CAPTURA!BP115="","",IF(AND(ISNUMBER(CAPTURA!BP115),CAPTURA!BP115&gt;=0,CAPTURA!BP115&lt;=4),CAPTURA!BP115*25,"⚠"))</f>
        <v/>
      </c>
      <c r="AL115" t="str">
        <f>IF(CAPTURA!BQ115="","",IF(AND(ISNUMBER(CAPTURA!BQ115),CAPTURA!BQ115&gt;=0,CAPTURA!BQ115&lt;=4),CAPTURA!BQ115*25,"⚠"))</f>
        <v/>
      </c>
      <c r="AM115" t="str">
        <f>IF(CAPTURA!BR115="","",IFERROR(IF(INDEX(CODIFICACION!$E$2:$E$500,MATCH("D5.18b|"&amp;CAPTURA!BR115,CODIFICACION!$F$2:$F$500,0))="sin dato","",INDEX(CODIFICACION!$E$2:$E$500,MATCH("D5.18b|"&amp;CAPTURA!BR115,CODIFICACION!$F$2:$F$500,0))),"⚠"))</f>
        <v/>
      </c>
      <c r="AN115" t="str">
        <f>IF(CAPTURA!BS115="","",IFERROR(IF(INDEX(CODIFICACION!$E$2:$E$500,MATCH("D5.19|"&amp;CAPTURA!BS115,CODIFICACION!$F$2:$F$500,0))="sin dato","",INDEX(CODIFICACION!$E$2:$E$500,MATCH("D5.19|"&amp;CAPTURA!BS115,CODIFICACION!$F$2:$F$500,0))),"⚠"))</f>
        <v/>
      </c>
      <c r="AO115" t="str">
        <f>IF(CAPTURA!BT115="","",MIN(100,ROUND((LEN(CAPTURA!BT115)-LEN(SUBSTITUTE(CAPTURA!BT115,";",""))+1)/7*100,1)))</f>
        <v/>
      </c>
      <c r="AP115" t="str">
        <f>IF(CAPTURA!BU115="","",IFERROR(IF(INDEX(CODIFICACION!$E$2:$E$500,MATCH("D5.20|"&amp;CAPTURA!BU115,CODIFICACION!$F$2:$F$500,0))="sin dato","",INDEX(CODIFICACION!$E$2:$E$500,MATCH("D5.20|"&amp;CAPTURA!BU115,CODIFICACION!$F$2:$F$500,0))),"⚠"))</f>
        <v/>
      </c>
      <c r="AQ115" t="str">
        <f>IF(CAPTURA!BV115="","",IFERROR(IF(INDEX(CODIFICACION!$E$2:$E$500,MATCH("D5.21|"&amp;CAPTURA!BV115,CODIFICACION!$F$2:$F$500,0))="sin dato","",INDEX(CODIFICACION!$E$2:$E$500,MATCH("D5.21|"&amp;CAPTURA!BV115,CODIFICACION!$F$2:$F$500,0))),"⚠"))</f>
        <v/>
      </c>
      <c r="AR115" t="str">
        <f>IF(CAPTURA!BW115="","",IFERROR(IF(INDEX(CODIFICACION!$E$2:$E$500,MATCH("D5.21a|"&amp;CAPTURA!BW115,CODIFICACION!$F$2:$F$500,0))="sin dato","",INDEX(CODIFICACION!$E$2:$E$500,MATCH("D5.21a|"&amp;CAPTURA!BW115,CODIFICACION!$F$2:$F$500,0))),"⚠"))</f>
        <v/>
      </c>
      <c r="AS115" t="str">
        <f>IF(CAPTURA!BX115="","",IFERROR(IF(INDEX(CODIFICACION!$E$2:$E$500,MATCH("D5.21b|"&amp;CAPTURA!BX115,CODIFICACION!$F$2:$F$500,0))="sin dato","",INDEX(CODIFICACION!$E$2:$E$500,MATCH("D5.21b|"&amp;CAPTURA!BX115,CODIFICACION!$F$2:$F$500,0))),"⚠"))</f>
        <v/>
      </c>
      <c r="AT115" t="str">
        <f>IF(CAPTURA!BY115="","",IFERROR(IF(INDEX(CODIFICACION!$E$2:$E$500,MATCH("D6.22|"&amp;CAPTURA!BY115,CODIFICACION!$F$2:$F$500,0))="sin dato","",INDEX(CODIFICACION!$E$2:$E$500,MATCH("D6.22|"&amp;CAPTURA!BY115,CODIFICACION!$F$2:$F$500,0))),"⚠"))</f>
        <v/>
      </c>
      <c r="AU115" t="str">
        <f>IF(CAPTURA!BZ115="","",IFERROR(IF(INDEX(CODIFICACION!$E$2:$E$500,MATCH("D6.22a|"&amp;CAPTURA!BZ115,CODIFICACION!$F$2:$F$500,0))="sin dato","",INDEX(CODIFICACION!$E$2:$E$500,MATCH("D6.22a|"&amp;CAPTURA!BZ115,CODIFICACION!$F$2:$F$500,0))),"⚠"))</f>
        <v/>
      </c>
      <c r="AV115" t="str">
        <f>IF(CAPTURA!CA115="","",IFERROR(IF(INDEX(CODIFICACION!$E$2:$E$500,MATCH("D6.22b|"&amp;CAPTURA!CA115,CODIFICACION!$F$2:$F$500,0))="sin dato","",INDEX(CODIFICACION!$E$2:$E$500,MATCH("D6.22b|"&amp;CAPTURA!CA115,CODIFICACION!$F$2:$F$500,0))),"⚠"))</f>
        <v/>
      </c>
      <c r="AW115" t="str">
        <f>IF(CAPTURA!CB115="","",IFERROR(IF(INDEX(CODIFICACION!$E$2:$E$500,MATCH("D6.23|"&amp;CAPTURA!CB115,CODIFICACION!$F$2:$F$500,0))="sin dato","",INDEX(CODIFICACION!$E$2:$E$500,MATCH("D6.23|"&amp;CAPTURA!CB115,CODIFICACION!$F$2:$F$500,0))),"⚠"))</f>
        <v/>
      </c>
      <c r="AX115" t="str">
        <f>IF(CAPTURA!CC115="","",IFERROR(IF(INDEX(CODIFICACION!$E$2:$E$500,MATCH("D6.24|"&amp;CAPTURA!CC115,CODIFICACION!$F$2:$F$500,0))="sin dato","",INDEX(CODIFICACION!$E$2:$E$500,MATCH("D6.24|"&amp;CAPTURA!CC115,CODIFICACION!$F$2:$F$500,0))),"⚠"))</f>
        <v/>
      </c>
      <c r="AY115" t="str">
        <f>IF(CAPTURA!CD115="","",IFERROR(IF(INDEX(CODIFICACION!$E$2:$E$500,MATCH("D6.25|"&amp;CAPTURA!CD115,CODIFICACION!$F$2:$F$500,0))="sin dato","",INDEX(CODIFICACION!$E$2:$E$500,MATCH("D6.25|"&amp;CAPTURA!CD115,CODIFICACION!$F$2:$F$500,0))),"⚠"))</f>
        <v/>
      </c>
      <c r="AZ115" t="str">
        <f>IF(CAPTURA!CE115="","",IFERROR(IF(INDEX(CODIFICACION!$E$2:$E$500,MATCH("D6.25a|"&amp;CAPTURA!CE115,CODIFICACION!$F$2:$F$500,0))="sin dato","",INDEX(CODIFICACION!$E$2:$E$500,MATCH("D6.25a|"&amp;CAPTURA!CE115,CODIFICACION!$F$2:$F$500,0))),"⚠"))</f>
        <v/>
      </c>
      <c r="BA115" t="str">
        <f>IF(CAPTURA!CF115="","",IFERROR(IF(INDEX(CODIFICACION!$E$2:$E$500,MATCH("D6.25b|"&amp;CAPTURA!CF115,CODIFICACION!$F$2:$F$500,0))="sin dato","",INDEX(CODIFICACION!$E$2:$E$500,MATCH("D6.25b|"&amp;CAPTURA!CF115,CODIFICACION!$F$2:$F$500,0))),"⚠"))</f>
        <v/>
      </c>
      <c r="BB115" t="str">
        <f>IF(CAPTURA!CG115="","",IFERROR(IF(INDEX(CODIFICACION!$E$2:$E$500,MATCH("D6.22c|"&amp;CAPTURA!CG115,CODIFICACION!$F$2:$F$500,0))="sin dato","",INDEX(CODIFICACION!$E$2:$E$500,MATCH("D6.22c|"&amp;CAPTURA!CG115,CODIFICACION!$F$2:$F$500,0))),"⚠"))</f>
        <v/>
      </c>
      <c r="BC115" t="str">
        <f>IF(CAPTURA!CH115="","",IFERROR(IF(INDEX(CODIFICACION!$E$2:$E$500,MATCH("D7.26|"&amp;CAPTURA!CH115,CODIFICACION!$F$2:$F$500,0))="sin dato","",INDEX(CODIFICACION!$E$2:$E$500,MATCH("D7.26|"&amp;CAPTURA!CH115,CODIFICACION!$F$2:$F$500,0))),"⚠"))</f>
        <v/>
      </c>
      <c r="BD115" t="str">
        <f>IF(CAPTURA!CI115="","",IFERROR(IF(INDEX(CODIFICACION!$E$2:$E$500,MATCH("D7.27|"&amp;CAPTURA!CI115,CODIFICACION!$F$2:$F$500,0))="sin dato","",INDEX(CODIFICACION!$E$2:$E$500,MATCH("D7.27|"&amp;CAPTURA!CI115,CODIFICACION!$F$2:$F$500,0))),"⚠"))</f>
        <v/>
      </c>
      <c r="BE115" t="str">
        <f>IF(CAPTURA!CJ115="","",IFERROR(IF(INDEX(CODIFICACION!$E$2:$E$500,MATCH("D7.28|"&amp;CAPTURA!CJ115,CODIFICACION!$F$2:$F$500,0))="sin dato","",INDEX(CODIFICACION!$E$2:$E$500,MATCH("D7.28|"&amp;CAPTURA!CJ115,CODIFICACION!$F$2:$F$500,0))),"⚠"))</f>
        <v/>
      </c>
      <c r="BF115" t="str">
        <f>IF(CAPTURA!CK115="","",IFERROR(IF(INDEX(CODIFICACION!$E$2:$E$500,MATCH("D7.28b|"&amp;CAPTURA!CK115,CODIFICACION!$F$2:$F$500,0))="sin dato","",INDEX(CODIFICACION!$E$2:$E$500,MATCH("D7.28b|"&amp;CAPTURA!CK115,CODIFICACION!$F$2:$F$500,0))),"⚠"))</f>
        <v/>
      </c>
      <c r="BG115" t="str">
        <f>IF(CAPTURA!CL115="","",MIN(100,ROUND((LEN(CAPTURA!CL115)-LEN(SUBSTITUTE(CAPTURA!CL115,";",""))+1)/8*100,1)))</f>
        <v/>
      </c>
      <c r="BH115" t="str">
        <f>IF(CAPTURA!CM115="","",IFERROR(IF(INDEX(CODIFICACION!$E$2:$E$500,MATCH("D7.26a|"&amp;CAPTURA!CM115,CODIFICACION!$F$2:$F$500,0))="sin dato","",INDEX(CODIFICACION!$E$2:$E$500,MATCH("D7.26a|"&amp;CAPTURA!CM115,CODIFICACION!$F$2:$F$500,0))),"⚠"))</f>
        <v/>
      </c>
      <c r="BI115" t="str">
        <f>IF(CAPTURA!CN115="","",IFERROR(IF(INDEX(CODIFICACION!$E$2:$E$500,MATCH("D7.26b|"&amp;CAPTURA!CN115,CODIFICACION!$F$2:$F$500,0))="sin dato","",INDEX(CODIFICACION!$E$2:$E$500,MATCH("D7.26b|"&amp;CAPTURA!CN115,CODIFICACION!$F$2:$F$500,0))),"⚠"))</f>
        <v/>
      </c>
      <c r="BJ115" t="str">
        <f>IF(CAPTURA!CO115="","",IF(AND(ISNUMBER(CAPTURA!CO115),CAPTURA!CO115&gt;=0,CAPTURA!CO115&lt;=4),CAPTURA!CO115*25,"⚠"))</f>
        <v/>
      </c>
      <c r="BK115" t="str">
        <f>IF(CAPTURA!CP115="","",IF(ISNUMBER(CAPTURA!CP115),MAX(0,MIN(100,CAPTURA!CP115)),"⚠"))</f>
        <v/>
      </c>
      <c r="BL115" t="str">
        <f>IF(CAPTURA!CQ115="","",IFERROR(IF(INDEX(CODIFICACION!$E$2:$E$500,MATCH("D8.31|"&amp;CAPTURA!CQ115,CODIFICACION!$F$2:$F$500,0))="sin dato","",INDEX(CODIFICACION!$E$2:$E$500,MATCH("D8.31|"&amp;CAPTURA!CQ115,CODIFICACION!$F$2:$F$500,0))),"⚠"))</f>
        <v/>
      </c>
      <c r="BM115" t="str">
        <f>IF(CAPTURA!CR115="","",IFERROR(IF(INDEX(CODIFICACION!$E$2:$E$500,MATCH("D8.32|"&amp;CAPTURA!CR115,CODIFICACION!$F$2:$F$500,0))="sin dato","",INDEX(CODIFICACION!$E$2:$E$500,MATCH("D8.32|"&amp;CAPTURA!CR115,CODIFICACION!$F$2:$F$500,0))),"⚠"))</f>
        <v/>
      </c>
      <c r="BN115" t="str">
        <f>IF(CAPTURA!CS115="","",IFERROR(IF(INDEX(CODIFICACION!$E$2:$E$500,MATCH("D9.33|"&amp;CAPTURA!CS115,CODIFICACION!$F$2:$F$500,0))="sin dato","",INDEX(CODIFICACION!$E$2:$E$500,MATCH("D9.33|"&amp;CAPTURA!CS115,CODIFICACION!$F$2:$F$500,0))),"⚠"))</f>
        <v/>
      </c>
      <c r="BO115" t="str">
        <f>IF(CAPTURA!CT115="","",IFERROR(IF(INDEX(CODIFICACION!$E$2:$E$500,MATCH("D9.34|"&amp;CAPTURA!CT115,CODIFICACION!$F$2:$F$500,0))="sin dato","",INDEX(CODIFICACION!$E$2:$E$500,MATCH("D9.34|"&amp;CAPTURA!CT115,CODIFICACION!$F$2:$F$500,0))),"⚠"))</f>
        <v/>
      </c>
      <c r="BP115" t="str">
        <f>IF(CAPTURA!CU115="","",IFERROR(IF(INDEX(CODIFICACION!$E$2:$E$500,MATCH("D9.35|"&amp;CAPTURA!CU115,CODIFICACION!$F$2:$F$500,0))="sin dato","",INDEX(CODIFICACION!$E$2:$E$500,MATCH("D9.35|"&amp;CAPTURA!CU115,CODIFICACION!$F$2:$F$500,0))),"⚠"))</f>
        <v/>
      </c>
      <c r="BQ115" t="str">
        <f>IF(CAPTURA!CV115="","",IFERROR(IF(INDEX(CODIFICACION!$E$2:$E$500,MATCH("D10.36|"&amp;CAPTURA!CV115,CODIFICACION!$F$2:$F$500,0))="sin dato","",INDEX(CODIFICACION!$E$2:$E$500,MATCH("D10.36|"&amp;CAPTURA!CV115,CODIFICACION!$F$2:$F$500,0))),"⚠"))</f>
        <v/>
      </c>
      <c r="BR115" t="str">
        <f>IF(CAPTURA!CW115="","",IFERROR(IF(INDEX(CODIFICACION!$E$2:$E$500,MATCH("D10.37|"&amp;CAPTURA!CW115,CODIFICACION!$F$2:$F$500,0))="sin dato","",INDEX(CODIFICACION!$E$2:$E$500,MATCH("D10.37|"&amp;CAPTURA!CW115,CODIFICACION!$F$2:$F$500,0))),"⚠"))</f>
        <v/>
      </c>
      <c r="BS115" t="str">
        <f>IF(CAPTURA!CX115="","",IFERROR(IF(INDEX(CODIFICACION!$E$2:$E$500,MATCH("D10.36a|"&amp;CAPTURA!CX115,CODIFICACION!$F$2:$F$500,0))="sin dato","",INDEX(CODIFICACION!$E$2:$E$500,MATCH("D10.36a|"&amp;CAPTURA!CX115,CODIFICACION!$F$2:$F$500,0))),"⚠"))</f>
        <v/>
      </c>
      <c r="BT115" t="str">
        <f>IF(CAPTURA!CY115="","",IF(ISNUMBER(SEARCH("Ninguno",CAPTURA!CY115)),0,MIN(100,ROUND((LEN(CAPTURA!CY115)-LEN(SUBSTITUTE(CAPTURA!CY115,";",""))+1)/6*100,1))))</f>
        <v/>
      </c>
      <c r="BU115" t="str">
        <f>IF(CAPTURA!DA115="","",IFERROR(IF(INDEX(CODIFICACION!$E$2:$E$500,MATCH("D11.39a|"&amp;CAPTURA!DA115,CODIFICACION!$F$2:$F$500,0))="sin dato","",INDEX(CODIFICACION!$E$2:$E$500,MATCH("D11.39a|"&amp;CAPTURA!DA115,CODIFICACION!$F$2:$F$500,0))),"⚠"))</f>
        <v/>
      </c>
      <c r="BV115" t="str">
        <f>IF(CAPTURA!DB115="","",IFERROR(IF(INDEX(CODIFICACION!$E$2:$E$500,MATCH("D12.42|"&amp;CAPTURA!DB115,CODIFICACION!$F$2:$F$500,0))="sin dato","",INDEX(CODIFICACION!$E$2:$E$500,MATCH("D12.42|"&amp;CAPTURA!DB115,CODIFICACION!$F$2:$F$500,0))),"⚠"))</f>
        <v/>
      </c>
      <c r="BW115" t="str">
        <f>IF(CAPTURA!DC115="","",IFERROR(IF(INDEX(CODIFICACION!$E$2:$E$500,MATCH("D13.45|"&amp;CAPTURA!DC115,CODIFICACION!$F$2:$F$500,0))="sin dato","",INDEX(CODIFICACION!$E$2:$E$500,MATCH("D13.45|"&amp;CAPTURA!DC115,CODIFICACION!$F$2:$F$500,0))),"⚠"))</f>
        <v/>
      </c>
      <c r="BX115" t="str">
        <f>IF(CAPTURA!DD115="","",IFERROR(IF(INDEX(CODIFICACION!$E$2:$E$500,MATCH("D14.51|"&amp;CAPTURA!DD115,CODIFICACION!$F$2:$F$500,0))="sin dato","",INDEX(CODIFICACION!$E$2:$E$500,MATCH("D14.51|"&amp;CAPTURA!DD115,CODIFICACION!$F$2:$F$500,0))),"⚠"))</f>
        <v/>
      </c>
      <c r="BY115" t="str">
        <f>IF(CAPTURA!DE115="","",IFERROR(IF(INDEX(CODIFICACION!$E$2:$E$500,MATCH("D15.58|"&amp;CAPTURA!DE115,CODIFICACION!$F$2:$F$500,0))="sin dato","",INDEX(CODIFICACION!$E$2:$E$500,MATCH("D15.58|"&amp;CAPTURA!DE115,CODIFICACION!$F$2:$F$500,0))),"⚠"))</f>
        <v/>
      </c>
      <c r="BZ115" t="str">
        <f>IF(CAPTURA!DF115="","",IFERROR(IF(INDEX(CODIFICACION!$E$2:$E$500,MATCH("PP1|"&amp;CAPTURA!DF115,CODIFICACION!$F$2:$F$500,0))="sin dato","",INDEX(CODIFICACION!$E$2:$E$500,MATCH("PP1|"&amp;CAPTURA!DF115,CODIFICACION!$F$2:$F$500,0))),"⚠"))</f>
        <v/>
      </c>
      <c r="CA115" t="str">
        <f>IF(CAPTURA!DG115="","",IFERROR(IF(INDEX(CODIFICACION!$E$2:$E$500,MATCH("PP2|"&amp;CAPTURA!DG115,CODIFICACION!$F$2:$F$500,0))="sin dato","",INDEX(CODIFICACION!$E$2:$E$500,MATCH("PP2|"&amp;CAPTURA!DG115,CODIFICACION!$F$2:$F$500,0))),"⚠"))</f>
        <v/>
      </c>
      <c r="CB115" t="str">
        <f t="shared" si="33"/>
        <v/>
      </c>
      <c r="CC115" t="str">
        <f t="shared" si="34"/>
        <v/>
      </c>
      <c r="CD115" t="str">
        <f t="shared" si="35"/>
        <v/>
      </c>
      <c r="CE115" t="str">
        <f t="shared" si="36"/>
        <v/>
      </c>
      <c r="CF115" t="str">
        <f t="shared" si="37"/>
        <v/>
      </c>
      <c r="CG115" t="str">
        <f t="shared" si="38"/>
        <v/>
      </c>
      <c r="CH115" t="str">
        <f t="shared" si="39"/>
        <v/>
      </c>
      <c r="CI115" t="str">
        <f t="shared" si="40"/>
        <v/>
      </c>
      <c r="CJ115" t="str">
        <f t="shared" si="41"/>
        <v/>
      </c>
      <c r="CK115" t="str">
        <f t="shared" si="42"/>
        <v/>
      </c>
      <c r="CL115" t="str">
        <f t="shared" si="43"/>
        <v/>
      </c>
    </row>
    <row r="116" spans="1:90" x14ac:dyDescent="0.3">
      <c r="A116">
        <f>CAPTURA!A116</f>
        <v>20600874919</v>
      </c>
      <c r="B116">
        <f>CAPTURA!C116</f>
        <v>0</v>
      </c>
      <c r="C116" t="str">
        <f>IF(CAPTURA!M116="","",ROUND((ISNUMBER(SEARCH("Alemania",CAPTURA!M116))+ISNUMBER(SEARCH("Bélgica",CAPTURA!M116))+ISNUMBER(SEARCH("Países Bajos",CAPTURA!M116))+ISNUMBER(SEARCH("Francia",CAPTURA!M116))+ISNUMBER(SEARCH("Italia",CAPTURA!M116))+ISNUMBER(SEARCH("España",CAPTURA!M116))+ISNUMBER(SEARCH("Suecia",CAPTURA!M116))+ISNUMBER(SEARCH("Dinamarca",CAPTURA!M116)))/((LEN(CAPTURA!M116)-LEN(SUBSTITUTE(CAPTURA!M116,";","")))+1)*100,1))</f>
        <v/>
      </c>
      <c r="D116" t="str">
        <f>IF(CAPTURA!AE116="","",IFERROR(IF(INDEX(CODIFICACION!$E$2:$E$500,MATCH("P8|"&amp;CAPTURA!AE116,CODIFICACION!$F$2:$F$500,0))="sin dato","",INDEX(CODIFICACION!$E$2:$E$500,MATCH("P8|"&amp;CAPTURA!AE116,CODIFICACION!$F$2:$F$500,0))),"⚠"))</f>
        <v/>
      </c>
      <c r="E116" t="str">
        <f>IF(CAPTURA!AG116="","",IFERROR(IF(INDEX(CODIFICACION!$E$2:$E$500,MATCH("P10|"&amp;CAPTURA!AG116,CODIFICACION!$F$2:$F$500,0))="sin dato","",INDEX(CODIFICACION!$E$2:$E$500,MATCH("P10|"&amp;CAPTURA!AG116,CODIFICACION!$F$2:$F$500,0))),"⚠"))</f>
        <v/>
      </c>
      <c r="F116" t="str">
        <f>IF(CAPTURA!AJ116="","",IFERROR(IF(INDEX(CODIFICACION!$E$2:$E$500,MATCH("P13|"&amp;CAPTURA!AJ116,CODIFICACION!$F$2:$F$500,0))="sin dato","",INDEX(CODIFICACION!$E$2:$E$500,MATCH("P13|"&amp;CAPTURA!AJ116,CODIFICACION!$F$2:$F$500,0))),"⚠"))</f>
        <v/>
      </c>
      <c r="G116" t="str">
        <f>IF(CAPTURA!AK116="","",IFERROR(IF(INDEX(CODIFICACION!$E$2:$E$500,MATCH("P14|"&amp;CAPTURA!AK116,CODIFICACION!$F$2:$F$500,0))="sin dato","",INDEX(CODIFICACION!$E$2:$E$500,MATCH("P14|"&amp;CAPTURA!AK116,CODIFICACION!$F$2:$F$500,0))),"⚠"))</f>
        <v/>
      </c>
      <c r="H116" t="str">
        <f>IF(CAPTURA!AL116="","",IFERROR(IF(INDEX(CODIFICACION!$E$2:$E$500,MATCH("D1.1|"&amp;CAPTURA!AL116,CODIFICACION!$F$2:$F$500,0))="sin dato","",INDEX(CODIFICACION!$E$2:$E$500,MATCH("D1.1|"&amp;CAPTURA!AL116,CODIFICACION!$F$2:$F$500,0))),"⚠"))</f>
        <v/>
      </c>
      <c r="I116" t="str">
        <f>IF(CAPTURA!AN116="","",IFERROR(IF(INDEX(CODIFICACION!$E$2:$E$500,MATCH("D1.3|"&amp;CAPTURA!AN116,CODIFICACION!$F$2:$F$500,0))="sin dato","",INDEX(CODIFICACION!$E$2:$E$500,MATCH("D1.3|"&amp;CAPTURA!AN116,CODIFICACION!$F$2:$F$500,0))),"⚠"))</f>
        <v/>
      </c>
      <c r="J116" t="str">
        <f>IF(CAPTURA!AO116="","",IFERROR(IF(INDEX(CODIFICACION!$E$2:$E$500,MATCH("D1.4|"&amp;CAPTURA!AO116,CODIFICACION!$F$2:$F$500,0))="sin dato","",INDEX(CODIFICACION!$E$2:$E$500,MATCH("D1.4|"&amp;CAPTURA!AO116,CODIFICACION!$F$2:$F$500,0))),"⚠"))</f>
        <v/>
      </c>
      <c r="K116" t="str">
        <f>IF(CAPTURA!AP116="","",IFERROR(IF(INDEX(CODIFICACION!$E$2:$E$500,MATCH("D1.3a|"&amp;CAPTURA!AP116,CODIFICACION!$F$2:$F$500,0))="sin dato","",INDEX(CODIFICACION!$E$2:$E$500,MATCH("D1.3a|"&amp;CAPTURA!AP116,CODIFICACION!$F$2:$F$500,0))),"⚠"))</f>
        <v/>
      </c>
      <c r="L116" t="str">
        <f>IF(CAPTURA!AQ116="","",IF(AND(ISNUMBER(CAPTURA!AQ116),CAPTURA!AQ116&gt;=0,CAPTURA!AQ116&lt;=4),CAPTURA!AQ116*25,"⚠"))</f>
        <v/>
      </c>
      <c r="M116" t="str">
        <f>IF(CAPTURA!AR116="","",IF(ISNUMBER(CAPTURA!AR116),MAX(0,MIN(100,CAPTURA!AR116)),"⚠"))</f>
        <v/>
      </c>
      <c r="N116" t="str">
        <f>IF(CAPTURA!AS116="","",IF(AND(ISNUMBER(CAPTURA!AS116),CAPTURA!AS116&gt;=0,CAPTURA!AS116&lt;=4),CAPTURA!AS116*25,"⚠"))</f>
        <v/>
      </c>
      <c r="O116" t="str">
        <f>IF(CAPTURA!AT116="","",IFERROR(IF(INDEX(CODIFICACION!$E$2:$E$500,MATCH("D2.8|"&amp;CAPTURA!AT116,CODIFICACION!$F$2:$F$500,0))="sin dato","",INDEX(CODIFICACION!$E$2:$E$500,MATCH("D2.8|"&amp;CAPTURA!AT116,CODIFICACION!$F$2:$F$500,0))),"⚠"))</f>
        <v/>
      </c>
      <c r="P116" t="str">
        <f>IF(CAPTURA!AU116="","",IFERROR(IF(INDEX(CODIFICACION!$E$2:$E$500,MATCH("D2.9|"&amp;CAPTURA!AU116,CODIFICACION!$F$2:$F$500,0))="sin dato","",INDEX(CODIFICACION!$E$2:$E$500,MATCH("D2.9|"&amp;CAPTURA!AU116,CODIFICACION!$F$2:$F$500,0))),"⚠"))</f>
        <v/>
      </c>
      <c r="Q116" t="str">
        <f>IF(CAPTURA!AV116="","",IFERROR(IF(INDEX(CODIFICACION!$E$2:$E$500,MATCH("D2.10|"&amp;CAPTURA!AV116,CODIFICACION!$F$2:$F$500,0))="sin dato","",INDEX(CODIFICACION!$E$2:$E$500,MATCH("D2.10|"&amp;CAPTURA!AV116,CODIFICACION!$F$2:$F$500,0))),"⚠"))</f>
        <v/>
      </c>
      <c r="R116" t="str">
        <f>IF(CAPTURA!AW116="","",IFERROR(IF(INDEX(CODIFICACION!$E$2:$E$500,MATCH("D2.5a|"&amp;CAPTURA!AW116,CODIFICACION!$F$2:$F$500,0))="sin dato","",INDEX(CODIFICACION!$E$2:$E$500,MATCH("D2.5a|"&amp;CAPTURA!AW116,CODIFICACION!$F$2:$F$500,0))),"⚠"))</f>
        <v/>
      </c>
      <c r="S116" t="str">
        <f>IF(CAPTURA!AX116="","",IFERROR(IF(INDEX(CODIFICACION!$E$2:$E$500,MATCH("D2.5b|"&amp;CAPTURA!AX116,CODIFICACION!$F$2:$F$500,0))="sin dato","",INDEX(CODIFICACION!$E$2:$E$500,MATCH("D2.5b|"&amp;CAPTURA!AX116,CODIFICACION!$F$2:$F$500,0))),"⚠"))</f>
        <v/>
      </c>
      <c r="T116" t="str">
        <f>IF(CAPTURA!AY116="","",IF(ISNUMBER(CAPTURA!AY116),MAX(0,MIN(100,CAPTURA!AY116)),"⚠"))</f>
        <v/>
      </c>
      <c r="U116" t="str">
        <f>IF(CAPTURA!AZ116="","",IFERROR(IF(INDEX(CODIFICACION!$E$2:$E$500,MATCH("D3.12|"&amp;CAPTURA!AZ116,CODIFICACION!$F$2:$F$500,0))="sin dato","",INDEX(CODIFICACION!$E$2:$E$500,MATCH("D3.12|"&amp;CAPTURA!AZ116,CODIFICACION!$F$2:$F$500,0))),"⚠"))</f>
        <v/>
      </c>
      <c r="V116" t="str">
        <f>IF(CAPTURA!BA116="","",IF(AND(ISNUMBER(CAPTURA!BA116),CAPTURA!BA116&gt;=0,CAPTURA!BA116&lt;=4),CAPTURA!BA116*25,"⚠"))</f>
        <v/>
      </c>
      <c r="W116" t="str">
        <f>IF(CAPTURA!BB116="","",IFERROR(IF(INDEX(CODIFICACION!$E$2:$E$500,MATCH("D3.14|"&amp;CAPTURA!BB116,CODIFICACION!$F$2:$F$500,0))="sin dato","",INDEX(CODIFICACION!$E$2:$E$500,MATCH("D3.14|"&amp;CAPTURA!BB116,CODIFICACION!$F$2:$F$500,0))),"⚠"))</f>
        <v/>
      </c>
      <c r="X116" t="str">
        <f>IF(CAPTURA!BC116="","",IFERROR(IF(INDEX(CODIFICACION!$E$2:$E$500,MATCH("D3.14a|"&amp;CAPTURA!BC116,CODIFICACION!$F$2:$F$500,0))="sin dato","",INDEX(CODIFICACION!$E$2:$E$500,MATCH("D3.14a|"&amp;CAPTURA!BC116,CODIFICACION!$F$2:$F$500,0))),"⚠"))</f>
        <v/>
      </c>
      <c r="Y116" t="str">
        <f>IF(CAPTURA!BD116="","",IFERROR(IF(INDEX(CODIFICACION!$E$2:$E$500,MATCH("D3.14b|"&amp;CAPTURA!BD116,CODIFICACION!$F$2:$F$500,0))="sin dato","",INDEX(CODIFICACION!$E$2:$E$500,MATCH("D3.14b|"&amp;CAPTURA!BD116,CODIFICACION!$F$2:$F$500,0))),"⚠"))</f>
        <v/>
      </c>
      <c r="Z116" t="str">
        <f>IF(CAPTURA!BE116="","",IFERROR(IF(INDEX(CODIFICACION!$E$2:$E$500,MATCH("D3.14c|"&amp;CAPTURA!BE116,CODIFICACION!$F$2:$F$500,0))="sin dato","",INDEX(CODIFICACION!$E$2:$E$500,MATCH("D3.14c|"&amp;CAPTURA!BE116,CODIFICACION!$F$2:$F$500,0))),"⚠"))</f>
        <v/>
      </c>
      <c r="AA116" t="str">
        <f>IF(CAPTURA!BF116="","",IFERROR(IF(INDEX(CODIFICACION!$E$2:$E$500,MATCH("D3.14d|"&amp;CAPTURA!BF116,CODIFICACION!$F$2:$F$500,0))="sin dato","",INDEX(CODIFICACION!$E$2:$E$500,MATCH("D3.14d|"&amp;CAPTURA!BF116,CODIFICACION!$F$2:$F$500,0))),"⚠"))</f>
        <v/>
      </c>
      <c r="AB116" t="str">
        <f>IF(CAPTURA!BG116="","",IFERROR(IF(INDEX(CODIFICACION!$E$2:$E$500,MATCH("D3.14e|"&amp;CAPTURA!BG116,CODIFICACION!$F$2:$F$500,0))="sin dato","",INDEX(CODIFICACION!$E$2:$E$500,MATCH("D3.14e|"&amp;CAPTURA!BG116,CODIFICACION!$F$2:$F$500,0))),"⚠"))</f>
        <v/>
      </c>
      <c r="AC116" t="str">
        <f>IF(CAPTURA!BH116="","",IFERROR(IF(INDEX(CODIFICACION!$E$2:$E$500,MATCH("D3.14f|"&amp;CAPTURA!BH116,CODIFICACION!$F$2:$F$500,0))="sin dato","",INDEX(CODIFICACION!$E$2:$E$500,MATCH("D3.14f|"&amp;CAPTURA!BH116,CODIFICACION!$F$2:$F$500,0))),"⚠"))</f>
        <v/>
      </c>
      <c r="AD116" t="str">
        <f>IF(CAPTURA!BI116="","",IFERROR(IF(INDEX(CODIFICACION!$E$2:$E$500,MATCH("D3.14g|"&amp;CAPTURA!BI116,CODIFICACION!$F$2:$F$500,0))="sin dato","",INDEX(CODIFICACION!$E$2:$E$500,MATCH("D3.14g|"&amp;CAPTURA!BI116,CODIFICACION!$F$2:$F$500,0))),"⚠"))</f>
        <v/>
      </c>
      <c r="AE116" t="str">
        <f>IF(CAPTURA!BJ116="","",IFERROR(IF(INDEX(CODIFICACION!$E$2:$E$500,MATCH("D3.14h|"&amp;CAPTURA!BJ116,CODIFICACION!$F$2:$F$500,0))="sin dato","",INDEX(CODIFICACION!$E$2:$E$500,MATCH("D3.14h|"&amp;CAPTURA!BJ116,CODIFICACION!$F$2:$F$500,0))),"⚠"))</f>
        <v/>
      </c>
      <c r="AF116" t="str">
        <f>IF(CAPTURA!BK116="","",IFERROR(IF(INDEX(CODIFICACION!$E$2:$E$500,MATCH("D3.14i|"&amp;CAPTURA!BK116,CODIFICACION!$F$2:$F$500,0))="sin dato","",INDEX(CODIFICACION!$E$2:$E$500,MATCH("D3.14i|"&amp;CAPTURA!BK116,CODIFICACION!$F$2:$F$500,0))),"⚠"))</f>
        <v/>
      </c>
      <c r="AG116" t="str">
        <f>IF(CAPTURA!BL116="","",IFERROR(IF(INDEX(CODIFICACION!$E$2:$E$500,MATCH("D4.15|"&amp;CAPTURA!BL116,CODIFICACION!$F$2:$F$500,0))="sin dato","",INDEX(CODIFICACION!$E$2:$E$500,MATCH("D4.15|"&amp;CAPTURA!BL116,CODIFICACION!$F$2:$F$500,0))),"⚠"))</f>
        <v/>
      </c>
      <c r="AH116" t="str">
        <f>IF(CAPTURA!BM116="","",IF(AND(ISNUMBER(CAPTURA!BM116),CAPTURA!BM116&gt;=0,CAPTURA!BM116&lt;=4),CAPTURA!BM116*25,"⚠"))</f>
        <v/>
      </c>
      <c r="AI116" t="str">
        <f>IF(CAPTURA!BN116="","",IFERROR(IF(INDEX(CODIFICACION!$E$2:$E$500,MATCH("D4.17|"&amp;CAPTURA!BN116,CODIFICACION!$F$2:$F$500,0))="sin dato","",INDEX(CODIFICACION!$E$2:$E$500,MATCH("D4.17|"&amp;CAPTURA!BN116,CODIFICACION!$F$2:$F$500,0))),"⚠"))</f>
        <v/>
      </c>
      <c r="AJ116" t="str">
        <f>IF(CAPTURA!BO116="","",IFERROR(IF(INDEX(CODIFICACION!$E$2:$E$500,MATCH("D4.15a|"&amp;CAPTURA!BO116,CODIFICACION!$F$2:$F$500,0))="sin dato","",INDEX(CODIFICACION!$E$2:$E$500,MATCH("D4.15a|"&amp;CAPTURA!BO116,CODIFICACION!$F$2:$F$500,0))),"⚠"))</f>
        <v/>
      </c>
      <c r="AK116" t="str">
        <f>IF(CAPTURA!BP116="","",IF(AND(ISNUMBER(CAPTURA!BP116),CAPTURA!BP116&gt;=0,CAPTURA!BP116&lt;=4),CAPTURA!BP116*25,"⚠"))</f>
        <v/>
      </c>
      <c r="AL116" t="str">
        <f>IF(CAPTURA!BQ116="","",IF(AND(ISNUMBER(CAPTURA!BQ116),CAPTURA!BQ116&gt;=0,CAPTURA!BQ116&lt;=4),CAPTURA!BQ116*25,"⚠"))</f>
        <v/>
      </c>
      <c r="AM116" t="str">
        <f>IF(CAPTURA!BR116="","",IFERROR(IF(INDEX(CODIFICACION!$E$2:$E$500,MATCH("D5.18b|"&amp;CAPTURA!BR116,CODIFICACION!$F$2:$F$500,0))="sin dato","",INDEX(CODIFICACION!$E$2:$E$500,MATCH("D5.18b|"&amp;CAPTURA!BR116,CODIFICACION!$F$2:$F$500,0))),"⚠"))</f>
        <v/>
      </c>
      <c r="AN116" t="str">
        <f>IF(CAPTURA!BS116="","",IFERROR(IF(INDEX(CODIFICACION!$E$2:$E$500,MATCH("D5.19|"&amp;CAPTURA!BS116,CODIFICACION!$F$2:$F$500,0))="sin dato","",INDEX(CODIFICACION!$E$2:$E$500,MATCH("D5.19|"&amp;CAPTURA!BS116,CODIFICACION!$F$2:$F$500,0))),"⚠"))</f>
        <v/>
      </c>
      <c r="AO116" t="str">
        <f>IF(CAPTURA!BT116="","",MIN(100,ROUND((LEN(CAPTURA!BT116)-LEN(SUBSTITUTE(CAPTURA!BT116,";",""))+1)/7*100,1)))</f>
        <v/>
      </c>
      <c r="AP116" t="str">
        <f>IF(CAPTURA!BU116="","",IFERROR(IF(INDEX(CODIFICACION!$E$2:$E$500,MATCH("D5.20|"&amp;CAPTURA!BU116,CODIFICACION!$F$2:$F$500,0))="sin dato","",INDEX(CODIFICACION!$E$2:$E$500,MATCH("D5.20|"&amp;CAPTURA!BU116,CODIFICACION!$F$2:$F$500,0))),"⚠"))</f>
        <v/>
      </c>
      <c r="AQ116" t="str">
        <f>IF(CAPTURA!BV116="","",IFERROR(IF(INDEX(CODIFICACION!$E$2:$E$500,MATCH("D5.21|"&amp;CAPTURA!BV116,CODIFICACION!$F$2:$F$500,0))="sin dato","",INDEX(CODIFICACION!$E$2:$E$500,MATCH("D5.21|"&amp;CAPTURA!BV116,CODIFICACION!$F$2:$F$500,0))),"⚠"))</f>
        <v/>
      </c>
      <c r="AR116" t="str">
        <f>IF(CAPTURA!BW116="","",IFERROR(IF(INDEX(CODIFICACION!$E$2:$E$500,MATCH("D5.21a|"&amp;CAPTURA!BW116,CODIFICACION!$F$2:$F$500,0))="sin dato","",INDEX(CODIFICACION!$E$2:$E$500,MATCH("D5.21a|"&amp;CAPTURA!BW116,CODIFICACION!$F$2:$F$500,0))),"⚠"))</f>
        <v/>
      </c>
      <c r="AS116" t="str">
        <f>IF(CAPTURA!BX116="","",IFERROR(IF(INDEX(CODIFICACION!$E$2:$E$500,MATCH("D5.21b|"&amp;CAPTURA!BX116,CODIFICACION!$F$2:$F$500,0))="sin dato","",INDEX(CODIFICACION!$E$2:$E$500,MATCH("D5.21b|"&amp;CAPTURA!BX116,CODIFICACION!$F$2:$F$500,0))),"⚠"))</f>
        <v/>
      </c>
      <c r="AT116" t="str">
        <f>IF(CAPTURA!BY116="","",IFERROR(IF(INDEX(CODIFICACION!$E$2:$E$500,MATCH("D6.22|"&amp;CAPTURA!BY116,CODIFICACION!$F$2:$F$500,0))="sin dato","",INDEX(CODIFICACION!$E$2:$E$500,MATCH("D6.22|"&amp;CAPTURA!BY116,CODIFICACION!$F$2:$F$500,0))),"⚠"))</f>
        <v/>
      </c>
      <c r="AU116" t="str">
        <f>IF(CAPTURA!BZ116="","",IFERROR(IF(INDEX(CODIFICACION!$E$2:$E$500,MATCH("D6.22a|"&amp;CAPTURA!BZ116,CODIFICACION!$F$2:$F$500,0))="sin dato","",INDEX(CODIFICACION!$E$2:$E$500,MATCH("D6.22a|"&amp;CAPTURA!BZ116,CODIFICACION!$F$2:$F$500,0))),"⚠"))</f>
        <v/>
      </c>
      <c r="AV116" t="str">
        <f>IF(CAPTURA!CA116="","",IFERROR(IF(INDEX(CODIFICACION!$E$2:$E$500,MATCH("D6.22b|"&amp;CAPTURA!CA116,CODIFICACION!$F$2:$F$500,0))="sin dato","",INDEX(CODIFICACION!$E$2:$E$500,MATCH("D6.22b|"&amp;CAPTURA!CA116,CODIFICACION!$F$2:$F$500,0))),"⚠"))</f>
        <v/>
      </c>
      <c r="AW116" t="str">
        <f>IF(CAPTURA!CB116="","",IFERROR(IF(INDEX(CODIFICACION!$E$2:$E$500,MATCH("D6.23|"&amp;CAPTURA!CB116,CODIFICACION!$F$2:$F$500,0))="sin dato","",INDEX(CODIFICACION!$E$2:$E$500,MATCH("D6.23|"&amp;CAPTURA!CB116,CODIFICACION!$F$2:$F$500,0))),"⚠"))</f>
        <v/>
      </c>
      <c r="AX116" t="str">
        <f>IF(CAPTURA!CC116="","",IFERROR(IF(INDEX(CODIFICACION!$E$2:$E$500,MATCH("D6.24|"&amp;CAPTURA!CC116,CODIFICACION!$F$2:$F$500,0))="sin dato","",INDEX(CODIFICACION!$E$2:$E$500,MATCH("D6.24|"&amp;CAPTURA!CC116,CODIFICACION!$F$2:$F$500,0))),"⚠"))</f>
        <v/>
      </c>
      <c r="AY116" t="str">
        <f>IF(CAPTURA!CD116="","",IFERROR(IF(INDEX(CODIFICACION!$E$2:$E$500,MATCH("D6.25|"&amp;CAPTURA!CD116,CODIFICACION!$F$2:$F$500,0))="sin dato","",INDEX(CODIFICACION!$E$2:$E$500,MATCH("D6.25|"&amp;CAPTURA!CD116,CODIFICACION!$F$2:$F$500,0))),"⚠"))</f>
        <v/>
      </c>
      <c r="AZ116" t="str">
        <f>IF(CAPTURA!CE116="","",IFERROR(IF(INDEX(CODIFICACION!$E$2:$E$500,MATCH("D6.25a|"&amp;CAPTURA!CE116,CODIFICACION!$F$2:$F$500,0))="sin dato","",INDEX(CODIFICACION!$E$2:$E$500,MATCH("D6.25a|"&amp;CAPTURA!CE116,CODIFICACION!$F$2:$F$500,0))),"⚠"))</f>
        <v/>
      </c>
      <c r="BA116" t="str">
        <f>IF(CAPTURA!CF116="","",IFERROR(IF(INDEX(CODIFICACION!$E$2:$E$500,MATCH("D6.25b|"&amp;CAPTURA!CF116,CODIFICACION!$F$2:$F$500,0))="sin dato","",INDEX(CODIFICACION!$E$2:$E$500,MATCH("D6.25b|"&amp;CAPTURA!CF116,CODIFICACION!$F$2:$F$500,0))),"⚠"))</f>
        <v/>
      </c>
      <c r="BB116" t="str">
        <f>IF(CAPTURA!CG116="","",IFERROR(IF(INDEX(CODIFICACION!$E$2:$E$500,MATCH("D6.22c|"&amp;CAPTURA!CG116,CODIFICACION!$F$2:$F$500,0))="sin dato","",INDEX(CODIFICACION!$E$2:$E$500,MATCH("D6.22c|"&amp;CAPTURA!CG116,CODIFICACION!$F$2:$F$500,0))),"⚠"))</f>
        <v/>
      </c>
      <c r="BC116" t="str">
        <f>IF(CAPTURA!CH116="","",IFERROR(IF(INDEX(CODIFICACION!$E$2:$E$500,MATCH("D7.26|"&amp;CAPTURA!CH116,CODIFICACION!$F$2:$F$500,0))="sin dato","",INDEX(CODIFICACION!$E$2:$E$500,MATCH("D7.26|"&amp;CAPTURA!CH116,CODIFICACION!$F$2:$F$500,0))),"⚠"))</f>
        <v/>
      </c>
      <c r="BD116" t="str">
        <f>IF(CAPTURA!CI116="","",IFERROR(IF(INDEX(CODIFICACION!$E$2:$E$500,MATCH("D7.27|"&amp;CAPTURA!CI116,CODIFICACION!$F$2:$F$500,0))="sin dato","",INDEX(CODIFICACION!$E$2:$E$500,MATCH("D7.27|"&amp;CAPTURA!CI116,CODIFICACION!$F$2:$F$500,0))),"⚠"))</f>
        <v/>
      </c>
      <c r="BE116" t="str">
        <f>IF(CAPTURA!CJ116="","",IFERROR(IF(INDEX(CODIFICACION!$E$2:$E$500,MATCH("D7.28|"&amp;CAPTURA!CJ116,CODIFICACION!$F$2:$F$500,0))="sin dato","",INDEX(CODIFICACION!$E$2:$E$500,MATCH("D7.28|"&amp;CAPTURA!CJ116,CODIFICACION!$F$2:$F$500,0))),"⚠"))</f>
        <v/>
      </c>
      <c r="BF116" t="str">
        <f>IF(CAPTURA!CK116="","",IFERROR(IF(INDEX(CODIFICACION!$E$2:$E$500,MATCH("D7.28b|"&amp;CAPTURA!CK116,CODIFICACION!$F$2:$F$500,0))="sin dato","",INDEX(CODIFICACION!$E$2:$E$500,MATCH("D7.28b|"&amp;CAPTURA!CK116,CODIFICACION!$F$2:$F$500,0))),"⚠"))</f>
        <v/>
      </c>
      <c r="BG116" t="str">
        <f>IF(CAPTURA!CL116="","",MIN(100,ROUND((LEN(CAPTURA!CL116)-LEN(SUBSTITUTE(CAPTURA!CL116,";",""))+1)/8*100,1)))</f>
        <v/>
      </c>
      <c r="BH116" t="str">
        <f>IF(CAPTURA!CM116="","",IFERROR(IF(INDEX(CODIFICACION!$E$2:$E$500,MATCH("D7.26a|"&amp;CAPTURA!CM116,CODIFICACION!$F$2:$F$500,0))="sin dato","",INDEX(CODIFICACION!$E$2:$E$500,MATCH("D7.26a|"&amp;CAPTURA!CM116,CODIFICACION!$F$2:$F$500,0))),"⚠"))</f>
        <v/>
      </c>
      <c r="BI116" t="str">
        <f>IF(CAPTURA!CN116="","",IFERROR(IF(INDEX(CODIFICACION!$E$2:$E$500,MATCH("D7.26b|"&amp;CAPTURA!CN116,CODIFICACION!$F$2:$F$500,0))="sin dato","",INDEX(CODIFICACION!$E$2:$E$500,MATCH("D7.26b|"&amp;CAPTURA!CN116,CODIFICACION!$F$2:$F$500,0))),"⚠"))</f>
        <v/>
      </c>
      <c r="BJ116" t="str">
        <f>IF(CAPTURA!CO116="","",IF(AND(ISNUMBER(CAPTURA!CO116),CAPTURA!CO116&gt;=0,CAPTURA!CO116&lt;=4),CAPTURA!CO116*25,"⚠"))</f>
        <v/>
      </c>
      <c r="BK116" t="str">
        <f>IF(CAPTURA!CP116="","",IF(ISNUMBER(CAPTURA!CP116),MAX(0,MIN(100,CAPTURA!CP116)),"⚠"))</f>
        <v/>
      </c>
      <c r="BL116" t="str">
        <f>IF(CAPTURA!CQ116="","",IFERROR(IF(INDEX(CODIFICACION!$E$2:$E$500,MATCH("D8.31|"&amp;CAPTURA!CQ116,CODIFICACION!$F$2:$F$500,0))="sin dato","",INDEX(CODIFICACION!$E$2:$E$500,MATCH("D8.31|"&amp;CAPTURA!CQ116,CODIFICACION!$F$2:$F$500,0))),"⚠"))</f>
        <v/>
      </c>
      <c r="BM116" t="str">
        <f>IF(CAPTURA!CR116="","",IFERROR(IF(INDEX(CODIFICACION!$E$2:$E$500,MATCH("D8.32|"&amp;CAPTURA!CR116,CODIFICACION!$F$2:$F$500,0))="sin dato","",INDEX(CODIFICACION!$E$2:$E$500,MATCH("D8.32|"&amp;CAPTURA!CR116,CODIFICACION!$F$2:$F$500,0))),"⚠"))</f>
        <v/>
      </c>
      <c r="BN116" t="str">
        <f>IF(CAPTURA!CS116="","",IFERROR(IF(INDEX(CODIFICACION!$E$2:$E$500,MATCH("D9.33|"&amp;CAPTURA!CS116,CODIFICACION!$F$2:$F$500,0))="sin dato","",INDEX(CODIFICACION!$E$2:$E$500,MATCH("D9.33|"&amp;CAPTURA!CS116,CODIFICACION!$F$2:$F$500,0))),"⚠"))</f>
        <v/>
      </c>
      <c r="BO116" t="str">
        <f>IF(CAPTURA!CT116="","",IFERROR(IF(INDEX(CODIFICACION!$E$2:$E$500,MATCH("D9.34|"&amp;CAPTURA!CT116,CODIFICACION!$F$2:$F$500,0))="sin dato","",INDEX(CODIFICACION!$E$2:$E$500,MATCH("D9.34|"&amp;CAPTURA!CT116,CODIFICACION!$F$2:$F$500,0))),"⚠"))</f>
        <v/>
      </c>
      <c r="BP116" t="str">
        <f>IF(CAPTURA!CU116="","",IFERROR(IF(INDEX(CODIFICACION!$E$2:$E$500,MATCH("D9.35|"&amp;CAPTURA!CU116,CODIFICACION!$F$2:$F$500,0))="sin dato","",INDEX(CODIFICACION!$E$2:$E$500,MATCH("D9.35|"&amp;CAPTURA!CU116,CODIFICACION!$F$2:$F$500,0))),"⚠"))</f>
        <v/>
      </c>
      <c r="BQ116" t="str">
        <f>IF(CAPTURA!CV116="","",IFERROR(IF(INDEX(CODIFICACION!$E$2:$E$500,MATCH("D10.36|"&amp;CAPTURA!CV116,CODIFICACION!$F$2:$F$500,0))="sin dato","",INDEX(CODIFICACION!$E$2:$E$500,MATCH("D10.36|"&amp;CAPTURA!CV116,CODIFICACION!$F$2:$F$500,0))),"⚠"))</f>
        <v/>
      </c>
      <c r="BR116" t="str">
        <f>IF(CAPTURA!CW116="","",IFERROR(IF(INDEX(CODIFICACION!$E$2:$E$500,MATCH("D10.37|"&amp;CAPTURA!CW116,CODIFICACION!$F$2:$F$500,0))="sin dato","",INDEX(CODIFICACION!$E$2:$E$500,MATCH("D10.37|"&amp;CAPTURA!CW116,CODIFICACION!$F$2:$F$500,0))),"⚠"))</f>
        <v/>
      </c>
      <c r="BS116" t="str">
        <f>IF(CAPTURA!CX116="","",IFERROR(IF(INDEX(CODIFICACION!$E$2:$E$500,MATCH("D10.36a|"&amp;CAPTURA!CX116,CODIFICACION!$F$2:$F$500,0))="sin dato","",INDEX(CODIFICACION!$E$2:$E$500,MATCH("D10.36a|"&amp;CAPTURA!CX116,CODIFICACION!$F$2:$F$500,0))),"⚠"))</f>
        <v/>
      </c>
      <c r="BT116" t="str">
        <f>IF(CAPTURA!CY116="","",IF(ISNUMBER(SEARCH("Ninguno",CAPTURA!CY116)),0,MIN(100,ROUND((LEN(CAPTURA!CY116)-LEN(SUBSTITUTE(CAPTURA!CY116,";",""))+1)/6*100,1))))</f>
        <v/>
      </c>
      <c r="BU116" t="str">
        <f>IF(CAPTURA!DA116="","",IFERROR(IF(INDEX(CODIFICACION!$E$2:$E$500,MATCH("D11.39a|"&amp;CAPTURA!DA116,CODIFICACION!$F$2:$F$500,0))="sin dato","",INDEX(CODIFICACION!$E$2:$E$500,MATCH("D11.39a|"&amp;CAPTURA!DA116,CODIFICACION!$F$2:$F$500,0))),"⚠"))</f>
        <v/>
      </c>
      <c r="BV116" t="str">
        <f>IF(CAPTURA!DB116="","",IFERROR(IF(INDEX(CODIFICACION!$E$2:$E$500,MATCH("D12.42|"&amp;CAPTURA!DB116,CODIFICACION!$F$2:$F$500,0))="sin dato","",INDEX(CODIFICACION!$E$2:$E$500,MATCH("D12.42|"&amp;CAPTURA!DB116,CODIFICACION!$F$2:$F$500,0))),"⚠"))</f>
        <v/>
      </c>
      <c r="BW116" t="str">
        <f>IF(CAPTURA!DC116="","",IFERROR(IF(INDEX(CODIFICACION!$E$2:$E$500,MATCH("D13.45|"&amp;CAPTURA!DC116,CODIFICACION!$F$2:$F$500,0))="sin dato","",INDEX(CODIFICACION!$E$2:$E$500,MATCH("D13.45|"&amp;CAPTURA!DC116,CODIFICACION!$F$2:$F$500,0))),"⚠"))</f>
        <v/>
      </c>
      <c r="BX116" t="str">
        <f>IF(CAPTURA!DD116="","",IFERROR(IF(INDEX(CODIFICACION!$E$2:$E$500,MATCH("D14.51|"&amp;CAPTURA!DD116,CODIFICACION!$F$2:$F$500,0))="sin dato","",INDEX(CODIFICACION!$E$2:$E$500,MATCH("D14.51|"&amp;CAPTURA!DD116,CODIFICACION!$F$2:$F$500,0))),"⚠"))</f>
        <v/>
      </c>
      <c r="BY116" t="str">
        <f>IF(CAPTURA!DE116="","",IFERROR(IF(INDEX(CODIFICACION!$E$2:$E$500,MATCH("D15.58|"&amp;CAPTURA!DE116,CODIFICACION!$F$2:$F$500,0))="sin dato","",INDEX(CODIFICACION!$E$2:$E$500,MATCH("D15.58|"&amp;CAPTURA!DE116,CODIFICACION!$F$2:$F$500,0))),"⚠"))</f>
        <v/>
      </c>
      <c r="BZ116" t="str">
        <f>IF(CAPTURA!DF116="","",IFERROR(IF(INDEX(CODIFICACION!$E$2:$E$500,MATCH("PP1|"&amp;CAPTURA!DF116,CODIFICACION!$F$2:$F$500,0))="sin dato","",INDEX(CODIFICACION!$E$2:$E$500,MATCH("PP1|"&amp;CAPTURA!DF116,CODIFICACION!$F$2:$F$500,0))),"⚠"))</f>
        <v/>
      </c>
      <c r="CA116" t="str">
        <f>IF(CAPTURA!DG116="","",IFERROR(IF(INDEX(CODIFICACION!$E$2:$E$500,MATCH("PP2|"&amp;CAPTURA!DG116,CODIFICACION!$F$2:$F$500,0))="sin dato","",INDEX(CODIFICACION!$E$2:$E$500,MATCH("PP2|"&amp;CAPTURA!DG116,CODIFICACION!$F$2:$F$500,0))),"⚠"))</f>
        <v/>
      </c>
      <c r="CB116" t="str">
        <f t="shared" si="33"/>
        <v/>
      </c>
      <c r="CC116" t="str">
        <f t="shared" si="34"/>
        <v/>
      </c>
      <c r="CD116" t="str">
        <f t="shared" si="35"/>
        <v/>
      </c>
      <c r="CE116" t="str">
        <f t="shared" si="36"/>
        <v/>
      </c>
      <c r="CF116" t="str">
        <f t="shared" si="37"/>
        <v/>
      </c>
      <c r="CG116" t="str">
        <f t="shared" si="38"/>
        <v/>
      </c>
      <c r="CH116" t="str">
        <f t="shared" si="39"/>
        <v/>
      </c>
      <c r="CI116" t="str">
        <f t="shared" si="40"/>
        <v/>
      </c>
      <c r="CJ116" t="str">
        <f t="shared" si="41"/>
        <v/>
      </c>
      <c r="CK116" t="str">
        <f t="shared" si="42"/>
        <v/>
      </c>
      <c r="CL116" t="str">
        <f t="shared" si="43"/>
        <v/>
      </c>
    </row>
    <row r="117" spans="1:90" x14ac:dyDescent="0.3">
      <c r="A117">
        <f>CAPTURA!A117</f>
        <v>20600964080</v>
      </c>
      <c r="B117">
        <f>CAPTURA!C117</f>
        <v>0</v>
      </c>
      <c r="C117" t="str">
        <f>IF(CAPTURA!M117="","",ROUND((ISNUMBER(SEARCH("Alemania",CAPTURA!M117))+ISNUMBER(SEARCH("Bélgica",CAPTURA!M117))+ISNUMBER(SEARCH("Países Bajos",CAPTURA!M117))+ISNUMBER(SEARCH("Francia",CAPTURA!M117))+ISNUMBER(SEARCH("Italia",CAPTURA!M117))+ISNUMBER(SEARCH("España",CAPTURA!M117))+ISNUMBER(SEARCH("Suecia",CAPTURA!M117))+ISNUMBER(SEARCH("Dinamarca",CAPTURA!M117)))/((LEN(CAPTURA!M117)-LEN(SUBSTITUTE(CAPTURA!M117,";","")))+1)*100,1))</f>
        <v/>
      </c>
      <c r="D117" t="str">
        <f>IF(CAPTURA!AE117="","",IFERROR(IF(INDEX(CODIFICACION!$E$2:$E$500,MATCH("P8|"&amp;CAPTURA!AE117,CODIFICACION!$F$2:$F$500,0))="sin dato","",INDEX(CODIFICACION!$E$2:$E$500,MATCH("P8|"&amp;CAPTURA!AE117,CODIFICACION!$F$2:$F$500,0))),"⚠"))</f>
        <v/>
      </c>
      <c r="E117" t="str">
        <f>IF(CAPTURA!AG117="","",IFERROR(IF(INDEX(CODIFICACION!$E$2:$E$500,MATCH("P10|"&amp;CAPTURA!AG117,CODIFICACION!$F$2:$F$500,0))="sin dato","",INDEX(CODIFICACION!$E$2:$E$500,MATCH("P10|"&amp;CAPTURA!AG117,CODIFICACION!$F$2:$F$500,0))),"⚠"))</f>
        <v/>
      </c>
      <c r="F117" t="str">
        <f>IF(CAPTURA!AJ117="","",IFERROR(IF(INDEX(CODIFICACION!$E$2:$E$500,MATCH("P13|"&amp;CAPTURA!AJ117,CODIFICACION!$F$2:$F$500,0))="sin dato","",INDEX(CODIFICACION!$E$2:$E$500,MATCH("P13|"&amp;CAPTURA!AJ117,CODIFICACION!$F$2:$F$500,0))),"⚠"))</f>
        <v/>
      </c>
      <c r="G117" t="str">
        <f>IF(CAPTURA!AK117="","",IFERROR(IF(INDEX(CODIFICACION!$E$2:$E$500,MATCH("P14|"&amp;CAPTURA!AK117,CODIFICACION!$F$2:$F$500,0))="sin dato","",INDEX(CODIFICACION!$E$2:$E$500,MATCH("P14|"&amp;CAPTURA!AK117,CODIFICACION!$F$2:$F$500,0))),"⚠"))</f>
        <v/>
      </c>
      <c r="H117" t="str">
        <f>IF(CAPTURA!AL117="","",IFERROR(IF(INDEX(CODIFICACION!$E$2:$E$500,MATCH("D1.1|"&amp;CAPTURA!AL117,CODIFICACION!$F$2:$F$500,0))="sin dato","",INDEX(CODIFICACION!$E$2:$E$500,MATCH("D1.1|"&amp;CAPTURA!AL117,CODIFICACION!$F$2:$F$500,0))),"⚠"))</f>
        <v/>
      </c>
      <c r="I117" t="str">
        <f>IF(CAPTURA!AN117="","",IFERROR(IF(INDEX(CODIFICACION!$E$2:$E$500,MATCH("D1.3|"&amp;CAPTURA!AN117,CODIFICACION!$F$2:$F$500,0))="sin dato","",INDEX(CODIFICACION!$E$2:$E$500,MATCH("D1.3|"&amp;CAPTURA!AN117,CODIFICACION!$F$2:$F$500,0))),"⚠"))</f>
        <v/>
      </c>
      <c r="J117" t="str">
        <f>IF(CAPTURA!AO117="","",IFERROR(IF(INDEX(CODIFICACION!$E$2:$E$500,MATCH("D1.4|"&amp;CAPTURA!AO117,CODIFICACION!$F$2:$F$500,0))="sin dato","",INDEX(CODIFICACION!$E$2:$E$500,MATCH("D1.4|"&amp;CAPTURA!AO117,CODIFICACION!$F$2:$F$500,0))),"⚠"))</f>
        <v/>
      </c>
      <c r="K117" t="str">
        <f>IF(CAPTURA!AP117="","",IFERROR(IF(INDEX(CODIFICACION!$E$2:$E$500,MATCH("D1.3a|"&amp;CAPTURA!AP117,CODIFICACION!$F$2:$F$500,0))="sin dato","",INDEX(CODIFICACION!$E$2:$E$500,MATCH("D1.3a|"&amp;CAPTURA!AP117,CODIFICACION!$F$2:$F$500,0))),"⚠"))</f>
        <v/>
      </c>
      <c r="L117" t="str">
        <f>IF(CAPTURA!AQ117="","",IF(AND(ISNUMBER(CAPTURA!AQ117),CAPTURA!AQ117&gt;=0,CAPTURA!AQ117&lt;=4),CAPTURA!AQ117*25,"⚠"))</f>
        <v/>
      </c>
      <c r="M117" t="str">
        <f>IF(CAPTURA!AR117="","",IF(ISNUMBER(CAPTURA!AR117),MAX(0,MIN(100,CAPTURA!AR117)),"⚠"))</f>
        <v/>
      </c>
      <c r="N117" t="str">
        <f>IF(CAPTURA!AS117="","",IF(AND(ISNUMBER(CAPTURA!AS117),CAPTURA!AS117&gt;=0,CAPTURA!AS117&lt;=4),CAPTURA!AS117*25,"⚠"))</f>
        <v/>
      </c>
      <c r="O117" t="str">
        <f>IF(CAPTURA!AT117="","",IFERROR(IF(INDEX(CODIFICACION!$E$2:$E$500,MATCH("D2.8|"&amp;CAPTURA!AT117,CODIFICACION!$F$2:$F$500,0))="sin dato","",INDEX(CODIFICACION!$E$2:$E$500,MATCH("D2.8|"&amp;CAPTURA!AT117,CODIFICACION!$F$2:$F$500,0))),"⚠"))</f>
        <v/>
      </c>
      <c r="P117" t="str">
        <f>IF(CAPTURA!AU117="","",IFERROR(IF(INDEX(CODIFICACION!$E$2:$E$500,MATCH("D2.9|"&amp;CAPTURA!AU117,CODIFICACION!$F$2:$F$500,0))="sin dato","",INDEX(CODIFICACION!$E$2:$E$500,MATCH("D2.9|"&amp;CAPTURA!AU117,CODIFICACION!$F$2:$F$500,0))),"⚠"))</f>
        <v/>
      </c>
      <c r="Q117" t="str">
        <f>IF(CAPTURA!AV117="","",IFERROR(IF(INDEX(CODIFICACION!$E$2:$E$500,MATCH("D2.10|"&amp;CAPTURA!AV117,CODIFICACION!$F$2:$F$500,0))="sin dato","",INDEX(CODIFICACION!$E$2:$E$500,MATCH("D2.10|"&amp;CAPTURA!AV117,CODIFICACION!$F$2:$F$500,0))),"⚠"))</f>
        <v/>
      </c>
      <c r="R117" t="str">
        <f>IF(CAPTURA!AW117="","",IFERROR(IF(INDEX(CODIFICACION!$E$2:$E$500,MATCH("D2.5a|"&amp;CAPTURA!AW117,CODIFICACION!$F$2:$F$500,0))="sin dato","",INDEX(CODIFICACION!$E$2:$E$500,MATCH("D2.5a|"&amp;CAPTURA!AW117,CODIFICACION!$F$2:$F$500,0))),"⚠"))</f>
        <v/>
      </c>
      <c r="S117" t="str">
        <f>IF(CAPTURA!AX117="","",IFERROR(IF(INDEX(CODIFICACION!$E$2:$E$500,MATCH("D2.5b|"&amp;CAPTURA!AX117,CODIFICACION!$F$2:$F$500,0))="sin dato","",INDEX(CODIFICACION!$E$2:$E$500,MATCH("D2.5b|"&amp;CAPTURA!AX117,CODIFICACION!$F$2:$F$500,0))),"⚠"))</f>
        <v/>
      </c>
      <c r="T117" t="str">
        <f>IF(CAPTURA!AY117="","",IF(ISNUMBER(CAPTURA!AY117),MAX(0,MIN(100,CAPTURA!AY117)),"⚠"))</f>
        <v/>
      </c>
      <c r="U117" t="str">
        <f>IF(CAPTURA!AZ117="","",IFERROR(IF(INDEX(CODIFICACION!$E$2:$E$500,MATCH("D3.12|"&amp;CAPTURA!AZ117,CODIFICACION!$F$2:$F$500,0))="sin dato","",INDEX(CODIFICACION!$E$2:$E$500,MATCH("D3.12|"&amp;CAPTURA!AZ117,CODIFICACION!$F$2:$F$500,0))),"⚠"))</f>
        <v/>
      </c>
      <c r="V117" t="str">
        <f>IF(CAPTURA!BA117="","",IF(AND(ISNUMBER(CAPTURA!BA117),CAPTURA!BA117&gt;=0,CAPTURA!BA117&lt;=4),CAPTURA!BA117*25,"⚠"))</f>
        <v/>
      </c>
      <c r="W117" t="str">
        <f>IF(CAPTURA!BB117="","",IFERROR(IF(INDEX(CODIFICACION!$E$2:$E$500,MATCH("D3.14|"&amp;CAPTURA!BB117,CODIFICACION!$F$2:$F$500,0))="sin dato","",INDEX(CODIFICACION!$E$2:$E$500,MATCH("D3.14|"&amp;CAPTURA!BB117,CODIFICACION!$F$2:$F$500,0))),"⚠"))</f>
        <v/>
      </c>
      <c r="X117" t="str">
        <f>IF(CAPTURA!BC117="","",IFERROR(IF(INDEX(CODIFICACION!$E$2:$E$500,MATCH("D3.14a|"&amp;CAPTURA!BC117,CODIFICACION!$F$2:$F$500,0))="sin dato","",INDEX(CODIFICACION!$E$2:$E$500,MATCH("D3.14a|"&amp;CAPTURA!BC117,CODIFICACION!$F$2:$F$500,0))),"⚠"))</f>
        <v/>
      </c>
      <c r="Y117" t="str">
        <f>IF(CAPTURA!BD117="","",IFERROR(IF(INDEX(CODIFICACION!$E$2:$E$500,MATCH("D3.14b|"&amp;CAPTURA!BD117,CODIFICACION!$F$2:$F$500,0))="sin dato","",INDEX(CODIFICACION!$E$2:$E$500,MATCH("D3.14b|"&amp;CAPTURA!BD117,CODIFICACION!$F$2:$F$500,0))),"⚠"))</f>
        <v/>
      </c>
      <c r="Z117" t="str">
        <f>IF(CAPTURA!BE117="","",IFERROR(IF(INDEX(CODIFICACION!$E$2:$E$500,MATCH("D3.14c|"&amp;CAPTURA!BE117,CODIFICACION!$F$2:$F$500,0))="sin dato","",INDEX(CODIFICACION!$E$2:$E$500,MATCH("D3.14c|"&amp;CAPTURA!BE117,CODIFICACION!$F$2:$F$500,0))),"⚠"))</f>
        <v/>
      </c>
      <c r="AA117" t="str">
        <f>IF(CAPTURA!BF117="","",IFERROR(IF(INDEX(CODIFICACION!$E$2:$E$500,MATCH("D3.14d|"&amp;CAPTURA!BF117,CODIFICACION!$F$2:$F$500,0))="sin dato","",INDEX(CODIFICACION!$E$2:$E$500,MATCH("D3.14d|"&amp;CAPTURA!BF117,CODIFICACION!$F$2:$F$500,0))),"⚠"))</f>
        <v/>
      </c>
      <c r="AB117" t="str">
        <f>IF(CAPTURA!BG117="","",IFERROR(IF(INDEX(CODIFICACION!$E$2:$E$500,MATCH("D3.14e|"&amp;CAPTURA!BG117,CODIFICACION!$F$2:$F$500,0))="sin dato","",INDEX(CODIFICACION!$E$2:$E$500,MATCH("D3.14e|"&amp;CAPTURA!BG117,CODIFICACION!$F$2:$F$500,0))),"⚠"))</f>
        <v/>
      </c>
      <c r="AC117" t="str">
        <f>IF(CAPTURA!BH117="","",IFERROR(IF(INDEX(CODIFICACION!$E$2:$E$500,MATCH("D3.14f|"&amp;CAPTURA!BH117,CODIFICACION!$F$2:$F$500,0))="sin dato","",INDEX(CODIFICACION!$E$2:$E$500,MATCH("D3.14f|"&amp;CAPTURA!BH117,CODIFICACION!$F$2:$F$500,0))),"⚠"))</f>
        <v/>
      </c>
      <c r="AD117" t="str">
        <f>IF(CAPTURA!BI117="","",IFERROR(IF(INDEX(CODIFICACION!$E$2:$E$500,MATCH("D3.14g|"&amp;CAPTURA!BI117,CODIFICACION!$F$2:$F$500,0))="sin dato","",INDEX(CODIFICACION!$E$2:$E$500,MATCH("D3.14g|"&amp;CAPTURA!BI117,CODIFICACION!$F$2:$F$500,0))),"⚠"))</f>
        <v/>
      </c>
      <c r="AE117" t="str">
        <f>IF(CAPTURA!BJ117="","",IFERROR(IF(INDEX(CODIFICACION!$E$2:$E$500,MATCH("D3.14h|"&amp;CAPTURA!BJ117,CODIFICACION!$F$2:$F$500,0))="sin dato","",INDEX(CODIFICACION!$E$2:$E$500,MATCH("D3.14h|"&amp;CAPTURA!BJ117,CODIFICACION!$F$2:$F$500,0))),"⚠"))</f>
        <v/>
      </c>
      <c r="AF117" t="str">
        <f>IF(CAPTURA!BK117="","",IFERROR(IF(INDEX(CODIFICACION!$E$2:$E$500,MATCH("D3.14i|"&amp;CAPTURA!BK117,CODIFICACION!$F$2:$F$500,0))="sin dato","",INDEX(CODIFICACION!$E$2:$E$500,MATCH("D3.14i|"&amp;CAPTURA!BK117,CODIFICACION!$F$2:$F$500,0))),"⚠"))</f>
        <v/>
      </c>
      <c r="AG117" t="str">
        <f>IF(CAPTURA!BL117="","",IFERROR(IF(INDEX(CODIFICACION!$E$2:$E$500,MATCH("D4.15|"&amp;CAPTURA!BL117,CODIFICACION!$F$2:$F$500,0))="sin dato","",INDEX(CODIFICACION!$E$2:$E$500,MATCH("D4.15|"&amp;CAPTURA!BL117,CODIFICACION!$F$2:$F$500,0))),"⚠"))</f>
        <v/>
      </c>
      <c r="AH117" t="str">
        <f>IF(CAPTURA!BM117="","",IF(AND(ISNUMBER(CAPTURA!BM117),CAPTURA!BM117&gt;=0,CAPTURA!BM117&lt;=4),CAPTURA!BM117*25,"⚠"))</f>
        <v/>
      </c>
      <c r="AI117" t="str">
        <f>IF(CAPTURA!BN117="","",IFERROR(IF(INDEX(CODIFICACION!$E$2:$E$500,MATCH("D4.17|"&amp;CAPTURA!BN117,CODIFICACION!$F$2:$F$500,0))="sin dato","",INDEX(CODIFICACION!$E$2:$E$500,MATCH("D4.17|"&amp;CAPTURA!BN117,CODIFICACION!$F$2:$F$500,0))),"⚠"))</f>
        <v/>
      </c>
      <c r="AJ117" t="str">
        <f>IF(CAPTURA!BO117="","",IFERROR(IF(INDEX(CODIFICACION!$E$2:$E$500,MATCH("D4.15a|"&amp;CAPTURA!BO117,CODIFICACION!$F$2:$F$500,0))="sin dato","",INDEX(CODIFICACION!$E$2:$E$500,MATCH("D4.15a|"&amp;CAPTURA!BO117,CODIFICACION!$F$2:$F$500,0))),"⚠"))</f>
        <v/>
      </c>
      <c r="AK117" t="str">
        <f>IF(CAPTURA!BP117="","",IF(AND(ISNUMBER(CAPTURA!BP117),CAPTURA!BP117&gt;=0,CAPTURA!BP117&lt;=4),CAPTURA!BP117*25,"⚠"))</f>
        <v/>
      </c>
      <c r="AL117" t="str">
        <f>IF(CAPTURA!BQ117="","",IF(AND(ISNUMBER(CAPTURA!BQ117),CAPTURA!BQ117&gt;=0,CAPTURA!BQ117&lt;=4),CAPTURA!BQ117*25,"⚠"))</f>
        <v/>
      </c>
      <c r="AM117" t="str">
        <f>IF(CAPTURA!BR117="","",IFERROR(IF(INDEX(CODIFICACION!$E$2:$E$500,MATCH("D5.18b|"&amp;CAPTURA!BR117,CODIFICACION!$F$2:$F$500,0))="sin dato","",INDEX(CODIFICACION!$E$2:$E$500,MATCH("D5.18b|"&amp;CAPTURA!BR117,CODIFICACION!$F$2:$F$500,0))),"⚠"))</f>
        <v/>
      </c>
      <c r="AN117" t="str">
        <f>IF(CAPTURA!BS117="","",IFERROR(IF(INDEX(CODIFICACION!$E$2:$E$500,MATCH("D5.19|"&amp;CAPTURA!BS117,CODIFICACION!$F$2:$F$500,0))="sin dato","",INDEX(CODIFICACION!$E$2:$E$500,MATCH("D5.19|"&amp;CAPTURA!BS117,CODIFICACION!$F$2:$F$500,0))),"⚠"))</f>
        <v/>
      </c>
      <c r="AO117" t="str">
        <f>IF(CAPTURA!BT117="","",MIN(100,ROUND((LEN(CAPTURA!BT117)-LEN(SUBSTITUTE(CAPTURA!BT117,";",""))+1)/7*100,1)))</f>
        <v/>
      </c>
      <c r="AP117" t="str">
        <f>IF(CAPTURA!BU117="","",IFERROR(IF(INDEX(CODIFICACION!$E$2:$E$500,MATCH("D5.20|"&amp;CAPTURA!BU117,CODIFICACION!$F$2:$F$500,0))="sin dato","",INDEX(CODIFICACION!$E$2:$E$500,MATCH("D5.20|"&amp;CAPTURA!BU117,CODIFICACION!$F$2:$F$500,0))),"⚠"))</f>
        <v/>
      </c>
      <c r="AQ117" t="str">
        <f>IF(CAPTURA!BV117="","",IFERROR(IF(INDEX(CODIFICACION!$E$2:$E$500,MATCH("D5.21|"&amp;CAPTURA!BV117,CODIFICACION!$F$2:$F$500,0))="sin dato","",INDEX(CODIFICACION!$E$2:$E$500,MATCH("D5.21|"&amp;CAPTURA!BV117,CODIFICACION!$F$2:$F$500,0))),"⚠"))</f>
        <v/>
      </c>
      <c r="AR117" t="str">
        <f>IF(CAPTURA!BW117="","",IFERROR(IF(INDEX(CODIFICACION!$E$2:$E$500,MATCH("D5.21a|"&amp;CAPTURA!BW117,CODIFICACION!$F$2:$F$500,0))="sin dato","",INDEX(CODIFICACION!$E$2:$E$500,MATCH("D5.21a|"&amp;CAPTURA!BW117,CODIFICACION!$F$2:$F$500,0))),"⚠"))</f>
        <v/>
      </c>
      <c r="AS117" t="str">
        <f>IF(CAPTURA!BX117="","",IFERROR(IF(INDEX(CODIFICACION!$E$2:$E$500,MATCH("D5.21b|"&amp;CAPTURA!BX117,CODIFICACION!$F$2:$F$500,0))="sin dato","",INDEX(CODIFICACION!$E$2:$E$500,MATCH("D5.21b|"&amp;CAPTURA!BX117,CODIFICACION!$F$2:$F$500,0))),"⚠"))</f>
        <v/>
      </c>
      <c r="AT117" t="str">
        <f>IF(CAPTURA!BY117="","",IFERROR(IF(INDEX(CODIFICACION!$E$2:$E$500,MATCH("D6.22|"&amp;CAPTURA!BY117,CODIFICACION!$F$2:$F$500,0))="sin dato","",INDEX(CODIFICACION!$E$2:$E$500,MATCH("D6.22|"&amp;CAPTURA!BY117,CODIFICACION!$F$2:$F$500,0))),"⚠"))</f>
        <v/>
      </c>
      <c r="AU117" t="str">
        <f>IF(CAPTURA!BZ117="","",IFERROR(IF(INDEX(CODIFICACION!$E$2:$E$500,MATCH("D6.22a|"&amp;CAPTURA!BZ117,CODIFICACION!$F$2:$F$500,0))="sin dato","",INDEX(CODIFICACION!$E$2:$E$500,MATCH("D6.22a|"&amp;CAPTURA!BZ117,CODIFICACION!$F$2:$F$500,0))),"⚠"))</f>
        <v/>
      </c>
      <c r="AV117" t="str">
        <f>IF(CAPTURA!CA117="","",IFERROR(IF(INDEX(CODIFICACION!$E$2:$E$500,MATCH("D6.22b|"&amp;CAPTURA!CA117,CODIFICACION!$F$2:$F$500,0))="sin dato","",INDEX(CODIFICACION!$E$2:$E$500,MATCH("D6.22b|"&amp;CAPTURA!CA117,CODIFICACION!$F$2:$F$500,0))),"⚠"))</f>
        <v/>
      </c>
      <c r="AW117" t="str">
        <f>IF(CAPTURA!CB117="","",IFERROR(IF(INDEX(CODIFICACION!$E$2:$E$500,MATCH("D6.23|"&amp;CAPTURA!CB117,CODIFICACION!$F$2:$F$500,0))="sin dato","",INDEX(CODIFICACION!$E$2:$E$500,MATCH("D6.23|"&amp;CAPTURA!CB117,CODIFICACION!$F$2:$F$500,0))),"⚠"))</f>
        <v/>
      </c>
      <c r="AX117" t="str">
        <f>IF(CAPTURA!CC117="","",IFERROR(IF(INDEX(CODIFICACION!$E$2:$E$500,MATCH("D6.24|"&amp;CAPTURA!CC117,CODIFICACION!$F$2:$F$500,0))="sin dato","",INDEX(CODIFICACION!$E$2:$E$500,MATCH("D6.24|"&amp;CAPTURA!CC117,CODIFICACION!$F$2:$F$500,0))),"⚠"))</f>
        <v/>
      </c>
      <c r="AY117" t="str">
        <f>IF(CAPTURA!CD117="","",IFERROR(IF(INDEX(CODIFICACION!$E$2:$E$500,MATCH("D6.25|"&amp;CAPTURA!CD117,CODIFICACION!$F$2:$F$500,0))="sin dato","",INDEX(CODIFICACION!$E$2:$E$500,MATCH("D6.25|"&amp;CAPTURA!CD117,CODIFICACION!$F$2:$F$500,0))),"⚠"))</f>
        <v/>
      </c>
      <c r="AZ117" t="str">
        <f>IF(CAPTURA!CE117="","",IFERROR(IF(INDEX(CODIFICACION!$E$2:$E$500,MATCH("D6.25a|"&amp;CAPTURA!CE117,CODIFICACION!$F$2:$F$500,0))="sin dato","",INDEX(CODIFICACION!$E$2:$E$500,MATCH("D6.25a|"&amp;CAPTURA!CE117,CODIFICACION!$F$2:$F$500,0))),"⚠"))</f>
        <v/>
      </c>
      <c r="BA117" t="str">
        <f>IF(CAPTURA!CF117="","",IFERROR(IF(INDEX(CODIFICACION!$E$2:$E$500,MATCH("D6.25b|"&amp;CAPTURA!CF117,CODIFICACION!$F$2:$F$500,0))="sin dato","",INDEX(CODIFICACION!$E$2:$E$500,MATCH("D6.25b|"&amp;CAPTURA!CF117,CODIFICACION!$F$2:$F$500,0))),"⚠"))</f>
        <v/>
      </c>
      <c r="BB117" t="str">
        <f>IF(CAPTURA!CG117="","",IFERROR(IF(INDEX(CODIFICACION!$E$2:$E$500,MATCH("D6.22c|"&amp;CAPTURA!CG117,CODIFICACION!$F$2:$F$500,0))="sin dato","",INDEX(CODIFICACION!$E$2:$E$500,MATCH("D6.22c|"&amp;CAPTURA!CG117,CODIFICACION!$F$2:$F$500,0))),"⚠"))</f>
        <v/>
      </c>
      <c r="BC117" t="str">
        <f>IF(CAPTURA!CH117="","",IFERROR(IF(INDEX(CODIFICACION!$E$2:$E$500,MATCH("D7.26|"&amp;CAPTURA!CH117,CODIFICACION!$F$2:$F$500,0))="sin dato","",INDEX(CODIFICACION!$E$2:$E$500,MATCH("D7.26|"&amp;CAPTURA!CH117,CODIFICACION!$F$2:$F$500,0))),"⚠"))</f>
        <v/>
      </c>
      <c r="BD117" t="str">
        <f>IF(CAPTURA!CI117="","",IFERROR(IF(INDEX(CODIFICACION!$E$2:$E$500,MATCH("D7.27|"&amp;CAPTURA!CI117,CODIFICACION!$F$2:$F$500,0))="sin dato","",INDEX(CODIFICACION!$E$2:$E$500,MATCH("D7.27|"&amp;CAPTURA!CI117,CODIFICACION!$F$2:$F$500,0))),"⚠"))</f>
        <v/>
      </c>
      <c r="BE117" t="str">
        <f>IF(CAPTURA!CJ117="","",IFERROR(IF(INDEX(CODIFICACION!$E$2:$E$500,MATCH("D7.28|"&amp;CAPTURA!CJ117,CODIFICACION!$F$2:$F$500,0))="sin dato","",INDEX(CODIFICACION!$E$2:$E$500,MATCH("D7.28|"&amp;CAPTURA!CJ117,CODIFICACION!$F$2:$F$500,0))),"⚠"))</f>
        <v/>
      </c>
      <c r="BF117" t="str">
        <f>IF(CAPTURA!CK117="","",IFERROR(IF(INDEX(CODIFICACION!$E$2:$E$500,MATCH("D7.28b|"&amp;CAPTURA!CK117,CODIFICACION!$F$2:$F$500,0))="sin dato","",INDEX(CODIFICACION!$E$2:$E$500,MATCH("D7.28b|"&amp;CAPTURA!CK117,CODIFICACION!$F$2:$F$500,0))),"⚠"))</f>
        <v/>
      </c>
      <c r="BG117" t="str">
        <f>IF(CAPTURA!CL117="","",MIN(100,ROUND((LEN(CAPTURA!CL117)-LEN(SUBSTITUTE(CAPTURA!CL117,";",""))+1)/8*100,1)))</f>
        <v/>
      </c>
      <c r="BH117" t="str">
        <f>IF(CAPTURA!CM117="","",IFERROR(IF(INDEX(CODIFICACION!$E$2:$E$500,MATCH("D7.26a|"&amp;CAPTURA!CM117,CODIFICACION!$F$2:$F$500,0))="sin dato","",INDEX(CODIFICACION!$E$2:$E$500,MATCH("D7.26a|"&amp;CAPTURA!CM117,CODIFICACION!$F$2:$F$500,0))),"⚠"))</f>
        <v/>
      </c>
      <c r="BI117" t="str">
        <f>IF(CAPTURA!CN117="","",IFERROR(IF(INDEX(CODIFICACION!$E$2:$E$500,MATCH("D7.26b|"&amp;CAPTURA!CN117,CODIFICACION!$F$2:$F$500,0))="sin dato","",INDEX(CODIFICACION!$E$2:$E$500,MATCH("D7.26b|"&amp;CAPTURA!CN117,CODIFICACION!$F$2:$F$500,0))),"⚠"))</f>
        <v/>
      </c>
      <c r="BJ117" t="str">
        <f>IF(CAPTURA!CO117="","",IF(AND(ISNUMBER(CAPTURA!CO117),CAPTURA!CO117&gt;=0,CAPTURA!CO117&lt;=4),CAPTURA!CO117*25,"⚠"))</f>
        <v/>
      </c>
      <c r="BK117" t="str">
        <f>IF(CAPTURA!CP117="","",IF(ISNUMBER(CAPTURA!CP117),MAX(0,MIN(100,CAPTURA!CP117)),"⚠"))</f>
        <v/>
      </c>
      <c r="BL117" t="str">
        <f>IF(CAPTURA!CQ117="","",IFERROR(IF(INDEX(CODIFICACION!$E$2:$E$500,MATCH("D8.31|"&amp;CAPTURA!CQ117,CODIFICACION!$F$2:$F$500,0))="sin dato","",INDEX(CODIFICACION!$E$2:$E$500,MATCH("D8.31|"&amp;CAPTURA!CQ117,CODIFICACION!$F$2:$F$500,0))),"⚠"))</f>
        <v/>
      </c>
      <c r="BM117" t="str">
        <f>IF(CAPTURA!CR117="","",IFERROR(IF(INDEX(CODIFICACION!$E$2:$E$500,MATCH("D8.32|"&amp;CAPTURA!CR117,CODIFICACION!$F$2:$F$500,0))="sin dato","",INDEX(CODIFICACION!$E$2:$E$500,MATCH("D8.32|"&amp;CAPTURA!CR117,CODIFICACION!$F$2:$F$500,0))),"⚠"))</f>
        <v/>
      </c>
      <c r="BN117" t="str">
        <f>IF(CAPTURA!CS117="","",IFERROR(IF(INDEX(CODIFICACION!$E$2:$E$500,MATCH("D9.33|"&amp;CAPTURA!CS117,CODIFICACION!$F$2:$F$500,0))="sin dato","",INDEX(CODIFICACION!$E$2:$E$500,MATCH("D9.33|"&amp;CAPTURA!CS117,CODIFICACION!$F$2:$F$500,0))),"⚠"))</f>
        <v/>
      </c>
      <c r="BO117" t="str">
        <f>IF(CAPTURA!CT117="","",IFERROR(IF(INDEX(CODIFICACION!$E$2:$E$500,MATCH("D9.34|"&amp;CAPTURA!CT117,CODIFICACION!$F$2:$F$500,0))="sin dato","",INDEX(CODIFICACION!$E$2:$E$500,MATCH("D9.34|"&amp;CAPTURA!CT117,CODIFICACION!$F$2:$F$500,0))),"⚠"))</f>
        <v/>
      </c>
      <c r="BP117" t="str">
        <f>IF(CAPTURA!CU117="","",IFERROR(IF(INDEX(CODIFICACION!$E$2:$E$500,MATCH("D9.35|"&amp;CAPTURA!CU117,CODIFICACION!$F$2:$F$500,0))="sin dato","",INDEX(CODIFICACION!$E$2:$E$500,MATCH("D9.35|"&amp;CAPTURA!CU117,CODIFICACION!$F$2:$F$500,0))),"⚠"))</f>
        <v/>
      </c>
      <c r="BQ117" t="str">
        <f>IF(CAPTURA!CV117="","",IFERROR(IF(INDEX(CODIFICACION!$E$2:$E$500,MATCH("D10.36|"&amp;CAPTURA!CV117,CODIFICACION!$F$2:$F$500,0))="sin dato","",INDEX(CODIFICACION!$E$2:$E$500,MATCH("D10.36|"&amp;CAPTURA!CV117,CODIFICACION!$F$2:$F$500,0))),"⚠"))</f>
        <v/>
      </c>
      <c r="BR117" t="str">
        <f>IF(CAPTURA!CW117="","",IFERROR(IF(INDEX(CODIFICACION!$E$2:$E$500,MATCH("D10.37|"&amp;CAPTURA!CW117,CODIFICACION!$F$2:$F$500,0))="sin dato","",INDEX(CODIFICACION!$E$2:$E$500,MATCH("D10.37|"&amp;CAPTURA!CW117,CODIFICACION!$F$2:$F$500,0))),"⚠"))</f>
        <v/>
      </c>
      <c r="BS117" t="str">
        <f>IF(CAPTURA!CX117="","",IFERROR(IF(INDEX(CODIFICACION!$E$2:$E$500,MATCH("D10.36a|"&amp;CAPTURA!CX117,CODIFICACION!$F$2:$F$500,0))="sin dato","",INDEX(CODIFICACION!$E$2:$E$500,MATCH("D10.36a|"&amp;CAPTURA!CX117,CODIFICACION!$F$2:$F$500,0))),"⚠"))</f>
        <v/>
      </c>
      <c r="BT117" t="str">
        <f>IF(CAPTURA!CY117="","",IF(ISNUMBER(SEARCH("Ninguno",CAPTURA!CY117)),0,MIN(100,ROUND((LEN(CAPTURA!CY117)-LEN(SUBSTITUTE(CAPTURA!CY117,";",""))+1)/6*100,1))))</f>
        <v/>
      </c>
      <c r="BU117" t="str">
        <f>IF(CAPTURA!DA117="","",IFERROR(IF(INDEX(CODIFICACION!$E$2:$E$500,MATCH("D11.39a|"&amp;CAPTURA!DA117,CODIFICACION!$F$2:$F$500,0))="sin dato","",INDEX(CODIFICACION!$E$2:$E$500,MATCH("D11.39a|"&amp;CAPTURA!DA117,CODIFICACION!$F$2:$F$500,0))),"⚠"))</f>
        <v/>
      </c>
      <c r="BV117" t="str">
        <f>IF(CAPTURA!DB117="","",IFERROR(IF(INDEX(CODIFICACION!$E$2:$E$500,MATCH("D12.42|"&amp;CAPTURA!DB117,CODIFICACION!$F$2:$F$500,0))="sin dato","",INDEX(CODIFICACION!$E$2:$E$500,MATCH("D12.42|"&amp;CAPTURA!DB117,CODIFICACION!$F$2:$F$500,0))),"⚠"))</f>
        <v/>
      </c>
      <c r="BW117" t="str">
        <f>IF(CAPTURA!DC117="","",IFERROR(IF(INDEX(CODIFICACION!$E$2:$E$500,MATCH("D13.45|"&amp;CAPTURA!DC117,CODIFICACION!$F$2:$F$500,0))="sin dato","",INDEX(CODIFICACION!$E$2:$E$500,MATCH("D13.45|"&amp;CAPTURA!DC117,CODIFICACION!$F$2:$F$500,0))),"⚠"))</f>
        <v/>
      </c>
      <c r="BX117" t="str">
        <f>IF(CAPTURA!DD117="","",IFERROR(IF(INDEX(CODIFICACION!$E$2:$E$500,MATCH("D14.51|"&amp;CAPTURA!DD117,CODIFICACION!$F$2:$F$500,0))="sin dato","",INDEX(CODIFICACION!$E$2:$E$500,MATCH("D14.51|"&amp;CAPTURA!DD117,CODIFICACION!$F$2:$F$500,0))),"⚠"))</f>
        <v/>
      </c>
      <c r="BY117" t="str">
        <f>IF(CAPTURA!DE117="","",IFERROR(IF(INDEX(CODIFICACION!$E$2:$E$500,MATCH("D15.58|"&amp;CAPTURA!DE117,CODIFICACION!$F$2:$F$500,0))="sin dato","",INDEX(CODIFICACION!$E$2:$E$500,MATCH("D15.58|"&amp;CAPTURA!DE117,CODIFICACION!$F$2:$F$500,0))),"⚠"))</f>
        <v/>
      </c>
      <c r="BZ117" t="str">
        <f>IF(CAPTURA!DF117="","",IFERROR(IF(INDEX(CODIFICACION!$E$2:$E$500,MATCH("PP1|"&amp;CAPTURA!DF117,CODIFICACION!$F$2:$F$500,0))="sin dato","",INDEX(CODIFICACION!$E$2:$E$500,MATCH("PP1|"&amp;CAPTURA!DF117,CODIFICACION!$F$2:$F$500,0))),"⚠"))</f>
        <v/>
      </c>
      <c r="CA117" t="str">
        <f>IF(CAPTURA!DG117="","",IFERROR(IF(INDEX(CODIFICACION!$E$2:$E$500,MATCH("PP2|"&amp;CAPTURA!DG117,CODIFICACION!$F$2:$F$500,0))="sin dato","",INDEX(CODIFICACION!$E$2:$E$500,MATCH("PP2|"&amp;CAPTURA!DG117,CODIFICACION!$F$2:$F$500,0))),"⚠"))</f>
        <v/>
      </c>
      <c r="CB117" t="str">
        <f t="shared" si="33"/>
        <v/>
      </c>
      <c r="CC117" t="str">
        <f t="shared" si="34"/>
        <v/>
      </c>
      <c r="CD117" t="str">
        <f t="shared" si="35"/>
        <v/>
      </c>
      <c r="CE117" t="str">
        <f t="shared" si="36"/>
        <v/>
      </c>
      <c r="CF117" t="str">
        <f t="shared" si="37"/>
        <v/>
      </c>
      <c r="CG117" t="str">
        <f t="shared" si="38"/>
        <v/>
      </c>
      <c r="CH117" t="str">
        <f t="shared" si="39"/>
        <v/>
      </c>
      <c r="CI117" t="str">
        <f t="shared" si="40"/>
        <v/>
      </c>
      <c r="CJ117" t="str">
        <f t="shared" si="41"/>
        <v/>
      </c>
      <c r="CK117" t="str">
        <f t="shared" si="42"/>
        <v/>
      </c>
      <c r="CL117" t="str">
        <f t="shared" si="43"/>
        <v/>
      </c>
    </row>
    <row r="118" spans="1:90" x14ac:dyDescent="0.3">
      <c r="A118">
        <f>CAPTURA!A118</f>
        <v>20601067146</v>
      </c>
      <c r="B118">
        <f>CAPTURA!C118</f>
        <v>0</v>
      </c>
      <c r="C118" t="str">
        <f>IF(CAPTURA!M118="","",ROUND((ISNUMBER(SEARCH("Alemania",CAPTURA!M118))+ISNUMBER(SEARCH("Bélgica",CAPTURA!M118))+ISNUMBER(SEARCH("Países Bajos",CAPTURA!M118))+ISNUMBER(SEARCH("Francia",CAPTURA!M118))+ISNUMBER(SEARCH("Italia",CAPTURA!M118))+ISNUMBER(SEARCH("España",CAPTURA!M118))+ISNUMBER(SEARCH("Suecia",CAPTURA!M118))+ISNUMBER(SEARCH("Dinamarca",CAPTURA!M118)))/((LEN(CAPTURA!M118)-LEN(SUBSTITUTE(CAPTURA!M118,";","")))+1)*100,1))</f>
        <v/>
      </c>
      <c r="D118" t="str">
        <f>IF(CAPTURA!AE118="","",IFERROR(IF(INDEX(CODIFICACION!$E$2:$E$500,MATCH("P8|"&amp;CAPTURA!AE118,CODIFICACION!$F$2:$F$500,0))="sin dato","",INDEX(CODIFICACION!$E$2:$E$500,MATCH("P8|"&amp;CAPTURA!AE118,CODIFICACION!$F$2:$F$500,0))),"⚠"))</f>
        <v/>
      </c>
      <c r="E118" t="str">
        <f>IF(CAPTURA!AG118="","",IFERROR(IF(INDEX(CODIFICACION!$E$2:$E$500,MATCH("P10|"&amp;CAPTURA!AG118,CODIFICACION!$F$2:$F$500,0))="sin dato","",INDEX(CODIFICACION!$E$2:$E$500,MATCH("P10|"&amp;CAPTURA!AG118,CODIFICACION!$F$2:$F$500,0))),"⚠"))</f>
        <v/>
      </c>
      <c r="F118" t="str">
        <f>IF(CAPTURA!AJ118="","",IFERROR(IF(INDEX(CODIFICACION!$E$2:$E$500,MATCH("P13|"&amp;CAPTURA!AJ118,CODIFICACION!$F$2:$F$500,0))="sin dato","",INDEX(CODIFICACION!$E$2:$E$500,MATCH("P13|"&amp;CAPTURA!AJ118,CODIFICACION!$F$2:$F$500,0))),"⚠"))</f>
        <v/>
      </c>
      <c r="G118" t="str">
        <f>IF(CAPTURA!AK118="","",IFERROR(IF(INDEX(CODIFICACION!$E$2:$E$500,MATCH("P14|"&amp;CAPTURA!AK118,CODIFICACION!$F$2:$F$500,0))="sin dato","",INDEX(CODIFICACION!$E$2:$E$500,MATCH("P14|"&amp;CAPTURA!AK118,CODIFICACION!$F$2:$F$500,0))),"⚠"))</f>
        <v/>
      </c>
      <c r="H118" t="str">
        <f>IF(CAPTURA!AL118="","",IFERROR(IF(INDEX(CODIFICACION!$E$2:$E$500,MATCH("D1.1|"&amp;CAPTURA!AL118,CODIFICACION!$F$2:$F$500,0))="sin dato","",INDEX(CODIFICACION!$E$2:$E$500,MATCH("D1.1|"&amp;CAPTURA!AL118,CODIFICACION!$F$2:$F$500,0))),"⚠"))</f>
        <v/>
      </c>
      <c r="I118" t="str">
        <f>IF(CAPTURA!AN118="","",IFERROR(IF(INDEX(CODIFICACION!$E$2:$E$500,MATCH("D1.3|"&amp;CAPTURA!AN118,CODIFICACION!$F$2:$F$500,0))="sin dato","",INDEX(CODIFICACION!$E$2:$E$500,MATCH("D1.3|"&amp;CAPTURA!AN118,CODIFICACION!$F$2:$F$500,0))),"⚠"))</f>
        <v/>
      </c>
      <c r="J118" t="str">
        <f>IF(CAPTURA!AO118="","",IFERROR(IF(INDEX(CODIFICACION!$E$2:$E$500,MATCH("D1.4|"&amp;CAPTURA!AO118,CODIFICACION!$F$2:$F$500,0))="sin dato","",INDEX(CODIFICACION!$E$2:$E$500,MATCH("D1.4|"&amp;CAPTURA!AO118,CODIFICACION!$F$2:$F$500,0))),"⚠"))</f>
        <v/>
      </c>
      <c r="K118" t="str">
        <f>IF(CAPTURA!AP118="","",IFERROR(IF(INDEX(CODIFICACION!$E$2:$E$500,MATCH("D1.3a|"&amp;CAPTURA!AP118,CODIFICACION!$F$2:$F$500,0))="sin dato","",INDEX(CODIFICACION!$E$2:$E$500,MATCH("D1.3a|"&amp;CAPTURA!AP118,CODIFICACION!$F$2:$F$500,0))),"⚠"))</f>
        <v/>
      </c>
      <c r="L118" t="str">
        <f>IF(CAPTURA!AQ118="","",IF(AND(ISNUMBER(CAPTURA!AQ118),CAPTURA!AQ118&gt;=0,CAPTURA!AQ118&lt;=4),CAPTURA!AQ118*25,"⚠"))</f>
        <v/>
      </c>
      <c r="M118" t="str">
        <f>IF(CAPTURA!AR118="","",IF(ISNUMBER(CAPTURA!AR118),MAX(0,MIN(100,CAPTURA!AR118)),"⚠"))</f>
        <v/>
      </c>
      <c r="N118" t="str">
        <f>IF(CAPTURA!AS118="","",IF(AND(ISNUMBER(CAPTURA!AS118),CAPTURA!AS118&gt;=0,CAPTURA!AS118&lt;=4),CAPTURA!AS118*25,"⚠"))</f>
        <v/>
      </c>
      <c r="O118" t="str">
        <f>IF(CAPTURA!AT118="","",IFERROR(IF(INDEX(CODIFICACION!$E$2:$E$500,MATCH("D2.8|"&amp;CAPTURA!AT118,CODIFICACION!$F$2:$F$500,0))="sin dato","",INDEX(CODIFICACION!$E$2:$E$500,MATCH("D2.8|"&amp;CAPTURA!AT118,CODIFICACION!$F$2:$F$500,0))),"⚠"))</f>
        <v/>
      </c>
      <c r="P118" t="str">
        <f>IF(CAPTURA!AU118="","",IFERROR(IF(INDEX(CODIFICACION!$E$2:$E$500,MATCH("D2.9|"&amp;CAPTURA!AU118,CODIFICACION!$F$2:$F$500,0))="sin dato","",INDEX(CODIFICACION!$E$2:$E$500,MATCH("D2.9|"&amp;CAPTURA!AU118,CODIFICACION!$F$2:$F$500,0))),"⚠"))</f>
        <v/>
      </c>
      <c r="Q118" t="str">
        <f>IF(CAPTURA!AV118="","",IFERROR(IF(INDEX(CODIFICACION!$E$2:$E$500,MATCH("D2.10|"&amp;CAPTURA!AV118,CODIFICACION!$F$2:$F$500,0))="sin dato","",INDEX(CODIFICACION!$E$2:$E$500,MATCH("D2.10|"&amp;CAPTURA!AV118,CODIFICACION!$F$2:$F$500,0))),"⚠"))</f>
        <v/>
      </c>
      <c r="R118" t="str">
        <f>IF(CAPTURA!AW118="","",IFERROR(IF(INDEX(CODIFICACION!$E$2:$E$500,MATCH("D2.5a|"&amp;CAPTURA!AW118,CODIFICACION!$F$2:$F$500,0))="sin dato","",INDEX(CODIFICACION!$E$2:$E$500,MATCH("D2.5a|"&amp;CAPTURA!AW118,CODIFICACION!$F$2:$F$500,0))),"⚠"))</f>
        <v/>
      </c>
      <c r="S118" t="str">
        <f>IF(CAPTURA!AX118="","",IFERROR(IF(INDEX(CODIFICACION!$E$2:$E$500,MATCH("D2.5b|"&amp;CAPTURA!AX118,CODIFICACION!$F$2:$F$500,0))="sin dato","",INDEX(CODIFICACION!$E$2:$E$500,MATCH("D2.5b|"&amp;CAPTURA!AX118,CODIFICACION!$F$2:$F$500,0))),"⚠"))</f>
        <v/>
      </c>
      <c r="T118" t="str">
        <f>IF(CAPTURA!AY118="","",IF(ISNUMBER(CAPTURA!AY118),MAX(0,MIN(100,CAPTURA!AY118)),"⚠"))</f>
        <v/>
      </c>
      <c r="U118" t="str">
        <f>IF(CAPTURA!AZ118="","",IFERROR(IF(INDEX(CODIFICACION!$E$2:$E$500,MATCH("D3.12|"&amp;CAPTURA!AZ118,CODIFICACION!$F$2:$F$500,0))="sin dato","",INDEX(CODIFICACION!$E$2:$E$500,MATCH("D3.12|"&amp;CAPTURA!AZ118,CODIFICACION!$F$2:$F$500,0))),"⚠"))</f>
        <v/>
      </c>
      <c r="V118" t="str">
        <f>IF(CAPTURA!BA118="","",IF(AND(ISNUMBER(CAPTURA!BA118),CAPTURA!BA118&gt;=0,CAPTURA!BA118&lt;=4),CAPTURA!BA118*25,"⚠"))</f>
        <v/>
      </c>
      <c r="W118" t="str">
        <f>IF(CAPTURA!BB118="","",IFERROR(IF(INDEX(CODIFICACION!$E$2:$E$500,MATCH("D3.14|"&amp;CAPTURA!BB118,CODIFICACION!$F$2:$F$500,0))="sin dato","",INDEX(CODIFICACION!$E$2:$E$500,MATCH("D3.14|"&amp;CAPTURA!BB118,CODIFICACION!$F$2:$F$500,0))),"⚠"))</f>
        <v/>
      </c>
      <c r="X118" t="str">
        <f>IF(CAPTURA!BC118="","",IFERROR(IF(INDEX(CODIFICACION!$E$2:$E$500,MATCH("D3.14a|"&amp;CAPTURA!BC118,CODIFICACION!$F$2:$F$500,0))="sin dato","",INDEX(CODIFICACION!$E$2:$E$500,MATCH("D3.14a|"&amp;CAPTURA!BC118,CODIFICACION!$F$2:$F$500,0))),"⚠"))</f>
        <v/>
      </c>
      <c r="Y118" t="str">
        <f>IF(CAPTURA!BD118="","",IFERROR(IF(INDEX(CODIFICACION!$E$2:$E$500,MATCH("D3.14b|"&amp;CAPTURA!BD118,CODIFICACION!$F$2:$F$500,0))="sin dato","",INDEX(CODIFICACION!$E$2:$E$500,MATCH("D3.14b|"&amp;CAPTURA!BD118,CODIFICACION!$F$2:$F$500,0))),"⚠"))</f>
        <v/>
      </c>
      <c r="Z118" t="str">
        <f>IF(CAPTURA!BE118="","",IFERROR(IF(INDEX(CODIFICACION!$E$2:$E$500,MATCH("D3.14c|"&amp;CAPTURA!BE118,CODIFICACION!$F$2:$F$500,0))="sin dato","",INDEX(CODIFICACION!$E$2:$E$500,MATCH("D3.14c|"&amp;CAPTURA!BE118,CODIFICACION!$F$2:$F$500,0))),"⚠"))</f>
        <v/>
      </c>
      <c r="AA118" t="str">
        <f>IF(CAPTURA!BF118="","",IFERROR(IF(INDEX(CODIFICACION!$E$2:$E$500,MATCH("D3.14d|"&amp;CAPTURA!BF118,CODIFICACION!$F$2:$F$500,0))="sin dato","",INDEX(CODIFICACION!$E$2:$E$500,MATCH("D3.14d|"&amp;CAPTURA!BF118,CODIFICACION!$F$2:$F$500,0))),"⚠"))</f>
        <v/>
      </c>
      <c r="AB118" t="str">
        <f>IF(CAPTURA!BG118="","",IFERROR(IF(INDEX(CODIFICACION!$E$2:$E$500,MATCH("D3.14e|"&amp;CAPTURA!BG118,CODIFICACION!$F$2:$F$500,0))="sin dato","",INDEX(CODIFICACION!$E$2:$E$500,MATCH("D3.14e|"&amp;CAPTURA!BG118,CODIFICACION!$F$2:$F$500,0))),"⚠"))</f>
        <v/>
      </c>
      <c r="AC118" t="str">
        <f>IF(CAPTURA!BH118="","",IFERROR(IF(INDEX(CODIFICACION!$E$2:$E$500,MATCH("D3.14f|"&amp;CAPTURA!BH118,CODIFICACION!$F$2:$F$500,0))="sin dato","",INDEX(CODIFICACION!$E$2:$E$500,MATCH("D3.14f|"&amp;CAPTURA!BH118,CODIFICACION!$F$2:$F$500,0))),"⚠"))</f>
        <v/>
      </c>
      <c r="AD118" t="str">
        <f>IF(CAPTURA!BI118="","",IFERROR(IF(INDEX(CODIFICACION!$E$2:$E$500,MATCH("D3.14g|"&amp;CAPTURA!BI118,CODIFICACION!$F$2:$F$500,0))="sin dato","",INDEX(CODIFICACION!$E$2:$E$500,MATCH("D3.14g|"&amp;CAPTURA!BI118,CODIFICACION!$F$2:$F$500,0))),"⚠"))</f>
        <v/>
      </c>
      <c r="AE118" t="str">
        <f>IF(CAPTURA!BJ118="","",IFERROR(IF(INDEX(CODIFICACION!$E$2:$E$500,MATCH("D3.14h|"&amp;CAPTURA!BJ118,CODIFICACION!$F$2:$F$500,0))="sin dato","",INDEX(CODIFICACION!$E$2:$E$500,MATCH("D3.14h|"&amp;CAPTURA!BJ118,CODIFICACION!$F$2:$F$500,0))),"⚠"))</f>
        <v/>
      </c>
      <c r="AF118" t="str">
        <f>IF(CAPTURA!BK118="","",IFERROR(IF(INDEX(CODIFICACION!$E$2:$E$500,MATCH("D3.14i|"&amp;CAPTURA!BK118,CODIFICACION!$F$2:$F$500,0))="sin dato","",INDEX(CODIFICACION!$E$2:$E$500,MATCH("D3.14i|"&amp;CAPTURA!BK118,CODIFICACION!$F$2:$F$500,0))),"⚠"))</f>
        <v/>
      </c>
      <c r="AG118" t="str">
        <f>IF(CAPTURA!BL118="","",IFERROR(IF(INDEX(CODIFICACION!$E$2:$E$500,MATCH("D4.15|"&amp;CAPTURA!BL118,CODIFICACION!$F$2:$F$500,0))="sin dato","",INDEX(CODIFICACION!$E$2:$E$500,MATCH("D4.15|"&amp;CAPTURA!BL118,CODIFICACION!$F$2:$F$500,0))),"⚠"))</f>
        <v/>
      </c>
      <c r="AH118" t="str">
        <f>IF(CAPTURA!BM118="","",IF(AND(ISNUMBER(CAPTURA!BM118),CAPTURA!BM118&gt;=0,CAPTURA!BM118&lt;=4),CAPTURA!BM118*25,"⚠"))</f>
        <v/>
      </c>
      <c r="AI118" t="str">
        <f>IF(CAPTURA!BN118="","",IFERROR(IF(INDEX(CODIFICACION!$E$2:$E$500,MATCH("D4.17|"&amp;CAPTURA!BN118,CODIFICACION!$F$2:$F$500,0))="sin dato","",INDEX(CODIFICACION!$E$2:$E$500,MATCH("D4.17|"&amp;CAPTURA!BN118,CODIFICACION!$F$2:$F$500,0))),"⚠"))</f>
        <v/>
      </c>
      <c r="AJ118" t="str">
        <f>IF(CAPTURA!BO118="","",IFERROR(IF(INDEX(CODIFICACION!$E$2:$E$500,MATCH("D4.15a|"&amp;CAPTURA!BO118,CODIFICACION!$F$2:$F$500,0))="sin dato","",INDEX(CODIFICACION!$E$2:$E$500,MATCH("D4.15a|"&amp;CAPTURA!BO118,CODIFICACION!$F$2:$F$500,0))),"⚠"))</f>
        <v/>
      </c>
      <c r="AK118" t="str">
        <f>IF(CAPTURA!BP118="","",IF(AND(ISNUMBER(CAPTURA!BP118),CAPTURA!BP118&gt;=0,CAPTURA!BP118&lt;=4),CAPTURA!BP118*25,"⚠"))</f>
        <v/>
      </c>
      <c r="AL118" t="str">
        <f>IF(CAPTURA!BQ118="","",IF(AND(ISNUMBER(CAPTURA!BQ118),CAPTURA!BQ118&gt;=0,CAPTURA!BQ118&lt;=4),CAPTURA!BQ118*25,"⚠"))</f>
        <v/>
      </c>
      <c r="AM118" t="str">
        <f>IF(CAPTURA!BR118="","",IFERROR(IF(INDEX(CODIFICACION!$E$2:$E$500,MATCH("D5.18b|"&amp;CAPTURA!BR118,CODIFICACION!$F$2:$F$500,0))="sin dato","",INDEX(CODIFICACION!$E$2:$E$500,MATCH("D5.18b|"&amp;CAPTURA!BR118,CODIFICACION!$F$2:$F$500,0))),"⚠"))</f>
        <v/>
      </c>
      <c r="AN118" t="str">
        <f>IF(CAPTURA!BS118="","",IFERROR(IF(INDEX(CODIFICACION!$E$2:$E$500,MATCH("D5.19|"&amp;CAPTURA!BS118,CODIFICACION!$F$2:$F$500,0))="sin dato","",INDEX(CODIFICACION!$E$2:$E$500,MATCH("D5.19|"&amp;CAPTURA!BS118,CODIFICACION!$F$2:$F$500,0))),"⚠"))</f>
        <v/>
      </c>
      <c r="AO118" t="str">
        <f>IF(CAPTURA!BT118="","",MIN(100,ROUND((LEN(CAPTURA!BT118)-LEN(SUBSTITUTE(CAPTURA!BT118,";",""))+1)/7*100,1)))</f>
        <v/>
      </c>
      <c r="AP118" t="str">
        <f>IF(CAPTURA!BU118="","",IFERROR(IF(INDEX(CODIFICACION!$E$2:$E$500,MATCH("D5.20|"&amp;CAPTURA!BU118,CODIFICACION!$F$2:$F$500,0))="sin dato","",INDEX(CODIFICACION!$E$2:$E$500,MATCH("D5.20|"&amp;CAPTURA!BU118,CODIFICACION!$F$2:$F$500,0))),"⚠"))</f>
        <v/>
      </c>
      <c r="AQ118" t="str">
        <f>IF(CAPTURA!BV118="","",IFERROR(IF(INDEX(CODIFICACION!$E$2:$E$500,MATCH("D5.21|"&amp;CAPTURA!BV118,CODIFICACION!$F$2:$F$500,0))="sin dato","",INDEX(CODIFICACION!$E$2:$E$500,MATCH("D5.21|"&amp;CAPTURA!BV118,CODIFICACION!$F$2:$F$500,0))),"⚠"))</f>
        <v/>
      </c>
      <c r="AR118" t="str">
        <f>IF(CAPTURA!BW118="","",IFERROR(IF(INDEX(CODIFICACION!$E$2:$E$500,MATCH("D5.21a|"&amp;CAPTURA!BW118,CODIFICACION!$F$2:$F$500,0))="sin dato","",INDEX(CODIFICACION!$E$2:$E$500,MATCH("D5.21a|"&amp;CAPTURA!BW118,CODIFICACION!$F$2:$F$500,0))),"⚠"))</f>
        <v/>
      </c>
      <c r="AS118" t="str">
        <f>IF(CAPTURA!BX118="","",IFERROR(IF(INDEX(CODIFICACION!$E$2:$E$500,MATCH("D5.21b|"&amp;CAPTURA!BX118,CODIFICACION!$F$2:$F$500,0))="sin dato","",INDEX(CODIFICACION!$E$2:$E$500,MATCH("D5.21b|"&amp;CAPTURA!BX118,CODIFICACION!$F$2:$F$500,0))),"⚠"))</f>
        <v/>
      </c>
      <c r="AT118" t="str">
        <f>IF(CAPTURA!BY118="","",IFERROR(IF(INDEX(CODIFICACION!$E$2:$E$500,MATCH("D6.22|"&amp;CAPTURA!BY118,CODIFICACION!$F$2:$F$500,0))="sin dato","",INDEX(CODIFICACION!$E$2:$E$500,MATCH("D6.22|"&amp;CAPTURA!BY118,CODIFICACION!$F$2:$F$500,0))),"⚠"))</f>
        <v/>
      </c>
      <c r="AU118" t="str">
        <f>IF(CAPTURA!BZ118="","",IFERROR(IF(INDEX(CODIFICACION!$E$2:$E$500,MATCH("D6.22a|"&amp;CAPTURA!BZ118,CODIFICACION!$F$2:$F$500,0))="sin dato","",INDEX(CODIFICACION!$E$2:$E$500,MATCH("D6.22a|"&amp;CAPTURA!BZ118,CODIFICACION!$F$2:$F$500,0))),"⚠"))</f>
        <v/>
      </c>
      <c r="AV118" t="str">
        <f>IF(CAPTURA!CA118="","",IFERROR(IF(INDEX(CODIFICACION!$E$2:$E$500,MATCH("D6.22b|"&amp;CAPTURA!CA118,CODIFICACION!$F$2:$F$500,0))="sin dato","",INDEX(CODIFICACION!$E$2:$E$500,MATCH("D6.22b|"&amp;CAPTURA!CA118,CODIFICACION!$F$2:$F$500,0))),"⚠"))</f>
        <v/>
      </c>
      <c r="AW118" t="str">
        <f>IF(CAPTURA!CB118="","",IFERROR(IF(INDEX(CODIFICACION!$E$2:$E$500,MATCH("D6.23|"&amp;CAPTURA!CB118,CODIFICACION!$F$2:$F$500,0))="sin dato","",INDEX(CODIFICACION!$E$2:$E$500,MATCH("D6.23|"&amp;CAPTURA!CB118,CODIFICACION!$F$2:$F$500,0))),"⚠"))</f>
        <v/>
      </c>
      <c r="AX118" t="str">
        <f>IF(CAPTURA!CC118="","",IFERROR(IF(INDEX(CODIFICACION!$E$2:$E$500,MATCH("D6.24|"&amp;CAPTURA!CC118,CODIFICACION!$F$2:$F$500,0))="sin dato","",INDEX(CODIFICACION!$E$2:$E$500,MATCH("D6.24|"&amp;CAPTURA!CC118,CODIFICACION!$F$2:$F$500,0))),"⚠"))</f>
        <v/>
      </c>
      <c r="AY118" t="str">
        <f>IF(CAPTURA!CD118="","",IFERROR(IF(INDEX(CODIFICACION!$E$2:$E$500,MATCH("D6.25|"&amp;CAPTURA!CD118,CODIFICACION!$F$2:$F$500,0))="sin dato","",INDEX(CODIFICACION!$E$2:$E$500,MATCH("D6.25|"&amp;CAPTURA!CD118,CODIFICACION!$F$2:$F$500,0))),"⚠"))</f>
        <v/>
      </c>
      <c r="AZ118" t="str">
        <f>IF(CAPTURA!CE118="","",IFERROR(IF(INDEX(CODIFICACION!$E$2:$E$500,MATCH("D6.25a|"&amp;CAPTURA!CE118,CODIFICACION!$F$2:$F$500,0))="sin dato","",INDEX(CODIFICACION!$E$2:$E$500,MATCH("D6.25a|"&amp;CAPTURA!CE118,CODIFICACION!$F$2:$F$500,0))),"⚠"))</f>
        <v/>
      </c>
      <c r="BA118" t="str">
        <f>IF(CAPTURA!CF118="","",IFERROR(IF(INDEX(CODIFICACION!$E$2:$E$500,MATCH("D6.25b|"&amp;CAPTURA!CF118,CODIFICACION!$F$2:$F$500,0))="sin dato","",INDEX(CODIFICACION!$E$2:$E$500,MATCH("D6.25b|"&amp;CAPTURA!CF118,CODIFICACION!$F$2:$F$500,0))),"⚠"))</f>
        <v/>
      </c>
      <c r="BB118" t="str">
        <f>IF(CAPTURA!CG118="","",IFERROR(IF(INDEX(CODIFICACION!$E$2:$E$500,MATCH("D6.22c|"&amp;CAPTURA!CG118,CODIFICACION!$F$2:$F$500,0))="sin dato","",INDEX(CODIFICACION!$E$2:$E$500,MATCH("D6.22c|"&amp;CAPTURA!CG118,CODIFICACION!$F$2:$F$500,0))),"⚠"))</f>
        <v/>
      </c>
      <c r="BC118" t="str">
        <f>IF(CAPTURA!CH118="","",IFERROR(IF(INDEX(CODIFICACION!$E$2:$E$500,MATCH("D7.26|"&amp;CAPTURA!CH118,CODIFICACION!$F$2:$F$500,0))="sin dato","",INDEX(CODIFICACION!$E$2:$E$500,MATCH("D7.26|"&amp;CAPTURA!CH118,CODIFICACION!$F$2:$F$500,0))),"⚠"))</f>
        <v/>
      </c>
      <c r="BD118" t="str">
        <f>IF(CAPTURA!CI118="","",IFERROR(IF(INDEX(CODIFICACION!$E$2:$E$500,MATCH("D7.27|"&amp;CAPTURA!CI118,CODIFICACION!$F$2:$F$500,0))="sin dato","",INDEX(CODIFICACION!$E$2:$E$500,MATCH("D7.27|"&amp;CAPTURA!CI118,CODIFICACION!$F$2:$F$500,0))),"⚠"))</f>
        <v/>
      </c>
      <c r="BE118" t="str">
        <f>IF(CAPTURA!CJ118="","",IFERROR(IF(INDEX(CODIFICACION!$E$2:$E$500,MATCH("D7.28|"&amp;CAPTURA!CJ118,CODIFICACION!$F$2:$F$500,0))="sin dato","",INDEX(CODIFICACION!$E$2:$E$500,MATCH("D7.28|"&amp;CAPTURA!CJ118,CODIFICACION!$F$2:$F$500,0))),"⚠"))</f>
        <v/>
      </c>
      <c r="BF118" t="str">
        <f>IF(CAPTURA!CK118="","",IFERROR(IF(INDEX(CODIFICACION!$E$2:$E$500,MATCH("D7.28b|"&amp;CAPTURA!CK118,CODIFICACION!$F$2:$F$500,0))="sin dato","",INDEX(CODIFICACION!$E$2:$E$500,MATCH("D7.28b|"&amp;CAPTURA!CK118,CODIFICACION!$F$2:$F$500,0))),"⚠"))</f>
        <v/>
      </c>
      <c r="BG118" t="str">
        <f>IF(CAPTURA!CL118="","",MIN(100,ROUND((LEN(CAPTURA!CL118)-LEN(SUBSTITUTE(CAPTURA!CL118,";",""))+1)/8*100,1)))</f>
        <v/>
      </c>
      <c r="BH118" t="str">
        <f>IF(CAPTURA!CM118="","",IFERROR(IF(INDEX(CODIFICACION!$E$2:$E$500,MATCH("D7.26a|"&amp;CAPTURA!CM118,CODIFICACION!$F$2:$F$500,0))="sin dato","",INDEX(CODIFICACION!$E$2:$E$500,MATCH("D7.26a|"&amp;CAPTURA!CM118,CODIFICACION!$F$2:$F$500,0))),"⚠"))</f>
        <v/>
      </c>
      <c r="BI118" t="str">
        <f>IF(CAPTURA!CN118="","",IFERROR(IF(INDEX(CODIFICACION!$E$2:$E$500,MATCH("D7.26b|"&amp;CAPTURA!CN118,CODIFICACION!$F$2:$F$500,0))="sin dato","",INDEX(CODIFICACION!$E$2:$E$500,MATCH("D7.26b|"&amp;CAPTURA!CN118,CODIFICACION!$F$2:$F$500,0))),"⚠"))</f>
        <v/>
      </c>
      <c r="BJ118" t="str">
        <f>IF(CAPTURA!CO118="","",IF(AND(ISNUMBER(CAPTURA!CO118),CAPTURA!CO118&gt;=0,CAPTURA!CO118&lt;=4),CAPTURA!CO118*25,"⚠"))</f>
        <v/>
      </c>
      <c r="BK118" t="str">
        <f>IF(CAPTURA!CP118="","",IF(ISNUMBER(CAPTURA!CP118),MAX(0,MIN(100,CAPTURA!CP118)),"⚠"))</f>
        <v/>
      </c>
      <c r="BL118" t="str">
        <f>IF(CAPTURA!CQ118="","",IFERROR(IF(INDEX(CODIFICACION!$E$2:$E$500,MATCH("D8.31|"&amp;CAPTURA!CQ118,CODIFICACION!$F$2:$F$500,0))="sin dato","",INDEX(CODIFICACION!$E$2:$E$500,MATCH("D8.31|"&amp;CAPTURA!CQ118,CODIFICACION!$F$2:$F$500,0))),"⚠"))</f>
        <v/>
      </c>
      <c r="BM118" t="str">
        <f>IF(CAPTURA!CR118="","",IFERROR(IF(INDEX(CODIFICACION!$E$2:$E$500,MATCH("D8.32|"&amp;CAPTURA!CR118,CODIFICACION!$F$2:$F$500,0))="sin dato","",INDEX(CODIFICACION!$E$2:$E$500,MATCH("D8.32|"&amp;CAPTURA!CR118,CODIFICACION!$F$2:$F$500,0))),"⚠"))</f>
        <v/>
      </c>
      <c r="BN118" t="str">
        <f>IF(CAPTURA!CS118="","",IFERROR(IF(INDEX(CODIFICACION!$E$2:$E$500,MATCH("D9.33|"&amp;CAPTURA!CS118,CODIFICACION!$F$2:$F$500,0))="sin dato","",INDEX(CODIFICACION!$E$2:$E$500,MATCH("D9.33|"&amp;CAPTURA!CS118,CODIFICACION!$F$2:$F$500,0))),"⚠"))</f>
        <v/>
      </c>
      <c r="BO118" t="str">
        <f>IF(CAPTURA!CT118="","",IFERROR(IF(INDEX(CODIFICACION!$E$2:$E$500,MATCH("D9.34|"&amp;CAPTURA!CT118,CODIFICACION!$F$2:$F$500,0))="sin dato","",INDEX(CODIFICACION!$E$2:$E$500,MATCH("D9.34|"&amp;CAPTURA!CT118,CODIFICACION!$F$2:$F$500,0))),"⚠"))</f>
        <v/>
      </c>
      <c r="BP118" t="str">
        <f>IF(CAPTURA!CU118="","",IFERROR(IF(INDEX(CODIFICACION!$E$2:$E$500,MATCH("D9.35|"&amp;CAPTURA!CU118,CODIFICACION!$F$2:$F$500,0))="sin dato","",INDEX(CODIFICACION!$E$2:$E$500,MATCH("D9.35|"&amp;CAPTURA!CU118,CODIFICACION!$F$2:$F$500,0))),"⚠"))</f>
        <v/>
      </c>
      <c r="BQ118" t="str">
        <f>IF(CAPTURA!CV118="","",IFERROR(IF(INDEX(CODIFICACION!$E$2:$E$500,MATCH("D10.36|"&amp;CAPTURA!CV118,CODIFICACION!$F$2:$F$500,0))="sin dato","",INDEX(CODIFICACION!$E$2:$E$500,MATCH("D10.36|"&amp;CAPTURA!CV118,CODIFICACION!$F$2:$F$500,0))),"⚠"))</f>
        <v/>
      </c>
      <c r="BR118" t="str">
        <f>IF(CAPTURA!CW118="","",IFERROR(IF(INDEX(CODIFICACION!$E$2:$E$500,MATCH("D10.37|"&amp;CAPTURA!CW118,CODIFICACION!$F$2:$F$500,0))="sin dato","",INDEX(CODIFICACION!$E$2:$E$500,MATCH("D10.37|"&amp;CAPTURA!CW118,CODIFICACION!$F$2:$F$500,0))),"⚠"))</f>
        <v/>
      </c>
      <c r="BS118" t="str">
        <f>IF(CAPTURA!CX118="","",IFERROR(IF(INDEX(CODIFICACION!$E$2:$E$500,MATCH("D10.36a|"&amp;CAPTURA!CX118,CODIFICACION!$F$2:$F$500,0))="sin dato","",INDEX(CODIFICACION!$E$2:$E$500,MATCH("D10.36a|"&amp;CAPTURA!CX118,CODIFICACION!$F$2:$F$500,0))),"⚠"))</f>
        <v/>
      </c>
      <c r="BT118" t="str">
        <f>IF(CAPTURA!CY118="","",IF(ISNUMBER(SEARCH("Ninguno",CAPTURA!CY118)),0,MIN(100,ROUND((LEN(CAPTURA!CY118)-LEN(SUBSTITUTE(CAPTURA!CY118,";",""))+1)/6*100,1))))</f>
        <v/>
      </c>
      <c r="BU118" t="str">
        <f>IF(CAPTURA!DA118="","",IFERROR(IF(INDEX(CODIFICACION!$E$2:$E$500,MATCH("D11.39a|"&amp;CAPTURA!DA118,CODIFICACION!$F$2:$F$500,0))="sin dato","",INDEX(CODIFICACION!$E$2:$E$500,MATCH("D11.39a|"&amp;CAPTURA!DA118,CODIFICACION!$F$2:$F$500,0))),"⚠"))</f>
        <v/>
      </c>
      <c r="BV118" t="str">
        <f>IF(CAPTURA!DB118="","",IFERROR(IF(INDEX(CODIFICACION!$E$2:$E$500,MATCH("D12.42|"&amp;CAPTURA!DB118,CODIFICACION!$F$2:$F$500,0))="sin dato","",INDEX(CODIFICACION!$E$2:$E$500,MATCH("D12.42|"&amp;CAPTURA!DB118,CODIFICACION!$F$2:$F$500,0))),"⚠"))</f>
        <v/>
      </c>
      <c r="BW118" t="str">
        <f>IF(CAPTURA!DC118="","",IFERROR(IF(INDEX(CODIFICACION!$E$2:$E$500,MATCH("D13.45|"&amp;CAPTURA!DC118,CODIFICACION!$F$2:$F$500,0))="sin dato","",INDEX(CODIFICACION!$E$2:$E$500,MATCH("D13.45|"&amp;CAPTURA!DC118,CODIFICACION!$F$2:$F$500,0))),"⚠"))</f>
        <v/>
      </c>
      <c r="BX118" t="str">
        <f>IF(CAPTURA!DD118="","",IFERROR(IF(INDEX(CODIFICACION!$E$2:$E$500,MATCH("D14.51|"&amp;CAPTURA!DD118,CODIFICACION!$F$2:$F$500,0))="sin dato","",INDEX(CODIFICACION!$E$2:$E$500,MATCH("D14.51|"&amp;CAPTURA!DD118,CODIFICACION!$F$2:$F$500,0))),"⚠"))</f>
        <v/>
      </c>
      <c r="BY118" t="str">
        <f>IF(CAPTURA!DE118="","",IFERROR(IF(INDEX(CODIFICACION!$E$2:$E$500,MATCH("D15.58|"&amp;CAPTURA!DE118,CODIFICACION!$F$2:$F$500,0))="sin dato","",INDEX(CODIFICACION!$E$2:$E$500,MATCH("D15.58|"&amp;CAPTURA!DE118,CODIFICACION!$F$2:$F$500,0))),"⚠"))</f>
        <v/>
      </c>
      <c r="BZ118" t="str">
        <f>IF(CAPTURA!DF118="","",IFERROR(IF(INDEX(CODIFICACION!$E$2:$E$500,MATCH("PP1|"&amp;CAPTURA!DF118,CODIFICACION!$F$2:$F$500,0))="sin dato","",INDEX(CODIFICACION!$E$2:$E$500,MATCH("PP1|"&amp;CAPTURA!DF118,CODIFICACION!$F$2:$F$500,0))),"⚠"))</f>
        <v/>
      </c>
      <c r="CA118" t="str">
        <f>IF(CAPTURA!DG118="","",IFERROR(IF(INDEX(CODIFICACION!$E$2:$E$500,MATCH("PP2|"&amp;CAPTURA!DG118,CODIFICACION!$F$2:$F$500,0))="sin dato","",INDEX(CODIFICACION!$E$2:$E$500,MATCH("PP2|"&amp;CAPTURA!DG118,CODIFICACION!$F$2:$F$500,0))),"⚠"))</f>
        <v/>
      </c>
      <c r="CB118" t="str">
        <f t="shared" si="33"/>
        <v/>
      </c>
      <c r="CC118" t="str">
        <f t="shared" si="34"/>
        <v/>
      </c>
      <c r="CD118" t="str">
        <f t="shared" si="35"/>
        <v/>
      </c>
      <c r="CE118" t="str">
        <f t="shared" si="36"/>
        <v/>
      </c>
      <c r="CF118" t="str">
        <f t="shared" si="37"/>
        <v/>
      </c>
      <c r="CG118" t="str">
        <f t="shared" si="38"/>
        <v/>
      </c>
      <c r="CH118" t="str">
        <f t="shared" si="39"/>
        <v/>
      </c>
      <c r="CI118" t="str">
        <f t="shared" si="40"/>
        <v/>
      </c>
      <c r="CJ118" t="str">
        <f t="shared" si="41"/>
        <v/>
      </c>
      <c r="CK118" t="str">
        <f t="shared" si="42"/>
        <v/>
      </c>
      <c r="CL118" t="str">
        <f t="shared" si="43"/>
        <v/>
      </c>
    </row>
    <row r="119" spans="1:90" x14ac:dyDescent="0.3">
      <c r="A119">
        <f>CAPTURA!A119</f>
        <v>20601119316</v>
      </c>
      <c r="B119">
        <f>CAPTURA!C119</f>
        <v>0</v>
      </c>
      <c r="C119" t="str">
        <f>IF(CAPTURA!M119="","",ROUND((ISNUMBER(SEARCH("Alemania",CAPTURA!M119))+ISNUMBER(SEARCH("Bélgica",CAPTURA!M119))+ISNUMBER(SEARCH("Países Bajos",CAPTURA!M119))+ISNUMBER(SEARCH("Francia",CAPTURA!M119))+ISNUMBER(SEARCH("Italia",CAPTURA!M119))+ISNUMBER(SEARCH("España",CAPTURA!M119))+ISNUMBER(SEARCH("Suecia",CAPTURA!M119))+ISNUMBER(SEARCH("Dinamarca",CAPTURA!M119)))/((LEN(CAPTURA!M119)-LEN(SUBSTITUTE(CAPTURA!M119,";","")))+1)*100,1))</f>
        <v/>
      </c>
      <c r="D119" t="str">
        <f>IF(CAPTURA!AE119="","",IFERROR(IF(INDEX(CODIFICACION!$E$2:$E$500,MATCH("P8|"&amp;CAPTURA!AE119,CODIFICACION!$F$2:$F$500,0))="sin dato","",INDEX(CODIFICACION!$E$2:$E$500,MATCH("P8|"&amp;CAPTURA!AE119,CODIFICACION!$F$2:$F$500,0))),"⚠"))</f>
        <v/>
      </c>
      <c r="E119" t="str">
        <f>IF(CAPTURA!AG119="","",IFERROR(IF(INDEX(CODIFICACION!$E$2:$E$500,MATCH("P10|"&amp;CAPTURA!AG119,CODIFICACION!$F$2:$F$500,0))="sin dato","",INDEX(CODIFICACION!$E$2:$E$500,MATCH("P10|"&amp;CAPTURA!AG119,CODIFICACION!$F$2:$F$500,0))),"⚠"))</f>
        <v/>
      </c>
      <c r="F119" t="str">
        <f>IF(CAPTURA!AJ119="","",IFERROR(IF(INDEX(CODIFICACION!$E$2:$E$500,MATCH("P13|"&amp;CAPTURA!AJ119,CODIFICACION!$F$2:$F$500,0))="sin dato","",INDEX(CODIFICACION!$E$2:$E$500,MATCH("P13|"&amp;CAPTURA!AJ119,CODIFICACION!$F$2:$F$500,0))),"⚠"))</f>
        <v/>
      </c>
      <c r="G119" t="str">
        <f>IF(CAPTURA!AK119="","",IFERROR(IF(INDEX(CODIFICACION!$E$2:$E$500,MATCH("P14|"&amp;CAPTURA!AK119,CODIFICACION!$F$2:$F$500,0))="sin dato","",INDEX(CODIFICACION!$E$2:$E$500,MATCH("P14|"&amp;CAPTURA!AK119,CODIFICACION!$F$2:$F$500,0))),"⚠"))</f>
        <v/>
      </c>
      <c r="H119" t="str">
        <f>IF(CAPTURA!AL119="","",IFERROR(IF(INDEX(CODIFICACION!$E$2:$E$500,MATCH("D1.1|"&amp;CAPTURA!AL119,CODIFICACION!$F$2:$F$500,0))="sin dato","",INDEX(CODIFICACION!$E$2:$E$500,MATCH("D1.1|"&amp;CAPTURA!AL119,CODIFICACION!$F$2:$F$500,0))),"⚠"))</f>
        <v/>
      </c>
      <c r="I119" t="str">
        <f>IF(CAPTURA!AN119="","",IFERROR(IF(INDEX(CODIFICACION!$E$2:$E$500,MATCH("D1.3|"&amp;CAPTURA!AN119,CODIFICACION!$F$2:$F$500,0))="sin dato","",INDEX(CODIFICACION!$E$2:$E$500,MATCH("D1.3|"&amp;CAPTURA!AN119,CODIFICACION!$F$2:$F$500,0))),"⚠"))</f>
        <v/>
      </c>
      <c r="J119" t="str">
        <f>IF(CAPTURA!AO119="","",IFERROR(IF(INDEX(CODIFICACION!$E$2:$E$500,MATCH("D1.4|"&amp;CAPTURA!AO119,CODIFICACION!$F$2:$F$500,0))="sin dato","",INDEX(CODIFICACION!$E$2:$E$500,MATCH("D1.4|"&amp;CAPTURA!AO119,CODIFICACION!$F$2:$F$500,0))),"⚠"))</f>
        <v/>
      </c>
      <c r="K119" t="str">
        <f>IF(CAPTURA!AP119="","",IFERROR(IF(INDEX(CODIFICACION!$E$2:$E$500,MATCH("D1.3a|"&amp;CAPTURA!AP119,CODIFICACION!$F$2:$F$500,0))="sin dato","",INDEX(CODIFICACION!$E$2:$E$500,MATCH("D1.3a|"&amp;CAPTURA!AP119,CODIFICACION!$F$2:$F$500,0))),"⚠"))</f>
        <v/>
      </c>
      <c r="L119" t="str">
        <f>IF(CAPTURA!AQ119="","",IF(AND(ISNUMBER(CAPTURA!AQ119),CAPTURA!AQ119&gt;=0,CAPTURA!AQ119&lt;=4),CAPTURA!AQ119*25,"⚠"))</f>
        <v/>
      </c>
      <c r="M119" t="str">
        <f>IF(CAPTURA!AR119="","",IF(ISNUMBER(CAPTURA!AR119),MAX(0,MIN(100,CAPTURA!AR119)),"⚠"))</f>
        <v/>
      </c>
      <c r="N119" t="str">
        <f>IF(CAPTURA!AS119="","",IF(AND(ISNUMBER(CAPTURA!AS119),CAPTURA!AS119&gt;=0,CAPTURA!AS119&lt;=4),CAPTURA!AS119*25,"⚠"))</f>
        <v/>
      </c>
      <c r="O119" t="str">
        <f>IF(CAPTURA!AT119="","",IFERROR(IF(INDEX(CODIFICACION!$E$2:$E$500,MATCH("D2.8|"&amp;CAPTURA!AT119,CODIFICACION!$F$2:$F$500,0))="sin dato","",INDEX(CODIFICACION!$E$2:$E$500,MATCH("D2.8|"&amp;CAPTURA!AT119,CODIFICACION!$F$2:$F$500,0))),"⚠"))</f>
        <v/>
      </c>
      <c r="P119" t="str">
        <f>IF(CAPTURA!AU119="","",IFERROR(IF(INDEX(CODIFICACION!$E$2:$E$500,MATCH("D2.9|"&amp;CAPTURA!AU119,CODIFICACION!$F$2:$F$500,0))="sin dato","",INDEX(CODIFICACION!$E$2:$E$500,MATCH("D2.9|"&amp;CAPTURA!AU119,CODIFICACION!$F$2:$F$500,0))),"⚠"))</f>
        <v/>
      </c>
      <c r="Q119" t="str">
        <f>IF(CAPTURA!AV119="","",IFERROR(IF(INDEX(CODIFICACION!$E$2:$E$500,MATCH("D2.10|"&amp;CAPTURA!AV119,CODIFICACION!$F$2:$F$500,0))="sin dato","",INDEX(CODIFICACION!$E$2:$E$500,MATCH("D2.10|"&amp;CAPTURA!AV119,CODIFICACION!$F$2:$F$500,0))),"⚠"))</f>
        <v/>
      </c>
      <c r="R119" t="str">
        <f>IF(CAPTURA!AW119="","",IFERROR(IF(INDEX(CODIFICACION!$E$2:$E$500,MATCH("D2.5a|"&amp;CAPTURA!AW119,CODIFICACION!$F$2:$F$500,0))="sin dato","",INDEX(CODIFICACION!$E$2:$E$500,MATCH("D2.5a|"&amp;CAPTURA!AW119,CODIFICACION!$F$2:$F$500,0))),"⚠"))</f>
        <v/>
      </c>
      <c r="S119" t="str">
        <f>IF(CAPTURA!AX119="","",IFERROR(IF(INDEX(CODIFICACION!$E$2:$E$500,MATCH("D2.5b|"&amp;CAPTURA!AX119,CODIFICACION!$F$2:$F$500,0))="sin dato","",INDEX(CODIFICACION!$E$2:$E$500,MATCH("D2.5b|"&amp;CAPTURA!AX119,CODIFICACION!$F$2:$F$500,0))),"⚠"))</f>
        <v/>
      </c>
      <c r="T119" t="str">
        <f>IF(CAPTURA!AY119="","",IF(ISNUMBER(CAPTURA!AY119),MAX(0,MIN(100,CAPTURA!AY119)),"⚠"))</f>
        <v/>
      </c>
      <c r="U119" t="str">
        <f>IF(CAPTURA!AZ119="","",IFERROR(IF(INDEX(CODIFICACION!$E$2:$E$500,MATCH("D3.12|"&amp;CAPTURA!AZ119,CODIFICACION!$F$2:$F$500,0))="sin dato","",INDEX(CODIFICACION!$E$2:$E$500,MATCH("D3.12|"&amp;CAPTURA!AZ119,CODIFICACION!$F$2:$F$500,0))),"⚠"))</f>
        <v/>
      </c>
      <c r="V119" t="str">
        <f>IF(CAPTURA!BA119="","",IF(AND(ISNUMBER(CAPTURA!BA119),CAPTURA!BA119&gt;=0,CAPTURA!BA119&lt;=4),CAPTURA!BA119*25,"⚠"))</f>
        <v/>
      </c>
      <c r="W119" t="str">
        <f>IF(CAPTURA!BB119="","",IFERROR(IF(INDEX(CODIFICACION!$E$2:$E$500,MATCH("D3.14|"&amp;CAPTURA!BB119,CODIFICACION!$F$2:$F$500,0))="sin dato","",INDEX(CODIFICACION!$E$2:$E$500,MATCH("D3.14|"&amp;CAPTURA!BB119,CODIFICACION!$F$2:$F$500,0))),"⚠"))</f>
        <v/>
      </c>
      <c r="X119" t="str">
        <f>IF(CAPTURA!BC119="","",IFERROR(IF(INDEX(CODIFICACION!$E$2:$E$500,MATCH("D3.14a|"&amp;CAPTURA!BC119,CODIFICACION!$F$2:$F$500,0))="sin dato","",INDEX(CODIFICACION!$E$2:$E$500,MATCH("D3.14a|"&amp;CAPTURA!BC119,CODIFICACION!$F$2:$F$500,0))),"⚠"))</f>
        <v/>
      </c>
      <c r="Y119" t="str">
        <f>IF(CAPTURA!BD119="","",IFERROR(IF(INDEX(CODIFICACION!$E$2:$E$500,MATCH("D3.14b|"&amp;CAPTURA!BD119,CODIFICACION!$F$2:$F$500,0))="sin dato","",INDEX(CODIFICACION!$E$2:$E$500,MATCH("D3.14b|"&amp;CAPTURA!BD119,CODIFICACION!$F$2:$F$500,0))),"⚠"))</f>
        <v/>
      </c>
      <c r="Z119" t="str">
        <f>IF(CAPTURA!BE119="","",IFERROR(IF(INDEX(CODIFICACION!$E$2:$E$500,MATCH("D3.14c|"&amp;CAPTURA!BE119,CODIFICACION!$F$2:$F$500,0))="sin dato","",INDEX(CODIFICACION!$E$2:$E$500,MATCH("D3.14c|"&amp;CAPTURA!BE119,CODIFICACION!$F$2:$F$500,0))),"⚠"))</f>
        <v/>
      </c>
      <c r="AA119" t="str">
        <f>IF(CAPTURA!BF119="","",IFERROR(IF(INDEX(CODIFICACION!$E$2:$E$500,MATCH("D3.14d|"&amp;CAPTURA!BF119,CODIFICACION!$F$2:$F$500,0))="sin dato","",INDEX(CODIFICACION!$E$2:$E$500,MATCH("D3.14d|"&amp;CAPTURA!BF119,CODIFICACION!$F$2:$F$500,0))),"⚠"))</f>
        <v/>
      </c>
      <c r="AB119" t="str">
        <f>IF(CAPTURA!BG119="","",IFERROR(IF(INDEX(CODIFICACION!$E$2:$E$500,MATCH("D3.14e|"&amp;CAPTURA!BG119,CODIFICACION!$F$2:$F$500,0))="sin dato","",INDEX(CODIFICACION!$E$2:$E$500,MATCH("D3.14e|"&amp;CAPTURA!BG119,CODIFICACION!$F$2:$F$500,0))),"⚠"))</f>
        <v/>
      </c>
      <c r="AC119" t="str">
        <f>IF(CAPTURA!BH119="","",IFERROR(IF(INDEX(CODIFICACION!$E$2:$E$500,MATCH("D3.14f|"&amp;CAPTURA!BH119,CODIFICACION!$F$2:$F$500,0))="sin dato","",INDEX(CODIFICACION!$E$2:$E$500,MATCH("D3.14f|"&amp;CAPTURA!BH119,CODIFICACION!$F$2:$F$500,0))),"⚠"))</f>
        <v/>
      </c>
      <c r="AD119" t="str">
        <f>IF(CAPTURA!BI119="","",IFERROR(IF(INDEX(CODIFICACION!$E$2:$E$500,MATCH("D3.14g|"&amp;CAPTURA!BI119,CODIFICACION!$F$2:$F$500,0))="sin dato","",INDEX(CODIFICACION!$E$2:$E$500,MATCH("D3.14g|"&amp;CAPTURA!BI119,CODIFICACION!$F$2:$F$500,0))),"⚠"))</f>
        <v/>
      </c>
      <c r="AE119" t="str">
        <f>IF(CAPTURA!BJ119="","",IFERROR(IF(INDEX(CODIFICACION!$E$2:$E$500,MATCH("D3.14h|"&amp;CAPTURA!BJ119,CODIFICACION!$F$2:$F$500,0))="sin dato","",INDEX(CODIFICACION!$E$2:$E$500,MATCH("D3.14h|"&amp;CAPTURA!BJ119,CODIFICACION!$F$2:$F$500,0))),"⚠"))</f>
        <v/>
      </c>
      <c r="AF119" t="str">
        <f>IF(CAPTURA!BK119="","",IFERROR(IF(INDEX(CODIFICACION!$E$2:$E$500,MATCH("D3.14i|"&amp;CAPTURA!BK119,CODIFICACION!$F$2:$F$500,0))="sin dato","",INDEX(CODIFICACION!$E$2:$E$500,MATCH("D3.14i|"&amp;CAPTURA!BK119,CODIFICACION!$F$2:$F$500,0))),"⚠"))</f>
        <v/>
      </c>
      <c r="AG119" t="str">
        <f>IF(CAPTURA!BL119="","",IFERROR(IF(INDEX(CODIFICACION!$E$2:$E$500,MATCH("D4.15|"&amp;CAPTURA!BL119,CODIFICACION!$F$2:$F$500,0))="sin dato","",INDEX(CODIFICACION!$E$2:$E$500,MATCH("D4.15|"&amp;CAPTURA!BL119,CODIFICACION!$F$2:$F$500,0))),"⚠"))</f>
        <v/>
      </c>
      <c r="AH119" t="str">
        <f>IF(CAPTURA!BM119="","",IF(AND(ISNUMBER(CAPTURA!BM119),CAPTURA!BM119&gt;=0,CAPTURA!BM119&lt;=4),CAPTURA!BM119*25,"⚠"))</f>
        <v/>
      </c>
      <c r="AI119" t="str">
        <f>IF(CAPTURA!BN119="","",IFERROR(IF(INDEX(CODIFICACION!$E$2:$E$500,MATCH("D4.17|"&amp;CAPTURA!BN119,CODIFICACION!$F$2:$F$500,0))="sin dato","",INDEX(CODIFICACION!$E$2:$E$500,MATCH("D4.17|"&amp;CAPTURA!BN119,CODIFICACION!$F$2:$F$500,0))),"⚠"))</f>
        <v/>
      </c>
      <c r="AJ119" t="str">
        <f>IF(CAPTURA!BO119="","",IFERROR(IF(INDEX(CODIFICACION!$E$2:$E$500,MATCH("D4.15a|"&amp;CAPTURA!BO119,CODIFICACION!$F$2:$F$500,0))="sin dato","",INDEX(CODIFICACION!$E$2:$E$500,MATCH("D4.15a|"&amp;CAPTURA!BO119,CODIFICACION!$F$2:$F$500,0))),"⚠"))</f>
        <v/>
      </c>
      <c r="AK119" t="str">
        <f>IF(CAPTURA!BP119="","",IF(AND(ISNUMBER(CAPTURA!BP119),CAPTURA!BP119&gt;=0,CAPTURA!BP119&lt;=4),CAPTURA!BP119*25,"⚠"))</f>
        <v/>
      </c>
      <c r="AL119" t="str">
        <f>IF(CAPTURA!BQ119="","",IF(AND(ISNUMBER(CAPTURA!BQ119),CAPTURA!BQ119&gt;=0,CAPTURA!BQ119&lt;=4),CAPTURA!BQ119*25,"⚠"))</f>
        <v/>
      </c>
      <c r="AM119" t="str">
        <f>IF(CAPTURA!BR119="","",IFERROR(IF(INDEX(CODIFICACION!$E$2:$E$500,MATCH("D5.18b|"&amp;CAPTURA!BR119,CODIFICACION!$F$2:$F$500,0))="sin dato","",INDEX(CODIFICACION!$E$2:$E$500,MATCH("D5.18b|"&amp;CAPTURA!BR119,CODIFICACION!$F$2:$F$500,0))),"⚠"))</f>
        <v/>
      </c>
      <c r="AN119" t="str">
        <f>IF(CAPTURA!BS119="","",IFERROR(IF(INDEX(CODIFICACION!$E$2:$E$500,MATCH("D5.19|"&amp;CAPTURA!BS119,CODIFICACION!$F$2:$F$500,0))="sin dato","",INDEX(CODIFICACION!$E$2:$E$500,MATCH("D5.19|"&amp;CAPTURA!BS119,CODIFICACION!$F$2:$F$500,0))),"⚠"))</f>
        <v/>
      </c>
      <c r="AO119" t="str">
        <f>IF(CAPTURA!BT119="","",MIN(100,ROUND((LEN(CAPTURA!BT119)-LEN(SUBSTITUTE(CAPTURA!BT119,";",""))+1)/7*100,1)))</f>
        <v/>
      </c>
      <c r="AP119" t="str">
        <f>IF(CAPTURA!BU119="","",IFERROR(IF(INDEX(CODIFICACION!$E$2:$E$500,MATCH("D5.20|"&amp;CAPTURA!BU119,CODIFICACION!$F$2:$F$500,0))="sin dato","",INDEX(CODIFICACION!$E$2:$E$500,MATCH("D5.20|"&amp;CAPTURA!BU119,CODIFICACION!$F$2:$F$500,0))),"⚠"))</f>
        <v/>
      </c>
      <c r="AQ119" t="str">
        <f>IF(CAPTURA!BV119="","",IFERROR(IF(INDEX(CODIFICACION!$E$2:$E$500,MATCH("D5.21|"&amp;CAPTURA!BV119,CODIFICACION!$F$2:$F$500,0))="sin dato","",INDEX(CODIFICACION!$E$2:$E$500,MATCH("D5.21|"&amp;CAPTURA!BV119,CODIFICACION!$F$2:$F$500,0))),"⚠"))</f>
        <v/>
      </c>
      <c r="AR119" t="str">
        <f>IF(CAPTURA!BW119="","",IFERROR(IF(INDEX(CODIFICACION!$E$2:$E$500,MATCH("D5.21a|"&amp;CAPTURA!BW119,CODIFICACION!$F$2:$F$500,0))="sin dato","",INDEX(CODIFICACION!$E$2:$E$500,MATCH("D5.21a|"&amp;CAPTURA!BW119,CODIFICACION!$F$2:$F$500,0))),"⚠"))</f>
        <v/>
      </c>
      <c r="AS119" t="str">
        <f>IF(CAPTURA!BX119="","",IFERROR(IF(INDEX(CODIFICACION!$E$2:$E$500,MATCH("D5.21b|"&amp;CAPTURA!BX119,CODIFICACION!$F$2:$F$500,0))="sin dato","",INDEX(CODIFICACION!$E$2:$E$500,MATCH("D5.21b|"&amp;CAPTURA!BX119,CODIFICACION!$F$2:$F$500,0))),"⚠"))</f>
        <v/>
      </c>
      <c r="AT119" t="str">
        <f>IF(CAPTURA!BY119="","",IFERROR(IF(INDEX(CODIFICACION!$E$2:$E$500,MATCH("D6.22|"&amp;CAPTURA!BY119,CODIFICACION!$F$2:$F$500,0))="sin dato","",INDEX(CODIFICACION!$E$2:$E$500,MATCH("D6.22|"&amp;CAPTURA!BY119,CODIFICACION!$F$2:$F$500,0))),"⚠"))</f>
        <v/>
      </c>
      <c r="AU119" t="str">
        <f>IF(CAPTURA!BZ119="","",IFERROR(IF(INDEX(CODIFICACION!$E$2:$E$500,MATCH("D6.22a|"&amp;CAPTURA!BZ119,CODIFICACION!$F$2:$F$500,0))="sin dato","",INDEX(CODIFICACION!$E$2:$E$500,MATCH("D6.22a|"&amp;CAPTURA!BZ119,CODIFICACION!$F$2:$F$500,0))),"⚠"))</f>
        <v/>
      </c>
      <c r="AV119" t="str">
        <f>IF(CAPTURA!CA119="","",IFERROR(IF(INDEX(CODIFICACION!$E$2:$E$500,MATCH("D6.22b|"&amp;CAPTURA!CA119,CODIFICACION!$F$2:$F$500,0))="sin dato","",INDEX(CODIFICACION!$E$2:$E$500,MATCH("D6.22b|"&amp;CAPTURA!CA119,CODIFICACION!$F$2:$F$500,0))),"⚠"))</f>
        <v/>
      </c>
      <c r="AW119" t="str">
        <f>IF(CAPTURA!CB119="","",IFERROR(IF(INDEX(CODIFICACION!$E$2:$E$500,MATCH("D6.23|"&amp;CAPTURA!CB119,CODIFICACION!$F$2:$F$500,0))="sin dato","",INDEX(CODIFICACION!$E$2:$E$500,MATCH("D6.23|"&amp;CAPTURA!CB119,CODIFICACION!$F$2:$F$500,0))),"⚠"))</f>
        <v/>
      </c>
      <c r="AX119" t="str">
        <f>IF(CAPTURA!CC119="","",IFERROR(IF(INDEX(CODIFICACION!$E$2:$E$500,MATCH("D6.24|"&amp;CAPTURA!CC119,CODIFICACION!$F$2:$F$500,0))="sin dato","",INDEX(CODIFICACION!$E$2:$E$500,MATCH("D6.24|"&amp;CAPTURA!CC119,CODIFICACION!$F$2:$F$500,0))),"⚠"))</f>
        <v/>
      </c>
      <c r="AY119" t="str">
        <f>IF(CAPTURA!CD119="","",IFERROR(IF(INDEX(CODIFICACION!$E$2:$E$500,MATCH("D6.25|"&amp;CAPTURA!CD119,CODIFICACION!$F$2:$F$500,0))="sin dato","",INDEX(CODIFICACION!$E$2:$E$500,MATCH("D6.25|"&amp;CAPTURA!CD119,CODIFICACION!$F$2:$F$500,0))),"⚠"))</f>
        <v/>
      </c>
      <c r="AZ119" t="str">
        <f>IF(CAPTURA!CE119="","",IFERROR(IF(INDEX(CODIFICACION!$E$2:$E$500,MATCH("D6.25a|"&amp;CAPTURA!CE119,CODIFICACION!$F$2:$F$500,0))="sin dato","",INDEX(CODIFICACION!$E$2:$E$500,MATCH("D6.25a|"&amp;CAPTURA!CE119,CODIFICACION!$F$2:$F$500,0))),"⚠"))</f>
        <v/>
      </c>
      <c r="BA119" t="str">
        <f>IF(CAPTURA!CF119="","",IFERROR(IF(INDEX(CODIFICACION!$E$2:$E$500,MATCH("D6.25b|"&amp;CAPTURA!CF119,CODIFICACION!$F$2:$F$500,0))="sin dato","",INDEX(CODIFICACION!$E$2:$E$500,MATCH("D6.25b|"&amp;CAPTURA!CF119,CODIFICACION!$F$2:$F$500,0))),"⚠"))</f>
        <v/>
      </c>
      <c r="BB119" t="str">
        <f>IF(CAPTURA!CG119="","",IFERROR(IF(INDEX(CODIFICACION!$E$2:$E$500,MATCH("D6.22c|"&amp;CAPTURA!CG119,CODIFICACION!$F$2:$F$500,0))="sin dato","",INDEX(CODIFICACION!$E$2:$E$500,MATCH("D6.22c|"&amp;CAPTURA!CG119,CODIFICACION!$F$2:$F$500,0))),"⚠"))</f>
        <v/>
      </c>
      <c r="BC119" t="str">
        <f>IF(CAPTURA!CH119="","",IFERROR(IF(INDEX(CODIFICACION!$E$2:$E$500,MATCH("D7.26|"&amp;CAPTURA!CH119,CODIFICACION!$F$2:$F$500,0))="sin dato","",INDEX(CODIFICACION!$E$2:$E$500,MATCH("D7.26|"&amp;CAPTURA!CH119,CODIFICACION!$F$2:$F$500,0))),"⚠"))</f>
        <v/>
      </c>
      <c r="BD119" t="str">
        <f>IF(CAPTURA!CI119="","",IFERROR(IF(INDEX(CODIFICACION!$E$2:$E$500,MATCH("D7.27|"&amp;CAPTURA!CI119,CODIFICACION!$F$2:$F$500,0))="sin dato","",INDEX(CODIFICACION!$E$2:$E$500,MATCH("D7.27|"&amp;CAPTURA!CI119,CODIFICACION!$F$2:$F$500,0))),"⚠"))</f>
        <v/>
      </c>
      <c r="BE119" t="str">
        <f>IF(CAPTURA!CJ119="","",IFERROR(IF(INDEX(CODIFICACION!$E$2:$E$500,MATCH("D7.28|"&amp;CAPTURA!CJ119,CODIFICACION!$F$2:$F$500,0))="sin dato","",INDEX(CODIFICACION!$E$2:$E$500,MATCH("D7.28|"&amp;CAPTURA!CJ119,CODIFICACION!$F$2:$F$500,0))),"⚠"))</f>
        <v/>
      </c>
      <c r="BF119" t="str">
        <f>IF(CAPTURA!CK119="","",IFERROR(IF(INDEX(CODIFICACION!$E$2:$E$500,MATCH("D7.28b|"&amp;CAPTURA!CK119,CODIFICACION!$F$2:$F$500,0))="sin dato","",INDEX(CODIFICACION!$E$2:$E$500,MATCH("D7.28b|"&amp;CAPTURA!CK119,CODIFICACION!$F$2:$F$500,0))),"⚠"))</f>
        <v/>
      </c>
      <c r="BG119" t="str">
        <f>IF(CAPTURA!CL119="","",MIN(100,ROUND((LEN(CAPTURA!CL119)-LEN(SUBSTITUTE(CAPTURA!CL119,";",""))+1)/8*100,1)))</f>
        <v/>
      </c>
      <c r="BH119" t="str">
        <f>IF(CAPTURA!CM119="","",IFERROR(IF(INDEX(CODIFICACION!$E$2:$E$500,MATCH("D7.26a|"&amp;CAPTURA!CM119,CODIFICACION!$F$2:$F$500,0))="sin dato","",INDEX(CODIFICACION!$E$2:$E$500,MATCH("D7.26a|"&amp;CAPTURA!CM119,CODIFICACION!$F$2:$F$500,0))),"⚠"))</f>
        <v/>
      </c>
      <c r="BI119" t="str">
        <f>IF(CAPTURA!CN119="","",IFERROR(IF(INDEX(CODIFICACION!$E$2:$E$500,MATCH("D7.26b|"&amp;CAPTURA!CN119,CODIFICACION!$F$2:$F$500,0))="sin dato","",INDEX(CODIFICACION!$E$2:$E$500,MATCH("D7.26b|"&amp;CAPTURA!CN119,CODIFICACION!$F$2:$F$500,0))),"⚠"))</f>
        <v/>
      </c>
      <c r="BJ119" t="str">
        <f>IF(CAPTURA!CO119="","",IF(AND(ISNUMBER(CAPTURA!CO119),CAPTURA!CO119&gt;=0,CAPTURA!CO119&lt;=4),CAPTURA!CO119*25,"⚠"))</f>
        <v/>
      </c>
      <c r="BK119" t="str">
        <f>IF(CAPTURA!CP119="","",IF(ISNUMBER(CAPTURA!CP119),MAX(0,MIN(100,CAPTURA!CP119)),"⚠"))</f>
        <v/>
      </c>
      <c r="BL119" t="str">
        <f>IF(CAPTURA!CQ119="","",IFERROR(IF(INDEX(CODIFICACION!$E$2:$E$500,MATCH("D8.31|"&amp;CAPTURA!CQ119,CODIFICACION!$F$2:$F$500,0))="sin dato","",INDEX(CODIFICACION!$E$2:$E$500,MATCH("D8.31|"&amp;CAPTURA!CQ119,CODIFICACION!$F$2:$F$500,0))),"⚠"))</f>
        <v/>
      </c>
      <c r="BM119" t="str">
        <f>IF(CAPTURA!CR119="","",IFERROR(IF(INDEX(CODIFICACION!$E$2:$E$500,MATCH("D8.32|"&amp;CAPTURA!CR119,CODIFICACION!$F$2:$F$500,0))="sin dato","",INDEX(CODIFICACION!$E$2:$E$500,MATCH("D8.32|"&amp;CAPTURA!CR119,CODIFICACION!$F$2:$F$500,0))),"⚠"))</f>
        <v/>
      </c>
      <c r="BN119" t="str">
        <f>IF(CAPTURA!CS119="","",IFERROR(IF(INDEX(CODIFICACION!$E$2:$E$500,MATCH("D9.33|"&amp;CAPTURA!CS119,CODIFICACION!$F$2:$F$500,0))="sin dato","",INDEX(CODIFICACION!$E$2:$E$500,MATCH("D9.33|"&amp;CAPTURA!CS119,CODIFICACION!$F$2:$F$500,0))),"⚠"))</f>
        <v/>
      </c>
      <c r="BO119" t="str">
        <f>IF(CAPTURA!CT119="","",IFERROR(IF(INDEX(CODIFICACION!$E$2:$E$500,MATCH("D9.34|"&amp;CAPTURA!CT119,CODIFICACION!$F$2:$F$500,0))="sin dato","",INDEX(CODIFICACION!$E$2:$E$500,MATCH("D9.34|"&amp;CAPTURA!CT119,CODIFICACION!$F$2:$F$500,0))),"⚠"))</f>
        <v/>
      </c>
      <c r="BP119" t="str">
        <f>IF(CAPTURA!CU119="","",IFERROR(IF(INDEX(CODIFICACION!$E$2:$E$500,MATCH("D9.35|"&amp;CAPTURA!CU119,CODIFICACION!$F$2:$F$500,0))="sin dato","",INDEX(CODIFICACION!$E$2:$E$500,MATCH("D9.35|"&amp;CAPTURA!CU119,CODIFICACION!$F$2:$F$500,0))),"⚠"))</f>
        <v/>
      </c>
      <c r="BQ119" t="str">
        <f>IF(CAPTURA!CV119="","",IFERROR(IF(INDEX(CODIFICACION!$E$2:$E$500,MATCH("D10.36|"&amp;CAPTURA!CV119,CODIFICACION!$F$2:$F$500,0))="sin dato","",INDEX(CODIFICACION!$E$2:$E$500,MATCH("D10.36|"&amp;CAPTURA!CV119,CODIFICACION!$F$2:$F$500,0))),"⚠"))</f>
        <v/>
      </c>
      <c r="BR119" t="str">
        <f>IF(CAPTURA!CW119="","",IFERROR(IF(INDEX(CODIFICACION!$E$2:$E$500,MATCH("D10.37|"&amp;CAPTURA!CW119,CODIFICACION!$F$2:$F$500,0))="sin dato","",INDEX(CODIFICACION!$E$2:$E$500,MATCH("D10.37|"&amp;CAPTURA!CW119,CODIFICACION!$F$2:$F$500,0))),"⚠"))</f>
        <v/>
      </c>
      <c r="BS119" t="str">
        <f>IF(CAPTURA!CX119="","",IFERROR(IF(INDEX(CODIFICACION!$E$2:$E$500,MATCH("D10.36a|"&amp;CAPTURA!CX119,CODIFICACION!$F$2:$F$500,0))="sin dato","",INDEX(CODIFICACION!$E$2:$E$500,MATCH("D10.36a|"&amp;CAPTURA!CX119,CODIFICACION!$F$2:$F$500,0))),"⚠"))</f>
        <v/>
      </c>
      <c r="BT119" t="str">
        <f>IF(CAPTURA!CY119="","",IF(ISNUMBER(SEARCH("Ninguno",CAPTURA!CY119)),0,MIN(100,ROUND((LEN(CAPTURA!CY119)-LEN(SUBSTITUTE(CAPTURA!CY119,";",""))+1)/6*100,1))))</f>
        <v/>
      </c>
      <c r="BU119" t="str">
        <f>IF(CAPTURA!DA119="","",IFERROR(IF(INDEX(CODIFICACION!$E$2:$E$500,MATCH("D11.39a|"&amp;CAPTURA!DA119,CODIFICACION!$F$2:$F$500,0))="sin dato","",INDEX(CODIFICACION!$E$2:$E$500,MATCH("D11.39a|"&amp;CAPTURA!DA119,CODIFICACION!$F$2:$F$500,0))),"⚠"))</f>
        <v/>
      </c>
      <c r="BV119" t="str">
        <f>IF(CAPTURA!DB119="","",IFERROR(IF(INDEX(CODIFICACION!$E$2:$E$500,MATCH("D12.42|"&amp;CAPTURA!DB119,CODIFICACION!$F$2:$F$500,0))="sin dato","",INDEX(CODIFICACION!$E$2:$E$500,MATCH("D12.42|"&amp;CAPTURA!DB119,CODIFICACION!$F$2:$F$500,0))),"⚠"))</f>
        <v/>
      </c>
      <c r="BW119" t="str">
        <f>IF(CAPTURA!DC119="","",IFERROR(IF(INDEX(CODIFICACION!$E$2:$E$500,MATCH("D13.45|"&amp;CAPTURA!DC119,CODIFICACION!$F$2:$F$500,0))="sin dato","",INDEX(CODIFICACION!$E$2:$E$500,MATCH("D13.45|"&amp;CAPTURA!DC119,CODIFICACION!$F$2:$F$500,0))),"⚠"))</f>
        <v/>
      </c>
      <c r="BX119" t="str">
        <f>IF(CAPTURA!DD119="","",IFERROR(IF(INDEX(CODIFICACION!$E$2:$E$500,MATCH("D14.51|"&amp;CAPTURA!DD119,CODIFICACION!$F$2:$F$500,0))="sin dato","",INDEX(CODIFICACION!$E$2:$E$500,MATCH("D14.51|"&amp;CAPTURA!DD119,CODIFICACION!$F$2:$F$500,0))),"⚠"))</f>
        <v/>
      </c>
      <c r="BY119" t="str">
        <f>IF(CAPTURA!DE119="","",IFERROR(IF(INDEX(CODIFICACION!$E$2:$E$500,MATCH("D15.58|"&amp;CAPTURA!DE119,CODIFICACION!$F$2:$F$500,0))="sin dato","",INDEX(CODIFICACION!$E$2:$E$500,MATCH("D15.58|"&amp;CAPTURA!DE119,CODIFICACION!$F$2:$F$500,0))),"⚠"))</f>
        <v/>
      </c>
      <c r="BZ119" t="str">
        <f>IF(CAPTURA!DF119="","",IFERROR(IF(INDEX(CODIFICACION!$E$2:$E$500,MATCH("PP1|"&amp;CAPTURA!DF119,CODIFICACION!$F$2:$F$500,0))="sin dato","",INDEX(CODIFICACION!$E$2:$E$500,MATCH("PP1|"&amp;CAPTURA!DF119,CODIFICACION!$F$2:$F$500,0))),"⚠"))</f>
        <v/>
      </c>
      <c r="CA119" t="str">
        <f>IF(CAPTURA!DG119="","",IFERROR(IF(INDEX(CODIFICACION!$E$2:$E$500,MATCH("PP2|"&amp;CAPTURA!DG119,CODIFICACION!$F$2:$F$500,0))="sin dato","",INDEX(CODIFICACION!$E$2:$E$500,MATCH("PP2|"&amp;CAPTURA!DG119,CODIFICACION!$F$2:$F$500,0))),"⚠"))</f>
        <v/>
      </c>
      <c r="CB119" t="str">
        <f t="shared" si="33"/>
        <v/>
      </c>
      <c r="CC119" t="str">
        <f t="shared" si="34"/>
        <v/>
      </c>
      <c r="CD119" t="str">
        <f t="shared" si="35"/>
        <v/>
      </c>
      <c r="CE119" t="str">
        <f t="shared" si="36"/>
        <v/>
      </c>
      <c r="CF119" t="str">
        <f t="shared" si="37"/>
        <v/>
      </c>
      <c r="CG119" t="str">
        <f t="shared" si="38"/>
        <v/>
      </c>
      <c r="CH119" t="str">
        <f t="shared" si="39"/>
        <v/>
      </c>
      <c r="CI119" t="str">
        <f t="shared" si="40"/>
        <v/>
      </c>
      <c r="CJ119" t="str">
        <f t="shared" si="41"/>
        <v/>
      </c>
      <c r="CK119" t="str">
        <f t="shared" si="42"/>
        <v/>
      </c>
      <c r="CL119" t="str">
        <f t="shared" si="43"/>
        <v/>
      </c>
    </row>
    <row r="120" spans="1:90" x14ac:dyDescent="0.3">
      <c r="A120">
        <f>CAPTURA!A120</f>
        <v>20601186986</v>
      </c>
      <c r="B120">
        <f>CAPTURA!C120</f>
        <v>0</v>
      </c>
      <c r="C120" t="str">
        <f>IF(CAPTURA!M120="","",ROUND((ISNUMBER(SEARCH("Alemania",CAPTURA!M120))+ISNUMBER(SEARCH("Bélgica",CAPTURA!M120))+ISNUMBER(SEARCH("Países Bajos",CAPTURA!M120))+ISNUMBER(SEARCH("Francia",CAPTURA!M120))+ISNUMBER(SEARCH("Italia",CAPTURA!M120))+ISNUMBER(SEARCH("España",CAPTURA!M120))+ISNUMBER(SEARCH("Suecia",CAPTURA!M120))+ISNUMBER(SEARCH("Dinamarca",CAPTURA!M120)))/((LEN(CAPTURA!M120)-LEN(SUBSTITUTE(CAPTURA!M120,";","")))+1)*100,1))</f>
        <v/>
      </c>
      <c r="D120" t="str">
        <f>IF(CAPTURA!AE120="","",IFERROR(IF(INDEX(CODIFICACION!$E$2:$E$500,MATCH("P8|"&amp;CAPTURA!AE120,CODIFICACION!$F$2:$F$500,0))="sin dato","",INDEX(CODIFICACION!$E$2:$E$500,MATCH("P8|"&amp;CAPTURA!AE120,CODIFICACION!$F$2:$F$500,0))),"⚠"))</f>
        <v/>
      </c>
      <c r="E120" t="str">
        <f>IF(CAPTURA!AG120="","",IFERROR(IF(INDEX(CODIFICACION!$E$2:$E$500,MATCH("P10|"&amp;CAPTURA!AG120,CODIFICACION!$F$2:$F$500,0))="sin dato","",INDEX(CODIFICACION!$E$2:$E$500,MATCH("P10|"&amp;CAPTURA!AG120,CODIFICACION!$F$2:$F$500,0))),"⚠"))</f>
        <v/>
      </c>
      <c r="F120" t="str">
        <f>IF(CAPTURA!AJ120="","",IFERROR(IF(INDEX(CODIFICACION!$E$2:$E$500,MATCH("P13|"&amp;CAPTURA!AJ120,CODIFICACION!$F$2:$F$500,0))="sin dato","",INDEX(CODIFICACION!$E$2:$E$500,MATCH("P13|"&amp;CAPTURA!AJ120,CODIFICACION!$F$2:$F$500,0))),"⚠"))</f>
        <v/>
      </c>
      <c r="G120" t="str">
        <f>IF(CAPTURA!AK120="","",IFERROR(IF(INDEX(CODIFICACION!$E$2:$E$500,MATCH("P14|"&amp;CAPTURA!AK120,CODIFICACION!$F$2:$F$500,0))="sin dato","",INDEX(CODIFICACION!$E$2:$E$500,MATCH("P14|"&amp;CAPTURA!AK120,CODIFICACION!$F$2:$F$500,0))),"⚠"))</f>
        <v/>
      </c>
      <c r="H120" t="str">
        <f>IF(CAPTURA!AL120="","",IFERROR(IF(INDEX(CODIFICACION!$E$2:$E$500,MATCH("D1.1|"&amp;CAPTURA!AL120,CODIFICACION!$F$2:$F$500,0))="sin dato","",INDEX(CODIFICACION!$E$2:$E$500,MATCH("D1.1|"&amp;CAPTURA!AL120,CODIFICACION!$F$2:$F$500,0))),"⚠"))</f>
        <v/>
      </c>
      <c r="I120" t="str">
        <f>IF(CAPTURA!AN120="","",IFERROR(IF(INDEX(CODIFICACION!$E$2:$E$500,MATCH("D1.3|"&amp;CAPTURA!AN120,CODIFICACION!$F$2:$F$500,0))="sin dato","",INDEX(CODIFICACION!$E$2:$E$500,MATCH("D1.3|"&amp;CAPTURA!AN120,CODIFICACION!$F$2:$F$500,0))),"⚠"))</f>
        <v/>
      </c>
      <c r="J120" t="str">
        <f>IF(CAPTURA!AO120="","",IFERROR(IF(INDEX(CODIFICACION!$E$2:$E$500,MATCH("D1.4|"&amp;CAPTURA!AO120,CODIFICACION!$F$2:$F$500,0))="sin dato","",INDEX(CODIFICACION!$E$2:$E$500,MATCH("D1.4|"&amp;CAPTURA!AO120,CODIFICACION!$F$2:$F$500,0))),"⚠"))</f>
        <v/>
      </c>
      <c r="K120" t="str">
        <f>IF(CAPTURA!AP120="","",IFERROR(IF(INDEX(CODIFICACION!$E$2:$E$500,MATCH("D1.3a|"&amp;CAPTURA!AP120,CODIFICACION!$F$2:$F$500,0))="sin dato","",INDEX(CODIFICACION!$E$2:$E$500,MATCH("D1.3a|"&amp;CAPTURA!AP120,CODIFICACION!$F$2:$F$500,0))),"⚠"))</f>
        <v/>
      </c>
      <c r="L120" t="str">
        <f>IF(CAPTURA!AQ120="","",IF(AND(ISNUMBER(CAPTURA!AQ120),CAPTURA!AQ120&gt;=0,CAPTURA!AQ120&lt;=4),CAPTURA!AQ120*25,"⚠"))</f>
        <v/>
      </c>
      <c r="M120" t="str">
        <f>IF(CAPTURA!AR120="","",IF(ISNUMBER(CAPTURA!AR120),MAX(0,MIN(100,CAPTURA!AR120)),"⚠"))</f>
        <v/>
      </c>
      <c r="N120" t="str">
        <f>IF(CAPTURA!AS120="","",IF(AND(ISNUMBER(CAPTURA!AS120),CAPTURA!AS120&gt;=0,CAPTURA!AS120&lt;=4),CAPTURA!AS120*25,"⚠"))</f>
        <v/>
      </c>
      <c r="O120" t="str">
        <f>IF(CAPTURA!AT120="","",IFERROR(IF(INDEX(CODIFICACION!$E$2:$E$500,MATCH("D2.8|"&amp;CAPTURA!AT120,CODIFICACION!$F$2:$F$500,0))="sin dato","",INDEX(CODIFICACION!$E$2:$E$500,MATCH("D2.8|"&amp;CAPTURA!AT120,CODIFICACION!$F$2:$F$500,0))),"⚠"))</f>
        <v/>
      </c>
      <c r="P120" t="str">
        <f>IF(CAPTURA!AU120="","",IFERROR(IF(INDEX(CODIFICACION!$E$2:$E$500,MATCH("D2.9|"&amp;CAPTURA!AU120,CODIFICACION!$F$2:$F$500,0))="sin dato","",INDEX(CODIFICACION!$E$2:$E$500,MATCH("D2.9|"&amp;CAPTURA!AU120,CODIFICACION!$F$2:$F$500,0))),"⚠"))</f>
        <v/>
      </c>
      <c r="Q120" t="str">
        <f>IF(CAPTURA!AV120="","",IFERROR(IF(INDEX(CODIFICACION!$E$2:$E$500,MATCH("D2.10|"&amp;CAPTURA!AV120,CODIFICACION!$F$2:$F$500,0))="sin dato","",INDEX(CODIFICACION!$E$2:$E$500,MATCH("D2.10|"&amp;CAPTURA!AV120,CODIFICACION!$F$2:$F$500,0))),"⚠"))</f>
        <v/>
      </c>
      <c r="R120" t="str">
        <f>IF(CAPTURA!AW120="","",IFERROR(IF(INDEX(CODIFICACION!$E$2:$E$500,MATCH("D2.5a|"&amp;CAPTURA!AW120,CODIFICACION!$F$2:$F$500,0))="sin dato","",INDEX(CODIFICACION!$E$2:$E$500,MATCH("D2.5a|"&amp;CAPTURA!AW120,CODIFICACION!$F$2:$F$500,0))),"⚠"))</f>
        <v/>
      </c>
      <c r="S120" t="str">
        <f>IF(CAPTURA!AX120="","",IFERROR(IF(INDEX(CODIFICACION!$E$2:$E$500,MATCH("D2.5b|"&amp;CAPTURA!AX120,CODIFICACION!$F$2:$F$500,0))="sin dato","",INDEX(CODIFICACION!$E$2:$E$500,MATCH("D2.5b|"&amp;CAPTURA!AX120,CODIFICACION!$F$2:$F$500,0))),"⚠"))</f>
        <v/>
      </c>
      <c r="T120" t="str">
        <f>IF(CAPTURA!AY120="","",IF(ISNUMBER(CAPTURA!AY120),MAX(0,MIN(100,CAPTURA!AY120)),"⚠"))</f>
        <v/>
      </c>
      <c r="U120" t="str">
        <f>IF(CAPTURA!AZ120="","",IFERROR(IF(INDEX(CODIFICACION!$E$2:$E$500,MATCH("D3.12|"&amp;CAPTURA!AZ120,CODIFICACION!$F$2:$F$500,0))="sin dato","",INDEX(CODIFICACION!$E$2:$E$500,MATCH("D3.12|"&amp;CAPTURA!AZ120,CODIFICACION!$F$2:$F$500,0))),"⚠"))</f>
        <v/>
      </c>
      <c r="V120" t="str">
        <f>IF(CAPTURA!BA120="","",IF(AND(ISNUMBER(CAPTURA!BA120),CAPTURA!BA120&gt;=0,CAPTURA!BA120&lt;=4),CAPTURA!BA120*25,"⚠"))</f>
        <v/>
      </c>
      <c r="W120" t="str">
        <f>IF(CAPTURA!BB120="","",IFERROR(IF(INDEX(CODIFICACION!$E$2:$E$500,MATCH("D3.14|"&amp;CAPTURA!BB120,CODIFICACION!$F$2:$F$500,0))="sin dato","",INDEX(CODIFICACION!$E$2:$E$500,MATCH("D3.14|"&amp;CAPTURA!BB120,CODIFICACION!$F$2:$F$500,0))),"⚠"))</f>
        <v/>
      </c>
      <c r="X120" t="str">
        <f>IF(CAPTURA!BC120="","",IFERROR(IF(INDEX(CODIFICACION!$E$2:$E$500,MATCH("D3.14a|"&amp;CAPTURA!BC120,CODIFICACION!$F$2:$F$500,0))="sin dato","",INDEX(CODIFICACION!$E$2:$E$500,MATCH("D3.14a|"&amp;CAPTURA!BC120,CODIFICACION!$F$2:$F$500,0))),"⚠"))</f>
        <v/>
      </c>
      <c r="Y120" t="str">
        <f>IF(CAPTURA!BD120="","",IFERROR(IF(INDEX(CODIFICACION!$E$2:$E$500,MATCH("D3.14b|"&amp;CAPTURA!BD120,CODIFICACION!$F$2:$F$500,0))="sin dato","",INDEX(CODIFICACION!$E$2:$E$500,MATCH("D3.14b|"&amp;CAPTURA!BD120,CODIFICACION!$F$2:$F$500,0))),"⚠"))</f>
        <v/>
      </c>
      <c r="Z120" t="str">
        <f>IF(CAPTURA!BE120="","",IFERROR(IF(INDEX(CODIFICACION!$E$2:$E$500,MATCH("D3.14c|"&amp;CAPTURA!BE120,CODIFICACION!$F$2:$F$500,0))="sin dato","",INDEX(CODIFICACION!$E$2:$E$500,MATCH("D3.14c|"&amp;CAPTURA!BE120,CODIFICACION!$F$2:$F$500,0))),"⚠"))</f>
        <v/>
      </c>
      <c r="AA120" t="str">
        <f>IF(CAPTURA!BF120="","",IFERROR(IF(INDEX(CODIFICACION!$E$2:$E$500,MATCH("D3.14d|"&amp;CAPTURA!BF120,CODIFICACION!$F$2:$F$500,0))="sin dato","",INDEX(CODIFICACION!$E$2:$E$500,MATCH("D3.14d|"&amp;CAPTURA!BF120,CODIFICACION!$F$2:$F$500,0))),"⚠"))</f>
        <v/>
      </c>
      <c r="AB120" t="str">
        <f>IF(CAPTURA!BG120="","",IFERROR(IF(INDEX(CODIFICACION!$E$2:$E$500,MATCH("D3.14e|"&amp;CAPTURA!BG120,CODIFICACION!$F$2:$F$500,0))="sin dato","",INDEX(CODIFICACION!$E$2:$E$500,MATCH("D3.14e|"&amp;CAPTURA!BG120,CODIFICACION!$F$2:$F$500,0))),"⚠"))</f>
        <v/>
      </c>
      <c r="AC120" t="str">
        <f>IF(CAPTURA!BH120="","",IFERROR(IF(INDEX(CODIFICACION!$E$2:$E$500,MATCH("D3.14f|"&amp;CAPTURA!BH120,CODIFICACION!$F$2:$F$500,0))="sin dato","",INDEX(CODIFICACION!$E$2:$E$500,MATCH("D3.14f|"&amp;CAPTURA!BH120,CODIFICACION!$F$2:$F$500,0))),"⚠"))</f>
        <v/>
      </c>
      <c r="AD120" t="str">
        <f>IF(CAPTURA!BI120="","",IFERROR(IF(INDEX(CODIFICACION!$E$2:$E$500,MATCH("D3.14g|"&amp;CAPTURA!BI120,CODIFICACION!$F$2:$F$500,0))="sin dato","",INDEX(CODIFICACION!$E$2:$E$500,MATCH("D3.14g|"&amp;CAPTURA!BI120,CODIFICACION!$F$2:$F$500,0))),"⚠"))</f>
        <v/>
      </c>
      <c r="AE120" t="str">
        <f>IF(CAPTURA!BJ120="","",IFERROR(IF(INDEX(CODIFICACION!$E$2:$E$500,MATCH("D3.14h|"&amp;CAPTURA!BJ120,CODIFICACION!$F$2:$F$500,0))="sin dato","",INDEX(CODIFICACION!$E$2:$E$500,MATCH("D3.14h|"&amp;CAPTURA!BJ120,CODIFICACION!$F$2:$F$500,0))),"⚠"))</f>
        <v/>
      </c>
      <c r="AF120" t="str">
        <f>IF(CAPTURA!BK120="","",IFERROR(IF(INDEX(CODIFICACION!$E$2:$E$500,MATCH("D3.14i|"&amp;CAPTURA!BK120,CODIFICACION!$F$2:$F$500,0))="sin dato","",INDEX(CODIFICACION!$E$2:$E$500,MATCH("D3.14i|"&amp;CAPTURA!BK120,CODIFICACION!$F$2:$F$500,0))),"⚠"))</f>
        <v/>
      </c>
      <c r="AG120" t="str">
        <f>IF(CAPTURA!BL120="","",IFERROR(IF(INDEX(CODIFICACION!$E$2:$E$500,MATCH("D4.15|"&amp;CAPTURA!BL120,CODIFICACION!$F$2:$F$500,0))="sin dato","",INDEX(CODIFICACION!$E$2:$E$500,MATCH("D4.15|"&amp;CAPTURA!BL120,CODIFICACION!$F$2:$F$500,0))),"⚠"))</f>
        <v/>
      </c>
      <c r="AH120" t="str">
        <f>IF(CAPTURA!BM120="","",IF(AND(ISNUMBER(CAPTURA!BM120),CAPTURA!BM120&gt;=0,CAPTURA!BM120&lt;=4),CAPTURA!BM120*25,"⚠"))</f>
        <v/>
      </c>
      <c r="AI120" t="str">
        <f>IF(CAPTURA!BN120="","",IFERROR(IF(INDEX(CODIFICACION!$E$2:$E$500,MATCH("D4.17|"&amp;CAPTURA!BN120,CODIFICACION!$F$2:$F$500,0))="sin dato","",INDEX(CODIFICACION!$E$2:$E$500,MATCH("D4.17|"&amp;CAPTURA!BN120,CODIFICACION!$F$2:$F$500,0))),"⚠"))</f>
        <v/>
      </c>
      <c r="AJ120" t="str">
        <f>IF(CAPTURA!BO120="","",IFERROR(IF(INDEX(CODIFICACION!$E$2:$E$500,MATCH("D4.15a|"&amp;CAPTURA!BO120,CODIFICACION!$F$2:$F$500,0))="sin dato","",INDEX(CODIFICACION!$E$2:$E$500,MATCH("D4.15a|"&amp;CAPTURA!BO120,CODIFICACION!$F$2:$F$500,0))),"⚠"))</f>
        <v/>
      </c>
      <c r="AK120" t="str">
        <f>IF(CAPTURA!BP120="","",IF(AND(ISNUMBER(CAPTURA!BP120),CAPTURA!BP120&gt;=0,CAPTURA!BP120&lt;=4),CAPTURA!BP120*25,"⚠"))</f>
        <v/>
      </c>
      <c r="AL120" t="str">
        <f>IF(CAPTURA!BQ120="","",IF(AND(ISNUMBER(CAPTURA!BQ120),CAPTURA!BQ120&gt;=0,CAPTURA!BQ120&lt;=4),CAPTURA!BQ120*25,"⚠"))</f>
        <v/>
      </c>
      <c r="AM120" t="str">
        <f>IF(CAPTURA!BR120="","",IFERROR(IF(INDEX(CODIFICACION!$E$2:$E$500,MATCH("D5.18b|"&amp;CAPTURA!BR120,CODIFICACION!$F$2:$F$500,0))="sin dato","",INDEX(CODIFICACION!$E$2:$E$500,MATCH("D5.18b|"&amp;CAPTURA!BR120,CODIFICACION!$F$2:$F$500,0))),"⚠"))</f>
        <v/>
      </c>
      <c r="AN120" t="str">
        <f>IF(CAPTURA!BS120="","",IFERROR(IF(INDEX(CODIFICACION!$E$2:$E$500,MATCH("D5.19|"&amp;CAPTURA!BS120,CODIFICACION!$F$2:$F$500,0))="sin dato","",INDEX(CODIFICACION!$E$2:$E$500,MATCH("D5.19|"&amp;CAPTURA!BS120,CODIFICACION!$F$2:$F$500,0))),"⚠"))</f>
        <v/>
      </c>
      <c r="AO120" t="str">
        <f>IF(CAPTURA!BT120="","",MIN(100,ROUND((LEN(CAPTURA!BT120)-LEN(SUBSTITUTE(CAPTURA!BT120,";",""))+1)/7*100,1)))</f>
        <v/>
      </c>
      <c r="AP120" t="str">
        <f>IF(CAPTURA!BU120="","",IFERROR(IF(INDEX(CODIFICACION!$E$2:$E$500,MATCH("D5.20|"&amp;CAPTURA!BU120,CODIFICACION!$F$2:$F$500,0))="sin dato","",INDEX(CODIFICACION!$E$2:$E$500,MATCH("D5.20|"&amp;CAPTURA!BU120,CODIFICACION!$F$2:$F$500,0))),"⚠"))</f>
        <v/>
      </c>
      <c r="AQ120" t="str">
        <f>IF(CAPTURA!BV120="","",IFERROR(IF(INDEX(CODIFICACION!$E$2:$E$500,MATCH("D5.21|"&amp;CAPTURA!BV120,CODIFICACION!$F$2:$F$500,0))="sin dato","",INDEX(CODIFICACION!$E$2:$E$500,MATCH("D5.21|"&amp;CAPTURA!BV120,CODIFICACION!$F$2:$F$500,0))),"⚠"))</f>
        <v/>
      </c>
      <c r="AR120" t="str">
        <f>IF(CAPTURA!BW120="","",IFERROR(IF(INDEX(CODIFICACION!$E$2:$E$500,MATCH("D5.21a|"&amp;CAPTURA!BW120,CODIFICACION!$F$2:$F$500,0))="sin dato","",INDEX(CODIFICACION!$E$2:$E$500,MATCH("D5.21a|"&amp;CAPTURA!BW120,CODIFICACION!$F$2:$F$500,0))),"⚠"))</f>
        <v/>
      </c>
      <c r="AS120" t="str">
        <f>IF(CAPTURA!BX120="","",IFERROR(IF(INDEX(CODIFICACION!$E$2:$E$500,MATCH("D5.21b|"&amp;CAPTURA!BX120,CODIFICACION!$F$2:$F$500,0))="sin dato","",INDEX(CODIFICACION!$E$2:$E$500,MATCH("D5.21b|"&amp;CAPTURA!BX120,CODIFICACION!$F$2:$F$500,0))),"⚠"))</f>
        <v/>
      </c>
      <c r="AT120" t="str">
        <f>IF(CAPTURA!BY120="","",IFERROR(IF(INDEX(CODIFICACION!$E$2:$E$500,MATCH("D6.22|"&amp;CAPTURA!BY120,CODIFICACION!$F$2:$F$500,0))="sin dato","",INDEX(CODIFICACION!$E$2:$E$500,MATCH("D6.22|"&amp;CAPTURA!BY120,CODIFICACION!$F$2:$F$500,0))),"⚠"))</f>
        <v/>
      </c>
      <c r="AU120" t="str">
        <f>IF(CAPTURA!BZ120="","",IFERROR(IF(INDEX(CODIFICACION!$E$2:$E$500,MATCH("D6.22a|"&amp;CAPTURA!BZ120,CODIFICACION!$F$2:$F$500,0))="sin dato","",INDEX(CODIFICACION!$E$2:$E$500,MATCH("D6.22a|"&amp;CAPTURA!BZ120,CODIFICACION!$F$2:$F$500,0))),"⚠"))</f>
        <v/>
      </c>
      <c r="AV120" t="str">
        <f>IF(CAPTURA!CA120="","",IFERROR(IF(INDEX(CODIFICACION!$E$2:$E$500,MATCH("D6.22b|"&amp;CAPTURA!CA120,CODIFICACION!$F$2:$F$500,0))="sin dato","",INDEX(CODIFICACION!$E$2:$E$500,MATCH("D6.22b|"&amp;CAPTURA!CA120,CODIFICACION!$F$2:$F$500,0))),"⚠"))</f>
        <v/>
      </c>
      <c r="AW120" t="str">
        <f>IF(CAPTURA!CB120="","",IFERROR(IF(INDEX(CODIFICACION!$E$2:$E$500,MATCH("D6.23|"&amp;CAPTURA!CB120,CODIFICACION!$F$2:$F$500,0))="sin dato","",INDEX(CODIFICACION!$E$2:$E$500,MATCH("D6.23|"&amp;CAPTURA!CB120,CODIFICACION!$F$2:$F$500,0))),"⚠"))</f>
        <v/>
      </c>
      <c r="AX120" t="str">
        <f>IF(CAPTURA!CC120="","",IFERROR(IF(INDEX(CODIFICACION!$E$2:$E$500,MATCH("D6.24|"&amp;CAPTURA!CC120,CODIFICACION!$F$2:$F$500,0))="sin dato","",INDEX(CODIFICACION!$E$2:$E$500,MATCH("D6.24|"&amp;CAPTURA!CC120,CODIFICACION!$F$2:$F$500,0))),"⚠"))</f>
        <v/>
      </c>
      <c r="AY120" t="str">
        <f>IF(CAPTURA!CD120="","",IFERROR(IF(INDEX(CODIFICACION!$E$2:$E$500,MATCH("D6.25|"&amp;CAPTURA!CD120,CODIFICACION!$F$2:$F$500,0))="sin dato","",INDEX(CODIFICACION!$E$2:$E$500,MATCH("D6.25|"&amp;CAPTURA!CD120,CODIFICACION!$F$2:$F$500,0))),"⚠"))</f>
        <v/>
      </c>
      <c r="AZ120" t="str">
        <f>IF(CAPTURA!CE120="","",IFERROR(IF(INDEX(CODIFICACION!$E$2:$E$500,MATCH("D6.25a|"&amp;CAPTURA!CE120,CODIFICACION!$F$2:$F$500,0))="sin dato","",INDEX(CODIFICACION!$E$2:$E$500,MATCH("D6.25a|"&amp;CAPTURA!CE120,CODIFICACION!$F$2:$F$500,0))),"⚠"))</f>
        <v/>
      </c>
      <c r="BA120" t="str">
        <f>IF(CAPTURA!CF120="","",IFERROR(IF(INDEX(CODIFICACION!$E$2:$E$500,MATCH("D6.25b|"&amp;CAPTURA!CF120,CODIFICACION!$F$2:$F$500,0))="sin dato","",INDEX(CODIFICACION!$E$2:$E$500,MATCH("D6.25b|"&amp;CAPTURA!CF120,CODIFICACION!$F$2:$F$500,0))),"⚠"))</f>
        <v/>
      </c>
      <c r="BB120" t="str">
        <f>IF(CAPTURA!CG120="","",IFERROR(IF(INDEX(CODIFICACION!$E$2:$E$500,MATCH("D6.22c|"&amp;CAPTURA!CG120,CODIFICACION!$F$2:$F$500,0))="sin dato","",INDEX(CODIFICACION!$E$2:$E$500,MATCH("D6.22c|"&amp;CAPTURA!CG120,CODIFICACION!$F$2:$F$500,0))),"⚠"))</f>
        <v/>
      </c>
      <c r="BC120" t="str">
        <f>IF(CAPTURA!CH120="","",IFERROR(IF(INDEX(CODIFICACION!$E$2:$E$500,MATCH("D7.26|"&amp;CAPTURA!CH120,CODIFICACION!$F$2:$F$500,0))="sin dato","",INDEX(CODIFICACION!$E$2:$E$500,MATCH("D7.26|"&amp;CAPTURA!CH120,CODIFICACION!$F$2:$F$500,0))),"⚠"))</f>
        <v/>
      </c>
      <c r="BD120" t="str">
        <f>IF(CAPTURA!CI120="","",IFERROR(IF(INDEX(CODIFICACION!$E$2:$E$500,MATCH("D7.27|"&amp;CAPTURA!CI120,CODIFICACION!$F$2:$F$500,0))="sin dato","",INDEX(CODIFICACION!$E$2:$E$500,MATCH("D7.27|"&amp;CAPTURA!CI120,CODIFICACION!$F$2:$F$500,0))),"⚠"))</f>
        <v/>
      </c>
      <c r="BE120" t="str">
        <f>IF(CAPTURA!CJ120="","",IFERROR(IF(INDEX(CODIFICACION!$E$2:$E$500,MATCH("D7.28|"&amp;CAPTURA!CJ120,CODIFICACION!$F$2:$F$500,0))="sin dato","",INDEX(CODIFICACION!$E$2:$E$500,MATCH("D7.28|"&amp;CAPTURA!CJ120,CODIFICACION!$F$2:$F$500,0))),"⚠"))</f>
        <v/>
      </c>
      <c r="BF120" t="str">
        <f>IF(CAPTURA!CK120="","",IFERROR(IF(INDEX(CODIFICACION!$E$2:$E$500,MATCH("D7.28b|"&amp;CAPTURA!CK120,CODIFICACION!$F$2:$F$500,0))="sin dato","",INDEX(CODIFICACION!$E$2:$E$500,MATCH("D7.28b|"&amp;CAPTURA!CK120,CODIFICACION!$F$2:$F$500,0))),"⚠"))</f>
        <v/>
      </c>
      <c r="BG120" t="str">
        <f>IF(CAPTURA!CL120="","",MIN(100,ROUND((LEN(CAPTURA!CL120)-LEN(SUBSTITUTE(CAPTURA!CL120,";",""))+1)/8*100,1)))</f>
        <v/>
      </c>
      <c r="BH120" t="str">
        <f>IF(CAPTURA!CM120="","",IFERROR(IF(INDEX(CODIFICACION!$E$2:$E$500,MATCH("D7.26a|"&amp;CAPTURA!CM120,CODIFICACION!$F$2:$F$500,0))="sin dato","",INDEX(CODIFICACION!$E$2:$E$500,MATCH("D7.26a|"&amp;CAPTURA!CM120,CODIFICACION!$F$2:$F$500,0))),"⚠"))</f>
        <v/>
      </c>
      <c r="BI120" t="str">
        <f>IF(CAPTURA!CN120="","",IFERROR(IF(INDEX(CODIFICACION!$E$2:$E$500,MATCH("D7.26b|"&amp;CAPTURA!CN120,CODIFICACION!$F$2:$F$500,0))="sin dato","",INDEX(CODIFICACION!$E$2:$E$500,MATCH("D7.26b|"&amp;CAPTURA!CN120,CODIFICACION!$F$2:$F$500,0))),"⚠"))</f>
        <v/>
      </c>
      <c r="BJ120" t="str">
        <f>IF(CAPTURA!CO120="","",IF(AND(ISNUMBER(CAPTURA!CO120),CAPTURA!CO120&gt;=0,CAPTURA!CO120&lt;=4),CAPTURA!CO120*25,"⚠"))</f>
        <v/>
      </c>
      <c r="BK120" t="str">
        <f>IF(CAPTURA!CP120="","",IF(ISNUMBER(CAPTURA!CP120),MAX(0,MIN(100,CAPTURA!CP120)),"⚠"))</f>
        <v/>
      </c>
      <c r="BL120" t="str">
        <f>IF(CAPTURA!CQ120="","",IFERROR(IF(INDEX(CODIFICACION!$E$2:$E$500,MATCH("D8.31|"&amp;CAPTURA!CQ120,CODIFICACION!$F$2:$F$500,0))="sin dato","",INDEX(CODIFICACION!$E$2:$E$500,MATCH("D8.31|"&amp;CAPTURA!CQ120,CODIFICACION!$F$2:$F$500,0))),"⚠"))</f>
        <v/>
      </c>
      <c r="BM120" t="str">
        <f>IF(CAPTURA!CR120="","",IFERROR(IF(INDEX(CODIFICACION!$E$2:$E$500,MATCH("D8.32|"&amp;CAPTURA!CR120,CODIFICACION!$F$2:$F$500,0))="sin dato","",INDEX(CODIFICACION!$E$2:$E$500,MATCH("D8.32|"&amp;CAPTURA!CR120,CODIFICACION!$F$2:$F$500,0))),"⚠"))</f>
        <v/>
      </c>
      <c r="BN120" t="str">
        <f>IF(CAPTURA!CS120="","",IFERROR(IF(INDEX(CODIFICACION!$E$2:$E$500,MATCH("D9.33|"&amp;CAPTURA!CS120,CODIFICACION!$F$2:$F$500,0))="sin dato","",INDEX(CODIFICACION!$E$2:$E$500,MATCH("D9.33|"&amp;CAPTURA!CS120,CODIFICACION!$F$2:$F$500,0))),"⚠"))</f>
        <v/>
      </c>
      <c r="BO120" t="str">
        <f>IF(CAPTURA!CT120="","",IFERROR(IF(INDEX(CODIFICACION!$E$2:$E$500,MATCH("D9.34|"&amp;CAPTURA!CT120,CODIFICACION!$F$2:$F$500,0))="sin dato","",INDEX(CODIFICACION!$E$2:$E$500,MATCH("D9.34|"&amp;CAPTURA!CT120,CODIFICACION!$F$2:$F$500,0))),"⚠"))</f>
        <v/>
      </c>
      <c r="BP120" t="str">
        <f>IF(CAPTURA!CU120="","",IFERROR(IF(INDEX(CODIFICACION!$E$2:$E$500,MATCH("D9.35|"&amp;CAPTURA!CU120,CODIFICACION!$F$2:$F$500,0))="sin dato","",INDEX(CODIFICACION!$E$2:$E$500,MATCH("D9.35|"&amp;CAPTURA!CU120,CODIFICACION!$F$2:$F$500,0))),"⚠"))</f>
        <v/>
      </c>
      <c r="BQ120" t="str">
        <f>IF(CAPTURA!CV120="","",IFERROR(IF(INDEX(CODIFICACION!$E$2:$E$500,MATCH("D10.36|"&amp;CAPTURA!CV120,CODIFICACION!$F$2:$F$500,0))="sin dato","",INDEX(CODIFICACION!$E$2:$E$500,MATCH("D10.36|"&amp;CAPTURA!CV120,CODIFICACION!$F$2:$F$500,0))),"⚠"))</f>
        <v/>
      </c>
      <c r="BR120" t="str">
        <f>IF(CAPTURA!CW120="","",IFERROR(IF(INDEX(CODIFICACION!$E$2:$E$500,MATCH("D10.37|"&amp;CAPTURA!CW120,CODIFICACION!$F$2:$F$500,0))="sin dato","",INDEX(CODIFICACION!$E$2:$E$500,MATCH("D10.37|"&amp;CAPTURA!CW120,CODIFICACION!$F$2:$F$500,0))),"⚠"))</f>
        <v/>
      </c>
      <c r="BS120" t="str">
        <f>IF(CAPTURA!CX120="","",IFERROR(IF(INDEX(CODIFICACION!$E$2:$E$500,MATCH("D10.36a|"&amp;CAPTURA!CX120,CODIFICACION!$F$2:$F$500,0))="sin dato","",INDEX(CODIFICACION!$E$2:$E$500,MATCH("D10.36a|"&amp;CAPTURA!CX120,CODIFICACION!$F$2:$F$500,0))),"⚠"))</f>
        <v/>
      </c>
      <c r="BT120" t="str">
        <f>IF(CAPTURA!CY120="","",IF(ISNUMBER(SEARCH("Ninguno",CAPTURA!CY120)),0,MIN(100,ROUND((LEN(CAPTURA!CY120)-LEN(SUBSTITUTE(CAPTURA!CY120,";",""))+1)/6*100,1))))</f>
        <v/>
      </c>
      <c r="BU120" t="str">
        <f>IF(CAPTURA!DA120="","",IFERROR(IF(INDEX(CODIFICACION!$E$2:$E$500,MATCH("D11.39a|"&amp;CAPTURA!DA120,CODIFICACION!$F$2:$F$500,0))="sin dato","",INDEX(CODIFICACION!$E$2:$E$500,MATCH("D11.39a|"&amp;CAPTURA!DA120,CODIFICACION!$F$2:$F$500,0))),"⚠"))</f>
        <v/>
      </c>
      <c r="BV120" t="str">
        <f>IF(CAPTURA!DB120="","",IFERROR(IF(INDEX(CODIFICACION!$E$2:$E$500,MATCH("D12.42|"&amp;CAPTURA!DB120,CODIFICACION!$F$2:$F$500,0))="sin dato","",INDEX(CODIFICACION!$E$2:$E$500,MATCH("D12.42|"&amp;CAPTURA!DB120,CODIFICACION!$F$2:$F$500,0))),"⚠"))</f>
        <v/>
      </c>
      <c r="BW120" t="str">
        <f>IF(CAPTURA!DC120="","",IFERROR(IF(INDEX(CODIFICACION!$E$2:$E$500,MATCH("D13.45|"&amp;CAPTURA!DC120,CODIFICACION!$F$2:$F$500,0))="sin dato","",INDEX(CODIFICACION!$E$2:$E$500,MATCH("D13.45|"&amp;CAPTURA!DC120,CODIFICACION!$F$2:$F$500,0))),"⚠"))</f>
        <v/>
      </c>
      <c r="BX120" t="str">
        <f>IF(CAPTURA!DD120="","",IFERROR(IF(INDEX(CODIFICACION!$E$2:$E$500,MATCH("D14.51|"&amp;CAPTURA!DD120,CODIFICACION!$F$2:$F$500,0))="sin dato","",INDEX(CODIFICACION!$E$2:$E$500,MATCH("D14.51|"&amp;CAPTURA!DD120,CODIFICACION!$F$2:$F$500,0))),"⚠"))</f>
        <v/>
      </c>
      <c r="BY120" t="str">
        <f>IF(CAPTURA!DE120="","",IFERROR(IF(INDEX(CODIFICACION!$E$2:$E$500,MATCH("D15.58|"&amp;CAPTURA!DE120,CODIFICACION!$F$2:$F$500,0))="sin dato","",INDEX(CODIFICACION!$E$2:$E$500,MATCH("D15.58|"&amp;CAPTURA!DE120,CODIFICACION!$F$2:$F$500,0))),"⚠"))</f>
        <v/>
      </c>
      <c r="BZ120" t="str">
        <f>IF(CAPTURA!DF120="","",IFERROR(IF(INDEX(CODIFICACION!$E$2:$E$500,MATCH("PP1|"&amp;CAPTURA!DF120,CODIFICACION!$F$2:$F$500,0))="sin dato","",INDEX(CODIFICACION!$E$2:$E$500,MATCH("PP1|"&amp;CAPTURA!DF120,CODIFICACION!$F$2:$F$500,0))),"⚠"))</f>
        <v/>
      </c>
      <c r="CA120" t="str">
        <f>IF(CAPTURA!DG120="","",IFERROR(IF(INDEX(CODIFICACION!$E$2:$E$500,MATCH("PP2|"&amp;CAPTURA!DG120,CODIFICACION!$F$2:$F$500,0))="sin dato","",INDEX(CODIFICACION!$E$2:$E$500,MATCH("PP2|"&amp;CAPTURA!DG120,CODIFICACION!$F$2:$F$500,0))),"⚠"))</f>
        <v/>
      </c>
      <c r="CB120" t="str">
        <f t="shared" si="33"/>
        <v/>
      </c>
      <c r="CC120" t="str">
        <f t="shared" si="34"/>
        <v/>
      </c>
      <c r="CD120" t="str">
        <f t="shared" si="35"/>
        <v/>
      </c>
      <c r="CE120" t="str">
        <f t="shared" si="36"/>
        <v/>
      </c>
      <c r="CF120" t="str">
        <f t="shared" si="37"/>
        <v/>
      </c>
      <c r="CG120" t="str">
        <f t="shared" si="38"/>
        <v/>
      </c>
      <c r="CH120" t="str">
        <f t="shared" si="39"/>
        <v/>
      </c>
      <c r="CI120" t="str">
        <f t="shared" si="40"/>
        <v/>
      </c>
      <c r="CJ120" t="str">
        <f t="shared" si="41"/>
        <v/>
      </c>
      <c r="CK120" t="str">
        <f t="shared" si="42"/>
        <v/>
      </c>
      <c r="CL120" t="str">
        <f t="shared" si="43"/>
        <v/>
      </c>
    </row>
    <row r="121" spans="1:90" x14ac:dyDescent="0.3">
      <c r="A121">
        <f>CAPTURA!A121</f>
        <v>20601329159</v>
      </c>
      <c r="B121">
        <f>CAPTURA!C121</f>
        <v>0</v>
      </c>
      <c r="C121" t="str">
        <f>IF(CAPTURA!M121="","",ROUND((ISNUMBER(SEARCH("Alemania",CAPTURA!M121))+ISNUMBER(SEARCH("Bélgica",CAPTURA!M121))+ISNUMBER(SEARCH("Países Bajos",CAPTURA!M121))+ISNUMBER(SEARCH("Francia",CAPTURA!M121))+ISNUMBER(SEARCH("Italia",CAPTURA!M121))+ISNUMBER(SEARCH("España",CAPTURA!M121))+ISNUMBER(SEARCH("Suecia",CAPTURA!M121))+ISNUMBER(SEARCH("Dinamarca",CAPTURA!M121)))/((LEN(CAPTURA!M121)-LEN(SUBSTITUTE(CAPTURA!M121,";","")))+1)*100,1))</f>
        <v/>
      </c>
      <c r="D121" t="str">
        <f>IF(CAPTURA!AE121="","",IFERROR(IF(INDEX(CODIFICACION!$E$2:$E$500,MATCH("P8|"&amp;CAPTURA!AE121,CODIFICACION!$F$2:$F$500,0))="sin dato","",INDEX(CODIFICACION!$E$2:$E$500,MATCH("P8|"&amp;CAPTURA!AE121,CODIFICACION!$F$2:$F$500,0))),"⚠"))</f>
        <v/>
      </c>
      <c r="E121" t="str">
        <f>IF(CAPTURA!AG121="","",IFERROR(IF(INDEX(CODIFICACION!$E$2:$E$500,MATCH("P10|"&amp;CAPTURA!AG121,CODIFICACION!$F$2:$F$500,0))="sin dato","",INDEX(CODIFICACION!$E$2:$E$500,MATCH("P10|"&amp;CAPTURA!AG121,CODIFICACION!$F$2:$F$500,0))),"⚠"))</f>
        <v/>
      </c>
      <c r="F121" t="str">
        <f>IF(CAPTURA!AJ121="","",IFERROR(IF(INDEX(CODIFICACION!$E$2:$E$500,MATCH("P13|"&amp;CAPTURA!AJ121,CODIFICACION!$F$2:$F$500,0))="sin dato","",INDEX(CODIFICACION!$E$2:$E$500,MATCH("P13|"&amp;CAPTURA!AJ121,CODIFICACION!$F$2:$F$500,0))),"⚠"))</f>
        <v/>
      </c>
      <c r="G121" t="str">
        <f>IF(CAPTURA!AK121="","",IFERROR(IF(INDEX(CODIFICACION!$E$2:$E$500,MATCH("P14|"&amp;CAPTURA!AK121,CODIFICACION!$F$2:$F$500,0))="sin dato","",INDEX(CODIFICACION!$E$2:$E$500,MATCH("P14|"&amp;CAPTURA!AK121,CODIFICACION!$F$2:$F$500,0))),"⚠"))</f>
        <v/>
      </c>
      <c r="H121" t="str">
        <f>IF(CAPTURA!AL121="","",IFERROR(IF(INDEX(CODIFICACION!$E$2:$E$500,MATCH("D1.1|"&amp;CAPTURA!AL121,CODIFICACION!$F$2:$F$500,0))="sin dato","",INDEX(CODIFICACION!$E$2:$E$500,MATCH("D1.1|"&amp;CAPTURA!AL121,CODIFICACION!$F$2:$F$500,0))),"⚠"))</f>
        <v/>
      </c>
      <c r="I121" t="str">
        <f>IF(CAPTURA!AN121="","",IFERROR(IF(INDEX(CODIFICACION!$E$2:$E$500,MATCH("D1.3|"&amp;CAPTURA!AN121,CODIFICACION!$F$2:$F$500,0))="sin dato","",INDEX(CODIFICACION!$E$2:$E$500,MATCH("D1.3|"&amp;CAPTURA!AN121,CODIFICACION!$F$2:$F$500,0))),"⚠"))</f>
        <v/>
      </c>
      <c r="J121" t="str">
        <f>IF(CAPTURA!AO121="","",IFERROR(IF(INDEX(CODIFICACION!$E$2:$E$500,MATCH("D1.4|"&amp;CAPTURA!AO121,CODIFICACION!$F$2:$F$500,0))="sin dato","",INDEX(CODIFICACION!$E$2:$E$500,MATCH("D1.4|"&amp;CAPTURA!AO121,CODIFICACION!$F$2:$F$500,0))),"⚠"))</f>
        <v/>
      </c>
      <c r="K121" t="str">
        <f>IF(CAPTURA!AP121="","",IFERROR(IF(INDEX(CODIFICACION!$E$2:$E$500,MATCH("D1.3a|"&amp;CAPTURA!AP121,CODIFICACION!$F$2:$F$500,0))="sin dato","",INDEX(CODIFICACION!$E$2:$E$500,MATCH("D1.3a|"&amp;CAPTURA!AP121,CODIFICACION!$F$2:$F$500,0))),"⚠"))</f>
        <v/>
      </c>
      <c r="L121" t="str">
        <f>IF(CAPTURA!AQ121="","",IF(AND(ISNUMBER(CAPTURA!AQ121),CAPTURA!AQ121&gt;=0,CAPTURA!AQ121&lt;=4),CAPTURA!AQ121*25,"⚠"))</f>
        <v/>
      </c>
      <c r="M121" t="str">
        <f>IF(CAPTURA!AR121="","",IF(ISNUMBER(CAPTURA!AR121),MAX(0,MIN(100,CAPTURA!AR121)),"⚠"))</f>
        <v/>
      </c>
      <c r="N121" t="str">
        <f>IF(CAPTURA!AS121="","",IF(AND(ISNUMBER(CAPTURA!AS121),CAPTURA!AS121&gt;=0,CAPTURA!AS121&lt;=4),CAPTURA!AS121*25,"⚠"))</f>
        <v/>
      </c>
      <c r="O121" t="str">
        <f>IF(CAPTURA!AT121="","",IFERROR(IF(INDEX(CODIFICACION!$E$2:$E$500,MATCH("D2.8|"&amp;CAPTURA!AT121,CODIFICACION!$F$2:$F$500,0))="sin dato","",INDEX(CODIFICACION!$E$2:$E$500,MATCH("D2.8|"&amp;CAPTURA!AT121,CODIFICACION!$F$2:$F$500,0))),"⚠"))</f>
        <v/>
      </c>
      <c r="P121" t="str">
        <f>IF(CAPTURA!AU121="","",IFERROR(IF(INDEX(CODIFICACION!$E$2:$E$500,MATCH("D2.9|"&amp;CAPTURA!AU121,CODIFICACION!$F$2:$F$500,0))="sin dato","",INDEX(CODIFICACION!$E$2:$E$500,MATCH("D2.9|"&amp;CAPTURA!AU121,CODIFICACION!$F$2:$F$500,0))),"⚠"))</f>
        <v/>
      </c>
      <c r="Q121" t="str">
        <f>IF(CAPTURA!AV121="","",IFERROR(IF(INDEX(CODIFICACION!$E$2:$E$500,MATCH("D2.10|"&amp;CAPTURA!AV121,CODIFICACION!$F$2:$F$500,0))="sin dato","",INDEX(CODIFICACION!$E$2:$E$500,MATCH("D2.10|"&amp;CAPTURA!AV121,CODIFICACION!$F$2:$F$500,0))),"⚠"))</f>
        <v/>
      </c>
      <c r="R121" t="str">
        <f>IF(CAPTURA!AW121="","",IFERROR(IF(INDEX(CODIFICACION!$E$2:$E$500,MATCH("D2.5a|"&amp;CAPTURA!AW121,CODIFICACION!$F$2:$F$500,0))="sin dato","",INDEX(CODIFICACION!$E$2:$E$500,MATCH("D2.5a|"&amp;CAPTURA!AW121,CODIFICACION!$F$2:$F$500,0))),"⚠"))</f>
        <v/>
      </c>
      <c r="S121" t="str">
        <f>IF(CAPTURA!AX121="","",IFERROR(IF(INDEX(CODIFICACION!$E$2:$E$500,MATCH("D2.5b|"&amp;CAPTURA!AX121,CODIFICACION!$F$2:$F$500,0))="sin dato","",INDEX(CODIFICACION!$E$2:$E$500,MATCH("D2.5b|"&amp;CAPTURA!AX121,CODIFICACION!$F$2:$F$500,0))),"⚠"))</f>
        <v/>
      </c>
      <c r="T121" t="str">
        <f>IF(CAPTURA!AY121="","",IF(ISNUMBER(CAPTURA!AY121),MAX(0,MIN(100,CAPTURA!AY121)),"⚠"))</f>
        <v/>
      </c>
      <c r="U121" t="str">
        <f>IF(CAPTURA!AZ121="","",IFERROR(IF(INDEX(CODIFICACION!$E$2:$E$500,MATCH("D3.12|"&amp;CAPTURA!AZ121,CODIFICACION!$F$2:$F$500,0))="sin dato","",INDEX(CODIFICACION!$E$2:$E$500,MATCH("D3.12|"&amp;CAPTURA!AZ121,CODIFICACION!$F$2:$F$500,0))),"⚠"))</f>
        <v/>
      </c>
      <c r="V121" t="str">
        <f>IF(CAPTURA!BA121="","",IF(AND(ISNUMBER(CAPTURA!BA121),CAPTURA!BA121&gt;=0,CAPTURA!BA121&lt;=4),CAPTURA!BA121*25,"⚠"))</f>
        <v/>
      </c>
      <c r="W121" t="str">
        <f>IF(CAPTURA!BB121="","",IFERROR(IF(INDEX(CODIFICACION!$E$2:$E$500,MATCH("D3.14|"&amp;CAPTURA!BB121,CODIFICACION!$F$2:$F$500,0))="sin dato","",INDEX(CODIFICACION!$E$2:$E$500,MATCH("D3.14|"&amp;CAPTURA!BB121,CODIFICACION!$F$2:$F$500,0))),"⚠"))</f>
        <v/>
      </c>
      <c r="X121" t="str">
        <f>IF(CAPTURA!BC121="","",IFERROR(IF(INDEX(CODIFICACION!$E$2:$E$500,MATCH("D3.14a|"&amp;CAPTURA!BC121,CODIFICACION!$F$2:$F$500,0))="sin dato","",INDEX(CODIFICACION!$E$2:$E$500,MATCH("D3.14a|"&amp;CAPTURA!BC121,CODIFICACION!$F$2:$F$500,0))),"⚠"))</f>
        <v/>
      </c>
      <c r="Y121" t="str">
        <f>IF(CAPTURA!BD121="","",IFERROR(IF(INDEX(CODIFICACION!$E$2:$E$500,MATCH("D3.14b|"&amp;CAPTURA!BD121,CODIFICACION!$F$2:$F$500,0))="sin dato","",INDEX(CODIFICACION!$E$2:$E$500,MATCH("D3.14b|"&amp;CAPTURA!BD121,CODIFICACION!$F$2:$F$500,0))),"⚠"))</f>
        <v/>
      </c>
      <c r="Z121" t="str">
        <f>IF(CAPTURA!BE121="","",IFERROR(IF(INDEX(CODIFICACION!$E$2:$E$500,MATCH("D3.14c|"&amp;CAPTURA!BE121,CODIFICACION!$F$2:$F$500,0))="sin dato","",INDEX(CODIFICACION!$E$2:$E$500,MATCH("D3.14c|"&amp;CAPTURA!BE121,CODIFICACION!$F$2:$F$500,0))),"⚠"))</f>
        <v/>
      </c>
      <c r="AA121" t="str">
        <f>IF(CAPTURA!BF121="","",IFERROR(IF(INDEX(CODIFICACION!$E$2:$E$500,MATCH("D3.14d|"&amp;CAPTURA!BF121,CODIFICACION!$F$2:$F$500,0))="sin dato","",INDEX(CODIFICACION!$E$2:$E$500,MATCH("D3.14d|"&amp;CAPTURA!BF121,CODIFICACION!$F$2:$F$500,0))),"⚠"))</f>
        <v/>
      </c>
      <c r="AB121" t="str">
        <f>IF(CAPTURA!BG121="","",IFERROR(IF(INDEX(CODIFICACION!$E$2:$E$500,MATCH("D3.14e|"&amp;CAPTURA!BG121,CODIFICACION!$F$2:$F$500,0))="sin dato","",INDEX(CODIFICACION!$E$2:$E$500,MATCH("D3.14e|"&amp;CAPTURA!BG121,CODIFICACION!$F$2:$F$500,0))),"⚠"))</f>
        <v/>
      </c>
      <c r="AC121" t="str">
        <f>IF(CAPTURA!BH121="","",IFERROR(IF(INDEX(CODIFICACION!$E$2:$E$500,MATCH("D3.14f|"&amp;CAPTURA!BH121,CODIFICACION!$F$2:$F$500,0))="sin dato","",INDEX(CODIFICACION!$E$2:$E$500,MATCH("D3.14f|"&amp;CAPTURA!BH121,CODIFICACION!$F$2:$F$500,0))),"⚠"))</f>
        <v/>
      </c>
      <c r="AD121" t="str">
        <f>IF(CAPTURA!BI121="","",IFERROR(IF(INDEX(CODIFICACION!$E$2:$E$500,MATCH("D3.14g|"&amp;CAPTURA!BI121,CODIFICACION!$F$2:$F$500,0))="sin dato","",INDEX(CODIFICACION!$E$2:$E$500,MATCH("D3.14g|"&amp;CAPTURA!BI121,CODIFICACION!$F$2:$F$500,0))),"⚠"))</f>
        <v/>
      </c>
      <c r="AE121" t="str">
        <f>IF(CAPTURA!BJ121="","",IFERROR(IF(INDEX(CODIFICACION!$E$2:$E$500,MATCH("D3.14h|"&amp;CAPTURA!BJ121,CODIFICACION!$F$2:$F$500,0))="sin dato","",INDEX(CODIFICACION!$E$2:$E$500,MATCH("D3.14h|"&amp;CAPTURA!BJ121,CODIFICACION!$F$2:$F$500,0))),"⚠"))</f>
        <v/>
      </c>
      <c r="AF121" t="str">
        <f>IF(CAPTURA!BK121="","",IFERROR(IF(INDEX(CODIFICACION!$E$2:$E$500,MATCH("D3.14i|"&amp;CAPTURA!BK121,CODIFICACION!$F$2:$F$500,0))="sin dato","",INDEX(CODIFICACION!$E$2:$E$500,MATCH("D3.14i|"&amp;CAPTURA!BK121,CODIFICACION!$F$2:$F$500,0))),"⚠"))</f>
        <v/>
      </c>
      <c r="AG121" t="str">
        <f>IF(CAPTURA!BL121="","",IFERROR(IF(INDEX(CODIFICACION!$E$2:$E$500,MATCH("D4.15|"&amp;CAPTURA!BL121,CODIFICACION!$F$2:$F$500,0))="sin dato","",INDEX(CODIFICACION!$E$2:$E$500,MATCH("D4.15|"&amp;CAPTURA!BL121,CODIFICACION!$F$2:$F$500,0))),"⚠"))</f>
        <v/>
      </c>
      <c r="AH121" t="str">
        <f>IF(CAPTURA!BM121="","",IF(AND(ISNUMBER(CAPTURA!BM121),CAPTURA!BM121&gt;=0,CAPTURA!BM121&lt;=4),CAPTURA!BM121*25,"⚠"))</f>
        <v/>
      </c>
      <c r="AI121" t="str">
        <f>IF(CAPTURA!BN121="","",IFERROR(IF(INDEX(CODIFICACION!$E$2:$E$500,MATCH("D4.17|"&amp;CAPTURA!BN121,CODIFICACION!$F$2:$F$500,0))="sin dato","",INDEX(CODIFICACION!$E$2:$E$500,MATCH("D4.17|"&amp;CAPTURA!BN121,CODIFICACION!$F$2:$F$500,0))),"⚠"))</f>
        <v/>
      </c>
      <c r="AJ121" t="str">
        <f>IF(CAPTURA!BO121="","",IFERROR(IF(INDEX(CODIFICACION!$E$2:$E$500,MATCH("D4.15a|"&amp;CAPTURA!BO121,CODIFICACION!$F$2:$F$500,0))="sin dato","",INDEX(CODIFICACION!$E$2:$E$500,MATCH("D4.15a|"&amp;CAPTURA!BO121,CODIFICACION!$F$2:$F$500,0))),"⚠"))</f>
        <v/>
      </c>
      <c r="AK121" t="str">
        <f>IF(CAPTURA!BP121="","",IF(AND(ISNUMBER(CAPTURA!BP121),CAPTURA!BP121&gt;=0,CAPTURA!BP121&lt;=4),CAPTURA!BP121*25,"⚠"))</f>
        <v/>
      </c>
      <c r="AL121" t="str">
        <f>IF(CAPTURA!BQ121="","",IF(AND(ISNUMBER(CAPTURA!BQ121),CAPTURA!BQ121&gt;=0,CAPTURA!BQ121&lt;=4),CAPTURA!BQ121*25,"⚠"))</f>
        <v/>
      </c>
      <c r="AM121" t="str">
        <f>IF(CAPTURA!BR121="","",IFERROR(IF(INDEX(CODIFICACION!$E$2:$E$500,MATCH("D5.18b|"&amp;CAPTURA!BR121,CODIFICACION!$F$2:$F$500,0))="sin dato","",INDEX(CODIFICACION!$E$2:$E$500,MATCH("D5.18b|"&amp;CAPTURA!BR121,CODIFICACION!$F$2:$F$500,0))),"⚠"))</f>
        <v/>
      </c>
      <c r="AN121" t="str">
        <f>IF(CAPTURA!BS121="","",IFERROR(IF(INDEX(CODIFICACION!$E$2:$E$500,MATCH("D5.19|"&amp;CAPTURA!BS121,CODIFICACION!$F$2:$F$500,0))="sin dato","",INDEX(CODIFICACION!$E$2:$E$500,MATCH("D5.19|"&amp;CAPTURA!BS121,CODIFICACION!$F$2:$F$500,0))),"⚠"))</f>
        <v/>
      </c>
      <c r="AO121" t="str">
        <f>IF(CAPTURA!BT121="","",MIN(100,ROUND((LEN(CAPTURA!BT121)-LEN(SUBSTITUTE(CAPTURA!BT121,";",""))+1)/7*100,1)))</f>
        <v/>
      </c>
      <c r="AP121" t="str">
        <f>IF(CAPTURA!BU121="","",IFERROR(IF(INDEX(CODIFICACION!$E$2:$E$500,MATCH("D5.20|"&amp;CAPTURA!BU121,CODIFICACION!$F$2:$F$500,0))="sin dato","",INDEX(CODIFICACION!$E$2:$E$500,MATCH("D5.20|"&amp;CAPTURA!BU121,CODIFICACION!$F$2:$F$500,0))),"⚠"))</f>
        <v/>
      </c>
      <c r="AQ121" t="str">
        <f>IF(CAPTURA!BV121="","",IFERROR(IF(INDEX(CODIFICACION!$E$2:$E$500,MATCH("D5.21|"&amp;CAPTURA!BV121,CODIFICACION!$F$2:$F$500,0))="sin dato","",INDEX(CODIFICACION!$E$2:$E$500,MATCH("D5.21|"&amp;CAPTURA!BV121,CODIFICACION!$F$2:$F$500,0))),"⚠"))</f>
        <v/>
      </c>
      <c r="AR121" t="str">
        <f>IF(CAPTURA!BW121="","",IFERROR(IF(INDEX(CODIFICACION!$E$2:$E$500,MATCH("D5.21a|"&amp;CAPTURA!BW121,CODIFICACION!$F$2:$F$500,0))="sin dato","",INDEX(CODIFICACION!$E$2:$E$500,MATCH("D5.21a|"&amp;CAPTURA!BW121,CODIFICACION!$F$2:$F$500,0))),"⚠"))</f>
        <v/>
      </c>
      <c r="AS121" t="str">
        <f>IF(CAPTURA!BX121="","",IFERROR(IF(INDEX(CODIFICACION!$E$2:$E$500,MATCH("D5.21b|"&amp;CAPTURA!BX121,CODIFICACION!$F$2:$F$500,0))="sin dato","",INDEX(CODIFICACION!$E$2:$E$500,MATCH("D5.21b|"&amp;CAPTURA!BX121,CODIFICACION!$F$2:$F$500,0))),"⚠"))</f>
        <v/>
      </c>
      <c r="AT121" t="str">
        <f>IF(CAPTURA!BY121="","",IFERROR(IF(INDEX(CODIFICACION!$E$2:$E$500,MATCH("D6.22|"&amp;CAPTURA!BY121,CODIFICACION!$F$2:$F$500,0))="sin dato","",INDEX(CODIFICACION!$E$2:$E$500,MATCH("D6.22|"&amp;CAPTURA!BY121,CODIFICACION!$F$2:$F$500,0))),"⚠"))</f>
        <v/>
      </c>
      <c r="AU121" t="str">
        <f>IF(CAPTURA!BZ121="","",IFERROR(IF(INDEX(CODIFICACION!$E$2:$E$500,MATCH("D6.22a|"&amp;CAPTURA!BZ121,CODIFICACION!$F$2:$F$500,0))="sin dato","",INDEX(CODIFICACION!$E$2:$E$500,MATCH("D6.22a|"&amp;CAPTURA!BZ121,CODIFICACION!$F$2:$F$500,0))),"⚠"))</f>
        <v/>
      </c>
      <c r="AV121" t="str">
        <f>IF(CAPTURA!CA121="","",IFERROR(IF(INDEX(CODIFICACION!$E$2:$E$500,MATCH("D6.22b|"&amp;CAPTURA!CA121,CODIFICACION!$F$2:$F$500,0))="sin dato","",INDEX(CODIFICACION!$E$2:$E$500,MATCH("D6.22b|"&amp;CAPTURA!CA121,CODIFICACION!$F$2:$F$500,0))),"⚠"))</f>
        <v/>
      </c>
      <c r="AW121" t="str">
        <f>IF(CAPTURA!CB121="","",IFERROR(IF(INDEX(CODIFICACION!$E$2:$E$500,MATCH("D6.23|"&amp;CAPTURA!CB121,CODIFICACION!$F$2:$F$500,0))="sin dato","",INDEX(CODIFICACION!$E$2:$E$500,MATCH("D6.23|"&amp;CAPTURA!CB121,CODIFICACION!$F$2:$F$500,0))),"⚠"))</f>
        <v/>
      </c>
      <c r="AX121" t="str">
        <f>IF(CAPTURA!CC121="","",IFERROR(IF(INDEX(CODIFICACION!$E$2:$E$500,MATCH("D6.24|"&amp;CAPTURA!CC121,CODIFICACION!$F$2:$F$500,0))="sin dato","",INDEX(CODIFICACION!$E$2:$E$500,MATCH("D6.24|"&amp;CAPTURA!CC121,CODIFICACION!$F$2:$F$500,0))),"⚠"))</f>
        <v/>
      </c>
      <c r="AY121" t="str">
        <f>IF(CAPTURA!CD121="","",IFERROR(IF(INDEX(CODIFICACION!$E$2:$E$500,MATCH("D6.25|"&amp;CAPTURA!CD121,CODIFICACION!$F$2:$F$500,0))="sin dato","",INDEX(CODIFICACION!$E$2:$E$500,MATCH("D6.25|"&amp;CAPTURA!CD121,CODIFICACION!$F$2:$F$500,0))),"⚠"))</f>
        <v/>
      </c>
      <c r="AZ121" t="str">
        <f>IF(CAPTURA!CE121="","",IFERROR(IF(INDEX(CODIFICACION!$E$2:$E$500,MATCH("D6.25a|"&amp;CAPTURA!CE121,CODIFICACION!$F$2:$F$500,0))="sin dato","",INDEX(CODIFICACION!$E$2:$E$500,MATCH("D6.25a|"&amp;CAPTURA!CE121,CODIFICACION!$F$2:$F$500,0))),"⚠"))</f>
        <v/>
      </c>
      <c r="BA121" t="str">
        <f>IF(CAPTURA!CF121="","",IFERROR(IF(INDEX(CODIFICACION!$E$2:$E$500,MATCH("D6.25b|"&amp;CAPTURA!CF121,CODIFICACION!$F$2:$F$500,0))="sin dato","",INDEX(CODIFICACION!$E$2:$E$500,MATCH("D6.25b|"&amp;CAPTURA!CF121,CODIFICACION!$F$2:$F$500,0))),"⚠"))</f>
        <v/>
      </c>
      <c r="BB121" t="str">
        <f>IF(CAPTURA!CG121="","",IFERROR(IF(INDEX(CODIFICACION!$E$2:$E$500,MATCH("D6.22c|"&amp;CAPTURA!CG121,CODIFICACION!$F$2:$F$500,0))="sin dato","",INDEX(CODIFICACION!$E$2:$E$500,MATCH("D6.22c|"&amp;CAPTURA!CG121,CODIFICACION!$F$2:$F$500,0))),"⚠"))</f>
        <v/>
      </c>
      <c r="BC121" t="str">
        <f>IF(CAPTURA!CH121="","",IFERROR(IF(INDEX(CODIFICACION!$E$2:$E$500,MATCH("D7.26|"&amp;CAPTURA!CH121,CODIFICACION!$F$2:$F$500,0))="sin dato","",INDEX(CODIFICACION!$E$2:$E$500,MATCH("D7.26|"&amp;CAPTURA!CH121,CODIFICACION!$F$2:$F$500,0))),"⚠"))</f>
        <v/>
      </c>
      <c r="BD121" t="str">
        <f>IF(CAPTURA!CI121="","",IFERROR(IF(INDEX(CODIFICACION!$E$2:$E$500,MATCH("D7.27|"&amp;CAPTURA!CI121,CODIFICACION!$F$2:$F$500,0))="sin dato","",INDEX(CODIFICACION!$E$2:$E$500,MATCH("D7.27|"&amp;CAPTURA!CI121,CODIFICACION!$F$2:$F$500,0))),"⚠"))</f>
        <v/>
      </c>
      <c r="BE121" t="str">
        <f>IF(CAPTURA!CJ121="","",IFERROR(IF(INDEX(CODIFICACION!$E$2:$E$500,MATCH("D7.28|"&amp;CAPTURA!CJ121,CODIFICACION!$F$2:$F$500,0))="sin dato","",INDEX(CODIFICACION!$E$2:$E$500,MATCH("D7.28|"&amp;CAPTURA!CJ121,CODIFICACION!$F$2:$F$500,0))),"⚠"))</f>
        <v/>
      </c>
      <c r="BF121" t="str">
        <f>IF(CAPTURA!CK121="","",IFERROR(IF(INDEX(CODIFICACION!$E$2:$E$500,MATCH("D7.28b|"&amp;CAPTURA!CK121,CODIFICACION!$F$2:$F$500,0))="sin dato","",INDEX(CODIFICACION!$E$2:$E$500,MATCH("D7.28b|"&amp;CAPTURA!CK121,CODIFICACION!$F$2:$F$500,0))),"⚠"))</f>
        <v/>
      </c>
      <c r="BG121" t="str">
        <f>IF(CAPTURA!CL121="","",MIN(100,ROUND((LEN(CAPTURA!CL121)-LEN(SUBSTITUTE(CAPTURA!CL121,";",""))+1)/8*100,1)))</f>
        <v/>
      </c>
      <c r="BH121" t="str">
        <f>IF(CAPTURA!CM121="","",IFERROR(IF(INDEX(CODIFICACION!$E$2:$E$500,MATCH("D7.26a|"&amp;CAPTURA!CM121,CODIFICACION!$F$2:$F$500,0))="sin dato","",INDEX(CODIFICACION!$E$2:$E$500,MATCH("D7.26a|"&amp;CAPTURA!CM121,CODIFICACION!$F$2:$F$500,0))),"⚠"))</f>
        <v/>
      </c>
      <c r="BI121" t="str">
        <f>IF(CAPTURA!CN121="","",IFERROR(IF(INDEX(CODIFICACION!$E$2:$E$500,MATCH("D7.26b|"&amp;CAPTURA!CN121,CODIFICACION!$F$2:$F$500,0))="sin dato","",INDEX(CODIFICACION!$E$2:$E$500,MATCH("D7.26b|"&amp;CAPTURA!CN121,CODIFICACION!$F$2:$F$500,0))),"⚠"))</f>
        <v/>
      </c>
      <c r="BJ121" t="str">
        <f>IF(CAPTURA!CO121="","",IF(AND(ISNUMBER(CAPTURA!CO121),CAPTURA!CO121&gt;=0,CAPTURA!CO121&lt;=4),CAPTURA!CO121*25,"⚠"))</f>
        <v/>
      </c>
      <c r="BK121" t="str">
        <f>IF(CAPTURA!CP121="","",IF(ISNUMBER(CAPTURA!CP121),MAX(0,MIN(100,CAPTURA!CP121)),"⚠"))</f>
        <v/>
      </c>
      <c r="BL121" t="str">
        <f>IF(CAPTURA!CQ121="","",IFERROR(IF(INDEX(CODIFICACION!$E$2:$E$500,MATCH("D8.31|"&amp;CAPTURA!CQ121,CODIFICACION!$F$2:$F$500,0))="sin dato","",INDEX(CODIFICACION!$E$2:$E$500,MATCH("D8.31|"&amp;CAPTURA!CQ121,CODIFICACION!$F$2:$F$500,0))),"⚠"))</f>
        <v/>
      </c>
      <c r="BM121" t="str">
        <f>IF(CAPTURA!CR121="","",IFERROR(IF(INDEX(CODIFICACION!$E$2:$E$500,MATCH("D8.32|"&amp;CAPTURA!CR121,CODIFICACION!$F$2:$F$500,0))="sin dato","",INDEX(CODIFICACION!$E$2:$E$500,MATCH("D8.32|"&amp;CAPTURA!CR121,CODIFICACION!$F$2:$F$500,0))),"⚠"))</f>
        <v/>
      </c>
      <c r="BN121" t="str">
        <f>IF(CAPTURA!CS121="","",IFERROR(IF(INDEX(CODIFICACION!$E$2:$E$500,MATCH("D9.33|"&amp;CAPTURA!CS121,CODIFICACION!$F$2:$F$500,0))="sin dato","",INDEX(CODIFICACION!$E$2:$E$500,MATCH("D9.33|"&amp;CAPTURA!CS121,CODIFICACION!$F$2:$F$500,0))),"⚠"))</f>
        <v/>
      </c>
      <c r="BO121" t="str">
        <f>IF(CAPTURA!CT121="","",IFERROR(IF(INDEX(CODIFICACION!$E$2:$E$500,MATCH("D9.34|"&amp;CAPTURA!CT121,CODIFICACION!$F$2:$F$500,0))="sin dato","",INDEX(CODIFICACION!$E$2:$E$500,MATCH("D9.34|"&amp;CAPTURA!CT121,CODIFICACION!$F$2:$F$500,0))),"⚠"))</f>
        <v/>
      </c>
      <c r="BP121" t="str">
        <f>IF(CAPTURA!CU121="","",IFERROR(IF(INDEX(CODIFICACION!$E$2:$E$500,MATCH("D9.35|"&amp;CAPTURA!CU121,CODIFICACION!$F$2:$F$500,0))="sin dato","",INDEX(CODIFICACION!$E$2:$E$500,MATCH("D9.35|"&amp;CAPTURA!CU121,CODIFICACION!$F$2:$F$500,0))),"⚠"))</f>
        <v/>
      </c>
      <c r="BQ121" t="str">
        <f>IF(CAPTURA!CV121="","",IFERROR(IF(INDEX(CODIFICACION!$E$2:$E$500,MATCH("D10.36|"&amp;CAPTURA!CV121,CODIFICACION!$F$2:$F$500,0))="sin dato","",INDEX(CODIFICACION!$E$2:$E$500,MATCH("D10.36|"&amp;CAPTURA!CV121,CODIFICACION!$F$2:$F$500,0))),"⚠"))</f>
        <v/>
      </c>
      <c r="BR121" t="str">
        <f>IF(CAPTURA!CW121="","",IFERROR(IF(INDEX(CODIFICACION!$E$2:$E$500,MATCH("D10.37|"&amp;CAPTURA!CW121,CODIFICACION!$F$2:$F$500,0))="sin dato","",INDEX(CODIFICACION!$E$2:$E$500,MATCH("D10.37|"&amp;CAPTURA!CW121,CODIFICACION!$F$2:$F$500,0))),"⚠"))</f>
        <v/>
      </c>
      <c r="BS121" t="str">
        <f>IF(CAPTURA!CX121="","",IFERROR(IF(INDEX(CODIFICACION!$E$2:$E$500,MATCH("D10.36a|"&amp;CAPTURA!CX121,CODIFICACION!$F$2:$F$500,0))="sin dato","",INDEX(CODIFICACION!$E$2:$E$500,MATCH("D10.36a|"&amp;CAPTURA!CX121,CODIFICACION!$F$2:$F$500,0))),"⚠"))</f>
        <v/>
      </c>
      <c r="BT121" t="str">
        <f>IF(CAPTURA!CY121="","",IF(ISNUMBER(SEARCH("Ninguno",CAPTURA!CY121)),0,MIN(100,ROUND((LEN(CAPTURA!CY121)-LEN(SUBSTITUTE(CAPTURA!CY121,";",""))+1)/6*100,1))))</f>
        <v/>
      </c>
      <c r="BU121" t="str">
        <f>IF(CAPTURA!DA121="","",IFERROR(IF(INDEX(CODIFICACION!$E$2:$E$500,MATCH("D11.39a|"&amp;CAPTURA!DA121,CODIFICACION!$F$2:$F$500,0))="sin dato","",INDEX(CODIFICACION!$E$2:$E$500,MATCH("D11.39a|"&amp;CAPTURA!DA121,CODIFICACION!$F$2:$F$500,0))),"⚠"))</f>
        <v/>
      </c>
      <c r="BV121" t="str">
        <f>IF(CAPTURA!DB121="","",IFERROR(IF(INDEX(CODIFICACION!$E$2:$E$500,MATCH("D12.42|"&amp;CAPTURA!DB121,CODIFICACION!$F$2:$F$500,0))="sin dato","",INDEX(CODIFICACION!$E$2:$E$500,MATCH("D12.42|"&amp;CAPTURA!DB121,CODIFICACION!$F$2:$F$500,0))),"⚠"))</f>
        <v/>
      </c>
      <c r="BW121" t="str">
        <f>IF(CAPTURA!DC121="","",IFERROR(IF(INDEX(CODIFICACION!$E$2:$E$500,MATCH("D13.45|"&amp;CAPTURA!DC121,CODIFICACION!$F$2:$F$500,0))="sin dato","",INDEX(CODIFICACION!$E$2:$E$500,MATCH("D13.45|"&amp;CAPTURA!DC121,CODIFICACION!$F$2:$F$500,0))),"⚠"))</f>
        <v/>
      </c>
      <c r="BX121" t="str">
        <f>IF(CAPTURA!DD121="","",IFERROR(IF(INDEX(CODIFICACION!$E$2:$E$500,MATCH("D14.51|"&amp;CAPTURA!DD121,CODIFICACION!$F$2:$F$500,0))="sin dato","",INDEX(CODIFICACION!$E$2:$E$500,MATCH("D14.51|"&amp;CAPTURA!DD121,CODIFICACION!$F$2:$F$500,0))),"⚠"))</f>
        <v/>
      </c>
      <c r="BY121" t="str">
        <f>IF(CAPTURA!DE121="","",IFERROR(IF(INDEX(CODIFICACION!$E$2:$E$500,MATCH("D15.58|"&amp;CAPTURA!DE121,CODIFICACION!$F$2:$F$500,0))="sin dato","",INDEX(CODIFICACION!$E$2:$E$500,MATCH("D15.58|"&amp;CAPTURA!DE121,CODIFICACION!$F$2:$F$500,0))),"⚠"))</f>
        <v/>
      </c>
      <c r="BZ121" t="str">
        <f>IF(CAPTURA!DF121="","",IFERROR(IF(INDEX(CODIFICACION!$E$2:$E$500,MATCH("PP1|"&amp;CAPTURA!DF121,CODIFICACION!$F$2:$F$500,0))="sin dato","",INDEX(CODIFICACION!$E$2:$E$500,MATCH("PP1|"&amp;CAPTURA!DF121,CODIFICACION!$F$2:$F$500,0))),"⚠"))</f>
        <v/>
      </c>
      <c r="CA121" t="str">
        <f>IF(CAPTURA!DG121="","",IFERROR(IF(INDEX(CODIFICACION!$E$2:$E$500,MATCH("PP2|"&amp;CAPTURA!DG121,CODIFICACION!$F$2:$F$500,0))="sin dato","",INDEX(CODIFICACION!$E$2:$E$500,MATCH("PP2|"&amp;CAPTURA!DG121,CODIFICACION!$F$2:$F$500,0))),"⚠"))</f>
        <v/>
      </c>
      <c r="CB121" t="str">
        <f t="shared" si="33"/>
        <v/>
      </c>
      <c r="CC121" t="str">
        <f t="shared" si="34"/>
        <v/>
      </c>
      <c r="CD121" t="str">
        <f t="shared" si="35"/>
        <v/>
      </c>
      <c r="CE121" t="str">
        <f t="shared" si="36"/>
        <v/>
      </c>
      <c r="CF121" t="str">
        <f t="shared" si="37"/>
        <v/>
      </c>
      <c r="CG121" t="str">
        <f t="shared" si="38"/>
        <v/>
      </c>
      <c r="CH121" t="str">
        <f t="shared" si="39"/>
        <v/>
      </c>
      <c r="CI121" t="str">
        <f t="shared" si="40"/>
        <v/>
      </c>
      <c r="CJ121" t="str">
        <f t="shared" si="41"/>
        <v/>
      </c>
      <c r="CK121" t="str">
        <f t="shared" si="42"/>
        <v/>
      </c>
      <c r="CL121" t="str">
        <f t="shared" si="43"/>
        <v/>
      </c>
    </row>
    <row r="122" spans="1:90" x14ac:dyDescent="0.3">
      <c r="A122">
        <f>CAPTURA!A122</f>
        <v>20601339090</v>
      </c>
      <c r="B122">
        <f>CAPTURA!C122</f>
        <v>0</v>
      </c>
      <c r="C122" t="str">
        <f>IF(CAPTURA!M122="","",ROUND((ISNUMBER(SEARCH("Alemania",CAPTURA!M122))+ISNUMBER(SEARCH("Bélgica",CAPTURA!M122))+ISNUMBER(SEARCH("Países Bajos",CAPTURA!M122))+ISNUMBER(SEARCH("Francia",CAPTURA!M122))+ISNUMBER(SEARCH("Italia",CAPTURA!M122))+ISNUMBER(SEARCH("España",CAPTURA!M122))+ISNUMBER(SEARCH("Suecia",CAPTURA!M122))+ISNUMBER(SEARCH("Dinamarca",CAPTURA!M122)))/((LEN(CAPTURA!M122)-LEN(SUBSTITUTE(CAPTURA!M122,";","")))+1)*100,1))</f>
        <v/>
      </c>
      <c r="D122" t="str">
        <f>IF(CAPTURA!AE122="","",IFERROR(IF(INDEX(CODIFICACION!$E$2:$E$500,MATCH("P8|"&amp;CAPTURA!AE122,CODIFICACION!$F$2:$F$500,0))="sin dato","",INDEX(CODIFICACION!$E$2:$E$500,MATCH("P8|"&amp;CAPTURA!AE122,CODIFICACION!$F$2:$F$500,0))),"⚠"))</f>
        <v/>
      </c>
      <c r="E122" t="str">
        <f>IF(CAPTURA!AG122="","",IFERROR(IF(INDEX(CODIFICACION!$E$2:$E$500,MATCH("P10|"&amp;CAPTURA!AG122,CODIFICACION!$F$2:$F$500,0))="sin dato","",INDEX(CODIFICACION!$E$2:$E$500,MATCH("P10|"&amp;CAPTURA!AG122,CODIFICACION!$F$2:$F$500,0))),"⚠"))</f>
        <v/>
      </c>
      <c r="F122" t="str">
        <f>IF(CAPTURA!AJ122="","",IFERROR(IF(INDEX(CODIFICACION!$E$2:$E$500,MATCH("P13|"&amp;CAPTURA!AJ122,CODIFICACION!$F$2:$F$500,0))="sin dato","",INDEX(CODIFICACION!$E$2:$E$500,MATCH("P13|"&amp;CAPTURA!AJ122,CODIFICACION!$F$2:$F$500,0))),"⚠"))</f>
        <v/>
      </c>
      <c r="G122" t="str">
        <f>IF(CAPTURA!AK122="","",IFERROR(IF(INDEX(CODIFICACION!$E$2:$E$500,MATCH("P14|"&amp;CAPTURA!AK122,CODIFICACION!$F$2:$F$500,0))="sin dato","",INDEX(CODIFICACION!$E$2:$E$500,MATCH("P14|"&amp;CAPTURA!AK122,CODIFICACION!$F$2:$F$500,0))),"⚠"))</f>
        <v/>
      </c>
      <c r="H122" t="str">
        <f>IF(CAPTURA!AL122="","",IFERROR(IF(INDEX(CODIFICACION!$E$2:$E$500,MATCH("D1.1|"&amp;CAPTURA!AL122,CODIFICACION!$F$2:$F$500,0))="sin dato","",INDEX(CODIFICACION!$E$2:$E$500,MATCH("D1.1|"&amp;CAPTURA!AL122,CODIFICACION!$F$2:$F$500,0))),"⚠"))</f>
        <v/>
      </c>
      <c r="I122" t="str">
        <f>IF(CAPTURA!AN122="","",IFERROR(IF(INDEX(CODIFICACION!$E$2:$E$500,MATCH("D1.3|"&amp;CAPTURA!AN122,CODIFICACION!$F$2:$F$500,0))="sin dato","",INDEX(CODIFICACION!$E$2:$E$500,MATCH("D1.3|"&amp;CAPTURA!AN122,CODIFICACION!$F$2:$F$500,0))),"⚠"))</f>
        <v/>
      </c>
      <c r="J122" t="str">
        <f>IF(CAPTURA!AO122="","",IFERROR(IF(INDEX(CODIFICACION!$E$2:$E$500,MATCH("D1.4|"&amp;CAPTURA!AO122,CODIFICACION!$F$2:$F$500,0))="sin dato","",INDEX(CODIFICACION!$E$2:$E$500,MATCH("D1.4|"&amp;CAPTURA!AO122,CODIFICACION!$F$2:$F$500,0))),"⚠"))</f>
        <v/>
      </c>
      <c r="K122" t="str">
        <f>IF(CAPTURA!AP122="","",IFERROR(IF(INDEX(CODIFICACION!$E$2:$E$500,MATCH("D1.3a|"&amp;CAPTURA!AP122,CODIFICACION!$F$2:$F$500,0))="sin dato","",INDEX(CODIFICACION!$E$2:$E$500,MATCH("D1.3a|"&amp;CAPTURA!AP122,CODIFICACION!$F$2:$F$500,0))),"⚠"))</f>
        <v/>
      </c>
      <c r="L122" t="str">
        <f>IF(CAPTURA!AQ122="","",IF(AND(ISNUMBER(CAPTURA!AQ122),CAPTURA!AQ122&gt;=0,CAPTURA!AQ122&lt;=4),CAPTURA!AQ122*25,"⚠"))</f>
        <v/>
      </c>
      <c r="M122" t="str">
        <f>IF(CAPTURA!AR122="","",IF(ISNUMBER(CAPTURA!AR122),MAX(0,MIN(100,CAPTURA!AR122)),"⚠"))</f>
        <v/>
      </c>
      <c r="N122" t="str">
        <f>IF(CAPTURA!AS122="","",IF(AND(ISNUMBER(CAPTURA!AS122),CAPTURA!AS122&gt;=0,CAPTURA!AS122&lt;=4),CAPTURA!AS122*25,"⚠"))</f>
        <v/>
      </c>
      <c r="O122" t="str">
        <f>IF(CAPTURA!AT122="","",IFERROR(IF(INDEX(CODIFICACION!$E$2:$E$500,MATCH("D2.8|"&amp;CAPTURA!AT122,CODIFICACION!$F$2:$F$500,0))="sin dato","",INDEX(CODIFICACION!$E$2:$E$500,MATCH("D2.8|"&amp;CAPTURA!AT122,CODIFICACION!$F$2:$F$500,0))),"⚠"))</f>
        <v/>
      </c>
      <c r="P122" t="str">
        <f>IF(CAPTURA!AU122="","",IFERROR(IF(INDEX(CODIFICACION!$E$2:$E$500,MATCH("D2.9|"&amp;CAPTURA!AU122,CODIFICACION!$F$2:$F$500,0))="sin dato","",INDEX(CODIFICACION!$E$2:$E$500,MATCH("D2.9|"&amp;CAPTURA!AU122,CODIFICACION!$F$2:$F$500,0))),"⚠"))</f>
        <v/>
      </c>
      <c r="Q122" t="str">
        <f>IF(CAPTURA!AV122="","",IFERROR(IF(INDEX(CODIFICACION!$E$2:$E$500,MATCH("D2.10|"&amp;CAPTURA!AV122,CODIFICACION!$F$2:$F$500,0))="sin dato","",INDEX(CODIFICACION!$E$2:$E$500,MATCH("D2.10|"&amp;CAPTURA!AV122,CODIFICACION!$F$2:$F$500,0))),"⚠"))</f>
        <v/>
      </c>
      <c r="R122" t="str">
        <f>IF(CAPTURA!AW122="","",IFERROR(IF(INDEX(CODIFICACION!$E$2:$E$500,MATCH("D2.5a|"&amp;CAPTURA!AW122,CODIFICACION!$F$2:$F$500,0))="sin dato","",INDEX(CODIFICACION!$E$2:$E$500,MATCH("D2.5a|"&amp;CAPTURA!AW122,CODIFICACION!$F$2:$F$500,0))),"⚠"))</f>
        <v/>
      </c>
      <c r="S122" t="str">
        <f>IF(CAPTURA!AX122="","",IFERROR(IF(INDEX(CODIFICACION!$E$2:$E$500,MATCH("D2.5b|"&amp;CAPTURA!AX122,CODIFICACION!$F$2:$F$500,0))="sin dato","",INDEX(CODIFICACION!$E$2:$E$500,MATCH("D2.5b|"&amp;CAPTURA!AX122,CODIFICACION!$F$2:$F$500,0))),"⚠"))</f>
        <v/>
      </c>
      <c r="T122" t="str">
        <f>IF(CAPTURA!AY122="","",IF(ISNUMBER(CAPTURA!AY122),MAX(0,MIN(100,CAPTURA!AY122)),"⚠"))</f>
        <v/>
      </c>
      <c r="U122" t="str">
        <f>IF(CAPTURA!AZ122="","",IFERROR(IF(INDEX(CODIFICACION!$E$2:$E$500,MATCH("D3.12|"&amp;CAPTURA!AZ122,CODIFICACION!$F$2:$F$500,0))="sin dato","",INDEX(CODIFICACION!$E$2:$E$500,MATCH("D3.12|"&amp;CAPTURA!AZ122,CODIFICACION!$F$2:$F$500,0))),"⚠"))</f>
        <v/>
      </c>
      <c r="V122" t="str">
        <f>IF(CAPTURA!BA122="","",IF(AND(ISNUMBER(CAPTURA!BA122),CAPTURA!BA122&gt;=0,CAPTURA!BA122&lt;=4),CAPTURA!BA122*25,"⚠"))</f>
        <v/>
      </c>
      <c r="W122" t="str">
        <f>IF(CAPTURA!BB122="","",IFERROR(IF(INDEX(CODIFICACION!$E$2:$E$500,MATCH("D3.14|"&amp;CAPTURA!BB122,CODIFICACION!$F$2:$F$500,0))="sin dato","",INDEX(CODIFICACION!$E$2:$E$500,MATCH("D3.14|"&amp;CAPTURA!BB122,CODIFICACION!$F$2:$F$500,0))),"⚠"))</f>
        <v/>
      </c>
      <c r="X122" t="str">
        <f>IF(CAPTURA!BC122="","",IFERROR(IF(INDEX(CODIFICACION!$E$2:$E$500,MATCH("D3.14a|"&amp;CAPTURA!BC122,CODIFICACION!$F$2:$F$500,0))="sin dato","",INDEX(CODIFICACION!$E$2:$E$500,MATCH("D3.14a|"&amp;CAPTURA!BC122,CODIFICACION!$F$2:$F$500,0))),"⚠"))</f>
        <v/>
      </c>
      <c r="Y122" t="str">
        <f>IF(CAPTURA!BD122="","",IFERROR(IF(INDEX(CODIFICACION!$E$2:$E$500,MATCH("D3.14b|"&amp;CAPTURA!BD122,CODIFICACION!$F$2:$F$500,0))="sin dato","",INDEX(CODIFICACION!$E$2:$E$500,MATCH("D3.14b|"&amp;CAPTURA!BD122,CODIFICACION!$F$2:$F$500,0))),"⚠"))</f>
        <v/>
      </c>
      <c r="Z122" t="str">
        <f>IF(CAPTURA!BE122="","",IFERROR(IF(INDEX(CODIFICACION!$E$2:$E$500,MATCH("D3.14c|"&amp;CAPTURA!BE122,CODIFICACION!$F$2:$F$500,0))="sin dato","",INDEX(CODIFICACION!$E$2:$E$500,MATCH("D3.14c|"&amp;CAPTURA!BE122,CODIFICACION!$F$2:$F$500,0))),"⚠"))</f>
        <v/>
      </c>
      <c r="AA122" t="str">
        <f>IF(CAPTURA!BF122="","",IFERROR(IF(INDEX(CODIFICACION!$E$2:$E$500,MATCH("D3.14d|"&amp;CAPTURA!BF122,CODIFICACION!$F$2:$F$500,0))="sin dato","",INDEX(CODIFICACION!$E$2:$E$500,MATCH("D3.14d|"&amp;CAPTURA!BF122,CODIFICACION!$F$2:$F$500,0))),"⚠"))</f>
        <v/>
      </c>
      <c r="AB122" t="str">
        <f>IF(CAPTURA!BG122="","",IFERROR(IF(INDEX(CODIFICACION!$E$2:$E$500,MATCH("D3.14e|"&amp;CAPTURA!BG122,CODIFICACION!$F$2:$F$500,0))="sin dato","",INDEX(CODIFICACION!$E$2:$E$500,MATCH("D3.14e|"&amp;CAPTURA!BG122,CODIFICACION!$F$2:$F$500,0))),"⚠"))</f>
        <v/>
      </c>
      <c r="AC122" t="str">
        <f>IF(CAPTURA!BH122="","",IFERROR(IF(INDEX(CODIFICACION!$E$2:$E$500,MATCH("D3.14f|"&amp;CAPTURA!BH122,CODIFICACION!$F$2:$F$500,0))="sin dato","",INDEX(CODIFICACION!$E$2:$E$500,MATCH("D3.14f|"&amp;CAPTURA!BH122,CODIFICACION!$F$2:$F$500,0))),"⚠"))</f>
        <v/>
      </c>
      <c r="AD122" t="str">
        <f>IF(CAPTURA!BI122="","",IFERROR(IF(INDEX(CODIFICACION!$E$2:$E$500,MATCH("D3.14g|"&amp;CAPTURA!BI122,CODIFICACION!$F$2:$F$500,0))="sin dato","",INDEX(CODIFICACION!$E$2:$E$500,MATCH("D3.14g|"&amp;CAPTURA!BI122,CODIFICACION!$F$2:$F$500,0))),"⚠"))</f>
        <v/>
      </c>
      <c r="AE122" t="str">
        <f>IF(CAPTURA!BJ122="","",IFERROR(IF(INDEX(CODIFICACION!$E$2:$E$500,MATCH("D3.14h|"&amp;CAPTURA!BJ122,CODIFICACION!$F$2:$F$500,0))="sin dato","",INDEX(CODIFICACION!$E$2:$E$500,MATCH("D3.14h|"&amp;CAPTURA!BJ122,CODIFICACION!$F$2:$F$500,0))),"⚠"))</f>
        <v/>
      </c>
      <c r="AF122" t="str">
        <f>IF(CAPTURA!BK122="","",IFERROR(IF(INDEX(CODIFICACION!$E$2:$E$500,MATCH("D3.14i|"&amp;CAPTURA!BK122,CODIFICACION!$F$2:$F$500,0))="sin dato","",INDEX(CODIFICACION!$E$2:$E$500,MATCH("D3.14i|"&amp;CAPTURA!BK122,CODIFICACION!$F$2:$F$500,0))),"⚠"))</f>
        <v/>
      </c>
      <c r="AG122" t="str">
        <f>IF(CAPTURA!BL122="","",IFERROR(IF(INDEX(CODIFICACION!$E$2:$E$500,MATCH("D4.15|"&amp;CAPTURA!BL122,CODIFICACION!$F$2:$F$500,0))="sin dato","",INDEX(CODIFICACION!$E$2:$E$500,MATCH("D4.15|"&amp;CAPTURA!BL122,CODIFICACION!$F$2:$F$500,0))),"⚠"))</f>
        <v/>
      </c>
      <c r="AH122" t="str">
        <f>IF(CAPTURA!BM122="","",IF(AND(ISNUMBER(CAPTURA!BM122),CAPTURA!BM122&gt;=0,CAPTURA!BM122&lt;=4),CAPTURA!BM122*25,"⚠"))</f>
        <v/>
      </c>
      <c r="AI122" t="str">
        <f>IF(CAPTURA!BN122="","",IFERROR(IF(INDEX(CODIFICACION!$E$2:$E$500,MATCH("D4.17|"&amp;CAPTURA!BN122,CODIFICACION!$F$2:$F$500,0))="sin dato","",INDEX(CODIFICACION!$E$2:$E$500,MATCH("D4.17|"&amp;CAPTURA!BN122,CODIFICACION!$F$2:$F$500,0))),"⚠"))</f>
        <v/>
      </c>
      <c r="AJ122" t="str">
        <f>IF(CAPTURA!BO122="","",IFERROR(IF(INDEX(CODIFICACION!$E$2:$E$500,MATCH("D4.15a|"&amp;CAPTURA!BO122,CODIFICACION!$F$2:$F$500,0))="sin dato","",INDEX(CODIFICACION!$E$2:$E$500,MATCH("D4.15a|"&amp;CAPTURA!BO122,CODIFICACION!$F$2:$F$500,0))),"⚠"))</f>
        <v/>
      </c>
      <c r="AK122" t="str">
        <f>IF(CAPTURA!BP122="","",IF(AND(ISNUMBER(CAPTURA!BP122),CAPTURA!BP122&gt;=0,CAPTURA!BP122&lt;=4),CAPTURA!BP122*25,"⚠"))</f>
        <v/>
      </c>
      <c r="AL122" t="str">
        <f>IF(CAPTURA!BQ122="","",IF(AND(ISNUMBER(CAPTURA!BQ122),CAPTURA!BQ122&gt;=0,CAPTURA!BQ122&lt;=4),CAPTURA!BQ122*25,"⚠"))</f>
        <v/>
      </c>
      <c r="AM122" t="str">
        <f>IF(CAPTURA!BR122="","",IFERROR(IF(INDEX(CODIFICACION!$E$2:$E$500,MATCH("D5.18b|"&amp;CAPTURA!BR122,CODIFICACION!$F$2:$F$500,0))="sin dato","",INDEX(CODIFICACION!$E$2:$E$500,MATCH("D5.18b|"&amp;CAPTURA!BR122,CODIFICACION!$F$2:$F$500,0))),"⚠"))</f>
        <v/>
      </c>
      <c r="AN122" t="str">
        <f>IF(CAPTURA!BS122="","",IFERROR(IF(INDEX(CODIFICACION!$E$2:$E$500,MATCH("D5.19|"&amp;CAPTURA!BS122,CODIFICACION!$F$2:$F$500,0))="sin dato","",INDEX(CODIFICACION!$E$2:$E$500,MATCH("D5.19|"&amp;CAPTURA!BS122,CODIFICACION!$F$2:$F$500,0))),"⚠"))</f>
        <v/>
      </c>
      <c r="AO122" t="str">
        <f>IF(CAPTURA!BT122="","",MIN(100,ROUND((LEN(CAPTURA!BT122)-LEN(SUBSTITUTE(CAPTURA!BT122,";",""))+1)/7*100,1)))</f>
        <v/>
      </c>
      <c r="AP122" t="str">
        <f>IF(CAPTURA!BU122="","",IFERROR(IF(INDEX(CODIFICACION!$E$2:$E$500,MATCH("D5.20|"&amp;CAPTURA!BU122,CODIFICACION!$F$2:$F$500,0))="sin dato","",INDEX(CODIFICACION!$E$2:$E$500,MATCH("D5.20|"&amp;CAPTURA!BU122,CODIFICACION!$F$2:$F$500,0))),"⚠"))</f>
        <v/>
      </c>
      <c r="AQ122" t="str">
        <f>IF(CAPTURA!BV122="","",IFERROR(IF(INDEX(CODIFICACION!$E$2:$E$500,MATCH("D5.21|"&amp;CAPTURA!BV122,CODIFICACION!$F$2:$F$500,0))="sin dato","",INDEX(CODIFICACION!$E$2:$E$500,MATCH("D5.21|"&amp;CAPTURA!BV122,CODIFICACION!$F$2:$F$500,0))),"⚠"))</f>
        <v/>
      </c>
      <c r="AR122" t="str">
        <f>IF(CAPTURA!BW122="","",IFERROR(IF(INDEX(CODIFICACION!$E$2:$E$500,MATCH("D5.21a|"&amp;CAPTURA!BW122,CODIFICACION!$F$2:$F$500,0))="sin dato","",INDEX(CODIFICACION!$E$2:$E$500,MATCH("D5.21a|"&amp;CAPTURA!BW122,CODIFICACION!$F$2:$F$500,0))),"⚠"))</f>
        <v/>
      </c>
      <c r="AS122" t="str">
        <f>IF(CAPTURA!BX122="","",IFERROR(IF(INDEX(CODIFICACION!$E$2:$E$500,MATCH("D5.21b|"&amp;CAPTURA!BX122,CODIFICACION!$F$2:$F$500,0))="sin dato","",INDEX(CODIFICACION!$E$2:$E$500,MATCH("D5.21b|"&amp;CAPTURA!BX122,CODIFICACION!$F$2:$F$500,0))),"⚠"))</f>
        <v/>
      </c>
      <c r="AT122" t="str">
        <f>IF(CAPTURA!BY122="","",IFERROR(IF(INDEX(CODIFICACION!$E$2:$E$500,MATCH("D6.22|"&amp;CAPTURA!BY122,CODIFICACION!$F$2:$F$500,0))="sin dato","",INDEX(CODIFICACION!$E$2:$E$500,MATCH("D6.22|"&amp;CAPTURA!BY122,CODIFICACION!$F$2:$F$500,0))),"⚠"))</f>
        <v/>
      </c>
      <c r="AU122" t="str">
        <f>IF(CAPTURA!BZ122="","",IFERROR(IF(INDEX(CODIFICACION!$E$2:$E$500,MATCH("D6.22a|"&amp;CAPTURA!BZ122,CODIFICACION!$F$2:$F$500,0))="sin dato","",INDEX(CODIFICACION!$E$2:$E$500,MATCH("D6.22a|"&amp;CAPTURA!BZ122,CODIFICACION!$F$2:$F$500,0))),"⚠"))</f>
        <v/>
      </c>
      <c r="AV122" t="str">
        <f>IF(CAPTURA!CA122="","",IFERROR(IF(INDEX(CODIFICACION!$E$2:$E$500,MATCH("D6.22b|"&amp;CAPTURA!CA122,CODIFICACION!$F$2:$F$500,0))="sin dato","",INDEX(CODIFICACION!$E$2:$E$500,MATCH("D6.22b|"&amp;CAPTURA!CA122,CODIFICACION!$F$2:$F$500,0))),"⚠"))</f>
        <v/>
      </c>
      <c r="AW122" t="str">
        <f>IF(CAPTURA!CB122="","",IFERROR(IF(INDEX(CODIFICACION!$E$2:$E$500,MATCH("D6.23|"&amp;CAPTURA!CB122,CODIFICACION!$F$2:$F$500,0))="sin dato","",INDEX(CODIFICACION!$E$2:$E$500,MATCH("D6.23|"&amp;CAPTURA!CB122,CODIFICACION!$F$2:$F$500,0))),"⚠"))</f>
        <v/>
      </c>
      <c r="AX122" t="str">
        <f>IF(CAPTURA!CC122="","",IFERROR(IF(INDEX(CODIFICACION!$E$2:$E$500,MATCH("D6.24|"&amp;CAPTURA!CC122,CODIFICACION!$F$2:$F$500,0))="sin dato","",INDEX(CODIFICACION!$E$2:$E$500,MATCH("D6.24|"&amp;CAPTURA!CC122,CODIFICACION!$F$2:$F$500,0))),"⚠"))</f>
        <v/>
      </c>
      <c r="AY122" t="str">
        <f>IF(CAPTURA!CD122="","",IFERROR(IF(INDEX(CODIFICACION!$E$2:$E$500,MATCH("D6.25|"&amp;CAPTURA!CD122,CODIFICACION!$F$2:$F$500,0))="sin dato","",INDEX(CODIFICACION!$E$2:$E$500,MATCH("D6.25|"&amp;CAPTURA!CD122,CODIFICACION!$F$2:$F$500,0))),"⚠"))</f>
        <v/>
      </c>
      <c r="AZ122" t="str">
        <f>IF(CAPTURA!CE122="","",IFERROR(IF(INDEX(CODIFICACION!$E$2:$E$500,MATCH("D6.25a|"&amp;CAPTURA!CE122,CODIFICACION!$F$2:$F$500,0))="sin dato","",INDEX(CODIFICACION!$E$2:$E$500,MATCH("D6.25a|"&amp;CAPTURA!CE122,CODIFICACION!$F$2:$F$500,0))),"⚠"))</f>
        <v/>
      </c>
      <c r="BA122" t="str">
        <f>IF(CAPTURA!CF122="","",IFERROR(IF(INDEX(CODIFICACION!$E$2:$E$500,MATCH("D6.25b|"&amp;CAPTURA!CF122,CODIFICACION!$F$2:$F$500,0))="sin dato","",INDEX(CODIFICACION!$E$2:$E$500,MATCH("D6.25b|"&amp;CAPTURA!CF122,CODIFICACION!$F$2:$F$500,0))),"⚠"))</f>
        <v/>
      </c>
      <c r="BB122" t="str">
        <f>IF(CAPTURA!CG122="","",IFERROR(IF(INDEX(CODIFICACION!$E$2:$E$500,MATCH("D6.22c|"&amp;CAPTURA!CG122,CODIFICACION!$F$2:$F$500,0))="sin dato","",INDEX(CODIFICACION!$E$2:$E$500,MATCH("D6.22c|"&amp;CAPTURA!CG122,CODIFICACION!$F$2:$F$500,0))),"⚠"))</f>
        <v/>
      </c>
      <c r="BC122" t="str">
        <f>IF(CAPTURA!CH122="","",IFERROR(IF(INDEX(CODIFICACION!$E$2:$E$500,MATCH("D7.26|"&amp;CAPTURA!CH122,CODIFICACION!$F$2:$F$500,0))="sin dato","",INDEX(CODIFICACION!$E$2:$E$500,MATCH("D7.26|"&amp;CAPTURA!CH122,CODIFICACION!$F$2:$F$500,0))),"⚠"))</f>
        <v/>
      </c>
      <c r="BD122" t="str">
        <f>IF(CAPTURA!CI122="","",IFERROR(IF(INDEX(CODIFICACION!$E$2:$E$500,MATCH("D7.27|"&amp;CAPTURA!CI122,CODIFICACION!$F$2:$F$500,0))="sin dato","",INDEX(CODIFICACION!$E$2:$E$500,MATCH("D7.27|"&amp;CAPTURA!CI122,CODIFICACION!$F$2:$F$500,0))),"⚠"))</f>
        <v/>
      </c>
      <c r="BE122" t="str">
        <f>IF(CAPTURA!CJ122="","",IFERROR(IF(INDEX(CODIFICACION!$E$2:$E$500,MATCH("D7.28|"&amp;CAPTURA!CJ122,CODIFICACION!$F$2:$F$500,0))="sin dato","",INDEX(CODIFICACION!$E$2:$E$500,MATCH("D7.28|"&amp;CAPTURA!CJ122,CODIFICACION!$F$2:$F$500,0))),"⚠"))</f>
        <v/>
      </c>
      <c r="BF122" t="str">
        <f>IF(CAPTURA!CK122="","",IFERROR(IF(INDEX(CODIFICACION!$E$2:$E$500,MATCH("D7.28b|"&amp;CAPTURA!CK122,CODIFICACION!$F$2:$F$500,0))="sin dato","",INDEX(CODIFICACION!$E$2:$E$500,MATCH("D7.28b|"&amp;CAPTURA!CK122,CODIFICACION!$F$2:$F$500,0))),"⚠"))</f>
        <v/>
      </c>
      <c r="BG122" t="str">
        <f>IF(CAPTURA!CL122="","",MIN(100,ROUND((LEN(CAPTURA!CL122)-LEN(SUBSTITUTE(CAPTURA!CL122,";",""))+1)/8*100,1)))</f>
        <v/>
      </c>
      <c r="BH122" t="str">
        <f>IF(CAPTURA!CM122="","",IFERROR(IF(INDEX(CODIFICACION!$E$2:$E$500,MATCH("D7.26a|"&amp;CAPTURA!CM122,CODIFICACION!$F$2:$F$500,0))="sin dato","",INDEX(CODIFICACION!$E$2:$E$500,MATCH("D7.26a|"&amp;CAPTURA!CM122,CODIFICACION!$F$2:$F$500,0))),"⚠"))</f>
        <v/>
      </c>
      <c r="BI122" t="str">
        <f>IF(CAPTURA!CN122="","",IFERROR(IF(INDEX(CODIFICACION!$E$2:$E$500,MATCH("D7.26b|"&amp;CAPTURA!CN122,CODIFICACION!$F$2:$F$500,0))="sin dato","",INDEX(CODIFICACION!$E$2:$E$500,MATCH("D7.26b|"&amp;CAPTURA!CN122,CODIFICACION!$F$2:$F$500,0))),"⚠"))</f>
        <v/>
      </c>
      <c r="BJ122" t="str">
        <f>IF(CAPTURA!CO122="","",IF(AND(ISNUMBER(CAPTURA!CO122),CAPTURA!CO122&gt;=0,CAPTURA!CO122&lt;=4),CAPTURA!CO122*25,"⚠"))</f>
        <v/>
      </c>
      <c r="BK122" t="str">
        <f>IF(CAPTURA!CP122="","",IF(ISNUMBER(CAPTURA!CP122),MAX(0,MIN(100,CAPTURA!CP122)),"⚠"))</f>
        <v/>
      </c>
      <c r="BL122" t="str">
        <f>IF(CAPTURA!CQ122="","",IFERROR(IF(INDEX(CODIFICACION!$E$2:$E$500,MATCH("D8.31|"&amp;CAPTURA!CQ122,CODIFICACION!$F$2:$F$500,0))="sin dato","",INDEX(CODIFICACION!$E$2:$E$500,MATCH("D8.31|"&amp;CAPTURA!CQ122,CODIFICACION!$F$2:$F$500,0))),"⚠"))</f>
        <v/>
      </c>
      <c r="BM122" t="str">
        <f>IF(CAPTURA!CR122="","",IFERROR(IF(INDEX(CODIFICACION!$E$2:$E$500,MATCH("D8.32|"&amp;CAPTURA!CR122,CODIFICACION!$F$2:$F$500,0))="sin dato","",INDEX(CODIFICACION!$E$2:$E$500,MATCH("D8.32|"&amp;CAPTURA!CR122,CODIFICACION!$F$2:$F$500,0))),"⚠"))</f>
        <v/>
      </c>
      <c r="BN122" t="str">
        <f>IF(CAPTURA!CS122="","",IFERROR(IF(INDEX(CODIFICACION!$E$2:$E$500,MATCH("D9.33|"&amp;CAPTURA!CS122,CODIFICACION!$F$2:$F$500,0))="sin dato","",INDEX(CODIFICACION!$E$2:$E$500,MATCH("D9.33|"&amp;CAPTURA!CS122,CODIFICACION!$F$2:$F$500,0))),"⚠"))</f>
        <v/>
      </c>
      <c r="BO122" t="str">
        <f>IF(CAPTURA!CT122="","",IFERROR(IF(INDEX(CODIFICACION!$E$2:$E$500,MATCH("D9.34|"&amp;CAPTURA!CT122,CODIFICACION!$F$2:$F$500,0))="sin dato","",INDEX(CODIFICACION!$E$2:$E$500,MATCH("D9.34|"&amp;CAPTURA!CT122,CODIFICACION!$F$2:$F$500,0))),"⚠"))</f>
        <v/>
      </c>
      <c r="BP122" t="str">
        <f>IF(CAPTURA!CU122="","",IFERROR(IF(INDEX(CODIFICACION!$E$2:$E$500,MATCH("D9.35|"&amp;CAPTURA!CU122,CODIFICACION!$F$2:$F$500,0))="sin dato","",INDEX(CODIFICACION!$E$2:$E$500,MATCH("D9.35|"&amp;CAPTURA!CU122,CODIFICACION!$F$2:$F$500,0))),"⚠"))</f>
        <v/>
      </c>
      <c r="BQ122" t="str">
        <f>IF(CAPTURA!CV122="","",IFERROR(IF(INDEX(CODIFICACION!$E$2:$E$500,MATCH("D10.36|"&amp;CAPTURA!CV122,CODIFICACION!$F$2:$F$500,0))="sin dato","",INDEX(CODIFICACION!$E$2:$E$500,MATCH("D10.36|"&amp;CAPTURA!CV122,CODIFICACION!$F$2:$F$500,0))),"⚠"))</f>
        <v/>
      </c>
      <c r="BR122" t="str">
        <f>IF(CAPTURA!CW122="","",IFERROR(IF(INDEX(CODIFICACION!$E$2:$E$500,MATCH("D10.37|"&amp;CAPTURA!CW122,CODIFICACION!$F$2:$F$500,0))="sin dato","",INDEX(CODIFICACION!$E$2:$E$500,MATCH("D10.37|"&amp;CAPTURA!CW122,CODIFICACION!$F$2:$F$500,0))),"⚠"))</f>
        <v/>
      </c>
      <c r="BS122" t="str">
        <f>IF(CAPTURA!CX122="","",IFERROR(IF(INDEX(CODIFICACION!$E$2:$E$500,MATCH("D10.36a|"&amp;CAPTURA!CX122,CODIFICACION!$F$2:$F$500,0))="sin dato","",INDEX(CODIFICACION!$E$2:$E$500,MATCH("D10.36a|"&amp;CAPTURA!CX122,CODIFICACION!$F$2:$F$500,0))),"⚠"))</f>
        <v/>
      </c>
      <c r="BT122" t="str">
        <f>IF(CAPTURA!CY122="","",IF(ISNUMBER(SEARCH("Ninguno",CAPTURA!CY122)),0,MIN(100,ROUND((LEN(CAPTURA!CY122)-LEN(SUBSTITUTE(CAPTURA!CY122,";",""))+1)/6*100,1))))</f>
        <v/>
      </c>
      <c r="BU122" t="str">
        <f>IF(CAPTURA!DA122="","",IFERROR(IF(INDEX(CODIFICACION!$E$2:$E$500,MATCH("D11.39a|"&amp;CAPTURA!DA122,CODIFICACION!$F$2:$F$500,0))="sin dato","",INDEX(CODIFICACION!$E$2:$E$500,MATCH("D11.39a|"&amp;CAPTURA!DA122,CODIFICACION!$F$2:$F$500,0))),"⚠"))</f>
        <v/>
      </c>
      <c r="BV122" t="str">
        <f>IF(CAPTURA!DB122="","",IFERROR(IF(INDEX(CODIFICACION!$E$2:$E$500,MATCH("D12.42|"&amp;CAPTURA!DB122,CODIFICACION!$F$2:$F$500,0))="sin dato","",INDEX(CODIFICACION!$E$2:$E$500,MATCH("D12.42|"&amp;CAPTURA!DB122,CODIFICACION!$F$2:$F$500,0))),"⚠"))</f>
        <v/>
      </c>
      <c r="BW122" t="str">
        <f>IF(CAPTURA!DC122="","",IFERROR(IF(INDEX(CODIFICACION!$E$2:$E$500,MATCH("D13.45|"&amp;CAPTURA!DC122,CODIFICACION!$F$2:$F$500,0))="sin dato","",INDEX(CODIFICACION!$E$2:$E$500,MATCH("D13.45|"&amp;CAPTURA!DC122,CODIFICACION!$F$2:$F$500,0))),"⚠"))</f>
        <v/>
      </c>
      <c r="BX122" t="str">
        <f>IF(CAPTURA!DD122="","",IFERROR(IF(INDEX(CODIFICACION!$E$2:$E$500,MATCH("D14.51|"&amp;CAPTURA!DD122,CODIFICACION!$F$2:$F$500,0))="sin dato","",INDEX(CODIFICACION!$E$2:$E$500,MATCH("D14.51|"&amp;CAPTURA!DD122,CODIFICACION!$F$2:$F$500,0))),"⚠"))</f>
        <v/>
      </c>
      <c r="BY122" t="str">
        <f>IF(CAPTURA!DE122="","",IFERROR(IF(INDEX(CODIFICACION!$E$2:$E$500,MATCH("D15.58|"&amp;CAPTURA!DE122,CODIFICACION!$F$2:$F$500,0))="sin dato","",INDEX(CODIFICACION!$E$2:$E$500,MATCH("D15.58|"&amp;CAPTURA!DE122,CODIFICACION!$F$2:$F$500,0))),"⚠"))</f>
        <v/>
      </c>
      <c r="BZ122" t="str">
        <f>IF(CAPTURA!DF122="","",IFERROR(IF(INDEX(CODIFICACION!$E$2:$E$500,MATCH("PP1|"&amp;CAPTURA!DF122,CODIFICACION!$F$2:$F$500,0))="sin dato","",INDEX(CODIFICACION!$E$2:$E$500,MATCH("PP1|"&amp;CAPTURA!DF122,CODIFICACION!$F$2:$F$500,0))),"⚠"))</f>
        <v/>
      </c>
      <c r="CA122" t="str">
        <f>IF(CAPTURA!DG122="","",IFERROR(IF(INDEX(CODIFICACION!$E$2:$E$500,MATCH("PP2|"&amp;CAPTURA!DG122,CODIFICACION!$F$2:$F$500,0))="sin dato","",INDEX(CODIFICACION!$E$2:$E$500,MATCH("PP2|"&amp;CAPTURA!DG122,CODIFICACION!$F$2:$F$500,0))),"⚠"))</f>
        <v/>
      </c>
      <c r="CB122" t="str">
        <f t="shared" si="33"/>
        <v/>
      </c>
      <c r="CC122" t="str">
        <f t="shared" si="34"/>
        <v/>
      </c>
      <c r="CD122" t="str">
        <f t="shared" si="35"/>
        <v/>
      </c>
      <c r="CE122" t="str">
        <f t="shared" si="36"/>
        <v/>
      </c>
      <c r="CF122" t="str">
        <f t="shared" si="37"/>
        <v/>
      </c>
      <c r="CG122" t="str">
        <f t="shared" si="38"/>
        <v/>
      </c>
      <c r="CH122" t="str">
        <f t="shared" si="39"/>
        <v/>
      </c>
      <c r="CI122" t="str">
        <f t="shared" si="40"/>
        <v/>
      </c>
      <c r="CJ122" t="str">
        <f t="shared" si="41"/>
        <v/>
      </c>
      <c r="CK122" t="str">
        <f t="shared" si="42"/>
        <v/>
      </c>
      <c r="CL122" t="str">
        <f t="shared" si="43"/>
        <v/>
      </c>
    </row>
    <row r="123" spans="1:90" x14ac:dyDescent="0.3">
      <c r="A123">
        <f>CAPTURA!A123</f>
        <v>20601537771</v>
      </c>
      <c r="B123">
        <f>CAPTURA!C123</f>
        <v>0</v>
      </c>
      <c r="C123" t="str">
        <f>IF(CAPTURA!M123="","",ROUND((ISNUMBER(SEARCH("Alemania",CAPTURA!M123))+ISNUMBER(SEARCH("Bélgica",CAPTURA!M123))+ISNUMBER(SEARCH("Países Bajos",CAPTURA!M123))+ISNUMBER(SEARCH("Francia",CAPTURA!M123))+ISNUMBER(SEARCH("Italia",CAPTURA!M123))+ISNUMBER(SEARCH("España",CAPTURA!M123))+ISNUMBER(SEARCH("Suecia",CAPTURA!M123))+ISNUMBER(SEARCH("Dinamarca",CAPTURA!M123)))/((LEN(CAPTURA!M123)-LEN(SUBSTITUTE(CAPTURA!M123,";","")))+1)*100,1))</f>
        <v/>
      </c>
      <c r="D123" t="str">
        <f>IF(CAPTURA!AE123="","",IFERROR(IF(INDEX(CODIFICACION!$E$2:$E$500,MATCH("P8|"&amp;CAPTURA!AE123,CODIFICACION!$F$2:$F$500,0))="sin dato","",INDEX(CODIFICACION!$E$2:$E$500,MATCH("P8|"&amp;CAPTURA!AE123,CODIFICACION!$F$2:$F$500,0))),"⚠"))</f>
        <v/>
      </c>
      <c r="E123" t="str">
        <f>IF(CAPTURA!AG123="","",IFERROR(IF(INDEX(CODIFICACION!$E$2:$E$500,MATCH("P10|"&amp;CAPTURA!AG123,CODIFICACION!$F$2:$F$500,0))="sin dato","",INDEX(CODIFICACION!$E$2:$E$500,MATCH("P10|"&amp;CAPTURA!AG123,CODIFICACION!$F$2:$F$500,0))),"⚠"))</f>
        <v/>
      </c>
      <c r="F123" t="str">
        <f>IF(CAPTURA!AJ123="","",IFERROR(IF(INDEX(CODIFICACION!$E$2:$E$500,MATCH("P13|"&amp;CAPTURA!AJ123,CODIFICACION!$F$2:$F$500,0))="sin dato","",INDEX(CODIFICACION!$E$2:$E$500,MATCH("P13|"&amp;CAPTURA!AJ123,CODIFICACION!$F$2:$F$500,0))),"⚠"))</f>
        <v/>
      </c>
      <c r="G123" t="str">
        <f>IF(CAPTURA!AK123="","",IFERROR(IF(INDEX(CODIFICACION!$E$2:$E$500,MATCH("P14|"&amp;CAPTURA!AK123,CODIFICACION!$F$2:$F$500,0))="sin dato","",INDEX(CODIFICACION!$E$2:$E$500,MATCH("P14|"&amp;CAPTURA!AK123,CODIFICACION!$F$2:$F$500,0))),"⚠"))</f>
        <v/>
      </c>
      <c r="H123" t="str">
        <f>IF(CAPTURA!AL123="","",IFERROR(IF(INDEX(CODIFICACION!$E$2:$E$500,MATCH("D1.1|"&amp;CAPTURA!AL123,CODIFICACION!$F$2:$F$500,0))="sin dato","",INDEX(CODIFICACION!$E$2:$E$500,MATCH("D1.1|"&amp;CAPTURA!AL123,CODIFICACION!$F$2:$F$500,0))),"⚠"))</f>
        <v/>
      </c>
      <c r="I123" t="str">
        <f>IF(CAPTURA!AN123="","",IFERROR(IF(INDEX(CODIFICACION!$E$2:$E$500,MATCH("D1.3|"&amp;CAPTURA!AN123,CODIFICACION!$F$2:$F$500,0))="sin dato","",INDEX(CODIFICACION!$E$2:$E$500,MATCH("D1.3|"&amp;CAPTURA!AN123,CODIFICACION!$F$2:$F$500,0))),"⚠"))</f>
        <v/>
      </c>
      <c r="J123" t="str">
        <f>IF(CAPTURA!AO123="","",IFERROR(IF(INDEX(CODIFICACION!$E$2:$E$500,MATCH("D1.4|"&amp;CAPTURA!AO123,CODIFICACION!$F$2:$F$500,0))="sin dato","",INDEX(CODIFICACION!$E$2:$E$500,MATCH("D1.4|"&amp;CAPTURA!AO123,CODIFICACION!$F$2:$F$500,0))),"⚠"))</f>
        <v/>
      </c>
      <c r="K123" t="str">
        <f>IF(CAPTURA!AP123="","",IFERROR(IF(INDEX(CODIFICACION!$E$2:$E$500,MATCH("D1.3a|"&amp;CAPTURA!AP123,CODIFICACION!$F$2:$F$500,0))="sin dato","",INDEX(CODIFICACION!$E$2:$E$500,MATCH("D1.3a|"&amp;CAPTURA!AP123,CODIFICACION!$F$2:$F$500,0))),"⚠"))</f>
        <v/>
      </c>
      <c r="L123" t="str">
        <f>IF(CAPTURA!AQ123="","",IF(AND(ISNUMBER(CAPTURA!AQ123),CAPTURA!AQ123&gt;=0,CAPTURA!AQ123&lt;=4),CAPTURA!AQ123*25,"⚠"))</f>
        <v/>
      </c>
      <c r="M123" t="str">
        <f>IF(CAPTURA!AR123="","",IF(ISNUMBER(CAPTURA!AR123),MAX(0,MIN(100,CAPTURA!AR123)),"⚠"))</f>
        <v/>
      </c>
      <c r="N123" t="str">
        <f>IF(CAPTURA!AS123="","",IF(AND(ISNUMBER(CAPTURA!AS123),CAPTURA!AS123&gt;=0,CAPTURA!AS123&lt;=4),CAPTURA!AS123*25,"⚠"))</f>
        <v/>
      </c>
      <c r="O123" t="str">
        <f>IF(CAPTURA!AT123="","",IFERROR(IF(INDEX(CODIFICACION!$E$2:$E$500,MATCH("D2.8|"&amp;CAPTURA!AT123,CODIFICACION!$F$2:$F$500,0))="sin dato","",INDEX(CODIFICACION!$E$2:$E$500,MATCH("D2.8|"&amp;CAPTURA!AT123,CODIFICACION!$F$2:$F$500,0))),"⚠"))</f>
        <v/>
      </c>
      <c r="P123" t="str">
        <f>IF(CAPTURA!AU123="","",IFERROR(IF(INDEX(CODIFICACION!$E$2:$E$500,MATCH("D2.9|"&amp;CAPTURA!AU123,CODIFICACION!$F$2:$F$500,0))="sin dato","",INDEX(CODIFICACION!$E$2:$E$500,MATCH("D2.9|"&amp;CAPTURA!AU123,CODIFICACION!$F$2:$F$500,0))),"⚠"))</f>
        <v/>
      </c>
      <c r="Q123" t="str">
        <f>IF(CAPTURA!AV123="","",IFERROR(IF(INDEX(CODIFICACION!$E$2:$E$500,MATCH("D2.10|"&amp;CAPTURA!AV123,CODIFICACION!$F$2:$F$500,0))="sin dato","",INDEX(CODIFICACION!$E$2:$E$500,MATCH("D2.10|"&amp;CAPTURA!AV123,CODIFICACION!$F$2:$F$500,0))),"⚠"))</f>
        <v/>
      </c>
      <c r="R123" t="str">
        <f>IF(CAPTURA!AW123="","",IFERROR(IF(INDEX(CODIFICACION!$E$2:$E$500,MATCH("D2.5a|"&amp;CAPTURA!AW123,CODIFICACION!$F$2:$F$500,0))="sin dato","",INDEX(CODIFICACION!$E$2:$E$500,MATCH("D2.5a|"&amp;CAPTURA!AW123,CODIFICACION!$F$2:$F$500,0))),"⚠"))</f>
        <v/>
      </c>
      <c r="S123" t="str">
        <f>IF(CAPTURA!AX123="","",IFERROR(IF(INDEX(CODIFICACION!$E$2:$E$500,MATCH("D2.5b|"&amp;CAPTURA!AX123,CODIFICACION!$F$2:$F$500,0))="sin dato","",INDEX(CODIFICACION!$E$2:$E$500,MATCH("D2.5b|"&amp;CAPTURA!AX123,CODIFICACION!$F$2:$F$500,0))),"⚠"))</f>
        <v/>
      </c>
      <c r="T123" t="str">
        <f>IF(CAPTURA!AY123="","",IF(ISNUMBER(CAPTURA!AY123),MAX(0,MIN(100,CAPTURA!AY123)),"⚠"))</f>
        <v/>
      </c>
      <c r="U123" t="str">
        <f>IF(CAPTURA!AZ123="","",IFERROR(IF(INDEX(CODIFICACION!$E$2:$E$500,MATCH("D3.12|"&amp;CAPTURA!AZ123,CODIFICACION!$F$2:$F$500,0))="sin dato","",INDEX(CODIFICACION!$E$2:$E$500,MATCH("D3.12|"&amp;CAPTURA!AZ123,CODIFICACION!$F$2:$F$500,0))),"⚠"))</f>
        <v/>
      </c>
      <c r="V123" t="str">
        <f>IF(CAPTURA!BA123="","",IF(AND(ISNUMBER(CAPTURA!BA123),CAPTURA!BA123&gt;=0,CAPTURA!BA123&lt;=4),CAPTURA!BA123*25,"⚠"))</f>
        <v/>
      </c>
      <c r="W123" t="str">
        <f>IF(CAPTURA!BB123="","",IFERROR(IF(INDEX(CODIFICACION!$E$2:$E$500,MATCH("D3.14|"&amp;CAPTURA!BB123,CODIFICACION!$F$2:$F$500,0))="sin dato","",INDEX(CODIFICACION!$E$2:$E$500,MATCH("D3.14|"&amp;CAPTURA!BB123,CODIFICACION!$F$2:$F$500,0))),"⚠"))</f>
        <v/>
      </c>
      <c r="X123" t="str">
        <f>IF(CAPTURA!BC123="","",IFERROR(IF(INDEX(CODIFICACION!$E$2:$E$500,MATCH("D3.14a|"&amp;CAPTURA!BC123,CODIFICACION!$F$2:$F$500,0))="sin dato","",INDEX(CODIFICACION!$E$2:$E$500,MATCH("D3.14a|"&amp;CAPTURA!BC123,CODIFICACION!$F$2:$F$500,0))),"⚠"))</f>
        <v/>
      </c>
      <c r="Y123" t="str">
        <f>IF(CAPTURA!BD123="","",IFERROR(IF(INDEX(CODIFICACION!$E$2:$E$500,MATCH("D3.14b|"&amp;CAPTURA!BD123,CODIFICACION!$F$2:$F$500,0))="sin dato","",INDEX(CODIFICACION!$E$2:$E$500,MATCH("D3.14b|"&amp;CAPTURA!BD123,CODIFICACION!$F$2:$F$500,0))),"⚠"))</f>
        <v/>
      </c>
      <c r="Z123" t="str">
        <f>IF(CAPTURA!BE123="","",IFERROR(IF(INDEX(CODIFICACION!$E$2:$E$500,MATCH("D3.14c|"&amp;CAPTURA!BE123,CODIFICACION!$F$2:$F$500,0))="sin dato","",INDEX(CODIFICACION!$E$2:$E$500,MATCH("D3.14c|"&amp;CAPTURA!BE123,CODIFICACION!$F$2:$F$500,0))),"⚠"))</f>
        <v/>
      </c>
      <c r="AA123" t="str">
        <f>IF(CAPTURA!BF123="","",IFERROR(IF(INDEX(CODIFICACION!$E$2:$E$500,MATCH("D3.14d|"&amp;CAPTURA!BF123,CODIFICACION!$F$2:$F$500,0))="sin dato","",INDEX(CODIFICACION!$E$2:$E$500,MATCH("D3.14d|"&amp;CAPTURA!BF123,CODIFICACION!$F$2:$F$500,0))),"⚠"))</f>
        <v/>
      </c>
      <c r="AB123" t="str">
        <f>IF(CAPTURA!BG123="","",IFERROR(IF(INDEX(CODIFICACION!$E$2:$E$500,MATCH("D3.14e|"&amp;CAPTURA!BG123,CODIFICACION!$F$2:$F$500,0))="sin dato","",INDEX(CODIFICACION!$E$2:$E$500,MATCH("D3.14e|"&amp;CAPTURA!BG123,CODIFICACION!$F$2:$F$500,0))),"⚠"))</f>
        <v/>
      </c>
      <c r="AC123" t="str">
        <f>IF(CAPTURA!BH123="","",IFERROR(IF(INDEX(CODIFICACION!$E$2:$E$500,MATCH("D3.14f|"&amp;CAPTURA!BH123,CODIFICACION!$F$2:$F$500,0))="sin dato","",INDEX(CODIFICACION!$E$2:$E$500,MATCH("D3.14f|"&amp;CAPTURA!BH123,CODIFICACION!$F$2:$F$500,0))),"⚠"))</f>
        <v/>
      </c>
      <c r="AD123" t="str">
        <f>IF(CAPTURA!BI123="","",IFERROR(IF(INDEX(CODIFICACION!$E$2:$E$500,MATCH("D3.14g|"&amp;CAPTURA!BI123,CODIFICACION!$F$2:$F$500,0))="sin dato","",INDEX(CODIFICACION!$E$2:$E$500,MATCH("D3.14g|"&amp;CAPTURA!BI123,CODIFICACION!$F$2:$F$500,0))),"⚠"))</f>
        <v/>
      </c>
      <c r="AE123" t="str">
        <f>IF(CAPTURA!BJ123="","",IFERROR(IF(INDEX(CODIFICACION!$E$2:$E$500,MATCH("D3.14h|"&amp;CAPTURA!BJ123,CODIFICACION!$F$2:$F$500,0))="sin dato","",INDEX(CODIFICACION!$E$2:$E$500,MATCH("D3.14h|"&amp;CAPTURA!BJ123,CODIFICACION!$F$2:$F$500,0))),"⚠"))</f>
        <v/>
      </c>
      <c r="AF123" t="str">
        <f>IF(CAPTURA!BK123="","",IFERROR(IF(INDEX(CODIFICACION!$E$2:$E$500,MATCH("D3.14i|"&amp;CAPTURA!BK123,CODIFICACION!$F$2:$F$500,0))="sin dato","",INDEX(CODIFICACION!$E$2:$E$500,MATCH("D3.14i|"&amp;CAPTURA!BK123,CODIFICACION!$F$2:$F$500,0))),"⚠"))</f>
        <v/>
      </c>
      <c r="AG123" t="str">
        <f>IF(CAPTURA!BL123="","",IFERROR(IF(INDEX(CODIFICACION!$E$2:$E$500,MATCH("D4.15|"&amp;CAPTURA!BL123,CODIFICACION!$F$2:$F$500,0))="sin dato","",INDEX(CODIFICACION!$E$2:$E$500,MATCH("D4.15|"&amp;CAPTURA!BL123,CODIFICACION!$F$2:$F$500,0))),"⚠"))</f>
        <v/>
      </c>
      <c r="AH123" t="str">
        <f>IF(CAPTURA!BM123="","",IF(AND(ISNUMBER(CAPTURA!BM123),CAPTURA!BM123&gt;=0,CAPTURA!BM123&lt;=4),CAPTURA!BM123*25,"⚠"))</f>
        <v/>
      </c>
      <c r="AI123" t="str">
        <f>IF(CAPTURA!BN123="","",IFERROR(IF(INDEX(CODIFICACION!$E$2:$E$500,MATCH("D4.17|"&amp;CAPTURA!BN123,CODIFICACION!$F$2:$F$500,0))="sin dato","",INDEX(CODIFICACION!$E$2:$E$500,MATCH("D4.17|"&amp;CAPTURA!BN123,CODIFICACION!$F$2:$F$500,0))),"⚠"))</f>
        <v/>
      </c>
      <c r="AJ123" t="str">
        <f>IF(CAPTURA!BO123="","",IFERROR(IF(INDEX(CODIFICACION!$E$2:$E$500,MATCH("D4.15a|"&amp;CAPTURA!BO123,CODIFICACION!$F$2:$F$500,0))="sin dato","",INDEX(CODIFICACION!$E$2:$E$500,MATCH("D4.15a|"&amp;CAPTURA!BO123,CODIFICACION!$F$2:$F$500,0))),"⚠"))</f>
        <v/>
      </c>
      <c r="AK123" t="str">
        <f>IF(CAPTURA!BP123="","",IF(AND(ISNUMBER(CAPTURA!BP123),CAPTURA!BP123&gt;=0,CAPTURA!BP123&lt;=4),CAPTURA!BP123*25,"⚠"))</f>
        <v/>
      </c>
      <c r="AL123" t="str">
        <f>IF(CAPTURA!BQ123="","",IF(AND(ISNUMBER(CAPTURA!BQ123),CAPTURA!BQ123&gt;=0,CAPTURA!BQ123&lt;=4),CAPTURA!BQ123*25,"⚠"))</f>
        <v/>
      </c>
      <c r="AM123" t="str">
        <f>IF(CAPTURA!BR123="","",IFERROR(IF(INDEX(CODIFICACION!$E$2:$E$500,MATCH("D5.18b|"&amp;CAPTURA!BR123,CODIFICACION!$F$2:$F$500,0))="sin dato","",INDEX(CODIFICACION!$E$2:$E$500,MATCH("D5.18b|"&amp;CAPTURA!BR123,CODIFICACION!$F$2:$F$500,0))),"⚠"))</f>
        <v/>
      </c>
      <c r="AN123" t="str">
        <f>IF(CAPTURA!BS123="","",IFERROR(IF(INDEX(CODIFICACION!$E$2:$E$500,MATCH("D5.19|"&amp;CAPTURA!BS123,CODIFICACION!$F$2:$F$500,0))="sin dato","",INDEX(CODIFICACION!$E$2:$E$500,MATCH("D5.19|"&amp;CAPTURA!BS123,CODIFICACION!$F$2:$F$500,0))),"⚠"))</f>
        <v/>
      </c>
      <c r="AO123" t="str">
        <f>IF(CAPTURA!BT123="","",MIN(100,ROUND((LEN(CAPTURA!BT123)-LEN(SUBSTITUTE(CAPTURA!BT123,";",""))+1)/7*100,1)))</f>
        <v/>
      </c>
      <c r="AP123" t="str">
        <f>IF(CAPTURA!BU123="","",IFERROR(IF(INDEX(CODIFICACION!$E$2:$E$500,MATCH("D5.20|"&amp;CAPTURA!BU123,CODIFICACION!$F$2:$F$500,0))="sin dato","",INDEX(CODIFICACION!$E$2:$E$500,MATCH("D5.20|"&amp;CAPTURA!BU123,CODIFICACION!$F$2:$F$500,0))),"⚠"))</f>
        <v/>
      </c>
      <c r="AQ123" t="str">
        <f>IF(CAPTURA!BV123="","",IFERROR(IF(INDEX(CODIFICACION!$E$2:$E$500,MATCH("D5.21|"&amp;CAPTURA!BV123,CODIFICACION!$F$2:$F$500,0))="sin dato","",INDEX(CODIFICACION!$E$2:$E$500,MATCH("D5.21|"&amp;CAPTURA!BV123,CODIFICACION!$F$2:$F$500,0))),"⚠"))</f>
        <v/>
      </c>
      <c r="AR123" t="str">
        <f>IF(CAPTURA!BW123="","",IFERROR(IF(INDEX(CODIFICACION!$E$2:$E$500,MATCH("D5.21a|"&amp;CAPTURA!BW123,CODIFICACION!$F$2:$F$500,0))="sin dato","",INDEX(CODIFICACION!$E$2:$E$500,MATCH("D5.21a|"&amp;CAPTURA!BW123,CODIFICACION!$F$2:$F$500,0))),"⚠"))</f>
        <v/>
      </c>
      <c r="AS123" t="str">
        <f>IF(CAPTURA!BX123="","",IFERROR(IF(INDEX(CODIFICACION!$E$2:$E$500,MATCH("D5.21b|"&amp;CAPTURA!BX123,CODIFICACION!$F$2:$F$500,0))="sin dato","",INDEX(CODIFICACION!$E$2:$E$500,MATCH("D5.21b|"&amp;CAPTURA!BX123,CODIFICACION!$F$2:$F$500,0))),"⚠"))</f>
        <v/>
      </c>
      <c r="AT123" t="str">
        <f>IF(CAPTURA!BY123="","",IFERROR(IF(INDEX(CODIFICACION!$E$2:$E$500,MATCH("D6.22|"&amp;CAPTURA!BY123,CODIFICACION!$F$2:$F$500,0))="sin dato","",INDEX(CODIFICACION!$E$2:$E$500,MATCH("D6.22|"&amp;CAPTURA!BY123,CODIFICACION!$F$2:$F$500,0))),"⚠"))</f>
        <v/>
      </c>
      <c r="AU123" t="str">
        <f>IF(CAPTURA!BZ123="","",IFERROR(IF(INDEX(CODIFICACION!$E$2:$E$500,MATCH("D6.22a|"&amp;CAPTURA!BZ123,CODIFICACION!$F$2:$F$500,0))="sin dato","",INDEX(CODIFICACION!$E$2:$E$500,MATCH("D6.22a|"&amp;CAPTURA!BZ123,CODIFICACION!$F$2:$F$500,0))),"⚠"))</f>
        <v/>
      </c>
      <c r="AV123" t="str">
        <f>IF(CAPTURA!CA123="","",IFERROR(IF(INDEX(CODIFICACION!$E$2:$E$500,MATCH("D6.22b|"&amp;CAPTURA!CA123,CODIFICACION!$F$2:$F$500,0))="sin dato","",INDEX(CODIFICACION!$E$2:$E$500,MATCH("D6.22b|"&amp;CAPTURA!CA123,CODIFICACION!$F$2:$F$500,0))),"⚠"))</f>
        <v/>
      </c>
      <c r="AW123" t="str">
        <f>IF(CAPTURA!CB123="","",IFERROR(IF(INDEX(CODIFICACION!$E$2:$E$500,MATCH("D6.23|"&amp;CAPTURA!CB123,CODIFICACION!$F$2:$F$500,0))="sin dato","",INDEX(CODIFICACION!$E$2:$E$500,MATCH("D6.23|"&amp;CAPTURA!CB123,CODIFICACION!$F$2:$F$500,0))),"⚠"))</f>
        <v/>
      </c>
      <c r="AX123" t="str">
        <f>IF(CAPTURA!CC123="","",IFERROR(IF(INDEX(CODIFICACION!$E$2:$E$500,MATCH("D6.24|"&amp;CAPTURA!CC123,CODIFICACION!$F$2:$F$500,0))="sin dato","",INDEX(CODIFICACION!$E$2:$E$500,MATCH("D6.24|"&amp;CAPTURA!CC123,CODIFICACION!$F$2:$F$500,0))),"⚠"))</f>
        <v/>
      </c>
      <c r="AY123" t="str">
        <f>IF(CAPTURA!CD123="","",IFERROR(IF(INDEX(CODIFICACION!$E$2:$E$500,MATCH("D6.25|"&amp;CAPTURA!CD123,CODIFICACION!$F$2:$F$500,0))="sin dato","",INDEX(CODIFICACION!$E$2:$E$500,MATCH("D6.25|"&amp;CAPTURA!CD123,CODIFICACION!$F$2:$F$500,0))),"⚠"))</f>
        <v/>
      </c>
      <c r="AZ123" t="str">
        <f>IF(CAPTURA!CE123="","",IFERROR(IF(INDEX(CODIFICACION!$E$2:$E$500,MATCH("D6.25a|"&amp;CAPTURA!CE123,CODIFICACION!$F$2:$F$500,0))="sin dato","",INDEX(CODIFICACION!$E$2:$E$500,MATCH("D6.25a|"&amp;CAPTURA!CE123,CODIFICACION!$F$2:$F$500,0))),"⚠"))</f>
        <v/>
      </c>
      <c r="BA123" t="str">
        <f>IF(CAPTURA!CF123="","",IFERROR(IF(INDEX(CODIFICACION!$E$2:$E$500,MATCH("D6.25b|"&amp;CAPTURA!CF123,CODIFICACION!$F$2:$F$500,0))="sin dato","",INDEX(CODIFICACION!$E$2:$E$500,MATCH("D6.25b|"&amp;CAPTURA!CF123,CODIFICACION!$F$2:$F$500,0))),"⚠"))</f>
        <v/>
      </c>
      <c r="BB123" t="str">
        <f>IF(CAPTURA!CG123="","",IFERROR(IF(INDEX(CODIFICACION!$E$2:$E$500,MATCH("D6.22c|"&amp;CAPTURA!CG123,CODIFICACION!$F$2:$F$500,0))="sin dato","",INDEX(CODIFICACION!$E$2:$E$500,MATCH("D6.22c|"&amp;CAPTURA!CG123,CODIFICACION!$F$2:$F$500,0))),"⚠"))</f>
        <v/>
      </c>
      <c r="BC123" t="str">
        <f>IF(CAPTURA!CH123="","",IFERROR(IF(INDEX(CODIFICACION!$E$2:$E$500,MATCH("D7.26|"&amp;CAPTURA!CH123,CODIFICACION!$F$2:$F$500,0))="sin dato","",INDEX(CODIFICACION!$E$2:$E$500,MATCH("D7.26|"&amp;CAPTURA!CH123,CODIFICACION!$F$2:$F$500,0))),"⚠"))</f>
        <v/>
      </c>
      <c r="BD123" t="str">
        <f>IF(CAPTURA!CI123="","",IFERROR(IF(INDEX(CODIFICACION!$E$2:$E$500,MATCH("D7.27|"&amp;CAPTURA!CI123,CODIFICACION!$F$2:$F$500,0))="sin dato","",INDEX(CODIFICACION!$E$2:$E$500,MATCH("D7.27|"&amp;CAPTURA!CI123,CODIFICACION!$F$2:$F$500,0))),"⚠"))</f>
        <v/>
      </c>
      <c r="BE123" t="str">
        <f>IF(CAPTURA!CJ123="","",IFERROR(IF(INDEX(CODIFICACION!$E$2:$E$500,MATCH("D7.28|"&amp;CAPTURA!CJ123,CODIFICACION!$F$2:$F$500,0))="sin dato","",INDEX(CODIFICACION!$E$2:$E$500,MATCH("D7.28|"&amp;CAPTURA!CJ123,CODIFICACION!$F$2:$F$500,0))),"⚠"))</f>
        <v/>
      </c>
      <c r="BF123" t="str">
        <f>IF(CAPTURA!CK123="","",IFERROR(IF(INDEX(CODIFICACION!$E$2:$E$500,MATCH("D7.28b|"&amp;CAPTURA!CK123,CODIFICACION!$F$2:$F$500,0))="sin dato","",INDEX(CODIFICACION!$E$2:$E$500,MATCH("D7.28b|"&amp;CAPTURA!CK123,CODIFICACION!$F$2:$F$500,0))),"⚠"))</f>
        <v/>
      </c>
      <c r="BG123" t="str">
        <f>IF(CAPTURA!CL123="","",MIN(100,ROUND((LEN(CAPTURA!CL123)-LEN(SUBSTITUTE(CAPTURA!CL123,";",""))+1)/8*100,1)))</f>
        <v/>
      </c>
      <c r="BH123" t="str">
        <f>IF(CAPTURA!CM123="","",IFERROR(IF(INDEX(CODIFICACION!$E$2:$E$500,MATCH("D7.26a|"&amp;CAPTURA!CM123,CODIFICACION!$F$2:$F$500,0))="sin dato","",INDEX(CODIFICACION!$E$2:$E$500,MATCH("D7.26a|"&amp;CAPTURA!CM123,CODIFICACION!$F$2:$F$500,0))),"⚠"))</f>
        <v/>
      </c>
      <c r="BI123" t="str">
        <f>IF(CAPTURA!CN123="","",IFERROR(IF(INDEX(CODIFICACION!$E$2:$E$500,MATCH("D7.26b|"&amp;CAPTURA!CN123,CODIFICACION!$F$2:$F$500,0))="sin dato","",INDEX(CODIFICACION!$E$2:$E$500,MATCH("D7.26b|"&amp;CAPTURA!CN123,CODIFICACION!$F$2:$F$500,0))),"⚠"))</f>
        <v/>
      </c>
      <c r="BJ123" t="str">
        <f>IF(CAPTURA!CO123="","",IF(AND(ISNUMBER(CAPTURA!CO123),CAPTURA!CO123&gt;=0,CAPTURA!CO123&lt;=4),CAPTURA!CO123*25,"⚠"))</f>
        <v/>
      </c>
      <c r="BK123" t="str">
        <f>IF(CAPTURA!CP123="","",IF(ISNUMBER(CAPTURA!CP123),MAX(0,MIN(100,CAPTURA!CP123)),"⚠"))</f>
        <v/>
      </c>
      <c r="BL123" t="str">
        <f>IF(CAPTURA!CQ123="","",IFERROR(IF(INDEX(CODIFICACION!$E$2:$E$500,MATCH("D8.31|"&amp;CAPTURA!CQ123,CODIFICACION!$F$2:$F$500,0))="sin dato","",INDEX(CODIFICACION!$E$2:$E$500,MATCH("D8.31|"&amp;CAPTURA!CQ123,CODIFICACION!$F$2:$F$500,0))),"⚠"))</f>
        <v/>
      </c>
      <c r="BM123" t="str">
        <f>IF(CAPTURA!CR123="","",IFERROR(IF(INDEX(CODIFICACION!$E$2:$E$500,MATCH("D8.32|"&amp;CAPTURA!CR123,CODIFICACION!$F$2:$F$500,0))="sin dato","",INDEX(CODIFICACION!$E$2:$E$500,MATCH("D8.32|"&amp;CAPTURA!CR123,CODIFICACION!$F$2:$F$500,0))),"⚠"))</f>
        <v/>
      </c>
      <c r="BN123" t="str">
        <f>IF(CAPTURA!CS123="","",IFERROR(IF(INDEX(CODIFICACION!$E$2:$E$500,MATCH("D9.33|"&amp;CAPTURA!CS123,CODIFICACION!$F$2:$F$500,0))="sin dato","",INDEX(CODIFICACION!$E$2:$E$500,MATCH("D9.33|"&amp;CAPTURA!CS123,CODIFICACION!$F$2:$F$500,0))),"⚠"))</f>
        <v/>
      </c>
      <c r="BO123" t="str">
        <f>IF(CAPTURA!CT123="","",IFERROR(IF(INDEX(CODIFICACION!$E$2:$E$500,MATCH("D9.34|"&amp;CAPTURA!CT123,CODIFICACION!$F$2:$F$500,0))="sin dato","",INDEX(CODIFICACION!$E$2:$E$500,MATCH("D9.34|"&amp;CAPTURA!CT123,CODIFICACION!$F$2:$F$500,0))),"⚠"))</f>
        <v/>
      </c>
      <c r="BP123" t="str">
        <f>IF(CAPTURA!CU123="","",IFERROR(IF(INDEX(CODIFICACION!$E$2:$E$500,MATCH("D9.35|"&amp;CAPTURA!CU123,CODIFICACION!$F$2:$F$500,0))="sin dato","",INDEX(CODIFICACION!$E$2:$E$500,MATCH("D9.35|"&amp;CAPTURA!CU123,CODIFICACION!$F$2:$F$500,0))),"⚠"))</f>
        <v/>
      </c>
      <c r="BQ123" t="str">
        <f>IF(CAPTURA!CV123="","",IFERROR(IF(INDEX(CODIFICACION!$E$2:$E$500,MATCH("D10.36|"&amp;CAPTURA!CV123,CODIFICACION!$F$2:$F$500,0))="sin dato","",INDEX(CODIFICACION!$E$2:$E$500,MATCH("D10.36|"&amp;CAPTURA!CV123,CODIFICACION!$F$2:$F$500,0))),"⚠"))</f>
        <v/>
      </c>
      <c r="BR123" t="str">
        <f>IF(CAPTURA!CW123="","",IFERROR(IF(INDEX(CODIFICACION!$E$2:$E$500,MATCH("D10.37|"&amp;CAPTURA!CW123,CODIFICACION!$F$2:$F$500,0))="sin dato","",INDEX(CODIFICACION!$E$2:$E$500,MATCH("D10.37|"&amp;CAPTURA!CW123,CODIFICACION!$F$2:$F$500,0))),"⚠"))</f>
        <v/>
      </c>
      <c r="BS123" t="str">
        <f>IF(CAPTURA!CX123="","",IFERROR(IF(INDEX(CODIFICACION!$E$2:$E$500,MATCH("D10.36a|"&amp;CAPTURA!CX123,CODIFICACION!$F$2:$F$500,0))="sin dato","",INDEX(CODIFICACION!$E$2:$E$500,MATCH("D10.36a|"&amp;CAPTURA!CX123,CODIFICACION!$F$2:$F$500,0))),"⚠"))</f>
        <v/>
      </c>
      <c r="BT123" t="str">
        <f>IF(CAPTURA!CY123="","",IF(ISNUMBER(SEARCH("Ninguno",CAPTURA!CY123)),0,MIN(100,ROUND((LEN(CAPTURA!CY123)-LEN(SUBSTITUTE(CAPTURA!CY123,";",""))+1)/6*100,1))))</f>
        <v/>
      </c>
      <c r="BU123" t="str">
        <f>IF(CAPTURA!DA123="","",IFERROR(IF(INDEX(CODIFICACION!$E$2:$E$500,MATCH("D11.39a|"&amp;CAPTURA!DA123,CODIFICACION!$F$2:$F$500,0))="sin dato","",INDEX(CODIFICACION!$E$2:$E$500,MATCH("D11.39a|"&amp;CAPTURA!DA123,CODIFICACION!$F$2:$F$500,0))),"⚠"))</f>
        <v/>
      </c>
      <c r="BV123" t="str">
        <f>IF(CAPTURA!DB123="","",IFERROR(IF(INDEX(CODIFICACION!$E$2:$E$500,MATCH("D12.42|"&amp;CAPTURA!DB123,CODIFICACION!$F$2:$F$500,0))="sin dato","",INDEX(CODIFICACION!$E$2:$E$500,MATCH("D12.42|"&amp;CAPTURA!DB123,CODIFICACION!$F$2:$F$500,0))),"⚠"))</f>
        <v/>
      </c>
      <c r="BW123" t="str">
        <f>IF(CAPTURA!DC123="","",IFERROR(IF(INDEX(CODIFICACION!$E$2:$E$500,MATCH("D13.45|"&amp;CAPTURA!DC123,CODIFICACION!$F$2:$F$500,0))="sin dato","",INDEX(CODIFICACION!$E$2:$E$500,MATCH("D13.45|"&amp;CAPTURA!DC123,CODIFICACION!$F$2:$F$500,0))),"⚠"))</f>
        <v/>
      </c>
      <c r="BX123" t="str">
        <f>IF(CAPTURA!DD123="","",IFERROR(IF(INDEX(CODIFICACION!$E$2:$E$500,MATCH("D14.51|"&amp;CAPTURA!DD123,CODIFICACION!$F$2:$F$500,0))="sin dato","",INDEX(CODIFICACION!$E$2:$E$500,MATCH("D14.51|"&amp;CAPTURA!DD123,CODIFICACION!$F$2:$F$500,0))),"⚠"))</f>
        <v/>
      </c>
      <c r="BY123" t="str">
        <f>IF(CAPTURA!DE123="","",IFERROR(IF(INDEX(CODIFICACION!$E$2:$E$500,MATCH("D15.58|"&amp;CAPTURA!DE123,CODIFICACION!$F$2:$F$500,0))="sin dato","",INDEX(CODIFICACION!$E$2:$E$500,MATCH("D15.58|"&amp;CAPTURA!DE123,CODIFICACION!$F$2:$F$500,0))),"⚠"))</f>
        <v/>
      </c>
      <c r="BZ123" t="str">
        <f>IF(CAPTURA!DF123="","",IFERROR(IF(INDEX(CODIFICACION!$E$2:$E$500,MATCH("PP1|"&amp;CAPTURA!DF123,CODIFICACION!$F$2:$F$500,0))="sin dato","",INDEX(CODIFICACION!$E$2:$E$500,MATCH("PP1|"&amp;CAPTURA!DF123,CODIFICACION!$F$2:$F$500,0))),"⚠"))</f>
        <v/>
      </c>
      <c r="CA123" t="str">
        <f>IF(CAPTURA!DG123="","",IFERROR(IF(INDEX(CODIFICACION!$E$2:$E$500,MATCH("PP2|"&amp;CAPTURA!DG123,CODIFICACION!$F$2:$F$500,0))="sin dato","",INDEX(CODIFICACION!$E$2:$E$500,MATCH("PP2|"&amp;CAPTURA!DG123,CODIFICACION!$F$2:$F$500,0))),"⚠"))</f>
        <v/>
      </c>
      <c r="CB123" t="str">
        <f t="shared" si="33"/>
        <v/>
      </c>
      <c r="CC123" t="str">
        <f t="shared" si="34"/>
        <v/>
      </c>
      <c r="CD123" t="str">
        <f t="shared" si="35"/>
        <v/>
      </c>
      <c r="CE123" t="str">
        <f t="shared" si="36"/>
        <v/>
      </c>
      <c r="CF123" t="str">
        <f t="shared" si="37"/>
        <v/>
      </c>
      <c r="CG123" t="str">
        <f t="shared" si="38"/>
        <v/>
      </c>
      <c r="CH123" t="str">
        <f t="shared" si="39"/>
        <v/>
      </c>
      <c r="CI123" t="str">
        <f t="shared" si="40"/>
        <v/>
      </c>
      <c r="CJ123" t="str">
        <f t="shared" si="41"/>
        <v/>
      </c>
      <c r="CK123" t="str">
        <f t="shared" si="42"/>
        <v/>
      </c>
      <c r="CL123" t="str">
        <f t="shared" si="43"/>
        <v/>
      </c>
    </row>
    <row r="124" spans="1:90" x14ac:dyDescent="0.3">
      <c r="A124">
        <f>CAPTURA!A124</f>
        <v>20601558204</v>
      </c>
      <c r="B124">
        <f>CAPTURA!C124</f>
        <v>0</v>
      </c>
      <c r="C124" t="str">
        <f>IF(CAPTURA!M124="","",ROUND((ISNUMBER(SEARCH("Alemania",CAPTURA!M124))+ISNUMBER(SEARCH("Bélgica",CAPTURA!M124))+ISNUMBER(SEARCH("Países Bajos",CAPTURA!M124))+ISNUMBER(SEARCH("Francia",CAPTURA!M124))+ISNUMBER(SEARCH("Italia",CAPTURA!M124))+ISNUMBER(SEARCH("España",CAPTURA!M124))+ISNUMBER(SEARCH("Suecia",CAPTURA!M124))+ISNUMBER(SEARCH("Dinamarca",CAPTURA!M124)))/((LEN(CAPTURA!M124)-LEN(SUBSTITUTE(CAPTURA!M124,";","")))+1)*100,1))</f>
        <v/>
      </c>
      <c r="D124" t="str">
        <f>IF(CAPTURA!AE124="","",IFERROR(IF(INDEX(CODIFICACION!$E$2:$E$500,MATCH("P8|"&amp;CAPTURA!AE124,CODIFICACION!$F$2:$F$500,0))="sin dato","",INDEX(CODIFICACION!$E$2:$E$500,MATCH("P8|"&amp;CAPTURA!AE124,CODIFICACION!$F$2:$F$500,0))),"⚠"))</f>
        <v/>
      </c>
      <c r="E124" t="str">
        <f>IF(CAPTURA!AG124="","",IFERROR(IF(INDEX(CODIFICACION!$E$2:$E$500,MATCH("P10|"&amp;CAPTURA!AG124,CODIFICACION!$F$2:$F$500,0))="sin dato","",INDEX(CODIFICACION!$E$2:$E$500,MATCH("P10|"&amp;CAPTURA!AG124,CODIFICACION!$F$2:$F$500,0))),"⚠"))</f>
        <v/>
      </c>
      <c r="F124" t="str">
        <f>IF(CAPTURA!AJ124="","",IFERROR(IF(INDEX(CODIFICACION!$E$2:$E$500,MATCH("P13|"&amp;CAPTURA!AJ124,CODIFICACION!$F$2:$F$500,0))="sin dato","",INDEX(CODIFICACION!$E$2:$E$500,MATCH("P13|"&amp;CAPTURA!AJ124,CODIFICACION!$F$2:$F$500,0))),"⚠"))</f>
        <v/>
      </c>
      <c r="G124" t="str">
        <f>IF(CAPTURA!AK124="","",IFERROR(IF(INDEX(CODIFICACION!$E$2:$E$500,MATCH("P14|"&amp;CAPTURA!AK124,CODIFICACION!$F$2:$F$500,0))="sin dato","",INDEX(CODIFICACION!$E$2:$E$500,MATCH("P14|"&amp;CAPTURA!AK124,CODIFICACION!$F$2:$F$500,0))),"⚠"))</f>
        <v/>
      </c>
      <c r="H124" t="str">
        <f>IF(CAPTURA!AL124="","",IFERROR(IF(INDEX(CODIFICACION!$E$2:$E$500,MATCH("D1.1|"&amp;CAPTURA!AL124,CODIFICACION!$F$2:$F$500,0))="sin dato","",INDEX(CODIFICACION!$E$2:$E$500,MATCH("D1.1|"&amp;CAPTURA!AL124,CODIFICACION!$F$2:$F$500,0))),"⚠"))</f>
        <v/>
      </c>
      <c r="I124" t="str">
        <f>IF(CAPTURA!AN124="","",IFERROR(IF(INDEX(CODIFICACION!$E$2:$E$500,MATCH("D1.3|"&amp;CAPTURA!AN124,CODIFICACION!$F$2:$F$500,0))="sin dato","",INDEX(CODIFICACION!$E$2:$E$500,MATCH("D1.3|"&amp;CAPTURA!AN124,CODIFICACION!$F$2:$F$500,0))),"⚠"))</f>
        <v/>
      </c>
      <c r="J124" t="str">
        <f>IF(CAPTURA!AO124="","",IFERROR(IF(INDEX(CODIFICACION!$E$2:$E$500,MATCH("D1.4|"&amp;CAPTURA!AO124,CODIFICACION!$F$2:$F$500,0))="sin dato","",INDEX(CODIFICACION!$E$2:$E$500,MATCH("D1.4|"&amp;CAPTURA!AO124,CODIFICACION!$F$2:$F$500,0))),"⚠"))</f>
        <v/>
      </c>
      <c r="K124" t="str">
        <f>IF(CAPTURA!AP124="","",IFERROR(IF(INDEX(CODIFICACION!$E$2:$E$500,MATCH("D1.3a|"&amp;CAPTURA!AP124,CODIFICACION!$F$2:$F$500,0))="sin dato","",INDEX(CODIFICACION!$E$2:$E$500,MATCH("D1.3a|"&amp;CAPTURA!AP124,CODIFICACION!$F$2:$F$500,0))),"⚠"))</f>
        <v/>
      </c>
      <c r="L124" t="str">
        <f>IF(CAPTURA!AQ124="","",IF(AND(ISNUMBER(CAPTURA!AQ124),CAPTURA!AQ124&gt;=0,CAPTURA!AQ124&lt;=4),CAPTURA!AQ124*25,"⚠"))</f>
        <v/>
      </c>
      <c r="M124" t="str">
        <f>IF(CAPTURA!AR124="","",IF(ISNUMBER(CAPTURA!AR124),MAX(0,MIN(100,CAPTURA!AR124)),"⚠"))</f>
        <v/>
      </c>
      <c r="N124" t="str">
        <f>IF(CAPTURA!AS124="","",IF(AND(ISNUMBER(CAPTURA!AS124),CAPTURA!AS124&gt;=0,CAPTURA!AS124&lt;=4),CAPTURA!AS124*25,"⚠"))</f>
        <v/>
      </c>
      <c r="O124" t="str">
        <f>IF(CAPTURA!AT124="","",IFERROR(IF(INDEX(CODIFICACION!$E$2:$E$500,MATCH("D2.8|"&amp;CAPTURA!AT124,CODIFICACION!$F$2:$F$500,0))="sin dato","",INDEX(CODIFICACION!$E$2:$E$500,MATCH("D2.8|"&amp;CAPTURA!AT124,CODIFICACION!$F$2:$F$500,0))),"⚠"))</f>
        <v/>
      </c>
      <c r="P124" t="str">
        <f>IF(CAPTURA!AU124="","",IFERROR(IF(INDEX(CODIFICACION!$E$2:$E$500,MATCH("D2.9|"&amp;CAPTURA!AU124,CODIFICACION!$F$2:$F$500,0))="sin dato","",INDEX(CODIFICACION!$E$2:$E$500,MATCH("D2.9|"&amp;CAPTURA!AU124,CODIFICACION!$F$2:$F$500,0))),"⚠"))</f>
        <v/>
      </c>
      <c r="Q124" t="str">
        <f>IF(CAPTURA!AV124="","",IFERROR(IF(INDEX(CODIFICACION!$E$2:$E$500,MATCH("D2.10|"&amp;CAPTURA!AV124,CODIFICACION!$F$2:$F$500,0))="sin dato","",INDEX(CODIFICACION!$E$2:$E$500,MATCH("D2.10|"&amp;CAPTURA!AV124,CODIFICACION!$F$2:$F$500,0))),"⚠"))</f>
        <v/>
      </c>
      <c r="R124" t="str">
        <f>IF(CAPTURA!AW124="","",IFERROR(IF(INDEX(CODIFICACION!$E$2:$E$500,MATCH("D2.5a|"&amp;CAPTURA!AW124,CODIFICACION!$F$2:$F$500,0))="sin dato","",INDEX(CODIFICACION!$E$2:$E$500,MATCH("D2.5a|"&amp;CAPTURA!AW124,CODIFICACION!$F$2:$F$500,0))),"⚠"))</f>
        <v/>
      </c>
      <c r="S124" t="str">
        <f>IF(CAPTURA!AX124="","",IFERROR(IF(INDEX(CODIFICACION!$E$2:$E$500,MATCH("D2.5b|"&amp;CAPTURA!AX124,CODIFICACION!$F$2:$F$500,0))="sin dato","",INDEX(CODIFICACION!$E$2:$E$500,MATCH("D2.5b|"&amp;CAPTURA!AX124,CODIFICACION!$F$2:$F$500,0))),"⚠"))</f>
        <v/>
      </c>
      <c r="T124" t="str">
        <f>IF(CAPTURA!AY124="","",IF(ISNUMBER(CAPTURA!AY124),MAX(0,MIN(100,CAPTURA!AY124)),"⚠"))</f>
        <v/>
      </c>
      <c r="U124" t="str">
        <f>IF(CAPTURA!AZ124="","",IFERROR(IF(INDEX(CODIFICACION!$E$2:$E$500,MATCH("D3.12|"&amp;CAPTURA!AZ124,CODIFICACION!$F$2:$F$500,0))="sin dato","",INDEX(CODIFICACION!$E$2:$E$500,MATCH("D3.12|"&amp;CAPTURA!AZ124,CODIFICACION!$F$2:$F$500,0))),"⚠"))</f>
        <v/>
      </c>
      <c r="V124" t="str">
        <f>IF(CAPTURA!BA124="","",IF(AND(ISNUMBER(CAPTURA!BA124),CAPTURA!BA124&gt;=0,CAPTURA!BA124&lt;=4),CAPTURA!BA124*25,"⚠"))</f>
        <v/>
      </c>
      <c r="W124" t="str">
        <f>IF(CAPTURA!BB124="","",IFERROR(IF(INDEX(CODIFICACION!$E$2:$E$500,MATCH("D3.14|"&amp;CAPTURA!BB124,CODIFICACION!$F$2:$F$500,0))="sin dato","",INDEX(CODIFICACION!$E$2:$E$500,MATCH("D3.14|"&amp;CAPTURA!BB124,CODIFICACION!$F$2:$F$500,0))),"⚠"))</f>
        <v/>
      </c>
      <c r="X124" t="str">
        <f>IF(CAPTURA!BC124="","",IFERROR(IF(INDEX(CODIFICACION!$E$2:$E$500,MATCH("D3.14a|"&amp;CAPTURA!BC124,CODIFICACION!$F$2:$F$500,0))="sin dato","",INDEX(CODIFICACION!$E$2:$E$500,MATCH("D3.14a|"&amp;CAPTURA!BC124,CODIFICACION!$F$2:$F$500,0))),"⚠"))</f>
        <v/>
      </c>
      <c r="Y124" t="str">
        <f>IF(CAPTURA!BD124="","",IFERROR(IF(INDEX(CODIFICACION!$E$2:$E$500,MATCH("D3.14b|"&amp;CAPTURA!BD124,CODIFICACION!$F$2:$F$500,0))="sin dato","",INDEX(CODIFICACION!$E$2:$E$500,MATCH("D3.14b|"&amp;CAPTURA!BD124,CODIFICACION!$F$2:$F$500,0))),"⚠"))</f>
        <v/>
      </c>
      <c r="Z124" t="str">
        <f>IF(CAPTURA!BE124="","",IFERROR(IF(INDEX(CODIFICACION!$E$2:$E$500,MATCH("D3.14c|"&amp;CAPTURA!BE124,CODIFICACION!$F$2:$F$500,0))="sin dato","",INDEX(CODIFICACION!$E$2:$E$500,MATCH("D3.14c|"&amp;CAPTURA!BE124,CODIFICACION!$F$2:$F$500,0))),"⚠"))</f>
        <v/>
      </c>
      <c r="AA124" t="str">
        <f>IF(CAPTURA!BF124="","",IFERROR(IF(INDEX(CODIFICACION!$E$2:$E$500,MATCH("D3.14d|"&amp;CAPTURA!BF124,CODIFICACION!$F$2:$F$500,0))="sin dato","",INDEX(CODIFICACION!$E$2:$E$500,MATCH("D3.14d|"&amp;CAPTURA!BF124,CODIFICACION!$F$2:$F$500,0))),"⚠"))</f>
        <v/>
      </c>
      <c r="AB124" t="str">
        <f>IF(CAPTURA!BG124="","",IFERROR(IF(INDEX(CODIFICACION!$E$2:$E$500,MATCH("D3.14e|"&amp;CAPTURA!BG124,CODIFICACION!$F$2:$F$500,0))="sin dato","",INDEX(CODIFICACION!$E$2:$E$500,MATCH("D3.14e|"&amp;CAPTURA!BG124,CODIFICACION!$F$2:$F$500,0))),"⚠"))</f>
        <v/>
      </c>
      <c r="AC124" t="str">
        <f>IF(CAPTURA!BH124="","",IFERROR(IF(INDEX(CODIFICACION!$E$2:$E$500,MATCH("D3.14f|"&amp;CAPTURA!BH124,CODIFICACION!$F$2:$F$500,0))="sin dato","",INDEX(CODIFICACION!$E$2:$E$500,MATCH("D3.14f|"&amp;CAPTURA!BH124,CODIFICACION!$F$2:$F$500,0))),"⚠"))</f>
        <v/>
      </c>
      <c r="AD124" t="str">
        <f>IF(CAPTURA!BI124="","",IFERROR(IF(INDEX(CODIFICACION!$E$2:$E$500,MATCH("D3.14g|"&amp;CAPTURA!BI124,CODIFICACION!$F$2:$F$500,0))="sin dato","",INDEX(CODIFICACION!$E$2:$E$500,MATCH("D3.14g|"&amp;CAPTURA!BI124,CODIFICACION!$F$2:$F$500,0))),"⚠"))</f>
        <v/>
      </c>
      <c r="AE124" t="str">
        <f>IF(CAPTURA!BJ124="","",IFERROR(IF(INDEX(CODIFICACION!$E$2:$E$500,MATCH("D3.14h|"&amp;CAPTURA!BJ124,CODIFICACION!$F$2:$F$500,0))="sin dato","",INDEX(CODIFICACION!$E$2:$E$500,MATCH("D3.14h|"&amp;CAPTURA!BJ124,CODIFICACION!$F$2:$F$500,0))),"⚠"))</f>
        <v/>
      </c>
      <c r="AF124" t="str">
        <f>IF(CAPTURA!BK124="","",IFERROR(IF(INDEX(CODIFICACION!$E$2:$E$500,MATCH("D3.14i|"&amp;CAPTURA!BK124,CODIFICACION!$F$2:$F$500,0))="sin dato","",INDEX(CODIFICACION!$E$2:$E$500,MATCH("D3.14i|"&amp;CAPTURA!BK124,CODIFICACION!$F$2:$F$500,0))),"⚠"))</f>
        <v/>
      </c>
      <c r="AG124" t="str">
        <f>IF(CAPTURA!BL124="","",IFERROR(IF(INDEX(CODIFICACION!$E$2:$E$500,MATCH("D4.15|"&amp;CAPTURA!BL124,CODIFICACION!$F$2:$F$500,0))="sin dato","",INDEX(CODIFICACION!$E$2:$E$500,MATCH("D4.15|"&amp;CAPTURA!BL124,CODIFICACION!$F$2:$F$500,0))),"⚠"))</f>
        <v/>
      </c>
      <c r="AH124" t="str">
        <f>IF(CAPTURA!BM124="","",IF(AND(ISNUMBER(CAPTURA!BM124),CAPTURA!BM124&gt;=0,CAPTURA!BM124&lt;=4),CAPTURA!BM124*25,"⚠"))</f>
        <v/>
      </c>
      <c r="AI124" t="str">
        <f>IF(CAPTURA!BN124="","",IFERROR(IF(INDEX(CODIFICACION!$E$2:$E$500,MATCH("D4.17|"&amp;CAPTURA!BN124,CODIFICACION!$F$2:$F$500,0))="sin dato","",INDEX(CODIFICACION!$E$2:$E$500,MATCH("D4.17|"&amp;CAPTURA!BN124,CODIFICACION!$F$2:$F$500,0))),"⚠"))</f>
        <v/>
      </c>
      <c r="AJ124" t="str">
        <f>IF(CAPTURA!BO124="","",IFERROR(IF(INDEX(CODIFICACION!$E$2:$E$500,MATCH("D4.15a|"&amp;CAPTURA!BO124,CODIFICACION!$F$2:$F$500,0))="sin dato","",INDEX(CODIFICACION!$E$2:$E$500,MATCH("D4.15a|"&amp;CAPTURA!BO124,CODIFICACION!$F$2:$F$500,0))),"⚠"))</f>
        <v/>
      </c>
      <c r="AK124" t="str">
        <f>IF(CAPTURA!BP124="","",IF(AND(ISNUMBER(CAPTURA!BP124),CAPTURA!BP124&gt;=0,CAPTURA!BP124&lt;=4),CAPTURA!BP124*25,"⚠"))</f>
        <v/>
      </c>
      <c r="AL124" t="str">
        <f>IF(CAPTURA!BQ124="","",IF(AND(ISNUMBER(CAPTURA!BQ124),CAPTURA!BQ124&gt;=0,CAPTURA!BQ124&lt;=4),CAPTURA!BQ124*25,"⚠"))</f>
        <v/>
      </c>
      <c r="AM124" t="str">
        <f>IF(CAPTURA!BR124="","",IFERROR(IF(INDEX(CODIFICACION!$E$2:$E$500,MATCH("D5.18b|"&amp;CAPTURA!BR124,CODIFICACION!$F$2:$F$500,0))="sin dato","",INDEX(CODIFICACION!$E$2:$E$500,MATCH("D5.18b|"&amp;CAPTURA!BR124,CODIFICACION!$F$2:$F$500,0))),"⚠"))</f>
        <v/>
      </c>
      <c r="AN124" t="str">
        <f>IF(CAPTURA!BS124="","",IFERROR(IF(INDEX(CODIFICACION!$E$2:$E$500,MATCH("D5.19|"&amp;CAPTURA!BS124,CODIFICACION!$F$2:$F$500,0))="sin dato","",INDEX(CODIFICACION!$E$2:$E$500,MATCH("D5.19|"&amp;CAPTURA!BS124,CODIFICACION!$F$2:$F$500,0))),"⚠"))</f>
        <v/>
      </c>
      <c r="AO124" t="str">
        <f>IF(CAPTURA!BT124="","",MIN(100,ROUND((LEN(CAPTURA!BT124)-LEN(SUBSTITUTE(CAPTURA!BT124,";",""))+1)/7*100,1)))</f>
        <v/>
      </c>
      <c r="AP124" t="str">
        <f>IF(CAPTURA!BU124="","",IFERROR(IF(INDEX(CODIFICACION!$E$2:$E$500,MATCH("D5.20|"&amp;CAPTURA!BU124,CODIFICACION!$F$2:$F$500,0))="sin dato","",INDEX(CODIFICACION!$E$2:$E$500,MATCH("D5.20|"&amp;CAPTURA!BU124,CODIFICACION!$F$2:$F$500,0))),"⚠"))</f>
        <v/>
      </c>
      <c r="AQ124" t="str">
        <f>IF(CAPTURA!BV124="","",IFERROR(IF(INDEX(CODIFICACION!$E$2:$E$500,MATCH("D5.21|"&amp;CAPTURA!BV124,CODIFICACION!$F$2:$F$500,0))="sin dato","",INDEX(CODIFICACION!$E$2:$E$500,MATCH("D5.21|"&amp;CAPTURA!BV124,CODIFICACION!$F$2:$F$500,0))),"⚠"))</f>
        <v/>
      </c>
      <c r="AR124" t="str">
        <f>IF(CAPTURA!BW124="","",IFERROR(IF(INDEX(CODIFICACION!$E$2:$E$500,MATCH("D5.21a|"&amp;CAPTURA!BW124,CODIFICACION!$F$2:$F$500,0))="sin dato","",INDEX(CODIFICACION!$E$2:$E$500,MATCH("D5.21a|"&amp;CAPTURA!BW124,CODIFICACION!$F$2:$F$500,0))),"⚠"))</f>
        <v/>
      </c>
      <c r="AS124" t="str">
        <f>IF(CAPTURA!BX124="","",IFERROR(IF(INDEX(CODIFICACION!$E$2:$E$500,MATCH("D5.21b|"&amp;CAPTURA!BX124,CODIFICACION!$F$2:$F$500,0))="sin dato","",INDEX(CODIFICACION!$E$2:$E$500,MATCH("D5.21b|"&amp;CAPTURA!BX124,CODIFICACION!$F$2:$F$500,0))),"⚠"))</f>
        <v/>
      </c>
      <c r="AT124" t="str">
        <f>IF(CAPTURA!BY124="","",IFERROR(IF(INDEX(CODIFICACION!$E$2:$E$500,MATCH("D6.22|"&amp;CAPTURA!BY124,CODIFICACION!$F$2:$F$500,0))="sin dato","",INDEX(CODIFICACION!$E$2:$E$500,MATCH("D6.22|"&amp;CAPTURA!BY124,CODIFICACION!$F$2:$F$500,0))),"⚠"))</f>
        <v/>
      </c>
      <c r="AU124" t="str">
        <f>IF(CAPTURA!BZ124="","",IFERROR(IF(INDEX(CODIFICACION!$E$2:$E$500,MATCH("D6.22a|"&amp;CAPTURA!BZ124,CODIFICACION!$F$2:$F$500,0))="sin dato","",INDEX(CODIFICACION!$E$2:$E$500,MATCH("D6.22a|"&amp;CAPTURA!BZ124,CODIFICACION!$F$2:$F$500,0))),"⚠"))</f>
        <v/>
      </c>
      <c r="AV124" t="str">
        <f>IF(CAPTURA!CA124="","",IFERROR(IF(INDEX(CODIFICACION!$E$2:$E$500,MATCH("D6.22b|"&amp;CAPTURA!CA124,CODIFICACION!$F$2:$F$500,0))="sin dato","",INDEX(CODIFICACION!$E$2:$E$500,MATCH("D6.22b|"&amp;CAPTURA!CA124,CODIFICACION!$F$2:$F$500,0))),"⚠"))</f>
        <v/>
      </c>
      <c r="AW124" t="str">
        <f>IF(CAPTURA!CB124="","",IFERROR(IF(INDEX(CODIFICACION!$E$2:$E$500,MATCH("D6.23|"&amp;CAPTURA!CB124,CODIFICACION!$F$2:$F$500,0))="sin dato","",INDEX(CODIFICACION!$E$2:$E$500,MATCH("D6.23|"&amp;CAPTURA!CB124,CODIFICACION!$F$2:$F$500,0))),"⚠"))</f>
        <v/>
      </c>
      <c r="AX124" t="str">
        <f>IF(CAPTURA!CC124="","",IFERROR(IF(INDEX(CODIFICACION!$E$2:$E$500,MATCH("D6.24|"&amp;CAPTURA!CC124,CODIFICACION!$F$2:$F$500,0))="sin dato","",INDEX(CODIFICACION!$E$2:$E$500,MATCH("D6.24|"&amp;CAPTURA!CC124,CODIFICACION!$F$2:$F$500,0))),"⚠"))</f>
        <v/>
      </c>
      <c r="AY124" t="str">
        <f>IF(CAPTURA!CD124="","",IFERROR(IF(INDEX(CODIFICACION!$E$2:$E$500,MATCH("D6.25|"&amp;CAPTURA!CD124,CODIFICACION!$F$2:$F$500,0))="sin dato","",INDEX(CODIFICACION!$E$2:$E$500,MATCH("D6.25|"&amp;CAPTURA!CD124,CODIFICACION!$F$2:$F$500,0))),"⚠"))</f>
        <v/>
      </c>
      <c r="AZ124" t="str">
        <f>IF(CAPTURA!CE124="","",IFERROR(IF(INDEX(CODIFICACION!$E$2:$E$500,MATCH("D6.25a|"&amp;CAPTURA!CE124,CODIFICACION!$F$2:$F$500,0))="sin dato","",INDEX(CODIFICACION!$E$2:$E$500,MATCH("D6.25a|"&amp;CAPTURA!CE124,CODIFICACION!$F$2:$F$500,0))),"⚠"))</f>
        <v/>
      </c>
      <c r="BA124" t="str">
        <f>IF(CAPTURA!CF124="","",IFERROR(IF(INDEX(CODIFICACION!$E$2:$E$500,MATCH("D6.25b|"&amp;CAPTURA!CF124,CODIFICACION!$F$2:$F$500,0))="sin dato","",INDEX(CODIFICACION!$E$2:$E$500,MATCH("D6.25b|"&amp;CAPTURA!CF124,CODIFICACION!$F$2:$F$500,0))),"⚠"))</f>
        <v/>
      </c>
      <c r="BB124" t="str">
        <f>IF(CAPTURA!CG124="","",IFERROR(IF(INDEX(CODIFICACION!$E$2:$E$500,MATCH("D6.22c|"&amp;CAPTURA!CG124,CODIFICACION!$F$2:$F$500,0))="sin dato","",INDEX(CODIFICACION!$E$2:$E$500,MATCH("D6.22c|"&amp;CAPTURA!CG124,CODIFICACION!$F$2:$F$500,0))),"⚠"))</f>
        <v/>
      </c>
      <c r="BC124" t="str">
        <f>IF(CAPTURA!CH124="","",IFERROR(IF(INDEX(CODIFICACION!$E$2:$E$500,MATCH("D7.26|"&amp;CAPTURA!CH124,CODIFICACION!$F$2:$F$500,0))="sin dato","",INDEX(CODIFICACION!$E$2:$E$500,MATCH("D7.26|"&amp;CAPTURA!CH124,CODIFICACION!$F$2:$F$500,0))),"⚠"))</f>
        <v/>
      </c>
      <c r="BD124" t="str">
        <f>IF(CAPTURA!CI124="","",IFERROR(IF(INDEX(CODIFICACION!$E$2:$E$500,MATCH("D7.27|"&amp;CAPTURA!CI124,CODIFICACION!$F$2:$F$500,0))="sin dato","",INDEX(CODIFICACION!$E$2:$E$500,MATCH("D7.27|"&amp;CAPTURA!CI124,CODIFICACION!$F$2:$F$500,0))),"⚠"))</f>
        <v/>
      </c>
      <c r="BE124" t="str">
        <f>IF(CAPTURA!CJ124="","",IFERROR(IF(INDEX(CODIFICACION!$E$2:$E$500,MATCH("D7.28|"&amp;CAPTURA!CJ124,CODIFICACION!$F$2:$F$500,0))="sin dato","",INDEX(CODIFICACION!$E$2:$E$500,MATCH("D7.28|"&amp;CAPTURA!CJ124,CODIFICACION!$F$2:$F$500,0))),"⚠"))</f>
        <v/>
      </c>
      <c r="BF124" t="str">
        <f>IF(CAPTURA!CK124="","",IFERROR(IF(INDEX(CODIFICACION!$E$2:$E$500,MATCH("D7.28b|"&amp;CAPTURA!CK124,CODIFICACION!$F$2:$F$500,0))="sin dato","",INDEX(CODIFICACION!$E$2:$E$500,MATCH("D7.28b|"&amp;CAPTURA!CK124,CODIFICACION!$F$2:$F$500,0))),"⚠"))</f>
        <v/>
      </c>
      <c r="BG124" t="str">
        <f>IF(CAPTURA!CL124="","",MIN(100,ROUND((LEN(CAPTURA!CL124)-LEN(SUBSTITUTE(CAPTURA!CL124,";",""))+1)/8*100,1)))</f>
        <v/>
      </c>
      <c r="BH124" t="str">
        <f>IF(CAPTURA!CM124="","",IFERROR(IF(INDEX(CODIFICACION!$E$2:$E$500,MATCH("D7.26a|"&amp;CAPTURA!CM124,CODIFICACION!$F$2:$F$500,0))="sin dato","",INDEX(CODIFICACION!$E$2:$E$500,MATCH("D7.26a|"&amp;CAPTURA!CM124,CODIFICACION!$F$2:$F$500,0))),"⚠"))</f>
        <v/>
      </c>
      <c r="BI124" t="str">
        <f>IF(CAPTURA!CN124="","",IFERROR(IF(INDEX(CODIFICACION!$E$2:$E$500,MATCH("D7.26b|"&amp;CAPTURA!CN124,CODIFICACION!$F$2:$F$500,0))="sin dato","",INDEX(CODIFICACION!$E$2:$E$500,MATCH("D7.26b|"&amp;CAPTURA!CN124,CODIFICACION!$F$2:$F$500,0))),"⚠"))</f>
        <v/>
      </c>
      <c r="BJ124" t="str">
        <f>IF(CAPTURA!CO124="","",IF(AND(ISNUMBER(CAPTURA!CO124),CAPTURA!CO124&gt;=0,CAPTURA!CO124&lt;=4),CAPTURA!CO124*25,"⚠"))</f>
        <v/>
      </c>
      <c r="BK124" t="str">
        <f>IF(CAPTURA!CP124="","",IF(ISNUMBER(CAPTURA!CP124),MAX(0,MIN(100,CAPTURA!CP124)),"⚠"))</f>
        <v/>
      </c>
      <c r="BL124" t="str">
        <f>IF(CAPTURA!CQ124="","",IFERROR(IF(INDEX(CODIFICACION!$E$2:$E$500,MATCH("D8.31|"&amp;CAPTURA!CQ124,CODIFICACION!$F$2:$F$500,0))="sin dato","",INDEX(CODIFICACION!$E$2:$E$500,MATCH("D8.31|"&amp;CAPTURA!CQ124,CODIFICACION!$F$2:$F$500,0))),"⚠"))</f>
        <v/>
      </c>
      <c r="BM124" t="str">
        <f>IF(CAPTURA!CR124="","",IFERROR(IF(INDEX(CODIFICACION!$E$2:$E$500,MATCH("D8.32|"&amp;CAPTURA!CR124,CODIFICACION!$F$2:$F$500,0))="sin dato","",INDEX(CODIFICACION!$E$2:$E$500,MATCH("D8.32|"&amp;CAPTURA!CR124,CODIFICACION!$F$2:$F$500,0))),"⚠"))</f>
        <v/>
      </c>
      <c r="BN124" t="str">
        <f>IF(CAPTURA!CS124="","",IFERROR(IF(INDEX(CODIFICACION!$E$2:$E$500,MATCH("D9.33|"&amp;CAPTURA!CS124,CODIFICACION!$F$2:$F$500,0))="sin dato","",INDEX(CODIFICACION!$E$2:$E$500,MATCH("D9.33|"&amp;CAPTURA!CS124,CODIFICACION!$F$2:$F$500,0))),"⚠"))</f>
        <v/>
      </c>
      <c r="BO124" t="str">
        <f>IF(CAPTURA!CT124="","",IFERROR(IF(INDEX(CODIFICACION!$E$2:$E$500,MATCH("D9.34|"&amp;CAPTURA!CT124,CODIFICACION!$F$2:$F$500,0))="sin dato","",INDEX(CODIFICACION!$E$2:$E$500,MATCH("D9.34|"&amp;CAPTURA!CT124,CODIFICACION!$F$2:$F$500,0))),"⚠"))</f>
        <v/>
      </c>
      <c r="BP124" t="str">
        <f>IF(CAPTURA!CU124="","",IFERROR(IF(INDEX(CODIFICACION!$E$2:$E$500,MATCH("D9.35|"&amp;CAPTURA!CU124,CODIFICACION!$F$2:$F$500,0))="sin dato","",INDEX(CODIFICACION!$E$2:$E$500,MATCH("D9.35|"&amp;CAPTURA!CU124,CODIFICACION!$F$2:$F$500,0))),"⚠"))</f>
        <v/>
      </c>
      <c r="BQ124" t="str">
        <f>IF(CAPTURA!CV124="","",IFERROR(IF(INDEX(CODIFICACION!$E$2:$E$500,MATCH("D10.36|"&amp;CAPTURA!CV124,CODIFICACION!$F$2:$F$500,0))="sin dato","",INDEX(CODIFICACION!$E$2:$E$500,MATCH("D10.36|"&amp;CAPTURA!CV124,CODIFICACION!$F$2:$F$500,0))),"⚠"))</f>
        <v/>
      </c>
      <c r="BR124" t="str">
        <f>IF(CAPTURA!CW124="","",IFERROR(IF(INDEX(CODIFICACION!$E$2:$E$500,MATCH("D10.37|"&amp;CAPTURA!CW124,CODIFICACION!$F$2:$F$500,0))="sin dato","",INDEX(CODIFICACION!$E$2:$E$500,MATCH("D10.37|"&amp;CAPTURA!CW124,CODIFICACION!$F$2:$F$500,0))),"⚠"))</f>
        <v/>
      </c>
      <c r="BS124" t="str">
        <f>IF(CAPTURA!CX124="","",IFERROR(IF(INDEX(CODIFICACION!$E$2:$E$500,MATCH("D10.36a|"&amp;CAPTURA!CX124,CODIFICACION!$F$2:$F$500,0))="sin dato","",INDEX(CODIFICACION!$E$2:$E$500,MATCH("D10.36a|"&amp;CAPTURA!CX124,CODIFICACION!$F$2:$F$500,0))),"⚠"))</f>
        <v/>
      </c>
      <c r="BT124" t="str">
        <f>IF(CAPTURA!CY124="","",IF(ISNUMBER(SEARCH("Ninguno",CAPTURA!CY124)),0,MIN(100,ROUND((LEN(CAPTURA!CY124)-LEN(SUBSTITUTE(CAPTURA!CY124,";",""))+1)/6*100,1))))</f>
        <v/>
      </c>
      <c r="BU124" t="str">
        <f>IF(CAPTURA!DA124="","",IFERROR(IF(INDEX(CODIFICACION!$E$2:$E$500,MATCH("D11.39a|"&amp;CAPTURA!DA124,CODIFICACION!$F$2:$F$500,0))="sin dato","",INDEX(CODIFICACION!$E$2:$E$500,MATCH("D11.39a|"&amp;CAPTURA!DA124,CODIFICACION!$F$2:$F$500,0))),"⚠"))</f>
        <v/>
      </c>
      <c r="BV124" t="str">
        <f>IF(CAPTURA!DB124="","",IFERROR(IF(INDEX(CODIFICACION!$E$2:$E$500,MATCH("D12.42|"&amp;CAPTURA!DB124,CODIFICACION!$F$2:$F$500,0))="sin dato","",INDEX(CODIFICACION!$E$2:$E$500,MATCH("D12.42|"&amp;CAPTURA!DB124,CODIFICACION!$F$2:$F$500,0))),"⚠"))</f>
        <v/>
      </c>
      <c r="BW124" t="str">
        <f>IF(CAPTURA!DC124="","",IFERROR(IF(INDEX(CODIFICACION!$E$2:$E$500,MATCH("D13.45|"&amp;CAPTURA!DC124,CODIFICACION!$F$2:$F$500,0))="sin dato","",INDEX(CODIFICACION!$E$2:$E$500,MATCH("D13.45|"&amp;CAPTURA!DC124,CODIFICACION!$F$2:$F$500,0))),"⚠"))</f>
        <v/>
      </c>
      <c r="BX124" t="str">
        <f>IF(CAPTURA!DD124="","",IFERROR(IF(INDEX(CODIFICACION!$E$2:$E$500,MATCH("D14.51|"&amp;CAPTURA!DD124,CODIFICACION!$F$2:$F$500,0))="sin dato","",INDEX(CODIFICACION!$E$2:$E$500,MATCH("D14.51|"&amp;CAPTURA!DD124,CODIFICACION!$F$2:$F$500,0))),"⚠"))</f>
        <v/>
      </c>
      <c r="BY124" t="str">
        <f>IF(CAPTURA!DE124="","",IFERROR(IF(INDEX(CODIFICACION!$E$2:$E$500,MATCH("D15.58|"&amp;CAPTURA!DE124,CODIFICACION!$F$2:$F$500,0))="sin dato","",INDEX(CODIFICACION!$E$2:$E$500,MATCH("D15.58|"&amp;CAPTURA!DE124,CODIFICACION!$F$2:$F$500,0))),"⚠"))</f>
        <v/>
      </c>
      <c r="BZ124" t="str">
        <f>IF(CAPTURA!DF124="","",IFERROR(IF(INDEX(CODIFICACION!$E$2:$E$500,MATCH("PP1|"&amp;CAPTURA!DF124,CODIFICACION!$F$2:$F$500,0))="sin dato","",INDEX(CODIFICACION!$E$2:$E$500,MATCH("PP1|"&amp;CAPTURA!DF124,CODIFICACION!$F$2:$F$500,0))),"⚠"))</f>
        <v/>
      </c>
      <c r="CA124" t="str">
        <f>IF(CAPTURA!DG124="","",IFERROR(IF(INDEX(CODIFICACION!$E$2:$E$500,MATCH("PP2|"&amp;CAPTURA!DG124,CODIFICACION!$F$2:$F$500,0))="sin dato","",INDEX(CODIFICACION!$E$2:$E$500,MATCH("PP2|"&amp;CAPTURA!DG124,CODIFICACION!$F$2:$F$500,0))),"⚠"))</f>
        <v/>
      </c>
      <c r="CB124" t="str">
        <f t="shared" si="33"/>
        <v/>
      </c>
      <c r="CC124" t="str">
        <f t="shared" si="34"/>
        <v/>
      </c>
      <c r="CD124" t="str">
        <f t="shared" si="35"/>
        <v/>
      </c>
      <c r="CE124" t="str">
        <f t="shared" si="36"/>
        <v/>
      </c>
      <c r="CF124" t="str">
        <f t="shared" si="37"/>
        <v/>
      </c>
      <c r="CG124" t="str">
        <f t="shared" si="38"/>
        <v/>
      </c>
      <c r="CH124" t="str">
        <f t="shared" si="39"/>
        <v/>
      </c>
      <c r="CI124" t="str">
        <f t="shared" si="40"/>
        <v/>
      </c>
      <c r="CJ124" t="str">
        <f t="shared" si="41"/>
        <v/>
      </c>
      <c r="CK124" t="str">
        <f t="shared" si="42"/>
        <v/>
      </c>
      <c r="CL124" t="str">
        <f t="shared" si="43"/>
        <v/>
      </c>
    </row>
    <row r="125" spans="1:90" x14ac:dyDescent="0.3">
      <c r="A125">
        <f>CAPTURA!A125</f>
        <v>20601667526</v>
      </c>
      <c r="B125">
        <f>CAPTURA!C125</f>
        <v>0</v>
      </c>
      <c r="C125" t="str">
        <f>IF(CAPTURA!M125="","",ROUND((ISNUMBER(SEARCH("Alemania",CAPTURA!M125))+ISNUMBER(SEARCH("Bélgica",CAPTURA!M125))+ISNUMBER(SEARCH("Países Bajos",CAPTURA!M125))+ISNUMBER(SEARCH("Francia",CAPTURA!M125))+ISNUMBER(SEARCH("Italia",CAPTURA!M125))+ISNUMBER(SEARCH("España",CAPTURA!M125))+ISNUMBER(SEARCH("Suecia",CAPTURA!M125))+ISNUMBER(SEARCH("Dinamarca",CAPTURA!M125)))/((LEN(CAPTURA!M125)-LEN(SUBSTITUTE(CAPTURA!M125,";","")))+1)*100,1))</f>
        <v/>
      </c>
      <c r="D125" t="str">
        <f>IF(CAPTURA!AE125="","",IFERROR(IF(INDEX(CODIFICACION!$E$2:$E$500,MATCH("P8|"&amp;CAPTURA!AE125,CODIFICACION!$F$2:$F$500,0))="sin dato","",INDEX(CODIFICACION!$E$2:$E$500,MATCH("P8|"&amp;CAPTURA!AE125,CODIFICACION!$F$2:$F$500,0))),"⚠"))</f>
        <v/>
      </c>
      <c r="E125" t="str">
        <f>IF(CAPTURA!AG125="","",IFERROR(IF(INDEX(CODIFICACION!$E$2:$E$500,MATCH("P10|"&amp;CAPTURA!AG125,CODIFICACION!$F$2:$F$500,0))="sin dato","",INDEX(CODIFICACION!$E$2:$E$500,MATCH("P10|"&amp;CAPTURA!AG125,CODIFICACION!$F$2:$F$500,0))),"⚠"))</f>
        <v/>
      </c>
      <c r="F125" t="str">
        <f>IF(CAPTURA!AJ125="","",IFERROR(IF(INDEX(CODIFICACION!$E$2:$E$500,MATCH("P13|"&amp;CAPTURA!AJ125,CODIFICACION!$F$2:$F$500,0))="sin dato","",INDEX(CODIFICACION!$E$2:$E$500,MATCH("P13|"&amp;CAPTURA!AJ125,CODIFICACION!$F$2:$F$500,0))),"⚠"))</f>
        <v/>
      </c>
      <c r="G125" t="str">
        <f>IF(CAPTURA!AK125="","",IFERROR(IF(INDEX(CODIFICACION!$E$2:$E$500,MATCH("P14|"&amp;CAPTURA!AK125,CODIFICACION!$F$2:$F$500,0))="sin dato","",INDEX(CODIFICACION!$E$2:$E$500,MATCH("P14|"&amp;CAPTURA!AK125,CODIFICACION!$F$2:$F$500,0))),"⚠"))</f>
        <v/>
      </c>
      <c r="H125" t="str">
        <f>IF(CAPTURA!AL125="","",IFERROR(IF(INDEX(CODIFICACION!$E$2:$E$500,MATCH("D1.1|"&amp;CAPTURA!AL125,CODIFICACION!$F$2:$F$500,0))="sin dato","",INDEX(CODIFICACION!$E$2:$E$500,MATCH("D1.1|"&amp;CAPTURA!AL125,CODIFICACION!$F$2:$F$500,0))),"⚠"))</f>
        <v/>
      </c>
      <c r="I125" t="str">
        <f>IF(CAPTURA!AN125="","",IFERROR(IF(INDEX(CODIFICACION!$E$2:$E$500,MATCH("D1.3|"&amp;CAPTURA!AN125,CODIFICACION!$F$2:$F$500,0))="sin dato","",INDEX(CODIFICACION!$E$2:$E$500,MATCH("D1.3|"&amp;CAPTURA!AN125,CODIFICACION!$F$2:$F$500,0))),"⚠"))</f>
        <v/>
      </c>
      <c r="J125" t="str">
        <f>IF(CAPTURA!AO125="","",IFERROR(IF(INDEX(CODIFICACION!$E$2:$E$500,MATCH("D1.4|"&amp;CAPTURA!AO125,CODIFICACION!$F$2:$F$500,0))="sin dato","",INDEX(CODIFICACION!$E$2:$E$500,MATCH("D1.4|"&amp;CAPTURA!AO125,CODIFICACION!$F$2:$F$500,0))),"⚠"))</f>
        <v/>
      </c>
      <c r="K125" t="str">
        <f>IF(CAPTURA!AP125="","",IFERROR(IF(INDEX(CODIFICACION!$E$2:$E$500,MATCH("D1.3a|"&amp;CAPTURA!AP125,CODIFICACION!$F$2:$F$500,0))="sin dato","",INDEX(CODIFICACION!$E$2:$E$500,MATCH("D1.3a|"&amp;CAPTURA!AP125,CODIFICACION!$F$2:$F$500,0))),"⚠"))</f>
        <v/>
      </c>
      <c r="L125" t="str">
        <f>IF(CAPTURA!AQ125="","",IF(AND(ISNUMBER(CAPTURA!AQ125),CAPTURA!AQ125&gt;=0,CAPTURA!AQ125&lt;=4),CAPTURA!AQ125*25,"⚠"))</f>
        <v/>
      </c>
      <c r="M125" t="str">
        <f>IF(CAPTURA!AR125="","",IF(ISNUMBER(CAPTURA!AR125),MAX(0,MIN(100,CAPTURA!AR125)),"⚠"))</f>
        <v/>
      </c>
      <c r="N125" t="str">
        <f>IF(CAPTURA!AS125="","",IF(AND(ISNUMBER(CAPTURA!AS125),CAPTURA!AS125&gt;=0,CAPTURA!AS125&lt;=4),CAPTURA!AS125*25,"⚠"))</f>
        <v/>
      </c>
      <c r="O125" t="str">
        <f>IF(CAPTURA!AT125="","",IFERROR(IF(INDEX(CODIFICACION!$E$2:$E$500,MATCH("D2.8|"&amp;CAPTURA!AT125,CODIFICACION!$F$2:$F$500,0))="sin dato","",INDEX(CODIFICACION!$E$2:$E$500,MATCH("D2.8|"&amp;CAPTURA!AT125,CODIFICACION!$F$2:$F$500,0))),"⚠"))</f>
        <v/>
      </c>
      <c r="P125" t="str">
        <f>IF(CAPTURA!AU125="","",IFERROR(IF(INDEX(CODIFICACION!$E$2:$E$500,MATCH("D2.9|"&amp;CAPTURA!AU125,CODIFICACION!$F$2:$F$500,0))="sin dato","",INDEX(CODIFICACION!$E$2:$E$500,MATCH("D2.9|"&amp;CAPTURA!AU125,CODIFICACION!$F$2:$F$500,0))),"⚠"))</f>
        <v/>
      </c>
      <c r="Q125" t="str">
        <f>IF(CAPTURA!AV125="","",IFERROR(IF(INDEX(CODIFICACION!$E$2:$E$500,MATCH("D2.10|"&amp;CAPTURA!AV125,CODIFICACION!$F$2:$F$500,0))="sin dato","",INDEX(CODIFICACION!$E$2:$E$500,MATCH("D2.10|"&amp;CAPTURA!AV125,CODIFICACION!$F$2:$F$500,0))),"⚠"))</f>
        <v/>
      </c>
      <c r="R125" t="str">
        <f>IF(CAPTURA!AW125="","",IFERROR(IF(INDEX(CODIFICACION!$E$2:$E$500,MATCH("D2.5a|"&amp;CAPTURA!AW125,CODIFICACION!$F$2:$F$500,0))="sin dato","",INDEX(CODIFICACION!$E$2:$E$500,MATCH("D2.5a|"&amp;CAPTURA!AW125,CODIFICACION!$F$2:$F$500,0))),"⚠"))</f>
        <v/>
      </c>
      <c r="S125" t="str">
        <f>IF(CAPTURA!AX125="","",IFERROR(IF(INDEX(CODIFICACION!$E$2:$E$500,MATCH("D2.5b|"&amp;CAPTURA!AX125,CODIFICACION!$F$2:$F$500,0))="sin dato","",INDEX(CODIFICACION!$E$2:$E$500,MATCH("D2.5b|"&amp;CAPTURA!AX125,CODIFICACION!$F$2:$F$500,0))),"⚠"))</f>
        <v/>
      </c>
      <c r="T125" t="str">
        <f>IF(CAPTURA!AY125="","",IF(ISNUMBER(CAPTURA!AY125),MAX(0,MIN(100,CAPTURA!AY125)),"⚠"))</f>
        <v/>
      </c>
      <c r="U125" t="str">
        <f>IF(CAPTURA!AZ125="","",IFERROR(IF(INDEX(CODIFICACION!$E$2:$E$500,MATCH("D3.12|"&amp;CAPTURA!AZ125,CODIFICACION!$F$2:$F$500,0))="sin dato","",INDEX(CODIFICACION!$E$2:$E$500,MATCH("D3.12|"&amp;CAPTURA!AZ125,CODIFICACION!$F$2:$F$500,0))),"⚠"))</f>
        <v/>
      </c>
      <c r="V125" t="str">
        <f>IF(CAPTURA!BA125="","",IF(AND(ISNUMBER(CAPTURA!BA125),CAPTURA!BA125&gt;=0,CAPTURA!BA125&lt;=4),CAPTURA!BA125*25,"⚠"))</f>
        <v/>
      </c>
      <c r="W125" t="str">
        <f>IF(CAPTURA!BB125="","",IFERROR(IF(INDEX(CODIFICACION!$E$2:$E$500,MATCH("D3.14|"&amp;CAPTURA!BB125,CODIFICACION!$F$2:$F$500,0))="sin dato","",INDEX(CODIFICACION!$E$2:$E$500,MATCH("D3.14|"&amp;CAPTURA!BB125,CODIFICACION!$F$2:$F$500,0))),"⚠"))</f>
        <v/>
      </c>
      <c r="X125" t="str">
        <f>IF(CAPTURA!BC125="","",IFERROR(IF(INDEX(CODIFICACION!$E$2:$E$500,MATCH("D3.14a|"&amp;CAPTURA!BC125,CODIFICACION!$F$2:$F$500,0))="sin dato","",INDEX(CODIFICACION!$E$2:$E$500,MATCH("D3.14a|"&amp;CAPTURA!BC125,CODIFICACION!$F$2:$F$500,0))),"⚠"))</f>
        <v/>
      </c>
      <c r="Y125" t="str">
        <f>IF(CAPTURA!BD125="","",IFERROR(IF(INDEX(CODIFICACION!$E$2:$E$500,MATCH("D3.14b|"&amp;CAPTURA!BD125,CODIFICACION!$F$2:$F$500,0))="sin dato","",INDEX(CODIFICACION!$E$2:$E$500,MATCH("D3.14b|"&amp;CAPTURA!BD125,CODIFICACION!$F$2:$F$500,0))),"⚠"))</f>
        <v/>
      </c>
      <c r="Z125" t="str">
        <f>IF(CAPTURA!BE125="","",IFERROR(IF(INDEX(CODIFICACION!$E$2:$E$500,MATCH("D3.14c|"&amp;CAPTURA!BE125,CODIFICACION!$F$2:$F$500,0))="sin dato","",INDEX(CODIFICACION!$E$2:$E$500,MATCH("D3.14c|"&amp;CAPTURA!BE125,CODIFICACION!$F$2:$F$500,0))),"⚠"))</f>
        <v/>
      </c>
      <c r="AA125" t="str">
        <f>IF(CAPTURA!BF125="","",IFERROR(IF(INDEX(CODIFICACION!$E$2:$E$500,MATCH("D3.14d|"&amp;CAPTURA!BF125,CODIFICACION!$F$2:$F$500,0))="sin dato","",INDEX(CODIFICACION!$E$2:$E$500,MATCH("D3.14d|"&amp;CAPTURA!BF125,CODIFICACION!$F$2:$F$500,0))),"⚠"))</f>
        <v/>
      </c>
      <c r="AB125" t="str">
        <f>IF(CAPTURA!BG125="","",IFERROR(IF(INDEX(CODIFICACION!$E$2:$E$500,MATCH("D3.14e|"&amp;CAPTURA!BG125,CODIFICACION!$F$2:$F$500,0))="sin dato","",INDEX(CODIFICACION!$E$2:$E$500,MATCH("D3.14e|"&amp;CAPTURA!BG125,CODIFICACION!$F$2:$F$500,0))),"⚠"))</f>
        <v/>
      </c>
      <c r="AC125" t="str">
        <f>IF(CAPTURA!BH125="","",IFERROR(IF(INDEX(CODIFICACION!$E$2:$E$500,MATCH("D3.14f|"&amp;CAPTURA!BH125,CODIFICACION!$F$2:$F$500,0))="sin dato","",INDEX(CODIFICACION!$E$2:$E$500,MATCH("D3.14f|"&amp;CAPTURA!BH125,CODIFICACION!$F$2:$F$500,0))),"⚠"))</f>
        <v/>
      </c>
      <c r="AD125" t="str">
        <f>IF(CAPTURA!BI125="","",IFERROR(IF(INDEX(CODIFICACION!$E$2:$E$500,MATCH("D3.14g|"&amp;CAPTURA!BI125,CODIFICACION!$F$2:$F$500,0))="sin dato","",INDEX(CODIFICACION!$E$2:$E$500,MATCH("D3.14g|"&amp;CAPTURA!BI125,CODIFICACION!$F$2:$F$500,0))),"⚠"))</f>
        <v/>
      </c>
      <c r="AE125" t="str">
        <f>IF(CAPTURA!BJ125="","",IFERROR(IF(INDEX(CODIFICACION!$E$2:$E$500,MATCH("D3.14h|"&amp;CAPTURA!BJ125,CODIFICACION!$F$2:$F$500,0))="sin dato","",INDEX(CODIFICACION!$E$2:$E$500,MATCH("D3.14h|"&amp;CAPTURA!BJ125,CODIFICACION!$F$2:$F$500,0))),"⚠"))</f>
        <v/>
      </c>
      <c r="AF125" t="str">
        <f>IF(CAPTURA!BK125="","",IFERROR(IF(INDEX(CODIFICACION!$E$2:$E$500,MATCH("D3.14i|"&amp;CAPTURA!BK125,CODIFICACION!$F$2:$F$500,0))="sin dato","",INDEX(CODIFICACION!$E$2:$E$500,MATCH("D3.14i|"&amp;CAPTURA!BK125,CODIFICACION!$F$2:$F$500,0))),"⚠"))</f>
        <v/>
      </c>
      <c r="AG125" t="str">
        <f>IF(CAPTURA!BL125="","",IFERROR(IF(INDEX(CODIFICACION!$E$2:$E$500,MATCH("D4.15|"&amp;CAPTURA!BL125,CODIFICACION!$F$2:$F$500,0))="sin dato","",INDEX(CODIFICACION!$E$2:$E$500,MATCH("D4.15|"&amp;CAPTURA!BL125,CODIFICACION!$F$2:$F$500,0))),"⚠"))</f>
        <v/>
      </c>
      <c r="AH125" t="str">
        <f>IF(CAPTURA!BM125="","",IF(AND(ISNUMBER(CAPTURA!BM125),CAPTURA!BM125&gt;=0,CAPTURA!BM125&lt;=4),CAPTURA!BM125*25,"⚠"))</f>
        <v/>
      </c>
      <c r="AI125" t="str">
        <f>IF(CAPTURA!BN125="","",IFERROR(IF(INDEX(CODIFICACION!$E$2:$E$500,MATCH("D4.17|"&amp;CAPTURA!BN125,CODIFICACION!$F$2:$F$500,0))="sin dato","",INDEX(CODIFICACION!$E$2:$E$500,MATCH("D4.17|"&amp;CAPTURA!BN125,CODIFICACION!$F$2:$F$500,0))),"⚠"))</f>
        <v/>
      </c>
      <c r="AJ125" t="str">
        <f>IF(CAPTURA!BO125="","",IFERROR(IF(INDEX(CODIFICACION!$E$2:$E$500,MATCH("D4.15a|"&amp;CAPTURA!BO125,CODIFICACION!$F$2:$F$500,0))="sin dato","",INDEX(CODIFICACION!$E$2:$E$500,MATCH("D4.15a|"&amp;CAPTURA!BO125,CODIFICACION!$F$2:$F$500,0))),"⚠"))</f>
        <v/>
      </c>
      <c r="AK125" t="str">
        <f>IF(CAPTURA!BP125="","",IF(AND(ISNUMBER(CAPTURA!BP125),CAPTURA!BP125&gt;=0,CAPTURA!BP125&lt;=4),CAPTURA!BP125*25,"⚠"))</f>
        <v/>
      </c>
      <c r="AL125" t="str">
        <f>IF(CAPTURA!BQ125="","",IF(AND(ISNUMBER(CAPTURA!BQ125),CAPTURA!BQ125&gt;=0,CAPTURA!BQ125&lt;=4),CAPTURA!BQ125*25,"⚠"))</f>
        <v/>
      </c>
      <c r="AM125" t="str">
        <f>IF(CAPTURA!BR125="","",IFERROR(IF(INDEX(CODIFICACION!$E$2:$E$500,MATCH("D5.18b|"&amp;CAPTURA!BR125,CODIFICACION!$F$2:$F$500,0))="sin dato","",INDEX(CODIFICACION!$E$2:$E$500,MATCH("D5.18b|"&amp;CAPTURA!BR125,CODIFICACION!$F$2:$F$500,0))),"⚠"))</f>
        <v/>
      </c>
      <c r="AN125" t="str">
        <f>IF(CAPTURA!BS125="","",IFERROR(IF(INDEX(CODIFICACION!$E$2:$E$500,MATCH("D5.19|"&amp;CAPTURA!BS125,CODIFICACION!$F$2:$F$500,0))="sin dato","",INDEX(CODIFICACION!$E$2:$E$500,MATCH("D5.19|"&amp;CAPTURA!BS125,CODIFICACION!$F$2:$F$500,0))),"⚠"))</f>
        <v/>
      </c>
      <c r="AO125" t="str">
        <f>IF(CAPTURA!BT125="","",MIN(100,ROUND((LEN(CAPTURA!BT125)-LEN(SUBSTITUTE(CAPTURA!BT125,";",""))+1)/7*100,1)))</f>
        <v/>
      </c>
      <c r="AP125" t="str">
        <f>IF(CAPTURA!BU125="","",IFERROR(IF(INDEX(CODIFICACION!$E$2:$E$500,MATCH("D5.20|"&amp;CAPTURA!BU125,CODIFICACION!$F$2:$F$500,0))="sin dato","",INDEX(CODIFICACION!$E$2:$E$500,MATCH("D5.20|"&amp;CAPTURA!BU125,CODIFICACION!$F$2:$F$500,0))),"⚠"))</f>
        <v/>
      </c>
      <c r="AQ125" t="str">
        <f>IF(CAPTURA!BV125="","",IFERROR(IF(INDEX(CODIFICACION!$E$2:$E$500,MATCH("D5.21|"&amp;CAPTURA!BV125,CODIFICACION!$F$2:$F$500,0))="sin dato","",INDEX(CODIFICACION!$E$2:$E$500,MATCH("D5.21|"&amp;CAPTURA!BV125,CODIFICACION!$F$2:$F$500,0))),"⚠"))</f>
        <v/>
      </c>
      <c r="AR125" t="str">
        <f>IF(CAPTURA!BW125="","",IFERROR(IF(INDEX(CODIFICACION!$E$2:$E$500,MATCH("D5.21a|"&amp;CAPTURA!BW125,CODIFICACION!$F$2:$F$500,0))="sin dato","",INDEX(CODIFICACION!$E$2:$E$500,MATCH("D5.21a|"&amp;CAPTURA!BW125,CODIFICACION!$F$2:$F$500,0))),"⚠"))</f>
        <v/>
      </c>
      <c r="AS125" t="str">
        <f>IF(CAPTURA!BX125="","",IFERROR(IF(INDEX(CODIFICACION!$E$2:$E$500,MATCH("D5.21b|"&amp;CAPTURA!BX125,CODIFICACION!$F$2:$F$500,0))="sin dato","",INDEX(CODIFICACION!$E$2:$E$500,MATCH("D5.21b|"&amp;CAPTURA!BX125,CODIFICACION!$F$2:$F$500,0))),"⚠"))</f>
        <v/>
      </c>
      <c r="AT125" t="str">
        <f>IF(CAPTURA!BY125="","",IFERROR(IF(INDEX(CODIFICACION!$E$2:$E$500,MATCH("D6.22|"&amp;CAPTURA!BY125,CODIFICACION!$F$2:$F$500,0))="sin dato","",INDEX(CODIFICACION!$E$2:$E$500,MATCH("D6.22|"&amp;CAPTURA!BY125,CODIFICACION!$F$2:$F$500,0))),"⚠"))</f>
        <v/>
      </c>
      <c r="AU125" t="str">
        <f>IF(CAPTURA!BZ125="","",IFERROR(IF(INDEX(CODIFICACION!$E$2:$E$500,MATCH("D6.22a|"&amp;CAPTURA!BZ125,CODIFICACION!$F$2:$F$500,0))="sin dato","",INDEX(CODIFICACION!$E$2:$E$500,MATCH("D6.22a|"&amp;CAPTURA!BZ125,CODIFICACION!$F$2:$F$500,0))),"⚠"))</f>
        <v/>
      </c>
      <c r="AV125" t="str">
        <f>IF(CAPTURA!CA125="","",IFERROR(IF(INDEX(CODIFICACION!$E$2:$E$500,MATCH("D6.22b|"&amp;CAPTURA!CA125,CODIFICACION!$F$2:$F$500,0))="sin dato","",INDEX(CODIFICACION!$E$2:$E$500,MATCH("D6.22b|"&amp;CAPTURA!CA125,CODIFICACION!$F$2:$F$500,0))),"⚠"))</f>
        <v/>
      </c>
      <c r="AW125" t="str">
        <f>IF(CAPTURA!CB125="","",IFERROR(IF(INDEX(CODIFICACION!$E$2:$E$500,MATCH("D6.23|"&amp;CAPTURA!CB125,CODIFICACION!$F$2:$F$500,0))="sin dato","",INDEX(CODIFICACION!$E$2:$E$500,MATCH("D6.23|"&amp;CAPTURA!CB125,CODIFICACION!$F$2:$F$500,0))),"⚠"))</f>
        <v/>
      </c>
      <c r="AX125" t="str">
        <f>IF(CAPTURA!CC125="","",IFERROR(IF(INDEX(CODIFICACION!$E$2:$E$500,MATCH("D6.24|"&amp;CAPTURA!CC125,CODIFICACION!$F$2:$F$500,0))="sin dato","",INDEX(CODIFICACION!$E$2:$E$500,MATCH("D6.24|"&amp;CAPTURA!CC125,CODIFICACION!$F$2:$F$500,0))),"⚠"))</f>
        <v/>
      </c>
      <c r="AY125" t="str">
        <f>IF(CAPTURA!CD125="","",IFERROR(IF(INDEX(CODIFICACION!$E$2:$E$500,MATCH("D6.25|"&amp;CAPTURA!CD125,CODIFICACION!$F$2:$F$500,0))="sin dato","",INDEX(CODIFICACION!$E$2:$E$500,MATCH("D6.25|"&amp;CAPTURA!CD125,CODIFICACION!$F$2:$F$500,0))),"⚠"))</f>
        <v/>
      </c>
      <c r="AZ125" t="str">
        <f>IF(CAPTURA!CE125="","",IFERROR(IF(INDEX(CODIFICACION!$E$2:$E$500,MATCH("D6.25a|"&amp;CAPTURA!CE125,CODIFICACION!$F$2:$F$500,0))="sin dato","",INDEX(CODIFICACION!$E$2:$E$500,MATCH("D6.25a|"&amp;CAPTURA!CE125,CODIFICACION!$F$2:$F$500,0))),"⚠"))</f>
        <v/>
      </c>
      <c r="BA125" t="str">
        <f>IF(CAPTURA!CF125="","",IFERROR(IF(INDEX(CODIFICACION!$E$2:$E$500,MATCH("D6.25b|"&amp;CAPTURA!CF125,CODIFICACION!$F$2:$F$500,0))="sin dato","",INDEX(CODIFICACION!$E$2:$E$500,MATCH("D6.25b|"&amp;CAPTURA!CF125,CODIFICACION!$F$2:$F$500,0))),"⚠"))</f>
        <v/>
      </c>
      <c r="BB125" t="str">
        <f>IF(CAPTURA!CG125="","",IFERROR(IF(INDEX(CODIFICACION!$E$2:$E$500,MATCH("D6.22c|"&amp;CAPTURA!CG125,CODIFICACION!$F$2:$F$500,0))="sin dato","",INDEX(CODIFICACION!$E$2:$E$500,MATCH("D6.22c|"&amp;CAPTURA!CG125,CODIFICACION!$F$2:$F$500,0))),"⚠"))</f>
        <v/>
      </c>
      <c r="BC125" t="str">
        <f>IF(CAPTURA!CH125="","",IFERROR(IF(INDEX(CODIFICACION!$E$2:$E$500,MATCH("D7.26|"&amp;CAPTURA!CH125,CODIFICACION!$F$2:$F$500,0))="sin dato","",INDEX(CODIFICACION!$E$2:$E$500,MATCH("D7.26|"&amp;CAPTURA!CH125,CODIFICACION!$F$2:$F$500,0))),"⚠"))</f>
        <v/>
      </c>
      <c r="BD125" t="str">
        <f>IF(CAPTURA!CI125="","",IFERROR(IF(INDEX(CODIFICACION!$E$2:$E$500,MATCH("D7.27|"&amp;CAPTURA!CI125,CODIFICACION!$F$2:$F$500,0))="sin dato","",INDEX(CODIFICACION!$E$2:$E$500,MATCH("D7.27|"&amp;CAPTURA!CI125,CODIFICACION!$F$2:$F$500,0))),"⚠"))</f>
        <v/>
      </c>
      <c r="BE125" t="str">
        <f>IF(CAPTURA!CJ125="","",IFERROR(IF(INDEX(CODIFICACION!$E$2:$E$500,MATCH("D7.28|"&amp;CAPTURA!CJ125,CODIFICACION!$F$2:$F$500,0))="sin dato","",INDEX(CODIFICACION!$E$2:$E$500,MATCH("D7.28|"&amp;CAPTURA!CJ125,CODIFICACION!$F$2:$F$500,0))),"⚠"))</f>
        <v/>
      </c>
      <c r="BF125" t="str">
        <f>IF(CAPTURA!CK125="","",IFERROR(IF(INDEX(CODIFICACION!$E$2:$E$500,MATCH("D7.28b|"&amp;CAPTURA!CK125,CODIFICACION!$F$2:$F$500,0))="sin dato","",INDEX(CODIFICACION!$E$2:$E$500,MATCH("D7.28b|"&amp;CAPTURA!CK125,CODIFICACION!$F$2:$F$500,0))),"⚠"))</f>
        <v/>
      </c>
      <c r="BG125" t="str">
        <f>IF(CAPTURA!CL125="","",MIN(100,ROUND((LEN(CAPTURA!CL125)-LEN(SUBSTITUTE(CAPTURA!CL125,";",""))+1)/8*100,1)))</f>
        <v/>
      </c>
      <c r="BH125" t="str">
        <f>IF(CAPTURA!CM125="","",IFERROR(IF(INDEX(CODIFICACION!$E$2:$E$500,MATCH("D7.26a|"&amp;CAPTURA!CM125,CODIFICACION!$F$2:$F$500,0))="sin dato","",INDEX(CODIFICACION!$E$2:$E$500,MATCH("D7.26a|"&amp;CAPTURA!CM125,CODIFICACION!$F$2:$F$500,0))),"⚠"))</f>
        <v/>
      </c>
      <c r="BI125" t="str">
        <f>IF(CAPTURA!CN125="","",IFERROR(IF(INDEX(CODIFICACION!$E$2:$E$500,MATCH("D7.26b|"&amp;CAPTURA!CN125,CODIFICACION!$F$2:$F$500,0))="sin dato","",INDEX(CODIFICACION!$E$2:$E$500,MATCH("D7.26b|"&amp;CAPTURA!CN125,CODIFICACION!$F$2:$F$500,0))),"⚠"))</f>
        <v/>
      </c>
      <c r="BJ125" t="str">
        <f>IF(CAPTURA!CO125="","",IF(AND(ISNUMBER(CAPTURA!CO125),CAPTURA!CO125&gt;=0,CAPTURA!CO125&lt;=4),CAPTURA!CO125*25,"⚠"))</f>
        <v/>
      </c>
      <c r="BK125" t="str">
        <f>IF(CAPTURA!CP125="","",IF(ISNUMBER(CAPTURA!CP125),MAX(0,MIN(100,CAPTURA!CP125)),"⚠"))</f>
        <v/>
      </c>
      <c r="BL125" t="str">
        <f>IF(CAPTURA!CQ125="","",IFERROR(IF(INDEX(CODIFICACION!$E$2:$E$500,MATCH("D8.31|"&amp;CAPTURA!CQ125,CODIFICACION!$F$2:$F$500,0))="sin dato","",INDEX(CODIFICACION!$E$2:$E$500,MATCH("D8.31|"&amp;CAPTURA!CQ125,CODIFICACION!$F$2:$F$500,0))),"⚠"))</f>
        <v/>
      </c>
      <c r="BM125" t="str">
        <f>IF(CAPTURA!CR125="","",IFERROR(IF(INDEX(CODIFICACION!$E$2:$E$500,MATCH("D8.32|"&amp;CAPTURA!CR125,CODIFICACION!$F$2:$F$500,0))="sin dato","",INDEX(CODIFICACION!$E$2:$E$500,MATCH("D8.32|"&amp;CAPTURA!CR125,CODIFICACION!$F$2:$F$500,0))),"⚠"))</f>
        <v/>
      </c>
      <c r="BN125" t="str">
        <f>IF(CAPTURA!CS125="","",IFERROR(IF(INDEX(CODIFICACION!$E$2:$E$500,MATCH("D9.33|"&amp;CAPTURA!CS125,CODIFICACION!$F$2:$F$500,0))="sin dato","",INDEX(CODIFICACION!$E$2:$E$500,MATCH("D9.33|"&amp;CAPTURA!CS125,CODIFICACION!$F$2:$F$500,0))),"⚠"))</f>
        <v/>
      </c>
      <c r="BO125" t="str">
        <f>IF(CAPTURA!CT125="","",IFERROR(IF(INDEX(CODIFICACION!$E$2:$E$500,MATCH("D9.34|"&amp;CAPTURA!CT125,CODIFICACION!$F$2:$F$500,0))="sin dato","",INDEX(CODIFICACION!$E$2:$E$500,MATCH("D9.34|"&amp;CAPTURA!CT125,CODIFICACION!$F$2:$F$500,0))),"⚠"))</f>
        <v/>
      </c>
      <c r="BP125" t="str">
        <f>IF(CAPTURA!CU125="","",IFERROR(IF(INDEX(CODIFICACION!$E$2:$E$500,MATCH("D9.35|"&amp;CAPTURA!CU125,CODIFICACION!$F$2:$F$500,0))="sin dato","",INDEX(CODIFICACION!$E$2:$E$500,MATCH("D9.35|"&amp;CAPTURA!CU125,CODIFICACION!$F$2:$F$500,0))),"⚠"))</f>
        <v/>
      </c>
      <c r="BQ125" t="str">
        <f>IF(CAPTURA!CV125="","",IFERROR(IF(INDEX(CODIFICACION!$E$2:$E$500,MATCH("D10.36|"&amp;CAPTURA!CV125,CODIFICACION!$F$2:$F$500,0))="sin dato","",INDEX(CODIFICACION!$E$2:$E$500,MATCH("D10.36|"&amp;CAPTURA!CV125,CODIFICACION!$F$2:$F$500,0))),"⚠"))</f>
        <v/>
      </c>
      <c r="BR125" t="str">
        <f>IF(CAPTURA!CW125="","",IFERROR(IF(INDEX(CODIFICACION!$E$2:$E$500,MATCH("D10.37|"&amp;CAPTURA!CW125,CODIFICACION!$F$2:$F$500,0))="sin dato","",INDEX(CODIFICACION!$E$2:$E$500,MATCH("D10.37|"&amp;CAPTURA!CW125,CODIFICACION!$F$2:$F$500,0))),"⚠"))</f>
        <v/>
      </c>
      <c r="BS125" t="str">
        <f>IF(CAPTURA!CX125="","",IFERROR(IF(INDEX(CODIFICACION!$E$2:$E$500,MATCH("D10.36a|"&amp;CAPTURA!CX125,CODIFICACION!$F$2:$F$500,0))="sin dato","",INDEX(CODIFICACION!$E$2:$E$500,MATCH("D10.36a|"&amp;CAPTURA!CX125,CODIFICACION!$F$2:$F$500,0))),"⚠"))</f>
        <v/>
      </c>
      <c r="BT125" t="str">
        <f>IF(CAPTURA!CY125="","",IF(ISNUMBER(SEARCH("Ninguno",CAPTURA!CY125)),0,MIN(100,ROUND((LEN(CAPTURA!CY125)-LEN(SUBSTITUTE(CAPTURA!CY125,";",""))+1)/6*100,1))))</f>
        <v/>
      </c>
      <c r="BU125" t="str">
        <f>IF(CAPTURA!DA125="","",IFERROR(IF(INDEX(CODIFICACION!$E$2:$E$500,MATCH("D11.39a|"&amp;CAPTURA!DA125,CODIFICACION!$F$2:$F$500,0))="sin dato","",INDEX(CODIFICACION!$E$2:$E$500,MATCH("D11.39a|"&amp;CAPTURA!DA125,CODIFICACION!$F$2:$F$500,0))),"⚠"))</f>
        <v/>
      </c>
      <c r="BV125" t="str">
        <f>IF(CAPTURA!DB125="","",IFERROR(IF(INDEX(CODIFICACION!$E$2:$E$500,MATCH("D12.42|"&amp;CAPTURA!DB125,CODIFICACION!$F$2:$F$500,0))="sin dato","",INDEX(CODIFICACION!$E$2:$E$500,MATCH("D12.42|"&amp;CAPTURA!DB125,CODIFICACION!$F$2:$F$500,0))),"⚠"))</f>
        <v/>
      </c>
      <c r="BW125" t="str">
        <f>IF(CAPTURA!DC125="","",IFERROR(IF(INDEX(CODIFICACION!$E$2:$E$500,MATCH("D13.45|"&amp;CAPTURA!DC125,CODIFICACION!$F$2:$F$500,0))="sin dato","",INDEX(CODIFICACION!$E$2:$E$500,MATCH("D13.45|"&amp;CAPTURA!DC125,CODIFICACION!$F$2:$F$500,0))),"⚠"))</f>
        <v/>
      </c>
      <c r="BX125" t="str">
        <f>IF(CAPTURA!DD125="","",IFERROR(IF(INDEX(CODIFICACION!$E$2:$E$500,MATCH("D14.51|"&amp;CAPTURA!DD125,CODIFICACION!$F$2:$F$500,0))="sin dato","",INDEX(CODIFICACION!$E$2:$E$500,MATCH("D14.51|"&amp;CAPTURA!DD125,CODIFICACION!$F$2:$F$500,0))),"⚠"))</f>
        <v/>
      </c>
      <c r="BY125" t="str">
        <f>IF(CAPTURA!DE125="","",IFERROR(IF(INDEX(CODIFICACION!$E$2:$E$500,MATCH("D15.58|"&amp;CAPTURA!DE125,CODIFICACION!$F$2:$F$500,0))="sin dato","",INDEX(CODIFICACION!$E$2:$E$500,MATCH("D15.58|"&amp;CAPTURA!DE125,CODIFICACION!$F$2:$F$500,0))),"⚠"))</f>
        <v/>
      </c>
      <c r="BZ125" t="str">
        <f>IF(CAPTURA!DF125="","",IFERROR(IF(INDEX(CODIFICACION!$E$2:$E$500,MATCH("PP1|"&amp;CAPTURA!DF125,CODIFICACION!$F$2:$F$500,0))="sin dato","",INDEX(CODIFICACION!$E$2:$E$500,MATCH("PP1|"&amp;CAPTURA!DF125,CODIFICACION!$F$2:$F$500,0))),"⚠"))</f>
        <v/>
      </c>
      <c r="CA125" t="str">
        <f>IF(CAPTURA!DG125="","",IFERROR(IF(INDEX(CODIFICACION!$E$2:$E$500,MATCH("PP2|"&amp;CAPTURA!DG125,CODIFICACION!$F$2:$F$500,0))="sin dato","",INDEX(CODIFICACION!$E$2:$E$500,MATCH("PP2|"&amp;CAPTURA!DG125,CODIFICACION!$F$2:$F$500,0))),"⚠"))</f>
        <v/>
      </c>
      <c r="CB125" t="str">
        <f t="shared" si="33"/>
        <v/>
      </c>
      <c r="CC125" t="str">
        <f t="shared" si="34"/>
        <v/>
      </c>
      <c r="CD125" t="str">
        <f t="shared" si="35"/>
        <v/>
      </c>
      <c r="CE125" t="str">
        <f t="shared" si="36"/>
        <v/>
      </c>
      <c r="CF125" t="str">
        <f t="shared" si="37"/>
        <v/>
      </c>
      <c r="CG125" t="str">
        <f t="shared" si="38"/>
        <v/>
      </c>
      <c r="CH125" t="str">
        <f t="shared" si="39"/>
        <v/>
      </c>
      <c r="CI125" t="str">
        <f t="shared" si="40"/>
        <v/>
      </c>
      <c r="CJ125" t="str">
        <f t="shared" si="41"/>
        <v/>
      </c>
      <c r="CK125" t="str">
        <f t="shared" si="42"/>
        <v/>
      </c>
      <c r="CL125" t="str">
        <f t="shared" si="43"/>
        <v/>
      </c>
    </row>
    <row r="126" spans="1:90" x14ac:dyDescent="0.3">
      <c r="A126">
        <f>CAPTURA!A126</f>
        <v>20601919657</v>
      </c>
      <c r="B126">
        <f>CAPTURA!C126</f>
        <v>0</v>
      </c>
      <c r="C126" t="str">
        <f>IF(CAPTURA!M126="","",ROUND((ISNUMBER(SEARCH("Alemania",CAPTURA!M126))+ISNUMBER(SEARCH("Bélgica",CAPTURA!M126))+ISNUMBER(SEARCH("Países Bajos",CAPTURA!M126))+ISNUMBER(SEARCH("Francia",CAPTURA!M126))+ISNUMBER(SEARCH("Italia",CAPTURA!M126))+ISNUMBER(SEARCH("España",CAPTURA!M126))+ISNUMBER(SEARCH("Suecia",CAPTURA!M126))+ISNUMBER(SEARCH("Dinamarca",CAPTURA!M126)))/((LEN(CAPTURA!M126)-LEN(SUBSTITUTE(CAPTURA!M126,";","")))+1)*100,1))</f>
        <v/>
      </c>
      <c r="D126" t="str">
        <f>IF(CAPTURA!AE126="","",IFERROR(IF(INDEX(CODIFICACION!$E$2:$E$500,MATCH("P8|"&amp;CAPTURA!AE126,CODIFICACION!$F$2:$F$500,0))="sin dato","",INDEX(CODIFICACION!$E$2:$E$500,MATCH("P8|"&amp;CAPTURA!AE126,CODIFICACION!$F$2:$F$500,0))),"⚠"))</f>
        <v/>
      </c>
      <c r="E126" t="str">
        <f>IF(CAPTURA!AG126="","",IFERROR(IF(INDEX(CODIFICACION!$E$2:$E$500,MATCH("P10|"&amp;CAPTURA!AG126,CODIFICACION!$F$2:$F$500,0))="sin dato","",INDEX(CODIFICACION!$E$2:$E$500,MATCH("P10|"&amp;CAPTURA!AG126,CODIFICACION!$F$2:$F$500,0))),"⚠"))</f>
        <v/>
      </c>
      <c r="F126" t="str">
        <f>IF(CAPTURA!AJ126="","",IFERROR(IF(INDEX(CODIFICACION!$E$2:$E$500,MATCH("P13|"&amp;CAPTURA!AJ126,CODIFICACION!$F$2:$F$500,0))="sin dato","",INDEX(CODIFICACION!$E$2:$E$500,MATCH("P13|"&amp;CAPTURA!AJ126,CODIFICACION!$F$2:$F$500,0))),"⚠"))</f>
        <v/>
      </c>
      <c r="G126" t="str">
        <f>IF(CAPTURA!AK126="","",IFERROR(IF(INDEX(CODIFICACION!$E$2:$E$500,MATCH("P14|"&amp;CAPTURA!AK126,CODIFICACION!$F$2:$F$500,0))="sin dato","",INDEX(CODIFICACION!$E$2:$E$500,MATCH("P14|"&amp;CAPTURA!AK126,CODIFICACION!$F$2:$F$500,0))),"⚠"))</f>
        <v/>
      </c>
      <c r="H126" t="str">
        <f>IF(CAPTURA!AL126="","",IFERROR(IF(INDEX(CODIFICACION!$E$2:$E$500,MATCH("D1.1|"&amp;CAPTURA!AL126,CODIFICACION!$F$2:$F$500,0))="sin dato","",INDEX(CODIFICACION!$E$2:$E$500,MATCH("D1.1|"&amp;CAPTURA!AL126,CODIFICACION!$F$2:$F$500,0))),"⚠"))</f>
        <v/>
      </c>
      <c r="I126" t="str">
        <f>IF(CAPTURA!AN126="","",IFERROR(IF(INDEX(CODIFICACION!$E$2:$E$500,MATCH("D1.3|"&amp;CAPTURA!AN126,CODIFICACION!$F$2:$F$500,0))="sin dato","",INDEX(CODIFICACION!$E$2:$E$500,MATCH("D1.3|"&amp;CAPTURA!AN126,CODIFICACION!$F$2:$F$500,0))),"⚠"))</f>
        <v/>
      </c>
      <c r="J126" t="str">
        <f>IF(CAPTURA!AO126="","",IFERROR(IF(INDEX(CODIFICACION!$E$2:$E$500,MATCH("D1.4|"&amp;CAPTURA!AO126,CODIFICACION!$F$2:$F$500,0))="sin dato","",INDEX(CODIFICACION!$E$2:$E$500,MATCH("D1.4|"&amp;CAPTURA!AO126,CODIFICACION!$F$2:$F$500,0))),"⚠"))</f>
        <v/>
      </c>
      <c r="K126" t="str">
        <f>IF(CAPTURA!AP126="","",IFERROR(IF(INDEX(CODIFICACION!$E$2:$E$500,MATCH("D1.3a|"&amp;CAPTURA!AP126,CODIFICACION!$F$2:$F$500,0))="sin dato","",INDEX(CODIFICACION!$E$2:$E$500,MATCH("D1.3a|"&amp;CAPTURA!AP126,CODIFICACION!$F$2:$F$500,0))),"⚠"))</f>
        <v/>
      </c>
      <c r="L126" t="str">
        <f>IF(CAPTURA!AQ126="","",IF(AND(ISNUMBER(CAPTURA!AQ126),CAPTURA!AQ126&gt;=0,CAPTURA!AQ126&lt;=4),CAPTURA!AQ126*25,"⚠"))</f>
        <v/>
      </c>
      <c r="M126" t="str">
        <f>IF(CAPTURA!AR126="","",IF(ISNUMBER(CAPTURA!AR126),MAX(0,MIN(100,CAPTURA!AR126)),"⚠"))</f>
        <v/>
      </c>
      <c r="N126" t="str">
        <f>IF(CAPTURA!AS126="","",IF(AND(ISNUMBER(CAPTURA!AS126),CAPTURA!AS126&gt;=0,CAPTURA!AS126&lt;=4),CAPTURA!AS126*25,"⚠"))</f>
        <v/>
      </c>
      <c r="O126" t="str">
        <f>IF(CAPTURA!AT126="","",IFERROR(IF(INDEX(CODIFICACION!$E$2:$E$500,MATCH("D2.8|"&amp;CAPTURA!AT126,CODIFICACION!$F$2:$F$500,0))="sin dato","",INDEX(CODIFICACION!$E$2:$E$500,MATCH("D2.8|"&amp;CAPTURA!AT126,CODIFICACION!$F$2:$F$500,0))),"⚠"))</f>
        <v/>
      </c>
      <c r="P126" t="str">
        <f>IF(CAPTURA!AU126="","",IFERROR(IF(INDEX(CODIFICACION!$E$2:$E$500,MATCH("D2.9|"&amp;CAPTURA!AU126,CODIFICACION!$F$2:$F$500,0))="sin dato","",INDEX(CODIFICACION!$E$2:$E$500,MATCH("D2.9|"&amp;CAPTURA!AU126,CODIFICACION!$F$2:$F$500,0))),"⚠"))</f>
        <v/>
      </c>
      <c r="Q126" t="str">
        <f>IF(CAPTURA!AV126="","",IFERROR(IF(INDEX(CODIFICACION!$E$2:$E$500,MATCH("D2.10|"&amp;CAPTURA!AV126,CODIFICACION!$F$2:$F$500,0))="sin dato","",INDEX(CODIFICACION!$E$2:$E$500,MATCH("D2.10|"&amp;CAPTURA!AV126,CODIFICACION!$F$2:$F$500,0))),"⚠"))</f>
        <v/>
      </c>
      <c r="R126" t="str">
        <f>IF(CAPTURA!AW126="","",IFERROR(IF(INDEX(CODIFICACION!$E$2:$E$500,MATCH("D2.5a|"&amp;CAPTURA!AW126,CODIFICACION!$F$2:$F$500,0))="sin dato","",INDEX(CODIFICACION!$E$2:$E$500,MATCH("D2.5a|"&amp;CAPTURA!AW126,CODIFICACION!$F$2:$F$500,0))),"⚠"))</f>
        <v/>
      </c>
      <c r="S126" t="str">
        <f>IF(CAPTURA!AX126="","",IFERROR(IF(INDEX(CODIFICACION!$E$2:$E$500,MATCH("D2.5b|"&amp;CAPTURA!AX126,CODIFICACION!$F$2:$F$500,0))="sin dato","",INDEX(CODIFICACION!$E$2:$E$500,MATCH("D2.5b|"&amp;CAPTURA!AX126,CODIFICACION!$F$2:$F$500,0))),"⚠"))</f>
        <v/>
      </c>
      <c r="T126" t="str">
        <f>IF(CAPTURA!AY126="","",IF(ISNUMBER(CAPTURA!AY126),MAX(0,MIN(100,CAPTURA!AY126)),"⚠"))</f>
        <v/>
      </c>
      <c r="U126" t="str">
        <f>IF(CAPTURA!AZ126="","",IFERROR(IF(INDEX(CODIFICACION!$E$2:$E$500,MATCH("D3.12|"&amp;CAPTURA!AZ126,CODIFICACION!$F$2:$F$500,0))="sin dato","",INDEX(CODIFICACION!$E$2:$E$500,MATCH("D3.12|"&amp;CAPTURA!AZ126,CODIFICACION!$F$2:$F$500,0))),"⚠"))</f>
        <v/>
      </c>
      <c r="V126" t="str">
        <f>IF(CAPTURA!BA126="","",IF(AND(ISNUMBER(CAPTURA!BA126),CAPTURA!BA126&gt;=0,CAPTURA!BA126&lt;=4),CAPTURA!BA126*25,"⚠"))</f>
        <v/>
      </c>
      <c r="W126" t="str">
        <f>IF(CAPTURA!BB126="","",IFERROR(IF(INDEX(CODIFICACION!$E$2:$E$500,MATCH("D3.14|"&amp;CAPTURA!BB126,CODIFICACION!$F$2:$F$500,0))="sin dato","",INDEX(CODIFICACION!$E$2:$E$500,MATCH("D3.14|"&amp;CAPTURA!BB126,CODIFICACION!$F$2:$F$500,0))),"⚠"))</f>
        <v/>
      </c>
      <c r="X126" t="str">
        <f>IF(CAPTURA!BC126="","",IFERROR(IF(INDEX(CODIFICACION!$E$2:$E$500,MATCH("D3.14a|"&amp;CAPTURA!BC126,CODIFICACION!$F$2:$F$500,0))="sin dato","",INDEX(CODIFICACION!$E$2:$E$500,MATCH("D3.14a|"&amp;CAPTURA!BC126,CODIFICACION!$F$2:$F$500,0))),"⚠"))</f>
        <v/>
      </c>
      <c r="Y126" t="str">
        <f>IF(CAPTURA!BD126="","",IFERROR(IF(INDEX(CODIFICACION!$E$2:$E$500,MATCH("D3.14b|"&amp;CAPTURA!BD126,CODIFICACION!$F$2:$F$500,0))="sin dato","",INDEX(CODIFICACION!$E$2:$E$500,MATCH("D3.14b|"&amp;CAPTURA!BD126,CODIFICACION!$F$2:$F$500,0))),"⚠"))</f>
        <v/>
      </c>
      <c r="Z126" t="str">
        <f>IF(CAPTURA!BE126="","",IFERROR(IF(INDEX(CODIFICACION!$E$2:$E$500,MATCH("D3.14c|"&amp;CAPTURA!BE126,CODIFICACION!$F$2:$F$500,0))="sin dato","",INDEX(CODIFICACION!$E$2:$E$500,MATCH("D3.14c|"&amp;CAPTURA!BE126,CODIFICACION!$F$2:$F$500,0))),"⚠"))</f>
        <v/>
      </c>
      <c r="AA126" t="str">
        <f>IF(CAPTURA!BF126="","",IFERROR(IF(INDEX(CODIFICACION!$E$2:$E$500,MATCH("D3.14d|"&amp;CAPTURA!BF126,CODIFICACION!$F$2:$F$500,0))="sin dato","",INDEX(CODIFICACION!$E$2:$E$500,MATCH("D3.14d|"&amp;CAPTURA!BF126,CODIFICACION!$F$2:$F$500,0))),"⚠"))</f>
        <v/>
      </c>
      <c r="AB126" t="str">
        <f>IF(CAPTURA!BG126="","",IFERROR(IF(INDEX(CODIFICACION!$E$2:$E$500,MATCH("D3.14e|"&amp;CAPTURA!BG126,CODIFICACION!$F$2:$F$500,0))="sin dato","",INDEX(CODIFICACION!$E$2:$E$500,MATCH("D3.14e|"&amp;CAPTURA!BG126,CODIFICACION!$F$2:$F$500,0))),"⚠"))</f>
        <v/>
      </c>
      <c r="AC126" t="str">
        <f>IF(CAPTURA!BH126="","",IFERROR(IF(INDEX(CODIFICACION!$E$2:$E$500,MATCH("D3.14f|"&amp;CAPTURA!BH126,CODIFICACION!$F$2:$F$500,0))="sin dato","",INDEX(CODIFICACION!$E$2:$E$500,MATCH("D3.14f|"&amp;CAPTURA!BH126,CODIFICACION!$F$2:$F$500,0))),"⚠"))</f>
        <v/>
      </c>
      <c r="AD126" t="str">
        <f>IF(CAPTURA!BI126="","",IFERROR(IF(INDEX(CODIFICACION!$E$2:$E$500,MATCH("D3.14g|"&amp;CAPTURA!BI126,CODIFICACION!$F$2:$F$500,0))="sin dato","",INDEX(CODIFICACION!$E$2:$E$500,MATCH("D3.14g|"&amp;CAPTURA!BI126,CODIFICACION!$F$2:$F$500,0))),"⚠"))</f>
        <v/>
      </c>
      <c r="AE126" t="str">
        <f>IF(CAPTURA!BJ126="","",IFERROR(IF(INDEX(CODIFICACION!$E$2:$E$500,MATCH("D3.14h|"&amp;CAPTURA!BJ126,CODIFICACION!$F$2:$F$500,0))="sin dato","",INDEX(CODIFICACION!$E$2:$E$500,MATCH("D3.14h|"&amp;CAPTURA!BJ126,CODIFICACION!$F$2:$F$500,0))),"⚠"))</f>
        <v/>
      </c>
      <c r="AF126" t="str">
        <f>IF(CAPTURA!BK126="","",IFERROR(IF(INDEX(CODIFICACION!$E$2:$E$500,MATCH("D3.14i|"&amp;CAPTURA!BK126,CODIFICACION!$F$2:$F$500,0))="sin dato","",INDEX(CODIFICACION!$E$2:$E$500,MATCH("D3.14i|"&amp;CAPTURA!BK126,CODIFICACION!$F$2:$F$500,0))),"⚠"))</f>
        <v/>
      </c>
      <c r="AG126" t="str">
        <f>IF(CAPTURA!BL126="","",IFERROR(IF(INDEX(CODIFICACION!$E$2:$E$500,MATCH("D4.15|"&amp;CAPTURA!BL126,CODIFICACION!$F$2:$F$500,0))="sin dato","",INDEX(CODIFICACION!$E$2:$E$500,MATCH("D4.15|"&amp;CAPTURA!BL126,CODIFICACION!$F$2:$F$500,0))),"⚠"))</f>
        <v/>
      </c>
      <c r="AH126" t="str">
        <f>IF(CAPTURA!BM126="","",IF(AND(ISNUMBER(CAPTURA!BM126),CAPTURA!BM126&gt;=0,CAPTURA!BM126&lt;=4),CAPTURA!BM126*25,"⚠"))</f>
        <v/>
      </c>
      <c r="AI126" t="str">
        <f>IF(CAPTURA!BN126="","",IFERROR(IF(INDEX(CODIFICACION!$E$2:$E$500,MATCH("D4.17|"&amp;CAPTURA!BN126,CODIFICACION!$F$2:$F$500,0))="sin dato","",INDEX(CODIFICACION!$E$2:$E$500,MATCH("D4.17|"&amp;CAPTURA!BN126,CODIFICACION!$F$2:$F$500,0))),"⚠"))</f>
        <v/>
      </c>
      <c r="AJ126" t="str">
        <f>IF(CAPTURA!BO126="","",IFERROR(IF(INDEX(CODIFICACION!$E$2:$E$500,MATCH("D4.15a|"&amp;CAPTURA!BO126,CODIFICACION!$F$2:$F$500,0))="sin dato","",INDEX(CODIFICACION!$E$2:$E$500,MATCH("D4.15a|"&amp;CAPTURA!BO126,CODIFICACION!$F$2:$F$500,0))),"⚠"))</f>
        <v/>
      </c>
      <c r="AK126" t="str">
        <f>IF(CAPTURA!BP126="","",IF(AND(ISNUMBER(CAPTURA!BP126),CAPTURA!BP126&gt;=0,CAPTURA!BP126&lt;=4),CAPTURA!BP126*25,"⚠"))</f>
        <v/>
      </c>
      <c r="AL126" t="str">
        <f>IF(CAPTURA!BQ126="","",IF(AND(ISNUMBER(CAPTURA!BQ126),CAPTURA!BQ126&gt;=0,CAPTURA!BQ126&lt;=4),CAPTURA!BQ126*25,"⚠"))</f>
        <v/>
      </c>
      <c r="AM126" t="str">
        <f>IF(CAPTURA!BR126="","",IFERROR(IF(INDEX(CODIFICACION!$E$2:$E$500,MATCH("D5.18b|"&amp;CAPTURA!BR126,CODIFICACION!$F$2:$F$500,0))="sin dato","",INDEX(CODIFICACION!$E$2:$E$500,MATCH("D5.18b|"&amp;CAPTURA!BR126,CODIFICACION!$F$2:$F$500,0))),"⚠"))</f>
        <v/>
      </c>
      <c r="AN126" t="str">
        <f>IF(CAPTURA!BS126="","",IFERROR(IF(INDEX(CODIFICACION!$E$2:$E$500,MATCH("D5.19|"&amp;CAPTURA!BS126,CODIFICACION!$F$2:$F$500,0))="sin dato","",INDEX(CODIFICACION!$E$2:$E$500,MATCH("D5.19|"&amp;CAPTURA!BS126,CODIFICACION!$F$2:$F$500,0))),"⚠"))</f>
        <v/>
      </c>
      <c r="AO126" t="str">
        <f>IF(CAPTURA!BT126="","",MIN(100,ROUND((LEN(CAPTURA!BT126)-LEN(SUBSTITUTE(CAPTURA!BT126,";",""))+1)/7*100,1)))</f>
        <v/>
      </c>
      <c r="AP126" t="str">
        <f>IF(CAPTURA!BU126="","",IFERROR(IF(INDEX(CODIFICACION!$E$2:$E$500,MATCH("D5.20|"&amp;CAPTURA!BU126,CODIFICACION!$F$2:$F$500,0))="sin dato","",INDEX(CODIFICACION!$E$2:$E$500,MATCH("D5.20|"&amp;CAPTURA!BU126,CODIFICACION!$F$2:$F$500,0))),"⚠"))</f>
        <v/>
      </c>
      <c r="AQ126" t="str">
        <f>IF(CAPTURA!BV126="","",IFERROR(IF(INDEX(CODIFICACION!$E$2:$E$500,MATCH("D5.21|"&amp;CAPTURA!BV126,CODIFICACION!$F$2:$F$500,0))="sin dato","",INDEX(CODIFICACION!$E$2:$E$500,MATCH("D5.21|"&amp;CAPTURA!BV126,CODIFICACION!$F$2:$F$500,0))),"⚠"))</f>
        <v/>
      </c>
      <c r="AR126" t="str">
        <f>IF(CAPTURA!BW126="","",IFERROR(IF(INDEX(CODIFICACION!$E$2:$E$500,MATCH("D5.21a|"&amp;CAPTURA!BW126,CODIFICACION!$F$2:$F$500,0))="sin dato","",INDEX(CODIFICACION!$E$2:$E$500,MATCH("D5.21a|"&amp;CAPTURA!BW126,CODIFICACION!$F$2:$F$500,0))),"⚠"))</f>
        <v/>
      </c>
      <c r="AS126" t="str">
        <f>IF(CAPTURA!BX126="","",IFERROR(IF(INDEX(CODIFICACION!$E$2:$E$500,MATCH("D5.21b|"&amp;CAPTURA!BX126,CODIFICACION!$F$2:$F$500,0))="sin dato","",INDEX(CODIFICACION!$E$2:$E$500,MATCH("D5.21b|"&amp;CAPTURA!BX126,CODIFICACION!$F$2:$F$500,0))),"⚠"))</f>
        <v/>
      </c>
      <c r="AT126" t="str">
        <f>IF(CAPTURA!BY126="","",IFERROR(IF(INDEX(CODIFICACION!$E$2:$E$500,MATCH("D6.22|"&amp;CAPTURA!BY126,CODIFICACION!$F$2:$F$500,0))="sin dato","",INDEX(CODIFICACION!$E$2:$E$500,MATCH("D6.22|"&amp;CAPTURA!BY126,CODIFICACION!$F$2:$F$500,0))),"⚠"))</f>
        <v/>
      </c>
      <c r="AU126" t="str">
        <f>IF(CAPTURA!BZ126="","",IFERROR(IF(INDEX(CODIFICACION!$E$2:$E$500,MATCH("D6.22a|"&amp;CAPTURA!BZ126,CODIFICACION!$F$2:$F$500,0))="sin dato","",INDEX(CODIFICACION!$E$2:$E$500,MATCH("D6.22a|"&amp;CAPTURA!BZ126,CODIFICACION!$F$2:$F$500,0))),"⚠"))</f>
        <v/>
      </c>
      <c r="AV126" t="str">
        <f>IF(CAPTURA!CA126="","",IFERROR(IF(INDEX(CODIFICACION!$E$2:$E$500,MATCH("D6.22b|"&amp;CAPTURA!CA126,CODIFICACION!$F$2:$F$500,0))="sin dato","",INDEX(CODIFICACION!$E$2:$E$500,MATCH("D6.22b|"&amp;CAPTURA!CA126,CODIFICACION!$F$2:$F$500,0))),"⚠"))</f>
        <v/>
      </c>
      <c r="AW126" t="str">
        <f>IF(CAPTURA!CB126="","",IFERROR(IF(INDEX(CODIFICACION!$E$2:$E$500,MATCH("D6.23|"&amp;CAPTURA!CB126,CODIFICACION!$F$2:$F$500,0))="sin dato","",INDEX(CODIFICACION!$E$2:$E$500,MATCH("D6.23|"&amp;CAPTURA!CB126,CODIFICACION!$F$2:$F$500,0))),"⚠"))</f>
        <v/>
      </c>
      <c r="AX126" t="str">
        <f>IF(CAPTURA!CC126="","",IFERROR(IF(INDEX(CODIFICACION!$E$2:$E$500,MATCH("D6.24|"&amp;CAPTURA!CC126,CODIFICACION!$F$2:$F$500,0))="sin dato","",INDEX(CODIFICACION!$E$2:$E$500,MATCH("D6.24|"&amp;CAPTURA!CC126,CODIFICACION!$F$2:$F$500,0))),"⚠"))</f>
        <v/>
      </c>
      <c r="AY126" t="str">
        <f>IF(CAPTURA!CD126="","",IFERROR(IF(INDEX(CODIFICACION!$E$2:$E$500,MATCH("D6.25|"&amp;CAPTURA!CD126,CODIFICACION!$F$2:$F$500,0))="sin dato","",INDEX(CODIFICACION!$E$2:$E$500,MATCH("D6.25|"&amp;CAPTURA!CD126,CODIFICACION!$F$2:$F$500,0))),"⚠"))</f>
        <v/>
      </c>
      <c r="AZ126" t="str">
        <f>IF(CAPTURA!CE126="","",IFERROR(IF(INDEX(CODIFICACION!$E$2:$E$500,MATCH("D6.25a|"&amp;CAPTURA!CE126,CODIFICACION!$F$2:$F$500,0))="sin dato","",INDEX(CODIFICACION!$E$2:$E$500,MATCH("D6.25a|"&amp;CAPTURA!CE126,CODIFICACION!$F$2:$F$500,0))),"⚠"))</f>
        <v/>
      </c>
      <c r="BA126" t="str">
        <f>IF(CAPTURA!CF126="","",IFERROR(IF(INDEX(CODIFICACION!$E$2:$E$500,MATCH("D6.25b|"&amp;CAPTURA!CF126,CODIFICACION!$F$2:$F$500,0))="sin dato","",INDEX(CODIFICACION!$E$2:$E$500,MATCH("D6.25b|"&amp;CAPTURA!CF126,CODIFICACION!$F$2:$F$500,0))),"⚠"))</f>
        <v/>
      </c>
      <c r="BB126" t="str">
        <f>IF(CAPTURA!CG126="","",IFERROR(IF(INDEX(CODIFICACION!$E$2:$E$500,MATCH("D6.22c|"&amp;CAPTURA!CG126,CODIFICACION!$F$2:$F$500,0))="sin dato","",INDEX(CODIFICACION!$E$2:$E$500,MATCH("D6.22c|"&amp;CAPTURA!CG126,CODIFICACION!$F$2:$F$500,0))),"⚠"))</f>
        <v/>
      </c>
      <c r="BC126" t="str">
        <f>IF(CAPTURA!CH126="","",IFERROR(IF(INDEX(CODIFICACION!$E$2:$E$500,MATCH("D7.26|"&amp;CAPTURA!CH126,CODIFICACION!$F$2:$F$500,0))="sin dato","",INDEX(CODIFICACION!$E$2:$E$500,MATCH("D7.26|"&amp;CAPTURA!CH126,CODIFICACION!$F$2:$F$500,0))),"⚠"))</f>
        <v/>
      </c>
      <c r="BD126" t="str">
        <f>IF(CAPTURA!CI126="","",IFERROR(IF(INDEX(CODIFICACION!$E$2:$E$500,MATCH("D7.27|"&amp;CAPTURA!CI126,CODIFICACION!$F$2:$F$500,0))="sin dato","",INDEX(CODIFICACION!$E$2:$E$500,MATCH("D7.27|"&amp;CAPTURA!CI126,CODIFICACION!$F$2:$F$500,0))),"⚠"))</f>
        <v/>
      </c>
      <c r="BE126" t="str">
        <f>IF(CAPTURA!CJ126="","",IFERROR(IF(INDEX(CODIFICACION!$E$2:$E$500,MATCH("D7.28|"&amp;CAPTURA!CJ126,CODIFICACION!$F$2:$F$500,0))="sin dato","",INDEX(CODIFICACION!$E$2:$E$500,MATCH("D7.28|"&amp;CAPTURA!CJ126,CODIFICACION!$F$2:$F$500,0))),"⚠"))</f>
        <v/>
      </c>
      <c r="BF126" t="str">
        <f>IF(CAPTURA!CK126="","",IFERROR(IF(INDEX(CODIFICACION!$E$2:$E$500,MATCH("D7.28b|"&amp;CAPTURA!CK126,CODIFICACION!$F$2:$F$500,0))="sin dato","",INDEX(CODIFICACION!$E$2:$E$500,MATCH("D7.28b|"&amp;CAPTURA!CK126,CODIFICACION!$F$2:$F$500,0))),"⚠"))</f>
        <v/>
      </c>
      <c r="BG126" t="str">
        <f>IF(CAPTURA!CL126="","",MIN(100,ROUND((LEN(CAPTURA!CL126)-LEN(SUBSTITUTE(CAPTURA!CL126,";",""))+1)/8*100,1)))</f>
        <v/>
      </c>
      <c r="BH126" t="str">
        <f>IF(CAPTURA!CM126="","",IFERROR(IF(INDEX(CODIFICACION!$E$2:$E$500,MATCH("D7.26a|"&amp;CAPTURA!CM126,CODIFICACION!$F$2:$F$500,0))="sin dato","",INDEX(CODIFICACION!$E$2:$E$500,MATCH("D7.26a|"&amp;CAPTURA!CM126,CODIFICACION!$F$2:$F$500,0))),"⚠"))</f>
        <v/>
      </c>
      <c r="BI126" t="str">
        <f>IF(CAPTURA!CN126="","",IFERROR(IF(INDEX(CODIFICACION!$E$2:$E$500,MATCH("D7.26b|"&amp;CAPTURA!CN126,CODIFICACION!$F$2:$F$500,0))="sin dato","",INDEX(CODIFICACION!$E$2:$E$500,MATCH("D7.26b|"&amp;CAPTURA!CN126,CODIFICACION!$F$2:$F$500,0))),"⚠"))</f>
        <v/>
      </c>
      <c r="BJ126" t="str">
        <f>IF(CAPTURA!CO126="","",IF(AND(ISNUMBER(CAPTURA!CO126),CAPTURA!CO126&gt;=0,CAPTURA!CO126&lt;=4),CAPTURA!CO126*25,"⚠"))</f>
        <v/>
      </c>
      <c r="BK126" t="str">
        <f>IF(CAPTURA!CP126="","",IF(ISNUMBER(CAPTURA!CP126),MAX(0,MIN(100,CAPTURA!CP126)),"⚠"))</f>
        <v/>
      </c>
      <c r="BL126" t="str">
        <f>IF(CAPTURA!CQ126="","",IFERROR(IF(INDEX(CODIFICACION!$E$2:$E$500,MATCH("D8.31|"&amp;CAPTURA!CQ126,CODIFICACION!$F$2:$F$500,0))="sin dato","",INDEX(CODIFICACION!$E$2:$E$500,MATCH("D8.31|"&amp;CAPTURA!CQ126,CODIFICACION!$F$2:$F$500,0))),"⚠"))</f>
        <v/>
      </c>
      <c r="BM126" t="str">
        <f>IF(CAPTURA!CR126="","",IFERROR(IF(INDEX(CODIFICACION!$E$2:$E$500,MATCH("D8.32|"&amp;CAPTURA!CR126,CODIFICACION!$F$2:$F$500,0))="sin dato","",INDEX(CODIFICACION!$E$2:$E$500,MATCH("D8.32|"&amp;CAPTURA!CR126,CODIFICACION!$F$2:$F$500,0))),"⚠"))</f>
        <v/>
      </c>
      <c r="BN126" t="str">
        <f>IF(CAPTURA!CS126="","",IFERROR(IF(INDEX(CODIFICACION!$E$2:$E$500,MATCH("D9.33|"&amp;CAPTURA!CS126,CODIFICACION!$F$2:$F$500,0))="sin dato","",INDEX(CODIFICACION!$E$2:$E$500,MATCH("D9.33|"&amp;CAPTURA!CS126,CODIFICACION!$F$2:$F$500,0))),"⚠"))</f>
        <v/>
      </c>
      <c r="BO126" t="str">
        <f>IF(CAPTURA!CT126="","",IFERROR(IF(INDEX(CODIFICACION!$E$2:$E$500,MATCH("D9.34|"&amp;CAPTURA!CT126,CODIFICACION!$F$2:$F$500,0))="sin dato","",INDEX(CODIFICACION!$E$2:$E$500,MATCH("D9.34|"&amp;CAPTURA!CT126,CODIFICACION!$F$2:$F$500,0))),"⚠"))</f>
        <v/>
      </c>
      <c r="BP126" t="str">
        <f>IF(CAPTURA!CU126="","",IFERROR(IF(INDEX(CODIFICACION!$E$2:$E$500,MATCH("D9.35|"&amp;CAPTURA!CU126,CODIFICACION!$F$2:$F$500,0))="sin dato","",INDEX(CODIFICACION!$E$2:$E$500,MATCH("D9.35|"&amp;CAPTURA!CU126,CODIFICACION!$F$2:$F$500,0))),"⚠"))</f>
        <v/>
      </c>
      <c r="BQ126" t="str">
        <f>IF(CAPTURA!CV126="","",IFERROR(IF(INDEX(CODIFICACION!$E$2:$E$500,MATCH("D10.36|"&amp;CAPTURA!CV126,CODIFICACION!$F$2:$F$500,0))="sin dato","",INDEX(CODIFICACION!$E$2:$E$500,MATCH("D10.36|"&amp;CAPTURA!CV126,CODIFICACION!$F$2:$F$500,0))),"⚠"))</f>
        <v/>
      </c>
      <c r="BR126" t="str">
        <f>IF(CAPTURA!CW126="","",IFERROR(IF(INDEX(CODIFICACION!$E$2:$E$500,MATCH("D10.37|"&amp;CAPTURA!CW126,CODIFICACION!$F$2:$F$500,0))="sin dato","",INDEX(CODIFICACION!$E$2:$E$500,MATCH("D10.37|"&amp;CAPTURA!CW126,CODIFICACION!$F$2:$F$500,0))),"⚠"))</f>
        <v/>
      </c>
      <c r="BS126" t="str">
        <f>IF(CAPTURA!CX126="","",IFERROR(IF(INDEX(CODIFICACION!$E$2:$E$500,MATCH("D10.36a|"&amp;CAPTURA!CX126,CODIFICACION!$F$2:$F$500,0))="sin dato","",INDEX(CODIFICACION!$E$2:$E$500,MATCH("D10.36a|"&amp;CAPTURA!CX126,CODIFICACION!$F$2:$F$500,0))),"⚠"))</f>
        <v/>
      </c>
      <c r="BT126" t="str">
        <f>IF(CAPTURA!CY126="","",IF(ISNUMBER(SEARCH("Ninguno",CAPTURA!CY126)),0,MIN(100,ROUND((LEN(CAPTURA!CY126)-LEN(SUBSTITUTE(CAPTURA!CY126,";",""))+1)/6*100,1))))</f>
        <v/>
      </c>
      <c r="BU126" t="str">
        <f>IF(CAPTURA!DA126="","",IFERROR(IF(INDEX(CODIFICACION!$E$2:$E$500,MATCH("D11.39a|"&amp;CAPTURA!DA126,CODIFICACION!$F$2:$F$500,0))="sin dato","",INDEX(CODIFICACION!$E$2:$E$500,MATCH("D11.39a|"&amp;CAPTURA!DA126,CODIFICACION!$F$2:$F$500,0))),"⚠"))</f>
        <v/>
      </c>
      <c r="BV126" t="str">
        <f>IF(CAPTURA!DB126="","",IFERROR(IF(INDEX(CODIFICACION!$E$2:$E$500,MATCH("D12.42|"&amp;CAPTURA!DB126,CODIFICACION!$F$2:$F$500,0))="sin dato","",INDEX(CODIFICACION!$E$2:$E$500,MATCH("D12.42|"&amp;CAPTURA!DB126,CODIFICACION!$F$2:$F$500,0))),"⚠"))</f>
        <v/>
      </c>
      <c r="BW126" t="str">
        <f>IF(CAPTURA!DC126="","",IFERROR(IF(INDEX(CODIFICACION!$E$2:$E$500,MATCH("D13.45|"&amp;CAPTURA!DC126,CODIFICACION!$F$2:$F$500,0))="sin dato","",INDEX(CODIFICACION!$E$2:$E$500,MATCH("D13.45|"&amp;CAPTURA!DC126,CODIFICACION!$F$2:$F$500,0))),"⚠"))</f>
        <v/>
      </c>
      <c r="BX126" t="str">
        <f>IF(CAPTURA!DD126="","",IFERROR(IF(INDEX(CODIFICACION!$E$2:$E$500,MATCH("D14.51|"&amp;CAPTURA!DD126,CODIFICACION!$F$2:$F$500,0))="sin dato","",INDEX(CODIFICACION!$E$2:$E$500,MATCH("D14.51|"&amp;CAPTURA!DD126,CODIFICACION!$F$2:$F$500,0))),"⚠"))</f>
        <v/>
      </c>
      <c r="BY126" t="str">
        <f>IF(CAPTURA!DE126="","",IFERROR(IF(INDEX(CODIFICACION!$E$2:$E$500,MATCH("D15.58|"&amp;CAPTURA!DE126,CODIFICACION!$F$2:$F$500,0))="sin dato","",INDEX(CODIFICACION!$E$2:$E$500,MATCH("D15.58|"&amp;CAPTURA!DE126,CODIFICACION!$F$2:$F$500,0))),"⚠"))</f>
        <v/>
      </c>
      <c r="BZ126" t="str">
        <f>IF(CAPTURA!DF126="","",IFERROR(IF(INDEX(CODIFICACION!$E$2:$E$500,MATCH("PP1|"&amp;CAPTURA!DF126,CODIFICACION!$F$2:$F$500,0))="sin dato","",INDEX(CODIFICACION!$E$2:$E$500,MATCH("PP1|"&amp;CAPTURA!DF126,CODIFICACION!$F$2:$F$500,0))),"⚠"))</f>
        <v/>
      </c>
      <c r="CA126" t="str">
        <f>IF(CAPTURA!DG126="","",IFERROR(IF(INDEX(CODIFICACION!$E$2:$E$500,MATCH("PP2|"&amp;CAPTURA!DG126,CODIFICACION!$F$2:$F$500,0))="sin dato","",INDEX(CODIFICACION!$E$2:$E$500,MATCH("PP2|"&amp;CAPTURA!DG126,CODIFICACION!$F$2:$F$500,0))),"⚠"))</f>
        <v/>
      </c>
      <c r="CB126" t="str">
        <f t="shared" si="33"/>
        <v/>
      </c>
      <c r="CC126" t="str">
        <f t="shared" si="34"/>
        <v/>
      </c>
      <c r="CD126" t="str">
        <f t="shared" si="35"/>
        <v/>
      </c>
      <c r="CE126" t="str">
        <f t="shared" si="36"/>
        <v/>
      </c>
      <c r="CF126" t="str">
        <f t="shared" si="37"/>
        <v/>
      </c>
      <c r="CG126" t="str">
        <f t="shared" si="38"/>
        <v/>
      </c>
      <c r="CH126" t="str">
        <f t="shared" si="39"/>
        <v/>
      </c>
      <c r="CI126" t="str">
        <f t="shared" si="40"/>
        <v/>
      </c>
      <c r="CJ126" t="str">
        <f t="shared" si="41"/>
        <v/>
      </c>
      <c r="CK126" t="str">
        <f t="shared" si="42"/>
        <v/>
      </c>
      <c r="CL126" t="str">
        <f t="shared" si="43"/>
        <v/>
      </c>
    </row>
    <row r="127" spans="1:90" x14ac:dyDescent="0.3">
      <c r="A127">
        <f>CAPTURA!A127</f>
        <v>20601939402</v>
      </c>
      <c r="B127">
        <f>CAPTURA!C127</f>
        <v>0</v>
      </c>
      <c r="C127" t="str">
        <f>IF(CAPTURA!M127="","",ROUND((ISNUMBER(SEARCH("Alemania",CAPTURA!M127))+ISNUMBER(SEARCH("Bélgica",CAPTURA!M127))+ISNUMBER(SEARCH("Países Bajos",CAPTURA!M127))+ISNUMBER(SEARCH("Francia",CAPTURA!M127))+ISNUMBER(SEARCH("Italia",CAPTURA!M127))+ISNUMBER(SEARCH("España",CAPTURA!M127))+ISNUMBER(SEARCH("Suecia",CAPTURA!M127))+ISNUMBER(SEARCH("Dinamarca",CAPTURA!M127)))/((LEN(CAPTURA!M127)-LEN(SUBSTITUTE(CAPTURA!M127,";","")))+1)*100,1))</f>
        <v/>
      </c>
      <c r="D127" t="str">
        <f>IF(CAPTURA!AE127="","",IFERROR(IF(INDEX(CODIFICACION!$E$2:$E$500,MATCH("P8|"&amp;CAPTURA!AE127,CODIFICACION!$F$2:$F$500,0))="sin dato","",INDEX(CODIFICACION!$E$2:$E$500,MATCH("P8|"&amp;CAPTURA!AE127,CODIFICACION!$F$2:$F$500,0))),"⚠"))</f>
        <v/>
      </c>
      <c r="E127" t="str">
        <f>IF(CAPTURA!AG127="","",IFERROR(IF(INDEX(CODIFICACION!$E$2:$E$500,MATCH("P10|"&amp;CAPTURA!AG127,CODIFICACION!$F$2:$F$500,0))="sin dato","",INDEX(CODIFICACION!$E$2:$E$500,MATCH("P10|"&amp;CAPTURA!AG127,CODIFICACION!$F$2:$F$500,0))),"⚠"))</f>
        <v/>
      </c>
      <c r="F127" t="str">
        <f>IF(CAPTURA!AJ127="","",IFERROR(IF(INDEX(CODIFICACION!$E$2:$E$500,MATCH("P13|"&amp;CAPTURA!AJ127,CODIFICACION!$F$2:$F$500,0))="sin dato","",INDEX(CODIFICACION!$E$2:$E$500,MATCH("P13|"&amp;CAPTURA!AJ127,CODIFICACION!$F$2:$F$500,0))),"⚠"))</f>
        <v/>
      </c>
      <c r="G127" t="str">
        <f>IF(CAPTURA!AK127="","",IFERROR(IF(INDEX(CODIFICACION!$E$2:$E$500,MATCH("P14|"&amp;CAPTURA!AK127,CODIFICACION!$F$2:$F$500,0))="sin dato","",INDEX(CODIFICACION!$E$2:$E$500,MATCH("P14|"&amp;CAPTURA!AK127,CODIFICACION!$F$2:$F$500,0))),"⚠"))</f>
        <v/>
      </c>
      <c r="H127" t="str">
        <f>IF(CAPTURA!AL127="","",IFERROR(IF(INDEX(CODIFICACION!$E$2:$E$500,MATCH("D1.1|"&amp;CAPTURA!AL127,CODIFICACION!$F$2:$F$500,0))="sin dato","",INDEX(CODIFICACION!$E$2:$E$500,MATCH("D1.1|"&amp;CAPTURA!AL127,CODIFICACION!$F$2:$F$500,0))),"⚠"))</f>
        <v/>
      </c>
      <c r="I127" t="str">
        <f>IF(CAPTURA!AN127="","",IFERROR(IF(INDEX(CODIFICACION!$E$2:$E$500,MATCH("D1.3|"&amp;CAPTURA!AN127,CODIFICACION!$F$2:$F$500,0))="sin dato","",INDEX(CODIFICACION!$E$2:$E$500,MATCH("D1.3|"&amp;CAPTURA!AN127,CODIFICACION!$F$2:$F$500,0))),"⚠"))</f>
        <v/>
      </c>
      <c r="J127" t="str">
        <f>IF(CAPTURA!AO127="","",IFERROR(IF(INDEX(CODIFICACION!$E$2:$E$500,MATCH("D1.4|"&amp;CAPTURA!AO127,CODIFICACION!$F$2:$F$500,0))="sin dato","",INDEX(CODIFICACION!$E$2:$E$500,MATCH("D1.4|"&amp;CAPTURA!AO127,CODIFICACION!$F$2:$F$500,0))),"⚠"))</f>
        <v/>
      </c>
      <c r="K127" t="str">
        <f>IF(CAPTURA!AP127="","",IFERROR(IF(INDEX(CODIFICACION!$E$2:$E$500,MATCH("D1.3a|"&amp;CAPTURA!AP127,CODIFICACION!$F$2:$F$500,0))="sin dato","",INDEX(CODIFICACION!$E$2:$E$500,MATCH("D1.3a|"&amp;CAPTURA!AP127,CODIFICACION!$F$2:$F$500,0))),"⚠"))</f>
        <v/>
      </c>
      <c r="L127" t="str">
        <f>IF(CAPTURA!AQ127="","",IF(AND(ISNUMBER(CAPTURA!AQ127),CAPTURA!AQ127&gt;=0,CAPTURA!AQ127&lt;=4),CAPTURA!AQ127*25,"⚠"))</f>
        <v/>
      </c>
      <c r="M127" t="str">
        <f>IF(CAPTURA!AR127="","",IF(ISNUMBER(CAPTURA!AR127),MAX(0,MIN(100,CAPTURA!AR127)),"⚠"))</f>
        <v/>
      </c>
      <c r="N127" t="str">
        <f>IF(CAPTURA!AS127="","",IF(AND(ISNUMBER(CAPTURA!AS127),CAPTURA!AS127&gt;=0,CAPTURA!AS127&lt;=4),CAPTURA!AS127*25,"⚠"))</f>
        <v/>
      </c>
      <c r="O127" t="str">
        <f>IF(CAPTURA!AT127="","",IFERROR(IF(INDEX(CODIFICACION!$E$2:$E$500,MATCH("D2.8|"&amp;CAPTURA!AT127,CODIFICACION!$F$2:$F$500,0))="sin dato","",INDEX(CODIFICACION!$E$2:$E$500,MATCH("D2.8|"&amp;CAPTURA!AT127,CODIFICACION!$F$2:$F$500,0))),"⚠"))</f>
        <v/>
      </c>
      <c r="P127" t="str">
        <f>IF(CAPTURA!AU127="","",IFERROR(IF(INDEX(CODIFICACION!$E$2:$E$500,MATCH("D2.9|"&amp;CAPTURA!AU127,CODIFICACION!$F$2:$F$500,0))="sin dato","",INDEX(CODIFICACION!$E$2:$E$500,MATCH("D2.9|"&amp;CAPTURA!AU127,CODIFICACION!$F$2:$F$500,0))),"⚠"))</f>
        <v/>
      </c>
      <c r="Q127" t="str">
        <f>IF(CAPTURA!AV127="","",IFERROR(IF(INDEX(CODIFICACION!$E$2:$E$500,MATCH("D2.10|"&amp;CAPTURA!AV127,CODIFICACION!$F$2:$F$500,0))="sin dato","",INDEX(CODIFICACION!$E$2:$E$500,MATCH("D2.10|"&amp;CAPTURA!AV127,CODIFICACION!$F$2:$F$500,0))),"⚠"))</f>
        <v/>
      </c>
      <c r="R127" t="str">
        <f>IF(CAPTURA!AW127="","",IFERROR(IF(INDEX(CODIFICACION!$E$2:$E$500,MATCH("D2.5a|"&amp;CAPTURA!AW127,CODIFICACION!$F$2:$F$500,0))="sin dato","",INDEX(CODIFICACION!$E$2:$E$500,MATCH("D2.5a|"&amp;CAPTURA!AW127,CODIFICACION!$F$2:$F$500,0))),"⚠"))</f>
        <v/>
      </c>
      <c r="S127" t="str">
        <f>IF(CAPTURA!AX127="","",IFERROR(IF(INDEX(CODIFICACION!$E$2:$E$500,MATCH("D2.5b|"&amp;CAPTURA!AX127,CODIFICACION!$F$2:$F$500,0))="sin dato","",INDEX(CODIFICACION!$E$2:$E$500,MATCH("D2.5b|"&amp;CAPTURA!AX127,CODIFICACION!$F$2:$F$500,0))),"⚠"))</f>
        <v/>
      </c>
      <c r="T127" t="str">
        <f>IF(CAPTURA!AY127="","",IF(ISNUMBER(CAPTURA!AY127),MAX(0,MIN(100,CAPTURA!AY127)),"⚠"))</f>
        <v/>
      </c>
      <c r="U127" t="str">
        <f>IF(CAPTURA!AZ127="","",IFERROR(IF(INDEX(CODIFICACION!$E$2:$E$500,MATCH("D3.12|"&amp;CAPTURA!AZ127,CODIFICACION!$F$2:$F$500,0))="sin dato","",INDEX(CODIFICACION!$E$2:$E$500,MATCH("D3.12|"&amp;CAPTURA!AZ127,CODIFICACION!$F$2:$F$500,0))),"⚠"))</f>
        <v/>
      </c>
      <c r="V127" t="str">
        <f>IF(CAPTURA!BA127="","",IF(AND(ISNUMBER(CAPTURA!BA127),CAPTURA!BA127&gt;=0,CAPTURA!BA127&lt;=4),CAPTURA!BA127*25,"⚠"))</f>
        <v/>
      </c>
      <c r="W127" t="str">
        <f>IF(CAPTURA!BB127="","",IFERROR(IF(INDEX(CODIFICACION!$E$2:$E$500,MATCH("D3.14|"&amp;CAPTURA!BB127,CODIFICACION!$F$2:$F$500,0))="sin dato","",INDEX(CODIFICACION!$E$2:$E$500,MATCH("D3.14|"&amp;CAPTURA!BB127,CODIFICACION!$F$2:$F$500,0))),"⚠"))</f>
        <v/>
      </c>
      <c r="X127" t="str">
        <f>IF(CAPTURA!BC127="","",IFERROR(IF(INDEX(CODIFICACION!$E$2:$E$500,MATCH("D3.14a|"&amp;CAPTURA!BC127,CODIFICACION!$F$2:$F$500,0))="sin dato","",INDEX(CODIFICACION!$E$2:$E$500,MATCH("D3.14a|"&amp;CAPTURA!BC127,CODIFICACION!$F$2:$F$500,0))),"⚠"))</f>
        <v/>
      </c>
      <c r="Y127" t="str">
        <f>IF(CAPTURA!BD127="","",IFERROR(IF(INDEX(CODIFICACION!$E$2:$E$500,MATCH("D3.14b|"&amp;CAPTURA!BD127,CODIFICACION!$F$2:$F$500,0))="sin dato","",INDEX(CODIFICACION!$E$2:$E$500,MATCH("D3.14b|"&amp;CAPTURA!BD127,CODIFICACION!$F$2:$F$500,0))),"⚠"))</f>
        <v/>
      </c>
      <c r="Z127" t="str">
        <f>IF(CAPTURA!BE127="","",IFERROR(IF(INDEX(CODIFICACION!$E$2:$E$500,MATCH("D3.14c|"&amp;CAPTURA!BE127,CODIFICACION!$F$2:$F$500,0))="sin dato","",INDEX(CODIFICACION!$E$2:$E$500,MATCH("D3.14c|"&amp;CAPTURA!BE127,CODIFICACION!$F$2:$F$500,0))),"⚠"))</f>
        <v/>
      </c>
      <c r="AA127" t="str">
        <f>IF(CAPTURA!BF127="","",IFERROR(IF(INDEX(CODIFICACION!$E$2:$E$500,MATCH("D3.14d|"&amp;CAPTURA!BF127,CODIFICACION!$F$2:$F$500,0))="sin dato","",INDEX(CODIFICACION!$E$2:$E$500,MATCH("D3.14d|"&amp;CAPTURA!BF127,CODIFICACION!$F$2:$F$500,0))),"⚠"))</f>
        <v/>
      </c>
      <c r="AB127" t="str">
        <f>IF(CAPTURA!BG127="","",IFERROR(IF(INDEX(CODIFICACION!$E$2:$E$500,MATCH("D3.14e|"&amp;CAPTURA!BG127,CODIFICACION!$F$2:$F$500,0))="sin dato","",INDEX(CODIFICACION!$E$2:$E$500,MATCH("D3.14e|"&amp;CAPTURA!BG127,CODIFICACION!$F$2:$F$500,0))),"⚠"))</f>
        <v/>
      </c>
      <c r="AC127" t="str">
        <f>IF(CAPTURA!BH127="","",IFERROR(IF(INDEX(CODIFICACION!$E$2:$E$500,MATCH("D3.14f|"&amp;CAPTURA!BH127,CODIFICACION!$F$2:$F$500,0))="sin dato","",INDEX(CODIFICACION!$E$2:$E$500,MATCH("D3.14f|"&amp;CAPTURA!BH127,CODIFICACION!$F$2:$F$500,0))),"⚠"))</f>
        <v/>
      </c>
      <c r="AD127" t="str">
        <f>IF(CAPTURA!BI127="","",IFERROR(IF(INDEX(CODIFICACION!$E$2:$E$500,MATCH("D3.14g|"&amp;CAPTURA!BI127,CODIFICACION!$F$2:$F$500,0))="sin dato","",INDEX(CODIFICACION!$E$2:$E$500,MATCH("D3.14g|"&amp;CAPTURA!BI127,CODIFICACION!$F$2:$F$500,0))),"⚠"))</f>
        <v/>
      </c>
      <c r="AE127" t="str">
        <f>IF(CAPTURA!BJ127="","",IFERROR(IF(INDEX(CODIFICACION!$E$2:$E$500,MATCH("D3.14h|"&amp;CAPTURA!BJ127,CODIFICACION!$F$2:$F$500,0))="sin dato","",INDEX(CODIFICACION!$E$2:$E$500,MATCH("D3.14h|"&amp;CAPTURA!BJ127,CODIFICACION!$F$2:$F$500,0))),"⚠"))</f>
        <v/>
      </c>
      <c r="AF127" t="str">
        <f>IF(CAPTURA!BK127="","",IFERROR(IF(INDEX(CODIFICACION!$E$2:$E$500,MATCH("D3.14i|"&amp;CAPTURA!BK127,CODIFICACION!$F$2:$F$500,0))="sin dato","",INDEX(CODIFICACION!$E$2:$E$500,MATCH("D3.14i|"&amp;CAPTURA!BK127,CODIFICACION!$F$2:$F$500,0))),"⚠"))</f>
        <v/>
      </c>
      <c r="AG127" t="str">
        <f>IF(CAPTURA!BL127="","",IFERROR(IF(INDEX(CODIFICACION!$E$2:$E$500,MATCH("D4.15|"&amp;CAPTURA!BL127,CODIFICACION!$F$2:$F$500,0))="sin dato","",INDEX(CODIFICACION!$E$2:$E$500,MATCH("D4.15|"&amp;CAPTURA!BL127,CODIFICACION!$F$2:$F$500,0))),"⚠"))</f>
        <v/>
      </c>
      <c r="AH127" t="str">
        <f>IF(CAPTURA!BM127="","",IF(AND(ISNUMBER(CAPTURA!BM127),CAPTURA!BM127&gt;=0,CAPTURA!BM127&lt;=4),CAPTURA!BM127*25,"⚠"))</f>
        <v/>
      </c>
      <c r="AI127" t="str">
        <f>IF(CAPTURA!BN127="","",IFERROR(IF(INDEX(CODIFICACION!$E$2:$E$500,MATCH("D4.17|"&amp;CAPTURA!BN127,CODIFICACION!$F$2:$F$500,0))="sin dato","",INDEX(CODIFICACION!$E$2:$E$500,MATCH("D4.17|"&amp;CAPTURA!BN127,CODIFICACION!$F$2:$F$500,0))),"⚠"))</f>
        <v/>
      </c>
      <c r="AJ127" t="str">
        <f>IF(CAPTURA!BO127="","",IFERROR(IF(INDEX(CODIFICACION!$E$2:$E$500,MATCH("D4.15a|"&amp;CAPTURA!BO127,CODIFICACION!$F$2:$F$500,0))="sin dato","",INDEX(CODIFICACION!$E$2:$E$500,MATCH("D4.15a|"&amp;CAPTURA!BO127,CODIFICACION!$F$2:$F$500,0))),"⚠"))</f>
        <v/>
      </c>
      <c r="AK127" t="str">
        <f>IF(CAPTURA!BP127="","",IF(AND(ISNUMBER(CAPTURA!BP127),CAPTURA!BP127&gt;=0,CAPTURA!BP127&lt;=4),CAPTURA!BP127*25,"⚠"))</f>
        <v/>
      </c>
      <c r="AL127" t="str">
        <f>IF(CAPTURA!BQ127="","",IF(AND(ISNUMBER(CAPTURA!BQ127),CAPTURA!BQ127&gt;=0,CAPTURA!BQ127&lt;=4),CAPTURA!BQ127*25,"⚠"))</f>
        <v/>
      </c>
      <c r="AM127" t="str">
        <f>IF(CAPTURA!BR127="","",IFERROR(IF(INDEX(CODIFICACION!$E$2:$E$500,MATCH("D5.18b|"&amp;CAPTURA!BR127,CODIFICACION!$F$2:$F$500,0))="sin dato","",INDEX(CODIFICACION!$E$2:$E$500,MATCH("D5.18b|"&amp;CAPTURA!BR127,CODIFICACION!$F$2:$F$500,0))),"⚠"))</f>
        <v/>
      </c>
      <c r="AN127" t="str">
        <f>IF(CAPTURA!BS127="","",IFERROR(IF(INDEX(CODIFICACION!$E$2:$E$500,MATCH("D5.19|"&amp;CAPTURA!BS127,CODIFICACION!$F$2:$F$500,0))="sin dato","",INDEX(CODIFICACION!$E$2:$E$500,MATCH("D5.19|"&amp;CAPTURA!BS127,CODIFICACION!$F$2:$F$500,0))),"⚠"))</f>
        <v/>
      </c>
      <c r="AO127" t="str">
        <f>IF(CAPTURA!BT127="","",MIN(100,ROUND((LEN(CAPTURA!BT127)-LEN(SUBSTITUTE(CAPTURA!BT127,";",""))+1)/7*100,1)))</f>
        <v/>
      </c>
      <c r="AP127" t="str">
        <f>IF(CAPTURA!BU127="","",IFERROR(IF(INDEX(CODIFICACION!$E$2:$E$500,MATCH("D5.20|"&amp;CAPTURA!BU127,CODIFICACION!$F$2:$F$500,0))="sin dato","",INDEX(CODIFICACION!$E$2:$E$500,MATCH("D5.20|"&amp;CAPTURA!BU127,CODIFICACION!$F$2:$F$500,0))),"⚠"))</f>
        <v/>
      </c>
      <c r="AQ127" t="str">
        <f>IF(CAPTURA!BV127="","",IFERROR(IF(INDEX(CODIFICACION!$E$2:$E$500,MATCH("D5.21|"&amp;CAPTURA!BV127,CODIFICACION!$F$2:$F$500,0))="sin dato","",INDEX(CODIFICACION!$E$2:$E$500,MATCH("D5.21|"&amp;CAPTURA!BV127,CODIFICACION!$F$2:$F$500,0))),"⚠"))</f>
        <v/>
      </c>
      <c r="AR127" t="str">
        <f>IF(CAPTURA!BW127="","",IFERROR(IF(INDEX(CODIFICACION!$E$2:$E$500,MATCH("D5.21a|"&amp;CAPTURA!BW127,CODIFICACION!$F$2:$F$500,0))="sin dato","",INDEX(CODIFICACION!$E$2:$E$500,MATCH("D5.21a|"&amp;CAPTURA!BW127,CODIFICACION!$F$2:$F$500,0))),"⚠"))</f>
        <v/>
      </c>
      <c r="AS127" t="str">
        <f>IF(CAPTURA!BX127="","",IFERROR(IF(INDEX(CODIFICACION!$E$2:$E$500,MATCH("D5.21b|"&amp;CAPTURA!BX127,CODIFICACION!$F$2:$F$500,0))="sin dato","",INDEX(CODIFICACION!$E$2:$E$500,MATCH("D5.21b|"&amp;CAPTURA!BX127,CODIFICACION!$F$2:$F$500,0))),"⚠"))</f>
        <v/>
      </c>
      <c r="AT127" t="str">
        <f>IF(CAPTURA!BY127="","",IFERROR(IF(INDEX(CODIFICACION!$E$2:$E$500,MATCH("D6.22|"&amp;CAPTURA!BY127,CODIFICACION!$F$2:$F$500,0))="sin dato","",INDEX(CODIFICACION!$E$2:$E$500,MATCH("D6.22|"&amp;CAPTURA!BY127,CODIFICACION!$F$2:$F$500,0))),"⚠"))</f>
        <v/>
      </c>
      <c r="AU127" t="str">
        <f>IF(CAPTURA!BZ127="","",IFERROR(IF(INDEX(CODIFICACION!$E$2:$E$500,MATCH("D6.22a|"&amp;CAPTURA!BZ127,CODIFICACION!$F$2:$F$500,0))="sin dato","",INDEX(CODIFICACION!$E$2:$E$500,MATCH("D6.22a|"&amp;CAPTURA!BZ127,CODIFICACION!$F$2:$F$500,0))),"⚠"))</f>
        <v/>
      </c>
      <c r="AV127" t="str">
        <f>IF(CAPTURA!CA127="","",IFERROR(IF(INDEX(CODIFICACION!$E$2:$E$500,MATCH("D6.22b|"&amp;CAPTURA!CA127,CODIFICACION!$F$2:$F$500,0))="sin dato","",INDEX(CODIFICACION!$E$2:$E$500,MATCH("D6.22b|"&amp;CAPTURA!CA127,CODIFICACION!$F$2:$F$500,0))),"⚠"))</f>
        <v/>
      </c>
      <c r="AW127" t="str">
        <f>IF(CAPTURA!CB127="","",IFERROR(IF(INDEX(CODIFICACION!$E$2:$E$500,MATCH("D6.23|"&amp;CAPTURA!CB127,CODIFICACION!$F$2:$F$500,0))="sin dato","",INDEX(CODIFICACION!$E$2:$E$500,MATCH("D6.23|"&amp;CAPTURA!CB127,CODIFICACION!$F$2:$F$500,0))),"⚠"))</f>
        <v/>
      </c>
      <c r="AX127" t="str">
        <f>IF(CAPTURA!CC127="","",IFERROR(IF(INDEX(CODIFICACION!$E$2:$E$500,MATCH("D6.24|"&amp;CAPTURA!CC127,CODIFICACION!$F$2:$F$500,0))="sin dato","",INDEX(CODIFICACION!$E$2:$E$500,MATCH("D6.24|"&amp;CAPTURA!CC127,CODIFICACION!$F$2:$F$500,0))),"⚠"))</f>
        <v/>
      </c>
      <c r="AY127" t="str">
        <f>IF(CAPTURA!CD127="","",IFERROR(IF(INDEX(CODIFICACION!$E$2:$E$500,MATCH("D6.25|"&amp;CAPTURA!CD127,CODIFICACION!$F$2:$F$500,0))="sin dato","",INDEX(CODIFICACION!$E$2:$E$500,MATCH("D6.25|"&amp;CAPTURA!CD127,CODIFICACION!$F$2:$F$500,0))),"⚠"))</f>
        <v/>
      </c>
      <c r="AZ127" t="str">
        <f>IF(CAPTURA!CE127="","",IFERROR(IF(INDEX(CODIFICACION!$E$2:$E$500,MATCH("D6.25a|"&amp;CAPTURA!CE127,CODIFICACION!$F$2:$F$500,0))="sin dato","",INDEX(CODIFICACION!$E$2:$E$500,MATCH("D6.25a|"&amp;CAPTURA!CE127,CODIFICACION!$F$2:$F$500,0))),"⚠"))</f>
        <v/>
      </c>
      <c r="BA127" t="str">
        <f>IF(CAPTURA!CF127="","",IFERROR(IF(INDEX(CODIFICACION!$E$2:$E$500,MATCH("D6.25b|"&amp;CAPTURA!CF127,CODIFICACION!$F$2:$F$500,0))="sin dato","",INDEX(CODIFICACION!$E$2:$E$500,MATCH("D6.25b|"&amp;CAPTURA!CF127,CODIFICACION!$F$2:$F$500,0))),"⚠"))</f>
        <v/>
      </c>
      <c r="BB127" t="str">
        <f>IF(CAPTURA!CG127="","",IFERROR(IF(INDEX(CODIFICACION!$E$2:$E$500,MATCH("D6.22c|"&amp;CAPTURA!CG127,CODIFICACION!$F$2:$F$500,0))="sin dato","",INDEX(CODIFICACION!$E$2:$E$500,MATCH("D6.22c|"&amp;CAPTURA!CG127,CODIFICACION!$F$2:$F$500,0))),"⚠"))</f>
        <v/>
      </c>
      <c r="BC127" t="str">
        <f>IF(CAPTURA!CH127="","",IFERROR(IF(INDEX(CODIFICACION!$E$2:$E$500,MATCH("D7.26|"&amp;CAPTURA!CH127,CODIFICACION!$F$2:$F$500,0))="sin dato","",INDEX(CODIFICACION!$E$2:$E$500,MATCH("D7.26|"&amp;CAPTURA!CH127,CODIFICACION!$F$2:$F$500,0))),"⚠"))</f>
        <v/>
      </c>
      <c r="BD127" t="str">
        <f>IF(CAPTURA!CI127="","",IFERROR(IF(INDEX(CODIFICACION!$E$2:$E$500,MATCH("D7.27|"&amp;CAPTURA!CI127,CODIFICACION!$F$2:$F$500,0))="sin dato","",INDEX(CODIFICACION!$E$2:$E$500,MATCH("D7.27|"&amp;CAPTURA!CI127,CODIFICACION!$F$2:$F$500,0))),"⚠"))</f>
        <v/>
      </c>
      <c r="BE127" t="str">
        <f>IF(CAPTURA!CJ127="","",IFERROR(IF(INDEX(CODIFICACION!$E$2:$E$500,MATCH("D7.28|"&amp;CAPTURA!CJ127,CODIFICACION!$F$2:$F$500,0))="sin dato","",INDEX(CODIFICACION!$E$2:$E$500,MATCH("D7.28|"&amp;CAPTURA!CJ127,CODIFICACION!$F$2:$F$500,0))),"⚠"))</f>
        <v/>
      </c>
      <c r="BF127" t="str">
        <f>IF(CAPTURA!CK127="","",IFERROR(IF(INDEX(CODIFICACION!$E$2:$E$500,MATCH("D7.28b|"&amp;CAPTURA!CK127,CODIFICACION!$F$2:$F$500,0))="sin dato","",INDEX(CODIFICACION!$E$2:$E$500,MATCH("D7.28b|"&amp;CAPTURA!CK127,CODIFICACION!$F$2:$F$500,0))),"⚠"))</f>
        <v/>
      </c>
      <c r="BG127" t="str">
        <f>IF(CAPTURA!CL127="","",MIN(100,ROUND((LEN(CAPTURA!CL127)-LEN(SUBSTITUTE(CAPTURA!CL127,";",""))+1)/8*100,1)))</f>
        <v/>
      </c>
      <c r="BH127" t="str">
        <f>IF(CAPTURA!CM127="","",IFERROR(IF(INDEX(CODIFICACION!$E$2:$E$500,MATCH("D7.26a|"&amp;CAPTURA!CM127,CODIFICACION!$F$2:$F$500,0))="sin dato","",INDEX(CODIFICACION!$E$2:$E$500,MATCH("D7.26a|"&amp;CAPTURA!CM127,CODIFICACION!$F$2:$F$500,0))),"⚠"))</f>
        <v/>
      </c>
      <c r="BI127" t="str">
        <f>IF(CAPTURA!CN127="","",IFERROR(IF(INDEX(CODIFICACION!$E$2:$E$500,MATCH("D7.26b|"&amp;CAPTURA!CN127,CODIFICACION!$F$2:$F$500,0))="sin dato","",INDEX(CODIFICACION!$E$2:$E$500,MATCH("D7.26b|"&amp;CAPTURA!CN127,CODIFICACION!$F$2:$F$500,0))),"⚠"))</f>
        <v/>
      </c>
      <c r="BJ127" t="str">
        <f>IF(CAPTURA!CO127="","",IF(AND(ISNUMBER(CAPTURA!CO127),CAPTURA!CO127&gt;=0,CAPTURA!CO127&lt;=4),CAPTURA!CO127*25,"⚠"))</f>
        <v/>
      </c>
      <c r="BK127" t="str">
        <f>IF(CAPTURA!CP127="","",IF(ISNUMBER(CAPTURA!CP127),MAX(0,MIN(100,CAPTURA!CP127)),"⚠"))</f>
        <v/>
      </c>
      <c r="BL127" t="str">
        <f>IF(CAPTURA!CQ127="","",IFERROR(IF(INDEX(CODIFICACION!$E$2:$E$500,MATCH("D8.31|"&amp;CAPTURA!CQ127,CODIFICACION!$F$2:$F$500,0))="sin dato","",INDEX(CODIFICACION!$E$2:$E$500,MATCH("D8.31|"&amp;CAPTURA!CQ127,CODIFICACION!$F$2:$F$500,0))),"⚠"))</f>
        <v/>
      </c>
      <c r="BM127" t="str">
        <f>IF(CAPTURA!CR127="","",IFERROR(IF(INDEX(CODIFICACION!$E$2:$E$500,MATCH("D8.32|"&amp;CAPTURA!CR127,CODIFICACION!$F$2:$F$500,0))="sin dato","",INDEX(CODIFICACION!$E$2:$E$500,MATCH("D8.32|"&amp;CAPTURA!CR127,CODIFICACION!$F$2:$F$500,0))),"⚠"))</f>
        <v/>
      </c>
      <c r="BN127" t="str">
        <f>IF(CAPTURA!CS127="","",IFERROR(IF(INDEX(CODIFICACION!$E$2:$E$500,MATCH("D9.33|"&amp;CAPTURA!CS127,CODIFICACION!$F$2:$F$500,0))="sin dato","",INDEX(CODIFICACION!$E$2:$E$500,MATCH("D9.33|"&amp;CAPTURA!CS127,CODIFICACION!$F$2:$F$500,0))),"⚠"))</f>
        <v/>
      </c>
      <c r="BO127" t="str">
        <f>IF(CAPTURA!CT127="","",IFERROR(IF(INDEX(CODIFICACION!$E$2:$E$500,MATCH("D9.34|"&amp;CAPTURA!CT127,CODIFICACION!$F$2:$F$500,0))="sin dato","",INDEX(CODIFICACION!$E$2:$E$500,MATCH("D9.34|"&amp;CAPTURA!CT127,CODIFICACION!$F$2:$F$500,0))),"⚠"))</f>
        <v/>
      </c>
      <c r="BP127" t="str">
        <f>IF(CAPTURA!CU127="","",IFERROR(IF(INDEX(CODIFICACION!$E$2:$E$500,MATCH("D9.35|"&amp;CAPTURA!CU127,CODIFICACION!$F$2:$F$500,0))="sin dato","",INDEX(CODIFICACION!$E$2:$E$500,MATCH("D9.35|"&amp;CAPTURA!CU127,CODIFICACION!$F$2:$F$500,0))),"⚠"))</f>
        <v/>
      </c>
      <c r="BQ127" t="str">
        <f>IF(CAPTURA!CV127="","",IFERROR(IF(INDEX(CODIFICACION!$E$2:$E$500,MATCH("D10.36|"&amp;CAPTURA!CV127,CODIFICACION!$F$2:$F$500,0))="sin dato","",INDEX(CODIFICACION!$E$2:$E$500,MATCH("D10.36|"&amp;CAPTURA!CV127,CODIFICACION!$F$2:$F$500,0))),"⚠"))</f>
        <v/>
      </c>
      <c r="BR127" t="str">
        <f>IF(CAPTURA!CW127="","",IFERROR(IF(INDEX(CODIFICACION!$E$2:$E$500,MATCH("D10.37|"&amp;CAPTURA!CW127,CODIFICACION!$F$2:$F$500,0))="sin dato","",INDEX(CODIFICACION!$E$2:$E$500,MATCH("D10.37|"&amp;CAPTURA!CW127,CODIFICACION!$F$2:$F$500,0))),"⚠"))</f>
        <v/>
      </c>
      <c r="BS127" t="str">
        <f>IF(CAPTURA!CX127="","",IFERROR(IF(INDEX(CODIFICACION!$E$2:$E$500,MATCH("D10.36a|"&amp;CAPTURA!CX127,CODIFICACION!$F$2:$F$500,0))="sin dato","",INDEX(CODIFICACION!$E$2:$E$500,MATCH("D10.36a|"&amp;CAPTURA!CX127,CODIFICACION!$F$2:$F$500,0))),"⚠"))</f>
        <v/>
      </c>
      <c r="BT127" t="str">
        <f>IF(CAPTURA!CY127="","",IF(ISNUMBER(SEARCH("Ninguno",CAPTURA!CY127)),0,MIN(100,ROUND((LEN(CAPTURA!CY127)-LEN(SUBSTITUTE(CAPTURA!CY127,";",""))+1)/6*100,1))))</f>
        <v/>
      </c>
      <c r="BU127" t="str">
        <f>IF(CAPTURA!DA127="","",IFERROR(IF(INDEX(CODIFICACION!$E$2:$E$500,MATCH("D11.39a|"&amp;CAPTURA!DA127,CODIFICACION!$F$2:$F$500,0))="sin dato","",INDEX(CODIFICACION!$E$2:$E$500,MATCH("D11.39a|"&amp;CAPTURA!DA127,CODIFICACION!$F$2:$F$500,0))),"⚠"))</f>
        <v/>
      </c>
      <c r="BV127" t="str">
        <f>IF(CAPTURA!DB127="","",IFERROR(IF(INDEX(CODIFICACION!$E$2:$E$500,MATCH("D12.42|"&amp;CAPTURA!DB127,CODIFICACION!$F$2:$F$500,0))="sin dato","",INDEX(CODIFICACION!$E$2:$E$500,MATCH("D12.42|"&amp;CAPTURA!DB127,CODIFICACION!$F$2:$F$500,0))),"⚠"))</f>
        <v/>
      </c>
      <c r="BW127" t="str">
        <f>IF(CAPTURA!DC127="","",IFERROR(IF(INDEX(CODIFICACION!$E$2:$E$500,MATCH("D13.45|"&amp;CAPTURA!DC127,CODIFICACION!$F$2:$F$500,0))="sin dato","",INDEX(CODIFICACION!$E$2:$E$500,MATCH("D13.45|"&amp;CAPTURA!DC127,CODIFICACION!$F$2:$F$500,0))),"⚠"))</f>
        <v/>
      </c>
      <c r="BX127" t="str">
        <f>IF(CAPTURA!DD127="","",IFERROR(IF(INDEX(CODIFICACION!$E$2:$E$500,MATCH("D14.51|"&amp;CAPTURA!DD127,CODIFICACION!$F$2:$F$500,0))="sin dato","",INDEX(CODIFICACION!$E$2:$E$500,MATCH("D14.51|"&amp;CAPTURA!DD127,CODIFICACION!$F$2:$F$500,0))),"⚠"))</f>
        <v/>
      </c>
      <c r="BY127" t="str">
        <f>IF(CAPTURA!DE127="","",IFERROR(IF(INDEX(CODIFICACION!$E$2:$E$500,MATCH("D15.58|"&amp;CAPTURA!DE127,CODIFICACION!$F$2:$F$500,0))="sin dato","",INDEX(CODIFICACION!$E$2:$E$500,MATCH("D15.58|"&amp;CAPTURA!DE127,CODIFICACION!$F$2:$F$500,0))),"⚠"))</f>
        <v/>
      </c>
      <c r="BZ127" t="str">
        <f>IF(CAPTURA!DF127="","",IFERROR(IF(INDEX(CODIFICACION!$E$2:$E$500,MATCH("PP1|"&amp;CAPTURA!DF127,CODIFICACION!$F$2:$F$500,0))="sin dato","",INDEX(CODIFICACION!$E$2:$E$500,MATCH("PP1|"&amp;CAPTURA!DF127,CODIFICACION!$F$2:$F$500,0))),"⚠"))</f>
        <v/>
      </c>
      <c r="CA127" t="str">
        <f>IF(CAPTURA!DG127="","",IFERROR(IF(INDEX(CODIFICACION!$E$2:$E$500,MATCH("PP2|"&amp;CAPTURA!DG127,CODIFICACION!$F$2:$F$500,0))="sin dato","",INDEX(CODIFICACION!$E$2:$E$500,MATCH("PP2|"&amp;CAPTURA!DG127,CODIFICACION!$F$2:$F$500,0))),"⚠"))</f>
        <v/>
      </c>
      <c r="CB127" t="str">
        <f t="shared" si="33"/>
        <v/>
      </c>
      <c r="CC127" t="str">
        <f t="shared" si="34"/>
        <v/>
      </c>
      <c r="CD127" t="str">
        <f t="shared" si="35"/>
        <v/>
      </c>
      <c r="CE127" t="str">
        <f t="shared" si="36"/>
        <v/>
      </c>
      <c r="CF127" t="str">
        <f t="shared" si="37"/>
        <v/>
      </c>
      <c r="CG127" t="str">
        <f t="shared" si="38"/>
        <v/>
      </c>
      <c r="CH127" t="str">
        <f t="shared" si="39"/>
        <v/>
      </c>
      <c r="CI127" t="str">
        <f t="shared" si="40"/>
        <v/>
      </c>
      <c r="CJ127" t="str">
        <f t="shared" si="41"/>
        <v/>
      </c>
      <c r="CK127" t="str">
        <f t="shared" si="42"/>
        <v/>
      </c>
      <c r="CL127" t="str">
        <f t="shared" si="43"/>
        <v/>
      </c>
    </row>
    <row r="128" spans="1:90" x14ac:dyDescent="0.3">
      <c r="A128">
        <f>CAPTURA!A128</f>
        <v>20601958911</v>
      </c>
      <c r="B128">
        <f>CAPTURA!C128</f>
        <v>0</v>
      </c>
      <c r="C128" t="str">
        <f>IF(CAPTURA!M128="","",ROUND((ISNUMBER(SEARCH("Alemania",CAPTURA!M128))+ISNUMBER(SEARCH("Bélgica",CAPTURA!M128))+ISNUMBER(SEARCH("Países Bajos",CAPTURA!M128))+ISNUMBER(SEARCH("Francia",CAPTURA!M128))+ISNUMBER(SEARCH("Italia",CAPTURA!M128))+ISNUMBER(SEARCH("España",CAPTURA!M128))+ISNUMBER(SEARCH("Suecia",CAPTURA!M128))+ISNUMBER(SEARCH("Dinamarca",CAPTURA!M128)))/((LEN(CAPTURA!M128)-LEN(SUBSTITUTE(CAPTURA!M128,";","")))+1)*100,1))</f>
        <v/>
      </c>
      <c r="D128" t="str">
        <f>IF(CAPTURA!AE128="","",IFERROR(IF(INDEX(CODIFICACION!$E$2:$E$500,MATCH("P8|"&amp;CAPTURA!AE128,CODIFICACION!$F$2:$F$500,0))="sin dato","",INDEX(CODIFICACION!$E$2:$E$500,MATCH("P8|"&amp;CAPTURA!AE128,CODIFICACION!$F$2:$F$500,0))),"⚠"))</f>
        <v/>
      </c>
      <c r="E128" t="str">
        <f>IF(CAPTURA!AG128="","",IFERROR(IF(INDEX(CODIFICACION!$E$2:$E$500,MATCH("P10|"&amp;CAPTURA!AG128,CODIFICACION!$F$2:$F$500,0))="sin dato","",INDEX(CODIFICACION!$E$2:$E$500,MATCH("P10|"&amp;CAPTURA!AG128,CODIFICACION!$F$2:$F$500,0))),"⚠"))</f>
        <v/>
      </c>
      <c r="F128" t="str">
        <f>IF(CAPTURA!AJ128="","",IFERROR(IF(INDEX(CODIFICACION!$E$2:$E$500,MATCH("P13|"&amp;CAPTURA!AJ128,CODIFICACION!$F$2:$F$500,0))="sin dato","",INDEX(CODIFICACION!$E$2:$E$500,MATCH("P13|"&amp;CAPTURA!AJ128,CODIFICACION!$F$2:$F$500,0))),"⚠"))</f>
        <v/>
      </c>
      <c r="G128" t="str">
        <f>IF(CAPTURA!AK128="","",IFERROR(IF(INDEX(CODIFICACION!$E$2:$E$500,MATCH("P14|"&amp;CAPTURA!AK128,CODIFICACION!$F$2:$F$500,0))="sin dato","",INDEX(CODIFICACION!$E$2:$E$500,MATCH("P14|"&amp;CAPTURA!AK128,CODIFICACION!$F$2:$F$500,0))),"⚠"))</f>
        <v/>
      </c>
      <c r="H128" t="str">
        <f>IF(CAPTURA!AL128="","",IFERROR(IF(INDEX(CODIFICACION!$E$2:$E$500,MATCH("D1.1|"&amp;CAPTURA!AL128,CODIFICACION!$F$2:$F$500,0))="sin dato","",INDEX(CODIFICACION!$E$2:$E$500,MATCH("D1.1|"&amp;CAPTURA!AL128,CODIFICACION!$F$2:$F$500,0))),"⚠"))</f>
        <v/>
      </c>
      <c r="I128" t="str">
        <f>IF(CAPTURA!AN128="","",IFERROR(IF(INDEX(CODIFICACION!$E$2:$E$500,MATCH("D1.3|"&amp;CAPTURA!AN128,CODIFICACION!$F$2:$F$500,0))="sin dato","",INDEX(CODIFICACION!$E$2:$E$500,MATCH("D1.3|"&amp;CAPTURA!AN128,CODIFICACION!$F$2:$F$500,0))),"⚠"))</f>
        <v/>
      </c>
      <c r="J128" t="str">
        <f>IF(CAPTURA!AO128="","",IFERROR(IF(INDEX(CODIFICACION!$E$2:$E$500,MATCH("D1.4|"&amp;CAPTURA!AO128,CODIFICACION!$F$2:$F$500,0))="sin dato","",INDEX(CODIFICACION!$E$2:$E$500,MATCH("D1.4|"&amp;CAPTURA!AO128,CODIFICACION!$F$2:$F$500,0))),"⚠"))</f>
        <v/>
      </c>
      <c r="K128" t="str">
        <f>IF(CAPTURA!AP128="","",IFERROR(IF(INDEX(CODIFICACION!$E$2:$E$500,MATCH("D1.3a|"&amp;CAPTURA!AP128,CODIFICACION!$F$2:$F$500,0))="sin dato","",INDEX(CODIFICACION!$E$2:$E$500,MATCH("D1.3a|"&amp;CAPTURA!AP128,CODIFICACION!$F$2:$F$500,0))),"⚠"))</f>
        <v/>
      </c>
      <c r="L128" t="str">
        <f>IF(CAPTURA!AQ128="","",IF(AND(ISNUMBER(CAPTURA!AQ128),CAPTURA!AQ128&gt;=0,CAPTURA!AQ128&lt;=4),CAPTURA!AQ128*25,"⚠"))</f>
        <v/>
      </c>
      <c r="M128" t="str">
        <f>IF(CAPTURA!AR128="","",IF(ISNUMBER(CAPTURA!AR128),MAX(0,MIN(100,CAPTURA!AR128)),"⚠"))</f>
        <v/>
      </c>
      <c r="N128" t="str">
        <f>IF(CAPTURA!AS128="","",IF(AND(ISNUMBER(CAPTURA!AS128),CAPTURA!AS128&gt;=0,CAPTURA!AS128&lt;=4),CAPTURA!AS128*25,"⚠"))</f>
        <v/>
      </c>
      <c r="O128" t="str">
        <f>IF(CAPTURA!AT128="","",IFERROR(IF(INDEX(CODIFICACION!$E$2:$E$500,MATCH("D2.8|"&amp;CAPTURA!AT128,CODIFICACION!$F$2:$F$500,0))="sin dato","",INDEX(CODIFICACION!$E$2:$E$500,MATCH("D2.8|"&amp;CAPTURA!AT128,CODIFICACION!$F$2:$F$500,0))),"⚠"))</f>
        <v/>
      </c>
      <c r="P128" t="str">
        <f>IF(CAPTURA!AU128="","",IFERROR(IF(INDEX(CODIFICACION!$E$2:$E$500,MATCH("D2.9|"&amp;CAPTURA!AU128,CODIFICACION!$F$2:$F$500,0))="sin dato","",INDEX(CODIFICACION!$E$2:$E$500,MATCH("D2.9|"&amp;CAPTURA!AU128,CODIFICACION!$F$2:$F$500,0))),"⚠"))</f>
        <v/>
      </c>
      <c r="Q128" t="str">
        <f>IF(CAPTURA!AV128="","",IFERROR(IF(INDEX(CODIFICACION!$E$2:$E$500,MATCH("D2.10|"&amp;CAPTURA!AV128,CODIFICACION!$F$2:$F$500,0))="sin dato","",INDEX(CODIFICACION!$E$2:$E$500,MATCH("D2.10|"&amp;CAPTURA!AV128,CODIFICACION!$F$2:$F$500,0))),"⚠"))</f>
        <v/>
      </c>
      <c r="R128" t="str">
        <f>IF(CAPTURA!AW128="","",IFERROR(IF(INDEX(CODIFICACION!$E$2:$E$500,MATCH("D2.5a|"&amp;CAPTURA!AW128,CODIFICACION!$F$2:$F$500,0))="sin dato","",INDEX(CODIFICACION!$E$2:$E$500,MATCH("D2.5a|"&amp;CAPTURA!AW128,CODIFICACION!$F$2:$F$500,0))),"⚠"))</f>
        <v/>
      </c>
      <c r="S128" t="str">
        <f>IF(CAPTURA!AX128="","",IFERROR(IF(INDEX(CODIFICACION!$E$2:$E$500,MATCH("D2.5b|"&amp;CAPTURA!AX128,CODIFICACION!$F$2:$F$500,0))="sin dato","",INDEX(CODIFICACION!$E$2:$E$500,MATCH("D2.5b|"&amp;CAPTURA!AX128,CODIFICACION!$F$2:$F$500,0))),"⚠"))</f>
        <v/>
      </c>
      <c r="T128" t="str">
        <f>IF(CAPTURA!AY128="","",IF(ISNUMBER(CAPTURA!AY128),MAX(0,MIN(100,CAPTURA!AY128)),"⚠"))</f>
        <v/>
      </c>
      <c r="U128" t="str">
        <f>IF(CAPTURA!AZ128="","",IFERROR(IF(INDEX(CODIFICACION!$E$2:$E$500,MATCH("D3.12|"&amp;CAPTURA!AZ128,CODIFICACION!$F$2:$F$500,0))="sin dato","",INDEX(CODIFICACION!$E$2:$E$500,MATCH("D3.12|"&amp;CAPTURA!AZ128,CODIFICACION!$F$2:$F$500,0))),"⚠"))</f>
        <v/>
      </c>
      <c r="V128" t="str">
        <f>IF(CAPTURA!BA128="","",IF(AND(ISNUMBER(CAPTURA!BA128),CAPTURA!BA128&gt;=0,CAPTURA!BA128&lt;=4),CAPTURA!BA128*25,"⚠"))</f>
        <v/>
      </c>
      <c r="W128" t="str">
        <f>IF(CAPTURA!BB128="","",IFERROR(IF(INDEX(CODIFICACION!$E$2:$E$500,MATCH("D3.14|"&amp;CAPTURA!BB128,CODIFICACION!$F$2:$F$500,0))="sin dato","",INDEX(CODIFICACION!$E$2:$E$500,MATCH("D3.14|"&amp;CAPTURA!BB128,CODIFICACION!$F$2:$F$500,0))),"⚠"))</f>
        <v/>
      </c>
      <c r="X128" t="str">
        <f>IF(CAPTURA!BC128="","",IFERROR(IF(INDEX(CODIFICACION!$E$2:$E$500,MATCH("D3.14a|"&amp;CAPTURA!BC128,CODIFICACION!$F$2:$F$500,0))="sin dato","",INDEX(CODIFICACION!$E$2:$E$500,MATCH("D3.14a|"&amp;CAPTURA!BC128,CODIFICACION!$F$2:$F$500,0))),"⚠"))</f>
        <v/>
      </c>
      <c r="Y128" t="str">
        <f>IF(CAPTURA!BD128="","",IFERROR(IF(INDEX(CODIFICACION!$E$2:$E$500,MATCH("D3.14b|"&amp;CAPTURA!BD128,CODIFICACION!$F$2:$F$500,0))="sin dato","",INDEX(CODIFICACION!$E$2:$E$500,MATCH("D3.14b|"&amp;CAPTURA!BD128,CODIFICACION!$F$2:$F$500,0))),"⚠"))</f>
        <v/>
      </c>
      <c r="Z128" t="str">
        <f>IF(CAPTURA!BE128="","",IFERROR(IF(INDEX(CODIFICACION!$E$2:$E$500,MATCH("D3.14c|"&amp;CAPTURA!BE128,CODIFICACION!$F$2:$F$500,0))="sin dato","",INDEX(CODIFICACION!$E$2:$E$500,MATCH("D3.14c|"&amp;CAPTURA!BE128,CODIFICACION!$F$2:$F$500,0))),"⚠"))</f>
        <v/>
      </c>
      <c r="AA128" t="str">
        <f>IF(CAPTURA!BF128="","",IFERROR(IF(INDEX(CODIFICACION!$E$2:$E$500,MATCH("D3.14d|"&amp;CAPTURA!BF128,CODIFICACION!$F$2:$F$500,0))="sin dato","",INDEX(CODIFICACION!$E$2:$E$500,MATCH("D3.14d|"&amp;CAPTURA!BF128,CODIFICACION!$F$2:$F$500,0))),"⚠"))</f>
        <v/>
      </c>
      <c r="AB128" t="str">
        <f>IF(CAPTURA!BG128="","",IFERROR(IF(INDEX(CODIFICACION!$E$2:$E$500,MATCH("D3.14e|"&amp;CAPTURA!BG128,CODIFICACION!$F$2:$F$500,0))="sin dato","",INDEX(CODIFICACION!$E$2:$E$500,MATCH("D3.14e|"&amp;CAPTURA!BG128,CODIFICACION!$F$2:$F$500,0))),"⚠"))</f>
        <v/>
      </c>
      <c r="AC128" t="str">
        <f>IF(CAPTURA!BH128="","",IFERROR(IF(INDEX(CODIFICACION!$E$2:$E$500,MATCH("D3.14f|"&amp;CAPTURA!BH128,CODIFICACION!$F$2:$F$500,0))="sin dato","",INDEX(CODIFICACION!$E$2:$E$500,MATCH("D3.14f|"&amp;CAPTURA!BH128,CODIFICACION!$F$2:$F$500,0))),"⚠"))</f>
        <v/>
      </c>
      <c r="AD128" t="str">
        <f>IF(CAPTURA!BI128="","",IFERROR(IF(INDEX(CODIFICACION!$E$2:$E$500,MATCH("D3.14g|"&amp;CAPTURA!BI128,CODIFICACION!$F$2:$F$500,0))="sin dato","",INDEX(CODIFICACION!$E$2:$E$500,MATCH("D3.14g|"&amp;CAPTURA!BI128,CODIFICACION!$F$2:$F$500,0))),"⚠"))</f>
        <v/>
      </c>
      <c r="AE128" t="str">
        <f>IF(CAPTURA!BJ128="","",IFERROR(IF(INDEX(CODIFICACION!$E$2:$E$500,MATCH("D3.14h|"&amp;CAPTURA!BJ128,CODIFICACION!$F$2:$F$500,0))="sin dato","",INDEX(CODIFICACION!$E$2:$E$500,MATCH("D3.14h|"&amp;CAPTURA!BJ128,CODIFICACION!$F$2:$F$500,0))),"⚠"))</f>
        <v/>
      </c>
      <c r="AF128" t="str">
        <f>IF(CAPTURA!BK128="","",IFERROR(IF(INDEX(CODIFICACION!$E$2:$E$500,MATCH("D3.14i|"&amp;CAPTURA!BK128,CODIFICACION!$F$2:$F$500,0))="sin dato","",INDEX(CODIFICACION!$E$2:$E$500,MATCH("D3.14i|"&amp;CAPTURA!BK128,CODIFICACION!$F$2:$F$500,0))),"⚠"))</f>
        <v/>
      </c>
      <c r="AG128" t="str">
        <f>IF(CAPTURA!BL128="","",IFERROR(IF(INDEX(CODIFICACION!$E$2:$E$500,MATCH("D4.15|"&amp;CAPTURA!BL128,CODIFICACION!$F$2:$F$500,0))="sin dato","",INDEX(CODIFICACION!$E$2:$E$500,MATCH("D4.15|"&amp;CAPTURA!BL128,CODIFICACION!$F$2:$F$500,0))),"⚠"))</f>
        <v/>
      </c>
      <c r="AH128" t="str">
        <f>IF(CAPTURA!BM128="","",IF(AND(ISNUMBER(CAPTURA!BM128),CAPTURA!BM128&gt;=0,CAPTURA!BM128&lt;=4),CAPTURA!BM128*25,"⚠"))</f>
        <v/>
      </c>
      <c r="AI128" t="str">
        <f>IF(CAPTURA!BN128="","",IFERROR(IF(INDEX(CODIFICACION!$E$2:$E$500,MATCH("D4.17|"&amp;CAPTURA!BN128,CODIFICACION!$F$2:$F$500,0))="sin dato","",INDEX(CODIFICACION!$E$2:$E$500,MATCH("D4.17|"&amp;CAPTURA!BN128,CODIFICACION!$F$2:$F$500,0))),"⚠"))</f>
        <v/>
      </c>
      <c r="AJ128" t="str">
        <f>IF(CAPTURA!BO128="","",IFERROR(IF(INDEX(CODIFICACION!$E$2:$E$500,MATCH("D4.15a|"&amp;CAPTURA!BO128,CODIFICACION!$F$2:$F$500,0))="sin dato","",INDEX(CODIFICACION!$E$2:$E$500,MATCH("D4.15a|"&amp;CAPTURA!BO128,CODIFICACION!$F$2:$F$500,0))),"⚠"))</f>
        <v/>
      </c>
      <c r="AK128" t="str">
        <f>IF(CAPTURA!BP128="","",IF(AND(ISNUMBER(CAPTURA!BP128),CAPTURA!BP128&gt;=0,CAPTURA!BP128&lt;=4),CAPTURA!BP128*25,"⚠"))</f>
        <v/>
      </c>
      <c r="AL128" t="str">
        <f>IF(CAPTURA!BQ128="","",IF(AND(ISNUMBER(CAPTURA!BQ128),CAPTURA!BQ128&gt;=0,CAPTURA!BQ128&lt;=4),CAPTURA!BQ128*25,"⚠"))</f>
        <v/>
      </c>
      <c r="AM128" t="str">
        <f>IF(CAPTURA!BR128="","",IFERROR(IF(INDEX(CODIFICACION!$E$2:$E$500,MATCH("D5.18b|"&amp;CAPTURA!BR128,CODIFICACION!$F$2:$F$500,0))="sin dato","",INDEX(CODIFICACION!$E$2:$E$500,MATCH("D5.18b|"&amp;CAPTURA!BR128,CODIFICACION!$F$2:$F$500,0))),"⚠"))</f>
        <v/>
      </c>
      <c r="AN128" t="str">
        <f>IF(CAPTURA!BS128="","",IFERROR(IF(INDEX(CODIFICACION!$E$2:$E$500,MATCH("D5.19|"&amp;CAPTURA!BS128,CODIFICACION!$F$2:$F$500,0))="sin dato","",INDEX(CODIFICACION!$E$2:$E$500,MATCH("D5.19|"&amp;CAPTURA!BS128,CODIFICACION!$F$2:$F$500,0))),"⚠"))</f>
        <v/>
      </c>
      <c r="AO128" t="str">
        <f>IF(CAPTURA!BT128="","",MIN(100,ROUND((LEN(CAPTURA!BT128)-LEN(SUBSTITUTE(CAPTURA!BT128,";",""))+1)/7*100,1)))</f>
        <v/>
      </c>
      <c r="AP128" t="str">
        <f>IF(CAPTURA!BU128="","",IFERROR(IF(INDEX(CODIFICACION!$E$2:$E$500,MATCH("D5.20|"&amp;CAPTURA!BU128,CODIFICACION!$F$2:$F$500,0))="sin dato","",INDEX(CODIFICACION!$E$2:$E$500,MATCH("D5.20|"&amp;CAPTURA!BU128,CODIFICACION!$F$2:$F$500,0))),"⚠"))</f>
        <v/>
      </c>
      <c r="AQ128" t="str">
        <f>IF(CAPTURA!BV128="","",IFERROR(IF(INDEX(CODIFICACION!$E$2:$E$500,MATCH("D5.21|"&amp;CAPTURA!BV128,CODIFICACION!$F$2:$F$500,0))="sin dato","",INDEX(CODIFICACION!$E$2:$E$500,MATCH("D5.21|"&amp;CAPTURA!BV128,CODIFICACION!$F$2:$F$500,0))),"⚠"))</f>
        <v/>
      </c>
      <c r="AR128" t="str">
        <f>IF(CAPTURA!BW128="","",IFERROR(IF(INDEX(CODIFICACION!$E$2:$E$500,MATCH("D5.21a|"&amp;CAPTURA!BW128,CODIFICACION!$F$2:$F$500,0))="sin dato","",INDEX(CODIFICACION!$E$2:$E$500,MATCH("D5.21a|"&amp;CAPTURA!BW128,CODIFICACION!$F$2:$F$500,0))),"⚠"))</f>
        <v/>
      </c>
      <c r="AS128" t="str">
        <f>IF(CAPTURA!BX128="","",IFERROR(IF(INDEX(CODIFICACION!$E$2:$E$500,MATCH("D5.21b|"&amp;CAPTURA!BX128,CODIFICACION!$F$2:$F$500,0))="sin dato","",INDEX(CODIFICACION!$E$2:$E$500,MATCH("D5.21b|"&amp;CAPTURA!BX128,CODIFICACION!$F$2:$F$500,0))),"⚠"))</f>
        <v/>
      </c>
      <c r="AT128" t="str">
        <f>IF(CAPTURA!BY128="","",IFERROR(IF(INDEX(CODIFICACION!$E$2:$E$500,MATCH("D6.22|"&amp;CAPTURA!BY128,CODIFICACION!$F$2:$F$500,0))="sin dato","",INDEX(CODIFICACION!$E$2:$E$500,MATCH("D6.22|"&amp;CAPTURA!BY128,CODIFICACION!$F$2:$F$500,0))),"⚠"))</f>
        <v/>
      </c>
      <c r="AU128" t="str">
        <f>IF(CAPTURA!BZ128="","",IFERROR(IF(INDEX(CODIFICACION!$E$2:$E$500,MATCH("D6.22a|"&amp;CAPTURA!BZ128,CODIFICACION!$F$2:$F$500,0))="sin dato","",INDEX(CODIFICACION!$E$2:$E$500,MATCH("D6.22a|"&amp;CAPTURA!BZ128,CODIFICACION!$F$2:$F$500,0))),"⚠"))</f>
        <v/>
      </c>
      <c r="AV128" t="str">
        <f>IF(CAPTURA!CA128="","",IFERROR(IF(INDEX(CODIFICACION!$E$2:$E$500,MATCH("D6.22b|"&amp;CAPTURA!CA128,CODIFICACION!$F$2:$F$500,0))="sin dato","",INDEX(CODIFICACION!$E$2:$E$500,MATCH("D6.22b|"&amp;CAPTURA!CA128,CODIFICACION!$F$2:$F$500,0))),"⚠"))</f>
        <v/>
      </c>
      <c r="AW128" t="str">
        <f>IF(CAPTURA!CB128="","",IFERROR(IF(INDEX(CODIFICACION!$E$2:$E$500,MATCH("D6.23|"&amp;CAPTURA!CB128,CODIFICACION!$F$2:$F$500,0))="sin dato","",INDEX(CODIFICACION!$E$2:$E$500,MATCH("D6.23|"&amp;CAPTURA!CB128,CODIFICACION!$F$2:$F$500,0))),"⚠"))</f>
        <v/>
      </c>
      <c r="AX128" t="str">
        <f>IF(CAPTURA!CC128="","",IFERROR(IF(INDEX(CODIFICACION!$E$2:$E$500,MATCH("D6.24|"&amp;CAPTURA!CC128,CODIFICACION!$F$2:$F$500,0))="sin dato","",INDEX(CODIFICACION!$E$2:$E$500,MATCH("D6.24|"&amp;CAPTURA!CC128,CODIFICACION!$F$2:$F$500,0))),"⚠"))</f>
        <v/>
      </c>
      <c r="AY128" t="str">
        <f>IF(CAPTURA!CD128="","",IFERROR(IF(INDEX(CODIFICACION!$E$2:$E$500,MATCH("D6.25|"&amp;CAPTURA!CD128,CODIFICACION!$F$2:$F$500,0))="sin dato","",INDEX(CODIFICACION!$E$2:$E$500,MATCH("D6.25|"&amp;CAPTURA!CD128,CODIFICACION!$F$2:$F$500,0))),"⚠"))</f>
        <v/>
      </c>
      <c r="AZ128" t="str">
        <f>IF(CAPTURA!CE128="","",IFERROR(IF(INDEX(CODIFICACION!$E$2:$E$500,MATCH("D6.25a|"&amp;CAPTURA!CE128,CODIFICACION!$F$2:$F$500,0))="sin dato","",INDEX(CODIFICACION!$E$2:$E$500,MATCH("D6.25a|"&amp;CAPTURA!CE128,CODIFICACION!$F$2:$F$500,0))),"⚠"))</f>
        <v/>
      </c>
      <c r="BA128" t="str">
        <f>IF(CAPTURA!CF128="","",IFERROR(IF(INDEX(CODIFICACION!$E$2:$E$500,MATCH("D6.25b|"&amp;CAPTURA!CF128,CODIFICACION!$F$2:$F$500,0))="sin dato","",INDEX(CODIFICACION!$E$2:$E$500,MATCH("D6.25b|"&amp;CAPTURA!CF128,CODIFICACION!$F$2:$F$500,0))),"⚠"))</f>
        <v/>
      </c>
      <c r="BB128" t="str">
        <f>IF(CAPTURA!CG128="","",IFERROR(IF(INDEX(CODIFICACION!$E$2:$E$500,MATCH("D6.22c|"&amp;CAPTURA!CG128,CODIFICACION!$F$2:$F$500,0))="sin dato","",INDEX(CODIFICACION!$E$2:$E$500,MATCH("D6.22c|"&amp;CAPTURA!CG128,CODIFICACION!$F$2:$F$500,0))),"⚠"))</f>
        <v/>
      </c>
      <c r="BC128" t="str">
        <f>IF(CAPTURA!CH128="","",IFERROR(IF(INDEX(CODIFICACION!$E$2:$E$500,MATCH("D7.26|"&amp;CAPTURA!CH128,CODIFICACION!$F$2:$F$500,0))="sin dato","",INDEX(CODIFICACION!$E$2:$E$500,MATCH("D7.26|"&amp;CAPTURA!CH128,CODIFICACION!$F$2:$F$500,0))),"⚠"))</f>
        <v/>
      </c>
      <c r="BD128" t="str">
        <f>IF(CAPTURA!CI128="","",IFERROR(IF(INDEX(CODIFICACION!$E$2:$E$500,MATCH("D7.27|"&amp;CAPTURA!CI128,CODIFICACION!$F$2:$F$500,0))="sin dato","",INDEX(CODIFICACION!$E$2:$E$500,MATCH("D7.27|"&amp;CAPTURA!CI128,CODIFICACION!$F$2:$F$500,0))),"⚠"))</f>
        <v/>
      </c>
      <c r="BE128" t="str">
        <f>IF(CAPTURA!CJ128="","",IFERROR(IF(INDEX(CODIFICACION!$E$2:$E$500,MATCH("D7.28|"&amp;CAPTURA!CJ128,CODIFICACION!$F$2:$F$500,0))="sin dato","",INDEX(CODIFICACION!$E$2:$E$500,MATCH("D7.28|"&amp;CAPTURA!CJ128,CODIFICACION!$F$2:$F$500,0))),"⚠"))</f>
        <v/>
      </c>
      <c r="BF128" t="str">
        <f>IF(CAPTURA!CK128="","",IFERROR(IF(INDEX(CODIFICACION!$E$2:$E$500,MATCH("D7.28b|"&amp;CAPTURA!CK128,CODIFICACION!$F$2:$F$500,0))="sin dato","",INDEX(CODIFICACION!$E$2:$E$500,MATCH("D7.28b|"&amp;CAPTURA!CK128,CODIFICACION!$F$2:$F$500,0))),"⚠"))</f>
        <v/>
      </c>
      <c r="BG128" t="str">
        <f>IF(CAPTURA!CL128="","",MIN(100,ROUND((LEN(CAPTURA!CL128)-LEN(SUBSTITUTE(CAPTURA!CL128,";",""))+1)/8*100,1)))</f>
        <v/>
      </c>
      <c r="BH128" t="str">
        <f>IF(CAPTURA!CM128="","",IFERROR(IF(INDEX(CODIFICACION!$E$2:$E$500,MATCH("D7.26a|"&amp;CAPTURA!CM128,CODIFICACION!$F$2:$F$500,0))="sin dato","",INDEX(CODIFICACION!$E$2:$E$500,MATCH("D7.26a|"&amp;CAPTURA!CM128,CODIFICACION!$F$2:$F$500,0))),"⚠"))</f>
        <v/>
      </c>
      <c r="BI128" t="str">
        <f>IF(CAPTURA!CN128="","",IFERROR(IF(INDEX(CODIFICACION!$E$2:$E$500,MATCH("D7.26b|"&amp;CAPTURA!CN128,CODIFICACION!$F$2:$F$500,0))="sin dato","",INDEX(CODIFICACION!$E$2:$E$500,MATCH("D7.26b|"&amp;CAPTURA!CN128,CODIFICACION!$F$2:$F$500,0))),"⚠"))</f>
        <v/>
      </c>
      <c r="BJ128" t="str">
        <f>IF(CAPTURA!CO128="","",IF(AND(ISNUMBER(CAPTURA!CO128),CAPTURA!CO128&gt;=0,CAPTURA!CO128&lt;=4),CAPTURA!CO128*25,"⚠"))</f>
        <v/>
      </c>
      <c r="BK128" t="str">
        <f>IF(CAPTURA!CP128="","",IF(ISNUMBER(CAPTURA!CP128),MAX(0,MIN(100,CAPTURA!CP128)),"⚠"))</f>
        <v/>
      </c>
      <c r="BL128" t="str">
        <f>IF(CAPTURA!CQ128="","",IFERROR(IF(INDEX(CODIFICACION!$E$2:$E$500,MATCH("D8.31|"&amp;CAPTURA!CQ128,CODIFICACION!$F$2:$F$500,0))="sin dato","",INDEX(CODIFICACION!$E$2:$E$500,MATCH("D8.31|"&amp;CAPTURA!CQ128,CODIFICACION!$F$2:$F$500,0))),"⚠"))</f>
        <v/>
      </c>
      <c r="BM128" t="str">
        <f>IF(CAPTURA!CR128="","",IFERROR(IF(INDEX(CODIFICACION!$E$2:$E$500,MATCH("D8.32|"&amp;CAPTURA!CR128,CODIFICACION!$F$2:$F$500,0))="sin dato","",INDEX(CODIFICACION!$E$2:$E$500,MATCH("D8.32|"&amp;CAPTURA!CR128,CODIFICACION!$F$2:$F$500,0))),"⚠"))</f>
        <v/>
      </c>
      <c r="BN128" t="str">
        <f>IF(CAPTURA!CS128="","",IFERROR(IF(INDEX(CODIFICACION!$E$2:$E$500,MATCH("D9.33|"&amp;CAPTURA!CS128,CODIFICACION!$F$2:$F$500,0))="sin dato","",INDEX(CODIFICACION!$E$2:$E$500,MATCH("D9.33|"&amp;CAPTURA!CS128,CODIFICACION!$F$2:$F$500,0))),"⚠"))</f>
        <v/>
      </c>
      <c r="BO128" t="str">
        <f>IF(CAPTURA!CT128="","",IFERROR(IF(INDEX(CODIFICACION!$E$2:$E$500,MATCH("D9.34|"&amp;CAPTURA!CT128,CODIFICACION!$F$2:$F$500,0))="sin dato","",INDEX(CODIFICACION!$E$2:$E$500,MATCH("D9.34|"&amp;CAPTURA!CT128,CODIFICACION!$F$2:$F$500,0))),"⚠"))</f>
        <v/>
      </c>
      <c r="BP128" t="str">
        <f>IF(CAPTURA!CU128="","",IFERROR(IF(INDEX(CODIFICACION!$E$2:$E$500,MATCH("D9.35|"&amp;CAPTURA!CU128,CODIFICACION!$F$2:$F$500,0))="sin dato","",INDEX(CODIFICACION!$E$2:$E$500,MATCH("D9.35|"&amp;CAPTURA!CU128,CODIFICACION!$F$2:$F$500,0))),"⚠"))</f>
        <v/>
      </c>
      <c r="BQ128" t="str">
        <f>IF(CAPTURA!CV128="","",IFERROR(IF(INDEX(CODIFICACION!$E$2:$E$500,MATCH("D10.36|"&amp;CAPTURA!CV128,CODIFICACION!$F$2:$F$500,0))="sin dato","",INDEX(CODIFICACION!$E$2:$E$500,MATCH("D10.36|"&amp;CAPTURA!CV128,CODIFICACION!$F$2:$F$500,0))),"⚠"))</f>
        <v/>
      </c>
      <c r="BR128" t="str">
        <f>IF(CAPTURA!CW128="","",IFERROR(IF(INDEX(CODIFICACION!$E$2:$E$500,MATCH("D10.37|"&amp;CAPTURA!CW128,CODIFICACION!$F$2:$F$500,0))="sin dato","",INDEX(CODIFICACION!$E$2:$E$500,MATCH("D10.37|"&amp;CAPTURA!CW128,CODIFICACION!$F$2:$F$500,0))),"⚠"))</f>
        <v/>
      </c>
      <c r="BS128" t="str">
        <f>IF(CAPTURA!CX128="","",IFERROR(IF(INDEX(CODIFICACION!$E$2:$E$500,MATCH("D10.36a|"&amp;CAPTURA!CX128,CODIFICACION!$F$2:$F$500,0))="sin dato","",INDEX(CODIFICACION!$E$2:$E$500,MATCH("D10.36a|"&amp;CAPTURA!CX128,CODIFICACION!$F$2:$F$500,0))),"⚠"))</f>
        <v/>
      </c>
      <c r="BT128" t="str">
        <f>IF(CAPTURA!CY128="","",IF(ISNUMBER(SEARCH("Ninguno",CAPTURA!CY128)),0,MIN(100,ROUND((LEN(CAPTURA!CY128)-LEN(SUBSTITUTE(CAPTURA!CY128,";",""))+1)/6*100,1))))</f>
        <v/>
      </c>
      <c r="BU128" t="str">
        <f>IF(CAPTURA!DA128="","",IFERROR(IF(INDEX(CODIFICACION!$E$2:$E$500,MATCH("D11.39a|"&amp;CAPTURA!DA128,CODIFICACION!$F$2:$F$500,0))="sin dato","",INDEX(CODIFICACION!$E$2:$E$500,MATCH("D11.39a|"&amp;CAPTURA!DA128,CODIFICACION!$F$2:$F$500,0))),"⚠"))</f>
        <v/>
      </c>
      <c r="BV128" t="str">
        <f>IF(CAPTURA!DB128="","",IFERROR(IF(INDEX(CODIFICACION!$E$2:$E$500,MATCH("D12.42|"&amp;CAPTURA!DB128,CODIFICACION!$F$2:$F$500,0))="sin dato","",INDEX(CODIFICACION!$E$2:$E$500,MATCH("D12.42|"&amp;CAPTURA!DB128,CODIFICACION!$F$2:$F$500,0))),"⚠"))</f>
        <v/>
      </c>
      <c r="BW128" t="str">
        <f>IF(CAPTURA!DC128="","",IFERROR(IF(INDEX(CODIFICACION!$E$2:$E$500,MATCH("D13.45|"&amp;CAPTURA!DC128,CODIFICACION!$F$2:$F$500,0))="sin dato","",INDEX(CODIFICACION!$E$2:$E$500,MATCH("D13.45|"&amp;CAPTURA!DC128,CODIFICACION!$F$2:$F$500,0))),"⚠"))</f>
        <v/>
      </c>
      <c r="BX128" t="str">
        <f>IF(CAPTURA!DD128="","",IFERROR(IF(INDEX(CODIFICACION!$E$2:$E$500,MATCH("D14.51|"&amp;CAPTURA!DD128,CODIFICACION!$F$2:$F$500,0))="sin dato","",INDEX(CODIFICACION!$E$2:$E$500,MATCH("D14.51|"&amp;CAPTURA!DD128,CODIFICACION!$F$2:$F$500,0))),"⚠"))</f>
        <v/>
      </c>
      <c r="BY128" t="str">
        <f>IF(CAPTURA!DE128="","",IFERROR(IF(INDEX(CODIFICACION!$E$2:$E$500,MATCH("D15.58|"&amp;CAPTURA!DE128,CODIFICACION!$F$2:$F$500,0))="sin dato","",INDEX(CODIFICACION!$E$2:$E$500,MATCH("D15.58|"&amp;CAPTURA!DE128,CODIFICACION!$F$2:$F$500,0))),"⚠"))</f>
        <v/>
      </c>
      <c r="BZ128" t="str">
        <f>IF(CAPTURA!DF128="","",IFERROR(IF(INDEX(CODIFICACION!$E$2:$E$500,MATCH("PP1|"&amp;CAPTURA!DF128,CODIFICACION!$F$2:$F$500,0))="sin dato","",INDEX(CODIFICACION!$E$2:$E$500,MATCH("PP1|"&amp;CAPTURA!DF128,CODIFICACION!$F$2:$F$500,0))),"⚠"))</f>
        <v/>
      </c>
      <c r="CA128" t="str">
        <f>IF(CAPTURA!DG128="","",IFERROR(IF(INDEX(CODIFICACION!$E$2:$E$500,MATCH("PP2|"&amp;CAPTURA!DG128,CODIFICACION!$F$2:$F$500,0))="sin dato","",INDEX(CODIFICACION!$E$2:$E$500,MATCH("PP2|"&amp;CAPTURA!DG128,CODIFICACION!$F$2:$F$500,0))),"⚠"))</f>
        <v/>
      </c>
      <c r="CB128" t="str">
        <f t="shared" si="33"/>
        <v/>
      </c>
      <c r="CC128" t="str">
        <f t="shared" si="34"/>
        <v/>
      </c>
      <c r="CD128" t="str">
        <f t="shared" si="35"/>
        <v/>
      </c>
      <c r="CE128" t="str">
        <f t="shared" si="36"/>
        <v/>
      </c>
      <c r="CF128" t="str">
        <f t="shared" si="37"/>
        <v/>
      </c>
      <c r="CG128" t="str">
        <f t="shared" si="38"/>
        <v/>
      </c>
      <c r="CH128" t="str">
        <f t="shared" si="39"/>
        <v/>
      </c>
      <c r="CI128" t="str">
        <f t="shared" si="40"/>
        <v/>
      </c>
      <c r="CJ128" t="str">
        <f t="shared" si="41"/>
        <v/>
      </c>
      <c r="CK128" t="str">
        <f t="shared" si="42"/>
        <v/>
      </c>
      <c r="CL128" t="str">
        <f t="shared" si="43"/>
        <v/>
      </c>
    </row>
    <row r="129" spans="1:90" x14ac:dyDescent="0.3">
      <c r="A129">
        <f>CAPTURA!A129</f>
        <v>20602047025</v>
      </c>
      <c r="B129">
        <f>CAPTURA!C129</f>
        <v>0</v>
      </c>
      <c r="C129" t="str">
        <f>IF(CAPTURA!M129="","",ROUND((ISNUMBER(SEARCH("Alemania",CAPTURA!M129))+ISNUMBER(SEARCH("Bélgica",CAPTURA!M129))+ISNUMBER(SEARCH("Países Bajos",CAPTURA!M129))+ISNUMBER(SEARCH("Francia",CAPTURA!M129))+ISNUMBER(SEARCH("Italia",CAPTURA!M129))+ISNUMBER(SEARCH("España",CAPTURA!M129))+ISNUMBER(SEARCH("Suecia",CAPTURA!M129))+ISNUMBER(SEARCH("Dinamarca",CAPTURA!M129)))/((LEN(CAPTURA!M129)-LEN(SUBSTITUTE(CAPTURA!M129,";","")))+1)*100,1))</f>
        <v/>
      </c>
      <c r="D129" t="str">
        <f>IF(CAPTURA!AE129="","",IFERROR(IF(INDEX(CODIFICACION!$E$2:$E$500,MATCH("P8|"&amp;CAPTURA!AE129,CODIFICACION!$F$2:$F$500,0))="sin dato","",INDEX(CODIFICACION!$E$2:$E$500,MATCH("P8|"&amp;CAPTURA!AE129,CODIFICACION!$F$2:$F$500,0))),"⚠"))</f>
        <v/>
      </c>
      <c r="E129" t="str">
        <f>IF(CAPTURA!AG129="","",IFERROR(IF(INDEX(CODIFICACION!$E$2:$E$500,MATCH("P10|"&amp;CAPTURA!AG129,CODIFICACION!$F$2:$F$500,0))="sin dato","",INDEX(CODIFICACION!$E$2:$E$500,MATCH("P10|"&amp;CAPTURA!AG129,CODIFICACION!$F$2:$F$500,0))),"⚠"))</f>
        <v/>
      </c>
      <c r="F129" t="str">
        <f>IF(CAPTURA!AJ129="","",IFERROR(IF(INDEX(CODIFICACION!$E$2:$E$500,MATCH("P13|"&amp;CAPTURA!AJ129,CODIFICACION!$F$2:$F$500,0))="sin dato","",INDEX(CODIFICACION!$E$2:$E$500,MATCH("P13|"&amp;CAPTURA!AJ129,CODIFICACION!$F$2:$F$500,0))),"⚠"))</f>
        <v/>
      </c>
      <c r="G129" t="str">
        <f>IF(CAPTURA!AK129="","",IFERROR(IF(INDEX(CODIFICACION!$E$2:$E$500,MATCH("P14|"&amp;CAPTURA!AK129,CODIFICACION!$F$2:$F$500,0))="sin dato","",INDEX(CODIFICACION!$E$2:$E$500,MATCH("P14|"&amp;CAPTURA!AK129,CODIFICACION!$F$2:$F$500,0))),"⚠"))</f>
        <v/>
      </c>
      <c r="H129" t="str">
        <f>IF(CAPTURA!AL129="","",IFERROR(IF(INDEX(CODIFICACION!$E$2:$E$500,MATCH("D1.1|"&amp;CAPTURA!AL129,CODIFICACION!$F$2:$F$500,0))="sin dato","",INDEX(CODIFICACION!$E$2:$E$500,MATCH("D1.1|"&amp;CAPTURA!AL129,CODIFICACION!$F$2:$F$500,0))),"⚠"))</f>
        <v/>
      </c>
      <c r="I129" t="str">
        <f>IF(CAPTURA!AN129="","",IFERROR(IF(INDEX(CODIFICACION!$E$2:$E$500,MATCH("D1.3|"&amp;CAPTURA!AN129,CODIFICACION!$F$2:$F$500,0))="sin dato","",INDEX(CODIFICACION!$E$2:$E$500,MATCH("D1.3|"&amp;CAPTURA!AN129,CODIFICACION!$F$2:$F$500,0))),"⚠"))</f>
        <v/>
      </c>
      <c r="J129" t="str">
        <f>IF(CAPTURA!AO129="","",IFERROR(IF(INDEX(CODIFICACION!$E$2:$E$500,MATCH("D1.4|"&amp;CAPTURA!AO129,CODIFICACION!$F$2:$F$500,0))="sin dato","",INDEX(CODIFICACION!$E$2:$E$500,MATCH("D1.4|"&amp;CAPTURA!AO129,CODIFICACION!$F$2:$F$500,0))),"⚠"))</f>
        <v/>
      </c>
      <c r="K129" t="str">
        <f>IF(CAPTURA!AP129="","",IFERROR(IF(INDEX(CODIFICACION!$E$2:$E$500,MATCH("D1.3a|"&amp;CAPTURA!AP129,CODIFICACION!$F$2:$F$500,0))="sin dato","",INDEX(CODIFICACION!$E$2:$E$500,MATCH("D1.3a|"&amp;CAPTURA!AP129,CODIFICACION!$F$2:$F$500,0))),"⚠"))</f>
        <v/>
      </c>
      <c r="L129" t="str">
        <f>IF(CAPTURA!AQ129="","",IF(AND(ISNUMBER(CAPTURA!AQ129),CAPTURA!AQ129&gt;=0,CAPTURA!AQ129&lt;=4),CAPTURA!AQ129*25,"⚠"))</f>
        <v/>
      </c>
      <c r="M129" t="str">
        <f>IF(CAPTURA!AR129="","",IF(ISNUMBER(CAPTURA!AR129),MAX(0,MIN(100,CAPTURA!AR129)),"⚠"))</f>
        <v/>
      </c>
      <c r="N129" t="str">
        <f>IF(CAPTURA!AS129="","",IF(AND(ISNUMBER(CAPTURA!AS129),CAPTURA!AS129&gt;=0,CAPTURA!AS129&lt;=4),CAPTURA!AS129*25,"⚠"))</f>
        <v/>
      </c>
      <c r="O129" t="str">
        <f>IF(CAPTURA!AT129="","",IFERROR(IF(INDEX(CODIFICACION!$E$2:$E$500,MATCH("D2.8|"&amp;CAPTURA!AT129,CODIFICACION!$F$2:$F$500,0))="sin dato","",INDEX(CODIFICACION!$E$2:$E$500,MATCH("D2.8|"&amp;CAPTURA!AT129,CODIFICACION!$F$2:$F$500,0))),"⚠"))</f>
        <v/>
      </c>
      <c r="P129" t="str">
        <f>IF(CAPTURA!AU129="","",IFERROR(IF(INDEX(CODIFICACION!$E$2:$E$500,MATCH("D2.9|"&amp;CAPTURA!AU129,CODIFICACION!$F$2:$F$500,0))="sin dato","",INDEX(CODIFICACION!$E$2:$E$500,MATCH("D2.9|"&amp;CAPTURA!AU129,CODIFICACION!$F$2:$F$500,0))),"⚠"))</f>
        <v/>
      </c>
      <c r="Q129" t="str">
        <f>IF(CAPTURA!AV129="","",IFERROR(IF(INDEX(CODIFICACION!$E$2:$E$500,MATCH("D2.10|"&amp;CAPTURA!AV129,CODIFICACION!$F$2:$F$500,0))="sin dato","",INDEX(CODIFICACION!$E$2:$E$500,MATCH("D2.10|"&amp;CAPTURA!AV129,CODIFICACION!$F$2:$F$500,0))),"⚠"))</f>
        <v/>
      </c>
      <c r="R129" t="str">
        <f>IF(CAPTURA!AW129="","",IFERROR(IF(INDEX(CODIFICACION!$E$2:$E$500,MATCH("D2.5a|"&amp;CAPTURA!AW129,CODIFICACION!$F$2:$F$500,0))="sin dato","",INDEX(CODIFICACION!$E$2:$E$500,MATCH("D2.5a|"&amp;CAPTURA!AW129,CODIFICACION!$F$2:$F$500,0))),"⚠"))</f>
        <v/>
      </c>
      <c r="S129" t="str">
        <f>IF(CAPTURA!AX129="","",IFERROR(IF(INDEX(CODIFICACION!$E$2:$E$500,MATCH("D2.5b|"&amp;CAPTURA!AX129,CODIFICACION!$F$2:$F$500,0))="sin dato","",INDEX(CODIFICACION!$E$2:$E$500,MATCH("D2.5b|"&amp;CAPTURA!AX129,CODIFICACION!$F$2:$F$500,0))),"⚠"))</f>
        <v/>
      </c>
      <c r="T129" t="str">
        <f>IF(CAPTURA!AY129="","",IF(ISNUMBER(CAPTURA!AY129),MAX(0,MIN(100,CAPTURA!AY129)),"⚠"))</f>
        <v/>
      </c>
      <c r="U129" t="str">
        <f>IF(CAPTURA!AZ129="","",IFERROR(IF(INDEX(CODIFICACION!$E$2:$E$500,MATCH("D3.12|"&amp;CAPTURA!AZ129,CODIFICACION!$F$2:$F$500,0))="sin dato","",INDEX(CODIFICACION!$E$2:$E$500,MATCH("D3.12|"&amp;CAPTURA!AZ129,CODIFICACION!$F$2:$F$500,0))),"⚠"))</f>
        <v/>
      </c>
      <c r="V129" t="str">
        <f>IF(CAPTURA!BA129="","",IF(AND(ISNUMBER(CAPTURA!BA129),CAPTURA!BA129&gt;=0,CAPTURA!BA129&lt;=4),CAPTURA!BA129*25,"⚠"))</f>
        <v/>
      </c>
      <c r="W129" t="str">
        <f>IF(CAPTURA!BB129="","",IFERROR(IF(INDEX(CODIFICACION!$E$2:$E$500,MATCH("D3.14|"&amp;CAPTURA!BB129,CODIFICACION!$F$2:$F$500,0))="sin dato","",INDEX(CODIFICACION!$E$2:$E$500,MATCH("D3.14|"&amp;CAPTURA!BB129,CODIFICACION!$F$2:$F$500,0))),"⚠"))</f>
        <v/>
      </c>
      <c r="X129" t="str">
        <f>IF(CAPTURA!BC129="","",IFERROR(IF(INDEX(CODIFICACION!$E$2:$E$500,MATCH("D3.14a|"&amp;CAPTURA!BC129,CODIFICACION!$F$2:$F$500,0))="sin dato","",INDEX(CODIFICACION!$E$2:$E$500,MATCH("D3.14a|"&amp;CAPTURA!BC129,CODIFICACION!$F$2:$F$500,0))),"⚠"))</f>
        <v/>
      </c>
      <c r="Y129" t="str">
        <f>IF(CAPTURA!BD129="","",IFERROR(IF(INDEX(CODIFICACION!$E$2:$E$500,MATCH("D3.14b|"&amp;CAPTURA!BD129,CODIFICACION!$F$2:$F$500,0))="sin dato","",INDEX(CODIFICACION!$E$2:$E$500,MATCH("D3.14b|"&amp;CAPTURA!BD129,CODIFICACION!$F$2:$F$500,0))),"⚠"))</f>
        <v/>
      </c>
      <c r="Z129" t="str">
        <f>IF(CAPTURA!BE129="","",IFERROR(IF(INDEX(CODIFICACION!$E$2:$E$500,MATCH("D3.14c|"&amp;CAPTURA!BE129,CODIFICACION!$F$2:$F$500,0))="sin dato","",INDEX(CODIFICACION!$E$2:$E$500,MATCH("D3.14c|"&amp;CAPTURA!BE129,CODIFICACION!$F$2:$F$500,0))),"⚠"))</f>
        <v/>
      </c>
      <c r="AA129" t="str">
        <f>IF(CAPTURA!BF129="","",IFERROR(IF(INDEX(CODIFICACION!$E$2:$E$500,MATCH("D3.14d|"&amp;CAPTURA!BF129,CODIFICACION!$F$2:$F$500,0))="sin dato","",INDEX(CODIFICACION!$E$2:$E$500,MATCH("D3.14d|"&amp;CAPTURA!BF129,CODIFICACION!$F$2:$F$500,0))),"⚠"))</f>
        <v/>
      </c>
      <c r="AB129" t="str">
        <f>IF(CAPTURA!BG129="","",IFERROR(IF(INDEX(CODIFICACION!$E$2:$E$500,MATCH("D3.14e|"&amp;CAPTURA!BG129,CODIFICACION!$F$2:$F$500,0))="sin dato","",INDEX(CODIFICACION!$E$2:$E$500,MATCH("D3.14e|"&amp;CAPTURA!BG129,CODIFICACION!$F$2:$F$500,0))),"⚠"))</f>
        <v/>
      </c>
      <c r="AC129" t="str">
        <f>IF(CAPTURA!BH129="","",IFERROR(IF(INDEX(CODIFICACION!$E$2:$E$500,MATCH("D3.14f|"&amp;CAPTURA!BH129,CODIFICACION!$F$2:$F$500,0))="sin dato","",INDEX(CODIFICACION!$E$2:$E$500,MATCH("D3.14f|"&amp;CAPTURA!BH129,CODIFICACION!$F$2:$F$500,0))),"⚠"))</f>
        <v/>
      </c>
      <c r="AD129" t="str">
        <f>IF(CAPTURA!BI129="","",IFERROR(IF(INDEX(CODIFICACION!$E$2:$E$500,MATCH("D3.14g|"&amp;CAPTURA!BI129,CODIFICACION!$F$2:$F$500,0))="sin dato","",INDEX(CODIFICACION!$E$2:$E$500,MATCH("D3.14g|"&amp;CAPTURA!BI129,CODIFICACION!$F$2:$F$500,0))),"⚠"))</f>
        <v/>
      </c>
      <c r="AE129" t="str">
        <f>IF(CAPTURA!BJ129="","",IFERROR(IF(INDEX(CODIFICACION!$E$2:$E$500,MATCH("D3.14h|"&amp;CAPTURA!BJ129,CODIFICACION!$F$2:$F$500,0))="sin dato","",INDEX(CODIFICACION!$E$2:$E$500,MATCH("D3.14h|"&amp;CAPTURA!BJ129,CODIFICACION!$F$2:$F$500,0))),"⚠"))</f>
        <v/>
      </c>
      <c r="AF129" t="str">
        <f>IF(CAPTURA!BK129="","",IFERROR(IF(INDEX(CODIFICACION!$E$2:$E$500,MATCH("D3.14i|"&amp;CAPTURA!BK129,CODIFICACION!$F$2:$F$500,0))="sin dato","",INDEX(CODIFICACION!$E$2:$E$500,MATCH("D3.14i|"&amp;CAPTURA!BK129,CODIFICACION!$F$2:$F$500,0))),"⚠"))</f>
        <v/>
      </c>
      <c r="AG129" t="str">
        <f>IF(CAPTURA!BL129="","",IFERROR(IF(INDEX(CODIFICACION!$E$2:$E$500,MATCH("D4.15|"&amp;CAPTURA!BL129,CODIFICACION!$F$2:$F$500,0))="sin dato","",INDEX(CODIFICACION!$E$2:$E$500,MATCH("D4.15|"&amp;CAPTURA!BL129,CODIFICACION!$F$2:$F$500,0))),"⚠"))</f>
        <v/>
      </c>
      <c r="AH129" t="str">
        <f>IF(CAPTURA!BM129="","",IF(AND(ISNUMBER(CAPTURA!BM129),CAPTURA!BM129&gt;=0,CAPTURA!BM129&lt;=4),CAPTURA!BM129*25,"⚠"))</f>
        <v/>
      </c>
      <c r="AI129" t="str">
        <f>IF(CAPTURA!BN129="","",IFERROR(IF(INDEX(CODIFICACION!$E$2:$E$500,MATCH("D4.17|"&amp;CAPTURA!BN129,CODIFICACION!$F$2:$F$500,0))="sin dato","",INDEX(CODIFICACION!$E$2:$E$500,MATCH("D4.17|"&amp;CAPTURA!BN129,CODIFICACION!$F$2:$F$500,0))),"⚠"))</f>
        <v/>
      </c>
      <c r="AJ129" t="str">
        <f>IF(CAPTURA!BO129="","",IFERROR(IF(INDEX(CODIFICACION!$E$2:$E$500,MATCH("D4.15a|"&amp;CAPTURA!BO129,CODIFICACION!$F$2:$F$500,0))="sin dato","",INDEX(CODIFICACION!$E$2:$E$500,MATCH("D4.15a|"&amp;CAPTURA!BO129,CODIFICACION!$F$2:$F$500,0))),"⚠"))</f>
        <v/>
      </c>
      <c r="AK129" t="str">
        <f>IF(CAPTURA!BP129="","",IF(AND(ISNUMBER(CAPTURA!BP129),CAPTURA!BP129&gt;=0,CAPTURA!BP129&lt;=4),CAPTURA!BP129*25,"⚠"))</f>
        <v/>
      </c>
      <c r="AL129" t="str">
        <f>IF(CAPTURA!BQ129="","",IF(AND(ISNUMBER(CAPTURA!BQ129),CAPTURA!BQ129&gt;=0,CAPTURA!BQ129&lt;=4),CAPTURA!BQ129*25,"⚠"))</f>
        <v/>
      </c>
      <c r="AM129" t="str">
        <f>IF(CAPTURA!BR129="","",IFERROR(IF(INDEX(CODIFICACION!$E$2:$E$500,MATCH("D5.18b|"&amp;CAPTURA!BR129,CODIFICACION!$F$2:$F$500,0))="sin dato","",INDEX(CODIFICACION!$E$2:$E$500,MATCH("D5.18b|"&amp;CAPTURA!BR129,CODIFICACION!$F$2:$F$500,0))),"⚠"))</f>
        <v/>
      </c>
      <c r="AN129" t="str">
        <f>IF(CAPTURA!BS129="","",IFERROR(IF(INDEX(CODIFICACION!$E$2:$E$500,MATCH("D5.19|"&amp;CAPTURA!BS129,CODIFICACION!$F$2:$F$500,0))="sin dato","",INDEX(CODIFICACION!$E$2:$E$500,MATCH("D5.19|"&amp;CAPTURA!BS129,CODIFICACION!$F$2:$F$500,0))),"⚠"))</f>
        <v/>
      </c>
      <c r="AO129" t="str">
        <f>IF(CAPTURA!BT129="","",MIN(100,ROUND((LEN(CAPTURA!BT129)-LEN(SUBSTITUTE(CAPTURA!BT129,";",""))+1)/7*100,1)))</f>
        <v/>
      </c>
      <c r="AP129" t="str">
        <f>IF(CAPTURA!BU129="","",IFERROR(IF(INDEX(CODIFICACION!$E$2:$E$500,MATCH("D5.20|"&amp;CAPTURA!BU129,CODIFICACION!$F$2:$F$500,0))="sin dato","",INDEX(CODIFICACION!$E$2:$E$500,MATCH("D5.20|"&amp;CAPTURA!BU129,CODIFICACION!$F$2:$F$500,0))),"⚠"))</f>
        <v/>
      </c>
      <c r="AQ129" t="str">
        <f>IF(CAPTURA!BV129="","",IFERROR(IF(INDEX(CODIFICACION!$E$2:$E$500,MATCH("D5.21|"&amp;CAPTURA!BV129,CODIFICACION!$F$2:$F$500,0))="sin dato","",INDEX(CODIFICACION!$E$2:$E$500,MATCH("D5.21|"&amp;CAPTURA!BV129,CODIFICACION!$F$2:$F$500,0))),"⚠"))</f>
        <v/>
      </c>
      <c r="AR129" t="str">
        <f>IF(CAPTURA!BW129="","",IFERROR(IF(INDEX(CODIFICACION!$E$2:$E$500,MATCH("D5.21a|"&amp;CAPTURA!BW129,CODIFICACION!$F$2:$F$500,0))="sin dato","",INDEX(CODIFICACION!$E$2:$E$500,MATCH("D5.21a|"&amp;CAPTURA!BW129,CODIFICACION!$F$2:$F$500,0))),"⚠"))</f>
        <v/>
      </c>
      <c r="AS129" t="str">
        <f>IF(CAPTURA!BX129="","",IFERROR(IF(INDEX(CODIFICACION!$E$2:$E$500,MATCH("D5.21b|"&amp;CAPTURA!BX129,CODIFICACION!$F$2:$F$500,0))="sin dato","",INDEX(CODIFICACION!$E$2:$E$500,MATCH("D5.21b|"&amp;CAPTURA!BX129,CODIFICACION!$F$2:$F$500,0))),"⚠"))</f>
        <v/>
      </c>
      <c r="AT129" t="str">
        <f>IF(CAPTURA!BY129="","",IFERROR(IF(INDEX(CODIFICACION!$E$2:$E$500,MATCH("D6.22|"&amp;CAPTURA!BY129,CODIFICACION!$F$2:$F$500,0))="sin dato","",INDEX(CODIFICACION!$E$2:$E$500,MATCH("D6.22|"&amp;CAPTURA!BY129,CODIFICACION!$F$2:$F$500,0))),"⚠"))</f>
        <v/>
      </c>
      <c r="AU129" t="str">
        <f>IF(CAPTURA!BZ129="","",IFERROR(IF(INDEX(CODIFICACION!$E$2:$E$500,MATCH("D6.22a|"&amp;CAPTURA!BZ129,CODIFICACION!$F$2:$F$500,0))="sin dato","",INDEX(CODIFICACION!$E$2:$E$500,MATCH("D6.22a|"&amp;CAPTURA!BZ129,CODIFICACION!$F$2:$F$500,0))),"⚠"))</f>
        <v/>
      </c>
      <c r="AV129" t="str">
        <f>IF(CAPTURA!CA129="","",IFERROR(IF(INDEX(CODIFICACION!$E$2:$E$500,MATCH("D6.22b|"&amp;CAPTURA!CA129,CODIFICACION!$F$2:$F$500,0))="sin dato","",INDEX(CODIFICACION!$E$2:$E$500,MATCH("D6.22b|"&amp;CAPTURA!CA129,CODIFICACION!$F$2:$F$500,0))),"⚠"))</f>
        <v/>
      </c>
      <c r="AW129" t="str">
        <f>IF(CAPTURA!CB129="","",IFERROR(IF(INDEX(CODIFICACION!$E$2:$E$500,MATCH("D6.23|"&amp;CAPTURA!CB129,CODIFICACION!$F$2:$F$500,0))="sin dato","",INDEX(CODIFICACION!$E$2:$E$500,MATCH("D6.23|"&amp;CAPTURA!CB129,CODIFICACION!$F$2:$F$500,0))),"⚠"))</f>
        <v/>
      </c>
      <c r="AX129" t="str">
        <f>IF(CAPTURA!CC129="","",IFERROR(IF(INDEX(CODIFICACION!$E$2:$E$500,MATCH("D6.24|"&amp;CAPTURA!CC129,CODIFICACION!$F$2:$F$500,0))="sin dato","",INDEX(CODIFICACION!$E$2:$E$500,MATCH("D6.24|"&amp;CAPTURA!CC129,CODIFICACION!$F$2:$F$500,0))),"⚠"))</f>
        <v/>
      </c>
      <c r="AY129" t="str">
        <f>IF(CAPTURA!CD129="","",IFERROR(IF(INDEX(CODIFICACION!$E$2:$E$500,MATCH("D6.25|"&amp;CAPTURA!CD129,CODIFICACION!$F$2:$F$500,0))="sin dato","",INDEX(CODIFICACION!$E$2:$E$500,MATCH("D6.25|"&amp;CAPTURA!CD129,CODIFICACION!$F$2:$F$500,0))),"⚠"))</f>
        <v/>
      </c>
      <c r="AZ129" t="str">
        <f>IF(CAPTURA!CE129="","",IFERROR(IF(INDEX(CODIFICACION!$E$2:$E$500,MATCH("D6.25a|"&amp;CAPTURA!CE129,CODIFICACION!$F$2:$F$500,0))="sin dato","",INDEX(CODIFICACION!$E$2:$E$500,MATCH("D6.25a|"&amp;CAPTURA!CE129,CODIFICACION!$F$2:$F$500,0))),"⚠"))</f>
        <v/>
      </c>
      <c r="BA129" t="str">
        <f>IF(CAPTURA!CF129="","",IFERROR(IF(INDEX(CODIFICACION!$E$2:$E$500,MATCH("D6.25b|"&amp;CAPTURA!CF129,CODIFICACION!$F$2:$F$500,0))="sin dato","",INDEX(CODIFICACION!$E$2:$E$500,MATCH("D6.25b|"&amp;CAPTURA!CF129,CODIFICACION!$F$2:$F$500,0))),"⚠"))</f>
        <v/>
      </c>
      <c r="BB129" t="str">
        <f>IF(CAPTURA!CG129="","",IFERROR(IF(INDEX(CODIFICACION!$E$2:$E$500,MATCH("D6.22c|"&amp;CAPTURA!CG129,CODIFICACION!$F$2:$F$500,0))="sin dato","",INDEX(CODIFICACION!$E$2:$E$500,MATCH("D6.22c|"&amp;CAPTURA!CG129,CODIFICACION!$F$2:$F$500,0))),"⚠"))</f>
        <v/>
      </c>
      <c r="BC129" t="str">
        <f>IF(CAPTURA!CH129="","",IFERROR(IF(INDEX(CODIFICACION!$E$2:$E$500,MATCH("D7.26|"&amp;CAPTURA!CH129,CODIFICACION!$F$2:$F$500,0))="sin dato","",INDEX(CODIFICACION!$E$2:$E$500,MATCH("D7.26|"&amp;CAPTURA!CH129,CODIFICACION!$F$2:$F$500,0))),"⚠"))</f>
        <v/>
      </c>
      <c r="BD129" t="str">
        <f>IF(CAPTURA!CI129="","",IFERROR(IF(INDEX(CODIFICACION!$E$2:$E$500,MATCH("D7.27|"&amp;CAPTURA!CI129,CODIFICACION!$F$2:$F$500,0))="sin dato","",INDEX(CODIFICACION!$E$2:$E$500,MATCH("D7.27|"&amp;CAPTURA!CI129,CODIFICACION!$F$2:$F$500,0))),"⚠"))</f>
        <v/>
      </c>
      <c r="BE129" t="str">
        <f>IF(CAPTURA!CJ129="","",IFERROR(IF(INDEX(CODIFICACION!$E$2:$E$500,MATCH("D7.28|"&amp;CAPTURA!CJ129,CODIFICACION!$F$2:$F$500,0))="sin dato","",INDEX(CODIFICACION!$E$2:$E$500,MATCH("D7.28|"&amp;CAPTURA!CJ129,CODIFICACION!$F$2:$F$500,0))),"⚠"))</f>
        <v/>
      </c>
      <c r="BF129" t="str">
        <f>IF(CAPTURA!CK129="","",IFERROR(IF(INDEX(CODIFICACION!$E$2:$E$500,MATCH("D7.28b|"&amp;CAPTURA!CK129,CODIFICACION!$F$2:$F$500,0))="sin dato","",INDEX(CODIFICACION!$E$2:$E$500,MATCH("D7.28b|"&amp;CAPTURA!CK129,CODIFICACION!$F$2:$F$500,0))),"⚠"))</f>
        <v/>
      </c>
      <c r="BG129" t="str">
        <f>IF(CAPTURA!CL129="","",MIN(100,ROUND((LEN(CAPTURA!CL129)-LEN(SUBSTITUTE(CAPTURA!CL129,";",""))+1)/8*100,1)))</f>
        <v/>
      </c>
      <c r="BH129" t="str">
        <f>IF(CAPTURA!CM129="","",IFERROR(IF(INDEX(CODIFICACION!$E$2:$E$500,MATCH("D7.26a|"&amp;CAPTURA!CM129,CODIFICACION!$F$2:$F$500,0))="sin dato","",INDEX(CODIFICACION!$E$2:$E$500,MATCH("D7.26a|"&amp;CAPTURA!CM129,CODIFICACION!$F$2:$F$500,0))),"⚠"))</f>
        <v/>
      </c>
      <c r="BI129" t="str">
        <f>IF(CAPTURA!CN129="","",IFERROR(IF(INDEX(CODIFICACION!$E$2:$E$500,MATCH("D7.26b|"&amp;CAPTURA!CN129,CODIFICACION!$F$2:$F$500,0))="sin dato","",INDEX(CODIFICACION!$E$2:$E$500,MATCH("D7.26b|"&amp;CAPTURA!CN129,CODIFICACION!$F$2:$F$500,0))),"⚠"))</f>
        <v/>
      </c>
      <c r="BJ129" t="str">
        <f>IF(CAPTURA!CO129="","",IF(AND(ISNUMBER(CAPTURA!CO129),CAPTURA!CO129&gt;=0,CAPTURA!CO129&lt;=4),CAPTURA!CO129*25,"⚠"))</f>
        <v/>
      </c>
      <c r="BK129" t="str">
        <f>IF(CAPTURA!CP129="","",IF(ISNUMBER(CAPTURA!CP129),MAX(0,MIN(100,CAPTURA!CP129)),"⚠"))</f>
        <v/>
      </c>
      <c r="BL129" t="str">
        <f>IF(CAPTURA!CQ129="","",IFERROR(IF(INDEX(CODIFICACION!$E$2:$E$500,MATCH("D8.31|"&amp;CAPTURA!CQ129,CODIFICACION!$F$2:$F$500,0))="sin dato","",INDEX(CODIFICACION!$E$2:$E$500,MATCH("D8.31|"&amp;CAPTURA!CQ129,CODIFICACION!$F$2:$F$500,0))),"⚠"))</f>
        <v/>
      </c>
      <c r="BM129" t="str">
        <f>IF(CAPTURA!CR129="","",IFERROR(IF(INDEX(CODIFICACION!$E$2:$E$500,MATCH("D8.32|"&amp;CAPTURA!CR129,CODIFICACION!$F$2:$F$500,0))="sin dato","",INDEX(CODIFICACION!$E$2:$E$500,MATCH("D8.32|"&amp;CAPTURA!CR129,CODIFICACION!$F$2:$F$500,0))),"⚠"))</f>
        <v/>
      </c>
      <c r="BN129" t="str">
        <f>IF(CAPTURA!CS129="","",IFERROR(IF(INDEX(CODIFICACION!$E$2:$E$500,MATCH("D9.33|"&amp;CAPTURA!CS129,CODIFICACION!$F$2:$F$500,0))="sin dato","",INDEX(CODIFICACION!$E$2:$E$500,MATCH("D9.33|"&amp;CAPTURA!CS129,CODIFICACION!$F$2:$F$500,0))),"⚠"))</f>
        <v/>
      </c>
      <c r="BO129" t="str">
        <f>IF(CAPTURA!CT129="","",IFERROR(IF(INDEX(CODIFICACION!$E$2:$E$500,MATCH("D9.34|"&amp;CAPTURA!CT129,CODIFICACION!$F$2:$F$500,0))="sin dato","",INDEX(CODIFICACION!$E$2:$E$500,MATCH("D9.34|"&amp;CAPTURA!CT129,CODIFICACION!$F$2:$F$500,0))),"⚠"))</f>
        <v/>
      </c>
      <c r="BP129" t="str">
        <f>IF(CAPTURA!CU129="","",IFERROR(IF(INDEX(CODIFICACION!$E$2:$E$500,MATCH("D9.35|"&amp;CAPTURA!CU129,CODIFICACION!$F$2:$F$500,0))="sin dato","",INDEX(CODIFICACION!$E$2:$E$500,MATCH("D9.35|"&amp;CAPTURA!CU129,CODIFICACION!$F$2:$F$500,0))),"⚠"))</f>
        <v/>
      </c>
      <c r="BQ129" t="str">
        <f>IF(CAPTURA!CV129="","",IFERROR(IF(INDEX(CODIFICACION!$E$2:$E$500,MATCH("D10.36|"&amp;CAPTURA!CV129,CODIFICACION!$F$2:$F$500,0))="sin dato","",INDEX(CODIFICACION!$E$2:$E$500,MATCH("D10.36|"&amp;CAPTURA!CV129,CODIFICACION!$F$2:$F$500,0))),"⚠"))</f>
        <v/>
      </c>
      <c r="BR129" t="str">
        <f>IF(CAPTURA!CW129="","",IFERROR(IF(INDEX(CODIFICACION!$E$2:$E$500,MATCH("D10.37|"&amp;CAPTURA!CW129,CODIFICACION!$F$2:$F$500,0))="sin dato","",INDEX(CODIFICACION!$E$2:$E$500,MATCH("D10.37|"&amp;CAPTURA!CW129,CODIFICACION!$F$2:$F$500,0))),"⚠"))</f>
        <v/>
      </c>
      <c r="BS129" t="str">
        <f>IF(CAPTURA!CX129="","",IFERROR(IF(INDEX(CODIFICACION!$E$2:$E$500,MATCH("D10.36a|"&amp;CAPTURA!CX129,CODIFICACION!$F$2:$F$500,0))="sin dato","",INDEX(CODIFICACION!$E$2:$E$500,MATCH("D10.36a|"&amp;CAPTURA!CX129,CODIFICACION!$F$2:$F$500,0))),"⚠"))</f>
        <v/>
      </c>
      <c r="BT129" t="str">
        <f>IF(CAPTURA!CY129="","",IF(ISNUMBER(SEARCH("Ninguno",CAPTURA!CY129)),0,MIN(100,ROUND((LEN(CAPTURA!CY129)-LEN(SUBSTITUTE(CAPTURA!CY129,";",""))+1)/6*100,1))))</f>
        <v/>
      </c>
      <c r="BU129" t="str">
        <f>IF(CAPTURA!DA129="","",IFERROR(IF(INDEX(CODIFICACION!$E$2:$E$500,MATCH("D11.39a|"&amp;CAPTURA!DA129,CODIFICACION!$F$2:$F$500,0))="sin dato","",INDEX(CODIFICACION!$E$2:$E$500,MATCH("D11.39a|"&amp;CAPTURA!DA129,CODIFICACION!$F$2:$F$500,0))),"⚠"))</f>
        <v/>
      </c>
      <c r="BV129" t="str">
        <f>IF(CAPTURA!DB129="","",IFERROR(IF(INDEX(CODIFICACION!$E$2:$E$500,MATCH("D12.42|"&amp;CAPTURA!DB129,CODIFICACION!$F$2:$F$500,0))="sin dato","",INDEX(CODIFICACION!$E$2:$E$500,MATCH("D12.42|"&amp;CAPTURA!DB129,CODIFICACION!$F$2:$F$500,0))),"⚠"))</f>
        <v/>
      </c>
      <c r="BW129" t="str">
        <f>IF(CAPTURA!DC129="","",IFERROR(IF(INDEX(CODIFICACION!$E$2:$E$500,MATCH("D13.45|"&amp;CAPTURA!DC129,CODIFICACION!$F$2:$F$500,0))="sin dato","",INDEX(CODIFICACION!$E$2:$E$500,MATCH("D13.45|"&amp;CAPTURA!DC129,CODIFICACION!$F$2:$F$500,0))),"⚠"))</f>
        <v/>
      </c>
      <c r="BX129" t="str">
        <f>IF(CAPTURA!DD129="","",IFERROR(IF(INDEX(CODIFICACION!$E$2:$E$500,MATCH("D14.51|"&amp;CAPTURA!DD129,CODIFICACION!$F$2:$F$500,0))="sin dato","",INDEX(CODIFICACION!$E$2:$E$500,MATCH("D14.51|"&amp;CAPTURA!DD129,CODIFICACION!$F$2:$F$500,0))),"⚠"))</f>
        <v/>
      </c>
      <c r="BY129" t="str">
        <f>IF(CAPTURA!DE129="","",IFERROR(IF(INDEX(CODIFICACION!$E$2:$E$500,MATCH("D15.58|"&amp;CAPTURA!DE129,CODIFICACION!$F$2:$F$500,0))="sin dato","",INDEX(CODIFICACION!$E$2:$E$500,MATCH("D15.58|"&amp;CAPTURA!DE129,CODIFICACION!$F$2:$F$500,0))),"⚠"))</f>
        <v/>
      </c>
      <c r="BZ129" t="str">
        <f>IF(CAPTURA!DF129="","",IFERROR(IF(INDEX(CODIFICACION!$E$2:$E$500,MATCH("PP1|"&amp;CAPTURA!DF129,CODIFICACION!$F$2:$F$500,0))="sin dato","",INDEX(CODIFICACION!$E$2:$E$500,MATCH("PP1|"&amp;CAPTURA!DF129,CODIFICACION!$F$2:$F$500,0))),"⚠"))</f>
        <v/>
      </c>
      <c r="CA129" t="str">
        <f>IF(CAPTURA!DG129="","",IFERROR(IF(INDEX(CODIFICACION!$E$2:$E$500,MATCH("PP2|"&amp;CAPTURA!DG129,CODIFICACION!$F$2:$F$500,0))="sin dato","",INDEX(CODIFICACION!$E$2:$E$500,MATCH("PP2|"&amp;CAPTURA!DG129,CODIFICACION!$F$2:$F$500,0))),"⚠"))</f>
        <v/>
      </c>
      <c r="CB129" t="str">
        <f t="shared" si="33"/>
        <v/>
      </c>
      <c r="CC129" t="str">
        <f t="shared" si="34"/>
        <v/>
      </c>
      <c r="CD129" t="str">
        <f t="shared" si="35"/>
        <v/>
      </c>
      <c r="CE129" t="str">
        <f t="shared" si="36"/>
        <v/>
      </c>
      <c r="CF129" t="str">
        <f t="shared" si="37"/>
        <v/>
      </c>
      <c r="CG129" t="str">
        <f t="shared" si="38"/>
        <v/>
      </c>
      <c r="CH129" t="str">
        <f t="shared" si="39"/>
        <v/>
      </c>
      <c r="CI129" t="str">
        <f t="shared" si="40"/>
        <v/>
      </c>
      <c r="CJ129" t="str">
        <f t="shared" si="41"/>
        <v/>
      </c>
      <c r="CK129" t="str">
        <f t="shared" si="42"/>
        <v/>
      </c>
      <c r="CL129" t="str">
        <f t="shared" si="43"/>
        <v/>
      </c>
    </row>
    <row r="130" spans="1:90" x14ac:dyDescent="0.3">
      <c r="A130">
        <f>CAPTURA!A130</f>
        <v>20602054480</v>
      </c>
      <c r="B130">
        <f>CAPTURA!C130</f>
        <v>0</v>
      </c>
      <c r="C130" t="str">
        <f>IF(CAPTURA!M130="","",ROUND((ISNUMBER(SEARCH("Alemania",CAPTURA!M130))+ISNUMBER(SEARCH("Bélgica",CAPTURA!M130))+ISNUMBER(SEARCH("Países Bajos",CAPTURA!M130))+ISNUMBER(SEARCH("Francia",CAPTURA!M130))+ISNUMBER(SEARCH("Italia",CAPTURA!M130))+ISNUMBER(SEARCH("España",CAPTURA!M130))+ISNUMBER(SEARCH("Suecia",CAPTURA!M130))+ISNUMBER(SEARCH("Dinamarca",CAPTURA!M130)))/((LEN(CAPTURA!M130)-LEN(SUBSTITUTE(CAPTURA!M130,";","")))+1)*100,1))</f>
        <v/>
      </c>
      <c r="D130" t="str">
        <f>IF(CAPTURA!AE130="","",IFERROR(IF(INDEX(CODIFICACION!$E$2:$E$500,MATCH("P8|"&amp;CAPTURA!AE130,CODIFICACION!$F$2:$F$500,0))="sin dato","",INDEX(CODIFICACION!$E$2:$E$500,MATCH("P8|"&amp;CAPTURA!AE130,CODIFICACION!$F$2:$F$500,0))),"⚠"))</f>
        <v/>
      </c>
      <c r="E130" t="str">
        <f>IF(CAPTURA!AG130="","",IFERROR(IF(INDEX(CODIFICACION!$E$2:$E$500,MATCH("P10|"&amp;CAPTURA!AG130,CODIFICACION!$F$2:$F$500,0))="sin dato","",INDEX(CODIFICACION!$E$2:$E$500,MATCH("P10|"&amp;CAPTURA!AG130,CODIFICACION!$F$2:$F$500,0))),"⚠"))</f>
        <v/>
      </c>
      <c r="F130" t="str">
        <f>IF(CAPTURA!AJ130="","",IFERROR(IF(INDEX(CODIFICACION!$E$2:$E$500,MATCH("P13|"&amp;CAPTURA!AJ130,CODIFICACION!$F$2:$F$500,0))="sin dato","",INDEX(CODIFICACION!$E$2:$E$500,MATCH("P13|"&amp;CAPTURA!AJ130,CODIFICACION!$F$2:$F$500,0))),"⚠"))</f>
        <v/>
      </c>
      <c r="G130" t="str">
        <f>IF(CAPTURA!AK130="","",IFERROR(IF(INDEX(CODIFICACION!$E$2:$E$500,MATCH("P14|"&amp;CAPTURA!AK130,CODIFICACION!$F$2:$F$500,0))="sin dato","",INDEX(CODIFICACION!$E$2:$E$500,MATCH("P14|"&amp;CAPTURA!AK130,CODIFICACION!$F$2:$F$500,0))),"⚠"))</f>
        <v/>
      </c>
      <c r="H130" t="str">
        <f>IF(CAPTURA!AL130="","",IFERROR(IF(INDEX(CODIFICACION!$E$2:$E$500,MATCH("D1.1|"&amp;CAPTURA!AL130,CODIFICACION!$F$2:$F$500,0))="sin dato","",INDEX(CODIFICACION!$E$2:$E$500,MATCH("D1.1|"&amp;CAPTURA!AL130,CODIFICACION!$F$2:$F$500,0))),"⚠"))</f>
        <v/>
      </c>
      <c r="I130" t="str">
        <f>IF(CAPTURA!AN130="","",IFERROR(IF(INDEX(CODIFICACION!$E$2:$E$500,MATCH("D1.3|"&amp;CAPTURA!AN130,CODIFICACION!$F$2:$F$500,0))="sin dato","",INDEX(CODIFICACION!$E$2:$E$500,MATCH("D1.3|"&amp;CAPTURA!AN130,CODIFICACION!$F$2:$F$500,0))),"⚠"))</f>
        <v/>
      </c>
      <c r="J130" t="str">
        <f>IF(CAPTURA!AO130="","",IFERROR(IF(INDEX(CODIFICACION!$E$2:$E$500,MATCH("D1.4|"&amp;CAPTURA!AO130,CODIFICACION!$F$2:$F$500,0))="sin dato","",INDEX(CODIFICACION!$E$2:$E$500,MATCH("D1.4|"&amp;CAPTURA!AO130,CODIFICACION!$F$2:$F$500,0))),"⚠"))</f>
        <v/>
      </c>
      <c r="K130" t="str">
        <f>IF(CAPTURA!AP130="","",IFERROR(IF(INDEX(CODIFICACION!$E$2:$E$500,MATCH("D1.3a|"&amp;CAPTURA!AP130,CODIFICACION!$F$2:$F$500,0))="sin dato","",INDEX(CODIFICACION!$E$2:$E$500,MATCH("D1.3a|"&amp;CAPTURA!AP130,CODIFICACION!$F$2:$F$500,0))),"⚠"))</f>
        <v/>
      </c>
      <c r="L130" t="str">
        <f>IF(CAPTURA!AQ130="","",IF(AND(ISNUMBER(CAPTURA!AQ130),CAPTURA!AQ130&gt;=0,CAPTURA!AQ130&lt;=4),CAPTURA!AQ130*25,"⚠"))</f>
        <v/>
      </c>
      <c r="M130" t="str">
        <f>IF(CAPTURA!AR130="","",IF(ISNUMBER(CAPTURA!AR130),MAX(0,MIN(100,CAPTURA!AR130)),"⚠"))</f>
        <v/>
      </c>
      <c r="N130" t="str">
        <f>IF(CAPTURA!AS130="","",IF(AND(ISNUMBER(CAPTURA!AS130),CAPTURA!AS130&gt;=0,CAPTURA!AS130&lt;=4),CAPTURA!AS130*25,"⚠"))</f>
        <v/>
      </c>
      <c r="O130" t="str">
        <f>IF(CAPTURA!AT130="","",IFERROR(IF(INDEX(CODIFICACION!$E$2:$E$500,MATCH("D2.8|"&amp;CAPTURA!AT130,CODIFICACION!$F$2:$F$500,0))="sin dato","",INDEX(CODIFICACION!$E$2:$E$500,MATCH("D2.8|"&amp;CAPTURA!AT130,CODIFICACION!$F$2:$F$500,0))),"⚠"))</f>
        <v/>
      </c>
      <c r="P130" t="str">
        <f>IF(CAPTURA!AU130="","",IFERROR(IF(INDEX(CODIFICACION!$E$2:$E$500,MATCH("D2.9|"&amp;CAPTURA!AU130,CODIFICACION!$F$2:$F$500,0))="sin dato","",INDEX(CODIFICACION!$E$2:$E$500,MATCH("D2.9|"&amp;CAPTURA!AU130,CODIFICACION!$F$2:$F$500,0))),"⚠"))</f>
        <v/>
      </c>
      <c r="Q130" t="str">
        <f>IF(CAPTURA!AV130="","",IFERROR(IF(INDEX(CODIFICACION!$E$2:$E$500,MATCH("D2.10|"&amp;CAPTURA!AV130,CODIFICACION!$F$2:$F$500,0))="sin dato","",INDEX(CODIFICACION!$E$2:$E$500,MATCH("D2.10|"&amp;CAPTURA!AV130,CODIFICACION!$F$2:$F$500,0))),"⚠"))</f>
        <v/>
      </c>
      <c r="R130" t="str">
        <f>IF(CAPTURA!AW130="","",IFERROR(IF(INDEX(CODIFICACION!$E$2:$E$500,MATCH("D2.5a|"&amp;CAPTURA!AW130,CODIFICACION!$F$2:$F$500,0))="sin dato","",INDEX(CODIFICACION!$E$2:$E$500,MATCH("D2.5a|"&amp;CAPTURA!AW130,CODIFICACION!$F$2:$F$500,0))),"⚠"))</f>
        <v/>
      </c>
      <c r="S130" t="str">
        <f>IF(CAPTURA!AX130="","",IFERROR(IF(INDEX(CODIFICACION!$E$2:$E$500,MATCH("D2.5b|"&amp;CAPTURA!AX130,CODIFICACION!$F$2:$F$500,0))="sin dato","",INDEX(CODIFICACION!$E$2:$E$500,MATCH("D2.5b|"&amp;CAPTURA!AX130,CODIFICACION!$F$2:$F$500,0))),"⚠"))</f>
        <v/>
      </c>
      <c r="T130" t="str">
        <f>IF(CAPTURA!AY130="","",IF(ISNUMBER(CAPTURA!AY130),MAX(0,MIN(100,CAPTURA!AY130)),"⚠"))</f>
        <v/>
      </c>
      <c r="U130" t="str">
        <f>IF(CAPTURA!AZ130="","",IFERROR(IF(INDEX(CODIFICACION!$E$2:$E$500,MATCH("D3.12|"&amp;CAPTURA!AZ130,CODIFICACION!$F$2:$F$500,0))="sin dato","",INDEX(CODIFICACION!$E$2:$E$500,MATCH("D3.12|"&amp;CAPTURA!AZ130,CODIFICACION!$F$2:$F$500,0))),"⚠"))</f>
        <v/>
      </c>
      <c r="V130" t="str">
        <f>IF(CAPTURA!BA130="","",IF(AND(ISNUMBER(CAPTURA!BA130),CAPTURA!BA130&gt;=0,CAPTURA!BA130&lt;=4),CAPTURA!BA130*25,"⚠"))</f>
        <v/>
      </c>
      <c r="W130" t="str">
        <f>IF(CAPTURA!BB130="","",IFERROR(IF(INDEX(CODIFICACION!$E$2:$E$500,MATCH("D3.14|"&amp;CAPTURA!BB130,CODIFICACION!$F$2:$F$500,0))="sin dato","",INDEX(CODIFICACION!$E$2:$E$500,MATCH("D3.14|"&amp;CAPTURA!BB130,CODIFICACION!$F$2:$F$500,0))),"⚠"))</f>
        <v/>
      </c>
      <c r="X130" t="str">
        <f>IF(CAPTURA!BC130="","",IFERROR(IF(INDEX(CODIFICACION!$E$2:$E$500,MATCH("D3.14a|"&amp;CAPTURA!BC130,CODIFICACION!$F$2:$F$500,0))="sin dato","",INDEX(CODIFICACION!$E$2:$E$500,MATCH("D3.14a|"&amp;CAPTURA!BC130,CODIFICACION!$F$2:$F$500,0))),"⚠"))</f>
        <v/>
      </c>
      <c r="Y130" t="str">
        <f>IF(CAPTURA!BD130="","",IFERROR(IF(INDEX(CODIFICACION!$E$2:$E$500,MATCH("D3.14b|"&amp;CAPTURA!BD130,CODIFICACION!$F$2:$F$500,0))="sin dato","",INDEX(CODIFICACION!$E$2:$E$500,MATCH("D3.14b|"&amp;CAPTURA!BD130,CODIFICACION!$F$2:$F$500,0))),"⚠"))</f>
        <v/>
      </c>
      <c r="Z130" t="str">
        <f>IF(CAPTURA!BE130="","",IFERROR(IF(INDEX(CODIFICACION!$E$2:$E$500,MATCH("D3.14c|"&amp;CAPTURA!BE130,CODIFICACION!$F$2:$F$500,0))="sin dato","",INDEX(CODIFICACION!$E$2:$E$500,MATCH("D3.14c|"&amp;CAPTURA!BE130,CODIFICACION!$F$2:$F$500,0))),"⚠"))</f>
        <v/>
      </c>
      <c r="AA130" t="str">
        <f>IF(CAPTURA!BF130="","",IFERROR(IF(INDEX(CODIFICACION!$E$2:$E$500,MATCH("D3.14d|"&amp;CAPTURA!BF130,CODIFICACION!$F$2:$F$500,0))="sin dato","",INDEX(CODIFICACION!$E$2:$E$500,MATCH("D3.14d|"&amp;CAPTURA!BF130,CODIFICACION!$F$2:$F$500,0))),"⚠"))</f>
        <v/>
      </c>
      <c r="AB130" t="str">
        <f>IF(CAPTURA!BG130="","",IFERROR(IF(INDEX(CODIFICACION!$E$2:$E$500,MATCH("D3.14e|"&amp;CAPTURA!BG130,CODIFICACION!$F$2:$F$500,0))="sin dato","",INDEX(CODIFICACION!$E$2:$E$500,MATCH("D3.14e|"&amp;CAPTURA!BG130,CODIFICACION!$F$2:$F$500,0))),"⚠"))</f>
        <v/>
      </c>
      <c r="AC130" t="str">
        <f>IF(CAPTURA!BH130="","",IFERROR(IF(INDEX(CODIFICACION!$E$2:$E$500,MATCH("D3.14f|"&amp;CAPTURA!BH130,CODIFICACION!$F$2:$F$500,0))="sin dato","",INDEX(CODIFICACION!$E$2:$E$500,MATCH("D3.14f|"&amp;CAPTURA!BH130,CODIFICACION!$F$2:$F$500,0))),"⚠"))</f>
        <v/>
      </c>
      <c r="AD130" t="str">
        <f>IF(CAPTURA!BI130="","",IFERROR(IF(INDEX(CODIFICACION!$E$2:$E$500,MATCH("D3.14g|"&amp;CAPTURA!BI130,CODIFICACION!$F$2:$F$500,0))="sin dato","",INDEX(CODIFICACION!$E$2:$E$500,MATCH("D3.14g|"&amp;CAPTURA!BI130,CODIFICACION!$F$2:$F$500,0))),"⚠"))</f>
        <v/>
      </c>
      <c r="AE130" t="str">
        <f>IF(CAPTURA!BJ130="","",IFERROR(IF(INDEX(CODIFICACION!$E$2:$E$500,MATCH("D3.14h|"&amp;CAPTURA!BJ130,CODIFICACION!$F$2:$F$500,0))="sin dato","",INDEX(CODIFICACION!$E$2:$E$500,MATCH("D3.14h|"&amp;CAPTURA!BJ130,CODIFICACION!$F$2:$F$500,0))),"⚠"))</f>
        <v/>
      </c>
      <c r="AF130" t="str">
        <f>IF(CAPTURA!BK130="","",IFERROR(IF(INDEX(CODIFICACION!$E$2:$E$500,MATCH("D3.14i|"&amp;CAPTURA!BK130,CODIFICACION!$F$2:$F$500,0))="sin dato","",INDEX(CODIFICACION!$E$2:$E$500,MATCH("D3.14i|"&amp;CAPTURA!BK130,CODIFICACION!$F$2:$F$500,0))),"⚠"))</f>
        <v/>
      </c>
      <c r="AG130" t="str">
        <f>IF(CAPTURA!BL130="","",IFERROR(IF(INDEX(CODIFICACION!$E$2:$E$500,MATCH("D4.15|"&amp;CAPTURA!BL130,CODIFICACION!$F$2:$F$500,0))="sin dato","",INDEX(CODIFICACION!$E$2:$E$500,MATCH("D4.15|"&amp;CAPTURA!BL130,CODIFICACION!$F$2:$F$500,0))),"⚠"))</f>
        <v/>
      </c>
      <c r="AH130" t="str">
        <f>IF(CAPTURA!BM130="","",IF(AND(ISNUMBER(CAPTURA!BM130),CAPTURA!BM130&gt;=0,CAPTURA!BM130&lt;=4),CAPTURA!BM130*25,"⚠"))</f>
        <v/>
      </c>
      <c r="AI130" t="str">
        <f>IF(CAPTURA!BN130="","",IFERROR(IF(INDEX(CODIFICACION!$E$2:$E$500,MATCH("D4.17|"&amp;CAPTURA!BN130,CODIFICACION!$F$2:$F$500,0))="sin dato","",INDEX(CODIFICACION!$E$2:$E$500,MATCH("D4.17|"&amp;CAPTURA!BN130,CODIFICACION!$F$2:$F$500,0))),"⚠"))</f>
        <v/>
      </c>
      <c r="AJ130" t="str">
        <f>IF(CAPTURA!BO130="","",IFERROR(IF(INDEX(CODIFICACION!$E$2:$E$500,MATCH("D4.15a|"&amp;CAPTURA!BO130,CODIFICACION!$F$2:$F$500,0))="sin dato","",INDEX(CODIFICACION!$E$2:$E$500,MATCH("D4.15a|"&amp;CAPTURA!BO130,CODIFICACION!$F$2:$F$500,0))),"⚠"))</f>
        <v/>
      </c>
      <c r="AK130" t="str">
        <f>IF(CAPTURA!BP130="","",IF(AND(ISNUMBER(CAPTURA!BP130),CAPTURA!BP130&gt;=0,CAPTURA!BP130&lt;=4),CAPTURA!BP130*25,"⚠"))</f>
        <v/>
      </c>
      <c r="AL130" t="str">
        <f>IF(CAPTURA!BQ130="","",IF(AND(ISNUMBER(CAPTURA!BQ130),CAPTURA!BQ130&gt;=0,CAPTURA!BQ130&lt;=4),CAPTURA!BQ130*25,"⚠"))</f>
        <v/>
      </c>
      <c r="AM130" t="str">
        <f>IF(CAPTURA!BR130="","",IFERROR(IF(INDEX(CODIFICACION!$E$2:$E$500,MATCH("D5.18b|"&amp;CAPTURA!BR130,CODIFICACION!$F$2:$F$500,0))="sin dato","",INDEX(CODIFICACION!$E$2:$E$500,MATCH("D5.18b|"&amp;CAPTURA!BR130,CODIFICACION!$F$2:$F$500,0))),"⚠"))</f>
        <v/>
      </c>
      <c r="AN130" t="str">
        <f>IF(CAPTURA!BS130="","",IFERROR(IF(INDEX(CODIFICACION!$E$2:$E$500,MATCH("D5.19|"&amp;CAPTURA!BS130,CODIFICACION!$F$2:$F$500,0))="sin dato","",INDEX(CODIFICACION!$E$2:$E$500,MATCH("D5.19|"&amp;CAPTURA!BS130,CODIFICACION!$F$2:$F$500,0))),"⚠"))</f>
        <v/>
      </c>
      <c r="AO130" t="str">
        <f>IF(CAPTURA!BT130="","",MIN(100,ROUND((LEN(CAPTURA!BT130)-LEN(SUBSTITUTE(CAPTURA!BT130,";",""))+1)/7*100,1)))</f>
        <v/>
      </c>
      <c r="AP130" t="str">
        <f>IF(CAPTURA!BU130="","",IFERROR(IF(INDEX(CODIFICACION!$E$2:$E$500,MATCH("D5.20|"&amp;CAPTURA!BU130,CODIFICACION!$F$2:$F$500,0))="sin dato","",INDEX(CODIFICACION!$E$2:$E$500,MATCH("D5.20|"&amp;CAPTURA!BU130,CODIFICACION!$F$2:$F$500,0))),"⚠"))</f>
        <v/>
      </c>
      <c r="AQ130" t="str">
        <f>IF(CAPTURA!BV130="","",IFERROR(IF(INDEX(CODIFICACION!$E$2:$E$500,MATCH("D5.21|"&amp;CAPTURA!BV130,CODIFICACION!$F$2:$F$500,0))="sin dato","",INDEX(CODIFICACION!$E$2:$E$500,MATCH("D5.21|"&amp;CAPTURA!BV130,CODIFICACION!$F$2:$F$500,0))),"⚠"))</f>
        <v/>
      </c>
      <c r="AR130" t="str">
        <f>IF(CAPTURA!BW130="","",IFERROR(IF(INDEX(CODIFICACION!$E$2:$E$500,MATCH("D5.21a|"&amp;CAPTURA!BW130,CODIFICACION!$F$2:$F$500,0))="sin dato","",INDEX(CODIFICACION!$E$2:$E$500,MATCH("D5.21a|"&amp;CAPTURA!BW130,CODIFICACION!$F$2:$F$500,0))),"⚠"))</f>
        <v/>
      </c>
      <c r="AS130" t="str">
        <f>IF(CAPTURA!BX130="","",IFERROR(IF(INDEX(CODIFICACION!$E$2:$E$500,MATCH("D5.21b|"&amp;CAPTURA!BX130,CODIFICACION!$F$2:$F$500,0))="sin dato","",INDEX(CODIFICACION!$E$2:$E$500,MATCH("D5.21b|"&amp;CAPTURA!BX130,CODIFICACION!$F$2:$F$500,0))),"⚠"))</f>
        <v/>
      </c>
      <c r="AT130" t="str">
        <f>IF(CAPTURA!BY130="","",IFERROR(IF(INDEX(CODIFICACION!$E$2:$E$500,MATCH("D6.22|"&amp;CAPTURA!BY130,CODIFICACION!$F$2:$F$500,0))="sin dato","",INDEX(CODIFICACION!$E$2:$E$500,MATCH("D6.22|"&amp;CAPTURA!BY130,CODIFICACION!$F$2:$F$500,0))),"⚠"))</f>
        <v/>
      </c>
      <c r="AU130" t="str">
        <f>IF(CAPTURA!BZ130="","",IFERROR(IF(INDEX(CODIFICACION!$E$2:$E$500,MATCH("D6.22a|"&amp;CAPTURA!BZ130,CODIFICACION!$F$2:$F$500,0))="sin dato","",INDEX(CODIFICACION!$E$2:$E$500,MATCH("D6.22a|"&amp;CAPTURA!BZ130,CODIFICACION!$F$2:$F$500,0))),"⚠"))</f>
        <v/>
      </c>
      <c r="AV130" t="str">
        <f>IF(CAPTURA!CA130="","",IFERROR(IF(INDEX(CODIFICACION!$E$2:$E$500,MATCH("D6.22b|"&amp;CAPTURA!CA130,CODIFICACION!$F$2:$F$500,0))="sin dato","",INDEX(CODIFICACION!$E$2:$E$500,MATCH("D6.22b|"&amp;CAPTURA!CA130,CODIFICACION!$F$2:$F$500,0))),"⚠"))</f>
        <v/>
      </c>
      <c r="AW130" t="str">
        <f>IF(CAPTURA!CB130="","",IFERROR(IF(INDEX(CODIFICACION!$E$2:$E$500,MATCH("D6.23|"&amp;CAPTURA!CB130,CODIFICACION!$F$2:$F$500,0))="sin dato","",INDEX(CODIFICACION!$E$2:$E$500,MATCH("D6.23|"&amp;CAPTURA!CB130,CODIFICACION!$F$2:$F$500,0))),"⚠"))</f>
        <v/>
      </c>
      <c r="AX130" t="str">
        <f>IF(CAPTURA!CC130="","",IFERROR(IF(INDEX(CODIFICACION!$E$2:$E$500,MATCH("D6.24|"&amp;CAPTURA!CC130,CODIFICACION!$F$2:$F$500,0))="sin dato","",INDEX(CODIFICACION!$E$2:$E$500,MATCH("D6.24|"&amp;CAPTURA!CC130,CODIFICACION!$F$2:$F$500,0))),"⚠"))</f>
        <v/>
      </c>
      <c r="AY130" t="str">
        <f>IF(CAPTURA!CD130="","",IFERROR(IF(INDEX(CODIFICACION!$E$2:$E$500,MATCH("D6.25|"&amp;CAPTURA!CD130,CODIFICACION!$F$2:$F$500,0))="sin dato","",INDEX(CODIFICACION!$E$2:$E$500,MATCH("D6.25|"&amp;CAPTURA!CD130,CODIFICACION!$F$2:$F$500,0))),"⚠"))</f>
        <v/>
      </c>
      <c r="AZ130" t="str">
        <f>IF(CAPTURA!CE130="","",IFERROR(IF(INDEX(CODIFICACION!$E$2:$E$500,MATCH("D6.25a|"&amp;CAPTURA!CE130,CODIFICACION!$F$2:$F$500,0))="sin dato","",INDEX(CODIFICACION!$E$2:$E$500,MATCH("D6.25a|"&amp;CAPTURA!CE130,CODIFICACION!$F$2:$F$500,0))),"⚠"))</f>
        <v/>
      </c>
      <c r="BA130" t="str">
        <f>IF(CAPTURA!CF130="","",IFERROR(IF(INDEX(CODIFICACION!$E$2:$E$500,MATCH("D6.25b|"&amp;CAPTURA!CF130,CODIFICACION!$F$2:$F$500,0))="sin dato","",INDEX(CODIFICACION!$E$2:$E$500,MATCH("D6.25b|"&amp;CAPTURA!CF130,CODIFICACION!$F$2:$F$500,0))),"⚠"))</f>
        <v/>
      </c>
      <c r="BB130" t="str">
        <f>IF(CAPTURA!CG130="","",IFERROR(IF(INDEX(CODIFICACION!$E$2:$E$500,MATCH("D6.22c|"&amp;CAPTURA!CG130,CODIFICACION!$F$2:$F$500,0))="sin dato","",INDEX(CODIFICACION!$E$2:$E$500,MATCH("D6.22c|"&amp;CAPTURA!CG130,CODIFICACION!$F$2:$F$500,0))),"⚠"))</f>
        <v/>
      </c>
      <c r="BC130" t="str">
        <f>IF(CAPTURA!CH130="","",IFERROR(IF(INDEX(CODIFICACION!$E$2:$E$500,MATCH("D7.26|"&amp;CAPTURA!CH130,CODIFICACION!$F$2:$F$500,0))="sin dato","",INDEX(CODIFICACION!$E$2:$E$500,MATCH("D7.26|"&amp;CAPTURA!CH130,CODIFICACION!$F$2:$F$500,0))),"⚠"))</f>
        <v/>
      </c>
      <c r="BD130" t="str">
        <f>IF(CAPTURA!CI130="","",IFERROR(IF(INDEX(CODIFICACION!$E$2:$E$500,MATCH("D7.27|"&amp;CAPTURA!CI130,CODIFICACION!$F$2:$F$500,0))="sin dato","",INDEX(CODIFICACION!$E$2:$E$500,MATCH("D7.27|"&amp;CAPTURA!CI130,CODIFICACION!$F$2:$F$500,0))),"⚠"))</f>
        <v/>
      </c>
      <c r="BE130" t="str">
        <f>IF(CAPTURA!CJ130="","",IFERROR(IF(INDEX(CODIFICACION!$E$2:$E$500,MATCH("D7.28|"&amp;CAPTURA!CJ130,CODIFICACION!$F$2:$F$500,0))="sin dato","",INDEX(CODIFICACION!$E$2:$E$500,MATCH("D7.28|"&amp;CAPTURA!CJ130,CODIFICACION!$F$2:$F$500,0))),"⚠"))</f>
        <v/>
      </c>
      <c r="BF130" t="str">
        <f>IF(CAPTURA!CK130="","",IFERROR(IF(INDEX(CODIFICACION!$E$2:$E$500,MATCH("D7.28b|"&amp;CAPTURA!CK130,CODIFICACION!$F$2:$F$500,0))="sin dato","",INDEX(CODIFICACION!$E$2:$E$500,MATCH("D7.28b|"&amp;CAPTURA!CK130,CODIFICACION!$F$2:$F$500,0))),"⚠"))</f>
        <v/>
      </c>
      <c r="BG130" t="str">
        <f>IF(CAPTURA!CL130="","",MIN(100,ROUND((LEN(CAPTURA!CL130)-LEN(SUBSTITUTE(CAPTURA!CL130,";",""))+1)/8*100,1)))</f>
        <v/>
      </c>
      <c r="BH130" t="str">
        <f>IF(CAPTURA!CM130="","",IFERROR(IF(INDEX(CODIFICACION!$E$2:$E$500,MATCH("D7.26a|"&amp;CAPTURA!CM130,CODIFICACION!$F$2:$F$500,0))="sin dato","",INDEX(CODIFICACION!$E$2:$E$500,MATCH("D7.26a|"&amp;CAPTURA!CM130,CODIFICACION!$F$2:$F$500,0))),"⚠"))</f>
        <v/>
      </c>
      <c r="BI130" t="str">
        <f>IF(CAPTURA!CN130="","",IFERROR(IF(INDEX(CODIFICACION!$E$2:$E$500,MATCH("D7.26b|"&amp;CAPTURA!CN130,CODIFICACION!$F$2:$F$500,0))="sin dato","",INDEX(CODIFICACION!$E$2:$E$500,MATCH("D7.26b|"&amp;CAPTURA!CN130,CODIFICACION!$F$2:$F$500,0))),"⚠"))</f>
        <v/>
      </c>
      <c r="BJ130" t="str">
        <f>IF(CAPTURA!CO130="","",IF(AND(ISNUMBER(CAPTURA!CO130),CAPTURA!CO130&gt;=0,CAPTURA!CO130&lt;=4),CAPTURA!CO130*25,"⚠"))</f>
        <v/>
      </c>
      <c r="BK130" t="str">
        <f>IF(CAPTURA!CP130="","",IF(ISNUMBER(CAPTURA!CP130),MAX(0,MIN(100,CAPTURA!CP130)),"⚠"))</f>
        <v/>
      </c>
      <c r="BL130" t="str">
        <f>IF(CAPTURA!CQ130="","",IFERROR(IF(INDEX(CODIFICACION!$E$2:$E$500,MATCH("D8.31|"&amp;CAPTURA!CQ130,CODIFICACION!$F$2:$F$500,0))="sin dato","",INDEX(CODIFICACION!$E$2:$E$500,MATCH("D8.31|"&amp;CAPTURA!CQ130,CODIFICACION!$F$2:$F$500,0))),"⚠"))</f>
        <v/>
      </c>
      <c r="BM130" t="str">
        <f>IF(CAPTURA!CR130="","",IFERROR(IF(INDEX(CODIFICACION!$E$2:$E$500,MATCH("D8.32|"&amp;CAPTURA!CR130,CODIFICACION!$F$2:$F$500,0))="sin dato","",INDEX(CODIFICACION!$E$2:$E$500,MATCH("D8.32|"&amp;CAPTURA!CR130,CODIFICACION!$F$2:$F$500,0))),"⚠"))</f>
        <v/>
      </c>
      <c r="BN130" t="str">
        <f>IF(CAPTURA!CS130="","",IFERROR(IF(INDEX(CODIFICACION!$E$2:$E$500,MATCH("D9.33|"&amp;CAPTURA!CS130,CODIFICACION!$F$2:$F$500,0))="sin dato","",INDEX(CODIFICACION!$E$2:$E$500,MATCH("D9.33|"&amp;CAPTURA!CS130,CODIFICACION!$F$2:$F$500,0))),"⚠"))</f>
        <v/>
      </c>
      <c r="BO130" t="str">
        <f>IF(CAPTURA!CT130="","",IFERROR(IF(INDEX(CODIFICACION!$E$2:$E$500,MATCH("D9.34|"&amp;CAPTURA!CT130,CODIFICACION!$F$2:$F$500,0))="sin dato","",INDEX(CODIFICACION!$E$2:$E$500,MATCH("D9.34|"&amp;CAPTURA!CT130,CODIFICACION!$F$2:$F$500,0))),"⚠"))</f>
        <v/>
      </c>
      <c r="BP130" t="str">
        <f>IF(CAPTURA!CU130="","",IFERROR(IF(INDEX(CODIFICACION!$E$2:$E$500,MATCH("D9.35|"&amp;CAPTURA!CU130,CODIFICACION!$F$2:$F$500,0))="sin dato","",INDEX(CODIFICACION!$E$2:$E$500,MATCH("D9.35|"&amp;CAPTURA!CU130,CODIFICACION!$F$2:$F$500,0))),"⚠"))</f>
        <v/>
      </c>
      <c r="BQ130" t="str">
        <f>IF(CAPTURA!CV130="","",IFERROR(IF(INDEX(CODIFICACION!$E$2:$E$500,MATCH("D10.36|"&amp;CAPTURA!CV130,CODIFICACION!$F$2:$F$500,0))="sin dato","",INDEX(CODIFICACION!$E$2:$E$500,MATCH("D10.36|"&amp;CAPTURA!CV130,CODIFICACION!$F$2:$F$500,0))),"⚠"))</f>
        <v/>
      </c>
      <c r="BR130" t="str">
        <f>IF(CAPTURA!CW130="","",IFERROR(IF(INDEX(CODIFICACION!$E$2:$E$500,MATCH("D10.37|"&amp;CAPTURA!CW130,CODIFICACION!$F$2:$F$500,0))="sin dato","",INDEX(CODIFICACION!$E$2:$E$500,MATCH("D10.37|"&amp;CAPTURA!CW130,CODIFICACION!$F$2:$F$500,0))),"⚠"))</f>
        <v/>
      </c>
      <c r="BS130" t="str">
        <f>IF(CAPTURA!CX130="","",IFERROR(IF(INDEX(CODIFICACION!$E$2:$E$500,MATCH("D10.36a|"&amp;CAPTURA!CX130,CODIFICACION!$F$2:$F$500,0))="sin dato","",INDEX(CODIFICACION!$E$2:$E$500,MATCH("D10.36a|"&amp;CAPTURA!CX130,CODIFICACION!$F$2:$F$500,0))),"⚠"))</f>
        <v/>
      </c>
      <c r="BT130" t="str">
        <f>IF(CAPTURA!CY130="","",IF(ISNUMBER(SEARCH("Ninguno",CAPTURA!CY130)),0,MIN(100,ROUND((LEN(CAPTURA!CY130)-LEN(SUBSTITUTE(CAPTURA!CY130,";",""))+1)/6*100,1))))</f>
        <v/>
      </c>
      <c r="BU130" t="str">
        <f>IF(CAPTURA!DA130="","",IFERROR(IF(INDEX(CODIFICACION!$E$2:$E$500,MATCH("D11.39a|"&amp;CAPTURA!DA130,CODIFICACION!$F$2:$F$500,0))="sin dato","",INDEX(CODIFICACION!$E$2:$E$500,MATCH("D11.39a|"&amp;CAPTURA!DA130,CODIFICACION!$F$2:$F$500,0))),"⚠"))</f>
        <v/>
      </c>
      <c r="BV130" t="str">
        <f>IF(CAPTURA!DB130="","",IFERROR(IF(INDEX(CODIFICACION!$E$2:$E$500,MATCH("D12.42|"&amp;CAPTURA!DB130,CODIFICACION!$F$2:$F$500,0))="sin dato","",INDEX(CODIFICACION!$E$2:$E$500,MATCH("D12.42|"&amp;CAPTURA!DB130,CODIFICACION!$F$2:$F$500,0))),"⚠"))</f>
        <v/>
      </c>
      <c r="BW130" t="str">
        <f>IF(CAPTURA!DC130="","",IFERROR(IF(INDEX(CODIFICACION!$E$2:$E$500,MATCH("D13.45|"&amp;CAPTURA!DC130,CODIFICACION!$F$2:$F$500,0))="sin dato","",INDEX(CODIFICACION!$E$2:$E$500,MATCH("D13.45|"&amp;CAPTURA!DC130,CODIFICACION!$F$2:$F$500,0))),"⚠"))</f>
        <v/>
      </c>
      <c r="BX130" t="str">
        <f>IF(CAPTURA!DD130="","",IFERROR(IF(INDEX(CODIFICACION!$E$2:$E$500,MATCH("D14.51|"&amp;CAPTURA!DD130,CODIFICACION!$F$2:$F$500,0))="sin dato","",INDEX(CODIFICACION!$E$2:$E$500,MATCH("D14.51|"&amp;CAPTURA!DD130,CODIFICACION!$F$2:$F$500,0))),"⚠"))</f>
        <v/>
      </c>
      <c r="BY130" t="str">
        <f>IF(CAPTURA!DE130="","",IFERROR(IF(INDEX(CODIFICACION!$E$2:$E$500,MATCH("D15.58|"&amp;CAPTURA!DE130,CODIFICACION!$F$2:$F$500,0))="sin dato","",INDEX(CODIFICACION!$E$2:$E$500,MATCH("D15.58|"&amp;CAPTURA!DE130,CODIFICACION!$F$2:$F$500,0))),"⚠"))</f>
        <v/>
      </c>
      <c r="BZ130" t="str">
        <f>IF(CAPTURA!DF130="","",IFERROR(IF(INDEX(CODIFICACION!$E$2:$E$500,MATCH("PP1|"&amp;CAPTURA!DF130,CODIFICACION!$F$2:$F$500,0))="sin dato","",INDEX(CODIFICACION!$E$2:$E$500,MATCH("PP1|"&amp;CAPTURA!DF130,CODIFICACION!$F$2:$F$500,0))),"⚠"))</f>
        <v/>
      </c>
      <c r="CA130" t="str">
        <f>IF(CAPTURA!DG130="","",IFERROR(IF(INDEX(CODIFICACION!$E$2:$E$500,MATCH("PP2|"&amp;CAPTURA!DG130,CODIFICACION!$F$2:$F$500,0))="sin dato","",INDEX(CODIFICACION!$E$2:$E$500,MATCH("PP2|"&amp;CAPTURA!DG130,CODIFICACION!$F$2:$F$500,0))),"⚠"))</f>
        <v/>
      </c>
      <c r="CB130" t="str">
        <f t="shared" si="33"/>
        <v/>
      </c>
      <c r="CC130" t="str">
        <f t="shared" si="34"/>
        <v/>
      </c>
      <c r="CD130" t="str">
        <f t="shared" si="35"/>
        <v/>
      </c>
      <c r="CE130" t="str">
        <f t="shared" si="36"/>
        <v/>
      </c>
      <c r="CF130" t="str">
        <f t="shared" si="37"/>
        <v/>
      </c>
      <c r="CG130" t="str">
        <f t="shared" si="38"/>
        <v/>
      </c>
      <c r="CH130" t="str">
        <f t="shared" si="39"/>
        <v/>
      </c>
      <c r="CI130" t="str">
        <f t="shared" si="40"/>
        <v/>
      </c>
      <c r="CJ130" t="str">
        <f t="shared" si="41"/>
        <v/>
      </c>
      <c r="CK130" t="str">
        <f t="shared" si="42"/>
        <v/>
      </c>
      <c r="CL130" t="str">
        <f t="shared" si="43"/>
        <v/>
      </c>
    </row>
    <row r="131" spans="1:90" x14ac:dyDescent="0.3">
      <c r="A131">
        <f>CAPTURA!A131</f>
        <v>20602161081</v>
      </c>
      <c r="B131">
        <f>CAPTURA!C131</f>
        <v>0</v>
      </c>
      <c r="C131" t="str">
        <f>IF(CAPTURA!M131="","",ROUND((ISNUMBER(SEARCH("Alemania",CAPTURA!M131))+ISNUMBER(SEARCH("Bélgica",CAPTURA!M131))+ISNUMBER(SEARCH("Países Bajos",CAPTURA!M131))+ISNUMBER(SEARCH("Francia",CAPTURA!M131))+ISNUMBER(SEARCH("Italia",CAPTURA!M131))+ISNUMBER(SEARCH("España",CAPTURA!M131))+ISNUMBER(SEARCH("Suecia",CAPTURA!M131))+ISNUMBER(SEARCH("Dinamarca",CAPTURA!M131)))/((LEN(CAPTURA!M131)-LEN(SUBSTITUTE(CAPTURA!M131,";","")))+1)*100,1))</f>
        <v/>
      </c>
      <c r="D131" t="str">
        <f>IF(CAPTURA!AE131="","",IFERROR(IF(INDEX(CODIFICACION!$E$2:$E$500,MATCH("P8|"&amp;CAPTURA!AE131,CODIFICACION!$F$2:$F$500,0))="sin dato","",INDEX(CODIFICACION!$E$2:$E$500,MATCH("P8|"&amp;CAPTURA!AE131,CODIFICACION!$F$2:$F$500,0))),"⚠"))</f>
        <v/>
      </c>
      <c r="E131" t="str">
        <f>IF(CAPTURA!AG131="","",IFERROR(IF(INDEX(CODIFICACION!$E$2:$E$500,MATCH("P10|"&amp;CAPTURA!AG131,CODIFICACION!$F$2:$F$500,0))="sin dato","",INDEX(CODIFICACION!$E$2:$E$500,MATCH("P10|"&amp;CAPTURA!AG131,CODIFICACION!$F$2:$F$500,0))),"⚠"))</f>
        <v/>
      </c>
      <c r="F131" t="str">
        <f>IF(CAPTURA!AJ131="","",IFERROR(IF(INDEX(CODIFICACION!$E$2:$E$500,MATCH("P13|"&amp;CAPTURA!AJ131,CODIFICACION!$F$2:$F$500,0))="sin dato","",INDEX(CODIFICACION!$E$2:$E$500,MATCH("P13|"&amp;CAPTURA!AJ131,CODIFICACION!$F$2:$F$500,0))),"⚠"))</f>
        <v/>
      </c>
      <c r="G131" t="str">
        <f>IF(CAPTURA!AK131="","",IFERROR(IF(INDEX(CODIFICACION!$E$2:$E$500,MATCH("P14|"&amp;CAPTURA!AK131,CODIFICACION!$F$2:$F$500,0))="sin dato","",INDEX(CODIFICACION!$E$2:$E$500,MATCH("P14|"&amp;CAPTURA!AK131,CODIFICACION!$F$2:$F$500,0))),"⚠"))</f>
        <v/>
      </c>
      <c r="H131" t="str">
        <f>IF(CAPTURA!AL131="","",IFERROR(IF(INDEX(CODIFICACION!$E$2:$E$500,MATCH("D1.1|"&amp;CAPTURA!AL131,CODIFICACION!$F$2:$F$500,0))="sin dato","",INDEX(CODIFICACION!$E$2:$E$500,MATCH("D1.1|"&amp;CAPTURA!AL131,CODIFICACION!$F$2:$F$500,0))),"⚠"))</f>
        <v/>
      </c>
      <c r="I131" t="str">
        <f>IF(CAPTURA!AN131="","",IFERROR(IF(INDEX(CODIFICACION!$E$2:$E$500,MATCH("D1.3|"&amp;CAPTURA!AN131,CODIFICACION!$F$2:$F$500,0))="sin dato","",INDEX(CODIFICACION!$E$2:$E$500,MATCH("D1.3|"&amp;CAPTURA!AN131,CODIFICACION!$F$2:$F$500,0))),"⚠"))</f>
        <v/>
      </c>
      <c r="J131" t="str">
        <f>IF(CAPTURA!AO131="","",IFERROR(IF(INDEX(CODIFICACION!$E$2:$E$500,MATCH("D1.4|"&amp;CAPTURA!AO131,CODIFICACION!$F$2:$F$500,0))="sin dato","",INDEX(CODIFICACION!$E$2:$E$500,MATCH("D1.4|"&amp;CAPTURA!AO131,CODIFICACION!$F$2:$F$500,0))),"⚠"))</f>
        <v/>
      </c>
      <c r="K131" t="str">
        <f>IF(CAPTURA!AP131="","",IFERROR(IF(INDEX(CODIFICACION!$E$2:$E$500,MATCH("D1.3a|"&amp;CAPTURA!AP131,CODIFICACION!$F$2:$F$500,0))="sin dato","",INDEX(CODIFICACION!$E$2:$E$500,MATCH("D1.3a|"&amp;CAPTURA!AP131,CODIFICACION!$F$2:$F$500,0))),"⚠"))</f>
        <v/>
      </c>
      <c r="L131" t="str">
        <f>IF(CAPTURA!AQ131="","",IF(AND(ISNUMBER(CAPTURA!AQ131),CAPTURA!AQ131&gt;=0,CAPTURA!AQ131&lt;=4),CAPTURA!AQ131*25,"⚠"))</f>
        <v/>
      </c>
      <c r="M131" t="str">
        <f>IF(CAPTURA!AR131="","",IF(ISNUMBER(CAPTURA!AR131),MAX(0,MIN(100,CAPTURA!AR131)),"⚠"))</f>
        <v/>
      </c>
      <c r="N131" t="str">
        <f>IF(CAPTURA!AS131="","",IF(AND(ISNUMBER(CAPTURA!AS131),CAPTURA!AS131&gt;=0,CAPTURA!AS131&lt;=4),CAPTURA!AS131*25,"⚠"))</f>
        <v/>
      </c>
      <c r="O131" t="str">
        <f>IF(CAPTURA!AT131="","",IFERROR(IF(INDEX(CODIFICACION!$E$2:$E$500,MATCH("D2.8|"&amp;CAPTURA!AT131,CODIFICACION!$F$2:$F$500,0))="sin dato","",INDEX(CODIFICACION!$E$2:$E$500,MATCH("D2.8|"&amp;CAPTURA!AT131,CODIFICACION!$F$2:$F$500,0))),"⚠"))</f>
        <v/>
      </c>
      <c r="P131" t="str">
        <f>IF(CAPTURA!AU131="","",IFERROR(IF(INDEX(CODIFICACION!$E$2:$E$500,MATCH("D2.9|"&amp;CAPTURA!AU131,CODIFICACION!$F$2:$F$500,0))="sin dato","",INDEX(CODIFICACION!$E$2:$E$500,MATCH("D2.9|"&amp;CAPTURA!AU131,CODIFICACION!$F$2:$F$500,0))),"⚠"))</f>
        <v/>
      </c>
      <c r="Q131" t="str">
        <f>IF(CAPTURA!AV131="","",IFERROR(IF(INDEX(CODIFICACION!$E$2:$E$500,MATCH("D2.10|"&amp;CAPTURA!AV131,CODIFICACION!$F$2:$F$500,0))="sin dato","",INDEX(CODIFICACION!$E$2:$E$500,MATCH("D2.10|"&amp;CAPTURA!AV131,CODIFICACION!$F$2:$F$500,0))),"⚠"))</f>
        <v/>
      </c>
      <c r="R131" t="str">
        <f>IF(CAPTURA!AW131="","",IFERROR(IF(INDEX(CODIFICACION!$E$2:$E$500,MATCH("D2.5a|"&amp;CAPTURA!AW131,CODIFICACION!$F$2:$F$500,0))="sin dato","",INDEX(CODIFICACION!$E$2:$E$500,MATCH("D2.5a|"&amp;CAPTURA!AW131,CODIFICACION!$F$2:$F$500,0))),"⚠"))</f>
        <v/>
      </c>
      <c r="S131" t="str">
        <f>IF(CAPTURA!AX131="","",IFERROR(IF(INDEX(CODIFICACION!$E$2:$E$500,MATCH("D2.5b|"&amp;CAPTURA!AX131,CODIFICACION!$F$2:$F$500,0))="sin dato","",INDEX(CODIFICACION!$E$2:$E$500,MATCH("D2.5b|"&amp;CAPTURA!AX131,CODIFICACION!$F$2:$F$500,0))),"⚠"))</f>
        <v/>
      </c>
      <c r="T131" t="str">
        <f>IF(CAPTURA!AY131="","",IF(ISNUMBER(CAPTURA!AY131),MAX(0,MIN(100,CAPTURA!AY131)),"⚠"))</f>
        <v/>
      </c>
      <c r="U131" t="str">
        <f>IF(CAPTURA!AZ131="","",IFERROR(IF(INDEX(CODIFICACION!$E$2:$E$500,MATCH("D3.12|"&amp;CAPTURA!AZ131,CODIFICACION!$F$2:$F$500,0))="sin dato","",INDEX(CODIFICACION!$E$2:$E$500,MATCH("D3.12|"&amp;CAPTURA!AZ131,CODIFICACION!$F$2:$F$500,0))),"⚠"))</f>
        <v/>
      </c>
      <c r="V131" t="str">
        <f>IF(CAPTURA!BA131="","",IF(AND(ISNUMBER(CAPTURA!BA131),CAPTURA!BA131&gt;=0,CAPTURA!BA131&lt;=4),CAPTURA!BA131*25,"⚠"))</f>
        <v/>
      </c>
      <c r="W131" t="str">
        <f>IF(CAPTURA!BB131="","",IFERROR(IF(INDEX(CODIFICACION!$E$2:$E$500,MATCH("D3.14|"&amp;CAPTURA!BB131,CODIFICACION!$F$2:$F$500,0))="sin dato","",INDEX(CODIFICACION!$E$2:$E$500,MATCH("D3.14|"&amp;CAPTURA!BB131,CODIFICACION!$F$2:$F$500,0))),"⚠"))</f>
        <v/>
      </c>
      <c r="X131" t="str">
        <f>IF(CAPTURA!BC131="","",IFERROR(IF(INDEX(CODIFICACION!$E$2:$E$500,MATCH("D3.14a|"&amp;CAPTURA!BC131,CODIFICACION!$F$2:$F$500,0))="sin dato","",INDEX(CODIFICACION!$E$2:$E$500,MATCH("D3.14a|"&amp;CAPTURA!BC131,CODIFICACION!$F$2:$F$500,0))),"⚠"))</f>
        <v/>
      </c>
      <c r="Y131" t="str">
        <f>IF(CAPTURA!BD131="","",IFERROR(IF(INDEX(CODIFICACION!$E$2:$E$500,MATCH("D3.14b|"&amp;CAPTURA!BD131,CODIFICACION!$F$2:$F$500,0))="sin dato","",INDEX(CODIFICACION!$E$2:$E$500,MATCH("D3.14b|"&amp;CAPTURA!BD131,CODIFICACION!$F$2:$F$500,0))),"⚠"))</f>
        <v/>
      </c>
      <c r="Z131" t="str">
        <f>IF(CAPTURA!BE131="","",IFERROR(IF(INDEX(CODIFICACION!$E$2:$E$500,MATCH("D3.14c|"&amp;CAPTURA!BE131,CODIFICACION!$F$2:$F$500,0))="sin dato","",INDEX(CODIFICACION!$E$2:$E$500,MATCH("D3.14c|"&amp;CAPTURA!BE131,CODIFICACION!$F$2:$F$500,0))),"⚠"))</f>
        <v/>
      </c>
      <c r="AA131" t="str">
        <f>IF(CAPTURA!BF131="","",IFERROR(IF(INDEX(CODIFICACION!$E$2:$E$500,MATCH("D3.14d|"&amp;CAPTURA!BF131,CODIFICACION!$F$2:$F$500,0))="sin dato","",INDEX(CODIFICACION!$E$2:$E$500,MATCH("D3.14d|"&amp;CAPTURA!BF131,CODIFICACION!$F$2:$F$500,0))),"⚠"))</f>
        <v/>
      </c>
      <c r="AB131" t="str">
        <f>IF(CAPTURA!BG131="","",IFERROR(IF(INDEX(CODIFICACION!$E$2:$E$500,MATCH("D3.14e|"&amp;CAPTURA!BG131,CODIFICACION!$F$2:$F$500,0))="sin dato","",INDEX(CODIFICACION!$E$2:$E$500,MATCH("D3.14e|"&amp;CAPTURA!BG131,CODIFICACION!$F$2:$F$500,0))),"⚠"))</f>
        <v/>
      </c>
      <c r="AC131" t="str">
        <f>IF(CAPTURA!BH131="","",IFERROR(IF(INDEX(CODIFICACION!$E$2:$E$500,MATCH("D3.14f|"&amp;CAPTURA!BH131,CODIFICACION!$F$2:$F$500,0))="sin dato","",INDEX(CODIFICACION!$E$2:$E$500,MATCH("D3.14f|"&amp;CAPTURA!BH131,CODIFICACION!$F$2:$F$500,0))),"⚠"))</f>
        <v/>
      </c>
      <c r="AD131" t="str">
        <f>IF(CAPTURA!BI131="","",IFERROR(IF(INDEX(CODIFICACION!$E$2:$E$500,MATCH("D3.14g|"&amp;CAPTURA!BI131,CODIFICACION!$F$2:$F$500,0))="sin dato","",INDEX(CODIFICACION!$E$2:$E$500,MATCH("D3.14g|"&amp;CAPTURA!BI131,CODIFICACION!$F$2:$F$500,0))),"⚠"))</f>
        <v/>
      </c>
      <c r="AE131" t="str">
        <f>IF(CAPTURA!BJ131="","",IFERROR(IF(INDEX(CODIFICACION!$E$2:$E$500,MATCH("D3.14h|"&amp;CAPTURA!BJ131,CODIFICACION!$F$2:$F$500,0))="sin dato","",INDEX(CODIFICACION!$E$2:$E$500,MATCH("D3.14h|"&amp;CAPTURA!BJ131,CODIFICACION!$F$2:$F$500,0))),"⚠"))</f>
        <v/>
      </c>
      <c r="AF131" t="str">
        <f>IF(CAPTURA!BK131="","",IFERROR(IF(INDEX(CODIFICACION!$E$2:$E$500,MATCH("D3.14i|"&amp;CAPTURA!BK131,CODIFICACION!$F$2:$F$500,0))="sin dato","",INDEX(CODIFICACION!$E$2:$E$500,MATCH("D3.14i|"&amp;CAPTURA!BK131,CODIFICACION!$F$2:$F$500,0))),"⚠"))</f>
        <v/>
      </c>
      <c r="AG131" t="str">
        <f>IF(CAPTURA!BL131="","",IFERROR(IF(INDEX(CODIFICACION!$E$2:$E$500,MATCH("D4.15|"&amp;CAPTURA!BL131,CODIFICACION!$F$2:$F$500,0))="sin dato","",INDEX(CODIFICACION!$E$2:$E$500,MATCH("D4.15|"&amp;CAPTURA!BL131,CODIFICACION!$F$2:$F$500,0))),"⚠"))</f>
        <v/>
      </c>
      <c r="AH131" t="str">
        <f>IF(CAPTURA!BM131="","",IF(AND(ISNUMBER(CAPTURA!BM131),CAPTURA!BM131&gt;=0,CAPTURA!BM131&lt;=4),CAPTURA!BM131*25,"⚠"))</f>
        <v/>
      </c>
      <c r="AI131" t="str">
        <f>IF(CAPTURA!BN131="","",IFERROR(IF(INDEX(CODIFICACION!$E$2:$E$500,MATCH("D4.17|"&amp;CAPTURA!BN131,CODIFICACION!$F$2:$F$500,0))="sin dato","",INDEX(CODIFICACION!$E$2:$E$500,MATCH("D4.17|"&amp;CAPTURA!BN131,CODIFICACION!$F$2:$F$500,0))),"⚠"))</f>
        <v/>
      </c>
      <c r="AJ131" t="str">
        <f>IF(CAPTURA!BO131="","",IFERROR(IF(INDEX(CODIFICACION!$E$2:$E$500,MATCH("D4.15a|"&amp;CAPTURA!BO131,CODIFICACION!$F$2:$F$500,0))="sin dato","",INDEX(CODIFICACION!$E$2:$E$500,MATCH("D4.15a|"&amp;CAPTURA!BO131,CODIFICACION!$F$2:$F$500,0))),"⚠"))</f>
        <v/>
      </c>
      <c r="AK131" t="str">
        <f>IF(CAPTURA!BP131="","",IF(AND(ISNUMBER(CAPTURA!BP131),CAPTURA!BP131&gt;=0,CAPTURA!BP131&lt;=4),CAPTURA!BP131*25,"⚠"))</f>
        <v/>
      </c>
      <c r="AL131" t="str">
        <f>IF(CAPTURA!BQ131="","",IF(AND(ISNUMBER(CAPTURA!BQ131),CAPTURA!BQ131&gt;=0,CAPTURA!BQ131&lt;=4),CAPTURA!BQ131*25,"⚠"))</f>
        <v/>
      </c>
      <c r="AM131" t="str">
        <f>IF(CAPTURA!BR131="","",IFERROR(IF(INDEX(CODIFICACION!$E$2:$E$500,MATCH("D5.18b|"&amp;CAPTURA!BR131,CODIFICACION!$F$2:$F$500,0))="sin dato","",INDEX(CODIFICACION!$E$2:$E$500,MATCH("D5.18b|"&amp;CAPTURA!BR131,CODIFICACION!$F$2:$F$500,0))),"⚠"))</f>
        <v/>
      </c>
      <c r="AN131" t="str">
        <f>IF(CAPTURA!BS131="","",IFERROR(IF(INDEX(CODIFICACION!$E$2:$E$500,MATCH("D5.19|"&amp;CAPTURA!BS131,CODIFICACION!$F$2:$F$500,0))="sin dato","",INDEX(CODIFICACION!$E$2:$E$500,MATCH("D5.19|"&amp;CAPTURA!BS131,CODIFICACION!$F$2:$F$500,0))),"⚠"))</f>
        <v/>
      </c>
      <c r="AO131" t="str">
        <f>IF(CAPTURA!BT131="","",MIN(100,ROUND((LEN(CAPTURA!BT131)-LEN(SUBSTITUTE(CAPTURA!BT131,";",""))+1)/7*100,1)))</f>
        <v/>
      </c>
      <c r="AP131" t="str">
        <f>IF(CAPTURA!BU131="","",IFERROR(IF(INDEX(CODIFICACION!$E$2:$E$500,MATCH("D5.20|"&amp;CAPTURA!BU131,CODIFICACION!$F$2:$F$500,0))="sin dato","",INDEX(CODIFICACION!$E$2:$E$500,MATCH("D5.20|"&amp;CAPTURA!BU131,CODIFICACION!$F$2:$F$500,0))),"⚠"))</f>
        <v/>
      </c>
      <c r="AQ131" t="str">
        <f>IF(CAPTURA!BV131="","",IFERROR(IF(INDEX(CODIFICACION!$E$2:$E$500,MATCH("D5.21|"&amp;CAPTURA!BV131,CODIFICACION!$F$2:$F$500,0))="sin dato","",INDEX(CODIFICACION!$E$2:$E$500,MATCH("D5.21|"&amp;CAPTURA!BV131,CODIFICACION!$F$2:$F$500,0))),"⚠"))</f>
        <v/>
      </c>
      <c r="AR131" t="str">
        <f>IF(CAPTURA!BW131="","",IFERROR(IF(INDEX(CODIFICACION!$E$2:$E$500,MATCH("D5.21a|"&amp;CAPTURA!BW131,CODIFICACION!$F$2:$F$500,0))="sin dato","",INDEX(CODIFICACION!$E$2:$E$500,MATCH("D5.21a|"&amp;CAPTURA!BW131,CODIFICACION!$F$2:$F$500,0))),"⚠"))</f>
        <v/>
      </c>
      <c r="AS131" t="str">
        <f>IF(CAPTURA!BX131="","",IFERROR(IF(INDEX(CODIFICACION!$E$2:$E$500,MATCH("D5.21b|"&amp;CAPTURA!BX131,CODIFICACION!$F$2:$F$500,0))="sin dato","",INDEX(CODIFICACION!$E$2:$E$500,MATCH("D5.21b|"&amp;CAPTURA!BX131,CODIFICACION!$F$2:$F$500,0))),"⚠"))</f>
        <v/>
      </c>
      <c r="AT131" t="str">
        <f>IF(CAPTURA!BY131="","",IFERROR(IF(INDEX(CODIFICACION!$E$2:$E$500,MATCH("D6.22|"&amp;CAPTURA!BY131,CODIFICACION!$F$2:$F$500,0))="sin dato","",INDEX(CODIFICACION!$E$2:$E$500,MATCH("D6.22|"&amp;CAPTURA!BY131,CODIFICACION!$F$2:$F$500,0))),"⚠"))</f>
        <v/>
      </c>
      <c r="AU131" t="str">
        <f>IF(CAPTURA!BZ131="","",IFERROR(IF(INDEX(CODIFICACION!$E$2:$E$500,MATCH("D6.22a|"&amp;CAPTURA!BZ131,CODIFICACION!$F$2:$F$500,0))="sin dato","",INDEX(CODIFICACION!$E$2:$E$500,MATCH("D6.22a|"&amp;CAPTURA!BZ131,CODIFICACION!$F$2:$F$500,0))),"⚠"))</f>
        <v/>
      </c>
      <c r="AV131" t="str">
        <f>IF(CAPTURA!CA131="","",IFERROR(IF(INDEX(CODIFICACION!$E$2:$E$500,MATCH("D6.22b|"&amp;CAPTURA!CA131,CODIFICACION!$F$2:$F$500,0))="sin dato","",INDEX(CODIFICACION!$E$2:$E$500,MATCH("D6.22b|"&amp;CAPTURA!CA131,CODIFICACION!$F$2:$F$500,0))),"⚠"))</f>
        <v/>
      </c>
      <c r="AW131" t="str">
        <f>IF(CAPTURA!CB131="","",IFERROR(IF(INDEX(CODIFICACION!$E$2:$E$500,MATCH("D6.23|"&amp;CAPTURA!CB131,CODIFICACION!$F$2:$F$500,0))="sin dato","",INDEX(CODIFICACION!$E$2:$E$500,MATCH("D6.23|"&amp;CAPTURA!CB131,CODIFICACION!$F$2:$F$500,0))),"⚠"))</f>
        <v/>
      </c>
      <c r="AX131" t="str">
        <f>IF(CAPTURA!CC131="","",IFERROR(IF(INDEX(CODIFICACION!$E$2:$E$500,MATCH("D6.24|"&amp;CAPTURA!CC131,CODIFICACION!$F$2:$F$500,0))="sin dato","",INDEX(CODIFICACION!$E$2:$E$500,MATCH("D6.24|"&amp;CAPTURA!CC131,CODIFICACION!$F$2:$F$500,0))),"⚠"))</f>
        <v/>
      </c>
      <c r="AY131" t="str">
        <f>IF(CAPTURA!CD131="","",IFERROR(IF(INDEX(CODIFICACION!$E$2:$E$500,MATCH("D6.25|"&amp;CAPTURA!CD131,CODIFICACION!$F$2:$F$500,0))="sin dato","",INDEX(CODIFICACION!$E$2:$E$500,MATCH("D6.25|"&amp;CAPTURA!CD131,CODIFICACION!$F$2:$F$500,0))),"⚠"))</f>
        <v/>
      </c>
      <c r="AZ131" t="str">
        <f>IF(CAPTURA!CE131="","",IFERROR(IF(INDEX(CODIFICACION!$E$2:$E$500,MATCH("D6.25a|"&amp;CAPTURA!CE131,CODIFICACION!$F$2:$F$500,0))="sin dato","",INDEX(CODIFICACION!$E$2:$E$500,MATCH("D6.25a|"&amp;CAPTURA!CE131,CODIFICACION!$F$2:$F$500,0))),"⚠"))</f>
        <v/>
      </c>
      <c r="BA131" t="str">
        <f>IF(CAPTURA!CF131="","",IFERROR(IF(INDEX(CODIFICACION!$E$2:$E$500,MATCH("D6.25b|"&amp;CAPTURA!CF131,CODIFICACION!$F$2:$F$500,0))="sin dato","",INDEX(CODIFICACION!$E$2:$E$500,MATCH("D6.25b|"&amp;CAPTURA!CF131,CODIFICACION!$F$2:$F$500,0))),"⚠"))</f>
        <v/>
      </c>
      <c r="BB131" t="str">
        <f>IF(CAPTURA!CG131="","",IFERROR(IF(INDEX(CODIFICACION!$E$2:$E$500,MATCH("D6.22c|"&amp;CAPTURA!CG131,CODIFICACION!$F$2:$F$500,0))="sin dato","",INDEX(CODIFICACION!$E$2:$E$500,MATCH("D6.22c|"&amp;CAPTURA!CG131,CODIFICACION!$F$2:$F$500,0))),"⚠"))</f>
        <v/>
      </c>
      <c r="BC131" t="str">
        <f>IF(CAPTURA!CH131="","",IFERROR(IF(INDEX(CODIFICACION!$E$2:$E$500,MATCH("D7.26|"&amp;CAPTURA!CH131,CODIFICACION!$F$2:$F$500,0))="sin dato","",INDEX(CODIFICACION!$E$2:$E$500,MATCH("D7.26|"&amp;CAPTURA!CH131,CODIFICACION!$F$2:$F$500,0))),"⚠"))</f>
        <v/>
      </c>
      <c r="BD131" t="str">
        <f>IF(CAPTURA!CI131="","",IFERROR(IF(INDEX(CODIFICACION!$E$2:$E$500,MATCH("D7.27|"&amp;CAPTURA!CI131,CODIFICACION!$F$2:$F$500,0))="sin dato","",INDEX(CODIFICACION!$E$2:$E$500,MATCH("D7.27|"&amp;CAPTURA!CI131,CODIFICACION!$F$2:$F$500,0))),"⚠"))</f>
        <v/>
      </c>
      <c r="BE131" t="str">
        <f>IF(CAPTURA!CJ131="","",IFERROR(IF(INDEX(CODIFICACION!$E$2:$E$500,MATCH("D7.28|"&amp;CAPTURA!CJ131,CODIFICACION!$F$2:$F$500,0))="sin dato","",INDEX(CODIFICACION!$E$2:$E$500,MATCH("D7.28|"&amp;CAPTURA!CJ131,CODIFICACION!$F$2:$F$500,0))),"⚠"))</f>
        <v/>
      </c>
      <c r="BF131" t="str">
        <f>IF(CAPTURA!CK131="","",IFERROR(IF(INDEX(CODIFICACION!$E$2:$E$500,MATCH("D7.28b|"&amp;CAPTURA!CK131,CODIFICACION!$F$2:$F$500,0))="sin dato","",INDEX(CODIFICACION!$E$2:$E$500,MATCH("D7.28b|"&amp;CAPTURA!CK131,CODIFICACION!$F$2:$F$500,0))),"⚠"))</f>
        <v/>
      </c>
      <c r="BG131" t="str">
        <f>IF(CAPTURA!CL131="","",MIN(100,ROUND((LEN(CAPTURA!CL131)-LEN(SUBSTITUTE(CAPTURA!CL131,";",""))+1)/8*100,1)))</f>
        <v/>
      </c>
      <c r="BH131" t="str">
        <f>IF(CAPTURA!CM131="","",IFERROR(IF(INDEX(CODIFICACION!$E$2:$E$500,MATCH("D7.26a|"&amp;CAPTURA!CM131,CODIFICACION!$F$2:$F$500,0))="sin dato","",INDEX(CODIFICACION!$E$2:$E$500,MATCH("D7.26a|"&amp;CAPTURA!CM131,CODIFICACION!$F$2:$F$500,0))),"⚠"))</f>
        <v/>
      </c>
      <c r="BI131" t="str">
        <f>IF(CAPTURA!CN131="","",IFERROR(IF(INDEX(CODIFICACION!$E$2:$E$500,MATCH("D7.26b|"&amp;CAPTURA!CN131,CODIFICACION!$F$2:$F$500,0))="sin dato","",INDEX(CODIFICACION!$E$2:$E$500,MATCH("D7.26b|"&amp;CAPTURA!CN131,CODIFICACION!$F$2:$F$500,0))),"⚠"))</f>
        <v/>
      </c>
      <c r="BJ131" t="str">
        <f>IF(CAPTURA!CO131="","",IF(AND(ISNUMBER(CAPTURA!CO131),CAPTURA!CO131&gt;=0,CAPTURA!CO131&lt;=4),CAPTURA!CO131*25,"⚠"))</f>
        <v/>
      </c>
      <c r="BK131" t="str">
        <f>IF(CAPTURA!CP131="","",IF(ISNUMBER(CAPTURA!CP131),MAX(0,MIN(100,CAPTURA!CP131)),"⚠"))</f>
        <v/>
      </c>
      <c r="BL131" t="str">
        <f>IF(CAPTURA!CQ131="","",IFERROR(IF(INDEX(CODIFICACION!$E$2:$E$500,MATCH("D8.31|"&amp;CAPTURA!CQ131,CODIFICACION!$F$2:$F$500,0))="sin dato","",INDEX(CODIFICACION!$E$2:$E$500,MATCH("D8.31|"&amp;CAPTURA!CQ131,CODIFICACION!$F$2:$F$500,0))),"⚠"))</f>
        <v/>
      </c>
      <c r="BM131" t="str">
        <f>IF(CAPTURA!CR131="","",IFERROR(IF(INDEX(CODIFICACION!$E$2:$E$500,MATCH("D8.32|"&amp;CAPTURA!CR131,CODIFICACION!$F$2:$F$500,0))="sin dato","",INDEX(CODIFICACION!$E$2:$E$500,MATCH("D8.32|"&amp;CAPTURA!CR131,CODIFICACION!$F$2:$F$500,0))),"⚠"))</f>
        <v/>
      </c>
      <c r="BN131" t="str">
        <f>IF(CAPTURA!CS131="","",IFERROR(IF(INDEX(CODIFICACION!$E$2:$E$500,MATCH("D9.33|"&amp;CAPTURA!CS131,CODIFICACION!$F$2:$F$500,0))="sin dato","",INDEX(CODIFICACION!$E$2:$E$500,MATCH("D9.33|"&amp;CAPTURA!CS131,CODIFICACION!$F$2:$F$500,0))),"⚠"))</f>
        <v/>
      </c>
      <c r="BO131" t="str">
        <f>IF(CAPTURA!CT131="","",IFERROR(IF(INDEX(CODIFICACION!$E$2:$E$500,MATCH("D9.34|"&amp;CAPTURA!CT131,CODIFICACION!$F$2:$F$500,0))="sin dato","",INDEX(CODIFICACION!$E$2:$E$500,MATCH("D9.34|"&amp;CAPTURA!CT131,CODIFICACION!$F$2:$F$500,0))),"⚠"))</f>
        <v/>
      </c>
      <c r="BP131" t="str">
        <f>IF(CAPTURA!CU131="","",IFERROR(IF(INDEX(CODIFICACION!$E$2:$E$500,MATCH("D9.35|"&amp;CAPTURA!CU131,CODIFICACION!$F$2:$F$500,0))="sin dato","",INDEX(CODIFICACION!$E$2:$E$500,MATCH("D9.35|"&amp;CAPTURA!CU131,CODIFICACION!$F$2:$F$500,0))),"⚠"))</f>
        <v/>
      </c>
      <c r="BQ131" t="str">
        <f>IF(CAPTURA!CV131="","",IFERROR(IF(INDEX(CODIFICACION!$E$2:$E$500,MATCH("D10.36|"&amp;CAPTURA!CV131,CODIFICACION!$F$2:$F$500,0))="sin dato","",INDEX(CODIFICACION!$E$2:$E$500,MATCH("D10.36|"&amp;CAPTURA!CV131,CODIFICACION!$F$2:$F$500,0))),"⚠"))</f>
        <v/>
      </c>
      <c r="BR131" t="str">
        <f>IF(CAPTURA!CW131="","",IFERROR(IF(INDEX(CODIFICACION!$E$2:$E$500,MATCH("D10.37|"&amp;CAPTURA!CW131,CODIFICACION!$F$2:$F$500,0))="sin dato","",INDEX(CODIFICACION!$E$2:$E$500,MATCH("D10.37|"&amp;CAPTURA!CW131,CODIFICACION!$F$2:$F$500,0))),"⚠"))</f>
        <v/>
      </c>
      <c r="BS131" t="str">
        <f>IF(CAPTURA!CX131="","",IFERROR(IF(INDEX(CODIFICACION!$E$2:$E$500,MATCH("D10.36a|"&amp;CAPTURA!CX131,CODIFICACION!$F$2:$F$500,0))="sin dato","",INDEX(CODIFICACION!$E$2:$E$500,MATCH("D10.36a|"&amp;CAPTURA!CX131,CODIFICACION!$F$2:$F$500,0))),"⚠"))</f>
        <v/>
      </c>
      <c r="BT131" t="str">
        <f>IF(CAPTURA!CY131="","",IF(ISNUMBER(SEARCH("Ninguno",CAPTURA!CY131)),0,MIN(100,ROUND((LEN(CAPTURA!CY131)-LEN(SUBSTITUTE(CAPTURA!CY131,";",""))+1)/6*100,1))))</f>
        <v/>
      </c>
      <c r="BU131" t="str">
        <f>IF(CAPTURA!DA131="","",IFERROR(IF(INDEX(CODIFICACION!$E$2:$E$500,MATCH("D11.39a|"&amp;CAPTURA!DA131,CODIFICACION!$F$2:$F$500,0))="sin dato","",INDEX(CODIFICACION!$E$2:$E$500,MATCH("D11.39a|"&amp;CAPTURA!DA131,CODIFICACION!$F$2:$F$500,0))),"⚠"))</f>
        <v/>
      </c>
      <c r="BV131" t="str">
        <f>IF(CAPTURA!DB131="","",IFERROR(IF(INDEX(CODIFICACION!$E$2:$E$500,MATCH("D12.42|"&amp;CAPTURA!DB131,CODIFICACION!$F$2:$F$500,0))="sin dato","",INDEX(CODIFICACION!$E$2:$E$500,MATCH("D12.42|"&amp;CAPTURA!DB131,CODIFICACION!$F$2:$F$500,0))),"⚠"))</f>
        <v/>
      </c>
      <c r="BW131" t="str">
        <f>IF(CAPTURA!DC131="","",IFERROR(IF(INDEX(CODIFICACION!$E$2:$E$500,MATCH("D13.45|"&amp;CAPTURA!DC131,CODIFICACION!$F$2:$F$500,0))="sin dato","",INDEX(CODIFICACION!$E$2:$E$500,MATCH("D13.45|"&amp;CAPTURA!DC131,CODIFICACION!$F$2:$F$500,0))),"⚠"))</f>
        <v/>
      </c>
      <c r="BX131" t="str">
        <f>IF(CAPTURA!DD131="","",IFERROR(IF(INDEX(CODIFICACION!$E$2:$E$500,MATCH("D14.51|"&amp;CAPTURA!DD131,CODIFICACION!$F$2:$F$500,0))="sin dato","",INDEX(CODIFICACION!$E$2:$E$500,MATCH("D14.51|"&amp;CAPTURA!DD131,CODIFICACION!$F$2:$F$500,0))),"⚠"))</f>
        <v/>
      </c>
      <c r="BY131" t="str">
        <f>IF(CAPTURA!DE131="","",IFERROR(IF(INDEX(CODIFICACION!$E$2:$E$500,MATCH("D15.58|"&amp;CAPTURA!DE131,CODIFICACION!$F$2:$F$500,0))="sin dato","",INDEX(CODIFICACION!$E$2:$E$500,MATCH("D15.58|"&amp;CAPTURA!DE131,CODIFICACION!$F$2:$F$500,0))),"⚠"))</f>
        <v/>
      </c>
      <c r="BZ131" t="str">
        <f>IF(CAPTURA!DF131="","",IFERROR(IF(INDEX(CODIFICACION!$E$2:$E$500,MATCH("PP1|"&amp;CAPTURA!DF131,CODIFICACION!$F$2:$F$500,0))="sin dato","",INDEX(CODIFICACION!$E$2:$E$500,MATCH("PP1|"&amp;CAPTURA!DF131,CODIFICACION!$F$2:$F$500,0))),"⚠"))</f>
        <v/>
      </c>
      <c r="CA131" t="str">
        <f>IF(CAPTURA!DG131="","",IFERROR(IF(INDEX(CODIFICACION!$E$2:$E$500,MATCH("PP2|"&amp;CAPTURA!DG131,CODIFICACION!$F$2:$F$500,0))="sin dato","",INDEX(CODIFICACION!$E$2:$E$500,MATCH("PP2|"&amp;CAPTURA!DG131,CODIFICACION!$F$2:$F$500,0))),"⚠"))</f>
        <v/>
      </c>
      <c r="CB131" t="str">
        <f t="shared" ref="CB131:CB162" si="44">IFERROR(AVERAGE(H131,I131,J131,K131),"")</f>
        <v/>
      </c>
      <c r="CC131" t="str">
        <f t="shared" ref="CC131:CC162" si="45">IFERROR(AVERAGE(L131,M131,N131,O131,P131,Q131,R131,S131),"")</f>
        <v/>
      </c>
      <c r="CD131" t="str">
        <f t="shared" ref="CD131:CD162" si="46">IFERROR(AVERAGE(T131,U131,V131,W131,X131,Y131,Z131,AA131,AB131,AC131,AD131,AE131,AF131),"")</f>
        <v/>
      </c>
      <c r="CE131" t="str">
        <f t="shared" ref="CE131:CE162" si="47">IFERROR(AVERAGE(AG131,AH131,AI131,AJ131),"")</f>
        <v/>
      </c>
      <c r="CF131" t="str">
        <f t="shared" ref="CF131:CF162" si="48">IFERROR(AVERAGE(D131,AK131,AL131,AM131,AN131,AO131,AP131,AQ131,AR131,AS131),"")</f>
        <v/>
      </c>
      <c r="CG131" t="str">
        <f t="shared" ref="CG131:CG162" si="49">IFERROR(AVERAGE(AT131,AU131,AV131,BB131,AW131,AX131,AY131,AZ131,BA131),"")</f>
        <v/>
      </c>
      <c r="CH131" t="str">
        <f t="shared" ref="CH131:CH162" si="50">IFERROR(AVERAGE(C131,E131,F131,BC131,BH131,BI131,BD131,BE131,BF131,BG131),"")</f>
        <v/>
      </c>
      <c r="CI131" t="str">
        <f t="shared" ref="CI131:CI162" si="51">IFERROR(AVERAGE(BJ131,BK131,BL131,BM131),"")</f>
        <v/>
      </c>
      <c r="CJ131" t="str">
        <f t="shared" ref="CJ131:CJ162" si="52">IFERROR(AVERAGE(G131,BN131,BO131,BP131),"")</f>
        <v/>
      </c>
      <c r="CK131" t="str">
        <f t="shared" ref="CK131:CK162" si="53">IFERROR(AVERAGE(BQ131,BS131,BR131),"")</f>
        <v/>
      </c>
      <c r="CL131" t="str">
        <f t="shared" ref="CL131:CL162" si="54">IFERROR(AVERAGE(BT131,BU131),"")</f>
        <v/>
      </c>
    </row>
    <row r="132" spans="1:90" x14ac:dyDescent="0.3">
      <c r="A132">
        <f>CAPTURA!A132</f>
        <v>20602194265</v>
      </c>
      <c r="B132">
        <f>CAPTURA!C132</f>
        <v>0</v>
      </c>
      <c r="C132" t="str">
        <f>IF(CAPTURA!M132="","",ROUND((ISNUMBER(SEARCH("Alemania",CAPTURA!M132))+ISNUMBER(SEARCH("Bélgica",CAPTURA!M132))+ISNUMBER(SEARCH("Países Bajos",CAPTURA!M132))+ISNUMBER(SEARCH("Francia",CAPTURA!M132))+ISNUMBER(SEARCH("Italia",CAPTURA!M132))+ISNUMBER(SEARCH("España",CAPTURA!M132))+ISNUMBER(SEARCH("Suecia",CAPTURA!M132))+ISNUMBER(SEARCH("Dinamarca",CAPTURA!M132)))/((LEN(CAPTURA!M132)-LEN(SUBSTITUTE(CAPTURA!M132,";","")))+1)*100,1))</f>
        <v/>
      </c>
      <c r="D132" t="str">
        <f>IF(CAPTURA!AE132="","",IFERROR(IF(INDEX(CODIFICACION!$E$2:$E$500,MATCH("P8|"&amp;CAPTURA!AE132,CODIFICACION!$F$2:$F$500,0))="sin dato","",INDEX(CODIFICACION!$E$2:$E$500,MATCH("P8|"&amp;CAPTURA!AE132,CODIFICACION!$F$2:$F$500,0))),"⚠"))</f>
        <v/>
      </c>
      <c r="E132" t="str">
        <f>IF(CAPTURA!AG132="","",IFERROR(IF(INDEX(CODIFICACION!$E$2:$E$500,MATCH("P10|"&amp;CAPTURA!AG132,CODIFICACION!$F$2:$F$500,0))="sin dato","",INDEX(CODIFICACION!$E$2:$E$500,MATCH("P10|"&amp;CAPTURA!AG132,CODIFICACION!$F$2:$F$500,0))),"⚠"))</f>
        <v/>
      </c>
      <c r="F132" t="str">
        <f>IF(CAPTURA!AJ132="","",IFERROR(IF(INDEX(CODIFICACION!$E$2:$E$500,MATCH("P13|"&amp;CAPTURA!AJ132,CODIFICACION!$F$2:$F$500,0))="sin dato","",INDEX(CODIFICACION!$E$2:$E$500,MATCH("P13|"&amp;CAPTURA!AJ132,CODIFICACION!$F$2:$F$500,0))),"⚠"))</f>
        <v/>
      </c>
      <c r="G132" t="str">
        <f>IF(CAPTURA!AK132="","",IFERROR(IF(INDEX(CODIFICACION!$E$2:$E$500,MATCH("P14|"&amp;CAPTURA!AK132,CODIFICACION!$F$2:$F$500,0))="sin dato","",INDEX(CODIFICACION!$E$2:$E$500,MATCH("P14|"&amp;CAPTURA!AK132,CODIFICACION!$F$2:$F$500,0))),"⚠"))</f>
        <v/>
      </c>
      <c r="H132" t="str">
        <f>IF(CAPTURA!AL132="","",IFERROR(IF(INDEX(CODIFICACION!$E$2:$E$500,MATCH("D1.1|"&amp;CAPTURA!AL132,CODIFICACION!$F$2:$F$500,0))="sin dato","",INDEX(CODIFICACION!$E$2:$E$500,MATCH("D1.1|"&amp;CAPTURA!AL132,CODIFICACION!$F$2:$F$500,0))),"⚠"))</f>
        <v/>
      </c>
      <c r="I132" t="str">
        <f>IF(CAPTURA!AN132="","",IFERROR(IF(INDEX(CODIFICACION!$E$2:$E$500,MATCH("D1.3|"&amp;CAPTURA!AN132,CODIFICACION!$F$2:$F$500,0))="sin dato","",INDEX(CODIFICACION!$E$2:$E$500,MATCH("D1.3|"&amp;CAPTURA!AN132,CODIFICACION!$F$2:$F$500,0))),"⚠"))</f>
        <v/>
      </c>
      <c r="J132" t="str">
        <f>IF(CAPTURA!AO132="","",IFERROR(IF(INDEX(CODIFICACION!$E$2:$E$500,MATCH("D1.4|"&amp;CAPTURA!AO132,CODIFICACION!$F$2:$F$500,0))="sin dato","",INDEX(CODIFICACION!$E$2:$E$500,MATCH("D1.4|"&amp;CAPTURA!AO132,CODIFICACION!$F$2:$F$500,0))),"⚠"))</f>
        <v/>
      </c>
      <c r="K132" t="str">
        <f>IF(CAPTURA!AP132="","",IFERROR(IF(INDEX(CODIFICACION!$E$2:$E$500,MATCH("D1.3a|"&amp;CAPTURA!AP132,CODIFICACION!$F$2:$F$500,0))="sin dato","",INDEX(CODIFICACION!$E$2:$E$500,MATCH("D1.3a|"&amp;CAPTURA!AP132,CODIFICACION!$F$2:$F$500,0))),"⚠"))</f>
        <v/>
      </c>
      <c r="L132" t="str">
        <f>IF(CAPTURA!AQ132="","",IF(AND(ISNUMBER(CAPTURA!AQ132),CAPTURA!AQ132&gt;=0,CAPTURA!AQ132&lt;=4),CAPTURA!AQ132*25,"⚠"))</f>
        <v/>
      </c>
      <c r="M132" t="str">
        <f>IF(CAPTURA!AR132="","",IF(ISNUMBER(CAPTURA!AR132),MAX(0,MIN(100,CAPTURA!AR132)),"⚠"))</f>
        <v/>
      </c>
      <c r="N132" t="str">
        <f>IF(CAPTURA!AS132="","",IF(AND(ISNUMBER(CAPTURA!AS132),CAPTURA!AS132&gt;=0,CAPTURA!AS132&lt;=4),CAPTURA!AS132*25,"⚠"))</f>
        <v/>
      </c>
      <c r="O132" t="str">
        <f>IF(CAPTURA!AT132="","",IFERROR(IF(INDEX(CODIFICACION!$E$2:$E$500,MATCH("D2.8|"&amp;CAPTURA!AT132,CODIFICACION!$F$2:$F$500,0))="sin dato","",INDEX(CODIFICACION!$E$2:$E$500,MATCH("D2.8|"&amp;CAPTURA!AT132,CODIFICACION!$F$2:$F$500,0))),"⚠"))</f>
        <v/>
      </c>
      <c r="P132" t="str">
        <f>IF(CAPTURA!AU132="","",IFERROR(IF(INDEX(CODIFICACION!$E$2:$E$500,MATCH("D2.9|"&amp;CAPTURA!AU132,CODIFICACION!$F$2:$F$500,0))="sin dato","",INDEX(CODIFICACION!$E$2:$E$500,MATCH("D2.9|"&amp;CAPTURA!AU132,CODIFICACION!$F$2:$F$500,0))),"⚠"))</f>
        <v/>
      </c>
      <c r="Q132" t="str">
        <f>IF(CAPTURA!AV132="","",IFERROR(IF(INDEX(CODIFICACION!$E$2:$E$500,MATCH("D2.10|"&amp;CAPTURA!AV132,CODIFICACION!$F$2:$F$500,0))="sin dato","",INDEX(CODIFICACION!$E$2:$E$500,MATCH("D2.10|"&amp;CAPTURA!AV132,CODIFICACION!$F$2:$F$500,0))),"⚠"))</f>
        <v/>
      </c>
      <c r="R132" t="str">
        <f>IF(CAPTURA!AW132="","",IFERROR(IF(INDEX(CODIFICACION!$E$2:$E$500,MATCH("D2.5a|"&amp;CAPTURA!AW132,CODIFICACION!$F$2:$F$500,0))="sin dato","",INDEX(CODIFICACION!$E$2:$E$500,MATCH("D2.5a|"&amp;CAPTURA!AW132,CODIFICACION!$F$2:$F$500,0))),"⚠"))</f>
        <v/>
      </c>
      <c r="S132" t="str">
        <f>IF(CAPTURA!AX132="","",IFERROR(IF(INDEX(CODIFICACION!$E$2:$E$500,MATCH("D2.5b|"&amp;CAPTURA!AX132,CODIFICACION!$F$2:$F$500,0))="sin dato","",INDEX(CODIFICACION!$E$2:$E$500,MATCH("D2.5b|"&amp;CAPTURA!AX132,CODIFICACION!$F$2:$F$500,0))),"⚠"))</f>
        <v/>
      </c>
      <c r="T132" t="str">
        <f>IF(CAPTURA!AY132="","",IF(ISNUMBER(CAPTURA!AY132),MAX(0,MIN(100,CAPTURA!AY132)),"⚠"))</f>
        <v/>
      </c>
      <c r="U132" t="str">
        <f>IF(CAPTURA!AZ132="","",IFERROR(IF(INDEX(CODIFICACION!$E$2:$E$500,MATCH("D3.12|"&amp;CAPTURA!AZ132,CODIFICACION!$F$2:$F$500,0))="sin dato","",INDEX(CODIFICACION!$E$2:$E$500,MATCH("D3.12|"&amp;CAPTURA!AZ132,CODIFICACION!$F$2:$F$500,0))),"⚠"))</f>
        <v/>
      </c>
      <c r="V132" t="str">
        <f>IF(CAPTURA!BA132="","",IF(AND(ISNUMBER(CAPTURA!BA132),CAPTURA!BA132&gt;=0,CAPTURA!BA132&lt;=4),CAPTURA!BA132*25,"⚠"))</f>
        <v/>
      </c>
      <c r="W132" t="str">
        <f>IF(CAPTURA!BB132="","",IFERROR(IF(INDEX(CODIFICACION!$E$2:$E$500,MATCH("D3.14|"&amp;CAPTURA!BB132,CODIFICACION!$F$2:$F$500,0))="sin dato","",INDEX(CODIFICACION!$E$2:$E$500,MATCH("D3.14|"&amp;CAPTURA!BB132,CODIFICACION!$F$2:$F$500,0))),"⚠"))</f>
        <v/>
      </c>
      <c r="X132" t="str">
        <f>IF(CAPTURA!BC132="","",IFERROR(IF(INDEX(CODIFICACION!$E$2:$E$500,MATCH("D3.14a|"&amp;CAPTURA!BC132,CODIFICACION!$F$2:$F$500,0))="sin dato","",INDEX(CODIFICACION!$E$2:$E$500,MATCH("D3.14a|"&amp;CAPTURA!BC132,CODIFICACION!$F$2:$F$500,0))),"⚠"))</f>
        <v/>
      </c>
      <c r="Y132" t="str">
        <f>IF(CAPTURA!BD132="","",IFERROR(IF(INDEX(CODIFICACION!$E$2:$E$500,MATCH("D3.14b|"&amp;CAPTURA!BD132,CODIFICACION!$F$2:$F$500,0))="sin dato","",INDEX(CODIFICACION!$E$2:$E$500,MATCH("D3.14b|"&amp;CAPTURA!BD132,CODIFICACION!$F$2:$F$500,0))),"⚠"))</f>
        <v/>
      </c>
      <c r="Z132" t="str">
        <f>IF(CAPTURA!BE132="","",IFERROR(IF(INDEX(CODIFICACION!$E$2:$E$500,MATCH("D3.14c|"&amp;CAPTURA!BE132,CODIFICACION!$F$2:$F$500,0))="sin dato","",INDEX(CODIFICACION!$E$2:$E$500,MATCH("D3.14c|"&amp;CAPTURA!BE132,CODIFICACION!$F$2:$F$500,0))),"⚠"))</f>
        <v/>
      </c>
      <c r="AA132" t="str">
        <f>IF(CAPTURA!BF132="","",IFERROR(IF(INDEX(CODIFICACION!$E$2:$E$500,MATCH("D3.14d|"&amp;CAPTURA!BF132,CODIFICACION!$F$2:$F$500,0))="sin dato","",INDEX(CODIFICACION!$E$2:$E$500,MATCH("D3.14d|"&amp;CAPTURA!BF132,CODIFICACION!$F$2:$F$500,0))),"⚠"))</f>
        <v/>
      </c>
      <c r="AB132" t="str">
        <f>IF(CAPTURA!BG132="","",IFERROR(IF(INDEX(CODIFICACION!$E$2:$E$500,MATCH("D3.14e|"&amp;CAPTURA!BG132,CODIFICACION!$F$2:$F$500,0))="sin dato","",INDEX(CODIFICACION!$E$2:$E$500,MATCH("D3.14e|"&amp;CAPTURA!BG132,CODIFICACION!$F$2:$F$500,0))),"⚠"))</f>
        <v/>
      </c>
      <c r="AC132" t="str">
        <f>IF(CAPTURA!BH132="","",IFERROR(IF(INDEX(CODIFICACION!$E$2:$E$500,MATCH("D3.14f|"&amp;CAPTURA!BH132,CODIFICACION!$F$2:$F$500,0))="sin dato","",INDEX(CODIFICACION!$E$2:$E$500,MATCH("D3.14f|"&amp;CAPTURA!BH132,CODIFICACION!$F$2:$F$500,0))),"⚠"))</f>
        <v/>
      </c>
      <c r="AD132" t="str">
        <f>IF(CAPTURA!BI132="","",IFERROR(IF(INDEX(CODIFICACION!$E$2:$E$500,MATCH("D3.14g|"&amp;CAPTURA!BI132,CODIFICACION!$F$2:$F$500,0))="sin dato","",INDEX(CODIFICACION!$E$2:$E$500,MATCH("D3.14g|"&amp;CAPTURA!BI132,CODIFICACION!$F$2:$F$500,0))),"⚠"))</f>
        <v/>
      </c>
      <c r="AE132" t="str">
        <f>IF(CAPTURA!BJ132="","",IFERROR(IF(INDEX(CODIFICACION!$E$2:$E$500,MATCH("D3.14h|"&amp;CAPTURA!BJ132,CODIFICACION!$F$2:$F$500,0))="sin dato","",INDEX(CODIFICACION!$E$2:$E$500,MATCH("D3.14h|"&amp;CAPTURA!BJ132,CODIFICACION!$F$2:$F$500,0))),"⚠"))</f>
        <v/>
      </c>
      <c r="AF132" t="str">
        <f>IF(CAPTURA!BK132="","",IFERROR(IF(INDEX(CODIFICACION!$E$2:$E$500,MATCH("D3.14i|"&amp;CAPTURA!BK132,CODIFICACION!$F$2:$F$500,0))="sin dato","",INDEX(CODIFICACION!$E$2:$E$500,MATCH("D3.14i|"&amp;CAPTURA!BK132,CODIFICACION!$F$2:$F$500,0))),"⚠"))</f>
        <v/>
      </c>
      <c r="AG132" t="str">
        <f>IF(CAPTURA!BL132="","",IFERROR(IF(INDEX(CODIFICACION!$E$2:$E$500,MATCH("D4.15|"&amp;CAPTURA!BL132,CODIFICACION!$F$2:$F$500,0))="sin dato","",INDEX(CODIFICACION!$E$2:$E$500,MATCH("D4.15|"&amp;CAPTURA!BL132,CODIFICACION!$F$2:$F$500,0))),"⚠"))</f>
        <v/>
      </c>
      <c r="AH132" t="str">
        <f>IF(CAPTURA!BM132="","",IF(AND(ISNUMBER(CAPTURA!BM132),CAPTURA!BM132&gt;=0,CAPTURA!BM132&lt;=4),CAPTURA!BM132*25,"⚠"))</f>
        <v/>
      </c>
      <c r="AI132" t="str">
        <f>IF(CAPTURA!BN132="","",IFERROR(IF(INDEX(CODIFICACION!$E$2:$E$500,MATCH("D4.17|"&amp;CAPTURA!BN132,CODIFICACION!$F$2:$F$500,0))="sin dato","",INDEX(CODIFICACION!$E$2:$E$500,MATCH("D4.17|"&amp;CAPTURA!BN132,CODIFICACION!$F$2:$F$500,0))),"⚠"))</f>
        <v/>
      </c>
      <c r="AJ132" t="str">
        <f>IF(CAPTURA!BO132="","",IFERROR(IF(INDEX(CODIFICACION!$E$2:$E$500,MATCH("D4.15a|"&amp;CAPTURA!BO132,CODIFICACION!$F$2:$F$500,0))="sin dato","",INDEX(CODIFICACION!$E$2:$E$500,MATCH("D4.15a|"&amp;CAPTURA!BO132,CODIFICACION!$F$2:$F$500,0))),"⚠"))</f>
        <v/>
      </c>
      <c r="AK132" t="str">
        <f>IF(CAPTURA!BP132="","",IF(AND(ISNUMBER(CAPTURA!BP132),CAPTURA!BP132&gt;=0,CAPTURA!BP132&lt;=4),CAPTURA!BP132*25,"⚠"))</f>
        <v/>
      </c>
      <c r="AL132" t="str">
        <f>IF(CAPTURA!BQ132="","",IF(AND(ISNUMBER(CAPTURA!BQ132),CAPTURA!BQ132&gt;=0,CAPTURA!BQ132&lt;=4),CAPTURA!BQ132*25,"⚠"))</f>
        <v/>
      </c>
      <c r="AM132" t="str">
        <f>IF(CAPTURA!BR132="","",IFERROR(IF(INDEX(CODIFICACION!$E$2:$E$500,MATCH("D5.18b|"&amp;CAPTURA!BR132,CODIFICACION!$F$2:$F$500,0))="sin dato","",INDEX(CODIFICACION!$E$2:$E$500,MATCH("D5.18b|"&amp;CAPTURA!BR132,CODIFICACION!$F$2:$F$500,0))),"⚠"))</f>
        <v/>
      </c>
      <c r="AN132" t="str">
        <f>IF(CAPTURA!BS132="","",IFERROR(IF(INDEX(CODIFICACION!$E$2:$E$500,MATCH("D5.19|"&amp;CAPTURA!BS132,CODIFICACION!$F$2:$F$500,0))="sin dato","",INDEX(CODIFICACION!$E$2:$E$500,MATCH("D5.19|"&amp;CAPTURA!BS132,CODIFICACION!$F$2:$F$500,0))),"⚠"))</f>
        <v/>
      </c>
      <c r="AO132" t="str">
        <f>IF(CAPTURA!BT132="","",MIN(100,ROUND((LEN(CAPTURA!BT132)-LEN(SUBSTITUTE(CAPTURA!BT132,";",""))+1)/7*100,1)))</f>
        <v/>
      </c>
      <c r="AP132" t="str">
        <f>IF(CAPTURA!BU132="","",IFERROR(IF(INDEX(CODIFICACION!$E$2:$E$500,MATCH("D5.20|"&amp;CAPTURA!BU132,CODIFICACION!$F$2:$F$500,0))="sin dato","",INDEX(CODIFICACION!$E$2:$E$500,MATCH("D5.20|"&amp;CAPTURA!BU132,CODIFICACION!$F$2:$F$500,0))),"⚠"))</f>
        <v/>
      </c>
      <c r="AQ132" t="str">
        <f>IF(CAPTURA!BV132="","",IFERROR(IF(INDEX(CODIFICACION!$E$2:$E$500,MATCH("D5.21|"&amp;CAPTURA!BV132,CODIFICACION!$F$2:$F$500,0))="sin dato","",INDEX(CODIFICACION!$E$2:$E$500,MATCH("D5.21|"&amp;CAPTURA!BV132,CODIFICACION!$F$2:$F$500,0))),"⚠"))</f>
        <v/>
      </c>
      <c r="AR132" t="str">
        <f>IF(CAPTURA!BW132="","",IFERROR(IF(INDEX(CODIFICACION!$E$2:$E$500,MATCH("D5.21a|"&amp;CAPTURA!BW132,CODIFICACION!$F$2:$F$500,0))="sin dato","",INDEX(CODIFICACION!$E$2:$E$500,MATCH("D5.21a|"&amp;CAPTURA!BW132,CODIFICACION!$F$2:$F$500,0))),"⚠"))</f>
        <v/>
      </c>
      <c r="AS132" t="str">
        <f>IF(CAPTURA!BX132="","",IFERROR(IF(INDEX(CODIFICACION!$E$2:$E$500,MATCH("D5.21b|"&amp;CAPTURA!BX132,CODIFICACION!$F$2:$F$500,0))="sin dato","",INDEX(CODIFICACION!$E$2:$E$500,MATCH("D5.21b|"&amp;CAPTURA!BX132,CODIFICACION!$F$2:$F$500,0))),"⚠"))</f>
        <v/>
      </c>
      <c r="AT132" t="str">
        <f>IF(CAPTURA!BY132="","",IFERROR(IF(INDEX(CODIFICACION!$E$2:$E$500,MATCH("D6.22|"&amp;CAPTURA!BY132,CODIFICACION!$F$2:$F$500,0))="sin dato","",INDEX(CODIFICACION!$E$2:$E$500,MATCH("D6.22|"&amp;CAPTURA!BY132,CODIFICACION!$F$2:$F$500,0))),"⚠"))</f>
        <v/>
      </c>
      <c r="AU132" t="str">
        <f>IF(CAPTURA!BZ132="","",IFERROR(IF(INDEX(CODIFICACION!$E$2:$E$500,MATCH("D6.22a|"&amp;CAPTURA!BZ132,CODIFICACION!$F$2:$F$500,0))="sin dato","",INDEX(CODIFICACION!$E$2:$E$500,MATCH("D6.22a|"&amp;CAPTURA!BZ132,CODIFICACION!$F$2:$F$500,0))),"⚠"))</f>
        <v/>
      </c>
      <c r="AV132" t="str">
        <f>IF(CAPTURA!CA132="","",IFERROR(IF(INDEX(CODIFICACION!$E$2:$E$500,MATCH("D6.22b|"&amp;CAPTURA!CA132,CODIFICACION!$F$2:$F$500,0))="sin dato","",INDEX(CODIFICACION!$E$2:$E$500,MATCH("D6.22b|"&amp;CAPTURA!CA132,CODIFICACION!$F$2:$F$500,0))),"⚠"))</f>
        <v/>
      </c>
      <c r="AW132" t="str">
        <f>IF(CAPTURA!CB132="","",IFERROR(IF(INDEX(CODIFICACION!$E$2:$E$500,MATCH("D6.23|"&amp;CAPTURA!CB132,CODIFICACION!$F$2:$F$500,0))="sin dato","",INDEX(CODIFICACION!$E$2:$E$500,MATCH("D6.23|"&amp;CAPTURA!CB132,CODIFICACION!$F$2:$F$500,0))),"⚠"))</f>
        <v/>
      </c>
      <c r="AX132" t="str">
        <f>IF(CAPTURA!CC132="","",IFERROR(IF(INDEX(CODIFICACION!$E$2:$E$500,MATCH("D6.24|"&amp;CAPTURA!CC132,CODIFICACION!$F$2:$F$500,0))="sin dato","",INDEX(CODIFICACION!$E$2:$E$500,MATCH("D6.24|"&amp;CAPTURA!CC132,CODIFICACION!$F$2:$F$500,0))),"⚠"))</f>
        <v/>
      </c>
      <c r="AY132" t="str">
        <f>IF(CAPTURA!CD132="","",IFERROR(IF(INDEX(CODIFICACION!$E$2:$E$500,MATCH("D6.25|"&amp;CAPTURA!CD132,CODIFICACION!$F$2:$F$500,0))="sin dato","",INDEX(CODIFICACION!$E$2:$E$500,MATCH("D6.25|"&amp;CAPTURA!CD132,CODIFICACION!$F$2:$F$500,0))),"⚠"))</f>
        <v/>
      </c>
      <c r="AZ132" t="str">
        <f>IF(CAPTURA!CE132="","",IFERROR(IF(INDEX(CODIFICACION!$E$2:$E$500,MATCH("D6.25a|"&amp;CAPTURA!CE132,CODIFICACION!$F$2:$F$500,0))="sin dato","",INDEX(CODIFICACION!$E$2:$E$500,MATCH("D6.25a|"&amp;CAPTURA!CE132,CODIFICACION!$F$2:$F$500,0))),"⚠"))</f>
        <v/>
      </c>
      <c r="BA132" t="str">
        <f>IF(CAPTURA!CF132="","",IFERROR(IF(INDEX(CODIFICACION!$E$2:$E$500,MATCH("D6.25b|"&amp;CAPTURA!CF132,CODIFICACION!$F$2:$F$500,0))="sin dato","",INDEX(CODIFICACION!$E$2:$E$500,MATCH("D6.25b|"&amp;CAPTURA!CF132,CODIFICACION!$F$2:$F$500,0))),"⚠"))</f>
        <v/>
      </c>
      <c r="BB132" t="str">
        <f>IF(CAPTURA!CG132="","",IFERROR(IF(INDEX(CODIFICACION!$E$2:$E$500,MATCH("D6.22c|"&amp;CAPTURA!CG132,CODIFICACION!$F$2:$F$500,0))="sin dato","",INDEX(CODIFICACION!$E$2:$E$500,MATCH("D6.22c|"&amp;CAPTURA!CG132,CODIFICACION!$F$2:$F$500,0))),"⚠"))</f>
        <v/>
      </c>
      <c r="BC132" t="str">
        <f>IF(CAPTURA!CH132="","",IFERROR(IF(INDEX(CODIFICACION!$E$2:$E$500,MATCH("D7.26|"&amp;CAPTURA!CH132,CODIFICACION!$F$2:$F$500,0))="sin dato","",INDEX(CODIFICACION!$E$2:$E$500,MATCH("D7.26|"&amp;CAPTURA!CH132,CODIFICACION!$F$2:$F$500,0))),"⚠"))</f>
        <v/>
      </c>
      <c r="BD132" t="str">
        <f>IF(CAPTURA!CI132="","",IFERROR(IF(INDEX(CODIFICACION!$E$2:$E$500,MATCH("D7.27|"&amp;CAPTURA!CI132,CODIFICACION!$F$2:$F$500,0))="sin dato","",INDEX(CODIFICACION!$E$2:$E$500,MATCH("D7.27|"&amp;CAPTURA!CI132,CODIFICACION!$F$2:$F$500,0))),"⚠"))</f>
        <v/>
      </c>
      <c r="BE132" t="str">
        <f>IF(CAPTURA!CJ132="","",IFERROR(IF(INDEX(CODIFICACION!$E$2:$E$500,MATCH("D7.28|"&amp;CAPTURA!CJ132,CODIFICACION!$F$2:$F$500,0))="sin dato","",INDEX(CODIFICACION!$E$2:$E$500,MATCH("D7.28|"&amp;CAPTURA!CJ132,CODIFICACION!$F$2:$F$500,0))),"⚠"))</f>
        <v/>
      </c>
      <c r="BF132" t="str">
        <f>IF(CAPTURA!CK132="","",IFERROR(IF(INDEX(CODIFICACION!$E$2:$E$500,MATCH("D7.28b|"&amp;CAPTURA!CK132,CODIFICACION!$F$2:$F$500,0))="sin dato","",INDEX(CODIFICACION!$E$2:$E$500,MATCH("D7.28b|"&amp;CAPTURA!CK132,CODIFICACION!$F$2:$F$500,0))),"⚠"))</f>
        <v/>
      </c>
      <c r="BG132" t="str">
        <f>IF(CAPTURA!CL132="","",MIN(100,ROUND((LEN(CAPTURA!CL132)-LEN(SUBSTITUTE(CAPTURA!CL132,";",""))+1)/8*100,1)))</f>
        <v/>
      </c>
      <c r="BH132" t="str">
        <f>IF(CAPTURA!CM132="","",IFERROR(IF(INDEX(CODIFICACION!$E$2:$E$500,MATCH("D7.26a|"&amp;CAPTURA!CM132,CODIFICACION!$F$2:$F$500,0))="sin dato","",INDEX(CODIFICACION!$E$2:$E$500,MATCH("D7.26a|"&amp;CAPTURA!CM132,CODIFICACION!$F$2:$F$500,0))),"⚠"))</f>
        <v/>
      </c>
      <c r="BI132" t="str">
        <f>IF(CAPTURA!CN132="","",IFERROR(IF(INDEX(CODIFICACION!$E$2:$E$500,MATCH("D7.26b|"&amp;CAPTURA!CN132,CODIFICACION!$F$2:$F$500,0))="sin dato","",INDEX(CODIFICACION!$E$2:$E$500,MATCH("D7.26b|"&amp;CAPTURA!CN132,CODIFICACION!$F$2:$F$500,0))),"⚠"))</f>
        <v/>
      </c>
      <c r="BJ132" t="str">
        <f>IF(CAPTURA!CO132="","",IF(AND(ISNUMBER(CAPTURA!CO132),CAPTURA!CO132&gt;=0,CAPTURA!CO132&lt;=4),CAPTURA!CO132*25,"⚠"))</f>
        <v/>
      </c>
      <c r="BK132" t="str">
        <f>IF(CAPTURA!CP132="","",IF(ISNUMBER(CAPTURA!CP132),MAX(0,MIN(100,CAPTURA!CP132)),"⚠"))</f>
        <v/>
      </c>
      <c r="BL132" t="str">
        <f>IF(CAPTURA!CQ132="","",IFERROR(IF(INDEX(CODIFICACION!$E$2:$E$500,MATCH("D8.31|"&amp;CAPTURA!CQ132,CODIFICACION!$F$2:$F$500,0))="sin dato","",INDEX(CODIFICACION!$E$2:$E$500,MATCH("D8.31|"&amp;CAPTURA!CQ132,CODIFICACION!$F$2:$F$500,0))),"⚠"))</f>
        <v/>
      </c>
      <c r="BM132" t="str">
        <f>IF(CAPTURA!CR132="","",IFERROR(IF(INDEX(CODIFICACION!$E$2:$E$500,MATCH("D8.32|"&amp;CAPTURA!CR132,CODIFICACION!$F$2:$F$500,0))="sin dato","",INDEX(CODIFICACION!$E$2:$E$500,MATCH("D8.32|"&amp;CAPTURA!CR132,CODIFICACION!$F$2:$F$500,0))),"⚠"))</f>
        <v/>
      </c>
      <c r="BN132" t="str">
        <f>IF(CAPTURA!CS132="","",IFERROR(IF(INDEX(CODIFICACION!$E$2:$E$500,MATCH("D9.33|"&amp;CAPTURA!CS132,CODIFICACION!$F$2:$F$500,0))="sin dato","",INDEX(CODIFICACION!$E$2:$E$500,MATCH("D9.33|"&amp;CAPTURA!CS132,CODIFICACION!$F$2:$F$500,0))),"⚠"))</f>
        <v/>
      </c>
      <c r="BO132" t="str">
        <f>IF(CAPTURA!CT132="","",IFERROR(IF(INDEX(CODIFICACION!$E$2:$E$500,MATCH("D9.34|"&amp;CAPTURA!CT132,CODIFICACION!$F$2:$F$500,0))="sin dato","",INDEX(CODIFICACION!$E$2:$E$500,MATCH("D9.34|"&amp;CAPTURA!CT132,CODIFICACION!$F$2:$F$500,0))),"⚠"))</f>
        <v/>
      </c>
      <c r="BP132" t="str">
        <f>IF(CAPTURA!CU132="","",IFERROR(IF(INDEX(CODIFICACION!$E$2:$E$500,MATCH("D9.35|"&amp;CAPTURA!CU132,CODIFICACION!$F$2:$F$500,0))="sin dato","",INDEX(CODIFICACION!$E$2:$E$500,MATCH("D9.35|"&amp;CAPTURA!CU132,CODIFICACION!$F$2:$F$500,0))),"⚠"))</f>
        <v/>
      </c>
      <c r="BQ132" t="str">
        <f>IF(CAPTURA!CV132="","",IFERROR(IF(INDEX(CODIFICACION!$E$2:$E$500,MATCH("D10.36|"&amp;CAPTURA!CV132,CODIFICACION!$F$2:$F$500,0))="sin dato","",INDEX(CODIFICACION!$E$2:$E$500,MATCH("D10.36|"&amp;CAPTURA!CV132,CODIFICACION!$F$2:$F$500,0))),"⚠"))</f>
        <v/>
      </c>
      <c r="BR132" t="str">
        <f>IF(CAPTURA!CW132="","",IFERROR(IF(INDEX(CODIFICACION!$E$2:$E$500,MATCH("D10.37|"&amp;CAPTURA!CW132,CODIFICACION!$F$2:$F$500,0))="sin dato","",INDEX(CODIFICACION!$E$2:$E$500,MATCH("D10.37|"&amp;CAPTURA!CW132,CODIFICACION!$F$2:$F$500,0))),"⚠"))</f>
        <v/>
      </c>
      <c r="BS132" t="str">
        <f>IF(CAPTURA!CX132="","",IFERROR(IF(INDEX(CODIFICACION!$E$2:$E$500,MATCH("D10.36a|"&amp;CAPTURA!CX132,CODIFICACION!$F$2:$F$500,0))="sin dato","",INDEX(CODIFICACION!$E$2:$E$500,MATCH("D10.36a|"&amp;CAPTURA!CX132,CODIFICACION!$F$2:$F$500,0))),"⚠"))</f>
        <v/>
      </c>
      <c r="BT132" t="str">
        <f>IF(CAPTURA!CY132="","",IF(ISNUMBER(SEARCH("Ninguno",CAPTURA!CY132)),0,MIN(100,ROUND((LEN(CAPTURA!CY132)-LEN(SUBSTITUTE(CAPTURA!CY132,";",""))+1)/6*100,1))))</f>
        <v/>
      </c>
      <c r="BU132" t="str">
        <f>IF(CAPTURA!DA132="","",IFERROR(IF(INDEX(CODIFICACION!$E$2:$E$500,MATCH("D11.39a|"&amp;CAPTURA!DA132,CODIFICACION!$F$2:$F$500,0))="sin dato","",INDEX(CODIFICACION!$E$2:$E$500,MATCH("D11.39a|"&amp;CAPTURA!DA132,CODIFICACION!$F$2:$F$500,0))),"⚠"))</f>
        <v/>
      </c>
      <c r="BV132" t="str">
        <f>IF(CAPTURA!DB132="","",IFERROR(IF(INDEX(CODIFICACION!$E$2:$E$500,MATCH("D12.42|"&amp;CAPTURA!DB132,CODIFICACION!$F$2:$F$500,0))="sin dato","",INDEX(CODIFICACION!$E$2:$E$500,MATCH("D12.42|"&amp;CAPTURA!DB132,CODIFICACION!$F$2:$F$500,0))),"⚠"))</f>
        <v/>
      </c>
      <c r="BW132" t="str">
        <f>IF(CAPTURA!DC132="","",IFERROR(IF(INDEX(CODIFICACION!$E$2:$E$500,MATCH("D13.45|"&amp;CAPTURA!DC132,CODIFICACION!$F$2:$F$500,0))="sin dato","",INDEX(CODIFICACION!$E$2:$E$500,MATCH("D13.45|"&amp;CAPTURA!DC132,CODIFICACION!$F$2:$F$500,0))),"⚠"))</f>
        <v/>
      </c>
      <c r="BX132" t="str">
        <f>IF(CAPTURA!DD132="","",IFERROR(IF(INDEX(CODIFICACION!$E$2:$E$500,MATCH("D14.51|"&amp;CAPTURA!DD132,CODIFICACION!$F$2:$F$500,0))="sin dato","",INDEX(CODIFICACION!$E$2:$E$500,MATCH("D14.51|"&amp;CAPTURA!DD132,CODIFICACION!$F$2:$F$500,0))),"⚠"))</f>
        <v/>
      </c>
      <c r="BY132" t="str">
        <f>IF(CAPTURA!DE132="","",IFERROR(IF(INDEX(CODIFICACION!$E$2:$E$500,MATCH("D15.58|"&amp;CAPTURA!DE132,CODIFICACION!$F$2:$F$500,0))="sin dato","",INDEX(CODIFICACION!$E$2:$E$500,MATCH("D15.58|"&amp;CAPTURA!DE132,CODIFICACION!$F$2:$F$500,0))),"⚠"))</f>
        <v/>
      </c>
      <c r="BZ132" t="str">
        <f>IF(CAPTURA!DF132="","",IFERROR(IF(INDEX(CODIFICACION!$E$2:$E$500,MATCH("PP1|"&amp;CAPTURA!DF132,CODIFICACION!$F$2:$F$500,0))="sin dato","",INDEX(CODIFICACION!$E$2:$E$500,MATCH("PP1|"&amp;CAPTURA!DF132,CODIFICACION!$F$2:$F$500,0))),"⚠"))</f>
        <v/>
      </c>
      <c r="CA132" t="str">
        <f>IF(CAPTURA!DG132="","",IFERROR(IF(INDEX(CODIFICACION!$E$2:$E$500,MATCH("PP2|"&amp;CAPTURA!DG132,CODIFICACION!$F$2:$F$500,0))="sin dato","",INDEX(CODIFICACION!$E$2:$E$500,MATCH("PP2|"&amp;CAPTURA!DG132,CODIFICACION!$F$2:$F$500,0))),"⚠"))</f>
        <v/>
      </c>
      <c r="CB132" t="str">
        <f t="shared" si="44"/>
        <v/>
      </c>
      <c r="CC132" t="str">
        <f t="shared" si="45"/>
        <v/>
      </c>
      <c r="CD132" t="str">
        <f t="shared" si="46"/>
        <v/>
      </c>
      <c r="CE132" t="str">
        <f t="shared" si="47"/>
        <v/>
      </c>
      <c r="CF132" t="str">
        <f t="shared" si="48"/>
        <v/>
      </c>
      <c r="CG132" t="str">
        <f t="shared" si="49"/>
        <v/>
      </c>
      <c r="CH132" t="str">
        <f t="shared" si="50"/>
        <v/>
      </c>
      <c r="CI132" t="str">
        <f t="shared" si="51"/>
        <v/>
      </c>
      <c r="CJ132" t="str">
        <f t="shared" si="52"/>
        <v/>
      </c>
      <c r="CK132" t="str">
        <f t="shared" si="53"/>
        <v/>
      </c>
      <c r="CL132" t="str">
        <f t="shared" si="54"/>
        <v/>
      </c>
    </row>
    <row r="133" spans="1:90" x14ac:dyDescent="0.3">
      <c r="A133">
        <f>CAPTURA!A133</f>
        <v>20602242464</v>
      </c>
      <c r="B133">
        <f>CAPTURA!C133</f>
        <v>0</v>
      </c>
      <c r="C133" t="str">
        <f>IF(CAPTURA!M133="","",ROUND((ISNUMBER(SEARCH("Alemania",CAPTURA!M133))+ISNUMBER(SEARCH("Bélgica",CAPTURA!M133))+ISNUMBER(SEARCH("Países Bajos",CAPTURA!M133))+ISNUMBER(SEARCH("Francia",CAPTURA!M133))+ISNUMBER(SEARCH("Italia",CAPTURA!M133))+ISNUMBER(SEARCH("España",CAPTURA!M133))+ISNUMBER(SEARCH("Suecia",CAPTURA!M133))+ISNUMBER(SEARCH("Dinamarca",CAPTURA!M133)))/((LEN(CAPTURA!M133)-LEN(SUBSTITUTE(CAPTURA!M133,";","")))+1)*100,1))</f>
        <v/>
      </c>
      <c r="D133" t="str">
        <f>IF(CAPTURA!AE133="","",IFERROR(IF(INDEX(CODIFICACION!$E$2:$E$500,MATCH("P8|"&amp;CAPTURA!AE133,CODIFICACION!$F$2:$F$500,0))="sin dato","",INDEX(CODIFICACION!$E$2:$E$500,MATCH("P8|"&amp;CAPTURA!AE133,CODIFICACION!$F$2:$F$500,0))),"⚠"))</f>
        <v/>
      </c>
      <c r="E133" t="str">
        <f>IF(CAPTURA!AG133="","",IFERROR(IF(INDEX(CODIFICACION!$E$2:$E$500,MATCH("P10|"&amp;CAPTURA!AG133,CODIFICACION!$F$2:$F$500,0))="sin dato","",INDEX(CODIFICACION!$E$2:$E$500,MATCH("P10|"&amp;CAPTURA!AG133,CODIFICACION!$F$2:$F$500,0))),"⚠"))</f>
        <v/>
      </c>
      <c r="F133" t="str">
        <f>IF(CAPTURA!AJ133="","",IFERROR(IF(INDEX(CODIFICACION!$E$2:$E$500,MATCH("P13|"&amp;CAPTURA!AJ133,CODIFICACION!$F$2:$F$500,0))="sin dato","",INDEX(CODIFICACION!$E$2:$E$500,MATCH("P13|"&amp;CAPTURA!AJ133,CODIFICACION!$F$2:$F$500,0))),"⚠"))</f>
        <v/>
      </c>
      <c r="G133" t="str">
        <f>IF(CAPTURA!AK133="","",IFERROR(IF(INDEX(CODIFICACION!$E$2:$E$500,MATCH("P14|"&amp;CAPTURA!AK133,CODIFICACION!$F$2:$F$500,0))="sin dato","",INDEX(CODIFICACION!$E$2:$E$500,MATCH("P14|"&amp;CAPTURA!AK133,CODIFICACION!$F$2:$F$500,0))),"⚠"))</f>
        <v/>
      </c>
      <c r="H133" t="str">
        <f>IF(CAPTURA!AL133="","",IFERROR(IF(INDEX(CODIFICACION!$E$2:$E$500,MATCH("D1.1|"&amp;CAPTURA!AL133,CODIFICACION!$F$2:$F$500,0))="sin dato","",INDEX(CODIFICACION!$E$2:$E$500,MATCH("D1.1|"&amp;CAPTURA!AL133,CODIFICACION!$F$2:$F$500,0))),"⚠"))</f>
        <v/>
      </c>
      <c r="I133" t="str">
        <f>IF(CAPTURA!AN133="","",IFERROR(IF(INDEX(CODIFICACION!$E$2:$E$500,MATCH("D1.3|"&amp;CAPTURA!AN133,CODIFICACION!$F$2:$F$500,0))="sin dato","",INDEX(CODIFICACION!$E$2:$E$500,MATCH("D1.3|"&amp;CAPTURA!AN133,CODIFICACION!$F$2:$F$500,0))),"⚠"))</f>
        <v/>
      </c>
      <c r="J133" t="str">
        <f>IF(CAPTURA!AO133="","",IFERROR(IF(INDEX(CODIFICACION!$E$2:$E$500,MATCH("D1.4|"&amp;CAPTURA!AO133,CODIFICACION!$F$2:$F$500,0))="sin dato","",INDEX(CODIFICACION!$E$2:$E$500,MATCH("D1.4|"&amp;CAPTURA!AO133,CODIFICACION!$F$2:$F$500,0))),"⚠"))</f>
        <v/>
      </c>
      <c r="K133" t="str">
        <f>IF(CAPTURA!AP133="","",IFERROR(IF(INDEX(CODIFICACION!$E$2:$E$500,MATCH("D1.3a|"&amp;CAPTURA!AP133,CODIFICACION!$F$2:$F$500,0))="sin dato","",INDEX(CODIFICACION!$E$2:$E$500,MATCH("D1.3a|"&amp;CAPTURA!AP133,CODIFICACION!$F$2:$F$500,0))),"⚠"))</f>
        <v/>
      </c>
      <c r="L133" t="str">
        <f>IF(CAPTURA!AQ133="","",IF(AND(ISNUMBER(CAPTURA!AQ133),CAPTURA!AQ133&gt;=0,CAPTURA!AQ133&lt;=4),CAPTURA!AQ133*25,"⚠"))</f>
        <v/>
      </c>
      <c r="M133" t="str">
        <f>IF(CAPTURA!AR133="","",IF(ISNUMBER(CAPTURA!AR133),MAX(0,MIN(100,CAPTURA!AR133)),"⚠"))</f>
        <v/>
      </c>
      <c r="N133" t="str">
        <f>IF(CAPTURA!AS133="","",IF(AND(ISNUMBER(CAPTURA!AS133),CAPTURA!AS133&gt;=0,CAPTURA!AS133&lt;=4),CAPTURA!AS133*25,"⚠"))</f>
        <v/>
      </c>
      <c r="O133" t="str">
        <f>IF(CAPTURA!AT133="","",IFERROR(IF(INDEX(CODIFICACION!$E$2:$E$500,MATCH("D2.8|"&amp;CAPTURA!AT133,CODIFICACION!$F$2:$F$500,0))="sin dato","",INDEX(CODIFICACION!$E$2:$E$500,MATCH("D2.8|"&amp;CAPTURA!AT133,CODIFICACION!$F$2:$F$500,0))),"⚠"))</f>
        <v/>
      </c>
      <c r="P133" t="str">
        <f>IF(CAPTURA!AU133="","",IFERROR(IF(INDEX(CODIFICACION!$E$2:$E$500,MATCH("D2.9|"&amp;CAPTURA!AU133,CODIFICACION!$F$2:$F$500,0))="sin dato","",INDEX(CODIFICACION!$E$2:$E$500,MATCH("D2.9|"&amp;CAPTURA!AU133,CODIFICACION!$F$2:$F$500,0))),"⚠"))</f>
        <v/>
      </c>
      <c r="Q133" t="str">
        <f>IF(CAPTURA!AV133="","",IFERROR(IF(INDEX(CODIFICACION!$E$2:$E$500,MATCH("D2.10|"&amp;CAPTURA!AV133,CODIFICACION!$F$2:$F$500,0))="sin dato","",INDEX(CODIFICACION!$E$2:$E$500,MATCH("D2.10|"&amp;CAPTURA!AV133,CODIFICACION!$F$2:$F$500,0))),"⚠"))</f>
        <v/>
      </c>
      <c r="R133" t="str">
        <f>IF(CAPTURA!AW133="","",IFERROR(IF(INDEX(CODIFICACION!$E$2:$E$500,MATCH("D2.5a|"&amp;CAPTURA!AW133,CODIFICACION!$F$2:$F$500,0))="sin dato","",INDEX(CODIFICACION!$E$2:$E$500,MATCH("D2.5a|"&amp;CAPTURA!AW133,CODIFICACION!$F$2:$F$500,0))),"⚠"))</f>
        <v/>
      </c>
      <c r="S133" t="str">
        <f>IF(CAPTURA!AX133="","",IFERROR(IF(INDEX(CODIFICACION!$E$2:$E$500,MATCH("D2.5b|"&amp;CAPTURA!AX133,CODIFICACION!$F$2:$F$500,0))="sin dato","",INDEX(CODIFICACION!$E$2:$E$500,MATCH("D2.5b|"&amp;CAPTURA!AX133,CODIFICACION!$F$2:$F$500,0))),"⚠"))</f>
        <v/>
      </c>
      <c r="T133" t="str">
        <f>IF(CAPTURA!AY133="","",IF(ISNUMBER(CAPTURA!AY133),MAX(0,MIN(100,CAPTURA!AY133)),"⚠"))</f>
        <v/>
      </c>
      <c r="U133" t="str">
        <f>IF(CAPTURA!AZ133="","",IFERROR(IF(INDEX(CODIFICACION!$E$2:$E$500,MATCH("D3.12|"&amp;CAPTURA!AZ133,CODIFICACION!$F$2:$F$500,0))="sin dato","",INDEX(CODIFICACION!$E$2:$E$500,MATCH("D3.12|"&amp;CAPTURA!AZ133,CODIFICACION!$F$2:$F$500,0))),"⚠"))</f>
        <v/>
      </c>
      <c r="V133" t="str">
        <f>IF(CAPTURA!BA133="","",IF(AND(ISNUMBER(CAPTURA!BA133),CAPTURA!BA133&gt;=0,CAPTURA!BA133&lt;=4),CAPTURA!BA133*25,"⚠"))</f>
        <v/>
      </c>
      <c r="W133" t="str">
        <f>IF(CAPTURA!BB133="","",IFERROR(IF(INDEX(CODIFICACION!$E$2:$E$500,MATCH("D3.14|"&amp;CAPTURA!BB133,CODIFICACION!$F$2:$F$500,0))="sin dato","",INDEX(CODIFICACION!$E$2:$E$500,MATCH("D3.14|"&amp;CAPTURA!BB133,CODIFICACION!$F$2:$F$500,0))),"⚠"))</f>
        <v/>
      </c>
      <c r="X133" t="str">
        <f>IF(CAPTURA!BC133="","",IFERROR(IF(INDEX(CODIFICACION!$E$2:$E$500,MATCH("D3.14a|"&amp;CAPTURA!BC133,CODIFICACION!$F$2:$F$500,0))="sin dato","",INDEX(CODIFICACION!$E$2:$E$500,MATCH("D3.14a|"&amp;CAPTURA!BC133,CODIFICACION!$F$2:$F$500,0))),"⚠"))</f>
        <v/>
      </c>
      <c r="Y133" t="str">
        <f>IF(CAPTURA!BD133="","",IFERROR(IF(INDEX(CODIFICACION!$E$2:$E$500,MATCH("D3.14b|"&amp;CAPTURA!BD133,CODIFICACION!$F$2:$F$500,0))="sin dato","",INDEX(CODIFICACION!$E$2:$E$500,MATCH("D3.14b|"&amp;CAPTURA!BD133,CODIFICACION!$F$2:$F$500,0))),"⚠"))</f>
        <v/>
      </c>
      <c r="Z133" t="str">
        <f>IF(CAPTURA!BE133="","",IFERROR(IF(INDEX(CODIFICACION!$E$2:$E$500,MATCH("D3.14c|"&amp;CAPTURA!BE133,CODIFICACION!$F$2:$F$500,0))="sin dato","",INDEX(CODIFICACION!$E$2:$E$500,MATCH("D3.14c|"&amp;CAPTURA!BE133,CODIFICACION!$F$2:$F$500,0))),"⚠"))</f>
        <v/>
      </c>
      <c r="AA133" t="str">
        <f>IF(CAPTURA!BF133="","",IFERROR(IF(INDEX(CODIFICACION!$E$2:$E$500,MATCH("D3.14d|"&amp;CAPTURA!BF133,CODIFICACION!$F$2:$F$500,0))="sin dato","",INDEX(CODIFICACION!$E$2:$E$500,MATCH("D3.14d|"&amp;CAPTURA!BF133,CODIFICACION!$F$2:$F$500,0))),"⚠"))</f>
        <v/>
      </c>
      <c r="AB133" t="str">
        <f>IF(CAPTURA!BG133="","",IFERROR(IF(INDEX(CODIFICACION!$E$2:$E$500,MATCH("D3.14e|"&amp;CAPTURA!BG133,CODIFICACION!$F$2:$F$500,0))="sin dato","",INDEX(CODIFICACION!$E$2:$E$500,MATCH("D3.14e|"&amp;CAPTURA!BG133,CODIFICACION!$F$2:$F$500,0))),"⚠"))</f>
        <v/>
      </c>
      <c r="AC133" t="str">
        <f>IF(CAPTURA!BH133="","",IFERROR(IF(INDEX(CODIFICACION!$E$2:$E$500,MATCH("D3.14f|"&amp;CAPTURA!BH133,CODIFICACION!$F$2:$F$500,0))="sin dato","",INDEX(CODIFICACION!$E$2:$E$500,MATCH("D3.14f|"&amp;CAPTURA!BH133,CODIFICACION!$F$2:$F$500,0))),"⚠"))</f>
        <v/>
      </c>
      <c r="AD133" t="str">
        <f>IF(CAPTURA!BI133="","",IFERROR(IF(INDEX(CODIFICACION!$E$2:$E$500,MATCH("D3.14g|"&amp;CAPTURA!BI133,CODIFICACION!$F$2:$F$500,0))="sin dato","",INDEX(CODIFICACION!$E$2:$E$500,MATCH("D3.14g|"&amp;CAPTURA!BI133,CODIFICACION!$F$2:$F$500,0))),"⚠"))</f>
        <v/>
      </c>
      <c r="AE133" t="str">
        <f>IF(CAPTURA!BJ133="","",IFERROR(IF(INDEX(CODIFICACION!$E$2:$E$500,MATCH("D3.14h|"&amp;CAPTURA!BJ133,CODIFICACION!$F$2:$F$500,0))="sin dato","",INDEX(CODIFICACION!$E$2:$E$500,MATCH("D3.14h|"&amp;CAPTURA!BJ133,CODIFICACION!$F$2:$F$500,0))),"⚠"))</f>
        <v/>
      </c>
      <c r="AF133" t="str">
        <f>IF(CAPTURA!BK133="","",IFERROR(IF(INDEX(CODIFICACION!$E$2:$E$500,MATCH("D3.14i|"&amp;CAPTURA!BK133,CODIFICACION!$F$2:$F$500,0))="sin dato","",INDEX(CODIFICACION!$E$2:$E$500,MATCH("D3.14i|"&amp;CAPTURA!BK133,CODIFICACION!$F$2:$F$500,0))),"⚠"))</f>
        <v/>
      </c>
      <c r="AG133" t="str">
        <f>IF(CAPTURA!BL133="","",IFERROR(IF(INDEX(CODIFICACION!$E$2:$E$500,MATCH("D4.15|"&amp;CAPTURA!BL133,CODIFICACION!$F$2:$F$500,0))="sin dato","",INDEX(CODIFICACION!$E$2:$E$500,MATCH("D4.15|"&amp;CAPTURA!BL133,CODIFICACION!$F$2:$F$500,0))),"⚠"))</f>
        <v/>
      </c>
      <c r="AH133" t="str">
        <f>IF(CAPTURA!BM133="","",IF(AND(ISNUMBER(CAPTURA!BM133),CAPTURA!BM133&gt;=0,CAPTURA!BM133&lt;=4),CAPTURA!BM133*25,"⚠"))</f>
        <v/>
      </c>
      <c r="AI133" t="str">
        <f>IF(CAPTURA!BN133="","",IFERROR(IF(INDEX(CODIFICACION!$E$2:$E$500,MATCH("D4.17|"&amp;CAPTURA!BN133,CODIFICACION!$F$2:$F$500,0))="sin dato","",INDEX(CODIFICACION!$E$2:$E$500,MATCH("D4.17|"&amp;CAPTURA!BN133,CODIFICACION!$F$2:$F$500,0))),"⚠"))</f>
        <v/>
      </c>
      <c r="AJ133" t="str">
        <f>IF(CAPTURA!BO133="","",IFERROR(IF(INDEX(CODIFICACION!$E$2:$E$500,MATCH("D4.15a|"&amp;CAPTURA!BO133,CODIFICACION!$F$2:$F$500,0))="sin dato","",INDEX(CODIFICACION!$E$2:$E$500,MATCH("D4.15a|"&amp;CAPTURA!BO133,CODIFICACION!$F$2:$F$500,0))),"⚠"))</f>
        <v/>
      </c>
      <c r="AK133" t="str">
        <f>IF(CAPTURA!BP133="","",IF(AND(ISNUMBER(CAPTURA!BP133),CAPTURA!BP133&gt;=0,CAPTURA!BP133&lt;=4),CAPTURA!BP133*25,"⚠"))</f>
        <v/>
      </c>
      <c r="AL133" t="str">
        <f>IF(CAPTURA!BQ133="","",IF(AND(ISNUMBER(CAPTURA!BQ133),CAPTURA!BQ133&gt;=0,CAPTURA!BQ133&lt;=4),CAPTURA!BQ133*25,"⚠"))</f>
        <v/>
      </c>
      <c r="AM133" t="str">
        <f>IF(CAPTURA!BR133="","",IFERROR(IF(INDEX(CODIFICACION!$E$2:$E$500,MATCH("D5.18b|"&amp;CAPTURA!BR133,CODIFICACION!$F$2:$F$500,0))="sin dato","",INDEX(CODIFICACION!$E$2:$E$500,MATCH("D5.18b|"&amp;CAPTURA!BR133,CODIFICACION!$F$2:$F$500,0))),"⚠"))</f>
        <v/>
      </c>
      <c r="AN133" t="str">
        <f>IF(CAPTURA!BS133="","",IFERROR(IF(INDEX(CODIFICACION!$E$2:$E$500,MATCH("D5.19|"&amp;CAPTURA!BS133,CODIFICACION!$F$2:$F$500,0))="sin dato","",INDEX(CODIFICACION!$E$2:$E$500,MATCH("D5.19|"&amp;CAPTURA!BS133,CODIFICACION!$F$2:$F$500,0))),"⚠"))</f>
        <v/>
      </c>
      <c r="AO133" t="str">
        <f>IF(CAPTURA!BT133="","",MIN(100,ROUND((LEN(CAPTURA!BT133)-LEN(SUBSTITUTE(CAPTURA!BT133,";",""))+1)/7*100,1)))</f>
        <v/>
      </c>
      <c r="AP133" t="str">
        <f>IF(CAPTURA!BU133="","",IFERROR(IF(INDEX(CODIFICACION!$E$2:$E$500,MATCH("D5.20|"&amp;CAPTURA!BU133,CODIFICACION!$F$2:$F$500,0))="sin dato","",INDEX(CODIFICACION!$E$2:$E$500,MATCH("D5.20|"&amp;CAPTURA!BU133,CODIFICACION!$F$2:$F$500,0))),"⚠"))</f>
        <v/>
      </c>
      <c r="AQ133" t="str">
        <f>IF(CAPTURA!BV133="","",IFERROR(IF(INDEX(CODIFICACION!$E$2:$E$500,MATCH("D5.21|"&amp;CAPTURA!BV133,CODIFICACION!$F$2:$F$500,0))="sin dato","",INDEX(CODIFICACION!$E$2:$E$500,MATCH("D5.21|"&amp;CAPTURA!BV133,CODIFICACION!$F$2:$F$500,0))),"⚠"))</f>
        <v/>
      </c>
      <c r="AR133" t="str">
        <f>IF(CAPTURA!BW133="","",IFERROR(IF(INDEX(CODIFICACION!$E$2:$E$500,MATCH("D5.21a|"&amp;CAPTURA!BW133,CODIFICACION!$F$2:$F$500,0))="sin dato","",INDEX(CODIFICACION!$E$2:$E$500,MATCH("D5.21a|"&amp;CAPTURA!BW133,CODIFICACION!$F$2:$F$500,0))),"⚠"))</f>
        <v/>
      </c>
      <c r="AS133" t="str">
        <f>IF(CAPTURA!BX133="","",IFERROR(IF(INDEX(CODIFICACION!$E$2:$E$500,MATCH("D5.21b|"&amp;CAPTURA!BX133,CODIFICACION!$F$2:$F$500,0))="sin dato","",INDEX(CODIFICACION!$E$2:$E$500,MATCH("D5.21b|"&amp;CAPTURA!BX133,CODIFICACION!$F$2:$F$500,0))),"⚠"))</f>
        <v/>
      </c>
      <c r="AT133" t="str">
        <f>IF(CAPTURA!BY133="","",IFERROR(IF(INDEX(CODIFICACION!$E$2:$E$500,MATCH("D6.22|"&amp;CAPTURA!BY133,CODIFICACION!$F$2:$F$500,0))="sin dato","",INDEX(CODIFICACION!$E$2:$E$500,MATCH("D6.22|"&amp;CAPTURA!BY133,CODIFICACION!$F$2:$F$500,0))),"⚠"))</f>
        <v/>
      </c>
      <c r="AU133" t="str">
        <f>IF(CAPTURA!BZ133="","",IFERROR(IF(INDEX(CODIFICACION!$E$2:$E$500,MATCH("D6.22a|"&amp;CAPTURA!BZ133,CODIFICACION!$F$2:$F$500,0))="sin dato","",INDEX(CODIFICACION!$E$2:$E$500,MATCH("D6.22a|"&amp;CAPTURA!BZ133,CODIFICACION!$F$2:$F$500,0))),"⚠"))</f>
        <v/>
      </c>
      <c r="AV133" t="str">
        <f>IF(CAPTURA!CA133="","",IFERROR(IF(INDEX(CODIFICACION!$E$2:$E$500,MATCH("D6.22b|"&amp;CAPTURA!CA133,CODIFICACION!$F$2:$F$500,0))="sin dato","",INDEX(CODIFICACION!$E$2:$E$500,MATCH("D6.22b|"&amp;CAPTURA!CA133,CODIFICACION!$F$2:$F$500,0))),"⚠"))</f>
        <v/>
      </c>
      <c r="AW133" t="str">
        <f>IF(CAPTURA!CB133="","",IFERROR(IF(INDEX(CODIFICACION!$E$2:$E$500,MATCH("D6.23|"&amp;CAPTURA!CB133,CODIFICACION!$F$2:$F$500,0))="sin dato","",INDEX(CODIFICACION!$E$2:$E$500,MATCH("D6.23|"&amp;CAPTURA!CB133,CODIFICACION!$F$2:$F$500,0))),"⚠"))</f>
        <v/>
      </c>
      <c r="AX133" t="str">
        <f>IF(CAPTURA!CC133="","",IFERROR(IF(INDEX(CODIFICACION!$E$2:$E$500,MATCH("D6.24|"&amp;CAPTURA!CC133,CODIFICACION!$F$2:$F$500,0))="sin dato","",INDEX(CODIFICACION!$E$2:$E$500,MATCH("D6.24|"&amp;CAPTURA!CC133,CODIFICACION!$F$2:$F$500,0))),"⚠"))</f>
        <v/>
      </c>
      <c r="AY133" t="str">
        <f>IF(CAPTURA!CD133="","",IFERROR(IF(INDEX(CODIFICACION!$E$2:$E$500,MATCH("D6.25|"&amp;CAPTURA!CD133,CODIFICACION!$F$2:$F$500,0))="sin dato","",INDEX(CODIFICACION!$E$2:$E$500,MATCH("D6.25|"&amp;CAPTURA!CD133,CODIFICACION!$F$2:$F$500,0))),"⚠"))</f>
        <v/>
      </c>
      <c r="AZ133" t="str">
        <f>IF(CAPTURA!CE133="","",IFERROR(IF(INDEX(CODIFICACION!$E$2:$E$500,MATCH("D6.25a|"&amp;CAPTURA!CE133,CODIFICACION!$F$2:$F$500,0))="sin dato","",INDEX(CODIFICACION!$E$2:$E$500,MATCH("D6.25a|"&amp;CAPTURA!CE133,CODIFICACION!$F$2:$F$500,0))),"⚠"))</f>
        <v/>
      </c>
      <c r="BA133" t="str">
        <f>IF(CAPTURA!CF133="","",IFERROR(IF(INDEX(CODIFICACION!$E$2:$E$500,MATCH("D6.25b|"&amp;CAPTURA!CF133,CODIFICACION!$F$2:$F$500,0))="sin dato","",INDEX(CODIFICACION!$E$2:$E$500,MATCH("D6.25b|"&amp;CAPTURA!CF133,CODIFICACION!$F$2:$F$500,0))),"⚠"))</f>
        <v/>
      </c>
      <c r="BB133" t="str">
        <f>IF(CAPTURA!CG133="","",IFERROR(IF(INDEX(CODIFICACION!$E$2:$E$500,MATCH("D6.22c|"&amp;CAPTURA!CG133,CODIFICACION!$F$2:$F$500,0))="sin dato","",INDEX(CODIFICACION!$E$2:$E$500,MATCH("D6.22c|"&amp;CAPTURA!CG133,CODIFICACION!$F$2:$F$500,0))),"⚠"))</f>
        <v/>
      </c>
      <c r="BC133" t="str">
        <f>IF(CAPTURA!CH133="","",IFERROR(IF(INDEX(CODIFICACION!$E$2:$E$500,MATCH("D7.26|"&amp;CAPTURA!CH133,CODIFICACION!$F$2:$F$500,0))="sin dato","",INDEX(CODIFICACION!$E$2:$E$500,MATCH("D7.26|"&amp;CAPTURA!CH133,CODIFICACION!$F$2:$F$500,0))),"⚠"))</f>
        <v/>
      </c>
      <c r="BD133" t="str">
        <f>IF(CAPTURA!CI133="","",IFERROR(IF(INDEX(CODIFICACION!$E$2:$E$500,MATCH("D7.27|"&amp;CAPTURA!CI133,CODIFICACION!$F$2:$F$500,0))="sin dato","",INDEX(CODIFICACION!$E$2:$E$500,MATCH("D7.27|"&amp;CAPTURA!CI133,CODIFICACION!$F$2:$F$500,0))),"⚠"))</f>
        <v/>
      </c>
      <c r="BE133" t="str">
        <f>IF(CAPTURA!CJ133="","",IFERROR(IF(INDEX(CODIFICACION!$E$2:$E$500,MATCH("D7.28|"&amp;CAPTURA!CJ133,CODIFICACION!$F$2:$F$500,0))="sin dato","",INDEX(CODIFICACION!$E$2:$E$500,MATCH("D7.28|"&amp;CAPTURA!CJ133,CODIFICACION!$F$2:$F$500,0))),"⚠"))</f>
        <v/>
      </c>
      <c r="BF133" t="str">
        <f>IF(CAPTURA!CK133="","",IFERROR(IF(INDEX(CODIFICACION!$E$2:$E$500,MATCH("D7.28b|"&amp;CAPTURA!CK133,CODIFICACION!$F$2:$F$500,0))="sin dato","",INDEX(CODIFICACION!$E$2:$E$500,MATCH("D7.28b|"&amp;CAPTURA!CK133,CODIFICACION!$F$2:$F$500,0))),"⚠"))</f>
        <v/>
      </c>
      <c r="BG133" t="str">
        <f>IF(CAPTURA!CL133="","",MIN(100,ROUND((LEN(CAPTURA!CL133)-LEN(SUBSTITUTE(CAPTURA!CL133,";",""))+1)/8*100,1)))</f>
        <v/>
      </c>
      <c r="BH133" t="str">
        <f>IF(CAPTURA!CM133="","",IFERROR(IF(INDEX(CODIFICACION!$E$2:$E$500,MATCH("D7.26a|"&amp;CAPTURA!CM133,CODIFICACION!$F$2:$F$500,0))="sin dato","",INDEX(CODIFICACION!$E$2:$E$500,MATCH("D7.26a|"&amp;CAPTURA!CM133,CODIFICACION!$F$2:$F$500,0))),"⚠"))</f>
        <v/>
      </c>
      <c r="BI133" t="str">
        <f>IF(CAPTURA!CN133="","",IFERROR(IF(INDEX(CODIFICACION!$E$2:$E$500,MATCH("D7.26b|"&amp;CAPTURA!CN133,CODIFICACION!$F$2:$F$500,0))="sin dato","",INDEX(CODIFICACION!$E$2:$E$500,MATCH("D7.26b|"&amp;CAPTURA!CN133,CODIFICACION!$F$2:$F$500,0))),"⚠"))</f>
        <v/>
      </c>
      <c r="BJ133" t="str">
        <f>IF(CAPTURA!CO133="","",IF(AND(ISNUMBER(CAPTURA!CO133),CAPTURA!CO133&gt;=0,CAPTURA!CO133&lt;=4),CAPTURA!CO133*25,"⚠"))</f>
        <v/>
      </c>
      <c r="BK133" t="str">
        <f>IF(CAPTURA!CP133="","",IF(ISNUMBER(CAPTURA!CP133),MAX(0,MIN(100,CAPTURA!CP133)),"⚠"))</f>
        <v/>
      </c>
      <c r="BL133" t="str">
        <f>IF(CAPTURA!CQ133="","",IFERROR(IF(INDEX(CODIFICACION!$E$2:$E$500,MATCH("D8.31|"&amp;CAPTURA!CQ133,CODIFICACION!$F$2:$F$500,0))="sin dato","",INDEX(CODIFICACION!$E$2:$E$500,MATCH("D8.31|"&amp;CAPTURA!CQ133,CODIFICACION!$F$2:$F$500,0))),"⚠"))</f>
        <v/>
      </c>
      <c r="BM133" t="str">
        <f>IF(CAPTURA!CR133="","",IFERROR(IF(INDEX(CODIFICACION!$E$2:$E$500,MATCH("D8.32|"&amp;CAPTURA!CR133,CODIFICACION!$F$2:$F$500,0))="sin dato","",INDEX(CODIFICACION!$E$2:$E$500,MATCH("D8.32|"&amp;CAPTURA!CR133,CODIFICACION!$F$2:$F$500,0))),"⚠"))</f>
        <v/>
      </c>
      <c r="BN133" t="str">
        <f>IF(CAPTURA!CS133="","",IFERROR(IF(INDEX(CODIFICACION!$E$2:$E$500,MATCH("D9.33|"&amp;CAPTURA!CS133,CODIFICACION!$F$2:$F$500,0))="sin dato","",INDEX(CODIFICACION!$E$2:$E$500,MATCH("D9.33|"&amp;CAPTURA!CS133,CODIFICACION!$F$2:$F$500,0))),"⚠"))</f>
        <v/>
      </c>
      <c r="BO133" t="str">
        <f>IF(CAPTURA!CT133="","",IFERROR(IF(INDEX(CODIFICACION!$E$2:$E$500,MATCH("D9.34|"&amp;CAPTURA!CT133,CODIFICACION!$F$2:$F$500,0))="sin dato","",INDEX(CODIFICACION!$E$2:$E$500,MATCH("D9.34|"&amp;CAPTURA!CT133,CODIFICACION!$F$2:$F$500,0))),"⚠"))</f>
        <v/>
      </c>
      <c r="BP133" t="str">
        <f>IF(CAPTURA!CU133="","",IFERROR(IF(INDEX(CODIFICACION!$E$2:$E$500,MATCH("D9.35|"&amp;CAPTURA!CU133,CODIFICACION!$F$2:$F$500,0))="sin dato","",INDEX(CODIFICACION!$E$2:$E$500,MATCH("D9.35|"&amp;CAPTURA!CU133,CODIFICACION!$F$2:$F$500,0))),"⚠"))</f>
        <v/>
      </c>
      <c r="BQ133" t="str">
        <f>IF(CAPTURA!CV133="","",IFERROR(IF(INDEX(CODIFICACION!$E$2:$E$500,MATCH("D10.36|"&amp;CAPTURA!CV133,CODIFICACION!$F$2:$F$500,0))="sin dato","",INDEX(CODIFICACION!$E$2:$E$500,MATCH("D10.36|"&amp;CAPTURA!CV133,CODIFICACION!$F$2:$F$500,0))),"⚠"))</f>
        <v/>
      </c>
      <c r="BR133" t="str">
        <f>IF(CAPTURA!CW133="","",IFERROR(IF(INDEX(CODIFICACION!$E$2:$E$500,MATCH("D10.37|"&amp;CAPTURA!CW133,CODIFICACION!$F$2:$F$500,0))="sin dato","",INDEX(CODIFICACION!$E$2:$E$500,MATCH("D10.37|"&amp;CAPTURA!CW133,CODIFICACION!$F$2:$F$500,0))),"⚠"))</f>
        <v/>
      </c>
      <c r="BS133" t="str">
        <f>IF(CAPTURA!CX133="","",IFERROR(IF(INDEX(CODIFICACION!$E$2:$E$500,MATCH("D10.36a|"&amp;CAPTURA!CX133,CODIFICACION!$F$2:$F$500,0))="sin dato","",INDEX(CODIFICACION!$E$2:$E$500,MATCH("D10.36a|"&amp;CAPTURA!CX133,CODIFICACION!$F$2:$F$500,0))),"⚠"))</f>
        <v/>
      </c>
      <c r="BT133" t="str">
        <f>IF(CAPTURA!CY133="","",IF(ISNUMBER(SEARCH("Ninguno",CAPTURA!CY133)),0,MIN(100,ROUND((LEN(CAPTURA!CY133)-LEN(SUBSTITUTE(CAPTURA!CY133,";",""))+1)/6*100,1))))</f>
        <v/>
      </c>
      <c r="BU133" t="str">
        <f>IF(CAPTURA!DA133="","",IFERROR(IF(INDEX(CODIFICACION!$E$2:$E$500,MATCH("D11.39a|"&amp;CAPTURA!DA133,CODIFICACION!$F$2:$F$500,0))="sin dato","",INDEX(CODIFICACION!$E$2:$E$500,MATCH("D11.39a|"&amp;CAPTURA!DA133,CODIFICACION!$F$2:$F$500,0))),"⚠"))</f>
        <v/>
      </c>
      <c r="BV133" t="str">
        <f>IF(CAPTURA!DB133="","",IFERROR(IF(INDEX(CODIFICACION!$E$2:$E$500,MATCH("D12.42|"&amp;CAPTURA!DB133,CODIFICACION!$F$2:$F$500,0))="sin dato","",INDEX(CODIFICACION!$E$2:$E$500,MATCH("D12.42|"&amp;CAPTURA!DB133,CODIFICACION!$F$2:$F$500,0))),"⚠"))</f>
        <v/>
      </c>
      <c r="BW133" t="str">
        <f>IF(CAPTURA!DC133="","",IFERROR(IF(INDEX(CODIFICACION!$E$2:$E$500,MATCH("D13.45|"&amp;CAPTURA!DC133,CODIFICACION!$F$2:$F$500,0))="sin dato","",INDEX(CODIFICACION!$E$2:$E$500,MATCH("D13.45|"&amp;CAPTURA!DC133,CODIFICACION!$F$2:$F$500,0))),"⚠"))</f>
        <v/>
      </c>
      <c r="BX133" t="str">
        <f>IF(CAPTURA!DD133="","",IFERROR(IF(INDEX(CODIFICACION!$E$2:$E$500,MATCH("D14.51|"&amp;CAPTURA!DD133,CODIFICACION!$F$2:$F$500,0))="sin dato","",INDEX(CODIFICACION!$E$2:$E$500,MATCH("D14.51|"&amp;CAPTURA!DD133,CODIFICACION!$F$2:$F$500,0))),"⚠"))</f>
        <v/>
      </c>
      <c r="BY133" t="str">
        <f>IF(CAPTURA!DE133="","",IFERROR(IF(INDEX(CODIFICACION!$E$2:$E$500,MATCH("D15.58|"&amp;CAPTURA!DE133,CODIFICACION!$F$2:$F$500,0))="sin dato","",INDEX(CODIFICACION!$E$2:$E$500,MATCH("D15.58|"&amp;CAPTURA!DE133,CODIFICACION!$F$2:$F$500,0))),"⚠"))</f>
        <v/>
      </c>
      <c r="BZ133" t="str">
        <f>IF(CAPTURA!DF133="","",IFERROR(IF(INDEX(CODIFICACION!$E$2:$E$500,MATCH("PP1|"&amp;CAPTURA!DF133,CODIFICACION!$F$2:$F$500,0))="sin dato","",INDEX(CODIFICACION!$E$2:$E$500,MATCH("PP1|"&amp;CAPTURA!DF133,CODIFICACION!$F$2:$F$500,0))),"⚠"))</f>
        <v/>
      </c>
      <c r="CA133" t="str">
        <f>IF(CAPTURA!DG133="","",IFERROR(IF(INDEX(CODIFICACION!$E$2:$E$500,MATCH("PP2|"&amp;CAPTURA!DG133,CODIFICACION!$F$2:$F$500,0))="sin dato","",INDEX(CODIFICACION!$E$2:$E$500,MATCH("PP2|"&amp;CAPTURA!DG133,CODIFICACION!$F$2:$F$500,0))),"⚠"))</f>
        <v/>
      </c>
      <c r="CB133" t="str">
        <f t="shared" si="44"/>
        <v/>
      </c>
      <c r="CC133" t="str">
        <f t="shared" si="45"/>
        <v/>
      </c>
      <c r="CD133" t="str">
        <f t="shared" si="46"/>
        <v/>
      </c>
      <c r="CE133" t="str">
        <f t="shared" si="47"/>
        <v/>
      </c>
      <c r="CF133" t="str">
        <f t="shared" si="48"/>
        <v/>
      </c>
      <c r="CG133" t="str">
        <f t="shared" si="49"/>
        <v/>
      </c>
      <c r="CH133" t="str">
        <f t="shared" si="50"/>
        <v/>
      </c>
      <c r="CI133" t="str">
        <f t="shared" si="51"/>
        <v/>
      </c>
      <c r="CJ133" t="str">
        <f t="shared" si="52"/>
        <v/>
      </c>
      <c r="CK133" t="str">
        <f t="shared" si="53"/>
        <v/>
      </c>
      <c r="CL133" t="str">
        <f t="shared" si="54"/>
        <v/>
      </c>
    </row>
    <row r="134" spans="1:90" x14ac:dyDescent="0.3">
      <c r="A134">
        <f>CAPTURA!A134</f>
        <v>20602488927</v>
      </c>
      <c r="B134">
        <f>CAPTURA!C134</f>
        <v>0</v>
      </c>
      <c r="C134" t="str">
        <f>IF(CAPTURA!M134="","",ROUND((ISNUMBER(SEARCH("Alemania",CAPTURA!M134))+ISNUMBER(SEARCH("Bélgica",CAPTURA!M134))+ISNUMBER(SEARCH("Países Bajos",CAPTURA!M134))+ISNUMBER(SEARCH("Francia",CAPTURA!M134))+ISNUMBER(SEARCH("Italia",CAPTURA!M134))+ISNUMBER(SEARCH("España",CAPTURA!M134))+ISNUMBER(SEARCH("Suecia",CAPTURA!M134))+ISNUMBER(SEARCH("Dinamarca",CAPTURA!M134)))/((LEN(CAPTURA!M134)-LEN(SUBSTITUTE(CAPTURA!M134,";","")))+1)*100,1))</f>
        <v/>
      </c>
      <c r="D134" t="str">
        <f>IF(CAPTURA!AE134="","",IFERROR(IF(INDEX(CODIFICACION!$E$2:$E$500,MATCH("P8|"&amp;CAPTURA!AE134,CODIFICACION!$F$2:$F$500,0))="sin dato","",INDEX(CODIFICACION!$E$2:$E$500,MATCH("P8|"&amp;CAPTURA!AE134,CODIFICACION!$F$2:$F$500,0))),"⚠"))</f>
        <v/>
      </c>
      <c r="E134" t="str">
        <f>IF(CAPTURA!AG134="","",IFERROR(IF(INDEX(CODIFICACION!$E$2:$E$500,MATCH("P10|"&amp;CAPTURA!AG134,CODIFICACION!$F$2:$F$500,0))="sin dato","",INDEX(CODIFICACION!$E$2:$E$500,MATCH("P10|"&amp;CAPTURA!AG134,CODIFICACION!$F$2:$F$500,0))),"⚠"))</f>
        <v/>
      </c>
      <c r="F134" t="str">
        <f>IF(CAPTURA!AJ134="","",IFERROR(IF(INDEX(CODIFICACION!$E$2:$E$500,MATCH("P13|"&amp;CAPTURA!AJ134,CODIFICACION!$F$2:$F$500,0))="sin dato","",INDEX(CODIFICACION!$E$2:$E$500,MATCH("P13|"&amp;CAPTURA!AJ134,CODIFICACION!$F$2:$F$500,0))),"⚠"))</f>
        <v/>
      </c>
      <c r="G134" t="str">
        <f>IF(CAPTURA!AK134="","",IFERROR(IF(INDEX(CODIFICACION!$E$2:$E$500,MATCH("P14|"&amp;CAPTURA!AK134,CODIFICACION!$F$2:$F$500,0))="sin dato","",INDEX(CODIFICACION!$E$2:$E$500,MATCH("P14|"&amp;CAPTURA!AK134,CODIFICACION!$F$2:$F$500,0))),"⚠"))</f>
        <v/>
      </c>
      <c r="H134" t="str">
        <f>IF(CAPTURA!AL134="","",IFERROR(IF(INDEX(CODIFICACION!$E$2:$E$500,MATCH("D1.1|"&amp;CAPTURA!AL134,CODIFICACION!$F$2:$F$500,0))="sin dato","",INDEX(CODIFICACION!$E$2:$E$500,MATCH("D1.1|"&amp;CAPTURA!AL134,CODIFICACION!$F$2:$F$500,0))),"⚠"))</f>
        <v/>
      </c>
      <c r="I134" t="str">
        <f>IF(CAPTURA!AN134="","",IFERROR(IF(INDEX(CODIFICACION!$E$2:$E$500,MATCH("D1.3|"&amp;CAPTURA!AN134,CODIFICACION!$F$2:$F$500,0))="sin dato","",INDEX(CODIFICACION!$E$2:$E$500,MATCH("D1.3|"&amp;CAPTURA!AN134,CODIFICACION!$F$2:$F$500,0))),"⚠"))</f>
        <v/>
      </c>
      <c r="J134" t="str">
        <f>IF(CAPTURA!AO134="","",IFERROR(IF(INDEX(CODIFICACION!$E$2:$E$500,MATCH("D1.4|"&amp;CAPTURA!AO134,CODIFICACION!$F$2:$F$500,0))="sin dato","",INDEX(CODIFICACION!$E$2:$E$500,MATCH("D1.4|"&amp;CAPTURA!AO134,CODIFICACION!$F$2:$F$500,0))),"⚠"))</f>
        <v/>
      </c>
      <c r="K134" t="str">
        <f>IF(CAPTURA!AP134="","",IFERROR(IF(INDEX(CODIFICACION!$E$2:$E$500,MATCH("D1.3a|"&amp;CAPTURA!AP134,CODIFICACION!$F$2:$F$500,0))="sin dato","",INDEX(CODIFICACION!$E$2:$E$500,MATCH("D1.3a|"&amp;CAPTURA!AP134,CODIFICACION!$F$2:$F$500,0))),"⚠"))</f>
        <v/>
      </c>
      <c r="L134" t="str">
        <f>IF(CAPTURA!AQ134="","",IF(AND(ISNUMBER(CAPTURA!AQ134),CAPTURA!AQ134&gt;=0,CAPTURA!AQ134&lt;=4),CAPTURA!AQ134*25,"⚠"))</f>
        <v/>
      </c>
      <c r="M134" t="str">
        <f>IF(CAPTURA!AR134="","",IF(ISNUMBER(CAPTURA!AR134),MAX(0,MIN(100,CAPTURA!AR134)),"⚠"))</f>
        <v/>
      </c>
      <c r="N134" t="str">
        <f>IF(CAPTURA!AS134="","",IF(AND(ISNUMBER(CAPTURA!AS134),CAPTURA!AS134&gt;=0,CAPTURA!AS134&lt;=4),CAPTURA!AS134*25,"⚠"))</f>
        <v/>
      </c>
      <c r="O134" t="str">
        <f>IF(CAPTURA!AT134="","",IFERROR(IF(INDEX(CODIFICACION!$E$2:$E$500,MATCH("D2.8|"&amp;CAPTURA!AT134,CODIFICACION!$F$2:$F$500,0))="sin dato","",INDEX(CODIFICACION!$E$2:$E$500,MATCH("D2.8|"&amp;CAPTURA!AT134,CODIFICACION!$F$2:$F$500,0))),"⚠"))</f>
        <v/>
      </c>
      <c r="P134" t="str">
        <f>IF(CAPTURA!AU134="","",IFERROR(IF(INDEX(CODIFICACION!$E$2:$E$500,MATCH("D2.9|"&amp;CAPTURA!AU134,CODIFICACION!$F$2:$F$500,0))="sin dato","",INDEX(CODIFICACION!$E$2:$E$500,MATCH("D2.9|"&amp;CAPTURA!AU134,CODIFICACION!$F$2:$F$500,0))),"⚠"))</f>
        <v/>
      </c>
      <c r="Q134" t="str">
        <f>IF(CAPTURA!AV134="","",IFERROR(IF(INDEX(CODIFICACION!$E$2:$E$500,MATCH("D2.10|"&amp;CAPTURA!AV134,CODIFICACION!$F$2:$F$500,0))="sin dato","",INDEX(CODIFICACION!$E$2:$E$500,MATCH("D2.10|"&amp;CAPTURA!AV134,CODIFICACION!$F$2:$F$500,0))),"⚠"))</f>
        <v/>
      </c>
      <c r="R134" t="str">
        <f>IF(CAPTURA!AW134="","",IFERROR(IF(INDEX(CODIFICACION!$E$2:$E$500,MATCH("D2.5a|"&amp;CAPTURA!AW134,CODIFICACION!$F$2:$F$500,0))="sin dato","",INDEX(CODIFICACION!$E$2:$E$500,MATCH("D2.5a|"&amp;CAPTURA!AW134,CODIFICACION!$F$2:$F$500,0))),"⚠"))</f>
        <v/>
      </c>
      <c r="S134" t="str">
        <f>IF(CAPTURA!AX134="","",IFERROR(IF(INDEX(CODIFICACION!$E$2:$E$500,MATCH("D2.5b|"&amp;CAPTURA!AX134,CODIFICACION!$F$2:$F$500,0))="sin dato","",INDEX(CODIFICACION!$E$2:$E$500,MATCH("D2.5b|"&amp;CAPTURA!AX134,CODIFICACION!$F$2:$F$500,0))),"⚠"))</f>
        <v/>
      </c>
      <c r="T134" t="str">
        <f>IF(CAPTURA!AY134="","",IF(ISNUMBER(CAPTURA!AY134),MAX(0,MIN(100,CAPTURA!AY134)),"⚠"))</f>
        <v/>
      </c>
      <c r="U134" t="str">
        <f>IF(CAPTURA!AZ134="","",IFERROR(IF(INDEX(CODIFICACION!$E$2:$E$500,MATCH("D3.12|"&amp;CAPTURA!AZ134,CODIFICACION!$F$2:$F$500,0))="sin dato","",INDEX(CODIFICACION!$E$2:$E$500,MATCH("D3.12|"&amp;CAPTURA!AZ134,CODIFICACION!$F$2:$F$500,0))),"⚠"))</f>
        <v/>
      </c>
      <c r="V134" t="str">
        <f>IF(CAPTURA!BA134="","",IF(AND(ISNUMBER(CAPTURA!BA134),CAPTURA!BA134&gt;=0,CAPTURA!BA134&lt;=4),CAPTURA!BA134*25,"⚠"))</f>
        <v/>
      </c>
      <c r="W134" t="str">
        <f>IF(CAPTURA!BB134="","",IFERROR(IF(INDEX(CODIFICACION!$E$2:$E$500,MATCH("D3.14|"&amp;CAPTURA!BB134,CODIFICACION!$F$2:$F$500,0))="sin dato","",INDEX(CODIFICACION!$E$2:$E$500,MATCH("D3.14|"&amp;CAPTURA!BB134,CODIFICACION!$F$2:$F$500,0))),"⚠"))</f>
        <v/>
      </c>
      <c r="X134" t="str">
        <f>IF(CAPTURA!BC134="","",IFERROR(IF(INDEX(CODIFICACION!$E$2:$E$500,MATCH("D3.14a|"&amp;CAPTURA!BC134,CODIFICACION!$F$2:$F$500,0))="sin dato","",INDEX(CODIFICACION!$E$2:$E$500,MATCH("D3.14a|"&amp;CAPTURA!BC134,CODIFICACION!$F$2:$F$500,0))),"⚠"))</f>
        <v/>
      </c>
      <c r="Y134" t="str">
        <f>IF(CAPTURA!BD134="","",IFERROR(IF(INDEX(CODIFICACION!$E$2:$E$500,MATCH("D3.14b|"&amp;CAPTURA!BD134,CODIFICACION!$F$2:$F$500,0))="sin dato","",INDEX(CODIFICACION!$E$2:$E$500,MATCH("D3.14b|"&amp;CAPTURA!BD134,CODIFICACION!$F$2:$F$500,0))),"⚠"))</f>
        <v/>
      </c>
      <c r="Z134" t="str">
        <f>IF(CAPTURA!BE134="","",IFERROR(IF(INDEX(CODIFICACION!$E$2:$E$500,MATCH("D3.14c|"&amp;CAPTURA!BE134,CODIFICACION!$F$2:$F$500,0))="sin dato","",INDEX(CODIFICACION!$E$2:$E$500,MATCH("D3.14c|"&amp;CAPTURA!BE134,CODIFICACION!$F$2:$F$500,0))),"⚠"))</f>
        <v/>
      </c>
      <c r="AA134" t="str">
        <f>IF(CAPTURA!BF134="","",IFERROR(IF(INDEX(CODIFICACION!$E$2:$E$500,MATCH("D3.14d|"&amp;CAPTURA!BF134,CODIFICACION!$F$2:$F$500,0))="sin dato","",INDEX(CODIFICACION!$E$2:$E$500,MATCH("D3.14d|"&amp;CAPTURA!BF134,CODIFICACION!$F$2:$F$500,0))),"⚠"))</f>
        <v/>
      </c>
      <c r="AB134" t="str">
        <f>IF(CAPTURA!BG134="","",IFERROR(IF(INDEX(CODIFICACION!$E$2:$E$500,MATCH("D3.14e|"&amp;CAPTURA!BG134,CODIFICACION!$F$2:$F$500,0))="sin dato","",INDEX(CODIFICACION!$E$2:$E$500,MATCH("D3.14e|"&amp;CAPTURA!BG134,CODIFICACION!$F$2:$F$500,0))),"⚠"))</f>
        <v/>
      </c>
      <c r="AC134" t="str">
        <f>IF(CAPTURA!BH134="","",IFERROR(IF(INDEX(CODIFICACION!$E$2:$E$500,MATCH("D3.14f|"&amp;CAPTURA!BH134,CODIFICACION!$F$2:$F$500,0))="sin dato","",INDEX(CODIFICACION!$E$2:$E$500,MATCH("D3.14f|"&amp;CAPTURA!BH134,CODIFICACION!$F$2:$F$500,0))),"⚠"))</f>
        <v/>
      </c>
      <c r="AD134" t="str">
        <f>IF(CAPTURA!BI134="","",IFERROR(IF(INDEX(CODIFICACION!$E$2:$E$500,MATCH("D3.14g|"&amp;CAPTURA!BI134,CODIFICACION!$F$2:$F$500,0))="sin dato","",INDEX(CODIFICACION!$E$2:$E$500,MATCH("D3.14g|"&amp;CAPTURA!BI134,CODIFICACION!$F$2:$F$500,0))),"⚠"))</f>
        <v/>
      </c>
      <c r="AE134" t="str">
        <f>IF(CAPTURA!BJ134="","",IFERROR(IF(INDEX(CODIFICACION!$E$2:$E$500,MATCH("D3.14h|"&amp;CAPTURA!BJ134,CODIFICACION!$F$2:$F$500,0))="sin dato","",INDEX(CODIFICACION!$E$2:$E$500,MATCH("D3.14h|"&amp;CAPTURA!BJ134,CODIFICACION!$F$2:$F$500,0))),"⚠"))</f>
        <v/>
      </c>
      <c r="AF134" t="str">
        <f>IF(CAPTURA!BK134="","",IFERROR(IF(INDEX(CODIFICACION!$E$2:$E$500,MATCH("D3.14i|"&amp;CAPTURA!BK134,CODIFICACION!$F$2:$F$500,0))="sin dato","",INDEX(CODIFICACION!$E$2:$E$500,MATCH("D3.14i|"&amp;CAPTURA!BK134,CODIFICACION!$F$2:$F$500,0))),"⚠"))</f>
        <v/>
      </c>
      <c r="AG134" t="str">
        <f>IF(CAPTURA!BL134="","",IFERROR(IF(INDEX(CODIFICACION!$E$2:$E$500,MATCH("D4.15|"&amp;CAPTURA!BL134,CODIFICACION!$F$2:$F$500,0))="sin dato","",INDEX(CODIFICACION!$E$2:$E$500,MATCH("D4.15|"&amp;CAPTURA!BL134,CODIFICACION!$F$2:$F$500,0))),"⚠"))</f>
        <v/>
      </c>
      <c r="AH134" t="str">
        <f>IF(CAPTURA!BM134="","",IF(AND(ISNUMBER(CAPTURA!BM134),CAPTURA!BM134&gt;=0,CAPTURA!BM134&lt;=4),CAPTURA!BM134*25,"⚠"))</f>
        <v/>
      </c>
      <c r="AI134" t="str">
        <f>IF(CAPTURA!BN134="","",IFERROR(IF(INDEX(CODIFICACION!$E$2:$E$500,MATCH("D4.17|"&amp;CAPTURA!BN134,CODIFICACION!$F$2:$F$500,0))="sin dato","",INDEX(CODIFICACION!$E$2:$E$500,MATCH("D4.17|"&amp;CAPTURA!BN134,CODIFICACION!$F$2:$F$500,0))),"⚠"))</f>
        <v/>
      </c>
      <c r="AJ134" t="str">
        <f>IF(CAPTURA!BO134="","",IFERROR(IF(INDEX(CODIFICACION!$E$2:$E$500,MATCH("D4.15a|"&amp;CAPTURA!BO134,CODIFICACION!$F$2:$F$500,0))="sin dato","",INDEX(CODIFICACION!$E$2:$E$500,MATCH("D4.15a|"&amp;CAPTURA!BO134,CODIFICACION!$F$2:$F$500,0))),"⚠"))</f>
        <v/>
      </c>
      <c r="AK134" t="str">
        <f>IF(CAPTURA!BP134="","",IF(AND(ISNUMBER(CAPTURA!BP134),CAPTURA!BP134&gt;=0,CAPTURA!BP134&lt;=4),CAPTURA!BP134*25,"⚠"))</f>
        <v/>
      </c>
      <c r="AL134" t="str">
        <f>IF(CAPTURA!BQ134="","",IF(AND(ISNUMBER(CAPTURA!BQ134),CAPTURA!BQ134&gt;=0,CAPTURA!BQ134&lt;=4),CAPTURA!BQ134*25,"⚠"))</f>
        <v/>
      </c>
      <c r="AM134" t="str">
        <f>IF(CAPTURA!BR134="","",IFERROR(IF(INDEX(CODIFICACION!$E$2:$E$500,MATCH("D5.18b|"&amp;CAPTURA!BR134,CODIFICACION!$F$2:$F$500,0))="sin dato","",INDEX(CODIFICACION!$E$2:$E$500,MATCH("D5.18b|"&amp;CAPTURA!BR134,CODIFICACION!$F$2:$F$500,0))),"⚠"))</f>
        <v/>
      </c>
      <c r="AN134" t="str">
        <f>IF(CAPTURA!BS134="","",IFERROR(IF(INDEX(CODIFICACION!$E$2:$E$500,MATCH("D5.19|"&amp;CAPTURA!BS134,CODIFICACION!$F$2:$F$500,0))="sin dato","",INDEX(CODIFICACION!$E$2:$E$500,MATCH("D5.19|"&amp;CAPTURA!BS134,CODIFICACION!$F$2:$F$500,0))),"⚠"))</f>
        <v/>
      </c>
      <c r="AO134" t="str">
        <f>IF(CAPTURA!BT134="","",MIN(100,ROUND((LEN(CAPTURA!BT134)-LEN(SUBSTITUTE(CAPTURA!BT134,";",""))+1)/7*100,1)))</f>
        <v/>
      </c>
      <c r="AP134" t="str">
        <f>IF(CAPTURA!BU134="","",IFERROR(IF(INDEX(CODIFICACION!$E$2:$E$500,MATCH("D5.20|"&amp;CAPTURA!BU134,CODIFICACION!$F$2:$F$500,0))="sin dato","",INDEX(CODIFICACION!$E$2:$E$500,MATCH("D5.20|"&amp;CAPTURA!BU134,CODIFICACION!$F$2:$F$500,0))),"⚠"))</f>
        <v/>
      </c>
      <c r="AQ134" t="str">
        <f>IF(CAPTURA!BV134="","",IFERROR(IF(INDEX(CODIFICACION!$E$2:$E$500,MATCH("D5.21|"&amp;CAPTURA!BV134,CODIFICACION!$F$2:$F$500,0))="sin dato","",INDEX(CODIFICACION!$E$2:$E$500,MATCH("D5.21|"&amp;CAPTURA!BV134,CODIFICACION!$F$2:$F$500,0))),"⚠"))</f>
        <v/>
      </c>
      <c r="AR134" t="str">
        <f>IF(CAPTURA!BW134="","",IFERROR(IF(INDEX(CODIFICACION!$E$2:$E$500,MATCH("D5.21a|"&amp;CAPTURA!BW134,CODIFICACION!$F$2:$F$500,0))="sin dato","",INDEX(CODIFICACION!$E$2:$E$500,MATCH("D5.21a|"&amp;CAPTURA!BW134,CODIFICACION!$F$2:$F$500,0))),"⚠"))</f>
        <v/>
      </c>
      <c r="AS134" t="str">
        <f>IF(CAPTURA!BX134="","",IFERROR(IF(INDEX(CODIFICACION!$E$2:$E$500,MATCH("D5.21b|"&amp;CAPTURA!BX134,CODIFICACION!$F$2:$F$500,0))="sin dato","",INDEX(CODIFICACION!$E$2:$E$500,MATCH("D5.21b|"&amp;CAPTURA!BX134,CODIFICACION!$F$2:$F$500,0))),"⚠"))</f>
        <v/>
      </c>
      <c r="AT134" t="str">
        <f>IF(CAPTURA!BY134="","",IFERROR(IF(INDEX(CODIFICACION!$E$2:$E$500,MATCH("D6.22|"&amp;CAPTURA!BY134,CODIFICACION!$F$2:$F$500,0))="sin dato","",INDEX(CODIFICACION!$E$2:$E$500,MATCH("D6.22|"&amp;CAPTURA!BY134,CODIFICACION!$F$2:$F$500,0))),"⚠"))</f>
        <v/>
      </c>
      <c r="AU134" t="str">
        <f>IF(CAPTURA!BZ134="","",IFERROR(IF(INDEX(CODIFICACION!$E$2:$E$500,MATCH("D6.22a|"&amp;CAPTURA!BZ134,CODIFICACION!$F$2:$F$500,0))="sin dato","",INDEX(CODIFICACION!$E$2:$E$500,MATCH("D6.22a|"&amp;CAPTURA!BZ134,CODIFICACION!$F$2:$F$500,0))),"⚠"))</f>
        <v/>
      </c>
      <c r="AV134" t="str">
        <f>IF(CAPTURA!CA134="","",IFERROR(IF(INDEX(CODIFICACION!$E$2:$E$500,MATCH("D6.22b|"&amp;CAPTURA!CA134,CODIFICACION!$F$2:$F$500,0))="sin dato","",INDEX(CODIFICACION!$E$2:$E$500,MATCH("D6.22b|"&amp;CAPTURA!CA134,CODIFICACION!$F$2:$F$500,0))),"⚠"))</f>
        <v/>
      </c>
      <c r="AW134" t="str">
        <f>IF(CAPTURA!CB134="","",IFERROR(IF(INDEX(CODIFICACION!$E$2:$E$500,MATCH("D6.23|"&amp;CAPTURA!CB134,CODIFICACION!$F$2:$F$500,0))="sin dato","",INDEX(CODIFICACION!$E$2:$E$500,MATCH("D6.23|"&amp;CAPTURA!CB134,CODIFICACION!$F$2:$F$500,0))),"⚠"))</f>
        <v/>
      </c>
      <c r="AX134" t="str">
        <f>IF(CAPTURA!CC134="","",IFERROR(IF(INDEX(CODIFICACION!$E$2:$E$500,MATCH("D6.24|"&amp;CAPTURA!CC134,CODIFICACION!$F$2:$F$500,0))="sin dato","",INDEX(CODIFICACION!$E$2:$E$500,MATCH("D6.24|"&amp;CAPTURA!CC134,CODIFICACION!$F$2:$F$500,0))),"⚠"))</f>
        <v/>
      </c>
      <c r="AY134" t="str">
        <f>IF(CAPTURA!CD134="","",IFERROR(IF(INDEX(CODIFICACION!$E$2:$E$500,MATCH("D6.25|"&amp;CAPTURA!CD134,CODIFICACION!$F$2:$F$500,0))="sin dato","",INDEX(CODIFICACION!$E$2:$E$500,MATCH("D6.25|"&amp;CAPTURA!CD134,CODIFICACION!$F$2:$F$500,0))),"⚠"))</f>
        <v/>
      </c>
      <c r="AZ134" t="str">
        <f>IF(CAPTURA!CE134="","",IFERROR(IF(INDEX(CODIFICACION!$E$2:$E$500,MATCH("D6.25a|"&amp;CAPTURA!CE134,CODIFICACION!$F$2:$F$500,0))="sin dato","",INDEX(CODIFICACION!$E$2:$E$500,MATCH("D6.25a|"&amp;CAPTURA!CE134,CODIFICACION!$F$2:$F$500,0))),"⚠"))</f>
        <v/>
      </c>
      <c r="BA134" t="str">
        <f>IF(CAPTURA!CF134="","",IFERROR(IF(INDEX(CODIFICACION!$E$2:$E$500,MATCH("D6.25b|"&amp;CAPTURA!CF134,CODIFICACION!$F$2:$F$500,0))="sin dato","",INDEX(CODIFICACION!$E$2:$E$500,MATCH("D6.25b|"&amp;CAPTURA!CF134,CODIFICACION!$F$2:$F$500,0))),"⚠"))</f>
        <v/>
      </c>
      <c r="BB134" t="str">
        <f>IF(CAPTURA!CG134="","",IFERROR(IF(INDEX(CODIFICACION!$E$2:$E$500,MATCH("D6.22c|"&amp;CAPTURA!CG134,CODIFICACION!$F$2:$F$500,0))="sin dato","",INDEX(CODIFICACION!$E$2:$E$500,MATCH("D6.22c|"&amp;CAPTURA!CG134,CODIFICACION!$F$2:$F$500,0))),"⚠"))</f>
        <v/>
      </c>
      <c r="BC134" t="str">
        <f>IF(CAPTURA!CH134="","",IFERROR(IF(INDEX(CODIFICACION!$E$2:$E$500,MATCH("D7.26|"&amp;CAPTURA!CH134,CODIFICACION!$F$2:$F$500,0))="sin dato","",INDEX(CODIFICACION!$E$2:$E$500,MATCH("D7.26|"&amp;CAPTURA!CH134,CODIFICACION!$F$2:$F$500,0))),"⚠"))</f>
        <v/>
      </c>
      <c r="BD134" t="str">
        <f>IF(CAPTURA!CI134="","",IFERROR(IF(INDEX(CODIFICACION!$E$2:$E$500,MATCH("D7.27|"&amp;CAPTURA!CI134,CODIFICACION!$F$2:$F$500,0))="sin dato","",INDEX(CODIFICACION!$E$2:$E$500,MATCH("D7.27|"&amp;CAPTURA!CI134,CODIFICACION!$F$2:$F$500,0))),"⚠"))</f>
        <v/>
      </c>
      <c r="BE134" t="str">
        <f>IF(CAPTURA!CJ134="","",IFERROR(IF(INDEX(CODIFICACION!$E$2:$E$500,MATCH("D7.28|"&amp;CAPTURA!CJ134,CODIFICACION!$F$2:$F$500,0))="sin dato","",INDEX(CODIFICACION!$E$2:$E$500,MATCH("D7.28|"&amp;CAPTURA!CJ134,CODIFICACION!$F$2:$F$500,0))),"⚠"))</f>
        <v/>
      </c>
      <c r="BF134" t="str">
        <f>IF(CAPTURA!CK134="","",IFERROR(IF(INDEX(CODIFICACION!$E$2:$E$500,MATCH("D7.28b|"&amp;CAPTURA!CK134,CODIFICACION!$F$2:$F$500,0))="sin dato","",INDEX(CODIFICACION!$E$2:$E$500,MATCH("D7.28b|"&amp;CAPTURA!CK134,CODIFICACION!$F$2:$F$500,0))),"⚠"))</f>
        <v/>
      </c>
      <c r="BG134" t="str">
        <f>IF(CAPTURA!CL134="","",MIN(100,ROUND((LEN(CAPTURA!CL134)-LEN(SUBSTITUTE(CAPTURA!CL134,";",""))+1)/8*100,1)))</f>
        <v/>
      </c>
      <c r="BH134" t="str">
        <f>IF(CAPTURA!CM134="","",IFERROR(IF(INDEX(CODIFICACION!$E$2:$E$500,MATCH("D7.26a|"&amp;CAPTURA!CM134,CODIFICACION!$F$2:$F$500,0))="sin dato","",INDEX(CODIFICACION!$E$2:$E$500,MATCH("D7.26a|"&amp;CAPTURA!CM134,CODIFICACION!$F$2:$F$500,0))),"⚠"))</f>
        <v/>
      </c>
      <c r="BI134" t="str">
        <f>IF(CAPTURA!CN134="","",IFERROR(IF(INDEX(CODIFICACION!$E$2:$E$500,MATCH("D7.26b|"&amp;CAPTURA!CN134,CODIFICACION!$F$2:$F$500,0))="sin dato","",INDEX(CODIFICACION!$E$2:$E$500,MATCH("D7.26b|"&amp;CAPTURA!CN134,CODIFICACION!$F$2:$F$500,0))),"⚠"))</f>
        <v/>
      </c>
      <c r="BJ134" t="str">
        <f>IF(CAPTURA!CO134="","",IF(AND(ISNUMBER(CAPTURA!CO134),CAPTURA!CO134&gt;=0,CAPTURA!CO134&lt;=4),CAPTURA!CO134*25,"⚠"))</f>
        <v/>
      </c>
      <c r="BK134" t="str">
        <f>IF(CAPTURA!CP134="","",IF(ISNUMBER(CAPTURA!CP134),MAX(0,MIN(100,CAPTURA!CP134)),"⚠"))</f>
        <v/>
      </c>
      <c r="BL134" t="str">
        <f>IF(CAPTURA!CQ134="","",IFERROR(IF(INDEX(CODIFICACION!$E$2:$E$500,MATCH("D8.31|"&amp;CAPTURA!CQ134,CODIFICACION!$F$2:$F$500,0))="sin dato","",INDEX(CODIFICACION!$E$2:$E$500,MATCH("D8.31|"&amp;CAPTURA!CQ134,CODIFICACION!$F$2:$F$500,0))),"⚠"))</f>
        <v/>
      </c>
      <c r="BM134" t="str">
        <f>IF(CAPTURA!CR134="","",IFERROR(IF(INDEX(CODIFICACION!$E$2:$E$500,MATCH("D8.32|"&amp;CAPTURA!CR134,CODIFICACION!$F$2:$F$500,0))="sin dato","",INDEX(CODIFICACION!$E$2:$E$500,MATCH("D8.32|"&amp;CAPTURA!CR134,CODIFICACION!$F$2:$F$500,0))),"⚠"))</f>
        <v/>
      </c>
      <c r="BN134" t="str">
        <f>IF(CAPTURA!CS134="","",IFERROR(IF(INDEX(CODIFICACION!$E$2:$E$500,MATCH("D9.33|"&amp;CAPTURA!CS134,CODIFICACION!$F$2:$F$500,0))="sin dato","",INDEX(CODIFICACION!$E$2:$E$500,MATCH("D9.33|"&amp;CAPTURA!CS134,CODIFICACION!$F$2:$F$500,0))),"⚠"))</f>
        <v/>
      </c>
      <c r="BO134" t="str">
        <f>IF(CAPTURA!CT134="","",IFERROR(IF(INDEX(CODIFICACION!$E$2:$E$500,MATCH("D9.34|"&amp;CAPTURA!CT134,CODIFICACION!$F$2:$F$500,0))="sin dato","",INDEX(CODIFICACION!$E$2:$E$500,MATCH("D9.34|"&amp;CAPTURA!CT134,CODIFICACION!$F$2:$F$500,0))),"⚠"))</f>
        <v/>
      </c>
      <c r="BP134" t="str">
        <f>IF(CAPTURA!CU134="","",IFERROR(IF(INDEX(CODIFICACION!$E$2:$E$500,MATCH("D9.35|"&amp;CAPTURA!CU134,CODIFICACION!$F$2:$F$500,0))="sin dato","",INDEX(CODIFICACION!$E$2:$E$500,MATCH("D9.35|"&amp;CAPTURA!CU134,CODIFICACION!$F$2:$F$500,0))),"⚠"))</f>
        <v/>
      </c>
      <c r="BQ134" t="str">
        <f>IF(CAPTURA!CV134="","",IFERROR(IF(INDEX(CODIFICACION!$E$2:$E$500,MATCH("D10.36|"&amp;CAPTURA!CV134,CODIFICACION!$F$2:$F$500,0))="sin dato","",INDEX(CODIFICACION!$E$2:$E$500,MATCH("D10.36|"&amp;CAPTURA!CV134,CODIFICACION!$F$2:$F$500,0))),"⚠"))</f>
        <v/>
      </c>
      <c r="BR134" t="str">
        <f>IF(CAPTURA!CW134="","",IFERROR(IF(INDEX(CODIFICACION!$E$2:$E$500,MATCH("D10.37|"&amp;CAPTURA!CW134,CODIFICACION!$F$2:$F$500,0))="sin dato","",INDEX(CODIFICACION!$E$2:$E$500,MATCH("D10.37|"&amp;CAPTURA!CW134,CODIFICACION!$F$2:$F$500,0))),"⚠"))</f>
        <v/>
      </c>
      <c r="BS134" t="str">
        <f>IF(CAPTURA!CX134="","",IFERROR(IF(INDEX(CODIFICACION!$E$2:$E$500,MATCH("D10.36a|"&amp;CAPTURA!CX134,CODIFICACION!$F$2:$F$500,0))="sin dato","",INDEX(CODIFICACION!$E$2:$E$500,MATCH("D10.36a|"&amp;CAPTURA!CX134,CODIFICACION!$F$2:$F$500,0))),"⚠"))</f>
        <v/>
      </c>
      <c r="BT134" t="str">
        <f>IF(CAPTURA!CY134="","",IF(ISNUMBER(SEARCH("Ninguno",CAPTURA!CY134)),0,MIN(100,ROUND((LEN(CAPTURA!CY134)-LEN(SUBSTITUTE(CAPTURA!CY134,";",""))+1)/6*100,1))))</f>
        <v/>
      </c>
      <c r="BU134" t="str">
        <f>IF(CAPTURA!DA134="","",IFERROR(IF(INDEX(CODIFICACION!$E$2:$E$500,MATCH("D11.39a|"&amp;CAPTURA!DA134,CODIFICACION!$F$2:$F$500,0))="sin dato","",INDEX(CODIFICACION!$E$2:$E$500,MATCH("D11.39a|"&amp;CAPTURA!DA134,CODIFICACION!$F$2:$F$500,0))),"⚠"))</f>
        <v/>
      </c>
      <c r="BV134" t="str">
        <f>IF(CAPTURA!DB134="","",IFERROR(IF(INDEX(CODIFICACION!$E$2:$E$500,MATCH("D12.42|"&amp;CAPTURA!DB134,CODIFICACION!$F$2:$F$500,0))="sin dato","",INDEX(CODIFICACION!$E$2:$E$500,MATCH("D12.42|"&amp;CAPTURA!DB134,CODIFICACION!$F$2:$F$500,0))),"⚠"))</f>
        <v/>
      </c>
      <c r="BW134" t="str">
        <f>IF(CAPTURA!DC134="","",IFERROR(IF(INDEX(CODIFICACION!$E$2:$E$500,MATCH("D13.45|"&amp;CAPTURA!DC134,CODIFICACION!$F$2:$F$500,0))="sin dato","",INDEX(CODIFICACION!$E$2:$E$500,MATCH("D13.45|"&amp;CAPTURA!DC134,CODIFICACION!$F$2:$F$500,0))),"⚠"))</f>
        <v/>
      </c>
      <c r="BX134" t="str">
        <f>IF(CAPTURA!DD134="","",IFERROR(IF(INDEX(CODIFICACION!$E$2:$E$500,MATCH("D14.51|"&amp;CAPTURA!DD134,CODIFICACION!$F$2:$F$500,0))="sin dato","",INDEX(CODIFICACION!$E$2:$E$500,MATCH("D14.51|"&amp;CAPTURA!DD134,CODIFICACION!$F$2:$F$500,0))),"⚠"))</f>
        <v/>
      </c>
      <c r="BY134" t="str">
        <f>IF(CAPTURA!DE134="","",IFERROR(IF(INDEX(CODIFICACION!$E$2:$E$500,MATCH("D15.58|"&amp;CAPTURA!DE134,CODIFICACION!$F$2:$F$500,0))="sin dato","",INDEX(CODIFICACION!$E$2:$E$500,MATCH("D15.58|"&amp;CAPTURA!DE134,CODIFICACION!$F$2:$F$500,0))),"⚠"))</f>
        <v/>
      </c>
      <c r="BZ134" t="str">
        <f>IF(CAPTURA!DF134="","",IFERROR(IF(INDEX(CODIFICACION!$E$2:$E$500,MATCH("PP1|"&amp;CAPTURA!DF134,CODIFICACION!$F$2:$F$500,0))="sin dato","",INDEX(CODIFICACION!$E$2:$E$500,MATCH("PP1|"&amp;CAPTURA!DF134,CODIFICACION!$F$2:$F$500,0))),"⚠"))</f>
        <v/>
      </c>
      <c r="CA134" t="str">
        <f>IF(CAPTURA!DG134="","",IFERROR(IF(INDEX(CODIFICACION!$E$2:$E$500,MATCH("PP2|"&amp;CAPTURA!DG134,CODIFICACION!$F$2:$F$500,0))="sin dato","",INDEX(CODIFICACION!$E$2:$E$500,MATCH("PP2|"&amp;CAPTURA!DG134,CODIFICACION!$F$2:$F$500,0))),"⚠"))</f>
        <v/>
      </c>
      <c r="CB134" t="str">
        <f t="shared" si="44"/>
        <v/>
      </c>
      <c r="CC134" t="str">
        <f t="shared" si="45"/>
        <v/>
      </c>
      <c r="CD134" t="str">
        <f t="shared" si="46"/>
        <v/>
      </c>
      <c r="CE134" t="str">
        <f t="shared" si="47"/>
        <v/>
      </c>
      <c r="CF134" t="str">
        <f t="shared" si="48"/>
        <v/>
      </c>
      <c r="CG134" t="str">
        <f t="shared" si="49"/>
        <v/>
      </c>
      <c r="CH134" t="str">
        <f t="shared" si="50"/>
        <v/>
      </c>
      <c r="CI134" t="str">
        <f t="shared" si="51"/>
        <v/>
      </c>
      <c r="CJ134" t="str">
        <f t="shared" si="52"/>
        <v/>
      </c>
      <c r="CK134" t="str">
        <f t="shared" si="53"/>
        <v/>
      </c>
      <c r="CL134" t="str">
        <f t="shared" si="54"/>
        <v/>
      </c>
    </row>
    <row r="135" spans="1:90" x14ac:dyDescent="0.3">
      <c r="A135">
        <f>CAPTURA!A135</f>
        <v>20602650643</v>
      </c>
      <c r="B135">
        <f>CAPTURA!C135</f>
        <v>0</v>
      </c>
      <c r="C135" t="str">
        <f>IF(CAPTURA!M135="","",ROUND((ISNUMBER(SEARCH("Alemania",CAPTURA!M135))+ISNUMBER(SEARCH("Bélgica",CAPTURA!M135))+ISNUMBER(SEARCH("Países Bajos",CAPTURA!M135))+ISNUMBER(SEARCH("Francia",CAPTURA!M135))+ISNUMBER(SEARCH("Italia",CAPTURA!M135))+ISNUMBER(SEARCH("España",CAPTURA!M135))+ISNUMBER(SEARCH("Suecia",CAPTURA!M135))+ISNUMBER(SEARCH("Dinamarca",CAPTURA!M135)))/((LEN(CAPTURA!M135)-LEN(SUBSTITUTE(CAPTURA!M135,";","")))+1)*100,1))</f>
        <v/>
      </c>
      <c r="D135" t="str">
        <f>IF(CAPTURA!AE135="","",IFERROR(IF(INDEX(CODIFICACION!$E$2:$E$500,MATCH("P8|"&amp;CAPTURA!AE135,CODIFICACION!$F$2:$F$500,0))="sin dato","",INDEX(CODIFICACION!$E$2:$E$500,MATCH("P8|"&amp;CAPTURA!AE135,CODIFICACION!$F$2:$F$500,0))),"⚠"))</f>
        <v/>
      </c>
      <c r="E135" t="str">
        <f>IF(CAPTURA!AG135="","",IFERROR(IF(INDEX(CODIFICACION!$E$2:$E$500,MATCH("P10|"&amp;CAPTURA!AG135,CODIFICACION!$F$2:$F$500,0))="sin dato","",INDEX(CODIFICACION!$E$2:$E$500,MATCH("P10|"&amp;CAPTURA!AG135,CODIFICACION!$F$2:$F$500,0))),"⚠"))</f>
        <v/>
      </c>
      <c r="F135" t="str">
        <f>IF(CAPTURA!AJ135="","",IFERROR(IF(INDEX(CODIFICACION!$E$2:$E$500,MATCH("P13|"&amp;CAPTURA!AJ135,CODIFICACION!$F$2:$F$500,0))="sin dato","",INDEX(CODIFICACION!$E$2:$E$500,MATCH("P13|"&amp;CAPTURA!AJ135,CODIFICACION!$F$2:$F$500,0))),"⚠"))</f>
        <v/>
      </c>
      <c r="G135" t="str">
        <f>IF(CAPTURA!AK135="","",IFERROR(IF(INDEX(CODIFICACION!$E$2:$E$500,MATCH("P14|"&amp;CAPTURA!AK135,CODIFICACION!$F$2:$F$500,0))="sin dato","",INDEX(CODIFICACION!$E$2:$E$500,MATCH("P14|"&amp;CAPTURA!AK135,CODIFICACION!$F$2:$F$500,0))),"⚠"))</f>
        <v/>
      </c>
      <c r="H135" t="str">
        <f>IF(CAPTURA!AL135="","",IFERROR(IF(INDEX(CODIFICACION!$E$2:$E$500,MATCH("D1.1|"&amp;CAPTURA!AL135,CODIFICACION!$F$2:$F$500,0))="sin dato","",INDEX(CODIFICACION!$E$2:$E$500,MATCH("D1.1|"&amp;CAPTURA!AL135,CODIFICACION!$F$2:$F$500,0))),"⚠"))</f>
        <v/>
      </c>
      <c r="I135" t="str">
        <f>IF(CAPTURA!AN135="","",IFERROR(IF(INDEX(CODIFICACION!$E$2:$E$500,MATCH("D1.3|"&amp;CAPTURA!AN135,CODIFICACION!$F$2:$F$500,0))="sin dato","",INDEX(CODIFICACION!$E$2:$E$500,MATCH("D1.3|"&amp;CAPTURA!AN135,CODIFICACION!$F$2:$F$500,0))),"⚠"))</f>
        <v/>
      </c>
      <c r="J135" t="str">
        <f>IF(CAPTURA!AO135="","",IFERROR(IF(INDEX(CODIFICACION!$E$2:$E$500,MATCH("D1.4|"&amp;CAPTURA!AO135,CODIFICACION!$F$2:$F$500,0))="sin dato","",INDEX(CODIFICACION!$E$2:$E$500,MATCH("D1.4|"&amp;CAPTURA!AO135,CODIFICACION!$F$2:$F$500,0))),"⚠"))</f>
        <v/>
      </c>
      <c r="K135" t="str">
        <f>IF(CAPTURA!AP135="","",IFERROR(IF(INDEX(CODIFICACION!$E$2:$E$500,MATCH("D1.3a|"&amp;CAPTURA!AP135,CODIFICACION!$F$2:$F$500,0))="sin dato","",INDEX(CODIFICACION!$E$2:$E$500,MATCH("D1.3a|"&amp;CAPTURA!AP135,CODIFICACION!$F$2:$F$500,0))),"⚠"))</f>
        <v/>
      </c>
      <c r="L135" t="str">
        <f>IF(CAPTURA!AQ135="","",IF(AND(ISNUMBER(CAPTURA!AQ135),CAPTURA!AQ135&gt;=0,CAPTURA!AQ135&lt;=4),CAPTURA!AQ135*25,"⚠"))</f>
        <v/>
      </c>
      <c r="M135" t="str">
        <f>IF(CAPTURA!AR135="","",IF(ISNUMBER(CAPTURA!AR135),MAX(0,MIN(100,CAPTURA!AR135)),"⚠"))</f>
        <v/>
      </c>
      <c r="N135" t="str">
        <f>IF(CAPTURA!AS135="","",IF(AND(ISNUMBER(CAPTURA!AS135),CAPTURA!AS135&gt;=0,CAPTURA!AS135&lt;=4),CAPTURA!AS135*25,"⚠"))</f>
        <v/>
      </c>
      <c r="O135" t="str">
        <f>IF(CAPTURA!AT135="","",IFERROR(IF(INDEX(CODIFICACION!$E$2:$E$500,MATCH("D2.8|"&amp;CAPTURA!AT135,CODIFICACION!$F$2:$F$500,0))="sin dato","",INDEX(CODIFICACION!$E$2:$E$500,MATCH("D2.8|"&amp;CAPTURA!AT135,CODIFICACION!$F$2:$F$500,0))),"⚠"))</f>
        <v/>
      </c>
      <c r="P135" t="str">
        <f>IF(CAPTURA!AU135="","",IFERROR(IF(INDEX(CODIFICACION!$E$2:$E$500,MATCH("D2.9|"&amp;CAPTURA!AU135,CODIFICACION!$F$2:$F$500,0))="sin dato","",INDEX(CODIFICACION!$E$2:$E$500,MATCH("D2.9|"&amp;CAPTURA!AU135,CODIFICACION!$F$2:$F$500,0))),"⚠"))</f>
        <v/>
      </c>
      <c r="Q135" t="str">
        <f>IF(CAPTURA!AV135="","",IFERROR(IF(INDEX(CODIFICACION!$E$2:$E$500,MATCH("D2.10|"&amp;CAPTURA!AV135,CODIFICACION!$F$2:$F$500,0))="sin dato","",INDEX(CODIFICACION!$E$2:$E$500,MATCH("D2.10|"&amp;CAPTURA!AV135,CODIFICACION!$F$2:$F$500,0))),"⚠"))</f>
        <v/>
      </c>
      <c r="R135" t="str">
        <f>IF(CAPTURA!AW135="","",IFERROR(IF(INDEX(CODIFICACION!$E$2:$E$500,MATCH("D2.5a|"&amp;CAPTURA!AW135,CODIFICACION!$F$2:$F$500,0))="sin dato","",INDEX(CODIFICACION!$E$2:$E$500,MATCH("D2.5a|"&amp;CAPTURA!AW135,CODIFICACION!$F$2:$F$500,0))),"⚠"))</f>
        <v/>
      </c>
      <c r="S135" t="str">
        <f>IF(CAPTURA!AX135="","",IFERROR(IF(INDEX(CODIFICACION!$E$2:$E$500,MATCH("D2.5b|"&amp;CAPTURA!AX135,CODIFICACION!$F$2:$F$500,0))="sin dato","",INDEX(CODIFICACION!$E$2:$E$500,MATCH("D2.5b|"&amp;CAPTURA!AX135,CODIFICACION!$F$2:$F$500,0))),"⚠"))</f>
        <v/>
      </c>
      <c r="T135" t="str">
        <f>IF(CAPTURA!AY135="","",IF(ISNUMBER(CAPTURA!AY135),MAX(0,MIN(100,CAPTURA!AY135)),"⚠"))</f>
        <v/>
      </c>
      <c r="U135" t="str">
        <f>IF(CAPTURA!AZ135="","",IFERROR(IF(INDEX(CODIFICACION!$E$2:$E$500,MATCH("D3.12|"&amp;CAPTURA!AZ135,CODIFICACION!$F$2:$F$500,0))="sin dato","",INDEX(CODIFICACION!$E$2:$E$500,MATCH("D3.12|"&amp;CAPTURA!AZ135,CODIFICACION!$F$2:$F$500,0))),"⚠"))</f>
        <v/>
      </c>
      <c r="V135" t="str">
        <f>IF(CAPTURA!BA135="","",IF(AND(ISNUMBER(CAPTURA!BA135),CAPTURA!BA135&gt;=0,CAPTURA!BA135&lt;=4),CAPTURA!BA135*25,"⚠"))</f>
        <v/>
      </c>
      <c r="W135" t="str">
        <f>IF(CAPTURA!BB135="","",IFERROR(IF(INDEX(CODIFICACION!$E$2:$E$500,MATCH("D3.14|"&amp;CAPTURA!BB135,CODIFICACION!$F$2:$F$500,0))="sin dato","",INDEX(CODIFICACION!$E$2:$E$500,MATCH("D3.14|"&amp;CAPTURA!BB135,CODIFICACION!$F$2:$F$500,0))),"⚠"))</f>
        <v/>
      </c>
      <c r="X135" t="str">
        <f>IF(CAPTURA!BC135="","",IFERROR(IF(INDEX(CODIFICACION!$E$2:$E$500,MATCH("D3.14a|"&amp;CAPTURA!BC135,CODIFICACION!$F$2:$F$500,0))="sin dato","",INDEX(CODIFICACION!$E$2:$E$500,MATCH("D3.14a|"&amp;CAPTURA!BC135,CODIFICACION!$F$2:$F$500,0))),"⚠"))</f>
        <v/>
      </c>
      <c r="Y135" t="str">
        <f>IF(CAPTURA!BD135="","",IFERROR(IF(INDEX(CODIFICACION!$E$2:$E$500,MATCH("D3.14b|"&amp;CAPTURA!BD135,CODIFICACION!$F$2:$F$500,0))="sin dato","",INDEX(CODIFICACION!$E$2:$E$500,MATCH("D3.14b|"&amp;CAPTURA!BD135,CODIFICACION!$F$2:$F$500,0))),"⚠"))</f>
        <v/>
      </c>
      <c r="Z135" t="str">
        <f>IF(CAPTURA!BE135="","",IFERROR(IF(INDEX(CODIFICACION!$E$2:$E$500,MATCH("D3.14c|"&amp;CAPTURA!BE135,CODIFICACION!$F$2:$F$500,0))="sin dato","",INDEX(CODIFICACION!$E$2:$E$500,MATCH("D3.14c|"&amp;CAPTURA!BE135,CODIFICACION!$F$2:$F$500,0))),"⚠"))</f>
        <v/>
      </c>
      <c r="AA135" t="str">
        <f>IF(CAPTURA!BF135="","",IFERROR(IF(INDEX(CODIFICACION!$E$2:$E$500,MATCH("D3.14d|"&amp;CAPTURA!BF135,CODIFICACION!$F$2:$F$500,0))="sin dato","",INDEX(CODIFICACION!$E$2:$E$500,MATCH("D3.14d|"&amp;CAPTURA!BF135,CODIFICACION!$F$2:$F$500,0))),"⚠"))</f>
        <v/>
      </c>
      <c r="AB135" t="str">
        <f>IF(CAPTURA!BG135="","",IFERROR(IF(INDEX(CODIFICACION!$E$2:$E$500,MATCH("D3.14e|"&amp;CAPTURA!BG135,CODIFICACION!$F$2:$F$500,0))="sin dato","",INDEX(CODIFICACION!$E$2:$E$500,MATCH("D3.14e|"&amp;CAPTURA!BG135,CODIFICACION!$F$2:$F$500,0))),"⚠"))</f>
        <v/>
      </c>
      <c r="AC135" t="str">
        <f>IF(CAPTURA!BH135="","",IFERROR(IF(INDEX(CODIFICACION!$E$2:$E$500,MATCH("D3.14f|"&amp;CAPTURA!BH135,CODIFICACION!$F$2:$F$500,0))="sin dato","",INDEX(CODIFICACION!$E$2:$E$500,MATCH("D3.14f|"&amp;CAPTURA!BH135,CODIFICACION!$F$2:$F$500,0))),"⚠"))</f>
        <v/>
      </c>
      <c r="AD135" t="str">
        <f>IF(CAPTURA!BI135="","",IFERROR(IF(INDEX(CODIFICACION!$E$2:$E$500,MATCH("D3.14g|"&amp;CAPTURA!BI135,CODIFICACION!$F$2:$F$500,0))="sin dato","",INDEX(CODIFICACION!$E$2:$E$500,MATCH("D3.14g|"&amp;CAPTURA!BI135,CODIFICACION!$F$2:$F$500,0))),"⚠"))</f>
        <v/>
      </c>
      <c r="AE135" t="str">
        <f>IF(CAPTURA!BJ135="","",IFERROR(IF(INDEX(CODIFICACION!$E$2:$E$500,MATCH("D3.14h|"&amp;CAPTURA!BJ135,CODIFICACION!$F$2:$F$500,0))="sin dato","",INDEX(CODIFICACION!$E$2:$E$500,MATCH("D3.14h|"&amp;CAPTURA!BJ135,CODIFICACION!$F$2:$F$500,0))),"⚠"))</f>
        <v/>
      </c>
      <c r="AF135" t="str">
        <f>IF(CAPTURA!BK135="","",IFERROR(IF(INDEX(CODIFICACION!$E$2:$E$500,MATCH("D3.14i|"&amp;CAPTURA!BK135,CODIFICACION!$F$2:$F$500,0))="sin dato","",INDEX(CODIFICACION!$E$2:$E$500,MATCH("D3.14i|"&amp;CAPTURA!BK135,CODIFICACION!$F$2:$F$500,0))),"⚠"))</f>
        <v/>
      </c>
      <c r="AG135" t="str">
        <f>IF(CAPTURA!BL135="","",IFERROR(IF(INDEX(CODIFICACION!$E$2:$E$500,MATCH("D4.15|"&amp;CAPTURA!BL135,CODIFICACION!$F$2:$F$500,0))="sin dato","",INDEX(CODIFICACION!$E$2:$E$500,MATCH("D4.15|"&amp;CAPTURA!BL135,CODIFICACION!$F$2:$F$500,0))),"⚠"))</f>
        <v/>
      </c>
      <c r="AH135" t="str">
        <f>IF(CAPTURA!BM135="","",IF(AND(ISNUMBER(CAPTURA!BM135),CAPTURA!BM135&gt;=0,CAPTURA!BM135&lt;=4),CAPTURA!BM135*25,"⚠"))</f>
        <v/>
      </c>
      <c r="AI135" t="str">
        <f>IF(CAPTURA!BN135="","",IFERROR(IF(INDEX(CODIFICACION!$E$2:$E$500,MATCH("D4.17|"&amp;CAPTURA!BN135,CODIFICACION!$F$2:$F$500,0))="sin dato","",INDEX(CODIFICACION!$E$2:$E$500,MATCH("D4.17|"&amp;CAPTURA!BN135,CODIFICACION!$F$2:$F$500,0))),"⚠"))</f>
        <v/>
      </c>
      <c r="AJ135" t="str">
        <f>IF(CAPTURA!BO135="","",IFERROR(IF(INDEX(CODIFICACION!$E$2:$E$500,MATCH("D4.15a|"&amp;CAPTURA!BO135,CODIFICACION!$F$2:$F$500,0))="sin dato","",INDEX(CODIFICACION!$E$2:$E$500,MATCH("D4.15a|"&amp;CAPTURA!BO135,CODIFICACION!$F$2:$F$500,0))),"⚠"))</f>
        <v/>
      </c>
      <c r="AK135" t="str">
        <f>IF(CAPTURA!BP135="","",IF(AND(ISNUMBER(CAPTURA!BP135),CAPTURA!BP135&gt;=0,CAPTURA!BP135&lt;=4),CAPTURA!BP135*25,"⚠"))</f>
        <v/>
      </c>
      <c r="AL135" t="str">
        <f>IF(CAPTURA!BQ135="","",IF(AND(ISNUMBER(CAPTURA!BQ135),CAPTURA!BQ135&gt;=0,CAPTURA!BQ135&lt;=4),CAPTURA!BQ135*25,"⚠"))</f>
        <v/>
      </c>
      <c r="AM135" t="str">
        <f>IF(CAPTURA!BR135="","",IFERROR(IF(INDEX(CODIFICACION!$E$2:$E$500,MATCH("D5.18b|"&amp;CAPTURA!BR135,CODIFICACION!$F$2:$F$500,0))="sin dato","",INDEX(CODIFICACION!$E$2:$E$500,MATCH("D5.18b|"&amp;CAPTURA!BR135,CODIFICACION!$F$2:$F$500,0))),"⚠"))</f>
        <v/>
      </c>
      <c r="AN135" t="str">
        <f>IF(CAPTURA!BS135="","",IFERROR(IF(INDEX(CODIFICACION!$E$2:$E$500,MATCH("D5.19|"&amp;CAPTURA!BS135,CODIFICACION!$F$2:$F$500,0))="sin dato","",INDEX(CODIFICACION!$E$2:$E$500,MATCH("D5.19|"&amp;CAPTURA!BS135,CODIFICACION!$F$2:$F$500,0))),"⚠"))</f>
        <v/>
      </c>
      <c r="AO135" t="str">
        <f>IF(CAPTURA!BT135="","",MIN(100,ROUND((LEN(CAPTURA!BT135)-LEN(SUBSTITUTE(CAPTURA!BT135,";",""))+1)/7*100,1)))</f>
        <v/>
      </c>
      <c r="AP135" t="str">
        <f>IF(CAPTURA!BU135="","",IFERROR(IF(INDEX(CODIFICACION!$E$2:$E$500,MATCH("D5.20|"&amp;CAPTURA!BU135,CODIFICACION!$F$2:$F$500,0))="sin dato","",INDEX(CODIFICACION!$E$2:$E$500,MATCH("D5.20|"&amp;CAPTURA!BU135,CODIFICACION!$F$2:$F$500,0))),"⚠"))</f>
        <v/>
      </c>
      <c r="AQ135" t="str">
        <f>IF(CAPTURA!BV135="","",IFERROR(IF(INDEX(CODIFICACION!$E$2:$E$500,MATCH("D5.21|"&amp;CAPTURA!BV135,CODIFICACION!$F$2:$F$500,0))="sin dato","",INDEX(CODIFICACION!$E$2:$E$500,MATCH("D5.21|"&amp;CAPTURA!BV135,CODIFICACION!$F$2:$F$500,0))),"⚠"))</f>
        <v/>
      </c>
      <c r="AR135" t="str">
        <f>IF(CAPTURA!BW135="","",IFERROR(IF(INDEX(CODIFICACION!$E$2:$E$500,MATCH("D5.21a|"&amp;CAPTURA!BW135,CODIFICACION!$F$2:$F$500,0))="sin dato","",INDEX(CODIFICACION!$E$2:$E$500,MATCH("D5.21a|"&amp;CAPTURA!BW135,CODIFICACION!$F$2:$F$500,0))),"⚠"))</f>
        <v/>
      </c>
      <c r="AS135" t="str">
        <f>IF(CAPTURA!BX135="","",IFERROR(IF(INDEX(CODIFICACION!$E$2:$E$500,MATCH("D5.21b|"&amp;CAPTURA!BX135,CODIFICACION!$F$2:$F$500,0))="sin dato","",INDEX(CODIFICACION!$E$2:$E$500,MATCH("D5.21b|"&amp;CAPTURA!BX135,CODIFICACION!$F$2:$F$500,0))),"⚠"))</f>
        <v/>
      </c>
      <c r="AT135" t="str">
        <f>IF(CAPTURA!BY135="","",IFERROR(IF(INDEX(CODIFICACION!$E$2:$E$500,MATCH("D6.22|"&amp;CAPTURA!BY135,CODIFICACION!$F$2:$F$500,0))="sin dato","",INDEX(CODIFICACION!$E$2:$E$500,MATCH("D6.22|"&amp;CAPTURA!BY135,CODIFICACION!$F$2:$F$500,0))),"⚠"))</f>
        <v/>
      </c>
      <c r="AU135" t="str">
        <f>IF(CAPTURA!BZ135="","",IFERROR(IF(INDEX(CODIFICACION!$E$2:$E$500,MATCH("D6.22a|"&amp;CAPTURA!BZ135,CODIFICACION!$F$2:$F$500,0))="sin dato","",INDEX(CODIFICACION!$E$2:$E$500,MATCH("D6.22a|"&amp;CAPTURA!BZ135,CODIFICACION!$F$2:$F$500,0))),"⚠"))</f>
        <v/>
      </c>
      <c r="AV135" t="str">
        <f>IF(CAPTURA!CA135="","",IFERROR(IF(INDEX(CODIFICACION!$E$2:$E$500,MATCH("D6.22b|"&amp;CAPTURA!CA135,CODIFICACION!$F$2:$F$500,0))="sin dato","",INDEX(CODIFICACION!$E$2:$E$500,MATCH("D6.22b|"&amp;CAPTURA!CA135,CODIFICACION!$F$2:$F$500,0))),"⚠"))</f>
        <v/>
      </c>
      <c r="AW135" t="str">
        <f>IF(CAPTURA!CB135="","",IFERROR(IF(INDEX(CODIFICACION!$E$2:$E$500,MATCH("D6.23|"&amp;CAPTURA!CB135,CODIFICACION!$F$2:$F$500,0))="sin dato","",INDEX(CODIFICACION!$E$2:$E$500,MATCH("D6.23|"&amp;CAPTURA!CB135,CODIFICACION!$F$2:$F$500,0))),"⚠"))</f>
        <v/>
      </c>
      <c r="AX135" t="str">
        <f>IF(CAPTURA!CC135="","",IFERROR(IF(INDEX(CODIFICACION!$E$2:$E$500,MATCH("D6.24|"&amp;CAPTURA!CC135,CODIFICACION!$F$2:$F$500,0))="sin dato","",INDEX(CODIFICACION!$E$2:$E$500,MATCH("D6.24|"&amp;CAPTURA!CC135,CODIFICACION!$F$2:$F$500,0))),"⚠"))</f>
        <v/>
      </c>
      <c r="AY135" t="str">
        <f>IF(CAPTURA!CD135="","",IFERROR(IF(INDEX(CODIFICACION!$E$2:$E$500,MATCH("D6.25|"&amp;CAPTURA!CD135,CODIFICACION!$F$2:$F$500,0))="sin dato","",INDEX(CODIFICACION!$E$2:$E$500,MATCH("D6.25|"&amp;CAPTURA!CD135,CODIFICACION!$F$2:$F$500,0))),"⚠"))</f>
        <v/>
      </c>
      <c r="AZ135" t="str">
        <f>IF(CAPTURA!CE135="","",IFERROR(IF(INDEX(CODIFICACION!$E$2:$E$500,MATCH("D6.25a|"&amp;CAPTURA!CE135,CODIFICACION!$F$2:$F$500,0))="sin dato","",INDEX(CODIFICACION!$E$2:$E$500,MATCH("D6.25a|"&amp;CAPTURA!CE135,CODIFICACION!$F$2:$F$500,0))),"⚠"))</f>
        <v/>
      </c>
      <c r="BA135" t="str">
        <f>IF(CAPTURA!CF135="","",IFERROR(IF(INDEX(CODIFICACION!$E$2:$E$500,MATCH("D6.25b|"&amp;CAPTURA!CF135,CODIFICACION!$F$2:$F$500,0))="sin dato","",INDEX(CODIFICACION!$E$2:$E$500,MATCH("D6.25b|"&amp;CAPTURA!CF135,CODIFICACION!$F$2:$F$500,0))),"⚠"))</f>
        <v/>
      </c>
      <c r="BB135" t="str">
        <f>IF(CAPTURA!CG135="","",IFERROR(IF(INDEX(CODIFICACION!$E$2:$E$500,MATCH("D6.22c|"&amp;CAPTURA!CG135,CODIFICACION!$F$2:$F$500,0))="sin dato","",INDEX(CODIFICACION!$E$2:$E$500,MATCH("D6.22c|"&amp;CAPTURA!CG135,CODIFICACION!$F$2:$F$500,0))),"⚠"))</f>
        <v/>
      </c>
      <c r="BC135" t="str">
        <f>IF(CAPTURA!CH135="","",IFERROR(IF(INDEX(CODIFICACION!$E$2:$E$500,MATCH("D7.26|"&amp;CAPTURA!CH135,CODIFICACION!$F$2:$F$500,0))="sin dato","",INDEX(CODIFICACION!$E$2:$E$500,MATCH("D7.26|"&amp;CAPTURA!CH135,CODIFICACION!$F$2:$F$500,0))),"⚠"))</f>
        <v/>
      </c>
      <c r="BD135" t="str">
        <f>IF(CAPTURA!CI135="","",IFERROR(IF(INDEX(CODIFICACION!$E$2:$E$500,MATCH("D7.27|"&amp;CAPTURA!CI135,CODIFICACION!$F$2:$F$500,0))="sin dato","",INDEX(CODIFICACION!$E$2:$E$500,MATCH("D7.27|"&amp;CAPTURA!CI135,CODIFICACION!$F$2:$F$500,0))),"⚠"))</f>
        <v/>
      </c>
      <c r="BE135" t="str">
        <f>IF(CAPTURA!CJ135="","",IFERROR(IF(INDEX(CODIFICACION!$E$2:$E$500,MATCH("D7.28|"&amp;CAPTURA!CJ135,CODIFICACION!$F$2:$F$500,0))="sin dato","",INDEX(CODIFICACION!$E$2:$E$500,MATCH("D7.28|"&amp;CAPTURA!CJ135,CODIFICACION!$F$2:$F$500,0))),"⚠"))</f>
        <v/>
      </c>
      <c r="BF135" t="str">
        <f>IF(CAPTURA!CK135="","",IFERROR(IF(INDEX(CODIFICACION!$E$2:$E$500,MATCH("D7.28b|"&amp;CAPTURA!CK135,CODIFICACION!$F$2:$F$500,0))="sin dato","",INDEX(CODIFICACION!$E$2:$E$500,MATCH("D7.28b|"&amp;CAPTURA!CK135,CODIFICACION!$F$2:$F$500,0))),"⚠"))</f>
        <v/>
      </c>
      <c r="BG135" t="str">
        <f>IF(CAPTURA!CL135="","",MIN(100,ROUND((LEN(CAPTURA!CL135)-LEN(SUBSTITUTE(CAPTURA!CL135,";",""))+1)/8*100,1)))</f>
        <v/>
      </c>
      <c r="BH135" t="str">
        <f>IF(CAPTURA!CM135="","",IFERROR(IF(INDEX(CODIFICACION!$E$2:$E$500,MATCH("D7.26a|"&amp;CAPTURA!CM135,CODIFICACION!$F$2:$F$500,0))="sin dato","",INDEX(CODIFICACION!$E$2:$E$500,MATCH("D7.26a|"&amp;CAPTURA!CM135,CODIFICACION!$F$2:$F$500,0))),"⚠"))</f>
        <v/>
      </c>
      <c r="BI135" t="str">
        <f>IF(CAPTURA!CN135="","",IFERROR(IF(INDEX(CODIFICACION!$E$2:$E$500,MATCH("D7.26b|"&amp;CAPTURA!CN135,CODIFICACION!$F$2:$F$500,0))="sin dato","",INDEX(CODIFICACION!$E$2:$E$500,MATCH("D7.26b|"&amp;CAPTURA!CN135,CODIFICACION!$F$2:$F$500,0))),"⚠"))</f>
        <v/>
      </c>
      <c r="BJ135" t="str">
        <f>IF(CAPTURA!CO135="","",IF(AND(ISNUMBER(CAPTURA!CO135),CAPTURA!CO135&gt;=0,CAPTURA!CO135&lt;=4),CAPTURA!CO135*25,"⚠"))</f>
        <v/>
      </c>
      <c r="BK135" t="str">
        <f>IF(CAPTURA!CP135="","",IF(ISNUMBER(CAPTURA!CP135),MAX(0,MIN(100,CAPTURA!CP135)),"⚠"))</f>
        <v/>
      </c>
      <c r="BL135" t="str">
        <f>IF(CAPTURA!CQ135="","",IFERROR(IF(INDEX(CODIFICACION!$E$2:$E$500,MATCH("D8.31|"&amp;CAPTURA!CQ135,CODIFICACION!$F$2:$F$500,0))="sin dato","",INDEX(CODIFICACION!$E$2:$E$500,MATCH("D8.31|"&amp;CAPTURA!CQ135,CODIFICACION!$F$2:$F$500,0))),"⚠"))</f>
        <v/>
      </c>
      <c r="BM135" t="str">
        <f>IF(CAPTURA!CR135="","",IFERROR(IF(INDEX(CODIFICACION!$E$2:$E$500,MATCH("D8.32|"&amp;CAPTURA!CR135,CODIFICACION!$F$2:$F$500,0))="sin dato","",INDEX(CODIFICACION!$E$2:$E$500,MATCH("D8.32|"&amp;CAPTURA!CR135,CODIFICACION!$F$2:$F$500,0))),"⚠"))</f>
        <v/>
      </c>
      <c r="BN135" t="str">
        <f>IF(CAPTURA!CS135="","",IFERROR(IF(INDEX(CODIFICACION!$E$2:$E$500,MATCH("D9.33|"&amp;CAPTURA!CS135,CODIFICACION!$F$2:$F$500,0))="sin dato","",INDEX(CODIFICACION!$E$2:$E$500,MATCH("D9.33|"&amp;CAPTURA!CS135,CODIFICACION!$F$2:$F$500,0))),"⚠"))</f>
        <v/>
      </c>
      <c r="BO135" t="str">
        <f>IF(CAPTURA!CT135="","",IFERROR(IF(INDEX(CODIFICACION!$E$2:$E$500,MATCH("D9.34|"&amp;CAPTURA!CT135,CODIFICACION!$F$2:$F$500,0))="sin dato","",INDEX(CODIFICACION!$E$2:$E$500,MATCH("D9.34|"&amp;CAPTURA!CT135,CODIFICACION!$F$2:$F$500,0))),"⚠"))</f>
        <v/>
      </c>
      <c r="BP135" t="str">
        <f>IF(CAPTURA!CU135="","",IFERROR(IF(INDEX(CODIFICACION!$E$2:$E$500,MATCH("D9.35|"&amp;CAPTURA!CU135,CODIFICACION!$F$2:$F$500,0))="sin dato","",INDEX(CODIFICACION!$E$2:$E$500,MATCH("D9.35|"&amp;CAPTURA!CU135,CODIFICACION!$F$2:$F$500,0))),"⚠"))</f>
        <v/>
      </c>
      <c r="BQ135" t="str">
        <f>IF(CAPTURA!CV135="","",IFERROR(IF(INDEX(CODIFICACION!$E$2:$E$500,MATCH("D10.36|"&amp;CAPTURA!CV135,CODIFICACION!$F$2:$F$500,0))="sin dato","",INDEX(CODIFICACION!$E$2:$E$500,MATCH("D10.36|"&amp;CAPTURA!CV135,CODIFICACION!$F$2:$F$500,0))),"⚠"))</f>
        <v/>
      </c>
      <c r="BR135" t="str">
        <f>IF(CAPTURA!CW135="","",IFERROR(IF(INDEX(CODIFICACION!$E$2:$E$500,MATCH("D10.37|"&amp;CAPTURA!CW135,CODIFICACION!$F$2:$F$500,0))="sin dato","",INDEX(CODIFICACION!$E$2:$E$500,MATCH("D10.37|"&amp;CAPTURA!CW135,CODIFICACION!$F$2:$F$500,0))),"⚠"))</f>
        <v/>
      </c>
      <c r="BS135" t="str">
        <f>IF(CAPTURA!CX135="","",IFERROR(IF(INDEX(CODIFICACION!$E$2:$E$500,MATCH("D10.36a|"&amp;CAPTURA!CX135,CODIFICACION!$F$2:$F$500,0))="sin dato","",INDEX(CODIFICACION!$E$2:$E$500,MATCH("D10.36a|"&amp;CAPTURA!CX135,CODIFICACION!$F$2:$F$500,0))),"⚠"))</f>
        <v/>
      </c>
      <c r="BT135" t="str">
        <f>IF(CAPTURA!CY135="","",IF(ISNUMBER(SEARCH("Ninguno",CAPTURA!CY135)),0,MIN(100,ROUND((LEN(CAPTURA!CY135)-LEN(SUBSTITUTE(CAPTURA!CY135,";",""))+1)/6*100,1))))</f>
        <v/>
      </c>
      <c r="BU135" t="str">
        <f>IF(CAPTURA!DA135="","",IFERROR(IF(INDEX(CODIFICACION!$E$2:$E$500,MATCH("D11.39a|"&amp;CAPTURA!DA135,CODIFICACION!$F$2:$F$500,0))="sin dato","",INDEX(CODIFICACION!$E$2:$E$500,MATCH("D11.39a|"&amp;CAPTURA!DA135,CODIFICACION!$F$2:$F$500,0))),"⚠"))</f>
        <v/>
      </c>
      <c r="BV135" t="str">
        <f>IF(CAPTURA!DB135="","",IFERROR(IF(INDEX(CODIFICACION!$E$2:$E$500,MATCH("D12.42|"&amp;CAPTURA!DB135,CODIFICACION!$F$2:$F$500,0))="sin dato","",INDEX(CODIFICACION!$E$2:$E$500,MATCH("D12.42|"&amp;CAPTURA!DB135,CODIFICACION!$F$2:$F$500,0))),"⚠"))</f>
        <v/>
      </c>
      <c r="BW135" t="str">
        <f>IF(CAPTURA!DC135="","",IFERROR(IF(INDEX(CODIFICACION!$E$2:$E$500,MATCH("D13.45|"&amp;CAPTURA!DC135,CODIFICACION!$F$2:$F$500,0))="sin dato","",INDEX(CODIFICACION!$E$2:$E$500,MATCH("D13.45|"&amp;CAPTURA!DC135,CODIFICACION!$F$2:$F$500,0))),"⚠"))</f>
        <v/>
      </c>
      <c r="BX135" t="str">
        <f>IF(CAPTURA!DD135="","",IFERROR(IF(INDEX(CODIFICACION!$E$2:$E$500,MATCH("D14.51|"&amp;CAPTURA!DD135,CODIFICACION!$F$2:$F$500,0))="sin dato","",INDEX(CODIFICACION!$E$2:$E$500,MATCH("D14.51|"&amp;CAPTURA!DD135,CODIFICACION!$F$2:$F$500,0))),"⚠"))</f>
        <v/>
      </c>
      <c r="BY135" t="str">
        <f>IF(CAPTURA!DE135="","",IFERROR(IF(INDEX(CODIFICACION!$E$2:$E$500,MATCH("D15.58|"&amp;CAPTURA!DE135,CODIFICACION!$F$2:$F$500,0))="sin dato","",INDEX(CODIFICACION!$E$2:$E$500,MATCH("D15.58|"&amp;CAPTURA!DE135,CODIFICACION!$F$2:$F$500,0))),"⚠"))</f>
        <v/>
      </c>
      <c r="BZ135" t="str">
        <f>IF(CAPTURA!DF135="","",IFERROR(IF(INDEX(CODIFICACION!$E$2:$E$500,MATCH("PP1|"&amp;CAPTURA!DF135,CODIFICACION!$F$2:$F$500,0))="sin dato","",INDEX(CODIFICACION!$E$2:$E$500,MATCH("PP1|"&amp;CAPTURA!DF135,CODIFICACION!$F$2:$F$500,0))),"⚠"))</f>
        <v/>
      </c>
      <c r="CA135" t="str">
        <f>IF(CAPTURA!DG135="","",IFERROR(IF(INDEX(CODIFICACION!$E$2:$E$500,MATCH("PP2|"&amp;CAPTURA!DG135,CODIFICACION!$F$2:$F$500,0))="sin dato","",INDEX(CODIFICACION!$E$2:$E$500,MATCH("PP2|"&amp;CAPTURA!DG135,CODIFICACION!$F$2:$F$500,0))),"⚠"))</f>
        <v/>
      </c>
      <c r="CB135" t="str">
        <f t="shared" si="44"/>
        <v/>
      </c>
      <c r="CC135" t="str">
        <f t="shared" si="45"/>
        <v/>
      </c>
      <c r="CD135" t="str">
        <f t="shared" si="46"/>
        <v/>
      </c>
      <c r="CE135" t="str">
        <f t="shared" si="47"/>
        <v/>
      </c>
      <c r="CF135" t="str">
        <f t="shared" si="48"/>
        <v/>
      </c>
      <c r="CG135" t="str">
        <f t="shared" si="49"/>
        <v/>
      </c>
      <c r="CH135" t="str">
        <f t="shared" si="50"/>
        <v/>
      </c>
      <c r="CI135" t="str">
        <f t="shared" si="51"/>
        <v/>
      </c>
      <c r="CJ135" t="str">
        <f t="shared" si="52"/>
        <v/>
      </c>
      <c r="CK135" t="str">
        <f t="shared" si="53"/>
        <v/>
      </c>
      <c r="CL135" t="str">
        <f t="shared" si="54"/>
        <v/>
      </c>
    </row>
    <row r="136" spans="1:90" x14ac:dyDescent="0.3">
      <c r="A136">
        <f>CAPTURA!A136</f>
        <v>20602712657</v>
      </c>
      <c r="B136">
        <f>CAPTURA!C136</f>
        <v>0</v>
      </c>
      <c r="C136" t="str">
        <f>IF(CAPTURA!M136="","",ROUND((ISNUMBER(SEARCH("Alemania",CAPTURA!M136))+ISNUMBER(SEARCH("Bélgica",CAPTURA!M136))+ISNUMBER(SEARCH("Países Bajos",CAPTURA!M136))+ISNUMBER(SEARCH("Francia",CAPTURA!M136))+ISNUMBER(SEARCH("Italia",CAPTURA!M136))+ISNUMBER(SEARCH("España",CAPTURA!M136))+ISNUMBER(SEARCH("Suecia",CAPTURA!M136))+ISNUMBER(SEARCH("Dinamarca",CAPTURA!M136)))/((LEN(CAPTURA!M136)-LEN(SUBSTITUTE(CAPTURA!M136,";","")))+1)*100,1))</f>
        <v/>
      </c>
      <c r="D136" t="str">
        <f>IF(CAPTURA!AE136="","",IFERROR(IF(INDEX(CODIFICACION!$E$2:$E$500,MATCH("P8|"&amp;CAPTURA!AE136,CODIFICACION!$F$2:$F$500,0))="sin dato","",INDEX(CODIFICACION!$E$2:$E$500,MATCH("P8|"&amp;CAPTURA!AE136,CODIFICACION!$F$2:$F$500,0))),"⚠"))</f>
        <v/>
      </c>
      <c r="E136" t="str">
        <f>IF(CAPTURA!AG136="","",IFERROR(IF(INDEX(CODIFICACION!$E$2:$E$500,MATCH("P10|"&amp;CAPTURA!AG136,CODIFICACION!$F$2:$F$500,0))="sin dato","",INDEX(CODIFICACION!$E$2:$E$500,MATCH("P10|"&amp;CAPTURA!AG136,CODIFICACION!$F$2:$F$500,0))),"⚠"))</f>
        <v/>
      </c>
      <c r="F136" t="str">
        <f>IF(CAPTURA!AJ136="","",IFERROR(IF(INDEX(CODIFICACION!$E$2:$E$500,MATCH("P13|"&amp;CAPTURA!AJ136,CODIFICACION!$F$2:$F$500,0))="sin dato","",INDEX(CODIFICACION!$E$2:$E$500,MATCH("P13|"&amp;CAPTURA!AJ136,CODIFICACION!$F$2:$F$500,0))),"⚠"))</f>
        <v/>
      </c>
      <c r="G136" t="str">
        <f>IF(CAPTURA!AK136="","",IFERROR(IF(INDEX(CODIFICACION!$E$2:$E$500,MATCH("P14|"&amp;CAPTURA!AK136,CODIFICACION!$F$2:$F$500,0))="sin dato","",INDEX(CODIFICACION!$E$2:$E$500,MATCH("P14|"&amp;CAPTURA!AK136,CODIFICACION!$F$2:$F$500,0))),"⚠"))</f>
        <v/>
      </c>
      <c r="H136" t="str">
        <f>IF(CAPTURA!AL136="","",IFERROR(IF(INDEX(CODIFICACION!$E$2:$E$500,MATCH("D1.1|"&amp;CAPTURA!AL136,CODIFICACION!$F$2:$F$500,0))="sin dato","",INDEX(CODIFICACION!$E$2:$E$500,MATCH("D1.1|"&amp;CAPTURA!AL136,CODIFICACION!$F$2:$F$500,0))),"⚠"))</f>
        <v/>
      </c>
      <c r="I136" t="str">
        <f>IF(CAPTURA!AN136="","",IFERROR(IF(INDEX(CODIFICACION!$E$2:$E$500,MATCH("D1.3|"&amp;CAPTURA!AN136,CODIFICACION!$F$2:$F$500,0))="sin dato","",INDEX(CODIFICACION!$E$2:$E$500,MATCH("D1.3|"&amp;CAPTURA!AN136,CODIFICACION!$F$2:$F$500,0))),"⚠"))</f>
        <v/>
      </c>
      <c r="J136" t="str">
        <f>IF(CAPTURA!AO136="","",IFERROR(IF(INDEX(CODIFICACION!$E$2:$E$500,MATCH("D1.4|"&amp;CAPTURA!AO136,CODIFICACION!$F$2:$F$500,0))="sin dato","",INDEX(CODIFICACION!$E$2:$E$500,MATCH("D1.4|"&amp;CAPTURA!AO136,CODIFICACION!$F$2:$F$500,0))),"⚠"))</f>
        <v/>
      </c>
      <c r="K136" t="str">
        <f>IF(CAPTURA!AP136="","",IFERROR(IF(INDEX(CODIFICACION!$E$2:$E$500,MATCH("D1.3a|"&amp;CAPTURA!AP136,CODIFICACION!$F$2:$F$500,0))="sin dato","",INDEX(CODIFICACION!$E$2:$E$500,MATCH("D1.3a|"&amp;CAPTURA!AP136,CODIFICACION!$F$2:$F$500,0))),"⚠"))</f>
        <v/>
      </c>
      <c r="L136" t="str">
        <f>IF(CAPTURA!AQ136="","",IF(AND(ISNUMBER(CAPTURA!AQ136),CAPTURA!AQ136&gt;=0,CAPTURA!AQ136&lt;=4),CAPTURA!AQ136*25,"⚠"))</f>
        <v/>
      </c>
      <c r="M136" t="str">
        <f>IF(CAPTURA!AR136="","",IF(ISNUMBER(CAPTURA!AR136),MAX(0,MIN(100,CAPTURA!AR136)),"⚠"))</f>
        <v/>
      </c>
      <c r="N136" t="str">
        <f>IF(CAPTURA!AS136="","",IF(AND(ISNUMBER(CAPTURA!AS136),CAPTURA!AS136&gt;=0,CAPTURA!AS136&lt;=4),CAPTURA!AS136*25,"⚠"))</f>
        <v/>
      </c>
      <c r="O136" t="str">
        <f>IF(CAPTURA!AT136="","",IFERROR(IF(INDEX(CODIFICACION!$E$2:$E$500,MATCH("D2.8|"&amp;CAPTURA!AT136,CODIFICACION!$F$2:$F$500,0))="sin dato","",INDEX(CODIFICACION!$E$2:$E$500,MATCH("D2.8|"&amp;CAPTURA!AT136,CODIFICACION!$F$2:$F$500,0))),"⚠"))</f>
        <v/>
      </c>
      <c r="P136" t="str">
        <f>IF(CAPTURA!AU136="","",IFERROR(IF(INDEX(CODIFICACION!$E$2:$E$500,MATCH("D2.9|"&amp;CAPTURA!AU136,CODIFICACION!$F$2:$F$500,0))="sin dato","",INDEX(CODIFICACION!$E$2:$E$500,MATCH("D2.9|"&amp;CAPTURA!AU136,CODIFICACION!$F$2:$F$500,0))),"⚠"))</f>
        <v/>
      </c>
      <c r="Q136" t="str">
        <f>IF(CAPTURA!AV136="","",IFERROR(IF(INDEX(CODIFICACION!$E$2:$E$500,MATCH("D2.10|"&amp;CAPTURA!AV136,CODIFICACION!$F$2:$F$500,0))="sin dato","",INDEX(CODIFICACION!$E$2:$E$500,MATCH("D2.10|"&amp;CAPTURA!AV136,CODIFICACION!$F$2:$F$500,0))),"⚠"))</f>
        <v/>
      </c>
      <c r="R136" t="str">
        <f>IF(CAPTURA!AW136="","",IFERROR(IF(INDEX(CODIFICACION!$E$2:$E$500,MATCH("D2.5a|"&amp;CAPTURA!AW136,CODIFICACION!$F$2:$F$500,0))="sin dato","",INDEX(CODIFICACION!$E$2:$E$500,MATCH("D2.5a|"&amp;CAPTURA!AW136,CODIFICACION!$F$2:$F$500,0))),"⚠"))</f>
        <v/>
      </c>
      <c r="S136" t="str">
        <f>IF(CAPTURA!AX136="","",IFERROR(IF(INDEX(CODIFICACION!$E$2:$E$500,MATCH("D2.5b|"&amp;CAPTURA!AX136,CODIFICACION!$F$2:$F$500,0))="sin dato","",INDEX(CODIFICACION!$E$2:$E$500,MATCH("D2.5b|"&amp;CAPTURA!AX136,CODIFICACION!$F$2:$F$500,0))),"⚠"))</f>
        <v/>
      </c>
      <c r="T136" t="str">
        <f>IF(CAPTURA!AY136="","",IF(ISNUMBER(CAPTURA!AY136),MAX(0,MIN(100,CAPTURA!AY136)),"⚠"))</f>
        <v/>
      </c>
      <c r="U136" t="str">
        <f>IF(CAPTURA!AZ136="","",IFERROR(IF(INDEX(CODIFICACION!$E$2:$E$500,MATCH("D3.12|"&amp;CAPTURA!AZ136,CODIFICACION!$F$2:$F$500,0))="sin dato","",INDEX(CODIFICACION!$E$2:$E$500,MATCH("D3.12|"&amp;CAPTURA!AZ136,CODIFICACION!$F$2:$F$500,0))),"⚠"))</f>
        <v/>
      </c>
      <c r="V136" t="str">
        <f>IF(CAPTURA!BA136="","",IF(AND(ISNUMBER(CAPTURA!BA136),CAPTURA!BA136&gt;=0,CAPTURA!BA136&lt;=4),CAPTURA!BA136*25,"⚠"))</f>
        <v/>
      </c>
      <c r="W136" t="str">
        <f>IF(CAPTURA!BB136="","",IFERROR(IF(INDEX(CODIFICACION!$E$2:$E$500,MATCH("D3.14|"&amp;CAPTURA!BB136,CODIFICACION!$F$2:$F$500,0))="sin dato","",INDEX(CODIFICACION!$E$2:$E$500,MATCH("D3.14|"&amp;CAPTURA!BB136,CODIFICACION!$F$2:$F$500,0))),"⚠"))</f>
        <v/>
      </c>
      <c r="X136" t="str">
        <f>IF(CAPTURA!BC136="","",IFERROR(IF(INDEX(CODIFICACION!$E$2:$E$500,MATCH("D3.14a|"&amp;CAPTURA!BC136,CODIFICACION!$F$2:$F$500,0))="sin dato","",INDEX(CODIFICACION!$E$2:$E$500,MATCH("D3.14a|"&amp;CAPTURA!BC136,CODIFICACION!$F$2:$F$500,0))),"⚠"))</f>
        <v/>
      </c>
      <c r="Y136" t="str">
        <f>IF(CAPTURA!BD136="","",IFERROR(IF(INDEX(CODIFICACION!$E$2:$E$500,MATCH("D3.14b|"&amp;CAPTURA!BD136,CODIFICACION!$F$2:$F$500,0))="sin dato","",INDEX(CODIFICACION!$E$2:$E$500,MATCH("D3.14b|"&amp;CAPTURA!BD136,CODIFICACION!$F$2:$F$500,0))),"⚠"))</f>
        <v/>
      </c>
      <c r="Z136" t="str">
        <f>IF(CAPTURA!BE136="","",IFERROR(IF(INDEX(CODIFICACION!$E$2:$E$500,MATCH("D3.14c|"&amp;CAPTURA!BE136,CODIFICACION!$F$2:$F$500,0))="sin dato","",INDEX(CODIFICACION!$E$2:$E$500,MATCH("D3.14c|"&amp;CAPTURA!BE136,CODIFICACION!$F$2:$F$500,0))),"⚠"))</f>
        <v/>
      </c>
      <c r="AA136" t="str">
        <f>IF(CAPTURA!BF136="","",IFERROR(IF(INDEX(CODIFICACION!$E$2:$E$500,MATCH("D3.14d|"&amp;CAPTURA!BF136,CODIFICACION!$F$2:$F$500,0))="sin dato","",INDEX(CODIFICACION!$E$2:$E$500,MATCH("D3.14d|"&amp;CAPTURA!BF136,CODIFICACION!$F$2:$F$500,0))),"⚠"))</f>
        <v/>
      </c>
      <c r="AB136" t="str">
        <f>IF(CAPTURA!BG136="","",IFERROR(IF(INDEX(CODIFICACION!$E$2:$E$500,MATCH("D3.14e|"&amp;CAPTURA!BG136,CODIFICACION!$F$2:$F$500,0))="sin dato","",INDEX(CODIFICACION!$E$2:$E$500,MATCH("D3.14e|"&amp;CAPTURA!BG136,CODIFICACION!$F$2:$F$500,0))),"⚠"))</f>
        <v/>
      </c>
      <c r="AC136" t="str">
        <f>IF(CAPTURA!BH136="","",IFERROR(IF(INDEX(CODIFICACION!$E$2:$E$500,MATCH("D3.14f|"&amp;CAPTURA!BH136,CODIFICACION!$F$2:$F$500,0))="sin dato","",INDEX(CODIFICACION!$E$2:$E$500,MATCH("D3.14f|"&amp;CAPTURA!BH136,CODIFICACION!$F$2:$F$500,0))),"⚠"))</f>
        <v/>
      </c>
      <c r="AD136" t="str">
        <f>IF(CAPTURA!BI136="","",IFERROR(IF(INDEX(CODIFICACION!$E$2:$E$500,MATCH("D3.14g|"&amp;CAPTURA!BI136,CODIFICACION!$F$2:$F$500,0))="sin dato","",INDEX(CODIFICACION!$E$2:$E$500,MATCH("D3.14g|"&amp;CAPTURA!BI136,CODIFICACION!$F$2:$F$500,0))),"⚠"))</f>
        <v/>
      </c>
      <c r="AE136" t="str">
        <f>IF(CAPTURA!BJ136="","",IFERROR(IF(INDEX(CODIFICACION!$E$2:$E$500,MATCH("D3.14h|"&amp;CAPTURA!BJ136,CODIFICACION!$F$2:$F$500,0))="sin dato","",INDEX(CODIFICACION!$E$2:$E$500,MATCH("D3.14h|"&amp;CAPTURA!BJ136,CODIFICACION!$F$2:$F$500,0))),"⚠"))</f>
        <v/>
      </c>
      <c r="AF136" t="str">
        <f>IF(CAPTURA!BK136="","",IFERROR(IF(INDEX(CODIFICACION!$E$2:$E$500,MATCH("D3.14i|"&amp;CAPTURA!BK136,CODIFICACION!$F$2:$F$500,0))="sin dato","",INDEX(CODIFICACION!$E$2:$E$500,MATCH("D3.14i|"&amp;CAPTURA!BK136,CODIFICACION!$F$2:$F$500,0))),"⚠"))</f>
        <v/>
      </c>
      <c r="AG136" t="str">
        <f>IF(CAPTURA!BL136="","",IFERROR(IF(INDEX(CODIFICACION!$E$2:$E$500,MATCH("D4.15|"&amp;CAPTURA!BL136,CODIFICACION!$F$2:$F$500,0))="sin dato","",INDEX(CODIFICACION!$E$2:$E$500,MATCH("D4.15|"&amp;CAPTURA!BL136,CODIFICACION!$F$2:$F$500,0))),"⚠"))</f>
        <v/>
      </c>
      <c r="AH136" t="str">
        <f>IF(CAPTURA!BM136="","",IF(AND(ISNUMBER(CAPTURA!BM136),CAPTURA!BM136&gt;=0,CAPTURA!BM136&lt;=4),CAPTURA!BM136*25,"⚠"))</f>
        <v/>
      </c>
      <c r="AI136" t="str">
        <f>IF(CAPTURA!BN136="","",IFERROR(IF(INDEX(CODIFICACION!$E$2:$E$500,MATCH("D4.17|"&amp;CAPTURA!BN136,CODIFICACION!$F$2:$F$500,0))="sin dato","",INDEX(CODIFICACION!$E$2:$E$500,MATCH("D4.17|"&amp;CAPTURA!BN136,CODIFICACION!$F$2:$F$500,0))),"⚠"))</f>
        <v/>
      </c>
      <c r="AJ136" t="str">
        <f>IF(CAPTURA!BO136="","",IFERROR(IF(INDEX(CODIFICACION!$E$2:$E$500,MATCH("D4.15a|"&amp;CAPTURA!BO136,CODIFICACION!$F$2:$F$500,0))="sin dato","",INDEX(CODIFICACION!$E$2:$E$500,MATCH("D4.15a|"&amp;CAPTURA!BO136,CODIFICACION!$F$2:$F$500,0))),"⚠"))</f>
        <v/>
      </c>
      <c r="AK136" t="str">
        <f>IF(CAPTURA!BP136="","",IF(AND(ISNUMBER(CAPTURA!BP136),CAPTURA!BP136&gt;=0,CAPTURA!BP136&lt;=4),CAPTURA!BP136*25,"⚠"))</f>
        <v/>
      </c>
      <c r="AL136" t="str">
        <f>IF(CAPTURA!BQ136="","",IF(AND(ISNUMBER(CAPTURA!BQ136),CAPTURA!BQ136&gt;=0,CAPTURA!BQ136&lt;=4),CAPTURA!BQ136*25,"⚠"))</f>
        <v/>
      </c>
      <c r="AM136" t="str">
        <f>IF(CAPTURA!BR136="","",IFERROR(IF(INDEX(CODIFICACION!$E$2:$E$500,MATCH("D5.18b|"&amp;CAPTURA!BR136,CODIFICACION!$F$2:$F$500,0))="sin dato","",INDEX(CODIFICACION!$E$2:$E$500,MATCH("D5.18b|"&amp;CAPTURA!BR136,CODIFICACION!$F$2:$F$500,0))),"⚠"))</f>
        <v/>
      </c>
      <c r="AN136" t="str">
        <f>IF(CAPTURA!BS136="","",IFERROR(IF(INDEX(CODIFICACION!$E$2:$E$500,MATCH("D5.19|"&amp;CAPTURA!BS136,CODIFICACION!$F$2:$F$500,0))="sin dato","",INDEX(CODIFICACION!$E$2:$E$500,MATCH("D5.19|"&amp;CAPTURA!BS136,CODIFICACION!$F$2:$F$500,0))),"⚠"))</f>
        <v/>
      </c>
      <c r="AO136" t="str">
        <f>IF(CAPTURA!BT136="","",MIN(100,ROUND((LEN(CAPTURA!BT136)-LEN(SUBSTITUTE(CAPTURA!BT136,";",""))+1)/7*100,1)))</f>
        <v/>
      </c>
      <c r="AP136" t="str">
        <f>IF(CAPTURA!BU136="","",IFERROR(IF(INDEX(CODIFICACION!$E$2:$E$500,MATCH("D5.20|"&amp;CAPTURA!BU136,CODIFICACION!$F$2:$F$500,0))="sin dato","",INDEX(CODIFICACION!$E$2:$E$500,MATCH("D5.20|"&amp;CAPTURA!BU136,CODIFICACION!$F$2:$F$500,0))),"⚠"))</f>
        <v/>
      </c>
      <c r="AQ136" t="str">
        <f>IF(CAPTURA!BV136="","",IFERROR(IF(INDEX(CODIFICACION!$E$2:$E$500,MATCH("D5.21|"&amp;CAPTURA!BV136,CODIFICACION!$F$2:$F$500,0))="sin dato","",INDEX(CODIFICACION!$E$2:$E$500,MATCH("D5.21|"&amp;CAPTURA!BV136,CODIFICACION!$F$2:$F$500,0))),"⚠"))</f>
        <v/>
      </c>
      <c r="AR136" t="str">
        <f>IF(CAPTURA!BW136="","",IFERROR(IF(INDEX(CODIFICACION!$E$2:$E$500,MATCH("D5.21a|"&amp;CAPTURA!BW136,CODIFICACION!$F$2:$F$500,0))="sin dato","",INDEX(CODIFICACION!$E$2:$E$500,MATCH("D5.21a|"&amp;CAPTURA!BW136,CODIFICACION!$F$2:$F$500,0))),"⚠"))</f>
        <v/>
      </c>
      <c r="AS136" t="str">
        <f>IF(CAPTURA!BX136="","",IFERROR(IF(INDEX(CODIFICACION!$E$2:$E$500,MATCH("D5.21b|"&amp;CAPTURA!BX136,CODIFICACION!$F$2:$F$500,0))="sin dato","",INDEX(CODIFICACION!$E$2:$E$500,MATCH("D5.21b|"&amp;CAPTURA!BX136,CODIFICACION!$F$2:$F$500,0))),"⚠"))</f>
        <v/>
      </c>
      <c r="AT136" t="str">
        <f>IF(CAPTURA!BY136="","",IFERROR(IF(INDEX(CODIFICACION!$E$2:$E$500,MATCH("D6.22|"&amp;CAPTURA!BY136,CODIFICACION!$F$2:$F$500,0))="sin dato","",INDEX(CODIFICACION!$E$2:$E$500,MATCH("D6.22|"&amp;CAPTURA!BY136,CODIFICACION!$F$2:$F$500,0))),"⚠"))</f>
        <v/>
      </c>
      <c r="AU136" t="str">
        <f>IF(CAPTURA!BZ136="","",IFERROR(IF(INDEX(CODIFICACION!$E$2:$E$500,MATCH("D6.22a|"&amp;CAPTURA!BZ136,CODIFICACION!$F$2:$F$500,0))="sin dato","",INDEX(CODIFICACION!$E$2:$E$500,MATCH("D6.22a|"&amp;CAPTURA!BZ136,CODIFICACION!$F$2:$F$500,0))),"⚠"))</f>
        <v/>
      </c>
      <c r="AV136" t="str">
        <f>IF(CAPTURA!CA136="","",IFERROR(IF(INDEX(CODIFICACION!$E$2:$E$500,MATCH("D6.22b|"&amp;CAPTURA!CA136,CODIFICACION!$F$2:$F$500,0))="sin dato","",INDEX(CODIFICACION!$E$2:$E$500,MATCH("D6.22b|"&amp;CAPTURA!CA136,CODIFICACION!$F$2:$F$500,0))),"⚠"))</f>
        <v/>
      </c>
      <c r="AW136" t="str">
        <f>IF(CAPTURA!CB136="","",IFERROR(IF(INDEX(CODIFICACION!$E$2:$E$500,MATCH("D6.23|"&amp;CAPTURA!CB136,CODIFICACION!$F$2:$F$500,0))="sin dato","",INDEX(CODIFICACION!$E$2:$E$500,MATCH("D6.23|"&amp;CAPTURA!CB136,CODIFICACION!$F$2:$F$500,0))),"⚠"))</f>
        <v/>
      </c>
      <c r="AX136" t="str">
        <f>IF(CAPTURA!CC136="","",IFERROR(IF(INDEX(CODIFICACION!$E$2:$E$500,MATCH("D6.24|"&amp;CAPTURA!CC136,CODIFICACION!$F$2:$F$500,0))="sin dato","",INDEX(CODIFICACION!$E$2:$E$500,MATCH("D6.24|"&amp;CAPTURA!CC136,CODIFICACION!$F$2:$F$500,0))),"⚠"))</f>
        <v/>
      </c>
      <c r="AY136" t="str">
        <f>IF(CAPTURA!CD136="","",IFERROR(IF(INDEX(CODIFICACION!$E$2:$E$500,MATCH("D6.25|"&amp;CAPTURA!CD136,CODIFICACION!$F$2:$F$500,0))="sin dato","",INDEX(CODIFICACION!$E$2:$E$500,MATCH("D6.25|"&amp;CAPTURA!CD136,CODIFICACION!$F$2:$F$500,0))),"⚠"))</f>
        <v/>
      </c>
      <c r="AZ136" t="str">
        <f>IF(CAPTURA!CE136="","",IFERROR(IF(INDEX(CODIFICACION!$E$2:$E$500,MATCH("D6.25a|"&amp;CAPTURA!CE136,CODIFICACION!$F$2:$F$500,0))="sin dato","",INDEX(CODIFICACION!$E$2:$E$500,MATCH("D6.25a|"&amp;CAPTURA!CE136,CODIFICACION!$F$2:$F$500,0))),"⚠"))</f>
        <v/>
      </c>
      <c r="BA136" t="str">
        <f>IF(CAPTURA!CF136="","",IFERROR(IF(INDEX(CODIFICACION!$E$2:$E$500,MATCH("D6.25b|"&amp;CAPTURA!CF136,CODIFICACION!$F$2:$F$500,0))="sin dato","",INDEX(CODIFICACION!$E$2:$E$500,MATCH("D6.25b|"&amp;CAPTURA!CF136,CODIFICACION!$F$2:$F$500,0))),"⚠"))</f>
        <v/>
      </c>
      <c r="BB136" t="str">
        <f>IF(CAPTURA!CG136="","",IFERROR(IF(INDEX(CODIFICACION!$E$2:$E$500,MATCH("D6.22c|"&amp;CAPTURA!CG136,CODIFICACION!$F$2:$F$500,0))="sin dato","",INDEX(CODIFICACION!$E$2:$E$500,MATCH("D6.22c|"&amp;CAPTURA!CG136,CODIFICACION!$F$2:$F$500,0))),"⚠"))</f>
        <v/>
      </c>
      <c r="BC136" t="str">
        <f>IF(CAPTURA!CH136="","",IFERROR(IF(INDEX(CODIFICACION!$E$2:$E$500,MATCH("D7.26|"&amp;CAPTURA!CH136,CODIFICACION!$F$2:$F$500,0))="sin dato","",INDEX(CODIFICACION!$E$2:$E$500,MATCH("D7.26|"&amp;CAPTURA!CH136,CODIFICACION!$F$2:$F$500,0))),"⚠"))</f>
        <v/>
      </c>
      <c r="BD136" t="str">
        <f>IF(CAPTURA!CI136="","",IFERROR(IF(INDEX(CODIFICACION!$E$2:$E$500,MATCH("D7.27|"&amp;CAPTURA!CI136,CODIFICACION!$F$2:$F$500,0))="sin dato","",INDEX(CODIFICACION!$E$2:$E$500,MATCH("D7.27|"&amp;CAPTURA!CI136,CODIFICACION!$F$2:$F$500,0))),"⚠"))</f>
        <v/>
      </c>
      <c r="BE136" t="str">
        <f>IF(CAPTURA!CJ136="","",IFERROR(IF(INDEX(CODIFICACION!$E$2:$E$500,MATCH("D7.28|"&amp;CAPTURA!CJ136,CODIFICACION!$F$2:$F$500,0))="sin dato","",INDEX(CODIFICACION!$E$2:$E$500,MATCH("D7.28|"&amp;CAPTURA!CJ136,CODIFICACION!$F$2:$F$500,0))),"⚠"))</f>
        <v/>
      </c>
      <c r="BF136" t="str">
        <f>IF(CAPTURA!CK136="","",IFERROR(IF(INDEX(CODIFICACION!$E$2:$E$500,MATCH("D7.28b|"&amp;CAPTURA!CK136,CODIFICACION!$F$2:$F$500,0))="sin dato","",INDEX(CODIFICACION!$E$2:$E$500,MATCH("D7.28b|"&amp;CAPTURA!CK136,CODIFICACION!$F$2:$F$500,0))),"⚠"))</f>
        <v/>
      </c>
      <c r="BG136" t="str">
        <f>IF(CAPTURA!CL136="","",MIN(100,ROUND((LEN(CAPTURA!CL136)-LEN(SUBSTITUTE(CAPTURA!CL136,";",""))+1)/8*100,1)))</f>
        <v/>
      </c>
      <c r="BH136" t="str">
        <f>IF(CAPTURA!CM136="","",IFERROR(IF(INDEX(CODIFICACION!$E$2:$E$500,MATCH("D7.26a|"&amp;CAPTURA!CM136,CODIFICACION!$F$2:$F$500,0))="sin dato","",INDEX(CODIFICACION!$E$2:$E$500,MATCH("D7.26a|"&amp;CAPTURA!CM136,CODIFICACION!$F$2:$F$500,0))),"⚠"))</f>
        <v/>
      </c>
      <c r="BI136" t="str">
        <f>IF(CAPTURA!CN136="","",IFERROR(IF(INDEX(CODIFICACION!$E$2:$E$500,MATCH("D7.26b|"&amp;CAPTURA!CN136,CODIFICACION!$F$2:$F$500,0))="sin dato","",INDEX(CODIFICACION!$E$2:$E$500,MATCH("D7.26b|"&amp;CAPTURA!CN136,CODIFICACION!$F$2:$F$500,0))),"⚠"))</f>
        <v/>
      </c>
      <c r="BJ136" t="str">
        <f>IF(CAPTURA!CO136="","",IF(AND(ISNUMBER(CAPTURA!CO136),CAPTURA!CO136&gt;=0,CAPTURA!CO136&lt;=4),CAPTURA!CO136*25,"⚠"))</f>
        <v/>
      </c>
      <c r="BK136" t="str">
        <f>IF(CAPTURA!CP136="","",IF(ISNUMBER(CAPTURA!CP136),MAX(0,MIN(100,CAPTURA!CP136)),"⚠"))</f>
        <v/>
      </c>
      <c r="BL136" t="str">
        <f>IF(CAPTURA!CQ136="","",IFERROR(IF(INDEX(CODIFICACION!$E$2:$E$500,MATCH("D8.31|"&amp;CAPTURA!CQ136,CODIFICACION!$F$2:$F$500,0))="sin dato","",INDEX(CODIFICACION!$E$2:$E$500,MATCH("D8.31|"&amp;CAPTURA!CQ136,CODIFICACION!$F$2:$F$500,0))),"⚠"))</f>
        <v/>
      </c>
      <c r="BM136" t="str">
        <f>IF(CAPTURA!CR136="","",IFERROR(IF(INDEX(CODIFICACION!$E$2:$E$500,MATCH("D8.32|"&amp;CAPTURA!CR136,CODIFICACION!$F$2:$F$500,0))="sin dato","",INDEX(CODIFICACION!$E$2:$E$500,MATCH("D8.32|"&amp;CAPTURA!CR136,CODIFICACION!$F$2:$F$500,0))),"⚠"))</f>
        <v/>
      </c>
      <c r="BN136" t="str">
        <f>IF(CAPTURA!CS136="","",IFERROR(IF(INDEX(CODIFICACION!$E$2:$E$500,MATCH("D9.33|"&amp;CAPTURA!CS136,CODIFICACION!$F$2:$F$500,0))="sin dato","",INDEX(CODIFICACION!$E$2:$E$500,MATCH("D9.33|"&amp;CAPTURA!CS136,CODIFICACION!$F$2:$F$500,0))),"⚠"))</f>
        <v/>
      </c>
      <c r="BO136" t="str">
        <f>IF(CAPTURA!CT136="","",IFERROR(IF(INDEX(CODIFICACION!$E$2:$E$500,MATCH("D9.34|"&amp;CAPTURA!CT136,CODIFICACION!$F$2:$F$500,0))="sin dato","",INDEX(CODIFICACION!$E$2:$E$500,MATCH("D9.34|"&amp;CAPTURA!CT136,CODIFICACION!$F$2:$F$500,0))),"⚠"))</f>
        <v/>
      </c>
      <c r="BP136" t="str">
        <f>IF(CAPTURA!CU136="","",IFERROR(IF(INDEX(CODIFICACION!$E$2:$E$500,MATCH("D9.35|"&amp;CAPTURA!CU136,CODIFICACION!$F$2:$F$500,0))="sin dato","",INDEX(CODIFICACION!$E$2:$E$500,MATCH("D9.35|"&amp;CAPTURA!CU136,CODIFICACION!$F$2:$F$500,0))),"⚠"))</f>
        <v/>
      </c>
      <c r="BQ136" t="str">
        <f>IF(CAPTURA!CV136="","",IFERROR(IF(INDEX(CODIFICACION!$E$2:$E$500,MATCH("D10.36|"&amp;CAPTURA!CV136,CODIFICACION!$F$2:$F$500,0))="sin dato","",INDEX(CODIFICACION!$E$2:$E$500,MATCH("D10.36|"&amp;CAPTURA!CV136,CODIFICACION!$F$2:$F$500,0))),"⚠"))</f>
        <v/>
      </c>
      <c r="BR136" t="str">
        <f>IF(CAPTURA!CW136="","",IFERROR(IF(INDEX(CODIFICACION!$E$2:$E$500,MATCH("D10.37|"&amp;CAPTURA!CW136,CODIFICACION!$F$2:$F$500,0))="sin dato","",INDEX(CODIFICACION!$E$2:$E$500,MATCH("D10.37|"&amp;CAPTURA!CW136,CODIFICACION!$F$2:$F$500,0))),"⚠"))</f>
        <v/>
      </c>
      <c r="BS136" t="str">
        <f>IF(CAPTURA!CX136="","",IFERROR(IF(INDEX(CODIFICACION!$E$2:$E$500,MATCH("D10.36a|"&amp;CAPTURA!CX136,CODIFICACION!$F$2:$F$500,0))="sin dato","",INDEX(CODIFICACION!$E$2:$E$500,MATCH("D10.36a|"&amp;CAPTURA!CX136,CODIFICACION!$F$2:$F$500,0))),"⚠"))</f>
        <v/>
      </c>
      <c r="BT136" t="str">
        <f>IF(CAPTURA!CY136="","",IF(ISNUMBER(SEARCH("Ninguno",CAPTURA!CY136)),0,MIN(100,ROUND((LEN(CAPTURA!CY136)-LEN(SUBSTITUTE(CAPTURA!CY136,";",""))+1)/6*100,1))))</f>
        <v/>
      </c>
      <c r="BU136" t="str">
        <f>IF(CAPTURA!DA136="","",IFERROR(IF(INDEX(CODIFICACION!$E$2:$E$500,MATCH("D11.39a|"&amp;CAPTURA!DA136,CODIFICACION!$F$2:$F$500,0))="sin dato","",INDEX(CODIFICACION!$E$2:$E$500,MATCH("D11.39a|"&amp;CAPTURA!DA136,CODIFICACION!$F$2:$F$500,0))),"⚠"))</f>
        <v/>
      </c>
      <c r="BV136" t="str">
        <f>IF(CAPTURA!DB136="","",IFERROR(IF(INDEX(CODIFICACION!$E$2:$E$500,MATCH("D12.42|"&amp;CAPTURA!DB136,CODIFICACION!$F$2:$F$500,0))="sin dato","",INDEX(CODIFICACION!$E$2:$E$500,MATCH("D12.42|"&amp;CAPTURA!DB136,CODIFICACION!$F$2:$F$500,0))),"⚠"))</f>
        <v/>
      </c>
      <c r="BW136" t="str">
        <f>IF(CAPTURA!DC136="","",IFERROR(IF(INDEX(CODIFICACION!$E$2:$E$500,MATCH("D13.45|"&amp;CAPTURA!DC136,CODIFICACION!$F$2:$F$500,0))="sin dato","",INDEX(CODIFICACION!$E$2:$E$500,MATCH("D13.45|"&amp;CAPTURA!DC136,CODIFICACION!$F$2:$F$500,0))),"⚠"))</f>
        <v/>
      </c>
      <c r="BX136" t="str">
        <f>IF(CAPTURA!DD136="","",IFERROR(IF(INDEX(CODIFICACION!$E$2:$E$500,MATCH("D14.51|"&amp;CAPTURA!DD136,CODIFICACION!$F$2:$F$500,0))="sin dato","",INDEX(CODIFICACION!$E$2:$E$500,MATCH("D14.51|"&amp;CAPTURA!DD136,CODIFICACION!$F$2:$F$500,0))),"⚠"))</f>
        <v/>
      </c>
      <c r="BY136" t="str">
        <f>IF(CAPTURA!DE136="","",IFERROR(IF(INDEX(CODIFICACION!$E$2:$E$500,MATCH("D15.58|"&amp;CAPTURA!DE136,CODIFICACION!$F$2:$F$500,0))="sin dato","",INDEX(CODIFICACION!$E$2:$E$500,MATCH("D15.58|"&amp;CAPTURA!DE136,CODIFICACION!$F$2:$F$500,0))),"⚠"))</f>
        <v/>
      </c>
      <c r="BZ136" t="str">
        <f>IF(CAPTURA!DF136="","",IFERROR(IF(INDEX(CODIFICACION!$E$2:$E$500,MATCH("PP1|"&amp;CAPTURA!DF136,CODIFICACION!$F$2:$F$500,0))="sin dato","",INDEX(CODIFICACION!$E$2:$E$500,MATCH("PP1|"&amp;CAPTURA!DF136,CODIFICACION!$F$2:$F$500,0))),"⚠"))</f>
        <v/>
      </c>
      <c r="CA136" t="str">
        <f>IF(CAPTURA!DG136="","",IFERROR(IF(INDEX(CODIFICACION!$E$2:$E$500,MATCH("PP2|"&amp;CAPTURA!DG136,CODIFICACION!$F$2:$F$500,0))="sin dato","",INDEX(CODIFICACION!$E$2:$E$500,MATCH("PP2|"&amp;CAPTURA!DG136,CODIFICACION!$F$2:$F$500,0))),"⚠"))</f>
        <v/>
      </c>
      <c r="CB136" t="str">
        <f t="shared" si="44"/>
        <v/>
      </c>
      <c r="CC136" t="str">
        <f t="shared" si="45"/>
        <v/>
      </c>
      <c r="CD136" t="str">
        <f t="shared" si="46"/>
        <v/>
      </c>
      <c r="CE136" t="str">
        <f t="shared" si="47"/>
        <v/>
      </c>
      <c r="CF136" t="str">
        <f t="shared" si="48"/>
        <v/>
      </c>
      <c r="CG136" t="str">
        <f t="shared" si="49"/>
        <v/>
      </c>
      <c r="CH136" t="str">
        <f t="shared" si="50"/>
        <v/>
      </c>
      <c r="CI136" t="str">
        <f t="shared" si="51"/>
        <v/>
      </c>
      <c r="CJ136" t="str">
        <f t="shared" si="52"/>
        <v/>
      </c>
      <c r="CK136" t="str">
        <f t="shared" si="53"/>
        <v/>
      </c>
      <c r="CL136" t="str">
        <f t="shared" si="54"/>
        <v/>
      </c>
    </row>
    <row r="137" spans="1:90" x14ac:dyDescent="0.3">
      <c r="A137">
        <f>CAPTURA!A137</f>
        <v>20602881971</v>
      </c>
      <c r="B137">
        <f>CAPTURA!C137</f>
        <v>0</v>
      </c>
      <c r="C137" t="str">
        <f>IF(CAPTURA!M137="","",ROUND((ISNUMBER(SEARCH("Alemania",CAPTURA!M137))+ISNUMBER(SEARCH("Bélgica",CAPTURA!M137))+ISNUMBER(SEARCH("Países Bajos",CAPTURA!M137))+ISNUMBER(SEARCH("Francia",CAPTURA!M137))+ISNUMBER(SEARCH("Italia",CAPTURA!M137))+ISNUMBER(SEARCH("España",CAPTURA!M137))+ISNUMBER(SEARCH("Suecia",CAPTURA!M137))+ISNUMBER(SEARCH("Dinamarca",CAPTURA!M137)))/((LEN(CAPTURA!M137)-LEN(SUBSTITUTE(CAPTURA!M137,";","")))+1)*100,1))</f>
        <v/>
      </c>
      <c r="D137" t="str">
        <f>IF(CAPTURA!AE137="","",IFERROR(IF(INDEX(CODIFICACION!$E$2:$E$500,MATCH("P8|"&amp;CAPTURA!AE137,CODIFICACION!$F$2:$F$500,0))="sin dato","",INDEX(CODIFICACION!$E$2:$E$500,MATCH("P8|"&amp;CAPTURA!AE137,CODIFICACION!$F$2:$F$500,0))),"⚠"))</f>
        <v/>
      </c>
      <c r="E137" t="str">
        <f>IF(CAPTURA!AG137="","",IFERROR(IF(INDEX(CODIFICACION!$E$2:$E$500,MATCH("P10|"&amp;CAPTURA!AG137,CODIFICACION!$F$2:$F$500,0))="sin dato","",INDEX(CODIFICACION!$E$2:$E$500,MATCH("P10|"&amp;CAPTURA!AG137,CODIFICACION!$F$2:$F$500,0))),"⚠"))</f>
        <v/>
      </c>
      <c r="F137" t="str">
        <f>IF(CAPTURA!AJ137="","",IFERROR(IF(INDEX(CODIFICACION!$E$2:$E$500,MATCH("P13|"&amp;CAPTURA!AJ137,CODIFICACION!$F$2:$F$500,0))="sin dato","",INDEX(CODIFICACION!$E$2:$E$500,MATCH("P13|"&amp;CAPTURA!AJ137,CODIFICACION!$F$2:$F$500,0))),"⚠"))</f>
        <v/>
      </c>
      <c r="G137" t="str">
        <f>IF(CAPTURA!AK137="","",IFERROR(IF(INDEX(CODIFICACION!$E$2:$E$500,MATCH("P14|"&amp;CAPTURA!AK137,CODIFICACION!$F$2:$F$500,0))="sin dato","",INDEX(CODIFICACION!$E$2:$E$500,MATCH("P14|"&amp;CAPTURA!AK137,CODIFICACION!$F$2:$F$500,0))),"⚠"))</f>
        <v/>
      </c>
      <c r="H137" t="str">
        <f>IF(CAPTURA!AL137="","",IFERROR(IF(INDEX(CODIFICACION!$E$2:$E$500,MATCH("D1.1|"&amp;CAPTURA!AL137,CODIFICACION!$F$2:$F$500,0))="sin dato","",INDEX(CODIFICACION!$E$2:$E$500,MATCH("D1.1|"&amp;CAPTURA!AL137,CODIFICACION!$F$2:$F$500,0))),"⚠"))</f>
        <v/>
      </c>
      <c r="I137" t="str">
        <f>IF(CAPTURA!AN137="","",IFERROR(IF(INDEX(CODIFICACION!$E$2:$E$500,MATCH("D1.3|"&amp;CAPTURA!AN137,CODIFICACION!$F$2:$F$500,0))="sin dato","",INDEX(CODIFICACION!$E$2:$E$500,MATCH("D1.3|"&amp;CAPTURA!AN137,CODIFICACION!$F$2:$F$500,0))),"⚠"))</f>
        <v/>
      </c>
      <c r="J137" t="str">
        <f>IF(CAPTURA!AO137="","",IFERROR(IF(INDEX(CODIFICACION!$E$2:$E$500,MATCH("D1.4|"&amp;CAPTURA!AO137,CODIFICACION!$F$2:$F$500,0))="sin dato","",INDEX(CODIFICACION!$E$2:$E$500,MATCH("D1.4|"&amp;CAPTURA!AO137,CODIFICACION!$F$2:$F$500,0))),"⚠"))</f>
        <v/>
      </c>
      <c r="K137" t="str">
        <f>IF(CAPTURA!AP137="","",IFERROR(IF(INDEX(CODIFICACION!$E$2:$E$500,MATCH("D1.3a|"&amp;CAPTURA!AP137,CODIFICACION!$F$2:$F$500,0))="sin dato","",INDEX(CODIFICACION!$E$2:$E$500,MATCH("D1.3a|"&amp;CAPTURA!AP137,CODIFICACION!$F$2:$F$500,0))),"⚠"))</f>
        <v/>
      </c>
      <c r="L137" t="str">
        <f>IF(CAPTURA!AQ137="","",IF(AND(ISNUMBER(CAPTURA!AQ137),CAPTURA!AQ137&gt;=0,CAPTURA!AQ137&lt;=4),CAPTURA!AQ137*25,"⚠"))</f>
        <v/>
      </c>
      <c r="M137" t="str">
        <f>IF(CAPTURA!AR137="","",IF(ISNUMBER(CAPTURA!AR137),MAX(0,MIN(100,CAPTURA!AR137)),"⚠"))</f>
        <v/>
      </c>
      <c r="N137" t="str">
        <f>IF(CAPTURA!AS137="","",IF(AND(ISNUMBER(CAPTURA!AS137),CAPTURA!AS137&gt;=0,CAPTURA!AS137&lt;=4),CAPTURA!AS137*25,"⚠"))</f>
        <v/>
      </c>
      <c r="O137" t="str">
        <f>IF(CAPTURA!AT137="","",IFERROR(IF(INDEX(CODIFICACION!$E$2:$E$500,MATCH("D2.8|"&amp;CAPTURA!AT137,CODIFICACION!$F$2:$F$500,0))="sin dato","",INDEX(CODIFICACION!$E$2:$E$500,MATCH("D2.8|"&amp;CAPTURA!AT137,CODIFICACION!$F$2:$F$500,0))),"⚠"))</f>
        <v/>
      </c>
      <c r="P137" t="str">
        <f>IF(CAPTURA!AU137="","",IFERROR(IF(INDEX(CODIFICACION!$E$2:$E$500,MATCH("D2.9|"&amp;CAPTURA!AU137,CODIFICACION!$F$2:$F$500,0))="sin dato","",INDEX(CODIFICACION!$E$2:$E$500,MATCH("D2.9|"&amp;CAPTURA!AU137,CODIFICACION!$F$2:$F$500,0))),"⚠"))</f>
        <v/>
      </c>
      <c r="Q137" t="str">
        <f>IF(CAPTURA!AV137="","",IFERROR(IF(INDEX(CODIFICACION!$E$2:$E$500,MATCH("D2.10|"&amp;CAPTURA!AV137,CODIFICACION!$F$2:$F$500,0))="sin dato","",INDEX(CODIFICACION!$E$2:$E$500,MATCH("D2.10|"&amp;CAPTURA!AV137,CODIFICACION!$F$2:$F$500,0))),"⚠"))</f>
        <v/>
      </c>
      <c r="R137" t="str">
        <f>IF(CAPTURA!AW137="","",IFERROR(IF(INDEX(CODIFICACION!$E$2:$E$500,MATCH("D2.5a|"&amp;CAPTURA!AW137,CODIFICACION!$F$2:$F$500,0))="sin dato","",INDEX(CODIFICACION!$E$2:$E$500,MATCH("D2.5a|"&amp;CAPTURA!AW137,CODIFICACION!$F$2:$F$500,0))),"⚠"))</f>
        <v/>
      </c>
      <c r="S137" t="str">
        <f>IF(CAPTURA!AX137="","",IFERROR(IF(INDEX(CODIFICACION!$E$2:$E$500,MATCH("D2.5b|"&amp;CAPTURA!AX137,CODIFICACION!$F$2:$F$500,0))="sin dato","",INDEX(CODIFICACION!$E$2:$E$500,MATCH("D2.5b|"&amp;CAPTURA!AX137,CODIFICACION!$F$2:$F$500,0))),"⚠"))</f>
        <v/>
      </c>
      <c r="T137" t="str">
        <f>IF(CAPTURA!AY137="","",IF(ISNUMBER(CAPTURA!AY137),MAX(0,MIN(100,CAPTURA!AY137)),"⚠"))</f>
        <v/>
      </c>
      <c r="U137" t="str">
        <f>IF(CAPTURA!AZ137="","",IFERROR(IF(INDEX(CODIFICACION!$E$2:$E$500,MATCH("D3.12|"&amp;CAPTURA!AZ137,CODIFICACION!$F$2:$F$500,0))="sin dato","",INDEX(CODIFICACION!$E$2:$E$500,MATCH("D3.12|"&amp;CAPTURA!AZ137,CODIFICACION!$F$2:$F$500,0))),"⚠"))</f>
        <v/>
      </c>
      <c r="V137" t="str">
        <f>IF(CAPTURA!BA137="","",IF(AND(ISNUMBER(CAPTURA!BA137),CAPTURA!BA137&gt;=0,CAPTURA!BA137&lt;=4),CAPTURA!BA137*25,"⚠"))</f>
        <v/>
      </c>
      <c r="W137" t="str">
        <f>IF(CAPTURA!BB137="","",IFERROR(IF(INDEX(CODIFICACION!$E$2:$E$500,MATCH("D3.14|"&amp;CAPTURA!BB137,CODIFICACION!$F$2:$F$500,0))="sin dato","",INDEX(CODIFICACION!$E$2:$E$500,MATCH("D3.14|"&amp;CAPTURA!BB137,CODIFICACION!$F$2:$F$500,0))),"⚠"))</f>
        <v/>
      </c>
      <c r="X137" t="str">
        <f>IF(CAPTURA!BC137="","",IFERROR(IF(INDEX(CODIFICACION!$E$2:$E$500,MATCH("D3.14a|"&amp;CAPTURA!BC137,CODIFICACION!$F$2:$F$500,0))="sin dato","",INDEX(CODIFICACION!$E$2:$E$500,MATCH("D3.14a|"&amp;CAPTURA!BC137,CODIFICACION!$F$2:$F$500,0))),"⚠"))</f>
        <v/>
      </c>
      <c r="Y137" t="str">
        <f>IF(CAPTURA!BD137="","",IFERROR(IF(INDEX(CODIFICACION!$E$2:$E$500,MATCH("D3.14b|"&amp;CAPTURA!BD137,CODIFICACION!$F$2:$F$500,0))="sin dato","",INDEX(CODIFICACION!$E$2:$E$500,MATCH("D3.14b|"&amp;CAPTURA!BD137,CODIFICACION!$F$2:$F$500,0))),"⚠"))</f>
        <v/>
      </c>
      <c r="Z137" t="str">
        <f>IF(CAPTURA!BE137="","",IFERROR(IF(INDEX(CODIFICACION!$E$2:$E$500,MATCH("D3.14c|"&amp;CAPTURA!BE137,CODIFICACION!$F$2:$F$500,0))="sin dato","",INDEX(CODIFICACION!$E$2:$E$500,MATCH("D3.14c|"&amp;CAPTURA!BE137,CODIFICACION!$F$2:$F$500,0))),"⚠"))</f>
        <v/>
      </c>
      <c r="AA137" t="str">
        <f>IF(CAPTURA!BF137="","",IFERROR(IF(INDEX(CODIFICACION!$E$2:$E$500,MATCH("D3.14d|"&amp;CAPTURA!BF137,CODIFICACION!$F$2:$F$500,0))="sin dato","",INDEX(CODIFICACION!$E$2:$E$500,MATCH("D3.14d|"&amp;CAPTURA!BF137,CODIFICACION!$F$2:$F$500,0))),"⚠"))</f>
        <v/>
      </c>
      <c r="AB137" t="str">
        <f>IF(CAPTURA!BG137="","",IFERROR(IF(INDEX(CODIFICACION!$E$2:$E$500,MATCH("D3.14e|"&amp;CAPTURA!BG137,CODIFICACION!$F$2:$F$500,0))="sin dato","",INDEX(CODIFICACION!$E$2:$E$500,MATCH("D3.14e|"&amp;CAPTURA!BG137,CODIFICACION!$F$2:$F$500,0))),"⚠"))</f>
        <v/>
      </c>
      <c r="AC137" t="str">
        <f>IF(CAPTURA!BH137="","",IFERROR(IF(INDEX(CODIFICACION!$E$2:$E$500,MATCH("D3.14f|"&amp;CAPTURA!BH137,CODIFICACION!$F$2:$F$500,0))="sin dato","",INDEX(CODIFICACION!$E$2:$E$500,MATCH("D3.14f|"&amp;CAPTURA!BH137,CODIFICACION!$F$2:$F$500,0))),"⚠"))</f>
        <v/>
      </c>
      <c r="AD137" t="str">
        <f>IF(CAPTURA!BI137="","",IFERROR(IF(INDEX(CODIFICACION!$E$2:$E$500,MATCH("D3.14g|"&amp;CAPTURA!BI137,CODIFICACION!$F$2:$F$500,0))="sin dato","",INDEX(CODIFICACION!$E$2:$E$500,MATCH("D3.14g|"&amp;CAPTURA!BI137,CODIFICACION!$F$2:$F$500,0))),"⚠"))</f>
        <v/>
      </c>
      <c r="AE137" t="str">
        <f>IF(CAPTURA!BJ137="","",IFERROR(IF(INDEX(CODIFICACION!$E$2:$E$500,MATCH("D3.14h|"&amp;CAPTURA!BJ137,CODIFICACION!$F$2:$F$500,0))="sin dato","",INDEX(CODIFICACION!$E$2:$E$500,MATCH("D3.14h|"&amp;CAPTURA!BJ137,CODIFICACION!$F$2:$F$500,0))),"⚠"))</f>
        <v/>
      </c>
      <c r="AF137" t="str">
        <f>IF(CAPTURA!BK137="","",IFERROR(IF(INDEX(CODIFICACION!$E$2:$E$500,MATCH("D3.14i|"&amp;CAPTURA!BK137,CODIFICACION!$F$2:$F$500,0))="sin dato","",INDEX(CODIFICACION!$E$2:$E$500,MATCH("D3.14i|"&amp;CAPTURA!BK137,CODIFICACION!$F$2:$F$500,0))),"⚠"))</f>
        <v/>
      </c>
      <c r="AG137" t="str">
        <f>IF(CAPTURA!BL137="","",IFERROR(IF(INDEX(CODIFICACION!$E$2:$E$500,MATCH("D4.15|"&amp;CAPTURA!BL137,CODIFICACION!$F$2:$F$500,0))="sin dato","",INDEX(CODIFICACION!$E$2:$E$500,MATCH("D4.15|"&amp;CAPTURA!BL137,CODIFICACION!$F$2:$F$500,0))),"⚠"))</f>
        <v/>
      </c>
      <c r="AH137" t="str">
        <f>IF(CAPTURA!BM137="","",IF(AND(ISNUMBER(CAPTURA!BM137),CAPTURA!BM137&gt;=0,CAPTURA!BM137&lt;=4),CAPTURA!BM137*25,"⚠"))</f>
        <v/>
      </c>
      <c r="AI137" t="str">
        <f>IF(CAPTURA!BN137="","",IFERROR(IF(INDEX(CODIFICACION!$E$2:$E$500,MATCH("D4.17|"&amp;CAPTURA!BN137,CODIFICACION!$F$2:$F$500,0))="sin dato","",INDEX(CODIFICACION!$E$2:$E$500,MATCH("D4.17|"&amp;CAPTURA!BN137,CODIFICACION!$F$2:$F$500,0))),"⚠"))</f>
        <v/>
      </c>
      <c r="AJ137" t="str">
        <f>IF(CAPTURA!BO137="","",IFERROR(IF(INDEX(CODIFICACION!$E$2:$E$500,MATCH("D4.15a|"&amp;CAPTURA!BO137,CODIFICACION!$F$2:$F$500,0))="sin dato","",INDEX(CODIFICACION!$E$2:$E$500,MATCH("D4.15a|"&amp;CAPTURA!BO137,CODIFICACION!$F$2:$F$500,0))),"⚠"))</f>
        <v/>
      </c>
      <c r="AK137" t="str">
        <f>IF(CAPTURA!BP137="","",IF(AND(ISNUMBER(CAPTURA!BP137),CAPTURA!BP137&gt;=0,CAPTURA!BP137&lt;=4),CAPTURA!BP137*25,"⚠"))</f>
        <v/>
      </c>
      <c r="AL137" t="str">
        <f>IF(CAPTURA!BQ137="","",IF(AND(ISNUMBER(CAPTURA!BQ137),CAPTURA!BQ137&gt;=0,CAPTURA!BQ137&lt;=4),CAPTURA!BQ137*25,"⚠"))</f>
        <v/>
      </c>
      <c r="AM137" t="str">
        <f>IF(CAPTURA!BR137="","",IFERROR(IF(INDEX(CODIFICACION!$E$2:$E$500,MATCH("D5.18b|"&amp;CAPTURA!BR137,CODIFICACION!$F$2:$F$500,0))="sin dato","",INDEX(CODIFICACION!$E$2:$E$500,MATCH("D5.18b|"&amp;CAPTURA!BR137,CODIFICACION!$F$2:$F$500,0))),"⚠"))</f>
        <v/>
      </c>
      <c r="AN137" t="str">
        <f>IF(CAPTURA!BS137="","",IFERROR(IF(INDEX(CODIFICACION!$E$2:$E$500,MATCH("D5.19|"&amp;CAPTURA!BS137,CODIFICACION!$F$2:$F$500,0))="sin dato","",INDEX(CODIFICACION!$E$2:$E$500,MATCH("D5.19|"&amp;CAPTURA!BS137,CODIFICACION!$F$2:$F$500,0))),"⚠"))</f>
        <v/>
      </c>
      <c r="AO137" t="str">
        <f>IF(CAPTURA!BT137="","",MIN(100,ROUND((LEN(CAPTURA!BT137)-LEN(SUBSTITUTE(CAPTURA!BT137,";",""))+1)/7*100,1)))</f>
        <v/>
      </c>
      <c r="AP137" t="str">
        <f>IF(CAPTURA!BU137="","",IFERROR(IF(INDEX(CODIFICACION!$E$2:$E$500,MATCH("D5.20|"&amp;CAPTURA!BU137,CODIFICACION!$F$2:$F$500,0))="sin dato","",INDEX(CODIFICACION!$E$2:$E$500,MATCH("D5.20|"&amp;CAPTURA!BU137,CODIFICACION!$F$2:$F$500,0))),"⚠"))</f>
        <v/>
      </c>
      <c r="AQ137" t="str">
        <f>IF(CAPTURA!BV137="","",IFERROR(IF(INDEX(CODIFICACION!$E$2:$E$500,MATCH("D5.21|"&amp;CAPTURA!BV137,CODIFICACION!$F$2:$F$500,0))="sin dato","",INDEX(CODIFICACION!$E$2:$E$500,MATCH("D5.21|"&amp;CAPTURA!BV137,CODIFICACION!$F$2:$F$500,0))),"⚠"))</f>
        <v/>
      </c>
      <c r="AR137" t="str">
        <f>IF(CAPTURA!BW137="","",IFERROR(IF(INDEX(CODIFICACION!$E$2:$E$500,MATCH("D5.21a|"&amp;CAPTURA!BW137,CODIFICACION!$F$2:$F$500,0))="sin dato","",INDEX(CODIFICACION!$E$2:$E$500,MATCH("D5.21a|"&amp;CAPTURA!BW137,CODIFICACION!$F$2:$F$500,0))),"⚠"))</f>
        <v/>
      </c>
      <c r="AS137" t="str">
        <f>IF(CAPTURA!BX137="","",IFERROR(IF(INDEX(CODIFICACION!$E$2:$E$500,MATCH("D5.21b|"&amp;CAPTURA!BX137,CODIFICACION!$F$2:$F$500,0))="sin dato","",INDEX(CODIFICACION!$E$2:$E$500,MATCH("D5.21b|"&amp;CAPTURA!BX137,CODIFICACION!$F$2:$F$500,0))),"⚠"))</f>
        <v/>
      </c>
      <c r="AT137" t="str">
        <f>IF(CAPTURA!BY137="","",IFERROR(IF(INDEX(CODIFICACION!$E$2:$E$500,MATCH("D6.22|"&amp;CAPTURA!BY137,CODIFICACION!$F$2:$F$500,0))="sin dato","",INDEX(CODIFICACION!$E$2:$E$500,MATCH("D6.22|"&amp;CAPTURA!BY137,CODIFICACION!$F$2:$F$500,0))),"⚠"))</f>
        <v/>
      </c>
      <c r="AU137" t="str">
        <f>IF(CAPTURA!BZ137="","",IFERROR(IF(INDEX(CODIFICACION!$E$2:$E$500,MATCH("D6.22a|"&amp;CAPTURA!BZ137,CODIFICACION!$F$2:$F$500,0))="sin dato","",INDEX(CODIFICACION!$E$2:$E$500,MATCH("D6.22a|"&amp;CAPTURA!BZ137,CODIFICACION!$F$2:$F$500,0))),"⚠"))</f>
        <v/>
      </c>
      <c r="AV137" t="str">
        <f>IF(CAPTURA!CA137="","",IFERROR(IF(INDEX(CODIFICACION!$E$2:$E$500,MATCH("D6.22b|"&amp;CAPTURA!CA137,CODIFICACION!$F$2:$F$500,0))="sin dato","",INDEX(CODIFICACION!$E$2:$E$500,MATCH("D6.22b|"&amp;CAPTURA!CA137,CODIFICACION!$F$2:$F$500,0))),"⚠"))</f>
        <v/>
      </c>
      <c r="AW137" t="str">
        <f>IF(CAPTURA!CB137="","",IFERROR(IF(INDEX(CODIFICACION!$E$2:$E$500,MATCH("D6.23|"&amp;CAPTURA!CB137,CODIFICACION!$F$2:$F$500,0))="sin dato","",INDEX(CODIFICACION!$E$2:$E$500,MATCH("D6.23|"&amp;CAPTURA!CB137,CODIFICACION!$F$2:$F$500,0))),"⚠"))</f>
        <v/>
      </c>
      <c r="AX137" t="str">
        <f>IF(CAPTURA!CC137="","",IFERROR(IF(INDEX(CODIFICACION!$E$2:$E$500,MATCH("D6.24|"&amp;CAPTURA!CC137,CODIFICACION!$F$2:$F$500,0))="sin dato","",INDEX(CODIFICACION!$E$2:$E$500,MATCH("D6.24|"&amp;CAPTURA!CC137,CODIFICACION!$F$2:$F$500,0))),"⚠"))</f>
        <v/>
      </c>
      <c r="AY137" t="str">
        <f>IF(CAPTURA!CD137="","",IFERROR(IF(INDEX(CODIFICACION!$E$2:$E$500,MATCH("D6.25|"&amp;CAPTURA!CD137,CODIFICACION!$F$2:$F$500,0))="sin dato","",INDEX(CODIFICACION!$E$2:$E$500,MATCH("D6.25|"&amp;CAPTURA!CD137,CODIFICACION!$F$2:$F$500,0))),"⚠"))</f>
        <v/>
      </c>
      <c r="AZ137" t="str">
        <f>IF(CAPTURA!CE137="","",IFERROR(IF(INDEX(CODIFICACION!$E$2:$E$500,MATCH("D6.25a|"&amp;CAPTURA!CE137,CODIFICACION!$F$2:$F$500,0))="sin dato","",INDEX(CODIFICACION!$E$2:$E$500,MATCH("D6.25a|"&amp;CAPTURA!CE137,CODIFICACION!$F$2:$F$500,0))),"⚠"))</f>
        <v/>
      </c>
      <c r="BA137" t="str">
        <f>IF(CAPTURA!CF137="","",IFERROR(IF(INDEX(CODIFICACION!$E$2:$E$500,MATCH("D6.25b|"&amp;CAPTURA!CF137,CODIFICACION!$F$2:$F$500,0))="sin dato","",INDEX(CODIFICACION!$E$2:$E$500,MATCH("D6.25b|"&amp;CAPTURA!CF137,CODIFICACION!$F$2:$F$500,0))),"⚠"))</f>
        <v/>
      </c>
      <c r="BB137" t="str">
        <f>IF(CAPTURA!CG137="","",IFERROR(IF(INDEX(CODIFICACION!$E$2:$E$500,MATCH("D6.22c|"&amp;CAPTURA!CG137,CODIFICACION!$F$2:$F$500,0))="sin dato","",INDEX(CODIFICACION!$E$2:$E$500,MATCH("D6.22c|"&amp;CAPTURA!CG137,CODIFICACION!$F$2:$F$500,0))),"⚠"))</f>
        <v/>
      </c>
      <c r="BC137" t="str">
        <f>IF(CAPTURA!CH137="","",IFERROR(IF(INDEX(CODIFICACION!$E$2:$E$500,MATCH("D7.26|"&amp;CAPTURA!CH137,CODIFICACION!$F$2:$F$500,0))="sin dato","",INDEX(CODIFICACION!$E$2:$E$500,MATCH("D7.26|"&amp;CAPTURA!CH137,CODIFICACION!$F$2:$F$500,0))),"⚠"))</f>
        <v/>
      </c>
      <c r="BD137" t="str">
        <f>IF(CAPTURA!CI137="","",IFERROR(IF(INDEX(CODIFICACION!$E$2:$E$500,MATCH("D7.27|"&amp;CAPTURA!CI137,CODIFICACION!$F$2:$F$500,0))="sin dato","",INDEX(CODIFICACION!$E$2:$E$500,MATCH("D7.27|"&amp;CAPTURA!CI137,CODIFICACION!$F$2:$F$500,0))),"⚠"))</f>
        <v/>
      </c>
      <c r="BE137" t="str">
        <f>IF(CAPTURA!CJ137="","",IFERROR(IF(INDEX(CODIFICACION!$E$2:$E$500,MATCH("D7.28|"&amp;CAPTURA!CJ137,CODIFICACION!$F$2:$F$500,0))="sin dato","",INDEX(CODIFICACION!$E$2:$E$500,MATCH("D7.28|"&amp;CAPTURA!CJ137,CODIFICACION!$F$2:$F$500,0))),"⚠"))</f>
        <v/>
      </c>
      <c r="BF137" t="str">
        <f>IF(CAPTURA!CK137="","",IFERROR(IF(INDEX(CODIFICACION!$E$2:$E$500,MATCH("D7.28b|"&amp;CAPTURA!CK137,CODIFICACION!$F$2:$F$500,0))="sin dato","",INDEX(CODIFICACION!$E$2:$E$500,MATCH("D7.28b|"&amp;CAPTURA!CK137,CODIFICACION!$F$2:$F$500,0))),"⚠"))</f>
        <v/>
      </c>
      <c r="BG137" t="str">
        <f>IF(CAPTURA!CL137="","",MIN(100,ROUND((LEN(CAPTURA!CL137)-LEN(SUBSTITUTE(CAPTURA!CL137,";",""))+1)/8*100,1)))</f>
        <v/>
      </c>
      <c r="BH137" t="str">
        <f>IF(CAPTURA!CM137="","",IFERROR(IF(INDEX(CODIFICACION!$E$2:$E$500,MATCH("D7.26a|"&amp;CAPTURA!CM137,CODIFICACION!$F$2:$F$500,0))="sin dato","",INDEX(CODIFICACION!$E$2:$E$500,MATCH("D7.26a|"&amp;CAPTURA!CM137,CODIFICACION!$F$2:$F$500,0))),"⚠"))</f>
        <v/>
      </c>
      <c r="BI137" t="str">
        <f>IF(CAPTURA!CN137="","",IFERROR(IF(INDEX(CODIFICACION!$E$2:$E$500,MATCH("D7.26b|"&amp;CAPTURA!CN137,CODIFICACION!$F$2:$F$500,0))="sin dato","",INDEX(CODIFICACION!$E$2:$E$500,MATCH("D7.26b|"&amp;CAPTURA!CN137,CODIFICACION!$F$2:$F$500,0))),"⚠"))</f>
        <v/>
      </c>
      <c r="BJ137" t="str">
        <f>IF(CAPTURA!CO137="","",IF(AND(ISNUMBER(CAPTURA!CO137),CAPTURA!CO137&gt;=0,CAPTURA!CO137&lt;=4),CAPTURA!CO137*25,"⚠"))</f>
        <v/>
      </c>
      <c r="BK137" t="str">
        <f>IF(CAPTURA!CP137="","",IF(ISNUMBER(CAPTURA!CP137),MAX(0,MIN(100,CAPTURA!CP137)),"⚠"))</f>
        <v/>
      </c>
      <c r="BL137" t="str">
        <f>IF(CAPTURA!CQ137="","",IFERROR(IF(INDEX(CODIFICACION!$E$2:$E$500,MATCH("D8.31|"&amp;CAPTURA!CQ137,CODIFICACION!$F$2:$F$500,0))="sin dato","",INDEX(CODIFICACION!$E$2:$E$500,MATCH("D8.31|"&amp;CAPTURA!CQ137,CODIFICACION!$F$2:$F$500,0))),"⚠"))</f>
        <v/>
      </c>
      <c r="BM137" t="str">
        <f>IF(CAPTURA!CR137="","",IFERROR(IF(INDEX(CODIFICACION!$E$2:$E$500,MATCH("D8.32|"&amp;CAPTURA!CR137,CODIFICACION!$F$2:$F$500,0))="sin dato","",INDEX(CODIFICACION!$E$2:$E$500,MATCH("D8.32|"&amp;CAPTURA!CR137,CODIFICACION!$F$2:$F$500,0))),"⚠"))</f>
        <v/>
      </c>
      <c r="BN137" t="str">
        <f>IF(CAPTURA!CS137="","",IFERROR(IF(INDEX(CODIFICACION!$E$2:$E$500,MATCH("D9.33|"&amp;CAPTURA!CS137,CODIFICACION!$F$2:$F$500,0))="sin dato","",INDEX(CODIFICACION!$E$2:$E$500,MATCH("D9.33|"&amp;CAPTURA!CS137,CODIFICACION!$F$2:$F$500,0))),"⚠"))</f>
        <v/>
      </c>
      <c r="BO137" t="str">
        <f>IF(CAPTURA!CT137="","",IFERROR(IF(INDEX(CODIFICACION!$E$2:$E$500,MATCH("D9.34|"&amp;CAPTURA!CT137,CODIFICACION!$F$2:$F$500,0))="sin dato","",INDEX(CODIFICACION!$E$2:$E$500,MATCH("D9.34|"&amp;CAPTURA!CT137,CODIFICACION!$F$2:$F$500,0))),"⚠"))</f>
        <v/>
      </c>
      <c r="BP137" t="str">
        <f>IF(CAPTURA!CU137="","",IFERROR(IF(INDEX(CODIFICACION!$E$2:$E$500,MATCH("D9.35|"&amp;CAPTURA!CU137,CODIFICACION!$F$2:$F$500,0))="sin dato","",INDEX(CODIFICACION!$E$2:$E$500,MATCH("D9.35|"&amp;CAPTURA!CU137,CODIFICACION!$F$2:$F$500,0))),"⚠"))</f>
        <v/>
      </c>
      <c r="BQ137" t="str">
        <f>IF(CAPTURA!CV137="","",IFERROR(IF(INDEX(CODIFICACION!$E$2:$E$500,MATCH("D10.36|"&amp;CAPTURA!CV137,CODIFICACION!$F$2:$F$500,0))="sin dato","",INDEX(CODIFICACION!$E$2:$E$500,MATCH("D10.36|"&amp;CAPTURA!CV137,CODIFICACION!$F$2:$F$500,0))),"⚠"))</f>
        <v/>
      </c>
      <c r="BR137" t="str">
        <f>IF(CAPTURA!CW137="","",IFERROR(IF(INDEX(CODIFICACION!$E$2:$E$500,MATCH("D10.37|"&amp;CAPTURA!CW137,CODIFICACION!$F$2:$F$500,0))="sin dato","",INDEX(CODIFICACION!$E$2:$E$500,MATCH("D10.37|"&amp;CAPTURA!CW137,CODIFICACION!$F$2:$F$500,0))),"⚠"))</f>
        <v/>
      </c>
      <c r="BS137" t="str">
        <f>IF(CAPTURA!CX137="","",IFERROR(IF(INDEX(CODIFICACION!$E$2:$E$500,MATCH("D10.36a|"&amp;CAPTURA!CX137,CODIFICACION!$F$2:$F$500,0))="sin dato","",INDEX(CODIFICACION!$E$2:$E$500,MATCH("D10.36a|"&amp;CAPTURA!CX137,CODIFICACION!$F$2:$F$500,0))),"⚠"))</f>
        <v/>
      </c>
      <c r="BT137" t="str">
        <f>IF(CAPTURA!CY137="","",IF(ISNUMBER(SEARCH("Ninguno",CAPTURA!CY137)),0,MIN(100,ROUND((LEN(CAPTURA!CY137)-LEN(SUBSTITUTE(CAPTURA!CY137,";",""))+1)/6*100,1))))</f>
        <v/>
      </c>
      <c r="BU137" t="str">
        <f>IF(CAPTURA!DA137="","",IFERROR(IF(INDEX(CODIFICACION!$E$2:$E$500,MATCH("D11.39a|"&amp;CAPTURA!DA137,CODIFICACION!$F$2:$F$500,0))="sin dato","",INDEX(CODIFICACION!$E$2:$E$500,MATCH("D11.39a|"&amp;CAPTURA!DA137,CODIFICACION!$F$2:$F$500,0))),"⚠"))</f>
        <v/>
      </c>
      <c r="BV137" t="str">
        <f>IF(CAPTURA!DB137="","",IFERROR(IF(INDEX(CODIFICACION!$E$2:$E$500,MATCH("D12.42|"&amp;CAPTURA!DB137,CODIFICACION!$F$2:$F$500,0))="sin dato","",INDEX(CODIFICACION!$E$2:$E$500,MATCH("D12.42|"&amp;CAPTURA!DB137,CODIFICACION!$F$2:$F$500,0))),"⚠"))</f>
        <v/>
      </c>
      <c r="BW137" t="str">
        <f>IF(CAPTURA!DC137="","",IFERROR(IF(INDEX(CODIFICACION!$E$2:$E$500,MATCH("D13.45|"&amp;CAPTURA!DC137,CODIFICACION!$F$2:$F$500,0))="sin dato","",INDEX(CODIFICACION!$E$2:$E$500,MATCH("D13.45|"&amp;CAPTURA!DC137,CODIFICACION!$F$2:$F$500,0))),"⚠"))</f>
        <v/>
      </c>
      <c r="BX137" t="str">
        <f>IF(CAPTURA!DD137="","",IFERROR(IF(INDEX(CODIFICACION!$E$2:$E$500,MATCH("D14.51|"&amp;CAPTURA!DD137,CODIFICACION!$F$2:$F$500,0))="sin dato","",INDEX(CODIFICACION!$E$2:$E$500,MATCH("D14.51|"&amp;CAPTURA!DD137,CODIFICACION!$F$2:$F$500,0))),"⚠"))</f>
        <v/>
      </c>
      <c r="BY137" t="str">
        <f>IF(CAPTURA!DE137="","",IFERROR(IF(INDEX(CODIFICACION!$E$2:$E$500,MATCH("D15.58|"&amp;CAPTURA!DE137,CODIFICACION!$F$2:$F$500,0))="sin dato","",INDEX(CODIFICACION!$E$2:$E$500,MATCH("D15.58|"&amp;CAPTURA!DE137,CODIFICACION!$F$2:$F$500,0))),"⚠"))</f>
        <v/>
      </c>
      <c r="BZ137" t="str">
        <f>IF(CAPTURA!DF137="","",IFERROR(IF(INDEX(CODIFICACION!$E$2:$E$500,MATCH("PP1|"&amp;CAPTURA!DF137,CODIFICACION!$F$2:$F$500,0))="sin dato","",INDEX(CODIFICACION!$E$2:$E$500,MATCH("PP1|"&amp;CAPTURA!DF137,CODIFICACION!$F$2:$F$500,0))),"⚠"))</f>
        <v/>
      </c>
      <c r="CA137" t="str">
        <f>IF(CAPTURA!DG137="","",IFERROR(IF(INDEX(CODIFICACION!$E$2:$E$500,MATCH("PP2|"&amp;CAPTURA!DG137,CODIFICACION!$F$2:$F$500,0))="sin dato","",INDEX(CODIFICACION!$E$2:$E$500,MATCH("PP2|"&amp;CAPTURA!DG137,CODIFICACION!$F$2:$F$500,0))),"⚠"))</f>
        <v/>
      </c>
      <c r="CB137" t="str">
        <f t="shared" si="44"/>
        <v/>
      </c>
      <c r="CC137" t="str">
        <f t="shared" si="45"/>
        <v/>
      </c>
      <c r="CD137" t="str">
        <f t="shared" si="46"/>
        <v/>
      </c>
      <c r="CE137" t="str">
        <f t="shared" si="47"/>
        <v/>
      </c>
      <c r="CF137" t="str">
        <f t="shared" si="48"/>
        <v/>
      </c>
      <c r="CG137" t="str">
        <f t="shared" si="49"/>
        <v/>
      </c>
      <c r="CH137" t="str">
        <f t="shared" si="50"/>
        <v/>
      </c>
      <c r="CI137" t="str">
        <f t="shared" si="51"/>
        <v/>
      </c>
      <c r="CJ137" t="str">
        <f t="shared" si="52"/>
        <v/>
      </c>
      <c r="CK137" t="str">
        <f t="shared" si="53"/>
        <v/>
      </c>
      <c r="CL137" t="str">
        <f t="shared" si="54"/>
        <v/>
      </c>
    </row>
    <row r="138" spans="1:90" x14ac:dyDescent="0.3">
      <c r="A138">
        <f>CAPTURA!A138</f>
        <v>20603320621</v>
      </c>
      <c r="B138">
        <f>CAPTURA!C138</f>
        <v>0</v>
      </c>
      <c r="C138" t="str">
        <f>IF(CAPTURA!M138="","",ROUND((ISNUMBER(SEARCH("Alemania",CAPTURA!M138))+ISNUMBER(SEARCH("Bélgica",CAPTURA!M138))+ISNUMBER(SEARCH("Países Bajos",CAPTURA!M138))+ISNUMBER(SEARCH("Francia",CAPTURA!M138))+ISNUMBER(SEARCH("Italia",CAPTURA!M138))+ISNUMBER(SEARCH("España",CAPTURA!M138))+ISNUMBER(SEARCH("Suecia",CAPTURA!M138))+ISNUMBER(SEARCH("Dinamarca",CAPTURA!M138)))/((LEN(CAPTURA!M138)-LEN(SUBSTITUTE(CAPTURA!M138,";","")))+1)*100,1))</f>
        <v/>
      </c>
      <c r="D138" t="str">
        <f>IF(CAPTURA!AE138="","",IFERROR(IF(INDEX(CODIFICACION!$E$2:$E$500,MATCH("P8|"&amp;CAPTURA!AE138,CODIFICACION!$F$2:$F$500,0))="sin dato","",INDEX(CODIFICACION!$E$2:$E$500,MATCH("P8|"&amp;CAPTURA!AE138,CODIFICACION!$F$2:$F$500,0))),"⚠"))</f>
        <v/>
      </c>
      <c r="E138" t="str">
        <f>IF(CAPTURA!AG138="","",IFERROR(IF(INDEX(CODIFICACION!$E$2:$E$500,MATCH("P10|"&amp;CAPTURA!AG138,CODIFICACION!$F$2:$F$500,0))="sin dato","",INDEX(CODIFICACION!$E$2:$E$500,MATCH("P10|"&amp;CAPTURA!AG138,CODIFICACION!$F$2:$F$500,0))),"⚠"))</f>
        <v/>
      </c>
      <c r="F138" t="str">
        <f>IF(CAPTURA!AJ138="","",IFERROR(IF(INDEX(CODIFICACION!$E$2:$E$500,MATCH("P13|"&amp;CAPTURA!AJ138,CODIFICACION!$F$2:$F$500,0))="sin dato","",INDEX(CODIFICACION!$E$2:$E$500,MATCH("P13|"&amp;CAPTURA!AJ138,CODIFICACION!$F$2:$F$500,0))),"⚠"))</f>
        <v/>
      </c>
      <c r="G138" t="str">
        <f>IF(CAPTURA!AK138="","",IFERROR(IF(INDEX(CODIFICACION!$E$2:$E$500,MATCH("P14|"&amp;CAPTURA!AK138,CODIFICACION!$F$2:$F$500,0))="sin dato","",INDEX(CODIFICACION!$E$2:$E$500,MATCH("P14|"&amp;CAPTURA!AK138,CODIFICACION!$F$2:$F$500,0))),"⚠"))</f>
        <v/>
      </c>
      <c r="H138" t="str">
        <f>IF(CAPTURA!AL138="","",IFERROR(IF(INDEX(CODIFICACION!$E$2:$E$500,MATCH("D1.1|"&amp;CAPTURA!AL138,CODIFICACION!$F$2:$F$500,0))="sin dato","",INDEX(CODIFICACION!$E$2:$E$500,MATCH("D1.1|"&amp;CAPTURA!AL138,CODIFICACION!$F$2:$F$500,0))),"⚠"))</f>
        <v/>
      </c>
      <c r="I138" t="str">
        <f>IF(CAPTURA!AN138="","",IFERROR(IF(INDEX(CODIFICACION!$E$2:$E$500,MATCH("D1.3|"&amp;CAPTURA!AN138,CODIFICACION!$F$2:$F$500,0))="sin dato","",INDEX(CODIFICACION!$E$2:$E$500,MATCH("D1.3|"&amp;CAPTURA!AN138,CODIFICACION!$F$2:$F$500,0))),"⚠"))</f>
        <v/>
      </c>
      <c r="J138" t="str">
        <f>IF(CAPTURA!AO138="","",IFERROR(IF(INDEX(CODIFICACION!$E$2:$E$500,MATCH("D1.4|"&amp;CAPTURA!AO138,CODIFICACION!$F$2:$F$500,0))="sin dato","",INDEX(CODIFICACION!$E$2:$E$500,MATCH("D1.4|"&amp;CAPTURA!AO138,CODIFICACION!$F$2:$F$500,0))),"⚠"))</f>
        <v/>
      </c>
      <c r="K138" t="str">
        <f>IF(CAPTURA!AP138="","",IFERROR(IF(INDEX(CODIFICACION!$E$2:$E$500,MATCH("D1.3a|"&amp;CAPTURA!AP138,CODIFICACION!$F$2:$F$500,0))="sin dato","",INDEX(CODIFICACION!$E$2:$E$500,MATCH("D1.3a|"&amp;CAPTURA!AP138,CODIFICACION!$F$2:$F$500,0))),"⚠"))</f>
        <v/>
      </c>
      <c r="L138" t="str">
        <f>IF(CAPTURA!AQ138="","",IF(AND(ISNUMBER(CAPTURA!AQ138),CAPTURA!AQ138&gt;=0,CAPTURA!AQ138&lt;=4),CAPTURA!AQ138*25,"⚠"))</f>
        <v/>
      </c>
      <c r="M138" t="str">
        <f>IF(CAPTURA!AR138="","",IF(ISNUMBER(CAPTURA!AR138),MAX(0,MIN(100,CAPTURA!AR138)),"⚠"))</f>
        <v/>
      </c>
      <c r="N138" t="str">
        <f>IF(CAPTURA!AS138="","",IF(AND(ISNUMBER(CAPTURA!AS138),CAPTURA!AS138&gt;=0,CAPTURA!AS138&lt;=4),CAPTURA!AS138*25,"⚠"))</f>
        <v/>
      </c>
      <c r="O138" t="str">
        <f>IF(CAPTURA!AT138="","",IFERROR(IF(INDEX(CODIFICACION!$E$2:$E$500,MATCH("D2.8|"&amp;CAPTURA!AT138,CODIFICACION!$F$2:$F$500,0))="sin dato","",INDEX(CODIFICACION!$E$2:$E$500,MATCH("D2.8|"&amp;CAPTURA!AT138,CODIFICACION!$F$2:$F$500,0))),"⚠"))</f>
        <v/>
      </c>
      <c r="P138" t="str">
        <f>IF(CAPTURA!AU138="","",IFERROR(IF(INDEX(CODIFICACION!$E$2:$E$500,MATCH("D2.9|"&amp;CAPTURA!AU138,CODIFICACION!$F$2:$F$500,0))="sin dato","",INDEX(CODIFICACION!$E$2:$E$500,MATCH("D2.9|"&amp;CAPTURA!AU138,CODIFICACION!$F$2:$F$500,0))),"⚠"))</f>
        <v/>
      </c>
      <c r="Q138" t="str">
        <f>IF(CAPTURA!AV138="","",IFERROR(IF(INDEX(CODIFICACION!$E$2:$E$500,MATCH("D2.10|"&amp;CAPTURA!AV138,CODIFICACION!$F$2:$F$500,0))="sin dato","",INDEX(CODIFICACION!$E$2:$E$500,MATCH("D2.10|"&amp;CAPTURA!AV138,CODIFICACION!$F$2:$F$500,0))),"⚠"))</f>
        <v/>
      </c>
      <c r="R138" t="str">
        <f>IF(CAPTURA!AW138="","",IFERROR(IF(INDEX(CODIFICACION!$E$2:$E$500,MATCH("D2.5a|"&amp;CAPTURA!AW138,CODIFICACION!$F$2:$F$500,0))="sin dato","",INDEX(CODIFICACION!$E$2:$E$500,MATCH("D2.5a|"&amp;CAPTURA!AW138,CODIFICACION!$F$2:$F$500,0))),"⚠"))</f>
        <v/>
      </c>
      <c r="S138" t="str">
        <f>IF(CAPTURA!AX138="","",IFERROR(IF(INDEX(CODIFICACION!$E$2:$E$500,MATCH("D2.5b|"&amp;CAPTURA!AX138,CODIFICACION!$F$2:$F$500,0))="sin dato","",INDEX(CODIFICACION!$E$2:$E$500,MATCH("D2.5b|"&amp;CAPTURA!AX138,CODIFICACION!$F$2:$F$500,0))),"⚠"))</f>
        <v/>
      </c>
      <c r="T138" t="str">
        <f>IF(CAPTURA!AY138="","",IF(ISNUMBER(CAPTURA!AY138),MAX(0,MIN(100,CAPTURA!AY138)),"⚠"))</f>
        <v/>
      </c>
      <c r="U138" t="str">
        <f>IF(CAPTURA!AZ138="","",IFERROR(IF(INDEX(CODIFICACION!$E$2:$E$500,MATCH("D3.12|"&amp;CAPTURA!AZ138,CODIFICACION!$F$2:$F$500,0))="sin dato","",INDEX(CODIFICACION!$E$2:$E$500,MATCH("D3.12|"&amp;CAPTURA!AZ138,CODIFICACION!$F$2:$F$500,0))),"⚠"))</f>
        <v/>
      </c>
      <c r="V138" t="str">
        <f>IF(CAPTURA!BA138="","",IF(AND(ISNUMBER(CAPTURA!BA138),CAPTURA!BA138&gt;=0,CAPTURA!BA138&lt;=4),CAPTURA!BA138*25,"⚠"))</f>
        <v/>
      </c>
      <c r="W138" t="str">
        <f>IF(CAPTURA!BB138="","",IFERROR(IF(INDEX(CODIFICACION!$E$2:$E$500,MATCH("D3.14|"&amp;CAPTURA!BB138,CODIFICACION!$F$2:$F$500,0))="sin dato","",INDEX(CODIFICACION!$E$2:$E$500,MATCH("D3.14|"&amp;CAPTURA!BB138,CODIFICACION!$F$2:$F$500,0))),"⚠"))</f>
        <v/>
      </c>
      <c r="X138" t="str">
        <f>IF(CAPTURA!BC138="","",IFERROR(IF(INDEX(CODIFICACION!$E$2:$E$500,MATCH("D3.14a|"&amp;CAPTURA!BC138,CODIFICACION!$F$2:$F$500,0))="sin dato","",INDEX(CODIFICACION!$E$2:$E$500,MATCH("D3.14a|"&amp;CAPTURA!BC138,CODIFICACION!$F$2:$F$500,0))),"⚠"))</f>
        <v/>
      </c>
      <c r="Y138" t="str">
        <f>IF(CAPTURA!BD138="","",IFERROR(IF(INDEX(CODIFICACION!$E$2:$E$500,MATCH("D3.14b|"&amp;CAPTURA!BD138,CODIFICACION!$F$2:$F$500,0))="sin dato","",INDEX(CODIFICACION!$E$2:$E$500,MATCH("D3.14b|"&amp;CAPTURA!BD138,CODIFICACION!$F$2:$F$500,0))),"⚠"))</f>
        <v/>
      </c>
      <c r="Z138" t="str">
        <f>IF(CAPTURA!BE138="","",IFERROR(IF(INDEX(CODIFICACION!$E$2:$E$500,MATCH("D3.14c|"&amp;CAPTURA!BE138,CODIFICACION!$F$2:$F$500,0))="sin dato","",INDEX(CODIFICACION!$E$2:$E$500,MATCH("D3.14c|"&amp;CAPTURA!BE138,CODIFICACION!$F$2:$F$500,0))),"⚠"))</f>
        <v/>
      </c>
      <c r="AA138" t="str">
        <f>IF(CAPTURA!BF138="","",IFERROR(IF(INDEX(CODIFICACION!$E$2:$E$500,MATCH("D3.14d|"&amp;CAPTURA!BF138,CODIFICACION!$F$2:$F$500,0))="sin dato","",INDEX(CODIFICACION!$E$2:$E$500,MATCH("D3.14d|"&amp;CAPTURA!BF138,CODIFICACION!$F$2:$F$500,0))),"⚠"))</f>
        <v/>
      </c>
      <c r="AB138" t="str">
        <f>IF(CAPTURA!BG138="","",IFERROR(IF(INDEX(CODIFICACION!$E$2:$E$500,MATCH("D3.14e|"&amp;CAPTURA!BG138,CODIFICACION!$F$2:$F$500,0))="sin dato","",INDEX(CODIFICACION!$E$2:$E$500,MATCH("D3.14e|"&amp;CAPTURA!BG138,CODIFICACION!$F$2:$F$500,0))),"⚠"))</f>
        <v/>
      </c>
      <c r="AC138" t="str">
        <f>IF(CAPTURA!BH138="","",IFERROR(IF(INDEX(CODIFICACION!$E$2:$E$500,MATCH("D3.14f|"&amp;CAPTURA!BH138,CODIFICACION!$F$2:$F$500,0))="sin dato","",INDEX(CODIFICACION!$E$2:$E$500,MATCH("D3.14f|"&amp;CAPTURA!BH138,CODIFICACION!$F$2:$F$500,0))),"⚠"))</f>
        <v/>
      </c>
      <c r="AD138" t="str">
        <f>IF(CAPTURA!BI138="","",IFERROR(IF(INDEX(CODIFICACION!$E$2:$E$500,MATCH("D3.14g|"&amp;CAPTURA!BI138,CODIFICACION!$F$2:$F$500,0))="sin dato","",INDEX(CODIFICACION!$E$2:$E$500,MATCH("D3.14g|"&amp;CAPTURA!BI138,CODIFICACION!$F$2:$F$500,0))),"⚠"))</f>
        <v/>
      </c>
      <c r="AE138" t="str">
        <f>IF(CAPTURA!BJ138="","",IFERROR(IF(INDEX(CODIFICACION!$E$2:$E$500,MATCH("D3.14h|"&amp;CAPTURA!BJ138,CODIFICACION!$F$2:$F$500,0))="sin dato","",INDEX(CODIFICACION!$E$2:$E$500,MATCH("D3.14h|"&amp;CAPTURA!BJ138,CODIFICACION!$F$2:$F$500,0))),"⚠"))</f>
        <v/>
      </c>
      <c r="AF138" t="str">
        <f>IF(CAPTURA!BK138="","",IFERROR(IF(INDEX(CODIFICACION!$E$2:$E$500,MATCH("D3.14i|"&amp;CAPTURA!BK138,CODIFICACION!$F$2:$F$500,0))="sin dato","",INDEX(CODIFICACION!$E$2:$E$500,MATCH("D3.14i|"&amp;CAPTURA!BK138,CODIFICACION!$F$2:$F$500,0))),"⚠"))</f>
        <v/>
      </c>
      <c r="AG138" t="str">
        <f>IF(CAPTURA!BL138="","",IFERROR(IF(INDEX(CODIFICACION!$E$2:$E$500,MATCH("D4.15|"&amp;CAPTURA!BL138,CODIFICACION!$F$2:$F$500,0))="sin dato","",INDEX(CODIFICACION!$E$2:$E$500,MATCH("D4.15|"&amp;CAPTURA!BL138,CODIFICACION!$F$2:$F$500,0))),"⚠"))</f>
        <v/>
      </c>
      <c r="AH138" t="str">
        <f>IF(CAPTURA!BM138="","",IF(AND(ISNUMBER(CAPTURA!BM138),CAPTURA!BM138&gt;=0,CAPTURA!BM138&lt;=4),CAPTURA!BM138*25,"⚠"))</f>
        <v/>
      </c>
      <c r="AI138" t="str">
        <f>IF(CAPTURA!BN138="","",IFERROR(IF(INDEX(CODIFICACION!$E$2:$E$500,MATCH("D4.17|"&amp;CAPTURA!BN138,CODIFICACION!$F$2:$F$500,0))="sin dato","",INDEX(CODIFICACION!$E$2:$E$500,MATCH("D4.17|"&amp;CAPTURA!BN138,CODIFICACION!$F$2:$F$500,0))),"⚠"))</f>
        <v/>
      </c>
      <c r="AJ138" t="str">
        <f>IF(CAPTURA!BO138="","",IFERROR(IF(INDEX(CODIFICACION!$E$2:$E$500,MATCH("D4.15a|"&amp;CAPTURA!BO138,CODIFICACION!$F$2:$F$500,0))="sin dato","",INDEX(CODIFICACION!$E$2:$E$500,MATCH("D4.15a|"&amp;CAPTURA!BO138,CODIFICACION!$F$2:$F$500,0))),"⚠"))</f>
        <v/>
      </c>
      <c r="AK138" t="str">
        <f>IF(CAPTURA!BP138="","",IF(AND(ISNUMBER(CAPTURA!BP138),CAPTURA!BP138&gt;=0,CAPTURA!BP138&lt;=4),CAPTURA!BP138*25,"⚠"))</f>
        <v/>
      </c>
      <c r="AL138" t="str">
        <f>IF(CAPTURA!BQ138="","",IF(AND(ISNUMBER(CAPTURA!BQ138),CAPTURA!BQ138&gt;=0,CAPTURA!BQ138&lt;=4),CAPTURA!BQ138*25,"⚠"))</f>
        <v/>
      </c>
      <c r="AM138" t="str">
        <f>IF(CAPTURA!BR138="","",IFERROR(IF(INDEX(CODIFICACION!$E$2:$E$500,MATCH("D5.18b|"&amp;CAPTURA!BR138,CODIFICACION!$F$2:$F$500,0))="sin dato","",INDEX(CODIFICACION!$E$2:$E$500,MATCH("D5.18b|"&amp;CAPTURA!BR138,CODIFICACION!$F$2:$F$500,0))),"⚠"))</f>
        <v/>
      </c>
      <c r="AN138" t="str">
        <f>IF(CAPTURA!BS138="","",IFERROR(IF(INDEX(CODIFICACION!$E$2:$E$500,MATCH("D5.19|"&amp;CAPTURA!BS138,CODIFICACION!$F$2:$F$500,0))="sin dato","",INDEX(CODIFICACION!$E$2:$E$500,MATCH("D5.19|"&amp;CAPTURA!BS138,CODIFICACION!$F$2:$F$500,0))),"⚠"))</f>
        <v/>
      </c>
      <c r="AO138" t="str">
        <f>IF(CAPTURA!BT138="","",MIN(100,ROUND((LEN(CAPTURA!BT138)-LEN(SUBSTITUTE(CAPTURA!BT138,";",""))+1)/7*100,1)))</f>
        <v/>
      </c>
      <c r="AP138" t="str">
        <f>IF(CAPTURA!BU138="","",IFERROR(IF(INDEX(CODIFICACION!$E$2:$E$500,MATCH("D5.20|"&amp;CAPTURA!BU138,CODIFICACION!$F$2:$F$500,0))="sin dato","",INDEX(CODIFICACION!$E$2:$E$500,MATCH("D5.20|"&amp;CAPTURA!BU138,CODIFICACION!$F$2:$F$500,0))),"⚠"))</f>
        <v/>
      </c>
      <c r="AQ138" t="str">
        <f>IF(CAPTURA!BV138="","",IFERROR(IF(INDEX(CODIFICACION!$E$2:$E$500,MATCH("D5.21|"&amp;CAPTURA!BV138,CODIFICACION!$F$2:$F$500,0))="sin dato","",INDEX(CODIFICACION!$E$2:$E$500,MATCH("D5.21|"&amp;CAPTURA!BV138,CODIFICACION!$F$2:$F$500,0))),"⚠"))</f>
        <v/>
      </c>
      <c r="AR138" t="str">
        <f>IF(CAPTURA!BW138="","",IFERROR(IF(INDEX(CODIFICACION!$E$2:$E$500,MATCH("D5.21a|"&amp;CAPTURA!BW138,CODIFICACION!$F$2:$F$500,0))="sin dato","",INDEX(CODIFICACION!$E$2:$E$500,MATCH("D5.21a|"&amp;CAPTURA!BW138,CODIFICACION!$F$2:$F$500,0))),"⚠"))</f>
        <v/>
      </c>
      <c r="AS138" t="str">
        <f>IF(CAPTURA!BX138="","",IFERROR(IF(INDEX(CODIFICACION!$E$2:$E$500,MATCH("D5.21b|"&amp;CAPTURA!BX138,CODIFICACION!$F$2:$F$500,0))="sin dato","",INDEX(CODIFICACION!$E$2:$E$500,MATCH("D5.21b|"&amp;CAPTURA!BX138,CODIFICACION!$F$2:$F$500,0))),"⚠"))</f>
        <v/>
      </c>
      <c r="AT138" t="str">
        <f>IF(CAPTURA!BY138="","",IFERROR(IF(INDEX(CODIFICACION!$E$2:$E$500,MATCH("D6.22|"&amp;CAPTURA!BY138,CODIFICACION!$F$2:$F$500,0))="sin dato","",INDEX(CODIFICACION!$E$2:$E$500,MATCH("D6.22|"&amp;CAPTURA!BY138,CODIFICACION!$F$2:$F$500,0))),"⚠"))</f>
        <v/>
      </c>
      <c r="AU138" t="str">
        <f>IF(CAPTURA!BZ138="","",IFERROR(IF(INDEX(CODIFICACION!$E$2:$E$500,MATCH("D6.22a|"&amp;CAPTURA!BZ138,CODIFICACION!$F$2:$F$500,0))="sin dato","",INDEX(CODIFICACION!$E$2:$E$500,MATCH("D6.22a|"&amp;CAPTURA!BZ138,CODIFICACION!$F$2:$F$500,0))),"⚠"))</f>
        <v/>
      </c>
      <c r="AV138" t="str">
        <f>IF(CAPTURA!CA138="","",IFERROR(IF(INDEX(CODIFICACION!$E$2:$E$500,MATCH("D6.22b|"&amp;CAPTURA!CA138,CODIFICACION!$F$2:$F$500,0))="sin dato","",INDEX(CODIFICACION!$E$2:$E$500,MATCH("D6.22b|"&amp;CAPTURA!CA138,CODIFICACION!$F$2:$F$500,0))),"⚠"))</f>
        <v/>
      </c>
      <c r="AW138" t="str">
        <f>IF(CAPTURA!CB138="","",IFERROR(IF(INDEX(CODIFICACION!$E$2:$E$500,MATCH("D6.23|"&amp;CAPTURA!CB138,CODIFICACION!$F$2:$F$500,0))="sin dato","",INDEX(CODIFICACION!$E$2:$E$500,MATCH("D6.23|"&amp;CAPTURA!CB138,CODIFICACION!$F$2:$F$500,0))),"⚠"))</f>
        <v/>
      </c>
      <c r="AX138" t="str">
        <f>IF(CAPTURA!CC138="","",IFERROR(IF(INDEX(CODIFICACION!$E$2:$E$500,MATCH("D6.24|"&amp;CAPTURA!CC138,CODIFICACION!$F$2:$F$500,0))="sin dato","",INDEX(CODIFICACION!$E$2:$E$500,MATCH("D6.24|"&amp;CAPTURA!CC138,CODIFICACION!$F$2:$F$500,0))),"⚠"))</f>
        <v/>
      </c>
      <c r="AY138" t="str">
        <f>IF(CAPTURA!CD138="","",IFERROR(IF(INDEX(CODIFICACION!$E$2:$E$500,MATCH("D6.25|"&amp;CAPTURA!CD138,CODIFICACION!$F$2:$F$500,0))="sin dato","",INDEX(CODIFICACION!$E$2:$E$500,MATCH("D6.25|"&amp;CAPTURA!CD138,CODIFICACION!$F$2:$F$500,0))),"⚠"))</f>
        <v/>
      </c>
      <c r="AZ138" t="str">
        <f>IF(CAPTURA!CE138="","",IFERROR(IF(INDEX(CODIFICACION!$E$2:$E$500,MATCH("D6.25a|"&amp;CAPTURA!CE138,CODIFICACION!$F$2:$F$500,0))="sin dato","",INDEX(CODIFICACION!$E$2:$E$500,MATCH("D6.25a|"&amp;CAPTURA!CE138,CODIFICACION!$F$2:$F$500,0))),"⚠"))</f>
        <v/>
      </c>
      <c r="BA138" t="str">
        <f>IF(CAPTURA!CF138="","",IFERROR(IF(INDEX(CODIFICACION!$E$2:$E$500,MATCH("D6.25b|"&amp;CAPTURA!CF138,CODIFICACION!$F$2:$F$500,0))="sin dato","",INDEX(CODIFICACION!$E$2:$E$500,MATCH("D6.25b|"&amp;CAPTURA!CF138,CODIFICACION!$F$2:$F$500,0))),"⚠"))</f>
        <v/>
      </c>
      <c r="BB138" t="str">
        <f>IF(CAPTURA!CG138="","",IFERROR(IF(INDEX(CODIFICACION!$E$2:$E$500,MATCH("D6.22c|"&amp;CAPTURA!CG138,CODIFICACION!$F$2:$F$500,0))="sin dato","",INDEX(CODIFICACION!$E$2:$E$500,MATCH("D6.22c|"&amp;CAPTURA!CG138,CODIFICACION!$F$2:$F$500,0))),"⚠"))</f>
        <v/>
      </c>
      <c r="BC138" t="str">
        <f>IF(CAPTURA!CH138="","",IFERROR(IF(INDEX(CODIFICACION!$E$2:$E$500,MATCH("D7.26|"&amp;CAPTURA!CH138,CODIFICACION!$F$2:$F$500,0))="sin dato","",INDEX(CODIFICACION!$E$2:$E$500,MATCH("D7.26|"&amp;CAPTURA!CH138,CODIFICACION!$F$2:$F$500,0))),"⚠"))</f>
        <v/>
      </c>
      <c r="BD138" t="str">
        <f>IF(CAPTURA!CI138="","",IFERROR(IF(INDEX(CODIFICACION!$E$2:$E$500,MATCH("D7.27|"&amp;CAPTURA!CI138,CODIFICACION!$F$2:$F$500,0))="sin dato","",INDEX(CODIFICACION!$E$2:$E$500,MATCH("D7.27|"&amp;CAPTURA!CI138,CODIFICACION!$F$2:$F$500,0))),"⚠"))</f>
        <v/>
      </c>
      <c r="BE138" t="str">
        <f>IF(CAPTURA!CJ138="","",IFERROR(IF(INDEX(CODIFICACION!$E$2:$E$500,MATCH("D7.28|"&amp;CAPTURA!CJ138,CODIFICACION!$F$2:$F$500,0))="sin dato","",INDEX(CODIFICACION!$E$2:$E$500,MATCH("D7.28|"&amp;CAPTURA!CJ138,CODIFICACION!$F$2:$F$500,0))),"⚠"))</f>
        <v/>
      </c>
      <c r="BF138" t="str">
        <f>IF(CAPTURA!CK138="","",IFERROR(IF(INDEX(CODIFICACION!$E$2:$E$500,MATCH("D7.28b|"&amp;CAPTURA!CK138,CODIFICACION!$F$2:$F$500,0))="sin dato","",INDEX(CODIFICACION!$E$2:$E$500,MATCH("D7.28b|"&amp;CAPTURA!CK138,CODIFICACION!$F$2:$F$500,0))),"⚠"))</f>
        <v/>
      </c>
      <c r="BG138" t="str">
        <f>IF(CAPTURA!CL138="","",MIN(100,ROUND((LEN(CAPTURA!CL138)-LEN(SUBSTITUTE(CAPTURA!CL138,";",""))+1)/8*100,1)))</f>
        <v/>
      </c>
      <c r="BH138" t="str">
        <f>IF(CAPTURA!CM138="","",IFERROR(IF(INDEX(CODIFICACION!$E$2:$E$500,MATCH("D7.26a|"&amp;CAPTURA!CM138,CODIFICACION!$F$2:$F$500,0))="sin dato","",INDEX(CODIFICACION!$E$2:$E$500,MATCH("D7.26a|"&amp;CAPTURA!CM138,CODIFICACION!$F$2:$F$500,0))),"⚠"))</f>
        <v/>
      </c>
      <c r="BI138" t="str">
        <f>IF(CAPTURA!CN138="","",IFERROR(IF(INDEX(CODIFICACION!$E$2:$E$500,MATCH("D7.26b|"&amp;CAPTURA!CN138,CODIFICACION!$F$2:$F$500,0))="sin dato","",INDEX(CODIFICACION!$E$2:$E$500,MATCH("D7.26b|"&amp;CAPTURA!CN138,CODIFICACION!$F$2:$F$500,0))),"⚠"))</f>
        <v/>
      </c>
      <c r="BJ138" t="str">
        <f>IF(CAPTURA!CO138="","",IF(AND(ISNUMBER(CAPTURA!CO138),CAPTURA!CO138&gt;=0,CAPTURA!CO138&lt;=4),CAPTURA!CO138*25,"⚠"))</f>
        <v/>
      </c>
      <c r="BK138" t="str">
        <f>IF(CAPTURA!CP138="","",IF(ISNUMBER(CAPTURA!CP138),MAX(0,MIN(100,CAPTURA!CP138)),"⚠"))</f>
        <v/>
      </c>
      <c r="BL138" t="str">
        <f>IF(CAPTURA!CQ138="","",IFERROR(IF(INDEX(CODIFICACION!$E$2:$E$500,MATCH("D8.31|"&amp;CAPTURA!CQ138,CODIFICACION!$F$2:$F$500,0))="sin dato","",INDEX(CODIFICACION!$E$2:$E$500,MATCH("D8.31|"&amp;CAPTURA!CQ138,CODIFICACION!$F$2:$F$500,0))),"⚠"))</f>
        <v/>
      </c>
      <c r="BM138" t="str">
        <f>IF(CAPTURA!CR138="","",IFERROR(IF(INDEX(CODIFICACION!$E$2:$E$500,MATCH("D8.32|"&amp;CAPTURA!CR138,CODIFICACION!$F$2:$F$500,0))="sin dato","",INDEX(CODIFICACION!$E$2:$E$500,MATCH("D8.32|"&amp;CAPTURA!CR138,CODIFICACION!$F$2:$F$500,0))),"⚠"))</f>
        <v/>
      </c>
      <c r="BN138" t="str">
        <f>IF(CAPTURA!CS138="","",IFERROR(IF(INDEX(CODIFICACION!$E$2:$E$500,MATCH("D9.33|"&amp;CAPTURA!CS138,CODIFICACION!$F$2:$F$500,0))="sin dato","",INDEX(CODIFICACION!$E$2:$E$500,MATCH("D9.33|"&amp;CAPTURA!CS138,CODIFICACION!$F$2:$F$500,0))),"⚠"))</f>
        <v/>
      </c>
      <c r="BO138" t="str">
        <f>IF(CAPTURA!CT138="","",IFERROR(IF(INDEX(CODIFICACION!$E$2:$E$500,MATCH("D9.34|"&amp;CAPTURA!CT138,CODIFICACION!$F$2:$F$500,0))="sin dato","",INDEX(CODIFICACION!$E$2:$E$500,MATCH("D9.34|"&amp;CAPTURA!CT138,CODIFICACION!$F$2:$F$500,0))),"⚠"))</f>
        <v/>
      </c>
      <c r="BP138" t="str">
        <f>IF(CAPTURA!CU138="","",IFERROR(IF(INDEX(CODIFICACION!$E$2:$E$500,MATCH("D9.35|"&amp;CAPTURA!CU138,CODIFICACION!$F$2:$F$500,0))="sin dato","",INDEX(CODIFICACION!$E$2:$E$500,MATCH("D9.35|"&amp;CAPTURA!CU138,CODIFICACION!$F$2:$F$500,0))),"⚠"))</f>
        <v/>
      </c>
      <c r="BQ138" t="str">
        <f>IF(CAPTURA!CV138="","",IFERROR(IF(INDEX(CODIFICACION!$E$2:$E$500,MATCH("D10.36|"&amp;CAPTURA!CV138,CODIFICACION!$F$2:$F$500,0))="sin dato","",INDEX(CODIFICACION!$E$2:$E$500,MATCH("D10.36|"&amp;CAPTURA!CV138,CODIFICACION!$F$2:$F$500,0))),"⚠"))</f>
        <v/>
      </c>
      <c r="BR138" t="str">
        <f>IF(CAPTURA!CW138="","",IFERROR(IF(INDEX(CODIFICACION!$E$2:$E$500,MATCH("D10.37|"&amp;CAPTURA!CW138,CODIFICACION!$F$2:$F$500,0))="sin dato","",INDEX(CODIFICACION!$E$2:$E$500,MATCH("D10.37|"&amp;CAPTURA!CW138,CODIFICACION!$F$2:$F$500,0))),"⚠"))</f>
        <v/>
      </c>
      <c r="BS138" t="str">
        <f>IF(CAPTURA!CX138="","",IFERROR(IF(INDEX(CODIFICACION!$E$2:$E$500,MATCH("D10.36a|"&amp;CAPTURA!CX138,CODIFICACION!$F$2:$F$500,0))="sin dato","",INDEX(CODIFICACION!$E$2:$E$500,MATCH("D10.36a|"&amp;CAPTURA!CX138,CODIFICACION!$F$2:$F$500,0))),"⚠"))</f>
        <v/>
      </c>
      <c r="BT138" t="str">
        <f>IF(CAPTURA!CY138="","",IF(ISNUMBER(SEARCH("Ninguno",CAPTURA!CY138)),0,MIN(100,ROUND((LEN(CAPTURA!CY138)-LEN(SUBSTITUTE(CAPTURA!CY138,";",""))+1)/6*100,1))))</f>
        <v/>
      </c>
      <c r="BU138" t="str">
        <f>IF(CAPTURA!DA138="","",IFERROR(IF(INDEX(CODIFICACION!$E$2:$E$500,MATCH("D11.39a|"&amp;CAPTURA!DA138,CODIFICACION!$F$2:$F$500,0))="sin dato","",INDEX(CODIFICACION!$E$2:$E$500,MATCH("D11.39a|"&amp;CAPTURA!DA138,CODIFICACION!$F$2:$F$500,0))),"⚠"))</f>
        <v/>
      </c>
      <c r="BV138" t="str">
        <f>IF(CAPTURA!DB138="","",IFERROR(IF(INDEX(CODIFICACION!$E$2:$E$500,MATCH("D12.42|"&amp;CAPTURA!DB138,CODIFICACION!$F$2:$F$500,0))="sin dato","",INDEX(CODIFICACION!$E$2:$E$500,MATCH("D12.42|"&amp;CAPTURA!DB138,CODIFICACION!$F$2:$F$500,0))),"⚠"))</f>
        <v/>
      </c>
      <c r="BW138" t="str">
        <f>IF(CAPTURA!DC138="","",IFERROR(IF(INDEX(CODIFICACION!$E$2:$E$500,MATCH("D13.45|"&amp;CAPTURA!DC138,CODIFICACION!$F$2:$F$500,0))="sin dato","",INDEX(CODIFICACION!$E$2:$E$500,MATCH("D13.45|"&amp;CAPTURA!DC138,CODIFICACION!$F$2:$F$500,0))),"⚠"))</f>
        <v/>
      </c>
      <c r="BX138" t="str">
        <f>IF(CAPTURA!DD138="","",IFERROR(IF(INDEX(CODIFICACION!$E$2:$E$500,MATCH("D14.51|"&amp;CAPTURA!DD138,CODIFICACION!$F$2:$F$500,0))="sin dato","",INDEX(CODIFICACION!$E$2:$E$500,MATCH("D14.51|"&amp;CAPTURA!DD138,CODIFICACION!$F$2:$F$500,0))),"⚠"))</f>
        <v/>
      </c>
      <c r="BY138" t="str">
        <f>IF(CAPTURA!DE138="","",IFERROR(IF(INDEX(CODIFICACION!$E$2:$E$500,MATCH("D15.58|"&amp;CAPTURA!DE138,CODIFICACION!$F$2:$F$500,0))="sin dato","",INDEX(CODIFICACION!$E$2:$E$500,MATCH("D15.58|"&amp;CAPTURA!DE138,CODIFICACION!$F$2:$F$500,0))),"⚠"))</f>
        <v/>
      </c>
      <c r="BZ138" t="str">
        <f>IF(CAPTURA!DF138="","",IFERROR(IF(INDEX(CODIFICACION!$E$2:$E$500,MATCH("PP1|"&amp;CAPTURA!DF138,CODIFICACION!$F$2:$F$500,0))="sin dato","",INDEX(CODIFICACION!$E$2:$E$500,MATCH("PP1|"&amp;CAPTURA!DF138,CODIFICACION!$F$2:$F$500,0))),"⚠"))</f>
        <v/>
      </c>
      <c r="CA138" t="str">
        <f>IF(CAPTURA!DG138="","",IFERROR(IF(INDEX(CODIFICACION!$E$2:$E$500,MATCH("PP2|"&amp;CAPTURA!DG138,CODIFICACION!$F$2:$F$500,0))="sin dato","",INDEX(CODIFICACION!$E$2:$E$500,MATCH("PP2|"&amp;CAPTURA!DG138,CODIFICACION!$F$2:$F$500,0))),"⚠"))</f>
        <v/>
      </c>
      <c r="CB138" t="str">
        <f t="shared" si="44"/>
        <v/>
      </c>
      <c r="CC138" t="str">
        <f t="shared" si="45"/>
        <v/>
      </c>
      <c r="CD138" t="str">
        <f t="shared" si="46"/>
        <v/>
      </c>
      <c r="CE138" t="str">
        <f t="shared" si="47"/>
        <v/>
      </c>
      <c r="CF138" t="str">
        <f t="shared" si="48"/>
        <v/>
      </c>
      <c r="CG138" t="str">
        <f t="shared" si="49"/>
        <v/>
      </c>
      <c r="CH138" t="str">
        <f t="shared" si="50"/>
        <v/>
      </c>
      <c r="CI138" t="str">
        <f t="shared" si="51"/>
        <v/>
      </c>
      <c r="CJ138" t="str">
        <f t="shared" si="52"/>
        <v/>
      </c>
      <c r="CK138" t="str">
        <f t="shared" si="53"/>
        <v/>
      </c>
      <c r="CL138" t="str">
        <f t="shared" si="54"/>
        <v/>
      </c>
    </row>
    <row r="139" spans="1:90" x14ac:dyDescent="0.3">
      <c r="A139">
        <f>CAPTURA!A139</f>
        <v>20603526423</v>
      </c>
      <c r="B139">
        <f>CAPTURA!C139</f>
        <v>0</v>
      </c>
      <c r="C139" t="str">
        <f>IF(CAPTURA!M139="","",ROUND((ISNUMBER(SEARCH("Alemania",CAPTURA!M139))+ISNUMBER(SEARCH("Bélgica",CAPTURA!M139))+ISNUMBER(SEARCH("Países Bajos",CAPTURA!M139))+ISNUMBER(SEARCH("Francia",CAPTURA!M139))+ISNUMBER(SEARCH("Italia",CAPTURA!M139))+ISNUMBER(SEARCH("España",CAPTURA!M139))+ISNUMBER(SEARCH("Suecia",CAPTURA!M139))+ISNUMBER(SEARCH("Dinamarca",CAPTURA!M139)))/((LEN(CAPTURA!M139)-LEN(SUBSTITUTE(CAPTURA!M139,";","")))+1)*100,1))</f>
        <v/>
      </c>
      <c r="D139" t="str">
        <f>IF(CAPTURA!AE139="","",IFERROR(IF(INDEX(CODIFICACION!$E$2:$E$500,MATCH("P8|"&amp;CAPTURA!AE139,CODIFICACION!$F$2:$F$500,0))="sin dato","",INDEX(CODIFICACION!$E$2:$E$500,MATCH("P8|"&amp;CAPTURA!AE139,CODIFICACION!$F$2:$F$500,0))),"⚠"))</f>
        <v/>
      </c>
      <c r="E139" t="str">
        <f>IF(CAPTURA!AG139="","",IFERROR(IF(INDEX(CODIFICACION!$E$2:$E$500,MATCH("P10|"&amp;CAPTURA!AG139,CODIFICACION!$F$2:$F$500,0))="sin dato","",INDEX(CODIFICACION!$E$2:$E$500,MATCH("P10|"&amp;CAPTURA!AG139,CODIFICACION!$F$2:$F$500,0))),"⚠"))</f>
        <v/>
      </c>
      <c r="F139" t="str">
        <f>IF(CAPTURA!AJ139="","",IFERROR(IF(INDEX(CODIFICACION!$E$2:$E$500,MATCH("P13|"&amp;CAPTURA!AJ139,CODIFICACION!$F$2:$F$500,0))="sin dato","",INDEX(CODIFICACION!$E$2:$E$500,MATCH("P13|"&amp;CAPTURA!AJ139,CODIFICACION!$F$2:$F$500,0))),"⚠"))</f>
        <v/>
      </c>
      <c r="G139" t="str">
        <f>IF(CAPTURA!AK139="","",IFERROR(IF(INDEX(CODIFICACION!$E$2:$E$500,MATCH("P14|"&amp;CAPTURA!AK139,CODIFICACION!$F$2:$F$500,0))="sin dato","",INDEX(CODIFICACION!$E$2:$E$500,MATCH("P14|"&amp;CAPTURA!AK139,CODIFICACION!$F$2:$F$500,0))),"⚠"))</f>
        <v/>
      </c>
      <c r="H139" t="str">
        <f>IF(CAPTURA!AL139="","",IFERROR(IF(INDEX(CODIFICACION!$E$2:$E$500,MATCH("D1.1|"&amp;CAPTURA!AL139,CODIFICACION!$F$2:$F$500,0))="sin dato","",INDEX(CODIFICACION!$E$2:$E$500,MATCH("D1.1|"&amp;CAPTURA!AL139,CODIFICACION!$F$2:$F$500,0))),"⚠"))</f>
        <v/>
      </c>
      <c r="I139" t="str">
        <f>IF(CAPTURA!AN139="","",IFERROR(IF(INDEX(CODIFICACION!$E$2:$E$500,MATCH("D1.3|"&amp;CAPTURA!AN139,CODIFICACION!$F$2:$F$500,0))="sin dato","",INDEX(CODIFICACION!$E$2:$E$500,MATCH("D1.3|"&amp;CAPTURA!AN139,CODIFICACION!$F$2:$F$500,0))),"⚠"))</f>
        <v/>
      </c>
      <c r="J139" t="str">
        <f>IF(CAPTURA!AO139="","",IFERROR(IF(INDEX(CODIFICACION!$E$2:$E$500,MATCH("D1.4|"&amp;CAPTURA!AO139,CODIFICACION!$F$2:$F$500,0))="sin dato","",INDEX(CODIFICACION!$E$2:$E$500,MATCH("D1.4|"&amp;CAPTURA!AO139,CODIFICACION!$F$2:$F$500,0))),"⚠"))</f>
        <v/>
      </c>
      <c r="K139" t="str">
        <f>IF(CAPTURA!AP139="","",IFERROR(IF(INDEX(CODIFICACION!$E$2:$E$500,MATCH("D1.3a|"&amp;CAPTURA!AP139,CODIFICACION!$F$2:$F$500,0))="sin dato","",INDEX(CODIFICACION!$E$2:$E$500,MATCH("D1.3a|"&amp;CAPTURA!AP139,CODIFICACION!$F$2:$F$500,0))),"⚠"))</f>
        <v/>
      </c>
      <c r="L139" t="str">
        <f>IF(CAPTURA!AQ139="","",IF(AND(ISNUMBER(CAPTURA!AQ139),CAPTURA!AQ139&gt;=0,CAPTURA!AQ139&lt;=4),CAPTURA!AQ139*25,"⚠"))</f>
        <v/>
      </c>
      <c r="M139" t="str">
        <f>IF(CAPTURA!AR139="","",IF(ISNUMBER(CAPTURA!AR139),MAX(0,MIN(100,CAPTURA!AR139)),"⚠"))</f>
        <v/>
      </c>
      <c r="N139" t="str">
        <f>IF(CAPTURA!AS139="","",IF(AND(ISNUMBER(CAPTURA!AS139),CAPTURA!AS139&gt;=0,CAPTURA!AS139&lt;=4),CAPTURA!AS139*25,"⚠"))</f>
        <v/>
      </c>
      <c r="O139" t="str">
        <f>IF(CAPTURA!AT139="","",IFERROR(IF(INDEX(CODIFICACION!$E$2:$E$500,MATCH("D2.8|"&amp;CAPTURA!AT139,CODIFICACION!$F$2:$F$500,0))="sin dato","",INDEX(CODIFICACION!$E$2:$E$500,MATCH("D2.8|"&amp;CAPTURA!AT139,CODIFICACION!$F$2:$F$500,0))),"⚠"))</f>
        <v/>
      </c>
      <c r="P139" t="str">
        <f>IF(CAPTURA!AU139="","",IFERROR(IF(INDEX(CODIFICACION!$E$2:$E$500,MATCH("D2.9|"&amp;CAPTURA!AU139,CODIFICACION!$F$2:$F$500,0))="sin dato","",INDEX(CODIFICACION!$E$2:$E$500,MATCH("D2.9|"&amp;CAPTURA!AU139,CODIFICACION!$F$2:$F$500,0))),"⚠"))</f>
        <v/>
      </c>
      <c r="Q139" t="str">
        <f>IF(CAPTURA!AV139="","",IFERROR(IF(INDEX(CODIFICACION!$E$2:$E$500,MATCH("D2.10|"&amp;CAPTURA!AV139,CODIFICACION!$F$2:$F$500,0))="sin dato","",INDEX(CODIFICACION!$E$2:$E$500,MATCH("D2.10|"&amp;CAPTURA!AV139,CODIFICACION!$F$2:$F$500,0))),"⚠"))</f>
        <v/>
      </c>
      <c r="R139" t="str">
        <f>IF(CAPTURA!AW139="","",IFERROR(IF(INDEX(CODIFICACION!$E$2:$E$500,MATCH("D2.5a|"&amp;CAPTURA!AW139,CODIFICACION!$F$2:$F$500,0))="sin dato","",INDEX(CODIFICACION!$E$2:$E$500,MATCH("D2.5a|"&amp;CAPTURA!AW139,CODIFICACION!$F$2:$F$500,0))),"⚠"))</f>
        <v/>
      </c>
      <c r="S139" t="str">
        <f>IF(CAPTURA!AX139="","",IFERROR(IF(INDEX(CODIFICACION!$E$2:$E$500,MATCH("D2.5b|"&amp;CAPTURA!AX139,CODIFICACION!$F$2:$F$500,0))="sin dato","",INDEX(CODIFICACION!$E$2:$E$500,MATCH("D2.5b|"&amp;CAPTURA!AX139,CODIFICACION!$F$2:$F$500,0))),"⚠"))</f>
        <v/>
      </c>
      <c r="T139" t="str">
        <f>IF(CAPTURA!AY139="","",IF(ISNUMBER(CAPTURA!AY139),MAX(0,MIN(100,CAPTURA!AY139)),"⚠"))</f>
        <v/>
      </c>
      <c r="U139" t="str">
        <f>IF(CAPTURA!AZ139="","",IFERROR(IF(INDEX(CODIFICACION!$E$2:$E$500,MATCH("D3.12|"&amp;CAPTURA!AZ139,CODIFICACION!$F$2:$F$500,0))="sin dato","",INDEX(CODIFICACION!$E$2:$E$500,MATCH("D3.12|"&amp;CAPTURA!AZ139,CODIFICACION!$F$2:$F$500,0))),"⚠"))</f>
        <v/>
      </c>
      <c r="V139" t="str">
        <f>IF(CAPTURA!BA139="","",IF(AND(ISNUMBER(CAPTURA!BA139),CAPTURA!BA139&gt;=0,CAPTURA!BA139&lt;=4),CAPTURA!BA139*25,"⚠"))</f>
        <v/>
      </c>
      <c r="W139" t="str">
        <f>IF(CAPTURA!BB139="","",IFERROR(IF(INDEX(CODIFICACION!$E$2:$E$500,MATCH("D3.14|"&amp;CAPTURA!BB139,CODIFICACION!$F$2:$F$500,0))="sin dato","",INDEX(CODIFICACION!$E$2:$E$500,MATCH("D3.14|"&amp;CAPTURA!BB139,CODIFICACION!$F$2:$F$500,0))),"⚠"))</f>
        <v/>
      </c>
      <c r="X139" t="str">
        <f>IF(CAPTURA!BC139="","",IFERROR(IF(INDEX(CODIFICACION!$E$2:$E$500,MATCH("D3.14a|"&amp;CAPTURA!BC139,CODIFICACION!$F$2:$F$500,0))="sin dato","",INDEX(CODIFICACION!$E$2:$E$500,MATCH("D3.14a|"&amp;CAPTURA!BC139,CODIFICACION!$F$2:$F$500,0))),"⚠"))</f>
        <v/>
      </c>
      <c r="Y139" t="str">
        <f>IF(CAPTURA!BD139="","",IFERROR(IF(INDEX(CODIFICACION!$E$2:$E$500,MATCH("D3.14b|"&amp;CAPTURA!BD139,CODIFICACION!$F$2:$F$500,0))="sin dato","",INDEX(CODIFICACION!$E$2:$E$500,MATCH("D3.14b|"&amp;CAPTURA!BD139,CODIFICACION!$F$2:$F$500,0))),"⚠"))</f>
        <v/>
      </c>
      <c r="Z139" t="str">
        <f>IF(CAPTURA!BE139="","",IFERROR(IF(INDEX(CODIFICACION!$E$2:$E$500,MATCH("D3.14c|"&amp;CAPTURA!BE139,CODIFICACION!$F$2:$F$500,0))="sin dato","",INDEX(CODIFICACION!$E$2:$E$500,MATCH("D3.14c|"&amp;CAPTURA!BE139,CODIFICACION!$F$2:$F$500,0))),"⚠"))</f>
        <v/>
      </c>
      <c r="AA139" t="str">
        <f>IF(CAPTURA!BF139="","",IFERROR(IF(INDEX(CODIFICACION!$E$2:$E$500,MATCH("D3.14d|"&amp;CAPTURA!BF139,CODIFICACION!$F$2:$F$500,0))="sin dato","",INDEX(CODIFICACION!$E$2:$E$500,MATCH("D3.14d|"&amp;CAPTURA!BF139,CODIFICACION!$F$2:$F$500,0))),"⚠"))</f>
        <v/>
      </c>
      <c r="AB139" t="str">
        <f>IF(CAPTURA!BG139="","",IFERROR(IF(INDEX(CODIFICACION!$E$2:$E$500,MATCH("D3.14e|"&amp;CAPTURA!BG139,CODIFICACION!$F$2:$F$500,0))="sin dato","",INDEX(CODIFICACION!$E$2:$E$500,MATCH("D3.14e|"&amp;CAPTURA!BG139,CODIFICACION!$F$2:$F$500,0))),"⚠"))</f>
        <v/>
      </c>
      <c r="AC139" t="str">
        <f>IF(CAPTURA!BH139="","",IFERROR(IF(INDEX(CODIFICACION!$E$2:$E$500,MATCH("D3.14f|"&amp;CAPTURA!BH139,CODIFICACION!$F$2:$F$500,0))="sin dato","",INDEX(CODIFICACION!$E$2:$E$500,MATCH("D3.14f|"&amp;CAPTURA!BH139,CODIFICACION!$F$2:$F$500,0))),"⚠"))</f>
        <v/>
      </c>
      <c r="AD139" t="str">
        <f>IF(CAPTURA!BI139="","",IFERROR(IF(INDEX(CODIFICACION!$E$2:$E$500,MATCH("D3.14g|"&amp;CAPTURA!BI139,CODIFICACION!$F$2:$F$500,0))="sin dato","",INDEX(CODIFICACION!$E$2:$E$500,MATCH("D3.14g|"&amp;CAPTURA!BI139,CODIFICACION!$F$2:$F$500,0))),"⚠"))</f>
        <v/>
      </c>
      <c r="AE139" t="str">
        <f>IF(CAPTURA!BJ139="","",IFERROR(IF(INDEX(CODIFICACION!$E$2:$E$500,MATCH("D3.14h|"&amp;CAPTURA!BJ139,CODIFICACION!$F$2:$F$500,0))="sin dato","",INDEX(CODIFICACION!$E$2:$E$500,MATCH("D3.14h|"&amp;CAPTURA!BJ139,CODIFICACION!$F$2:$F$500,0))),"⚠"))</f>
        <v/>
      </c>
      <c r="AF139" t="str">
        <f>IF(CAPTURA!BK139="","",IFERROR(IF(INDEX(CODIFICACION!$E$2:$E$500,MATCH("D3.14i|"&amp;CAPTURA!BK139,CODIFICACION!$F$2:$F$500,0))="sin dato","",INDEX(CODIFICACION!$E$2:$E$500,MATCH("D3.14i|"&amp;CAPTURA!BK139,CODIFICACION!$F$2:$F$500,0))),"⚠"))</f>
        <v/>
      </c>
      <c r="AG139" t="str">
        <f>IF(CAPTURA!BL139="","",IFERROR(IF(INDEX(CODIFICACION!$E$2:$E$500,MATCH("D4.15|"&amp;CAPTURA!BL139,CODIFICACION!$F$2:$F$500,0))="sin dato","",INDEX(CODIFICACION!$E$2:$E$500,MATCH("D4.15|"&amp;CAPTURA!BL139,CODIFICACION!$F$2:$F$500,0))),"⚠"))</f>
        <v/>
      </c>
      <c r="AH139" t="str">
        <f>IF(CAPTURA!BM139="","",IF(AND(ISNUMBER(CAPTURA!BM139),CAPTURA!BM139&gt;=0,CAPTURA!BM139&lt;=4),CAPTURA!BM139*25,"⚠"))</f>
        <v/>
      </c>
      <c r="AI139" t="str">
        <f>IF(CAPTURA!BN139="","",IFERROR(IF(INDEX(CODIFICACION!$E$2:$E$500,MATCH("D4.17|"&amp;CAPTURA!BN139,CODIFICACION!$F$2:$F$500,0))="sin dato","",INDEX(CODIFICACION!$E$2:$E$500,MATCH("D4.17|"&amp;CAPTURA!BN139,CODIFICACION!$F$2:$F$500,0))),"⚠"))</f>
        <v/>
      </c>
      <c r="AJ139" t="str">
        <f>IF(CAPTURA!BO139="","",IFERROR(IF(INDEX(CODIFICACION!$E$2:$E$500,MATCH("D4.15a|"&amp;CAPTURA!BO139,CODIFICACION!$F$2:$F$500,0))="sin dato","",INDEX(CODIFICACION!$E$2:$E$500,MATCH("D4.15a|"&amp;CAPTURA!BO139,CODIFICACION!$F$2:$F$500,0))),"⚠"))</f>
        <v/>
      </c>
      <c r="AK139" t="str">
        <f>IF(CAPTURA!BP139="","",IF(AND(ISNUMBER(CAPTURA!BP139),CAPTURA!BP139&gt;=0,CAPTURA!BP139&lt;=4),CAPTURA!BP139*25,"⚠"))</f>
        <v/>
      </c>
      <c r="AL139" t="str">
        <f>IF(CAPTURA!BQ139="","",IF(AND(ISNUMBER(CAPTURA!BQ139),CAPTURA!BQ139&gt;=0,CAPTURA!BQ139&lt;=4),CAPTURA!BQ139*25,"⚠"))</f>
        <v/>
      </c>
      <c r="AM139" t="str">
        <f>IF(CAPTURA!BR139="","",IFERROR(IF(INDEX(CODIFICACION!$E$2:$E$500,MATCH("D5.18b|"&amp;CAPTURA!BR139,CODIFICACION!$F$2:$F$500,0))="sin dato","",INDEX(CODIFICACION!$E$2:$E$500,MATCH("D5.18b|"&amp;CAPTURA!BR139,CODIFICACION!$F$2:$F$500,0))),"⚠"))</f>
        <v/>
      </c>
      <c r="AN139" t="str">
        <f>IF(CAPTURA!BS139="","",IFERROR(IF(INDEX(CODIFICACION!$E$2:$E$500,MATCH("D5.19|"&amp;CAPTURA!BS139,CODIFICACION!$F$2:$F$500,0))="sin dato","",INDEX(CODIFICACION!$E$2:$E$500,MATCH("D5.19|"&amp;CAPTURA!BS139,CODIFICACION!$F$2:$F$500,0))),"⚠"))</f>
        <v/>
      </c>
      <c r="AO139" t="str">
        <f>IF(CAPTURA!BT139="","",MIN(100,ROUND((LEN(CAPTURA!BT139)-LEN(SUBSTITUTE(CAPTURA!BT139,";",""))+1)/7*100,1)))</f>
        <v/>
      </c>
      <c r="AP139" t="str">
        <f>IF(CAPTURA!BU139="","",IFERROR(IF(INDEX(CODIFICACION!$E$2:$E$500,MATCH("D5.20|"&amp;CAPTURA!BU139,CODIFICACION!$F$2:$F$500,0))="sin dato","",INDEX(CODIFICACION!$E$2:$E$500,MATCH("D5.20|"&amp;CAPTURA!BU139,CODIFICACION!$F$2:$F$500,0))),"⚠"))</f>
        <v/>
      </c>
      <c r="AQ139" t="str">
        <f>IF(CAPTURA!BV139="","",IFERROR(IF(INDEX(CODIFICACION!$E$2:$E$500,MATCH("D5.21|"&amp;CAPTURA!BV139,CODIFICACION!$F$2:$F$500,0))="sin dato","",INDEX(CODIFICACION!$E$2:$E$500,MATCH("D5.21|"&amp;CAPTURA!BV139,CODIFICACION!$F$2:$F$500,0))),"⚠"))</f>
        <v/>
      </c>
      <c r="AR139" t="str">
        <f>IF(CAPTURA!BW139="","",IFERROR(IF(INDEX(CODIFICACION!$E$2:$E$500,MATCH("D5.21a|"&amp;CAPTURA!BW139,CODIFICACION!$F$2:$F$500,0))="sin dato","",INDEX(CODIFICACION!$E$2:$E$500,MATCH("D5.21a|"&amp;CAPTURA!BW139,CODIFICACION!$F$2:$F$500,0))),"⚠"))</f>
        <v/>
      </c>
      <c r="AS139" t="str">
        <f>IF(CAPTURA!BX139="","",IFERROR(IF(INDEX(CODIFICACION!$E$2:$E$500,MATCH("D5.21b|"&amp;CAPTURA!BX139,CODIFICACION!$F$2:$F$500,0))="sin dato","",INDEX(CODIFICACION!$E$2:$E$500,MATCH("D5.21b|"&amp;CAPTURA!BX139,CODIFICACION!$F$2:$F$500,0))),"⚠"))</f>
        <v/>
      </c>
      <c r="AT139" t="str">
        <f>IF(CAPTURA!BY139="","",IFERROR(IF(INDEX(CODIFICACION!$E$2:$E$500,MATCH("D6.22|"&amp;CAPTURA!BY139,CODIFICACION!$F$2:$F$500,0))="sin dato","",INDEX(CODIFICACION!$E$2:$E$500,MATCH("D6.22|"&amp;CAPTURA!BY139,CODIFICACION!$F$2:$F$500,0))),"⚠"))</f>
        <v/>
      </c>
      <c r="AU139" t="str">
        <f>IF(CAPTURA!BZ139="","",IFERROR(IF(INDEX(CODIFICACION!$E$2:$E$500,MATCH("D6.22a|"&amp;CAPTURA!BZ139,CODIFICACION!$F$2:$F$500,0))="sin dato","",INDEX(CODIFICACION!$E$2:$E$500,MATCH("D6.22a|"&amp;CAPTURA!BZ139,CODIFICACION!$F$2:$F$500,0))),"⚠"))</f>
        <v/>
      </c>
      <c r="AV139" t="str">
        <f>IF(CAPTURA!CA139="","",IFERROR(IF(INDEX(CODIFICACION!$E$2:$E$500,MATCH("D6.22b|"&amp;CAPTURA!CA139,CODIFICACION!$F$2:$F$500,0))="sin dato","",INDEX(CODIFICACION!$E$2:$E$500,MATCH("D6.22b|"&amp;CAPTURA!CA139,CODIFICACION!$F$2:$F$500,0))),"⚠"))</f>
        <v/>
      </c>
      <c r="AW139" t="str">
        <f>IF(CAPTURA!CB139="","",IFERROR(IF(INDEX(CODIFICACION!$E$2:$E$500,MATCH("D6.23|"&amp;CAPTURA!CB139,CODIFICACION!$F$2:$F$500,0))="sin dato","",INDEX(CODIFICACION!$E$2:$E$500,MATCH("D6.23|"&amp;CAPTURA!CB139,CODIFICACION!$F$2:$F$500,0))),"⚠"))</f>
        <v/>
      </c>
      <c r="AX139" t="str">
        <f>IF(CAPTURA!CC139="","",IFERROR(IF(INDEX(CODIFICACION!$E$2:$E$500,MATCH("D6.24|"&amp;CAPTURA!CC139,CODIFICACION!$F$2:$F$500,0))="sin dato","",INDEX(CODIFICACION!$E$2:$E$500,MATCH("D6.24|"&amp;CAPTURA!CC139,CODIFICACION!$F$2:$F$500,0))),"⚠"))</f>
        <v/>
      </c>
      <c r="AY139" t="str">
        <f>IF(CAPTURA!CD139="","",IFERROR(IF(INDEX(CODIFICACION!$E$2:$E$500,MATCH("D6.25|"&amp;CAPTURA!CD139,CODIFICACION!$F$2:$F$500,0))="sin dato","",INDEX(CODIFICACION!$E$2:$E$500,MATCH("D6.25|"&amp;CAPTURA!CD139,CODIFICACION!$F$2:$F$500,0))),"⚠"))</f>
        <v/>
      </c>
      <c r="AZ139" t="str">
        <f>IF(CAPTURA!CE139="","",IFERROR(IF(INDEX(CODIFICACION!$E$2:$E$500,MATCH("D6.25a|"&amp;CAPTURA!CE139,CODIFICACION!$F$2:$F$500,0))="sin dato","",INDEX(CODIFICACION!$E$2:$E$500,MATCH("D6.25a|"&amp;CAPTURA!CE139,CODIFICACION!$F$2:$F$500,0))),"⚠"))</f>
        <v/>
      </c>
      <c r="BA139" t="str">
        <f>IF(CAPTURA!CF139="","",IFERROR(IF(INDEX(CODIFICACION!$E$2:$E$500,MATCH("D6.25b|"&amp;CAPTURA!CF139,CODIFICACION!$F$2:$F$500,0))="sin dato","",INDEX(CODIFICACION!$E$2:$E$500,MATCH("D6.25b|"&amp;CAPTURA!CF139,CODIFICACION!$F$2:$F$500,0))),"⚠"))</f>
        <v/>
      </c>
      <c r="BB139" t="str">
        <f>IF(CAPTURA!CG139="","",IFERROR(IF(INDEX(CODIFICACION!$E$2:$E$500,MATCH("D6.22c|"&amp;CAPTURA!CG139,CODIFICACION!$F$2:$F$500,0))="sin dato","",INDEX(CODIFICACION!$E$2:$E$500,MATCH("D6.22c|"&amp;CAPTURA!CG139,CODIFICACION!$F$2:$F$500,0))),"⚠"))</f>
        <v/>
      </c>
      <c r="BC139" t="str">
        <f>IF(CAPTURA!CH139="","",IFERROR(IF(INDEX(CODIFICACION!$E$2:$E$500,MATCH("D7.26|"&amp;CAPTURA!CH139,CODIFICACION!$F$2:$F$500,0))="sin dato","",INDEX(CODIFICACION!$E$2:$E$500,MATCH("D7.26|"&amp;CAPTURA!CH139,CODIFICACION!$F$2:$F$500,0))),"⚠"))</f>
        <v/>
      </c>
      <c r="BD139" t="str">
        <f>IF(CAPTURA!CI139="","",IFERROR(IF(INDEX(CODIFICACION!$E$2:$E$500,MATCH("D7.27|"&amp;CAPTURA!CI139,CODIFICACION!$F$2:$F$500,0))="sin dato","",INDEX(CODIFICACION!$E$2:$E$500,MATCH("D7.27|"&amp;CAPTURA!CI139,CODIFICACION!$F$2:$F$500,0))),"⚠"))</f>
        <v/>
      </c>
      <c r="BE139" t="str">
        <f>IF(CAPTURA!CJ139="","",IFERROR(IF(INDEX(CODIFICACION!$E$2:$E$500,MATCH("D7.28|"&amp;CAPTURA!CJ139,CODIFICACION!$F$2:$F$500,0))="sin dato","",INDEX(CODIFICACION!$E$2:$E$500,MATCH("D7.28|"&amp;CAPTURA!CJ139,CODIFICACION!$F$2:$F$500,0))),"⚠"))</f>
        <v/>
      </c>
      <c r="BF139" t="str">
        <f>IF(CAPTURA!CK139="","",IFERROR(IF(INDEX(CODIFICACION!$E$2:$E$500,MATCH("D7.28b|"&amp;CAPTURA!CK139,CODIFICACION!$F$2:$F$500,0))="sin dato","",INDEX(CODIFICACION!$E$2:$E$500,MATCH("D7.28b|"&amp;CAPTURA!CK139,CODIFICACION!$F$2:$F$500,0))),"⚠"))</f>
        <v/>
      </c>
      <c r="BG139" t="str">
        <f>IF(CAPTURA!CL139="","",MIN(100,ROUND((LEN(CAPTURA!CL139)-LEN(SUBSTITUTE(CAPTURA!CL139,";",""))+1)/8*100,1)))</f>
        <v/>
      </c>
      <c r="BH139" t="str">
        <f>IF(CAPTURA!CM139="","",IFERROR(IF(INDEX(CODIFICACION!$E$2:$E$500,MATCH("D7.26a|"&amp;CAPTURA!CM139,CODIFICACION!$F$2:$F$500,0))="sin dato","",INDEX(CODIFICACION!$E$2:$E$500,MATCH("D7.26a|"&amp;CAPTURA!CM139,CODIFICACION!$F$2:$F$500,0))),"⚠"))</f>
        <v/>
      </c>
      <c r="BI139" t="str">
        <f>IF(CAPTURA!CN139="","",IFERROR(IF(INDEX(CODIFICACION!$E$2:$E$500,MATCH("D7.26b|"&amp;CAPTURA!CN139,CODIFICACION!$F$2:$F$500,0))="sin dato","",INDEX(CODIFICACION!$E$2:$E$500,MATCH("D7.26b|"&amp;CAPTURA!CN139,CODIFICACION!$F$2:$F$500,0))),"⚠"))</f>
        <v/>
      </c>
      <c r="BJ139" t="str">
        <f>IF(CAPTURA!CO139="","",IF(AND(ISNUMBER(CAPTURA!CO139),CAPTURA!CO139&gt;=0,CAPTURA!CO139&lt;=4),CAPTURA!CO139*25,"⚠"))</f>
        <v/>
      </c>
      <c r="BK139" t="str">
        <f>IF(CAPTURA!CP139="","",IF(ISNUMBER(CAPTURA!CP139),MAX(0,MIN(100,CAPTURA!CP139)),"⚠"))</f>
        <v/>
      </c>
      <c r="BL139" t="str">
        <f>IF(CAPTURA!CQ139="","",IFERROR(IF(INDEX(CODIFICACION!$E$2:$E$500,MATCH("D8.31|"&amp;CAPTURA!CQ139,CODIFICACION!$F$2:$F$500,0))="sin dato","",INDEX(CODIFICACION!$E$2:$E$500,MATCH("D8.31|"&amp;CAPTURA!CQ139,CODIFICACION!$F$2:$F$500,0))),"⚠"))</f>
        <v/>
      </c>
      <c r="BM139" t="str">
        <f>IF(CAPTURA!CR139="","",IFERROR(IF(INDEX(CODIFICACION!$E$2:$E$500,MATCH("D8.32|"&amp;CAPTURA!CR139,CODIFICACION!$F$2:$F$500,0))="sin dato","",INDEX(CODIFICACION!$E$2:$E$500,MATCH("D8.32|"&amp;CAPTURA!CR139,CODIFICACION!$F$2:$F$500,0))),"⚠"))</f>
        <v/>
      </c>
      <c r="BN139" t="str">
        <f>IF(CAPTURA!CS139="","",IFERROR(IF(INDEX(CODIFICACION!$E$2:$E$500,MATCH("D9.33|"&amp;CAPTURA!CS139,CODIFICACION!$F$2:$F$500,0))="sin dato","",INDEX(CODIFICACION!$E$2:$E$500,MATCH("D9.33|"&amp;CAPTURA!CS139,CODIFICACION!$F$2:$F$500,0))),"⚠"))</f>
        <v/>
      </c>
      <c r="BO139" t="str">
        <f>IF(CAPTURA!CT139="","",IFERROR(IF(INDEX(CODIFICACION!$E$2:$E$500,MATCH("D9.34|"&amp;CAPTURA!CT139,CODIFICACION!$F$2:$F$500,0))="sin dato","",INDEX(CODIFICACION!$E$2:$E$500,MATCH("D9.34|"&amp;CAPTURA!CT139,CODIFICACION!$F$2:$F$500,0))),"⚠"))</f>
        <v/>
      </c>
      <c r="BP139" t="str">
        <f>IF(CAPTURA!CU139="","",IFERROR(IF(INDEX(CODIFICACION!$E$2:$E$500,MATCH("D9.35|"&amp;CAPTURA!CU139,CODIFICACION!$F$2:$F$500,0))="sin dato","",INDEX(CODIFICACION!$E$2:$E$500,MATCH("D9.35|"&amp;CAPTURA!CU139,CODIFICACION!$F$2:$F$500,0))),"⚠"))</f>
        <v/>
      </c>
      <c r="BQ139" t="str">
        <f>IF(CAPTURA!CV139="","",IFERROR(IF(INDEX(CODIFICACION!$E$2:$E$500,MATCH("D10.36|"&amp;CAPTURA!CV139,CODIFICACION!$F$2:$F$500,0))="sin dato","",INDEX(CODIFICACION!$E$2:$E$500,MATCH("D10.36|"&amp;CAPTURA!CV139,CODIFICACION!$F$2:$F$500,0))),"⚠"))</f>
        <v/>
      </c>
      <c r="BR139" t="str">
        <f>IF(CAPTURA!CW139="","",IFERROR(IF(INDEX(CODIFICACION!$E$2:$E$500,MATCH("D10.37|"&amp;CAPTURA!CW139,CODIFICACION!$F$2:$F$500,0))="sin dato","",INDEX(CODIFICACION!$E$2:$E$500,MATCH("D10.37|"&amp;CAPTURA!CW139,CODIFICACION!$F$2:$F$500,0))),"⚠"))</f>
        <v/>
      </c>
      <c r="BS139" t="str">
        <f>IF(CAPTURA!CX139="","",IFERROR(IF(INDEX(CODIFICACION!$E$2:$E$500,MATCH("D10.36a|"&amp;CAPTURA!CX139,CODIFICACION!$F$2:$F$500,0))="sin dato","",INDEX(CODIFICACION!$E$2:$E$500,MATCH("D10.36a|"&amp;CAPTURA!CX139,CODIFICACION!$F$2:$F$500,0))),"⚠"))</f>
        <v/>
      </c>
      <c r="BT139" t="str">
        <f>IF(CAPTURA!CY139="","",IF(ISNUMBER(SEARCH("Ninguno",CAPTURA!CY139)),0,MIN(100,ROUND((LEN(CAPTURA!CY139)-LEN(SUBSTITUTE(CAPTURA!CY139,";",""))+1)/6*100,1))))</f>
        <v/>
      </c>
      <c r="BU139" t="str">
        <f>IF(CAPTURA!DA139="","",IFERROR(IF(INDEX(CODIFICACION!$E$2:$E$500,MATCH("D11.39a|"&amp;CAPTURA!DA139,CODIFICACION!$F$2:$F$500,0))="sin dato","",INDEX(CODIFICACION!$E$2:$E$500,MATCH("D11.39a|"&amp;CAPTURA!DA139,CODIFICACION!$F$2:$F$500,0))),"⚠"))</f>
        <v/>
      </c>
      <c r="BV139" t="str">
        <f>IF(CAPTURA!DB139="","",IFERROR(IF(INDEX(CODIFICACION!$E$2:$E$500,MATCH("D12.42|"&amp;CAPTURA!DB139,CODIFICACION!$F$2:$F$500,0))="sin dato","",INDEX(CODIFICACION!$E$2:$E$500,MATCH("D12.42|"&amp;CAPTURA!DB139,CODIFICACION!$F$2:$F$500,0))),"⚠"))</f>
        <v/>
      </c>
      <c r="BW139" t="str">
        <f>IF(CAPTURA!DC139="","",IFERROR(IF(INDEX(CODIFICACION!$E$2:$E$500,MATCH("D13.45|"&amp;CAPTURA!DC139,CODIFICACION!$F$2:$F$500,0))="sin dato","",INDEX(CODIFICACION!$E$2:$E$500,MATCH("D13.45|"&amp;CAPTURA!DC139,CODIFICACION!$F$2:$F$500,0))),"⚠"))</f>
        <v/>
      </c>
      <c r="BX139" t="str">
        <f>IF(CAPTURA!DD139="","",IFERROR(IF(INDEX(CODIFICACION!$E$2:$E$500,MATCH("D14.51|"&amp;CAPTURA!DD139,CODIFICACION!$F$2:$F$500,0))="sin dato","",INDEX(CODIFICACION!$E$2:$E$500,MATCH("D14.51|"&amp;CAPTURA!DD139,CODIFICACION!$F$2:$F$500,0))),"⚠"))</f>
        <v/>
      </c>
      <c r="BY139" t="str">
        <f>IF(CAPTURA!DE139="","",IFERROR(IF(INDEX(CODIFICACION!$E$2:$E$500,MATCH("D15.58|"&amp;CAPTURA!DE139,CODIFICACION!$F$2:$F$500,0))="sin dato","",INDEX(CODIFICACION!$E$2:$E$500,MATCH("D15.58|"&amp;CAPTURA!DE139,CODIFICACION!$F$2:$F$500,0))),"⚠"))</f>
        <v/>
      </c>
      <c r="BZ139" t="str">
        <f>IF(CAPTURA!DF139="","",IFERROR(IF(INDEX(CODIFICACION!$E$2:$E$500,MATCH("PP1|"&amp;CAPTURA!DF139,CODIFICACION!$F$2:$F$500,0))="sin dato","",INDEX(CODIFICACION!$E$2:$E$500,MATCH("PP1|"&amp;CAPTURA!DF139,CODIFICACION!$F$2:$F$500,0))),"⚠"))</f>
        <v/>
      </c>
      <c r="CA139" t="str">
        <f>IF(CAPTURA!DG139="","",IFERROR(IF(INDEX(CODIFICACION!$E$2:$E$500,MATCH("PP2|"&amp;CAPTURA!DG139,CODIFICACION!$F$2:$F$500,0))="sin dato","",INDEX(CODIFICACION!$E$2:$E$500,MATCH("PP2|"&amp;CAPTURA!DG139,CODIFICACION!$F$2:$F$500,0))),"⚠"))</f>
        <v/>
      </c>
      <c r="CB139" t="str">
        <f t="shared" si="44"/>
        <v/>
      </c>
      <c r="CC139" t="str">
        <f t="shared" si="45"/>
        <v/>
      </c>
      <c r="CD139" t="str">
        <f t="shared" si="46"/>
        <v/>
      </c>
      <c r="CE139" t="str">
        <f t="shared" si="47"/>
        <v/>
      </c>
      <c r="CF139" t="str">
        <f t="shared" si="48"/>
        <v/>
      </c>
      <c r="CG139" t="str">
        <f t="shared" si="49"/>
        <v/>
      </c>
      <c r="CH139" t="str">
        <f t="shared" si="50"/>
        <v/>
      </c>
      <c r="CI139" t="str">
        <f t="shared" si="51"/>
        <v/>
      </c>
      <c r="CJ139" t="str">
        <f t="shared" si="52"/>
        <v/>
      </c>
      <c r="CK139" t="str">
        <f t="shared" si="53"/>
        <v/>
      </c>
      <c r="CL139" t="str">
        <f t="shared" si="54"/>
        <v/>
      </c>
    </row>
    <row r="140" spans="1:90" x14ac:dyDescent="0.3">
      <c r="A140">
        <f>CAPTURA!A140</f>
        <v>20603557825</v>
      </c>
      <c r="B140">
        <f>CAPTURA!C140</f>
        <v>0</v>
      </c>
      <c r="C140" t="str">
        <f>IF(CAPTURA!M140="","",ROUND((ISNUMBER(SEARCH("Alemania",CAPTURA!M140))+ISNUMBER(SEARCH("Bélgica",CAPTURA!M140))+ISNUMBER(SEARCH("Países Bajos",CAPTURA!M140))+ISNUMBER(SEARCH("Francia",CAPTURA!M140))+ISNUMBER(SEARCH("Italia",CAPTURA!M140))+ISNUMBER(SEARCH("España",CAPTURA!M140))+ISNUMBER(SEARCH("Suecia",CAPTURA!M140))+ISNUMBER(SEARCH("Dinamarca",CAPTURA!M140)))/((LEN(CAPTURA!M140)-LEN(SUBSTITUTE(CAPTURA!M140,";","")))+1)*100,1))</f>
        <v/>
      </c>
      <c r="D140" t="str">
        <f>IF(CAPTURA!AE140="","",IFERROR(IF(INDEX(CODIFICACION!$E$2:$E$500,MATCH("P8|"&amp;CAPTURA!AE140,CODIFICACION!$F$2:$F$500,0))="sin dato","",INDEX(CODIFICACION!$E$2:$E$500,MATCH("P8|"&amp;CAPTURA!AE140,CODIFICACION!$F$2:$F$500,0))),"⚠"))</f>
        <v/>
      </c>
      <c r="E140" t="str">
        <f>IF(CAPTURA!AG140="","",IFERROR(IF(INDEX(CODIFICACION!$E$2:$E$500,MATCH("P10|"&amp;CAPTURA!AG140,CODIFICACION!$F$2:$F$500,0))="sin dato","",INDEX(CODIFICACION!$E$2:$E$500,MATCH("P10|"&amp;CAPTURA!AG140,CODIFICACION!$F$2:$F$500,0))),"⚠"))</f>
        <v/>
      </c>
      <c r="F140" t="str">
        <f>IF(CAPTURA!AJ140="","",IFERROR(IF(INDEX(CODIFICACION!$E$2:$E$500,MATCH("P13|"&amp;CAPTURA!AJ140,CODIFICACION!$F$2:$F$500,0))="sin dato","",INDEX(CODIFICACION!$E$2:$E$500,MATCH("P13|"&amp;CAPTURA!AJ140,CODIFICACION!$F$2:$F$500,0))),"⚠"))</f>
        <v/>
      </c>
      <c r="G140" t="str">
        <f>IF(CAPTURA!AK140="","",IFERROR(IF(INDEX(CODIFICACION!$E$2:$E$500,MATCH("P14|"&amp;CAPTURA!AK140,CODIFICACION!$F$2:$F$500,0))="sin dato","",INDEX(CODIFICACION!$E$2:$E$500,MATCH("P14|"&amp;CAPTURA!AK140,CODIFICACION!$F$2:$F$500,0))),"⚠"))</f>
        <v/>
      </c>
      <c r="H140" t="str">
        <f>IF(CAPTURA!AL140="","",IFERROR(IF(INDEX(CODIFICACION!$E$2:$E$500,MATCH("D1.1|"&amp;CAPTURA!AL140,CODIFICACION!$F$2:$F$500,0))="sin dato","",INDEX(CODIFICACION!$E$2:$E$500,MATCH("D1.1|"&amp;CAPTURA!AL140,CODIFICACION!$F$2:$F$500,0))),"⚠"))</f>
        <v/>
      </c>
      <c r="I140" t="str">
        <f>IF(CAPTURA!AN140="","",IFERROR(IF(INDEX(CODIFICACION!$E$2:$E$500,MATCH("D1.3|"&amp;CAPTURA!AN140,CODIFICACION!$F$2:$F$500,0))="sin dato","",INDEX(CODIFICACION!$E$2:$E$500,MATCH("D1.3|"&amp;CAPTURA!AN140,CODIFICACION!$F$2:$F$500,0))),"⚠"))</f>
        <v/>
      </c>
      <c r="J140" t="str">
        <f>IF(CAPTURA!AO140="","",IFERROR(IF(INDEX(CODIFICACION!$E$2:$E$500,MATCH("D1.4|"&amp;CAPTURA!AO140,CODIFICACION!$F$2:$F$500,0))="sin dato","",INDEX(CODIFICACION!$E$2:$E$500,MATCH("D1.4|"&amp;CAPTURA!AO140,CODIFICACION!$F$2:$F$500,0))),"⚠"))</f>
        <v/>
      </c>
      <c r="K140" t="str">
        <f>IF(CAPTURA!AP140="","",IFERROR(IF(INDEX(CODIFICACION!$E$2:$E$500,MATCH("D1.3a|"&amp;CAPTURA!AP140,CODIFICACION!$F$2:$F$500,0))="sin dato","",INDEX(CODIFICACION!$E$2:$E$500,MATCH("D1.3a|"&amp;CAPTURA!AP140,CODIFICACION!$F$2:$F$500,0))),"⚠"))</f>
        <v/>
      </c>
      <c r="L140" t="str">
        <f>IF(CAPTURA!AQ140="","",IF(AND(ISNUMBER(CAPTURA!AQ140),CAPTURA!AQ140&gt;=0,CAPTURA!AQ140&lt;=4),CAPTURA!AQ140*25,"⚠"))</f>
        <v/>
      </c>
      <c r="M140" t="str">
        <f>IF(CAPTURA!AR140="","",IF(ISNUMBER(CAPTURA!AR140),MAX(0,MIN(100,CAPTURA!AR140)),"⚠"))</f>
        <v/>
      </c>
      <c r="N140" t="str">
        <f>IF(CAPTURA!AS140="","",IF(AND(ISNUMBER(CAPTURA!AS140),CAPTURA!AS140&gt;=0,CAPTURA!AS140&lt;=4),CAPTURA!AS140*25,"⚠"))</f>
        <v/>
      </c>
      <c r="O140" t="str">
        <f>IF(CAPTURA!AT140="","",IFERROR(IF(INDEX(CODIFICACION!$E$2:$E$500,MATCH("D2.8|"&amp;CAPTURA!AT140,CODIFICACION!$F$2:$F$500,0))="sin dato","",INDEX(CODIFICACION!$E$2:$E$500,MATCH("D2.8|"&amp;CAPTURA!AT140,CODIFICACION!$F$2:$F$500,0))),"⚠"))</f>
        <v/>
      </c>
      <c r="P140" t="str">
        <f>IF(CAPTURA!AU140="","",IFERROR(IF(INDEX(CODIFICACION!$E$2:$E$500,MATCH("D2.9|"&amp;CAPTURA!AU140,CODIFICACION!$F$2:$F$500,0))="sin dato","",INDEX(CODIFICACION!$E$2:$E$500,MATCH("D2.9|"&amp;CAPTURA!AU140,CODIFICACION!$F$2:$F$500,0))),"⚠"))</f>
        <v/>
      </c>
      <c r="Q140" t="str">
        <f>IF(CAPTURA!AV140="","",IFERROR(IF(INDEX(CODIFICACION!$E$2:$E$500,MATCH("D2.10|"&amp;CAPTURA!AV140,CODIFICACION!$F$2:$F$500,0))="sin dato","",INDEX(CODIFICACION!$E$2:$E$500,MATCH("D2.10|"&amp;CAPTURA!AV140,CODIFICACION!$F$2:$F$500,0))),"⚠"))</f>
        <v/>
      </c>
      <c r="R140" t="str">
        <f>IF(CAPTURA!AW140="","",IFERROR(IF(INDEX(CODIFICACION!$E$2:$E$500,MATCH("D2.5a|"&amp;CAPTURA!AW140,CODIFICACION!$F$2:$F$500,0))="sin dato","",INDEX(CODIFICACION!$E$2:$E$500,MATCH("D2.5a|"&amp;CAPTURA!AW140,CODIFICACION!$F$2:$F$500,0))),"⚠"))</f>
        <v/>
      </c>
      <c r="S140" t="str">
        <f>IF(CAPTURA!AX140="","",IFERROR(IF(INDEX(CODIFICACION!$E$2:$E$500,MATCH("D2.5b|"&amp;CAPTURA!AX140,CODIFICACION!$F$2:$F$500,0))="sin dato","",INDEX(CODIFICACION!$E$2:$E$500,MATCH("D2.5b|"&amp;CAPTURA!AX140,CODIFICACION!$F$2:$F$500,0))),"⚠"))</f>
        <v/>
      </c>
      <c r="T140" t="str">
        <f>IF(CAPTURA!AY140="","",IF(ISNUMBER(CAPTURA!AY140),MAX(0,MIN(100,CAPTURA!AY140)),"⚠"))</f>
        <v/>
      </c>
      <c r="U140" t="str">
        <f>IF(CAPTURA!AZ140="","",IFERROR(IF(INDEX(CODIFICACION!$E$2:$E$500,MATCH("D3.12|"&amp;CAPTURA!AZ140,CODIFICACION!$F$2:$F$500,0))="sin dato","",INDEX(CODIFICACION!$E$2:$E$500,MATCH("D3.12|"&amp;CAPTURA!AZ140,CODIFICACION!$F$2:$F$500,0))),"⚠"))</f>
        <v/>
      </c>
      <c r="V140" t="str">
        <f>IF(CAPTURA!BA140="","",IF(AND(ISNUMBER(CAPTURA!BA140),CAPTURA!BA140&gt;=0,CAPTURA!BA140&lt;=4),CAPTURA!BA140*25,"⚠"))</f>
        <v/>
      </c>
      <c r="W140" t="str">
        <f>IF(CAPTURA!BB140="","",IFERROR(IF(INDEX(CODIFICACION!$E$2:$E$500,MATCH("D3.14|"&amp;CAPTURA!BB140,CODIFICACION!$F$2:$F$500,0))="sin dato","",INDEX(CODIFICACION!$E$2:$E$500,MATCH("D3.14|"&amp;CAPTURA!BB140,CODIFICACION!$F$2:$F$500,0))),"⚠"))</f>
        <v/>
      </c>
      <c r="X140" t="str">
        <f>IF(CAPTURA!BC140="","",IFERROR(IF(INDEX(CODIFICACION!$E$2:$E$500,MATCH("D3.14a|"&amp;CAPTURA!BC140,CODIFICACION!$F$2:$F$500,0))="sin dato","",INDEX(CODIFICACION!$E$2:$E$500,MATCH("D3.14a|"&amp;CAPTURA!BC140,CODIFICACION!$F$2:$F$500,0))),"⚠"))</f>
        <v/>
      </c>
      <c r="Y140" t="str">
        <f>IF(CAPTURA!BD140="","",IFERROR(IF(INDEX(CODIFICACION!$E$2:$E$500,MATCH("D3.14b|"&amp;CAPTURA!BD140,CODIFICACION!$F$2:$F$500,0))="sin dato","",INDEX(CODIFICACION!$E$2:$E$500,MATCH("D3.14b|"&amp;CAPTURA!BD140,CODIFICACION!$F$2:$F$500,0))),"⚠"))</f>
        <v/>
      </c>
      <c r="Z140" t="str">
        <f>IF(CAPTURA!BE140="","",IFERROR(IF(INDEX(CODIFICACION!$E$2:$E$500,MATCH("D3.14c|"&amp;CAPTURA!BE140,CODIFICACION!$F$2:$F$500,0))="sin dato","",INDEX(CODIFICACION!$E$2:$E$500,MATCH("D3.14c|"&amp;CAPTURA!BE140,CODIFICACION!$F$2:$F$500,0))),"⚠"))</f>
        <v/>
      </c>
      <c r="AA140" t="str">
        <f>IF(CAPTURA!BF140="","",IFERROR(IF(INDEX(CODIFICACION!$E$2:$E$500,MATCH("D3.14d|"&amp;CAPTURA!BF140,CODIFICACION!$F$2:$F$500,0))="sin dato","",INDEX(CODIFICACION!$E$2:$E$500,MATCH("D3.14d|"&amp;CAPTURA!BF140,CODIFICACION!$F$2:$F$500,0))),"⚠"))</f>
        <v/>
      </c>
      <c r="AB140" t="str">
        <f>IF(CAPTURA!BG140="","",IFERROR(IF(INDEX(CODIFICACION!$E$2:$E$500,MATCH("D3.14e|"&amp;CAPTURA!BG140,CODIFICACION!$F$2:$F$500,0))="sin dato","",INDEX(CODIFICACION!$E$2:$E$500,MATCH("D3.14e|"&amp;CAPTURA!BG140,CODIFICACION!$F$2:$F$500,0))),"⚠"))</f>
        <v/>
      </c>
      <c r="AC140" t="str">
        <f>IF(CAPTURA!BH140="","",IFERROR(IF(INDEX(CODIFICACION!$E$2:$E$500,MATCH("D3.14f|"&amp;CAPTURA!BH140,CODIFICACION!$F$2:$F$500,0))="sin dato","",INDEX(CODIFICACION!$E$2:$E$500,MATCH("D3.14f|"&amp;CAPTURA!BH140,CODIFICACION!$F$2:$F$500,0))),"⚠"))</f>
        <v/>
      </c>
      <c r="AD140" t="str">
        <f>IF(CAPTURA!BI140="","",IFERROR(IF(INDEX(CODIFICACION!$E$2:$E$500,MATCH("D3.14g|"&amp;CAPTURA!BI140,CODIFICACION!$F$2:$F$500,0))="sin dato","",INDEX(CODIFICACION!$E$2:$E$500,MATCH("D3.14g|"&amp;CAPTURA!BI140,CODIFICACION!$F$2:$F$500,0))),"⚠"))</f>
        <v/>
      </c>
      <c r="AE140" t="str">
        <f>IF(CAPTURA!BJ140="","",IFERROR(IF(INDEX(CODIFICACION!$E$2:$E$500,MATCH("D3.14h|"&amp;CAPTURA!BJ140,CODIFICACION!$F$2:$F$500,0))="sin dato","",INDEX(CODIFICACION!$E$2:$E$500,MATCH("D3.14h|"&amp;CAPTURA!BJ140,CODIFICACION!$F$2:$F$500,0))),"⚠"))</f>
        <v/>
      </c>
      <c r="AF140" t="str">
        <f>IF(CAPTURA!BK140="","",IFERROR(IF(INDEX(CODIFICACION!$E$2:$E$500,MATCH("D3.14i|"&amp;CAPTURA!BK140,CODIFICACION!$F$2:$F$500,0))="sin dato","",INDEX(CODIFICACION!$E$2:$E$500,MATCH("D3.14i|"&amp;CAPTURA!BK140,CODIFICACION!$F$2:$F$500,0))),"⚠"))</f>
        <v/>
      </c>
      <c r="AG140" t="str">
        <f>IF(CAPTURA!BL140="","",IFERROR(IF(INDEX(CODIFICACION!$E$2:$E$500,MATCH("D4.15|"&amp;CAPTURA!BL140,CODIFICACION!$F$2:$F$500,0))="sin dato","",INDEX(CODIFICACION!$E$2:$E$500,MATCH("D4.15|"&amp;CAPTURA!BL140,CODIFICACION!$F$2:$F$500,0))),"⚠"))</f>
        <v/>
      </c>
      <c r="AH140" t="str">
        <f>IF(CAPTURA!BM140="","",IF(AND(ISNUMBER(CAPTURA!BM140),CAPTURA!BM140&gt;=0,CAPTURA!BM140&lt;=4),CAPTURA!BM140*25,"⚠"))</f>
        <v/>
      </c>
      <c r="AI140" t="str">
        <f>IF(CAPTURA!BN140="","",IFERROR(IF(INDEX(CODIFICACION!$E$2:$E$500,MATCH("D4.17|"&amp;CAPTURA!BN140,CODIFICACION!$F$2:$F$500,0))="sin dato","",INDEX(CODIFICACION!$E$2:$E$500,MATCH("D4.17|"&amp;CAPTURA!BN140,CODIFICACION!$F$2:$F$500,0))),"⚠"))</f>
        <v/>
      </c>
      <c r="AJ140" t="str">
        <f>IF(CAPTURA!BO140="","",IFERROR(IF(INDEX(CODIFICACION!$E$2:$E$500,MATCH("D4.15a|"&amp;CAPTURA!BO140,CODIFICACION!$F$2:$F$500,0))="sin dato","",INDEX(CODIFICACION!$E$2:$E$500,MATCH("D4.15a|"&amp;CAPTURA!BO140,CODIFICACION!$F$2:$F$500,0))),"⚠"))</f>
        <v/>
      </c>
      <c r="AK140" t="str">
        <f>IF(CAPTURA!BP140="","",IF(AND(ISNUMBER(CAPTURA!BP140),CAPTURA!BP140&gt;=0,CAPTURA!BP140&lt;=4),CAPTURA!BP140*25,"⚠"))</f>
        <v/>
      </c>
      <c r="AL140" t="str">
        <f>IF(CAPTURA!BQ140="","",IF(AND(ISNUMBER(CAPTURA!BQ140),CAPTURA!BQ140&gt;=0,CAPTURA!BQ140&lt;=4),CAPTURA!BQ140*25,"⚠"))</f>
        <v/>
      </c>
      <c r="AM140" t="str">
        <f>IF(CAPTURA!BR140="","",IFERROR(IF(INDEX(CODIFICACION!$E$2:$E$500,MATCH("D5.18b|"&amp;CAPTURA!BR140,CODIFICACION!$F$2:$F$500,0))="sin dato","",INDEX(CODIFICACION!$E$2:$E$500,MATCH("D5.18b|"&amp;CAPTURA!BR140,CODIFICACION!$F$2:$F$500,0))),"⚠"))</f>
        <v/>
      </c>
      <c r="AN140" t="str">
        <f>IF(CAPTURA!BS140="","",IFERROR(IF(INDEX(CODIFICACION!$E$2:$E$500,MATCH("D5.19|"&amp;CAPTURA!BS140,CODIFICACION!$F$2:$F$500,0))="sin dato","",INDEX(CODIFICACION!$E$2:$E$500,MATCH("D5.19|"&amp;CAPTURA!BS140,CODIFICACION!$F$2:$F$500,0))),"⚠"))</f>
        <v/>
      </c>
      <c r="AO140" t="str">
        <f>IF(CAPTURA!BT140="","",MIN(100,ROUND((LEN(CAPTURA!BT140)-LEN(SUBSTITUTE(CAPTURA!BT140,";",""))+1)/7*100,1)))</f>
        <v/>
      </c>
      <c r="AP140" t="str">
        <f>IF(CAPTURA!BU140="","",IFERROR(IF(INDEX(CODIFICACION!$E$2:$E$500,MATCH("D5.20|"&amp;CAPTURA!BU140,CODIFICACION!$F$2:$F$500,0))="sin dato","",INDEX(CODIFICACION!$E$2:$E$500,MATCH("D5.20|"&amp;CAPTURA!BU140,CODIFICACION!$F$2:$F$500,0))),"⚠"))</f>
        <v/>
      </c>
      <c r="AQ140" t="str">
        <f>IF(CAPTURA!BV140="","",IFERROR(IF(INDEX(CODIFICACION!$E$2:$E$500,MATCH("D5.21|"&amp;CAPTURA!BV140,CODIFICACION!$F$2:$F$500,0))="sin dato","",INDEX(CODIFICACION!$E$2:$E$500,MATCH("D5.21|"&amp;CAPTURA!BV140,CODIFICACION!$F$2:$F$500,0))),"⚠"))</f>
        <v/>
      </c>
      <c r="AR140" t="str">
        <f>IF(CAPTURA!BW140="","",IFERROR(IF(INDEX(CODIFICACION!$E$2:$E$500,MATCH("D5.21a|"&amp;CAPTURA!BW140,CODIFICACION!$F$2:$F$500,0))="sin dato","",INDEX(CODIFICACION!$E$2:$E$500,MATCH("D5.21a|"&amp;CAPTURA!BW140,CODIFICACION!$F$2:$F$500,0))),"⚠"))</f>
        <v/>
      </c>
      <c r="AS140" t="str">
        <f>IF(CAPTURA!BX140="","",IFERROR(IF(INDEX(CODIFICACION!$E$2:$E$500,MATCH("D5.21b|"&amp;CAPTURA!BX140,CODIFICACION!$F$2:$F$500,0))="sin dato","",INDEX(CODIFICACION!$E$2:$E$500,MATCH("D5.21b|"&amp;CAPTURA!BX140,CODIFICACION!$F$2:$F$500,0))),"⚠"))</f>
        <v/>
      </c>
      <c r="AT140" t="str">
        <f>IF(CAPTURA!BY140="","",IFERROR(IF(INDEX(CODIFICACION!$E$2:$E$500,MATCH("D6.22|"&amp;CAPTURA!BY140,CODIFICACION!$F$2:$F$500,0))="sin dato","",INDEX(CODIFICACION!$E$2:$E$500,MATCH("D6.22|"&amp;CAPTURA!BY140,CODIFICACION!$F$2:$F$500,0))),"⚠"))</f>
        <v/>
      </c>
      <c r="AU140" t="str">
        <f>IF(CAPTURA!BZ140="","",IFERROR(IF(INDEX(CODIFICACION!$E$2:$E$500,MATCH("D6.22a|"&amp;CAPTURA!BZ140,CODIFICACION!$F$2:$F$500,0))="sin dato","",INDEX(CODIFICACION!$E$2:$E$500,MATCH("D6.22a|"&amp;CAPTURA!BZ140,CODIFICACION!$F$2:$F$500,0))),"⚠"))</f>
        <v/>
      </c>
      <c r="AV140" t="str">
        <f>IF(CAPTURA!CA140="","",IFERROR(IF(INDEX(CODIFICACION!$E$2:$E$500,MATCH("D6.22b|"&amp;CAPTURA!CA140,CODIFICACION!$F$2:$F$500,0))="sin dato","",INDEX(CODIFICACION!$E$2:$E$500,MATCH("D6.22b|"&amp;CAPTURA!CA140,CODIFICACION!$F$2:$F$500,0))),"⚠"))</f>
        <v/>
      </c>
      <c r="AW140" t="str">
        <f>IF(CAPTURA!CB140="","",IFERROR(IF(INDEX(CODIFICACION!$E$2:$E$500,MATCH("D6.23|"&amp;CAPTURA!CB140,CODIFICACION!$F$2:$F$500,0))="sin dato","",INDEX(CODIFICACION!$E$2:$E$500,MATCH("D6.23|"&amp;CAPTURA!CB140,CODIFICACION!$F$2:$F$500,0))),"⚠"))</f>
        <v/>
      </c>
      <c r="AX140" t="str">
        <f>IF(CAPTURA!CC140="","",IFERROR(IF(INDEX(CODIFICACION!$E$2:$E$500,MATCH("D6.24|"&amp;CAPTURA!CC140,CODIFICACION!$F$2:$F$500,0))="sin dato","",INDEX(CODIFICACION!$E$2:$E$500,MATCH("D6.24|"&amp;CAPTURA!CC140,CODIFICACION!$F$2:$F$500,0))),"⚠"))</f>
        <v/>
      </c>
      <c r="AY140" t="str">
        <f>IF(CAPTURA!CD140="","",IFERROR(IF(INDEX(CODIFICACION!$E$2:$E$500,MATCH("D6.25|"&amp;CAPTURA!CD140,CODIFICACION!$F$2:$F$500,0))="sin dato","",INDEX(CODIFICACION!$E$2:$E$500,MATCH("D6.25|"&amp;CAPTURA!CD140,CODIFICACION!$F$2:$F$500,0))),"⚠"))</f>
        <v/>
      </c>
      <c r="AZ140" t="str">
        <f>IF(CAPTURA!CE140="","",IFERROR(IF(INDEX(CODIFICACION!$E$2:$E$500,MATCH("D6.25a|"&amp;CAPTURA!CE140,CODIFICACION!$F$2:$F$500,0))="sin dato","",INDEX(CODIFICACION!$E$2:$E$500,MATCH("D6.25a|"&amp;CAPTURA!CE140,CODIFICACION!$F$2:$F$500,0))),"⚠"))</f>
        <v/>
      </c>
      <c r="BA140" t="str">
        <f>IF(CAPTURA!CF140="","",IFERROR(IF(INDEX(CODIFICACION!$E$2:$E$500,MATCH("D6.25b|"&amp;CAPTURA!CF140,CODIFICACION!$F$2:$F$500,0))="sin dato","",INDEX(CODIFICACION!$E$2:$E$500,MATCH("D6.25b|"&amp;CAPTURA!CF140,CODIFICACION!$F$2:$F$500,0))),"⚠"))</f>
        <v/>
      </c>
      <c r="BB140" t="str">
        <f>IF(CAPTURA!CG140="","",IFERROR(IF(INDEX(CODIFICACION!$E$2:$E$500,MATCH("D6.22c|"&amp;CAPTURA!CG140,CODIFICACION!$F$2:$F$500,0))="sin dato","",INDEX(CODIFICACION!$E$2:$E$500,MATCH("D6.22c|"&amp;CAPTURA!CG140,CODIFICACION!$F$2:$F$500,0))),"⚠"))</f>
        <v/>
      </c>
      <c r="BC140" t="str">
        <f>IF(CAPTURA!CH140="","",IFERROR(IF(INDEX(CODIFICACION!$E$2:$E$500,MATCH("D7.26|"&amp;CAPTURA!CH140,CODIFICACION!$F$2:$F$500,0))="sin dato","",INDEX(CODIFICACION!$E$2:$E$500,MATCH("D7.26|"&amp;CAPTURA!CH140,CODIFICACION!$F$2:$F$500,0))),"⚠"))</f>
        <v/>
      </c>
      <c r="BD140" t="str">
        <f>IF(CAPTURA!CI140="","",IFERROR(IF(INDEX(CODIFICACION!$E$2:$E$500,MATCH("D7.27|"&amp;CAPTURA!CI140,CODIFICACION!$F$2:$F$500,0))="sin dato","",INDEX(CODIFICACION!$E$2:$E$500,MATCH("D7.27|"&amp;CAPTURA!CI140,CODIFICACION!$F$2:$F$500,0))),"⚠"))</f>
        <v/>
      </c>
      <c r="BE140" t="str">
        <f>IF(CAPTURA!CJ140="","",IFERROR(IF(INDEX(CODIFICACION!$E$2:$E$500,MATCH("D7.28|"&amp;CAPTURA!CJ140,CODIFICACION!$F$2:$F$500,0))="sin dato","",INDEX(CODIFICACION!$E$2:$E$500,MATCH("D7.28|"&amp;CAPTURA!CJ140,CODIFICACION!$F$2:$F$500,0))),"⚠"))</f>
        <v/>
      </c>
      <c r="BF140" t="str">
        <f>IF(CAPTURA!CK140="","",IFERROR(IF(INDEX(CODIFICACION!$E$2:$E$500,MATCH("D7.28b|"&amp;CAPTURA!CK140,CODIFICACION!$F$2:$F$500,0))="sin dato","",INDEX(CODIFICACION!$E$2:$E$500,MATCH("D7.28b|"&amp;CAPTURA!CK140,CODIFICACION!$F$2:$F$500,0))),"⚠"))</f>
        <v/>
      </c>
      <c r="BG140" t="str">
        <f>IF(CAPTURA!CL140="","",MIN(100,ROUND((LEN(CAPTURA!CL140)-LEN(SUBSTITUTE(CAPTURA!CL140,";",""))+1)/8*100,1)))</f>
        <v/>
      </c>
      <c r="BH140" t="str">
        <f>IF(CAPTURA!CM140="","",IFERROR(IF(INDEX(CODIFICACION!$E$2:$E$500,MATCH("D7.26a|"&amp;CAPTURA!CM140,CODIFICACION!$F$2:$F$500,0))="sin dato","",INDEX(CODIFICACION!$E$2:$E$500,MATCH("D7.26a|"&amp;CAPTURA!CM140,CODIFICACION!$F$2:$F$500,0))),"⚠"))</f>
        <v/>
      </c>
      <c r="BI140" t="str">
        <f>IF(CAPTURA!CN140="","",IFERROR(IF(INDEX(CODIFICACION!$E$2:$E$500,MATCH("D7.26b|"&amp;CAPTURA!CN140,CODIFICACION!$F$2:$F$500,0))="sin dato","",INDEX(CODIFICACION!$E$2:$E$500,MATCH("D7.26b|"&amp;CAPTURA!CN140,CODIFICACION!$F$2:$F$500,0))),"⚠"))</f>
        <v/>
      </c>
      <c r="BJ140" t="str">
        <f>IF(CAPTURA!CO140="","",IF(AND(ISNUMBER(CAPTURA!CO140),CAPTURA!CO140&gt;=0,CAPTURA!CO140&lt;=4),CAPTURA!CO140*25,"⚠"))</f>
        <v/>
      </c>
      <c r="BK140" t="str">
        <f>IF(CAPTURA!CP140="","",IF(ISNUMBER(CAPTURA!CP140),MAX(0,MIN(100,CAPTURA!CP140)),"⚠"))</f>
        <v/>
      </c>
      <c r="BL140" t="str">
        <f>IF(CAPTURA!CQ140="","",IFERROR(IF(INDEX(CODIFICACION!$E$2:$E$500,MATCH("D8.31|"&amp;CAPTURA!CQ140,CODIFICACION!$F$2:$F$500,0))="sin dato","",INDEX(CODIFICACION!$E$2:$E$500,MATCH("D8.31|"&amp;CAPTURA!CQ140,CODIFICACION!$F$2:$F$500,0))),"⚠"))</f>
        <v/>
      </c>
      <c r="BM140" t="str">
        <f>IF(CAPTURA!CR140="","",IFERROR(IF(INDEX(CODIFICACION!$E$2:$E$500,MATCH("D8.32|"&amp;CAPTURA!CR140,CODIFICACION!$F$2:$F$500,0))="sin dato","",INDEX(CODIFICACION!$E$2:$E$500,MATCH("D8.32|"&amp;CAPTURA!CR140,CODIFICACION!$F$2:$F$500,0))),"⚠"))</f>
        <v/>
      </c>
      <c r="BN140" t="str">
        <f>IF(CAPTURA!CS140="","",IFERROR(IF(INDEX(CODIFICACION!$E$2:$E$500,MATCH("D9.33|"&amp;CAPTURA!CS140,CODIFICACION!$F$2:$F$500,0))="sin dato","",INDEX(CODIFICACION!$E$2:$E$500,MATCH("D9.33|"&amp;CAPTURA!CS140,CODIFICACION!$F$2:$F$500,0))),"⚠"))</f>
        <v/>
      </c>
      <c r="BO140" t="str">
        <f>IF(CAPTURA!CT140="","",IFERROR(IF(INDEX(CODIFICACION!$E$2:$E$500,MATCH("D9.34|"&amp;CAPTURA!CT140,CODIFICACION!$F$2:$F$500,0))="sin dato","",INDEX(CODIFICACION!$E$2:$E$500,MATCH("D9.34|"&amp;CAPTURA!CT140,CODIFICACION!$F$2:$F$500,0))),"⚠"))</f>
        <v/>
      </c>
      <c r="BP140" t="str">
        <f>IF(CAPTURA!CU140="","",IFERROR(IF(INDEX(CODIFICACION!$E$2:$E$500,MATCH("D9.35|"&amp;CAPTURA!CU140,CODIFICACION!$F$2:$F$500,0))="sin dato","",INDEX(CODIFICACION!$E$2:$E$500,MATCH("D9.35|"&amp;CAPTURA!CU140,CODIFICACION!$F$2:$F$500,0))),"⚠"))</f>
        <v/>
      </c>
      <c r="BQ140" t="str">
        <f>IF(CAPTURA!CV140="","",IFERROR(IF(INDEX(CODIFICACION!$E$2:$E$500,MATCH("D10.36|"&amp;CAPTURA!CV140,CODIFICACION!$F$2:$F$500,0))="sin dato","",INDEX(CODIFICACION!$E$2:$E$500,MATCH("D10.36|"&amp;CAPTURA!CV140,CODIFICACION!$F$2:$F$500,0))),"⚠"))</f>
        <v/>
      </c>
      <c r="BR140" t="str">
        <f>IF(CAPTURA!CW140="","",IFERROR(IF(INDEX(CODIFICACION!$E$2:$E$500,MATCH("D10.37|"&amp;CAPTURA!CW140,CODIFICACION!$F$2:$F$500,0))="sin dato","",INDEX(CODIFICACION!$E$2:$E$500,MATCH("D10.37|"&amp;CAPTURA!CW140,CODIFICACION!$F$2:$F$500,0))),"⚠"))</f>
        <v/>
      </c>
      <c r="BS140" t="str">
        <f>IF(CAPTURA!CX140="","",IFERROR(IF(INDEX(CODIFICACION!$E$2:$E$500,MATCH("D10.36a|"&amp;CAPTURA!CX140,CODIFICACION!$F$2:$F$500,0))="sin dato","",INDEX(CODIFICACION!$E$2:$E$500,MATCH("D10.36a|"&amp;CAPTURA!CX140,CODIFICACION!$F$2:$F$500,0))),"⚠"))</f>
        <v/>
      </c>
      <c r="BT140" t="str">
        <f>IF(CAPTURA!CY140="","",IF(ISNUMBER(SEARCH("Ninguno",CAPTURA!CY140)),0,MIN(100,ROUND((LEN(CAPTURA!CY140)-LEN(SUBSTITUTE(CAPTURA!CY140,";",""))+1)/6*100,1))))</f>
        <v/>
      </c>
      <c r="BU140" t="str">
        <f>IF(CAPTURA!DA140="","",IFERROR(IF(INDEX(CODIFICACION!$E$2:$E$500,MATCH("D11.39a|"&amp;CAPTURA!DA140,CODIFICACION!$F$2:$F$500,0))="sin dato","",INDEX(CODIFICACION!$E$2:$E$500,MATCH("D11.39a|"&amp;CAPTURA!DA140,CODIFICACION!$F$2:$F$500,0))),"⚠"))</f>
        <v/>
      </c>
      <c r="BV140" t="str">
        <f>IF(CAPTURA!DB140="","",IFERROR(IF(INDEX(CODIFICACION!$E$2:$E$500,MATCH("D12.42|"&amp;CAPTURA!DB140,CODIFICACION!$F$2:$F$500,0))="sin dato","",INDEX(CODIFICACION!$E$2:$E$500,MATCH("D12.42|"&amp;CAPTURA!DB140,CODIFICACION!$F$2:$F$500,0))),"⚠"))</f>
        <v/>
      </c>
      <c r="BW140" t="str">
        <f>IF(CAPTURA!DC140="","",IFERROR(IF(INDEX(CODIFICACION!$E$2:$E$500,MATCH("D13.45|"&amp;CAPTURA!DC140,CODIFICACION!$F$2:$F$500,0))="sin dato","",INDEX(CODIFICACION!$E$2:$E$500,MATCH("D13.45|"&amp;CAPTURA!DC140,CODIFICACION!$F$2:$F$500,0))),"⚠"))</f>
        <v/>
      </c>
      <c r="BX140" t="str">
        <f>IF(CAPTURA!DD140="","",IFERROR(IF(INDEX(CODIFICACION!$E$2:$E$500,MATCH("D14.51|"&amp;CAPTURA!DD140,CODIFICACION!$F$2:$F$500,0))="sin dato","",INDEX(CODIFICACION!$E$2:$E$500,MATCH("D14.51|"&amp;CAPTURA!DD140,CODIFICACION!$F$2:$F$500,0))),"⚠"))</f>
        <v/>
      </c>
      <c r="BY140" t="str">
        <f>IF(CAPTURA!DE140="","",IFERROR(IF(INDEX(CODIFICACION!$E$2:$E$500,MATCH("D15.58|"&amp;CAPTURA!DE140,CODIFICACION!$F$2:$F$500,0))="sin dato","",INDEX(CODIFICACION!$E$2:$E$500,MATCH("D15.58|"&amp;CAPTURA!DE140,CODIFICACION!$F$2:$F$500,0))),"⚠"))</f>
        <v/>
      </c>
      <c r="BZ140" t="str">
        <f>IF(CAPTURA!DF140="","",IFERROR(IF(INDEX(CODIFICACION!$E$2:$E$500,MATCH("PP1|"&amp;CAPTURA!DF140,CODIFICACION!$F$2:$F$500,0))="sin dato","",INDEX(CODIFICACION!$E$2:$E$500,MATCH("PP1|"&amp;CAPTURA!DF140,CODIFICACION!$F$2:$F$500,0))),"⚠"))</f>
        <v/>
      </c>
      <c r="CA140" t="str">
        <f>IF(CAPTURA!DG140="","",IFERROR(IF(INDEX(CODIFICACION!$E$2:$E$500,MATCH("PP2|"&amp;CAPTURA!DG140,CODIFICACION!$F$2:$F$500,0))="sin dato","",INDEX(CODIFICACION!$E$2:$E$500,MATCH("PP2|"&amp;CAPTURA!DG140,CODIFICACION!$F$2:$F$500,0))),"⚠"))</f>
        <v/>
      </c>
      <c r="CB140" t="str">
        <f t="shared" si="44"/>
        <v/>
      </c>
      <c r="CC140" t="str">
        <f t="shared" si="45"/>
        <v/>
      </c>
      <c r="CD140" t="str">
        <f t="shared" si="46"/>
        <v/>
      </c>
      <c r="CE140" t="str">
        <f t="shared" si="47"/>
        <v/>
      </c>
      <c r="CF140" t="str">
        <f t="shared" si="48"/>
        <v/>
      </c>
      <c r="CG140" t="str">
        <f t="shared" si="49"/>
        <v/>
      </c>
      <c r="CH140" t="str">
        <f t="shared" si="50"/>
        <v/>
      </c>
      <c r="CI140" t="str">
        <f t="shared" si="51"/>
        <v/>
      </c>
      <c r="CJ140" t="str">
        <f t="shared" si="52"/>
        <v/>
      </c>
      <c r="CK140" t="str">
        <f t="shared" si="53"/>
        <v/>
      </c>
      <c r="CL140" t="str">
        <f t="shared" si="54"/>
        <v/>
      </c>
    </row>
    <row r="141" spans="1:90" x14ac:dyDescent="0.3">
      <c r="A141">
        <f>CAPTURA!A141</f>
        <v>20603675551</v>
      </c>
      <c r="B141">
        <f>CAPTURA!C141</f>
        <v>0</v>
      </c>
      <c r="C141" t="str">
        <f>IF(CAPTURA!M141="","",ROUND((ISNUMBER(SEARCH("Alemania",CAPTURA!M141))+ISNUMBER(SEARCH("Bélgica",CAPTURA!M141))+ISNUMBER(SEARCH("Países Bajos",CAPTURA!M141))+ISNUMBER(SEARCH("Francia",CAPTURA!M141))+ISNUMBER(SEARCH("Italia",CAPTURA!M141))+ISNUMBER(SEARCH("España",CAPTURA!M141))+ISNUMBER(SEARCH("Suecia",CAPTURA!M141))+ISNUMBER(SEARCH("Dinamarca",CAPTURA!M141)))/((LEN(CAPTURA!M141)-LEN(SUBSTITUTE(CAPTURA!M141,";","")))+1)*100,1))</f>
        <v/>
      </c>
      <c r="D141" t="str">
        <f>IF(CAPTURA!AE141="","",IFERROR(IF(INDEX(CODIFICACION!$E$2:$E$500,MATCH("P8|"&amp;CAPTURA!AE141,CODIFICACION!$F$2:$F$500,0))="sin dato","",INDEX(CODIFICACION!$E$2:$E$500,MATCH("P8|"&amp;CAPTURA!AE141,CODIFICACION!$F$2:$F$500,0))),"⚠"))</f>
        <v/>
      </c>
      <c r="E141" t="str">
        <f>IF(CAPTURA!AG141="","",IFERROR(IF(INDEX(CODIFICACION!$E$2:$E$500,MATCH("P10|"&amp;CAPTURA!AG141,CODIFICACION!$F$2:$F$500,0))="sin dato","",INDEX(CODIFICACION!$E$2:$E$500,MATCH("P10|"&amp;CAPTURA!AG141,CODIFICACION!$F$2:$F$500,0))),"⚠"))</f>
        <v/>
      </c>
      <c r="F141" t="str">
        <f>IF(CAPTURA!AJ141="","",IFERROR(IF(INDEX(CODIFICACION!$E$2:$E$500,MATCH("P13|"&amp;CAPTURA!AJ141,CODIFICACION!$F$2:$F$500,0))="sin dato","",INDEX(CODIFICACION!$E$2:$E$500,MATCH("P13|"&amp;CAPTURA!AJ141,CODIFICACION!$F$2:$F$500,0))),"⚠"))</f>
        <v/>
      </c>
      <c r="G141" t="str">
        <f>IF(CAPTURA!AK141="","",IFERROR(IF(INDEX(CODIFICACION!$E$2:$E$500,MATCH("P14|"&amp;CAPTURA!AK141,CODIFICACION!$F$2:$F$500,0))="sin dato","",INDEX(CODIFICACION!$E$2:$E$500,MATCH("P14|"&amp;CAPTURA!AK141,CODIFICACION!$F$2:$F$500,0))),"⚠"))</f>
        <v/>
      </c>
      <c r="H141" t="str">
        <f>IF(CAPTURA!AL141="","",IFERROR(IF(INDEX(CODIFICACION!$E$2:$E$500,MATCH("D1.1|"&amp;CAPTURA!AL141,CODIFICACION!$F$2:$F$500,0))="sin dato","",INDEX(CODIFICACION!$E$2:$E$500,MATCH("D1.1|"&amp;CAPTURA!AL141,CODIFICACION!$F$2:$F$500,0))),"⚠"))</f>
        <v/>
      </c>
      <c r="I141" t="str">
        <f>IF(CAPTURA!AN141="","",IFERROR(IF(INDEX(CODIFICACION!$E$2:$E$500,MATCH("D1.3|"&amp;CAPTURA!AN141,CODIFICACION!$F$2:$F$500,0))="sin dato","",INDEX(CODIFICACION!$E$2:$E$500,MATCH("D1.3|"&amp;CAPTURA!AN141,CODIFICACION!$F$2:$F$500,0))),"⚠"))</f>
        <v/>
      </c>
      <c r="J141" t="str">
        <f>IF(CAPTURA!AO141="","",IFERROR(IF(INDEX(CODIFICACION!$E$2:$E$500,MATCH("D1.4|"&amp;CAPTURA!AO141,CODIFICACION!$F$2:$F$500,0))="sin dato","",INDEX(CODIFICACION!$E$2:$E$500,MATCH("D1.4|"&amp;CAPTURA!AO141,CODIFICACION!$F$2:$F$500,0))),"⚠"))</f>
        <v/>
      </c>
      <c r="K141" t="str">
        <f>IF(CAPTURA!AP141="","",IFERROR(IF(INDEX(CODIFICACION!$E$2:$E$500,MATCH("D1.3a|"&amp;CAPTURA!AP141,CODIFICACION!$F$2:$F$500,0))="sin dato","",INDEX(CODIFICACION!$E$2:$E$500,MATCH("D1.3a|"&amp;CAPTURA!AP141,CODIFICACION!$F$2:$F$500,0))),"⚠"))</f>
        <v/>
      </c>
      <c r="L141" t="str">
        <f>IF(CAPTURA!AQ141="","",IF(AND(ISNUMBER(CAPTURA!AQ141),CAPTURA!AQ141&gt;=0,CAPTURA!AQ141&lt;=4),CAPTURA!AQ141*25,"⚠"))</f>
        <v/>
      </c>
      <c r="M141" t="str">
        <f>IF(CAPTURA!AR141="","",IF(ISNUMBER(CAPTURA!AR141),MAX(0,MIN(100,CAPTURA!AR141)),"⚠"))</f>
        <v/>
      </c>
      <c r="N141" t="str">
        <f>IF(CAPTURA!AS141="","",IF(AND(ISNUMBER(CAPTURA!AS141),CAPTURA!AS141&gt;=0,CAPTURA!AS141&lt;=4),CAPTURA!AS141*25,"⚠"))</f>
        <v/>
      </c>
      <c r="O141" t="str">
        <f>IF(CAPTURA!AT141="","",IFERROR(IF(INDEX(CODIFICACION!$E$2:$E$500,MATCH("D2.8|"&amp;CAPTURA!AT141,CODIFICACION!$F$2:$F$500,0))="sin dato","",INDEX(CODIFICACION!$E$2:$E$500,MATCH("D2.8|"&amp;CAPTURA!AT141,CODIFICACION!$F$2:$F$500,0))),"⚠"))</f>
        <v/>
      </c>
      <c r="P141" t="str">
        <f>IF(CAPTURA!AU141="","",IFERROR(IF(INDEX(CODIFICACION!$E$2:$E$500,MATCH("D2.9|"&amp;CAPTURA!AU141,CODIFICACION!$F$2:$F$500,0))="sin dato","",INDEX(CODIFICACION!$E$2:$E$500,MATCH("D2.9|"&amp;CAPTURA!AU141,CODIFICACION!$F$2:$F$500,0))),"⚠"))</f>
        <v/>
      </c>
      <c r="Q141" t="str">
        <f>IF(CAPTURA!AV141="","",IFERROR(IF(INDEX(CODIFICACION!$E$2:$E$500,MATCH("D2.10|"&amp;CAPTURA!AV141,CODIFICACION!$F$2:$F$500,0))="sin dato","",INDEX(CODIFICACION!$E$2:$E$500,MATCH("D2.10|"&amp;CAPTURA!AV141,CODIFICACION!$F$2:$F$500,0))),"⚠"))</f>
        <v/>
      </c>
      <c r="R141" t="str">
        <f>IF(CAPTURA!AW141="","",IFERROR(IF(INDEX(CODIFICACION!$E$2:$E$500,MATCH("D2.5a|"&amp;CAPTURA!AW141,CODIFICACION!$F$2:$F$500,0))="sin dato","",INDEX(CODIFICACION!$E$2:$E$500,MATCH("D2.5a|"&amp;CAPTURA!AW141,CODIFICACION!$F$2:$F$500,0))),"⚠"))</f>
        <v/>
      </c>
      <c r="S141" t="str">
        <f>IF(CAPTURA!AX141="","",IFERROR(IF(INDEX(CODIFICACION!$E$2:$E$500,MATCH("D2.5b|"&amp;CAPTURA!AX141,CODIFICACION!$F$2:$F$500,0))="sin dato","",INDEX(CODIFICACION!$E$2:$E$500,MATCH("D2.5b|"&amp;CAPTURA!AX141,CODIFICACION!$F$2:$F$500,0))),"⚠"))</f>
        <v/>
      </c>
      <c r="T141" t="str">
        <f>IF(CAPTURA!AY141="","",IF(ISNUMBER(CAPTURA!AY141),MAX(0,MIN(100,CAPTURA!AY141)),"⚠"))</f>
        <v/>
      </c>
      <c r="U141" t="str">
        <f>IF(CAPTURA!AZ141="","",IFERROR(IF(INDEX(CODIFICACION!$E$2:$E$500,MATCH("D3.12|"&amp;CAPTURA!AZ141,CODIFICACION!$F$2:$F$500,0))="sin dato","",INDEX(CODIFICACION!$E$2:$E$500,MATCH("D3.12|"&amp;CAPTURA!AZ141,CODIFICACION!$F$2:$F$500,0))),"⚠"))</f>
        <v/>
      </c>
      <c r="V141" t="str">
        <f>IF(CAPTURA!BA141="","",IF(AND(ISNUMBER(CAPTURA!BA141),CAPTURA!BA141&gt;=0,CAPTURA!BA141&lt;=4),CAPTURA!BA141*25,"⚠"))</f>
        <v/>
      </c>
      <c r="W141" t="str">
        <f>IF(CAPTURA!BB141="","",IFERROR(IF(INDEX(CODIFICACION!$E$2:$E$500,MATCH("D3.14|"&amp;CAPTURA!BB141,CODIFICACION!$F$2:$F$500,0))="sin dato","",INDEX(CODIFICACION!$E$2:$E$500,MATCH("D3.14|"&amp;CAPTURA!BB141,CODIFICACION!$F$2:$F$500,0))),"⚠"))</f>
        <v/>
      </c>
      <c r="X141" t="str">
        <f>IF(CAPTURA!BC141="","",IFERROR(IF(INDEX(CODIFICACION!$E$2:$E$500,MATCH("D3.14a|"&amp;CAPTURA!BC141,CODIFICACION!$F$2:$F$500,0))="sin dato","",INDEX(CODIFICACION!$E$2:$E$500,MATCH("D3.14a|"&amp;CAPTURA!BC141,CODIFICACION!$F$2:$F$500,0))),"⚠"))</f>
        <v/>
      </c>
      <c r="Y141" t="str">
        <f>IF(CAPTURA!BD141="","",IFERROR(IF(INDEX(CODIFICACION!$E$2:$E$500,MATCH("D3.14b|"&amp;CAPTURA!BD141,CODIFICACION!$F$2:$F$500,0))="sin dato","",INDEX(CODIFICACION!$E$2:$E$500,MATCH("D3.14b|"&amp;CAPTURA!BD141,CODIFICACION!$F$2:$F$500,0))),"⚠"))</f>
        <v/>
      </c>
      <c r="Z141" t="str">
        <f>IF(CAPTURA!BE141="","",IFERROR(IF(INDEX(CODIFICACION!$E$2:$E$500,MATCH("D3.14c|"&amp;CAPTURA!BE141,CODIFICACION!$F$2:$F$500,0))="sin dato","",INDEX(CODIFICACION!$E$2:$E$500,MATCH("D3.14c|"&amp;CAPTURA!BE141,CODIFICACION!$F$2:$F$500,0))),"⚠"))</f>
        <v/>
      </c>
      <c r="AA141" t="str">
        <f>IF(CAPTURA!BF141="","",IFERROR(IF(INDEX(CODIFICACION!$E$2:$E$500,MATCH("D3.14d|"&amp;CAPTURA!BF141,CODIFICACION!$F$2:$F$500,0))="sin dato","",INDEX(CODIFICACION!$E$2:$E$500,MATCH("D3.14d|"&amp;CAPTURA!BF141,CODIFICACION!$F$2:$F$500,0))),"⚠"))</f>
        <v/>
      </c>
      <c r="AB141" t="str">
        <f>IF(CAPTURA!BG141="","",IFERROR(IF(INDEX(CODIFICACION!$E$2:$E$500,MATCH("D3.14e|"&amp;CAPTURA!BG141,CODIFICACION!$F$2:$F$500,0))="sin dato","",INDEX(CODIFICACION!$E$2:$E$500,MATCH("D3.14e|"&amp;CAPTURA!BG141,CODIFICACION!$F$2:$F$500,0))),"⚠"))</f>
        <v/>
      </c>
      <c r="AC141" t="str">
        <f>IF(CAPTURA!BH141="","",IFERROR(IF(INDEX(CODIFICACION!$E$2:$E$500,MATCH("D3.14f|"&amp;CAPTURA!BH141,CODIFICACION!$F$2:$F$500,0))="sin dato","",INDEX(CODIFICACION!$E$2:$E$500,MATCH("D3.14f|"&amp;CAPTURA!BH141,CODIFICACION!$F$2:$F$500,0))),"⚠"))</f>
        <v/>
      </c>
      <c r="AD141" t="str">
        <f>IF(CAPTURA!BI141="","",IFERROR(IF(INDEX(CODIFICACION!$E$2:$E$500,MATCH("D3.14g|"&amp;CAPTURA!BI141,CODIFICACION!$F$2:$F$500,0))="sin dato","",INDEX(CODIFICACION!$E$2:$E$500,MATCH("D3.14g|"&amp;CAPTURA!BI141,CODIFICACION!$F$2:$F$500,0))),"⚠"))</f>
        <v/>
      </c>
      <c r="AE141" t="str">
        <f>IF(CAPTURA!BJ141="","",IFERROR(IF(INDEX(CODIFICACION!$E$2:$E$500,MATCH("D3.14h|"&amp;CAPTURA!BJ141,CODIFICACION!$F$2:$F$500,0))="sin dato","",INDEX(CODIFICACION!$E$2:$E$500,MATCH("D3.14h|"&amp;CAPTURA!BJ141,CODIFICACION!$F$2:$F$500,0))),"⚠"))</f>
        <v/>
      </c>
      <c r="AF141" t="str">
        <f>IF(CAPTURA!BK141="","",IFERROR(IF(INDEX(CODIFICACION!$E$2:$E$500,MATCH("D3.14i|"&amp;CAPTURA!BK141,CODIFICACION!$F$2:$F$500,0))="sin dato","",INDEX(CODIFICACION!$E$2:$E$500,MATCH("D3.14i|"&amp;CAPTURA!BK141,CODIFICACION!$F$2:$F$500,0))),"⚠"))</f>
        <v/>
      </c>
      <c r="AG141" t="str">
        <f>IF(CAPTURA!BL141="","",IFERROR(IF(INDEX(CODIFICACION!$E$2:$E$500,MATCH("D4.15|"&amp;CAPTURA!BL141,CODIFICACION!$F$2:$F$500,0))="sin dato","",INDEX(CODIFICACION!$E$2:$E$500,MATCH("D4.15|"&amp;CAPTURA!BL141,CODIFICACION!$F$2:$F$500,0))),"⚠"))</f>
        <v/>
      </c>
      <c r="AH141" t="str">
        <f>IF(CAPTURA!BM141="","",IF(AND(ISNUMBER(CAPTURA!BM141),CAPTURA!BM141&gt;=0,CAPTURA!BM141&lt;=4),CAPTURA!BM141*25,"⚠"))</f>
        <v/>
      </c>
      <c r="AI141" t="str">
        <f>IF(CAPTURA!BN141="","",IFERROR(IF(INDEX(CODIFICACION!$E$2:$E$500,MATCH("D4.17|"&amp;CAPTURA!BN141,CODIFICACION!$F$2:$F$500,0))="sin dato","",INDEX(CODIFICACION!$E$2:$E$500,MATCH("D4.17|"&amp;CAPTURA!BN141,CODIFICACION!$F$2:$F$500,0))),"⚠"))</f>
        <v/>
      </c>
      <c r="AJ141" t="str">
        <f>IF(CAPTURA!BO141="","",IFERROR(IF(INDEX(CODIFICACION!$E$2:$E$500,MATCH("D4.15a|"&amp;CAPTURA!BO141,CODIFICACION!$F$2:$F$500,0))="sin dato","",INDEX(CODIFICACION!$E$2:$E$500,MATCH("D4.15a|"&amp;CAPTURA!BO141,CODIFICACION!$F$2:$F$500,0))),"⚠"))</f>
        <v/>
      </c>
      <c r="AK141" t="str">
        <f>IF(CAPTURA!BP141="","",IF(AND(ISNUMBER(CAPTURA!BP141),CAPTURA!BP141&gt;=0,CAPTURA!BP141&lt;=4),CAPTURA!BP141*25,"⚠"))</f>
        <v/>
      </c>
      <c r="AL141" t="str">
        <f>IF(CAPTURA!BQ141="","",IF(AND(ISNUMBER(CAPTURA!BQ141),CAPTURA!BQ141&gt;=0,CAPTURA!BQ141&lt;=4),CAPTURA!BQ141*25,"⚠"))</f>
        <v/>
      </c>
      <c r="AM141" t="str">
        <f>IF(CAPTURA!BR141="","",IFERROR(IF(INDEX(CODIFICACION!$E$2:$E$500,MATCH("D5.18b|"&amp;CAPTURA!BR141,CODIFICACION!$F$2:$F$500,0))="sin dato","",INDEX(CODIFICACION!$E$2:$E$500,MATCH("D5.18b|"&amp;CAPTURA!BR141,CODIFICACION!$F$2:$F$500,0))),"⚠"))</f>
        <v/>
      </c>
      <c r="AN141" t="str">
        <f>IF(CAPTURA!BS141="","",IFERROR(IF(INDEX(CODIFICACION!$E$2:$E$500,MATCH("D5.19|"&amp;CAPTURA!BS141,CODIFICACION!$F$2:$F$500,0))="sin dato","",INDEX(CODIFICACION!$E$2:$E$500,MATCH("D5.19|"&amp;CAPTURA!BS141,CODIFICACION!$F$2:$F$500,0))),"⚠"))</f>
        <v/>
      </c>
      <c r="AO141" t="str">
        <f>IF(CAPTURA!BT141="","",MIN(100,ROUND((LEN(CAPTURA!BT141)-LEN(SUBSTITUTE(CAPTURA!BT141,";",""))+1)/7*100,1)))</f>
        <v/>
      </c>
      <c r="AP141" t="str">
        <f>IF(CAPTURA!BU141="","",IFERROR(IF(INDEX(CODIFICACION!$E$2:$E$500,MATCH("D5.20|"&amp;CAPTURA!BU141,CODIFICACION!$F$2:$F$500,0))="sin dato","",INDEX(CODIFICACION!$E$2:$E$500,MATCH("D5.20|"&amp;CAPTURA!BU141,CODIFICACION!$F$2:$F$500,0))),"⚠"))</f>
        <v/>
      </c>
      <c r="AQ141" t="str">
        <f>IF(CAPTURA!BV141="","",IFERROR(IF(INDEX(CODIFICACION!$E$2:$E$500,MATCH("D5.21|"&amp;CAPTURA!BV141,CODIFICACION!$F$2:$F$500,0))="sin dato","",INDEX(CODIFICACION!$E$2:$E$500,MATCH("D5.21|"&amp;CAPTURA!BV141,CODIFICACION!$F$2:$F$500,0))),"⚠"))</f>
        <v/>
      </c>
      <c r="AR141" t="str">
        <f>IF(CAPTURA!BW141="","",IFERROR(IF(INDEX(CODIFICACION!$E$2:$E$500,MATCH("D5.21a|"&amp;CAPTURA!BW141,CODIFICACION!$F$2:$F$500,0))="sin dato","",INDEX(CODIFICACION!$E$2:$E$500,MATCH("D5.21a|"&amp;CAPTURA!BW141,CODIFICACION!$F$2:$F$500,0))),"⚠"))</f>
        <v/>
      </c>
      <c r="AS141" t="str">
        <f>IF(CAPTURA!BX141="","",IFERROR(IF(INDEX(CODIFICACION!$E$2:$E$500,MATCH("D5.21b|"&amp;CAPTURA!BX141,CODIFICACION!$F$2:$F$500,0))="sin dato","",INDEX(CODIFICACION!$E$2:$E$500,MATCH("D5.21b|"&amp;CAPTURA!BX141,CODIFICACION!$F$2:$F$500,0))),"⚠"))</f>
        <v/>
      </c>
      <c r="AT141" t="str">
        <f>IF(CAPTURA!BY141="","",IFERROR(IF(INDEX(CODIFICACION!$E$2:$E$500,MATCH("D6.22|"&amp;CAPTURA!BY141,CODIFICACION!$F$2:$F$500,0))="sin dato","",INDEX(CODIFICACION!$E$2:$E$500,MATCH("D6.22|"&amp;CAPTURA!BY141,CODIFICACION!$F$2:$F$500,0))),"⚠"))</f>
        <v/>
      </c>
      <c r="AU141" t="str">
        <f>IF(CAPTURA!BZ141="","",IFERROR(IF(INDEX(CODIFICACION!$E$2:$E$500,MATCH("D6.22a|"&amp;CAPTURA!BZ141,CODIFICACION!$F$2:$F$500,0))="sin dato","",INDEX(CODIFICACION!$E$2:$E$500,MATCH("D6.22a|"&amp;CAPTURA!BZ141,CODIFICACION!$F$2:$F$500,0))),"⚠"))</f>
        <v/>
      </c>
      <c r="AV141" t="str">
        <f>IF(CAPTURA!CA141="","",IFERROR(IF(INDEX(CODIFICACION!$E$2:$E$500,MATCH("D6.22b|"&amp;CAPTURA!CA141,CODIFICACION!$F$2:$F$500,0))="sin dato","",INDEX(CODIFICACION!$E$2:$E$500,MATCH("D6.22b|"&amp;CAPTURA!CA141,CODIFICACION!$F$2:$F$500,0))),"⚠"))</f>
        <v/>
      </c>
      <c r="AW141" t="str">
        <f>IF(CAPTURA!CB141="","",IFERROR(IF(INDEX(CODIFICACION!$E$2:$E$500,MATCH("D6.23|"&amp;CAPTURA!CB141,CODIFICACION!$F$2:$F$500,0))="sin dato","",INDEX(CODIFICACION!$E$2:$E$500,MATCH("D6.23|"&amp;CAPTURA!CB141,CODIFICACION!$F$2:$F$500,0))),"⚠"))</f>
        <v/>
      </c>
      <c r="AX141" t="str">
        <f>IF(CAPTURA!CC141="","",IFERROR(IF(INDEX(CODIFICACION!$E$2:$E$500,MATCH("D6.24|"&amp;CAPTURA!CC141,CODIFICACION!$F$2:$F$500,0))="sin dato","",INDEX(CODIFICACION!$E$2:$E$500,MATCH("D6.24|"&amp;CAPTURA!CC141,CODIFICACION!$F$2:$F$500,0))),"⚠"))</f>
        <v/>
      </c>
      <c r="AY141" t="str">
        <f>IF(CAPTURA!CD141="","",IFERROR(IF(INDEX(CODIFICACION!$E$2:$E$500,MATCH("D6.25|"&amp;CAPTURA!CD141,CODIFICACION!$F$2:$F$500,0))="sin dato","",INDEX(CODIFICACION!$E$2:$E$500,MATCH("D6.25|"&amp;CAPTURA!CD141,CODIFICACION!$F$2:$F$500,0))),"⚠"))</f>
        <v/>
      </c>
      <c r="AZ141" t="str">
        <f>IF(CAPTURA!CE141="","",IFERROR(IF(INDEX(CODIFICACION!$E$2:$E$500,MATCH("D6.25a|"&amp;CAPTURA!CE141,CODIFICACION!$F$2:$F$500,0))="sin dato","",INDEX(CODIFICACION!$E$2:$E$500,MATCH("D6.25a|"&amp;CAPTURA!CE141,CODIFICACION!$F$2:$F$500,0))),"⚠"))</f>
        <v/>
      </c>
      <c r="BA141" t="str">
        <f>IF(CAPTURA!CF141="","",IFERROR(IF(INDEX(CODIFICACION!$E$2:$E$500,MATCH("D6.25b|"&amp;CAPTURA!CF141,CODIFICACION!$F$2:$F$500,0))="sin dato","",INDEX(CODIFICACION!$E$2:$E$500,MATCH("D6.25b|"&amp;CAPTURA!CF141,CODIFICACION!$F$2:$F$500,0))),"⚠"))</f>
        <v/>
      </c>
      <c r="BB141" t="str">
        <f>IF(CAPTURA!CG141="","",IFERROR(IF(INDEX(CODIFICACION!$E$2:$E$500,MATCH("D6.22c|"&amp;CAPTURA!CG141,CODIFICACION!$F$2:$F$500,0))="sin dato","",INDEX(CODIFICACION!$E$2:$E$500,MATCH("D6.22c|"&amp;CAPTURA!CG141,CODIFICACION!$F$2:$F$500,0))),"⚠"))</f>
        <v/>
      </c>
      <c r="BC141" t="str">
        <f>IF(CAPTURA!CH141="","",IFERROR(IF(INDEX(CODIFICACION!$E$2:$E$500,MATCH("D7.26|"&amp;CAPTURA!CH141,CODIFICACION!$F$2:$F$500,0))="sin dato","",INDEX(CODIFICACION!$E$2:$E$500,MATCH("D7.26|"&amp;CAPTURA!CH141,CODIFICACION!$F$2:$F$500,0))),"⚠"))</f>
        <v/>
      </c>
      <c r="BD141" t="str">
        <f>IF(CAPTURA!CI141="","",IFERROR(IF(INDEX(CODIFICACION!$E$2:$E$500,MATCH("D7.27|"&amp;CAPTURA!CI141,CODIFICACION!$F$2:$F$500,0))="sin dato","",INDEX(CODIFICACION!$E$2:$E$500,MATCH("D7.27|"&amp;CAPTURA!CI141,CODIFICACION!$F$2:$F$500,0))),"⚠"))</f>
        <v/>
      </c>
      <c r="BE141" t="str">
        <f>IF(CAPTURA!CJ141="","",IFERROR(IF(INDEX(CODIFICACION!$E$2:$E$500,MATCH("D7.28|"&amp;CAPTURA!CJ141,CODIFICACION!$F$2:$F$500,0))="sin dato","",INDEX(CODIFICACION!$E$2:$E$500,MATCH("D7.28|"&amp;CAPTURA!CJ141,CODIFICACION!$F$2:$F$500,0))),"⚠"))</f>
        <v/>
      </c>
      <c r="BF141" t="str">
        <f>IF(CAPTURA!CK141="","",IFERROR(IF(INDEX(CODIFICACION!$E$2:$E$500,MATCH("D7.28b|"&amp;CAPTURA!CK141,CODIFICACION!$F$2:$F$500,0))="sin dato","",INDEX(CODIFICACION!$E$2:$E$500,MATCH("D7.28b|"&amp;CAPTURA!CK141,CODIFICACION!$F$2:$F$500,0))),"⚠"))</f>
        <v/>
      </c>
      <c r="BG141" t="str">
        <f>IF(CAPTURA!CL141="","",MIN(100,ROUND((LEN(CAPTURA!CL141)-LEN(SUBSTITUTE(CAPTURA!CL141,";",""))+1)/8*100,1)))</f>
        <v/>
      </c>
      <c r="BH141" t="str">
        <f>IF(CAPTURA!CM141="","",IFERROR(IF(INDEX(CODIFICACION!$E$2:$E$500,MATCH("D7.26a|"&amp;CAPTURA!CM141,CODIFICACION!$F$2:$F$500,0))="sin dato","",INDEX(CODIFICACION!$E$2:$E$500,MATCH("D7.26a|"&amp;CAPTURA!CM141,CODIFICACION!$F$2:$F$500,0))),"⚠"))</f>
        <v/>
      </c>
      <c r="BI141" t="str">
        <f>IF(CAPTURA!CN141="","",IFERROR(IF(INDEX(CODIFICACION!$E$2:$E$500,MATCH("D7.26b|"&amp;CAPTURA!CN141,CODIFICACION!$F$2:$F$500,0))="sin dato","",INDEX(CODIFICACION!$E$2:$E$500,MATCH("D7.26b|"&amp;CAPTURA!CN141,CODIFICACION!$F$2:$F$500,0))),"⚠"))</f>
        <v/>
      </c>
      <c r="BJ141" t="str">
        <f>IF(CAPTURA!CO141="","",IF(AND(ISNUMBER(CAPTURA!CO141),CAPTURA!CO141&gt;=0,CAPTURA!CO141&lt;=4),CAPTURA!CO141*25,"⚠"))</f>
        <v/>
      </c>
      <c r="BK141" t="str">
        <f>IF(CAPTURA!CP141="","",IF(ISNUMBER(CAPTURA!CP141),MAX(0,MIN(100,CAPTURA!CP141)),"⚠"))</f>
        <v/>
      </c>
      <c r="BL141" t="str">
        <f>IF(CAPTURA!CQ141="","",IFERROR(IF(INDEX(CODIFICACION!$E$2:$E$500,MATCH("D8.31|"&amp;CAPTURA!CQ141,CODIFICACION!$F$2:$F$500,0))="sin dato","",INDEX(CODIFICACION!$E$2:$E$500,MATCH("D8.31|"&amp;CAPTURA!CQ141,CODIFICACION!$F$2:$F$500,0))),"⚠"))</f>
        <v/>
      </c>
      <c r="BM141" t="str">
        <f>IF(CAPTURA!CR141="","",IFERROR(IF(INDEX(CODIFICACION!$E$2:$E$500,MATCH("D8.32|"&amp;CAPTURA!CR141,CODIFICACION!$F$2:$F$500,0))="sin dato","",INDEX(CODIFICACION!$E$2:$E$500,MATCH("D8.32|"&amp;CAPTURA!CR141,CODIFICACION!$F$2:$F$500,0))),"⚠"))</f>
        <v/>
      </c>
      <c r="BN141" t="str">
        <f>IF(CAPTURA!CS141="","",IFERROR(IF(INDEX(CODIFICACION!$E$2:$E$500,MATCH("D9.33|"&amp;CAPTURA!CS141,CODIFICACION!$F$2:$F$500,0))="sin dato","",INDEX(CODIFICACION!$E$2:$E$500,MATCH("D9.33|"&amp;CAPTURA!CS141,CODIFICACION!$F$2:$F$500,0))),"⚠"))</f>
        <v/>
      </c>
      <c r="BO141" t="str">
        <f>IF(CAPTURA!CT141="","",IFERROR(IF(INDEX(CODIFICACION!$E$2:$E$500,MATCH("D9.34|"&amp;CAPTURA!CT141,CODIFICACION!$F$2:$F$500,0))="sin dato","",INDEX(CODIFICACION!$E$2:$E$500,MATCH("D9.34|"&amp;CAPTURA!CT141,CODIFICACION!$F$2:$F$500,0))),"⚠"))</f>
        <v/>
      </c>
      <c r="BP141" t="str">
        <f>IF(CAPTURA!CU141="","",IFERROR(IF(INDEX(CODIFICACION!$E$2:$E$500,MATCH("D9.35|"&amp;CAPTURA!CU141,CODIFICACION!$F$2:$F$500,0))="sin dato","",INDEX(CODIFICACION!$E$2:$E$500,MATCH("D9.35|"&amp;CAPTURA!CU141,CODIFICACION!$F$2:$F$500,0))),"⚠"))</f>
        <v/>
      </c>
      <c r="BQ141" t="str">
        <f>IF(CAPTURA!CV141="","",IFERROR(IF(INDEX(CODIFICACION!$E$2:$E$500,MATCH("D10.36|"&amp;CAPTURA!CV141,CODIFICACION!$F$2:$F$500,0))="sin dato","",INDEX(CODIFICACION!$E$2:$E$500,MATCH("D10.36|"&amp;CAPTURA!CV141,CODIFICACION!$F$2:$F$500,0))),"⚠"))</f>
        <v/>
      </c>
      <c r="BR141" t="str">
        <f>IF(CAPTURA!CW141="","",IFERROR(IF(INDEX(CODIFICACION!$E$2:$E$500,MATCH("D10.37|"&amp;CAPTURA!CW141,CODIFICACION!$F$2:$F$500,0))="sin dato","",INDEX(CODIFICACION!$E$2:$E$500,MATCH("D10.37|"&amp;CAPTURA!CW141,CODIFICACION!$F$2:$F$500,0))),"⚠"))</f>
        <v/>
      </c>
      <c r="BS141" t="str">
        <f>IF(CAPTURA!CX141="","",IFERROR(IF(INDEX(CODIFICACION!$E$2:$E$500,MATCH("D10.36a|"&amp;CAPTURA!CX141,CODIFICACION!$F$2:$F$500,0))="sin dato","",INDEX(CODIFICACION!$E$2:$E$500,MATCH("D10.36a|"&amp;CAPTURA!CX141,CODIFICACION!$F$2:$F$500,0))),"⚠"))</f>
        <v/>
      </c>
      <c r="BT141" t="str">
        <f>IF(CAPTURA!CY141="","",IF(ISNUMBER(SEARCH("Ninguno",CAPTURA!CY141)),0,MIN(100,ROUND((LEN(CAPTURA!CY141)-LEN(SUBSTITUTE(CAPTURA!CY141,";",""))+1)/6*100,1))))</f>
        <v/>
      </c>
      <c r="BU141" t="str">
        <f>IF(CAPTURA!DA141="","",IFERROR(IF(INDEX(CODIFICACION!$E$2:$E$500,MATCH("D11.39a|"&amp;CAPTURA!DA141,CODIFICACION!$F$2:$F$500,0))="sin dato","",INDEX(CODIFICACION!$E$2:$E$500,MATCH("D11.39a|"&amp;CAPTURA!DA141,CODIFICACION!$F$2:$F$500,0))),"⚠"))</f>
        <v/>
      </c>
      <c r="BV141" t="str">
        <f>IF(CAPTURA!DB141="","",IFERROR(IF(INDEX(CODIFICACION!$E$2:$E$500,MATCH("D12.42|"&amp;CAPTURA!DB141,CODIFICACION!$F$2:$F$500,0))="sin dato","",INDEX(CODIFICACION!$E$2:$E$500,MATCH("D12.42|"&amp;CAPTURA!DB141,CODIFICACION!$F$2:$F$500,0))),"⚠"))</f>
        <v/>
      </c>
      <c r="BW141" t="str">
        <f>IF(CAPTURA!DC141="","",IFERROR(IF(INDEX(CODIFICACION!$E$2:$E$500,MATCH("D13.45|"&amp;CAPTURA!DC141,CODIFICACION!$F$2:$F$500,0))="sin dato","",INDEX(CODIFICACION!$E$2:$E$500,MATCH("D13.45|"&amp;CAPTURA!DC141,CODIFICACION!$F$2:$F$500,0))),"⚠"))</f>
        <v/>
      </c>
      <c r="BX141" t="str">
        <f>IF(CAPTURA!DD141="","",IFERROR(IF(INDEX(CODIFICACION!$E$2:$E$500,MATCH("D14.51|"&amp;CAPTURA!DD141,CODIFICACION!$F$2:$F$500,0))="sin dato","",INDEX(CODIFICACION!$E$2:$E$500,MATCH("D14.51|"&amp;CAPTURA!DD141,CODIFICACION!$F$2:$F$500,0))),"⚠"))</f>
        <v/>
      </c>
      <c r="BY141" t="str">
        <f>IF(CAPTURA!DE141="","",IFERROR(IF(INDEX(CODIFICACION!$E$2:$E$500,MATCH("D15.58|"&amp;CAPTURA!DE141,CODIFICACION!$F$2:$F$500,0))="sin dato","",INDEX(CODIFICACION!$E$2:$E$500,MATCH("D15.58|"&amp;CAPTURA!DE141,CODIFICACION!$F$2:$F$500,0))),"⚠"))</f>
        <v/>
      </c>
      <c r="BZ141" t="str">
        <f>IF(CAPTURA!DF141="","",IFERROR(IF(INDEX(CODIFICACION!$E$2:$E$500,MATCH("PP1|"&amp;CAPTURA!DF141,CODIFICACION!$F$2:$F$500,0))="sin dato","",INDEX(CODIFICACION!$E$2:$E$500,MATCH("PP1|"&amp;CAPTURA!DF141,CODIFICACION!$F$2:$F$500,0))),"⚠"))</f>
        <v/>
      </c>
      <c r="CA141" t="str">
        <f>IF(CAPTURA!DG141="","",IFERROR(IF(INDEX(CODIFICACION!$E$2:$E$500,MATCH("PP2|"&amp;CAPTURA!DG141,CODIFICACION!$F$2:$F$500,0))="sin dato","",INDEX(CODIFICACION!$E$2:$E$500,MATCH("PP2|"&amp;CAPTURA!DG141,CODIFICACION!$F$2:$F$500,0))),"⚠"))</f>
        <v/>
      </c>
      <c r="CB141" t="str">
        <f t="shared" si="44"/>
        <v/>
      </c>
      <c r="CC141" t="str">
        <f t="shared" si="45"/>
        <v/>
      </c>
      <c r="CD141" t="str">
        <f t="shared" si="46"/>
        <v/>
      </c>
      <c r="CE141" t="str">
        <f t="shared" si="47"/>
        <v/>
      </c>
      <c r="CF141" t="str">
        <f t="shared" si="48"/>
        <v/>
      </c>
      <c r="CG141" t="str">
        <f t="shared" si="49"/>
        <v/>
      </c>
      <c r="CH141" t="str">
        <f t="shared" si="50"/>
        <v/>
      </c>
      <c r="CI141" t="str">
        <f t="shared" si="51"/>
        <v/>
      </c>
      <c r="CJ141" t="str">
        <f t="shared" si="52"/>
        <v/>
      </c>
      <c r="CK141" t="str">
        <f t="shared" si="53"/>
        <v/>
      </c>
      <c r="CL141" t="str">
        <f t="shared" si="54"/>
        <v/>
      </c>
    </row>
    <row r="142" spans="1:90" x14ac:dyDescent="0.3">
      <c r="A142">
        <f>CAPTURA!A142</f>
        <v>20603676476</v>
      </c>
      <c r="B142">
        <f>CAPTURA!C142</f>
        <v>0</v>
      </c>
      <c r="C142" t="str">
        <f>IF(CAPTURA!M142="","",ROUND((ISNUMBER(SEARCH("Alemania",CAPTURA!M142))+ISNUMBER(SEARCH("Bélgica",CAPTURA!M142))+ISNUMBER(SEARCH("Países Bajos",CAPTURA!M142))+ISNUMBER(SEARCH("Francia",CAPTURA!M142))+ISNUMBER(SEARCH("Italia",CAPTURA!M142))+ISNUMBER(SEARCH("España",CAPTURA!M142))+ISNUMBER(SEARCH("Suecia",CAPTURA!M142))+ISNUMBER(SEARCH("Dinamarca",CAPTURA!M142)))/((LEN(CAPTURA!M142)-LEN(SUBSTITUTE(CAPTURA!M142,";","")))+1)*100,1))</f>
        <v/>
      </c>
      <c r="D142" t="str">
        <f>IF(CAPTURA!AE142="","",IFERROR(IF(INDEX(CODIFICACION!$E$2:$E$500,MATCH("P8|"&amp;CAPTURA!AE142,CODIFICACION!$F$2:$F$500,0))="sin dato","",INDEX(CODIFICACION!$E$2:$E$500,MATCH("P8|"&amp;CAPTURA!AE142,CODIFICACION!$F$2:$F$500,0))),"⚠"))</f>
        <v/>
      </c>
      <c r="E142" t="str">
        <f>IF(CAPTURA!AG142="","",IFERROR(IF(INDEX(CODIFICACION!$E$2:$E$500,MATCH("P10|"&amp;CAPTURA!AG142,CODIFICACION!$F$2:$F$500,0))="sin dato","",INDEX(CODIFICACION!$E$2:$E$500,MATCH("P10|"&amp;CAPTURA!AG142,CODIFICACION!$F$2:$F$500,0))),"⚠"))</f>
        <v/>
      </c>
      <c r="F142" t="str">
        <f>IF(CAPTURA!AJ142="","",IFERROR(IF(INDEX(CODIFICACION!$E$2:$E$500,MATCH("P13|"&amp;CAPTURA!AJ142,CODIFICACION!$F$2:$F$500,0))="sin dato","",INDEX(CODIFICACION!$E$2:$E$500,MATCH("P13|"&amp;CAPTURA!AJ142,CODIFICACION!$F$2:$F$500,0))),"⚠"))</f>
        <v/>
      </c>
      <c r="G142" t="str">
        <f>IF(CAPTURA!AK142="","",IFERROR(IF(INDEX(CODIFICACION!$E$2:$E$500,MATCH("P14|"&amp;CAPTURA!AK142,CODIFICACION!$F$2:$F$500,0))="sin dato","",INDEX(CODIFICACION!$E$2:$E$500,MATCH("P14|"&amp;CAPTURA!AK142,CODIFICACION!$F$2:$F$500,0))),"⚠"))</f>
        <v/>
      </c>
      <c r="H142" t="str">
        <f>IF(CAPTURA!AL142="","",IFERROR(IF(INDEX(CODIFICACION!$E$2:$E$500,MATCH("D1.1|"&amp;CAPTURA!AL142,CODIFICACION!$F$2:$F$500,0))="sin dato","",INDEX(CODIFICACION!$E$2:$E$500,MATCH("D1.1|"&amp;CAPTURA!AL142,CODIFICACION!$F$2:$F$500,0))),"⚠"))</f>
        <v/>
      </c>
      <c r="I142" t="str">
        <f>IF(CAPTURA!AN142="","",IFERROR(IF(INDEX(CODIFICACION!$E$2:$E$500,MATCH("D1.3|"&amp;CAPTURA!AN142,CODIFICACION!$F$2:$F$500,0))="sin dato","",INDEX(CODIFICACION!$E$2:$E$500,MATCH("D1.3|"&amp;CAPTURA!AN142,CODIFICACION!$F$2:$F$500,0))),"⚠"))</f>
        <v/>
      </c>
      <c r="J142" t="str">
        <f>IF(CAPTURA!AO142="","",IFERROR(IF(INDEX(CODIFICACION!$E$2:$E$500,MATCH("D1.4|"&amp;CAPTURA!AO142,CODIFICACION!$F$2:$F$500,0))="sin dato","",INDEX(CODIFICACION!$E$2:$E$500,MATCH("D1.4|"&amp;CAPTURA!AO142,CODIFICACION!$F$2:$F$500,0))),"⚠"))</f>
        <v/>
      </c>
      <c r="K142" t="str">
        <f>IF(CAPTURA!AP142="","",IFERROR(IF(INDEX(CODIFICACION!$E$2:$E$500,MATCH("D1.3a|"&amp;CAPTURA!AP142,CODIFICACION!$F$2:$F$500,0))="sin dato","",INDEX(CODIFICACION!$E$2:$E$500,MATCH("D1.3a|"&amp;CAPTURA!AP142,CODIFICACION!$F$2:$F$500,0))),"⚠"))</f>
        <v/>
      </c>
      <c r="L142" t="str">
        <f>IF(CAPTURA!AQ142="","",IF(AND(ISNUMBER(CAPTURA!AQ142),CAPTURA!AQ142&gt;=0,CAPTURA!AQ142&lt;=4),CAPTURA!AQ142*25,"⚠"))</f>
        <v/>
      </c>
      <c r="M142" t="str">
        <f>IF(CAPTURA!AR142="","",IF(ISNUMBER(CAPTURA!AR142),MAX(0,MIN(100,CAPTURA!AR142)),"⚠"))</f>
        <v/>
      </c>
      <c r="N142" t="str">
        <f>IF(CAPTURA!AS142="","",IF(AND(ISNUMBER(CAPTURA!AS142),CAPTURA!AS142&gt;=0,CAPTURA!AS142&lt;=4),CAPTURA!AS142*25,"⚠"))</f>
        <v/>
      </c>
      <c r="O142" t="str">
        <f>IF(CAPTURA!AT142="","",IFERROR(IF(INDEX(CODIFICACION!$E$2:$E$500,MATCH("D2.8|"&amp;CAPTURA!AT142,CODIFICACION!$F$2:$F$500,0))="sin dato","",INDEX(CODIFICACION!$E$2:$E$500,MATCH("D2.8|"&amp;CAPTURA!AT142,CODIFICACION!$F$2:$F$500,0))),"⚠"))</f>
        <v/>
      </c>
      <c r="P142" t="str">
        <f>IF(CAPTURA!AU142="","",IFERROR(IF(INDEX(CODIFICACION!$E$2:$E$500,MATCH("D2.9|"&amp;CAPTURA!AU142,CODIFICACION!$F$2:$F$500,0))="sin dato","",INDEX(CODIFICACION!$E$2:$E$500,MATCH("D2.9|"&amp;CAPTURA!AU142,CODIFICACION!$F$2:$F$500,0))),"⚠"))</f>
        <v/>
      </c>
      <c r="Q142" t="str">
        <f>IF(CAPTURA!AV142="","",IFERROR(IF(INDEX(CODIFICACION!$E$2:$E$500,MATCH("D2.10|"&amp;CAPTURA!AV142,CODIFICACION!$F$2:$F$500,0))="sin dato","",INDEX(CODIFICACION!$E$2:$E$500,MATCH("D2.10|"&amp;CAPTURA!AV142,CODIFICACION!$F$2:$F$500,0))),"⚠"))</f>
        <v/>
      </c>
      <c r="R142" t="str">
        <f>IF(CAPTURA!AW142="","",IFERROR(IF(INDEX(CODIFICACION!$E$2:$E$500,MATCH("D2.5a|"&amp;CAPTURA!AW142,CODIFICACION!$F$2:$F$500,0))="sin dato","",INDEX(CODIFICACION!$E$2:$E$500,MATCH("D2.5a|"&amp;CAPTURA!AW142,CODIFICACION!$F$2:$F$500,0))),"⚠"))</f>
        <v/>
      </c>
      <c r="S142" t="str">
        <f>IF(CAPTURA!AX142="","",IFERROR(IF(INDEX(CODIFICACION!$E$2:$E$500,MATCH("D2.5b|"&amp;CAPTURA!AX142,CODIFICACION!$F$2:$F$500,0))="sin dato","",INDEX(CODIFICACION!$E$2:$E$500,MATCH("D2.5b|"&amp;CAPTURA!AX142,CODIFICACION!$F$2:$F$500,0))),"⚠"))</f>
        <v/>
      </c>
      <c r="T142" t="str">
        <f>IF(CAPTURA!AY142="","",IF(ISNUMBER(CAPTURA!AY142),MAX(0,MIN(100,CAPTURA!AY142)),"⚠"))</f>
        <v/>
      </c>
      <c r="U142" t="str">
        <f>IF(CAPTURA!AZ142="","",IFERROR(IF(INDEX(CODIFICACION!$E$2:$E$500,MATCH("D3.12|"&amp;CAPTURA!AZ142,CODIFICACION!$F$2:$F$500,0))="sin dato","",INDEX(CODIFICACION!$E$2:$E$500,MATCH("D3.12|"&amp;CAPTURA!AZ142,CODIFICACION!$F$2:$F$500,0))),"⚠"))</f>
        <v/>
      </c>
      <c r="V142" t="str">
        <f>IF(CAPTURA!BA142="","",IF(AND(ISNUMBER(CAPTURA!BA142),CAPTURA!BA142&gt;=0,CAPTURA!BA142&lt;=4),CAPTURA!BA142*25,"⚠"))</f>
        <v/>
      </c>
      <c r="W142" t="str">
        <f>IF(CAPTURA!BB142="","",IFERROR(IF(INDEX(CODIFICACION!$E$2:$E$500,MATCH("D3.14|"&amp;CAPTURA!BB142,CODIFICACION!$F$2:$F$500,0))="sin dato","",INDEX(CODIFICACION!$E$2:$E$500,MATCH("D3.14|"&amp;CAPTURA!BB142,CODIFICACION!$F$2:$F$500,0))),"⚠"))</f>
        <v/>
      </c>
      <c r="X142" t="str">
        <f>IF(CAPTURA!BC142="","",IFERROR(IF(INDEX(CODIFICACION!$E$2:$E$500,MATCH("D3.14a|"&amp;CAPTURA!BC142,CODIFICACION!$F$2:$F$500,0))="sin dato","",INDEX(CODIFICACION!$E$2:$E$500,MATCH("D3.14a|"&amp;CAPTURA!BC142,CODIFICACION!$F$2:$F$500,0))),"⚠"))</f>
        <v/>
      </c>
      <c r="Y142" t="str">
        <f>IF(CAPTURA!BD142="","",IFERROR(IF(INDEX(CODIFICACION!$E$2:$E$500,MATCH("D3.14b|"&amp;CAPTURA!BD142,CODIFICACION!$F$2:$F$500,0))="sin dato","",INDEX(CODIFICACION!$E$2:$E$500,MATCH("D3.14b|"&amp;CAPTURA!BD142,CODIFICACION!$F$2:$F$500,0))),"⚠"))</f>
        <v/>
      </c>
      <c r="Z142" t="str">
        <f>IF(CAPTURA!BE142="","",IFERROR(IF(INDEX(CODIFICACION!$E$2:$E$500,MATCH("D3.14c|"&amp;CAPTURA!BE142,CODIFICACION!$F$2:$F$500,0))="sin dato","",INDEX(CODIFICACION!$E$2:$E$500,MATCH("D3.14c|"&amp;CAPTURA!BE142,CODIFICACION!$F$2:$F$500,0))),"⚠"))</f>
        <v/>
      </c>
      <c r="AA142" t="str">
        <f>IF(CAPTURA!BF142="","",IFERROR(IF(INDEX(CODIFICACION!$E$2:$E$500,MATCH("D3.14d|"&amp;CAPTURA!BF142,CODIFICACION!$F$2:$F$500,0))="sin dato","",INDEX(CODIFICACION!$E$2:$E$500,MATCH("D3.14d|"&amp;CAPTURA!BF142,CODIFICACION!$F$2:$F$500,0))),"⚠"))</f>
        <v/>
      </c>
      <c r="AB142" t="str">
        <f>IF(CAPTURA!BG142="","",IFERROR(IF(INDEX(CODIFICACION!$E$2:$E$500,MATCH("D3.14e|"&amp;CAPTURA!BG142,CODIFICACION!$F$2:$F$500,0))="sin dato","",INDEX(CODIFICACION!$E$2:$E$500,MATCH("D3.14e|"&amp;CAPTURA!BG142,CODIFICACION!$F$2:$F$500,0))),"⚠"))</f>
        <v/>
      </c>
      <c r="AC142" t="str">
        <f>IF(CAPTURA!BH142="","",IFERROR(IF(INDEX(CODIFICACION!$E$2:$E$500,MATCH("D3.14f|"&amp;CAPTURA!BH142,CODIFICACION!$F$2:$F$500,0))="sin dato","",INDEX(CODIFICACION!$E$2:$E$500,MATCH("D3.14f|"&amp;CAPTURA!BH142,CODIFICACION!$F$2:$F$500,0))),"⚠"))</f>
        <v/>
      </c>
      <c r="AD142" t="str">
        <f>IF(CAPTURA!BI142="","",IFERROR(IF(INDEX(CODIFICACION!$E$2:$E$500,MATCH("D3.14g|"&amp;CAPTURA!BI142,CODIFICACION!$F$2:$F$500,0))="sin dato","",INDEX(CODIFICACION!$E$2:$E$500,MATCH("D3.14g|"&amp;CAPTURA!BI142,CODIFICACION!$F$2:$F$500,0))),"⚠"))</f>
        <v/>
      </c>
      <c r="AE142" t="str">
        <f>IF(CAPTURA!BJ142="","",IFERROR(IF(INDEX(CODIFICACION!$E$2:$E$500,MATCH("D3.14h|"&amp;CAPTURA!BJ142,CODIFICACION!$F$2:$F$500,0))="sin dato","",INDEX(CODIFICACION!$E$2:$E$500,MATCH("D3.14h|"&amp;CAPTURA!BJ142,CODIFICACION!$F$2:$F$500,0))),"⚠"))</f>
        <v/>
      </c>
      <c r="AF142" t="str">
        <f>IF(CAPTURA!BK142="","",IFERROR(IF(INDEX(CODIFICACION!$E$2:$E$500,MATCH("D3.14i|"&amp;CAPTURA!BK142,CODIFICACION!$F$2:$F$500,0))="sin dato","",INDEX(CODIFICACION!$E$2:$E$500,MATCH("D3.14i|"&amp;CAPTURA!BK142,CODIFICACION!$F$2:$F$500,0))),"⚠"))</f>
        <v/>
      </c>
      <c r="AG142" t="str">
        <f>IF(CAPTURA!BL142="","",IFERROR(IF(INDEX(CODIFICACION!$E$2:$E$500,MATCH("D4.15|"&amp;CAPTURA!BL142,CODIFICACION!$F$2:$F$500,0))="sin dato","",INDEX(CODIFICACION!$E$2:$E$500,MATCH("D4.15|"&amp;CAPTURA!BL142,CODIFICACION!$F$2:$F$500,0))),"⚠"))</f>
        <v/>
      </c>
      <c r="AH142" t="str">
        <f>IF(CAPTURA!BM142="","",IF(AND(ISNUMBER(CAPTURA!BM142),CAPTURA!BM142&gt;=0,CAPTURA!BM142&lt;=4),CAPTURA!BM142*25,"⚠"))</f>
        <v/>
      </c>
      <c r="AI142" t="str">
        <f>IF(CAPTURA!BN142="","",IFERROR(IF(INDEX(CODIFICACION!$E$2:$E$500,MATCH("D4.17|"&amp;CAPTURA!BN142,CODIFICACION!$F$2:$F$500,0))="sin dato","",INDEX(CODIFICACION!$E$2:$E$500,MATCH("D4.17|"&amp;CAPTURA!BN142,CODIFICACION!$F$2:$F$500,0))),"⚠"))</f>
        <v/>
      </c>
      <c r="AJ142" t="str">
        <f>IF(CAPTURA!BO142="","",IFERROR(IF(INDEX(CODIFICACION!$E$2:$E$500,MATCH("D4.15a|"&amp;CAPTURA!BO142,CODIFICACION!$F$2:$F$500,0))="sin dato","",INDEX(CODIFICACION!$E$2:$E$500,MATCH("D4.15a|"&amp;CAPTURA!BO142,CODIFICACION!$F$2:$F$500,0))),"⚠"))</f>
        <v/>
      </c>
      <c r="AK142" t="str">
        <f>IF(CAPTURA!BP142="","",IF(AND(ISNUMBER(CAPTURA!BP142),CAPTURA!BP142&gt;=0,CAPTURA!BP142&lt;=4),CAPTURA!BP142*25,"⚠"))</f>
        <v/>
      </c>
      <c r="AL142" t="str">
        <f>IF(CAPTURA!BQ142="","",IF(AND(ISNUMBER(CAPTURA!BQ142),CAPTURA!BQ142&gt;=0,CAPTURA!BQ142&lt;=4),CAPTURA!BQ142*25,"⚠"))</f>
        <v/>
      </c>
      <c r="AM142" t="str">
        <f>IF(CAPTURA!BR142="","",IFERROR(IF(INDEX(CODIFICACION!$E$2:$E$500,MATCH("D5.18b|"&amp;CAPTURA!BR142,CODIFICACION!$F$2:$F$500,0))="sin dato","",INDEX(CODIFICACION!$E$2:$E$500,MATCH("D5.18b|"&amp;CAPTURA!BR142,CODIFICACION!$F$2:$F$500,0))),"⚠"))</f>
        <v/>
      </c>
      <c r="AN142" t="str">
        <f>IF(CAPTURA!BS142="","",IFERROR(IF(INDEX(CODIFICACION!$E$2:$E$500,MATCH("D5.19|"&amp;CAPTURA!BS142,CODIFICACION!$F$2:$F$500,0))="sin dato","",INDEX(CODIFICACION!$E$2:$E$500,MATCH("D5.19|"&amp;CAPTURA!BS142,CODIFICACION!$F$2:$F$500,0))),"⚠"))</f>
        <v/>
      </c>
      <c r="AO142" t="str">
        <f>IF(CAPTURA!BT142="","",MIN(100,ROUND((LEN(CAPTURA!BT142)-LEN(SUBSTITUTE(CAPTURA!BT142,";",""))+1)/7*100,1)))</f>
        <v/>
      </c>
      <c r="AP142" t="str">
        <f>IF(CAPTURA!BU142="","",IFERROR(IF(INDEX(CODIFICACION!$E$2:$E$500,MATCH("D5.20|"&amp;CAPTURA!BU142,CODIFICACION!$F$2:$F$500,0))="sin dato","",INDEX(CODIFICACION!$E$2:$E$500,MATCH("D5.20|"&amp;CAPTURA!BU142,CODIFICACION!$F$2:$F$500,0))),"⚠"))</f>
        <v/>
      </c>
      <c r="AQ142" t="str">
        <f>IF(CAPTURA!BV142="","",IFERROR(IF(INDEX(CODIFICACION!$E$2:$E$500,MATCH("D5.21|"&amp;CAPTURA!BV142,CODIFICACION!$F$2:$F$500,0))="sin dato","",INDEX(CODIFICACION!$E$2:$E$500,MATCH("D5.21|"&amp;CAPTURA!BV142,CODIFICACION!$F$2:$F$500,0))),"⚠"))</f>
        <v/>
      </c>
      <c r="AR142" t="str">
        <f>IF(CAPTURA!BW142="","",IFERROR(IF(INDEX(CODIFICACION!$E$2:$E$500,MATCH("D5.21a|"&amp;CAPTURA!BW142,CODIFICACION!$F$2:$F$500,0))="sin dato","",INDEX(CODIFICACION!$E$2:$E$500,MATCH("D5.21a|"&amp;CAPTURA!BW142,CODIFICACION!$F$2:$F$500,0))),"⚠"))</f>
        <v/>
      </c>
      <c r="AS142" t="str">
        <f>IF(CAPTURA!BX142="","",IFERROR(IF(INDEX(CODIFICACION!$E$2:$E$500,MATCH("D5.21b|"&amp;CAPTURA!BX142,CODIFICACION!$F$2:$F$500,0))="sin dato","",INDEX(CODIFICACION!$E$2:$E$500,MATCH("D5.21b|"&amp;CAPTURA!BX142,CODIFICACION!$F$2:$F$500,0))),"⚠"))</f>
        <v/>
      </c>
      <c r="AT142" t="str">
        <f>IF(CAPTURA!BY142="","",IFERROR(IF(INDEX(CODIFICACION!$E$2:$E$500,MATCH("D6.22|"&amp;CAPTURA!BY142,CODIFICACION!$F$2:$F$500,0))="sin dato","",INDEX(CODIFICACION!$E$2:$E$500,MATCH("D6.22|"&amp;CAPTURA!BY142,CODIFICACION!$F$2:$F$500,0))),"⚠"))</f>
        <v/>
      </c>
      <c r="AU142" t="str">
        <f>IF(CAPTURA!BZ142="","",IFERROR(IF(INDEX(CODIFICACION!$E$2:$E$500,MATCH("D6.22a|"&amp;CAPTURA!BZ142,CODIFICACION!$F$2:$F$500,0))="sin dato","",INDEX(CODIFICACION!$E$2:$E$500,MATCH("D6.22a|"&amp;CAPTURA!BZ142,CODIFICACION!$F$2:$F$500,0))),"⚠"))</f>
        <v/>
      </c>
      <c r="AV142" t="str">
        <f>IF(CAPTURA!CA142="","",IFERROR(IF(INDEX(CODIFICACION!$E$2:$E$500,MATCH("D6.22b|"&amp;CAPTURA!CA142,CODIFICACION!$F$2:$F$500,0))="sin dato","",INDEX(CODIFICACION!$E$2:$E$500,MATCH("D6.22b|"&amp;CAPTURA!CA142,CODIFICACION!$F$2:$F$500,0))),"⚠"))</f>
        <v/>
      </c>
      <c r="AW142" t="str">
        <f>IF(CAPTURA!CB142="","",IFERROR(IF(INDEX(CODIFICACION!$E$2:$E$500,MATCH("D6.23|"&amp;CAPTURA!CB142,CODIFICACION!$F$2:$F$500,0))="sin dato","",INDEX(CODIFICACION!$E$2:$E$500,MATCH("D6.23|"&amp;CAPTURA!CB142,CODIFICACION!$F$2:$F$500,0))),"⚠"))</f>
        <v/>
      </c>
      <c r="AX142" t="str">
        <f>IF(CAPTURA!CC142="","",IFERROR(IF(INDEX(CODIFICACION!$E$2:$E$500,MATCH("D6.24|"&amp;CAPTURA!CC142,CODIFICACION!$F$2:$F$500,0))="sin dato","",INDEX(CODIFICACION!$E$2:$E$500,MATCH("D6.24|"&amp;CAPTURA!CC142,CODIFICACION!$F$2:$F$500,0))),"⚠"))</f>
        <v/>
      </c>
      <c r="AY142" t="str">
        <f>IF(CAPTURA!CD142="","",IFERROR(IF(INDEX(CODIFICACION!$E$2:$E$500,MATCH("D6.25|"&amp;CAPTURA!CD142,CODIFICACION!$F$2:$F$500,0))="sin dato","",INDEX(CODIFICACION!$E$2:$E$500,MATCH("D6.25|"&amp;CAPTURA!CD142,CODIFICACION!$F$2:$F$500,0))),"⚠"))</f>
        <v/>
      </c>
      <c r="AZ142" t="str">
        <f>IF(CAPTURA!CE142="","",IFERROR(IF(INDEX(CODIFICACION!$E$2:$E$500,MATCH("D6.25a|"&amp;CAPTURA!CE142,CODIFICACION!$F$2:$F$500,0))="sin dato","",INDEX(CODIFICACION!$E$2:$E$500,MATCH("D6.25a|"&amp;CAPTURA!CE142,CODIFICACION!$F$2:$F$500,0))),"⚠"))</f>
        <v/>
      </c>
      <c r="BA142" t="str">
        <f>IF(CAPTURA!CF142="","",IFERROR(IF(INDEX(CODIFICACION!$E$2:$E$500,MATCH("D6.25b|"&amp;CAPTURA!CF142,CODIFICACION!$F$2:$F$500,0))="sin dato","",INDEX(CODIFICACION!$E$2:$E$500,MATCH("D6.25b|"&amp;CAPTURA!CF142,CODIFICACION!$F$2:$F$500,0))),"⚠"))</f>
        <v/>
      </c>
      <c r="BB142" t="str">
        <f>IF(CAPTURA!CG142="","",IFERROR(IF(INDEX(CODIFICACION!$E$2:$E$500,MATCH("D6.22c|"&amp;CAPTURA!CG142,CODIFICACION!$F$2:$F$500,0))="sin dato","",INDEX(CODIFICACION!$E$2:$E$500,MATCH("D6.22c|"&amp;CAPTURA!CG142,CODIFICACION!$F$2:$F$500,0))),"⚠"))</f>
        <v/>
      </c>
      <c r="BC142" t="str">
        <f>IF(CAPTURA!CH142="","",IFERROR(IF(INDEX(CODIFICACION!$E$2:$E$500,MATCH("D7.26|"&amp;CAPTURA!CH142,CODIFICACION!$F$2:$F$500,0))="sin dato","",INDEX(CODIFICACION!$E$2:$E$500,MATCH("D7.26|"&amp;CAPTURA!CH142,CODIFICACION!$F$2:$F$500,0))),"⚠"))</f>
        <v/>
      </c>
      <c r="BD142" t="str">
        <f>IF(CAPTURA!CI142="","",IFERROR(IF(INDEX(CODIFICACION!$E$2:$E$500,MATCH("D7.27|"&amp;CAPTURA!CI142,CODIFICACION!$F$2:$F$500,0))="sin dato","",INDEX(CODIFICACION!$E$2:$E$500,MATCH("D7.27|"&amp;CAPTURA!CI142,CODIFICACION!$F$2:$F$500,0))),"⚠"))</f>
        <v/>
      </c>
      <c r="BE142" t="str">
        <f>IF(CAPTURA!CJ142="","",IFERROR(IF(INDEX(CODIFICACION!$E$2:$E$500,MATCH("D7.28|"&amp;CAPTURA!CJ142,CODIFICACION!$F$2:$F$500,0))="sin dato","",INDEX(CODIFICACION!$E$2:$E$500,MATCH("D7.28|"&amp;CAPTURA!CJ142,CODIFICACION!$F$2:$F$500,0))),"⚠"))</f>
        <v/>
      </c>
      <c r="BF142" t="str">
        <f>IF(CAPTURA!CK142="","",IFERROR(IF(INDEX(CODIFICACION!$E$2:$E$500,MATCH("D7.28b|"&amp;CAPTURA!CK142,CODIFICACION!$F$2:$F$500,0))="sin dato","",INDEX(CODIFICACION!$E$2:$E$500,MATCH("D7.28b|"&amp;CAPTURA!CK142,CODIFICACION!$F$2:$F$500,0))),"⚠"))</f>
        <v/>
      </c>
      <c r="BG142" t="str">
        <f>IF(CAPTURA!CL142="","",MIN(100,ROUND((LEN(CAPTURA!CL142)-LEN(SUBSTITUTE(CAPTURA!CL142,";",""))+1)/8*100,1)))</f>
        <v/>
      </c>
      <c r="BH142" t="str">
        <f>IF(CAPTURA!CM142="","",IFERROR(IF(INDEX(CODIFICACION!$E$2:$E$500,MATCH("D7.26a|"&amp;CAPTURA!CM142,CODIFICACION!$F$2:$F$500,0))="sin dato","",INDEX(CODIFICACION!$E$2:$E$500,MATCH("D7.26a|"&amp;CAPTURA!CM142,CODIFICACION!$F$2:$F$500,0))),"⚠"))</f>
        <v/>
      </c>
      <c r="BI142" t="str">
        <f>IF(CAPTURA!CN142="","",IFERROR(IF(INDEX(CODIFICACION!$E$2:$E$500,MATCH("D7.26b|"&amp;CAPTURA!CN142,CODIFICACION!$F$2:$F$500,0))="sin dato","",INDEX(CODIFICACION!$E$2:$E$500,MATCH("D7.26b|"&amp;CAPTURA!CN142,CODIFICACION!$F$2:$F$500,0))),"⚠"))</f>
        <v/>
      </c>
      <c r="BJ142" t="str">
        <f>IF(CAPTURA!CO142="","",IF(AND(ISNUMBER(CAPTURA!CO142),CAPTURA!CO142&gt;=0,CAPTURA!CO142&lt;=4),CAPTURA!CO142*25,"⚠"))</f>
        <v/>
      </c>
      <c r="BK142" t="str">
        <f>IF(CAPTURA!CP142="","",IF(ISNUMBER(CAPTURA!CP142),MAX(0,MIN(100,CAPTURA!CP142)),"⚠"))</f>
        <v/>
      </c>
      <c r="BL142" t="str">
        <f>IF(CAPTURA!CQ142="","",IFERROR(IF(INDEX(CODIFICACION!$E$2:$E$500,MATCH("D8.31|"&amp;CAPTURA!CQ142,CODIFICACION!$F$2:$F$500,0))="sin dato","",INDEX(CODIFICACION!$E$2:$E$500,MATCH("D8.31|"&amp;CAPTURA!CQ142,CODIFICACION!$F$2:$F$500,0))),"⚠"))</f>
        <v/>
      </c>
      <c r="BM142" t="str">
        <f>IF(CAPTURA!CR142="","",IFERROR(IF(INDEX(CODIFICACION!$E$2:$E$500,MATCH("D8.32|"&amp;CAPTURA!CR142,CODIFICACION!$F$2:$F$500,0))="sin dato","",INDEX(CODIFICACION!$E$2:$E$500,MATCH("D8.32|"&amp;CAPTURA!CR142,CODIFICACION!$F$2:$F$500,0))),"⚠"))</f>
        <v/>
      </c>
      <c r="BN142" t="str">
        <f>IF(CAPTURA!CS142="","",IFERROR(IF(INDEX(CODIFICACION!$E$2:$E$500,MATCH("D9.33|"&amp;CAPTURA!CS142,CODIFICACION!$F$2:$F$500,0))="sin dato","",INDEX(CODIFICACION!$E$2:$E$500,MATCH("D9.33|"&amp;CAPTURA!CS142,CODIFICACION!$F$2:$F$500,0))),"⚠"))</f>
        <v/>
      </c>
      <c r="BO142" t="str">
        <f>IF(CAPTURA!CT142="","",IFERROR(IF(INDEX(CODIFICACION!$E$2:$E$500,MATCH("D9.34|"&amp;CAPTURA!CT142,CODIFICACION!$F$2:$F$500,0))="sin dato","",INDEX(CODIFICACION!$E$2:$E$500,MATCH("D9.34|"&amp;CAPTURA!CT142,CODIFICACION!$F$2:$F$500,0))),"⚠"))</f>
        <v/>
      </c>
      <c r="BP142" t="str">
        <f>IF(CAPTURA!CU142="","",IFERROR(IF(INDEX(CODIFICACION!$E$2:$E$500,MATCH("D9.35|"&amp;CAPTURA!CU142,CODIFICACION!$F$2:$F$500,0))="sin dato","",INDEX(CODIFICACION!$E$2:$E$500,MATCH("D9.35|"&amp;CAPTURA!CU142,CODIFICACION!$F$2:$F$500,0))),"⚠"))</f>
        <v/>
      </c>
      <c r="BQ142" t="str">
        <f>IF(CAPTURA!CV142="","",IFERROR(IF(INDEX(CODIFICACION!$E$2:$E$500,MATCH("D10.36|"&amp;CAPTURA!CV142,CODIFICACION!$F$2:$F$500,0))="sin dato","",INDEX(CODIFICACION!$E$2:$E$500,MATCH("D10.36|"&amp;CAPTURA!CV142,CODIFICACION!$F$2:$F$500,0))),"⚠"))</f>
        <v/>
      </c>
      <c r="BR142" t="str">
        <f>IF(CAPTURA!CW142="","",IFERROR(IF(INDEX(CODIFICACION!$E$2:$E$500,MATCH("D10.37|"&amp;CAPTURA!CW142,CODIFICACION!$F$2:$F$500,0))="sin dato","",INDEX(CODIFICACION!$E$2:$E$500,MATCH("D10.37|"&amp;CAPTURA!CW142,CODIFICACION!$F$2:$F$500,0))),"⚠"))</f>
        <v/>
      </c>
      <c r="BS142" t="str">
        <f>IF(CAPTURA!CX142="","",IFERROR(IF(INDEX(CODIFICACION!$E$2:$E$500,MATCH("D10.36a|"&amp;CAPTURA!CX142,CODIFICACION!$F$2:$F$500,0))="sin dato","",INDEX(CODIFICACION!$E$2:$E$500,MATCH("D10.36a|"&amp;CAPTURA!CX142,CODIFICACION!$F$2:$F$500,0))),"⚠"))</f>
        <v/>
      </c>
      <c r="BT142" t="str">
        <f>IF(CAPTURA!CY142="","",IF(ISNUMBER(SEARCH("Ninguno",CAPTURA!CY142)),0,MIN(100,ROUND((LEN(CAPTURA!CY142)-LEN(SUBSTITUTE(CAPTURA!CY142,";",""))+1)/6*100,1))))</f>
        <v/>
      </c>
      <c r="BU142" t="str">
        <f>IF(CAPTURA!DA142="","",IFERROR(IF(INDEX(CODIFICACION!$E$2:$E$500,MATCH("D11.39a|"&amp;CAPTURA!DA142,CODIFICACION!$F$2:$F$500,0))="sin dato","",INDEX(CODIFICACION!$E$2:$E$500,MATCH("D11.39a|"&amp;CAPTURA!DA142,CODIFICACION!$F$2:$F$500,0))),"⚠"))</f>
        <v/>
      </c>
      <c r="BV142" t="str">
        <f>IF(CAPTURA!DB142="","",IFERROR(IF(INDEX(CODIFICACION!$E$2:$E$500,MATCH("D12.42|"&amp;CAPTURA!DB142,CODIFICACION!$F$2:$F$500,0))="sin dato","",INDEX(CODIFICACION!$E$2:$E$500,MATCH("D12.42|"&amp;CAPTURA!DB142,CODIFICACION!$F$2:$F$500,0))),"⚠"))</f>
        <v/>
      </c>
      <c r="BW142" t="str">
        <f>IF(CAPTURA!DC142="","",IFERROR(IF(INDEX(CODIFICACION!$E$2:$E$500,MATCH("D13.45|"&amp;CAPTURA!DC142,CODIFICACION!$F$2:$F$500,0))="sin dato","",INDEX(CODIFICACION!$E$2:$E$500,MATCH("D13.45|"&amp;CAPTURA!DC142,CODIFICACION!$F$2:$F$500,0))),"⚠"))</f>
        <v/>
      </c>
      <c r="BX142" t="str">
        <f>IF(CAPTURA!DD142="","",IFERROR(IF(INDEX(CODIFICACION!$E$2:$E$500,MATCH("D14.51|"&amp;CAPTURA!DD142,CODIFICACION!$F$2:$F$500,0))="sin dato","",INDEX(CODIFICACION!$E$2:$E$500,MATCH("D14.51|"&amp;CAPTURA!DD142,CODIFICACION!$F$2:$F$500,0))),"⚠"))</f>
        <v/>
      </c>
      <c r="BY142" t="str">
        <f>IF(CAPTURA!DE142="","",IFERROR(IF(INDEX(CODIFICACION!$E$2:$E$500,MATCH("D15.58|"&amp;CAPTURA!DE142,CODIFICACION!$F$2:$F$500,0))="sin dato","",INDEX(CODIFICACION!$E$2:$E$500,MATCH("D15.58|"&amp;CAPTURA!DE142,CODIFICACION!$F$2:$F$500,0))),"⚠"))</f>
        <v/>
      </c>
      <c r="BZ142" t="str">
        <f>IF(CAPTURA!DF142="","",IFERROR(IF(INDEX(CODIFICACION!$E$2:$E$500,MATCH("PP1|"&amp;CAPTURA!DF142,CODIFICACION!$F$2:$F$500,0))="sin dato","",INDEX(CODIFICACION!$E$2:$E$500,MATCH("PP1|"&amp;CAPTURA!DF142,CODIFICACION!$F$2:$F$500,0))),"⚠"))</f>
        <v/>
      </c>
      <c r="CA142" t="str">
        <f>IF(CAPTURA!DG142="","",IFERROR(IF(INDEX(CODIFICACION!$E$2:$E$500,MATCH("PP2|"&amp;CAPTURA!DG142,CODIFICACION!$F$2:$F$500,0))="sin dato","",INDEX(CODIFICACION!$E$2:$E$500,MATCH("PP2|"&amp;CAPTURA!DG142,CODIFICACION!$F$2:$F$500,0))),"⚠"))</f>
        <v/>
      </c>
      <c r="CB142" t="str">
        <f t="shared" si="44"/>
        <v/>
      </c>
      <c r="CC142" t="str">
        <f t="shared" si="45"/>
        <v/>
      </c>
      <c r="CD142" t="str">
        <f t="shared" si="46"/>
        <v/>
      </c>
      <c r="CE142" t="str">
        <f t="shared" si="47"/>
        <v/>
      </c>
      <c r="CF142" t="str">
        <f t="shared" si="48"/>
        <v/>
      </c>
      <c r="CG142" t="str">
        <f t="shared" si="49"/>
        <v/>
      </c>
      <c r="CH142" t="str">
        <f t="shared" si="50"/>
        <v/>
      </c>
      <c r="CI142" t="str">
        <f t="shared" si="51"/>
        <v/>
      </c>
      <c r="CJ142" t="str">
        <f t="shared" si="52"/>
        <v/>
      </c>
      <c r="CK142" t="str">
        <f t="shared" si="53"/>
        <v/>
      </c>
      <c r="CL142" t="str">
        <f t="shared" si="54"/>
        <v/>
      </c>
    </row>
    <row r="143" spans="1:90" x14ac:dyDescent="0.3">
      <c r="A143">
        <f>CAPTURA!A143</f>
        <v>20603820691</v>
      </c>
      <c r="B143">
        <f>CAPTURA!C143</f>
        <v>0</v>
      </c>
      <c r="C143" t="str">
        <f>IF(CAPTURA!M143="","",ROUND((ISNUMBER(SEARCH("Alemania",CAPTURA!M143))+ISNUMBER(SEARCH("Bélgica",CAPTURA!M143))+ISNUMBER(SEARCH("Países Bajos",CAPTURA!M143))+ISNUMBER(SEARCH("Francia",CAPTURA!M143))+ISNUMBER(SEARCH("Italia",CAPTURA!M143))+ISNUMBER(SEARCH("España",CAPTURA!M143))+ISNUMBER(SEARCH("Suecia",CAPTURA!M143))+ISNUMBER(SEARCH("Dinamarca",CAPTURA!M143)))/((LEN(CAPTURA!M143)-LEN(SUBSTITUTE(CAPTURA!M143,";","")))+1)*100,1))</f>
        <v/>
      </c>
      <c r="D143" t="str">
        <f>IF(CAPTURA!AE143="","",IFERROR(IF(INDEX(CODIFICACION!$E$2:$E$500,MATCH("P8|"&amp;CAPTURA!AE143,CODIFICACION!$F$2:$F$500,0))="sin dato","",INDEX(CODIFICACION!$E$2:$E$500,MATCH("P8|"&amp;CAPTURA!AE143,CODIFICACION!$F$2:$F$500,0))),"⚠"))</f>
        <v/>
      </c>
      <c r="E143" t="str">
        <f>IF(CAPTURA!AG143="","",IFERROR(IF(INDEX(CODIFICACION!$E$2:$E$500,MATCH("P10|"&amp;CAPTURA!AG143,CODIFICACION!$F$2:$F$500,0))="sin dato","",INDEX(CODIFICACION!$E$2:$E$500,MATCH("P10|"&amp;CAPTURA!AG143,CODIFICACION!$F$2:$F$500,0))),"⚠"))</f>
        <v/>
      </c>
      <c r="F143" t="str">
        <f>IF(CAPTURA!AJ143="","",IFERROR(IF(INDEX(CODIFICACION!$E$2:$E$500,MATCH("P13|"&amp;CAPTURA!AJ143,CODIFICACION!$F$2:$F$500,0))="sin dato","",INDEX(CODIFICACION!$E$2:$E$500,MATCH("P13|"&amp;CAPTURA!AJ143,CODIFICACION!$F$2:$F$500,0))),"⚠"))</f>
        <v/>
      </c>
      <c r="G143" t="str">
        <f>IF(CAPTURA!AK143="","",IFERROR(IF(INDEX(CODIFICACION!$E$2:$E$500,MATCH("P14|"&amp;CAPTURA!AK143,CODIFICACION!$F$2:$F$500,0))="sin dato","",INDEX(CODIFICACION!$E$2:$E$500,MATCH("P14|"&amp;CAPTURA!AK143,CODIFICACION!$F$2:$F$500,0))),"⚠"))</f>
        <v/>
      </c>
      <c r="H143" t="str">
        <f>IF(CAPTURA!AL143="","",IFERROR(IF(INDEX(CODIFICACION!$E$2:$E$500,MATCH("D1.1|"&amp;CAPTURA!AL143,CODIFICACION!$F$2:$F$500,0))="sin dato","",INDEX(CODIFICACION!$E$2:$E$500,MATCH("D1.1|"&amp;CAPTURA!AL143,CODIFICACION!$F$2:$F$500,0))),"⚠"))</f>
        <v/>
      </c>
      <c r="I143" t="str">
        <f>IF(CAPTURA!AN143="","",IFERROR(IF(INDEX(CODIFICACION!$E$2:$E$500,MATCH("D1.3|"&amp;CAPTURA!AN143,CODIFICACION!$F$2:$F$500,0))="sin dato","",INDEX(CODIFICACION!$E$2:$E$500,MATCH("D1.3|"&amp;CAPTURA!AN143,CODIFICACION!$F$2:$F$500,0))),"⚠"))</f>
        <v/>
      </c>
      <c r="J143" t="str">
        <f>IF(CAPTURA!AO143="","",IFERROR(IF(INDEX(CODIFICACION!$E$2:$E$500,MATCH("D1.4|"&amp;CAPTURA!AO143,CODIFICACION!$F$2:$F$500,0))="sin dato","",INDEX(CODIFICACION!$E$2:$E$500,MATCH("D1.4|"&amp;CAPTURA!AO143,CODIFICACION!$F$2:$F$500,0))),"⚠"))</f>
        <v/>
      </c>
      <c r="K143" t="str">
        <f>IF(CAPTURA!AP143="","",IFERROR(IF(INDEX(CODIFICACION!$E$2:$E$500,MATCH("D1.3a|"&amp;CAPTURA!AP143,CODIFICACION!$F$2:$F$500,0))="sin dato","",INDEX(CODIFICACION!$E$2:$E$500,MATCH("D1.3a|"&amp;CAPTURA!AP143,CODIFICACION!$F$2:$F$500,0))),"⚠"))</f>
        <v/>
      </c>
      <c r="L143" t="str">
        <f>IF(CAPTURA!AQ143="","",IF(AND(ISNUMBER(CAPTURA!AQ143),CAPTURA!AQ143&gt;=0,CAPTURA!AQ143&lt;=4),CAPTURA!AQ143*25,"⚠"))</f>
        <v/>
      </c>
      <c r="M143" t="str">
        <f>IF(CAPTURA!AR143="","",IF(ISNUMBER(CAPTURA!AR143),MAX(0,MIN(100,CAPTURA!AR143)),"⚠"))</f>
        <v/>
      </c>
      <c r="N143" t="str">
        <f>IF(CAPTURA!AS143="","",IF(AND(ISNUMBER(CAPTURA!AS143),CAPTURA!AS143&gt;=0,CAPTURA!AS143&lt;=4),CAPTURA!AS143*25,"⚠"))</f>
        <v/>
      </c>
      <c r="O143" t="str">
        <f>IF(CAPTURA!AT143="","",IFERROR(IF(INDEX(CODIFICACION!$E$2:$E$500,MATCH("D2.8|"&amp;CAPTURA!AT143,CODIFICACION!$F$2:$F$500,0))="sin dato","",INDEX(CODIFICACION!$E$2:$E$500,MATCH("D2.8|"&amp;CAPTURA!AT143,CODIFICACION!$F$2:$F$500,0))),"⚠"))</f>
        <v/>
      </c>
      <c r="P143" t="str">
        <f>IF(CAPTURA!AU143="","",IFERROR(IF(INDEX(CODIFICACION!$E$2:$E$500,MATCH("D2.9|"&amp;CAPTURA!AU143,CODIFICACION!$F$2:$F$500,0))="sin dato","",INDEX(CODIFICACION!$E$2:$E$500,MATCH("D2.9|"&amp;CAPTURA!AU143,CODIFICACION!$F$2:$F$500,0))),"⚠"))</f>
        <v/>
      </c>
      <c r="Q143" t="str">
        <f>IF(CAPTURA!AV143="","",IFERROR(IF(INDEX(CODIFICACION!$E$2:$E$500,MATCH("D2.10|"&amp;CAPTURA!AV143,CODIFICACION!$F$2:$F$500,0))="sin dato","",INDEX(CODIFICACION!$E$2:$E$500,MATCH("D2.10|"&amp;CAPTURA!AV143,CODIFICACION!$F$2:$F$500,0))),"⚠"))</f>
        <v/>
      </c>
      <c r="R143" t="str">
        <f>IF(CAPTURA!AW143="","",IFERROR(IF(INDEX(CODIFICACION!$E$2:$E$500,MATCH("D2.5a|"&amp;CAPTURA!AW143,CODIFICACION!$F$2:$F$500,0))="sin dato","",INDEX(CODIFICACION!$E$2:$E$500,MATCH("D2.5a|"&amp;CAPTURA!AW143,CODIFICACION!$F$2:$F$500,0))),"⚠"))</f>
        <v/>
      </c>
      <c r="S143" t="str">
        <f>IF(CAPTURA!AX143="","",IFERROR(IF(INDEX(CODIFICACION!$E$2:$E$500,MATCH("D2.5b|"&amp;CAPTURA!AX143,CODIFICACION!$F$2:$F$500,0))="sin dato","",INDEX(CODIFICACION!$E$2:$E$500,MATCH("D2.5b|"&amp;CAPTURA!AX143,CODIFICACION!$F$2:$F$500,0))),"⚠"))</f>
        <v/>
      </c>
      <c r="T143" t="str">
        <f>IF(CAPTURA!AY143="","",IF(ISNUMBER(CAPTURA!AY143),MAX(0,MIN(100,CAPTURA!AY143)),"⚠"))</f>
        <v/>
      </c>
      <c r="U143" t="str">
        <f>IF(CAPTURA!AZ143="","",IFERROR(IF(INDEX(CODIFICACION!$E$2:$E$500,MATCH("D3.12|"&amp;CAPTURA!AZ143,CODIFICACION!$F$2:$F$500,0))="sin dato","",INDEX(CODIFICACION!$E$2:$E$500,MATCH("D3.12|"&amp;CAPTURA!AZ143,CODIFICACION!$F$2:$F$500,0))),"⚠"))</f>
        <v/>
      </c>
      <c r="V143" t="str">
        <f>IF(CAPTURA!BA143="","",IF(AND(ISNUMBER(CAPTURA!BA143),CAPTURA!BA143&gt;=0,CAPTURA!BA143&lt;=4),CAPTURA!BA143*25,"⚠"))</f>
        <v/>
      </c>
      <c r="W143" t="str">
        <f>IF(CAPTURA!BB143="","",IFERROR(IF(INDEX(CODIFICACION!$E$2:$E$500,MATCH("D3.14|"&amp;CAPTURA!BB143,CODIFICACION!$F$2:$F$500,0))="sin dato","",INDEX(CODIFICACION!$E$2:$E$500,MATCH("D3.14|"&amp;CAPTURA!BB143,CODIFICACION!$F$2:$F$500,0))),"⚠"))</f>
        <v/>
      </c>
      <c r="X143" t="str">
        <f>IF(CAPTURA!BC143="","",IFERROR(IF(INDEX(CODIFICACION!$E$2:$E$500,MATCH("D3.14a|"&amp;CAPTURA!BC143,CODIFICACION!$F$2:$F$500,0))="sin dato","",INDEX(CODIFICACION!$E$2:$E$500,MATCH("D3.14a|"&amp;CAPTURA!BC143,CODIFICACION!$F$2:$F$500,0))),"⚠"))</f>
        <v/>
      </c>
      <c r="Y143" t="str">
        <f>IF(CAPTURA!BD143="","",IFERROR(IF(INDEX(CODIFICACION!$E$2:$E$500,MATCH("D3.14b|"&amp;CAPTURA!BD143,CODIFICACION!$F$2:$F$500,0))="sin dato","",INDEX(CODIFICACION!$E$2:$E$500,MATCH("D3.14b|"&amp;CAPTURA!BD143,CODIFICACION!$F$2:$F$500,0))),"⚠"))</f>
        <v/>
      </c>
      <c r="Z143" t="str">
        <f>IF(CAPTURA!BE143="","",IFERROR(IF(INDEX(CODIFICACION!$E$2:$E$500,MATCH("D3.14c|"&amp;CAPTURA!BE143,CODIFICACION!$F$2:$F$500,0))="sin dato","",INDEX(CODIFICACION!$E$2:$E$500,MATCH("D3.14c|"&amp;CAPTURA!BE143,CODIFICACION!$F$2:$F$500,0))),"⚠"))</f>
        <v/>
      </c>
      <c r="AA143" t="str">
        <f>IF(CAPTURA!BF143="","",IFERROR(IF(INDEX(CODIFICACION!$E$2:$E$500,MATCH("D3.14d|"&amp;CAPTURA!BF143,CODIFICACION!$F$2:$F$500,0))="sin dato","",INDEX(CODIFICACION!$E$2:$E$500,MATCH("D3.14d|"&amp;CAPTURA!BF143,CODIFICACION!$F$2:$F$500,0))),"⚠"))</f>
        <v/>
      </c>
      <c r="AB143" t="str">
        <f>IF(CAPTURA!BG143="","",IFERROR(IF(INDEX(CODIFICACION!$E$2:$E$500,MATCH("D3.14e|"&amp;CAPTURA!BG143,CODIFICACION!$F$2:$F$500,0))="sin dato","",INDEX(CODIFICACION!$E$2:$E$500,MATCH("D3.14e|"&amp;CAPTURA!BG143,CODIFICACION!$F$2:$F$500,0))),"⚠"))</f>
        <v/>
      </c>
      <c r="AC143" t="str">
        <f>IF(CAPTURA!BH143="","",IFERROR(IF(INDEX(CODIFICACION!$E$2:$E$500,MATCH("D3.14f|"&amp;CAPTURA!BH143,CODIFICACION!$F$2:$F$500,0))="sin dato","",INDEX(CODIFICACION!$E$2:$E$500,MATCH("D3.14f|"&amp;CAPTURA!BH143,CODIFICACION!$F$2:$F$500,0))),"⚠"))</f>
        <v/>
      </c>
      <c r="AD143" t="str">
        <f>IF(CAPTURA!BI143="","",IFERROR(IF(INDEX(CODIFICACION!$E$2:$E$500,MATCH("D3.14g|"&amp;CAPTURA!BI143,CODIFICACION!$F$2:$F$500,0))="sin dato","",INDEX(CODIFICACION!$E$2:$E$500,MATCH("D3.14g|"&amp;CAPTURA!BI143,CODIFICACION!$F$2:$F$500,0))),"⚠"))</f>
        <v/>
      </c>
      <c r="AE143" t="str">
        <f>IF(CAPTURA!BJ143="","",IFERROR(IF(INDEX(CODIFICACION!$E$2:$E$500,MATCH("D3.14h|"&amp;CAPTURA!BJ143,CODIFICACION!$F$2:$F$500,0))="sin dato","",INDEX(CODIFICACION!$E$2:$E$500,MATCH("D3.14h|"&amp;CAPTURA!BJ143,CODIFICACION!$F$2:$F$500,0))),"⚠"))</f>
        <v/>
      </c>
      <c r="AF143" t="str">
        <f>IF(CAPTURA!BK143="","",IFERROR(IF(INDEX(CODIFICACION!$E$2:$E$500,MATCH("D3.14i|"&amp;CAPTURA!BK143,CODIFICACION!$F$2:$F$500,0))="sin dato","",INDEX(CODIFICACION!$E$2:$E$500,MATCH("D3.14i|"&amp;CAPTURA!BK143,CODIFICACION!$F$2:$F$500,0))),"⚠"))</f>
        <v/>
      </c>
      <c r="AG143" t="str">
        <f>IF(CAPTURA!BL143="","",IFERROR(IF(INDEX(CODIFICACION!$E$2:$E$500,MATCH("D4.15|"&amp;CAPTURA!BL143,CODIFICACION!$F$2:$F$500,0))="sin dato","",INDEX(CODIFICACION!$E$2:$E$500,MATCH("D4.15|"&amp;CAPTURA!BL143,CODIFICACION!$F$2:$F$500,0))),"⚠"))</f>
        <v/>
      </c>
      <c r="AH143" t="str">
        <f>IF(CAPTURA!BM143="","",IF(AND(ISNUMBER(CAPTURA!BM143),CAPTURA!BM143&gt;=0,CAPTURA!BM143&lt;=4),CAPTURA!BM143*25,"⚠"))</f>
        <v/>
      </c>
      <c r="AI143" t="str">
        <f>IF(CAPTURA!BN143="","",IFERROR(IF(INDEX(CODIFICACION!$E$2:$E$500,MATCH("D4.17|"&amp;CAPTURA!BN143,CODIFICACION!$F$2:$F$500,0))="sin dato","",INDEX(CODIFICACION!$E$2:$E$500,MATCH("D4.17|"&amp;CAPTURA!BN143,CODIFICACION!$F$2:$F$500,0))),"⚠"))</f>
        <v/>
      </c>
      <c r="AJ143" t="str">
        <f>IF(CAPTURA!BO143="","",IFERROR(IF(INDEX(CODIFICACION!$E$2:$E$500,MATCH("D4.15a|"&amp;CAPTURA!BO143,CODIFICACION!$F$2:$F$500,0))="sin dato","",INDEX(CODIFICACION!$E$2:$E$500,MATCH("D4.15a|"&amp;CAPTURA!BO143,CODIFICACION!$F$2:$F$500,0))),"⚠"))</f>
        <v/>
      </c>
      <c r="AK143" t="str">
        <f>IF(CAPTURA!BP143="","",IF(AND(ISNUMBER(CAPTURA!BP143),CAPTURA!BP143&gt;=0,CAPTURA!BP143&lt;=4),CAPTURA!BP143*25,"⚠"))</f>
        <v/>
      </c>
      <c r="AL143" t="str">
        <f>IF(CAPTURA!BQ143="","",IF(AND(ISNUMBER(CAPTURA!BQ143),CAPTURA!BQ143&gt;=0,CAPTURA!BQ143&lt;=4),CAPTURA!BQ143*25,"⚠"))</f>
        <v/>
      </c>
      <c r="AM143" t="str">
        <f>IF(CAPTURA!BR143="","",IFERROR(IF(INDEX(CODIFICACION!$E$2:$E$500,MATCH("D5.18b|"&amp;CAPTURA!BR143,CODIFICACION!$F$2:$F$500,0))="sin dato","",INDEX(CODIFICACION!$E$2:$E$500,MATCH("D5.18b|"&amp;CAPTURA!BR143,CODIFICACION!$F$2:$F$500,0))),"⚠"))</f>
        <v/>
      </c>
      <c r="AN143" t="str">
        <f>IF(CAPTURA!BS143="","",IFERROR(IF(INDEX(CODIFICACION!$E$2:$E$500,MATCH("D5.19|"&amp;CAPTURA!BS143,CODIFICACION!$F$2:$F$500,0))="sin dato","",INDEX(CODIFICACION!$E$2:$E$500,MATCH("D5.19|"&amp;CAPTURA!BS143,CODIFICACION!$F$2:$F$500,0))),"⚠"))</f>
        <v/>
      </c>
      <c r="AO143" t="str">
        <f>IF(CAPTURA!BT143="","",MIN(100,ROUND((LEN(CAPTURA!BT143)-LEN(SUBSTITUTE(CAPTURA!BT143,";",""))+1)/7*100,1)))</f>
        <v/>
      </c>
      <c r="AP143" t="str">
        <f>IF(CAPTURA!BU143="","",IFERROR(IF(INDEX(CODIFICACION!$E$2:$E$500,MATCH("D5.20|"&amp;CAPTURA!BU143,CODIFICACION!$F$2:$F$500,0))="sin dato","",INDEX(CODIFICACION!$E$2:$E$500,MATCH("D5.20|"&amp;CAPTURA!BU143,CODIFICACION!$F$2:$F$500,0))),"⚠"))</f>
        <v/>
      </c>
      <c r="AQ143" t="str">
        <f>IF(CAPTURA!BV143="","",IFERROR(IF(INDEX(CODIFICACION!$E$2:$E$500,MATCH("D5.21|"&amp;CAPTURA!BV143,CODIFICACION!$F$2:$F$500,0))="sin dato","",INDEX(CODIFICACION!$E$2:$E$500,MATCH("D5.21|"&amp;CAPTURA!BV143,CODIFICACION!$F$2:$F$500,0))),"⚠"))</f>
        <v/>
      </c>
      <c r="AR143" t="str">
        <f>IF(CAPTURA!BW143="","",IFERROR(IF(INDEX(CODIFICACION!$E$2:$E$500,MATCH("D5.21a|"&amp;CAPTURA!BW143,CODIFICACION!$F$2:$F$500,0))="sin dato","",INDEX(CODIFICACION!$E$2:$E$500,MATCH("D5.21a|"&amp;CAPTURA!BW143,CODIFICACION!$F$2:$F$500,0))),"⚠"))</f>
        <v/>
      </c>
      <c r="AS143" t="str">
        <f>IF(CAPTURA!BX143="","",IFERROR(IF(INDEX(CODIFICACION!$E$2:$E$500,MATCH("D5.21b|"&amp;CAPTURA!BX143,CODIFICACION!$F$2:$F$500,0))="sin dato","",INDEX(CODIFICACION!$E$2:$E$500,MATCH("D5.21b|"&amp;CAPTURA!BX143,CODIFICACION!$F$2:$F$500,0))),"⚠"))</f>
        <v/>
      </c>
      <c r="AT143" t="str">
        <f>IF(CAPTURA!BY143="","",IFERROR(IF(INDEX(CODIFICACION!$E$2:$E$500,MATCH("D6.22|"&amp;CAPTURA!BY143,CODIFICACION!$F$2:$F$500,0))="sin dato","",INDEX(CODIFICACION!$E$2:$E$500,MATCH("D6.22|"&amp;CAPTURA!BY143,CODIFICACION!$F$2:$F$500,0))),"⚠"))</f>
        <v/>
      </c>
      <c r="AU143" t="str">
        <f>IF(CAPTURA!BZ143="","",IFERROR(IF(INDEX(CODIFICACION!$E$2:$E$500,MATCH("D6.22a|"&amp;CAPTURA!BZ143,CODIFICACION!$F$2:$F$500,0))="sin dato","",INDEX(CODIFICACION!$E$2:$E$500,MATCH("D6.22a|"&amp;CAPTURA!BZ143,CODIFICACION!$F$2:$F$500,0))),"⚠"))</f>
        <v/>
      </c>
      <c r="AV143" t="str">
        <f>IF(CAPTURA!CA143="","",IFERROR(IF(INDEX(CODIFICACION!$E$2:$E$500,MATCH("D6.22b|"&amp;CAPTURA!CA143,CODIFICACION!$F$2:$F$500,0))="sin dato","",INDEX(CODIFICACION!$E$2:$E$500,MATCH("D6.22b|"&amp;CAPTURA!CA143,CODIFICACION!$F$2:$F$500,0))),"⚠"))</f>
        <v/>
      </c>
      <c r="AW143" t="str">
        <f>IF(CAPTURA!CB143="","",IFERROR(IF(INDEX(CODIFICACION!$E$2:$E$500,MATCH("D6.23|"&amp;CAPTURA!CB143,CODIFICACION!$F$2:$F$500,0))="sin dato","",INDEX(CODIFICACION!$E$2:$E$500,MATCH("D6.23|"&amp;CAPTURA!CB143,CODIFICACION!$F$2:$F$500,0))),"⚠"))</f>
        <v/>
      </c>
      <c r="AX143" t="str">
        <f>IF(CAPTURA!CC143="","",IFERROR(IF(INDEX(CODIFICACION!$E$2:$E$500,MATCH("D6.24|"&amp;CAPTURA!CC143,CODIFICACION!$F$2:$F$500,0))="sin dato","",INDEX(CODIFICACION!$E$2:$E$500,MATCH("D6.24|"&amp;CAPTURA!CC143,CODIFICACION!$F$2:$F$500,0))),"⚠"))</f>
        <v/>
      </c>
      <c r="AY143" t="str">
        <f>IF(CAPTURA!CD143="","",IFERROR(IF(INDEX(CODIFICACION!$E$2:$E$500,MATCH("D6.25|"&amp;CAPTURA!CD143,CODIFICACION!$F$2:$F$500,0))="sin dato","",INDEX(CODIFICACION!$E$2:$E$500,MATCH("D6.25|"&amp;CAPTURA!CD143,CODIFICACION!$F$2:$F$500,0))),"⚠"))</f>
        <v/>
      </c>
      <c r="AZ143" t="str">
        <f>IF(CAPTURA!CE143="","",IFERROR(IF(INDEX(CODIFICACION!$E$2:$E$500,MATCH("D6.25a|"&amp;CAPTURA!CE143,CODIFICACION!$F$2:$F$500,0))="sin dato","",INDEX(CODIFICACION!$E$2:$E$500,MATCH("D6.25a|"&amp;CAPTURA!CE143,CODIFICACION!$F$2:$F$500,0))),"⚠"))</f>
        <v/>
      </c>
      <c r="BA143" t="str">
        <f>IF(CAPTURA!CF143="","",IFERROR(IF(INDEX(CODIFICACION!$E$2:$E$500,MATCH("D6.25b|"&amp;CAPTURA!CF143,CODIFICACION!$F$2:$F$500,0))="sin dato","",INDEX(CODIFICACION!$E$2:$E$500,MATCH("D6.25b|"&amp;CAPTURA!CF143,CODIFICACION!$F$2:$F$500,0))),"⚠"))</f>
        <v/>
      </c>
      <c r="BB143" t="str">
        <f>IF(CAPTURA!CG143="","",IFERROR(IF(INDEX(CODIFICACION!$E$2:$E$500,MATCH("D6.22c|"&amp;CAPTURA!CG143,CODIFICACION!$F$2:$F$500,0))="sin dato","",INDEX(CODIFICACION!$E$2:$E$500,MATCH("D6.22c|"&amp;CAPTURA!CG143,CODIFICACION!$F$2:$F$500,0))),"⚠"))</f>
        <v/>
      </c>
      <c r="BC143" t="str">
        <f>IF(CAPTURA!CH143="","",IFERROR(IF(INDEX(CODIFICACION!$E$2:$E$500,MATCH("D7.26|"&amp;CAPTURA!CH143,CODIFICACION!$F$2:$F$500,0))="sin dato","",INDEX(CODIFICACION!$E$2:$E$500,MATCH("D7.26|"&amp;CAPTURA!CH143,CODIFICACION!$F$2:$F$500,0))),"⚠"))</f>
        <v/>
      </c>
      <c r="BD143" t="str">
        <f>IF(CAPTURA!CI143="","",IFERROR(IF(INDEX(CODIFICACION!$E$2:$E$500,MATCH("D7.27|"&amp;CAPTURA!CI143,CODIFICACION!$F$2:$F$500,0))="sin dato","",INDEX(CODIFICACION!$E$2:$E$500,MATCH("D7.27|"&amp;CAPTURA!CI143,CODIFICACION!$F$2:$F$500,0))),"⚠"))</f>
        <v/>
      </c>
      <c r="BE143" t="str">
        <f>IF(CAPTURA!CJ143="","",IFERROR(IF(INDEX(CODIFICACION!$E$2:$E$500,MATCH("D7.28|"&amp;CAPTURA!CJ143,CODIFICACION!$F$2:$F$500,0))="sin dato","",INDEX(CODIFICACION!$E$2:$E$500,MATCH("D7.28|"&amp;CAPTURA!CJ143,CODIFICACION!$F$2:$F$500,0))),"⚠"))</f>
        <v/>
      </c>
      <c r="BF143" t="str">
        <f>IF(CAPTURA!CK143="","",IFERROR(IF(INDEX(CODIFICACION!$E$2:$E$500,MATCH("D7.28b|"&amp;CAPTURA!CK143,CODIFICACION!$F$2:$F$500,0))="sin dato","",INDEX(CODIFICACION!$E$2:$E$500,MATCH("D7.28b|"&amp;CAPTURA!CK143,CODIFICACION!$F$2:$F$500,0))),"⚠"))</f>
        <v/>
      </c>
      <c r="BG143" t="str">
        <f>IF(CAPTURA!CL143="","",MIN(100,ROUND((LEN(CAPTURA!CL143)-LEN(SUBSTITUTE(CAPTURA!CL143,";",""))+1)/8*100,1)))</f>
        <v/>
      </c>
      <c r="BH143" t="str">
        <f>IF(CAPTURA!CM143="","",IFERROR(IF(INDEX(CODIFICACION!$E$2:$E$500,MATCH("D7.26a|"&amp;CAPTURA!CM143,CODIFICACION!$F$2:$F$500,0))="sin dato","",INDEX(CODIFICACION!$E$2:$E$500,MATCH("D7.26a|"&amp;CAPTURA!CM143,CODIFICACION!$F$2:$F$500,0))),"⚠"))</f>
        <v/>
      </c>
      <c r="BI143" t="str">
        <f>IF(CAPTURA!CN143="","",IFERROR(IF(INDEX(CODIFICACION!$E$2:$E$500,MATCH("D7.26b|"&amp;CAPTURA!CN143,CODIFICACION!$F$2:$F$500,0))="sin dato","",INDEX(CODIFICACION!$E$2:$E$500,MATCH("D7.26b|"&amp;CAPTURA!CN143,CODIFICACION!$F$2:$F$500,0))),"⚠"))</f>
        <v/>
      </c>
      <c r="BJ143" t="str">
        <f>IF(CAPTURA!CO143="","",IF(AND(ISNUMBER(CAPTURA!CO143),CAPTURA!CO143&gt;=0,CAPTURA!CO143&lt;=4),CAPTURA!CO143*25,"⚠"))</f>
        <v/>
      </c>
      <c r="BK143" t="str">
        <f>IF(CAPTURA!CP143="","",IF(ISNUMBER(CAPTURA!CP143),MAX(0,MIN(100,CAPTURA!CP143)),"⚠"))</f>
        <v/>
      </c>
      <c r="BL143" t="str">
        <f>IF(CAPTURA!CQ143="","",IFERROR(IF(INDEX(CODIFICACION!$E$2:$E$500,MATCH("D8.31|"&amp;CAPTURA!CQ143,CODIFICACION!$F$2:$F$500,0))="sin dato","",INDEX(CODIFICACION!$E$2:$E$500,MATCH("D8.31|"&amp;CAPTURA!CQ143,CODIFICACION!$F$2:$F$500,0))),"⚠"))</f>
        <v/>
      </c>
      <c r="BM143" t="str">
        <f>IF(CAPTURA!CR143="","",IFERROR(IF(INDEX(CODIFICACION!$E$2:$E$500,MATCH("D8.32|"&amp;CAPTURA!CR143,CODIFICACION!$F$2:$F$500,0))="sin dato","",INDEX(CODIFICACION!$E$2:$E$500,MATCH("D8.32|"&amp;CAPTURA!CR143,CODIFICACION!$F$2:$F$500,0))),"⚠"))</f>
        <v/>
      </c>
      <c r="BN143" t="str">
        <f>IF(CAPTURA!CS143="","",IFERROR(IF(INDEX(CODIFICACION!$E$2:$E$500,MATCH("D9.33|"&amp;CAPTURA!CS143,CODIFICACION!$F$2:$F$500,0))="sin dato","",INDEX(CODIFICACION!$E$2:$E$500,MATCH("D9.33|"&amp;CAPTURA!CS143,CODIFICACION!$F$2:$F$500,0))),"⚠"))</f>
        <v/>
      </c>
      <c r="BO143" t="str">
        <f>IF(CAPTURA!CT143="","",IFERROR(IF(INDEX(CODIFICACION!$E$2:$E$500,MATCH("D9.34|"&amp;CAPTURA!CT143,CODIFICACION!$F$2:$F$500,0))="sin dato","",INDEX(CODIFICACION!$E$2:$E$500,MATCH("D9.34|"&amp;CAPTURA!CT143,CODIFICACION!$F$2:$F$500,0))),"⚠"))</f>
        <v/>
      </c>
      <c r="BP143" t="str">
        <f>IF(CAPTURA!CU143="","",IFERROR(IF(INDEX(CODIFICACION!$E$2:$E$500,MATCH("D9.35|"&amp;CAPTURA!CU143,CODIFICACION!$F$2:$F$500,0))="sin dato","",INDEX(CODIFICACION!$E$2:$E$500,MATCH("D9.35|"&amp;CAPTURA!CU143,CODIFICACION!$F$2:$F$500,0))),"⚠"))</f>
        <v/>
      </c>
      <c r="BQ143" t="str">
        <f>IF(CAPTURA!CV143="","",IFERROR(IF(INDEX(CODIFICACION!$E$2:$E$500,MATCH("D10.36|"&amp;CAPTURA!CV143,CODIFICACION!$F$2:$F$500,0))="sin dato","",INDEX(CODIFICACION!$E$2:$E$500,MATCH("D10.36|"&amp;CAPTURA!CV143,CODIFICACION!$F$2:$F$500,0))),"⚠"))</f>
        <v/>
      </c>
      <c r="BR143" t="str">
        <f>IF(CAPTURA!CW143="","",IFERROR(IF(INDEX(CODIFICACION!$E$2:$E$500,MATCH("D10.37|"&amp;CAPTURA!CW143,CODIFICACION!$F$2:$F$500,0))="sin dato","",INDEX(CODIFICACION!$E$2:$E$500,MATCH("D10.37|"&amp;CAPTURA!CW143,CODIFICACION!$F$2:$F$500,0))),"⚠"))</f>
        <v/>
      </c>
      <c r="BS143" t="str">
        <f>IF(CAPTURA!CX143="","",IFERROR(IF(INDEX(CODIFICACION!$E$2:$E$500,MATCH("D10.36a|"&amp;CAPTURA!CX143,CODIFICACION!$F$2:$F$500,0))="sin dato","",INDEX(CODIFICACION!$E$2:$E$500,MATCH("D10.36a|"&amp;CAPTURA!CX143,CODIFICACION!$F$2:$F$500,0))),"⚠"))</f>
        <v/>
      </c>
      <c r="BT143" t="str">
        <f>IF(CAPTURA!CY143="","",IF(ISNUMBER(SEARCH("Ninguno",CAPTURA!CY143)),0,MIN(100,ROUND((LEN(CAPTURA!CY143)-LEN(SUBSTITUTE(CAPTURA!CY143,";",""))+1)/6*100,1))))</f>
        <v/>
      </c>
      <c r="BU143" t="str">
        <f>IF(CAPTURA!DA143="","",IFERROR(IF(INDEX(CODIFICACION!$E$2:$E$500,MATCH("D11.39a|"&amp;CAPTURA!DA143,CODIFICACION!$F$2:$F$500,0))="sin dato","",INDEX(CODIFICACION!$E$2:$E$500,MATCH("D11.39a|"&amp;CAPTURA!DA143,CODIFICACION!$F$2:$F$500,0))),"⚠"))</f>
        <v/>
      </c>
      <c r="BV143" t="str">
        <f>IF(CAPTURA!DB143="","",IFERROR(IF(INDEX(CODIFICACION!$E$2:$E$500,MATCH("D12.42|"&amp;CAPTURA!DB143,CODIFICACION!$F$2:$F$500,0))="sin dato","",INDEX(CODIFICACION!$E$2:$E$500,MATCH("D12.42|"&amp;CAPTURA!DB143,CODIFICACION!$F$2:$F$500,0))),"⚠"))</f>
        <v/>
      </c>
      <c r="BW143" t="str">
        <f>IF(CAPTURA!DC143="","",IFERROR(IF(INDEX(CODIFICACION!$E$2:$E$500,MATCH("D13.45|"&amp;CAPTURA!DC143,CODIFICACION!$F$2:$F$500,0))="sin dato","",INDEX(CODIFICACION!$E$2:$E$500,MATCH("D13.45|"&amp;CAPTURA!DC143,CODIFICACION!$F$2:$F$500,0))),"⚠"))</f>
        <v/>
      </c>
      <c r="BX143" t="str">
        <f>IF(CAPTURA!DD143="","",IFERROR(IF(INDEX(CODIFICACION!$E$2:$E$500,MATCH("D14.51|"&amp;CAPTURA!DD143,CODIFICACION!$F$2:$F$500,0))="sin dato","",INDEX(CODIFICACION!$E$2:$E$500,MATCH("D14.51|"&amp;CAPTURA!DD143,CODIFICACION!$F$2:$F$500,0))),"⚠"))</f>
        <v/>
      </c>
      <c r="BY143" t="str">
        <f>IF(CAPTURA!DE143="","",IFERROR(IF(INDEX(CODIFICACION!$E$2:$E$500,MATCH("D15.58|"&amp;CAPTURA!DE143,CODIFICACION!$F$2:$F$500,0))="sin dato","",INDEX(CODIFICACION!$E$2:$E$500,MATCH("D15.58|"&amp;CAPTURA!DE143,CODIFICACION!$F$2:$F$500,0))),"⚠"))</f>
        <v/>
      </c>
      <c r="BZ143" t="str">
        <f>IF(CAPTURA!DF143="","",IFERROR(IF(INDEX(CODIFICACION!$E$2:$E$500,MATCH("PP1|"&amp;CAPTURA!DF143,CODIFICACION!$F$2:$F$500,0))="sin dato","",INDEX(CODIFICACION!$E$2:$E$500,MATCH("PP1|"&amp;CAPTURA!DF143,CODIFICACION!$F$2:$F$500,0))),"⚠"))</f>
        <v/>
      </c>
      <c r="CA143" t="str">
        <f>IF(CAPTURA!DG143="","",IFERROR(IF(INDEX(CODIFICACION!$E$2:$E$500,MATCH("PP2|"&amp;CAPTURA!DG143,CODIFICACION!$F$2:$F$500,0))="sin dato","",INDEX(CODIFICACION!$E$2:$E$500,MATCH("PP2|"&amp;CAPTURA!DG143,CODIFICACION!$F$2:$F$500,0))),"⚠"))</f>
        <v/>
      </c>
      <c r="CB143" t="str">
        <f t="shared" si="44"/>
        <v/>
      </c>
      <c r="CC143" t="str">
        <f t="shared" si="45"/>
        <v/>
      </c>
      <c r="CD143" t="str">
        <f t="shared" si="46"/>
        <v/>
      </c>
      <c r="CE143" t="str">
        <f t="shared" si="47"/>
        <v/>
      </c>
      <c r="CF143" t="str">
        <f t="shared" si="48"/>
        <v/>
      </c>
      <c r="CG143" t="str">
        <f t="shared" si="49"/>
        <v/>
      </c>
      <c r="CH143" t="str">
        <f t="shared" si="50"/>
        <v/>
      </c>
      <c r="CI143" t="str">
        <f t="shared" si="51"/>
        <v/>
      </c>
      <c r="CJ143" t="str">
        <f t="shared" si="52"/>
        <v/>
      </c>
      <c r="CK143" t="str">
        <f t="shared" si="53"/>
        <v/>
      </c>
      <c r="CL143" t="str">
        <f t="shared" si="54"/>
        <v/>
      </c>
    </row>
    <row r="144" spans="1:90" x14ac:dyDescent="0.3">
      <c r="A144">
        <f>CAPTURA!A144</f>
        <v>20603829515</v>
      </c>
      <c r="B144">
        <f>CAPTURA!C144</f>
        <v>0</v>
      </c>
      <c r="C144" t="str">
        <f>IF(CAPTURA!M144="","",ROUND((ISNUMBER(SEARCH("Alemania",CAPTURA!M144))+ISNUMBER(SEARCH("Bélgica",CAPTURA!M144))+ISNUMBER(SEARCH("Países Bajos",CAPTURA!M144))+ISNUMBER(SEARCH("Francia",CAPTURA!M144))+ISNUMBER(SEARCH("Italia",CAPTURA!M144))+ISNUMBER(SEARCH("España",CAPTURA!M144))+ISNUMBER(SEARCH("Suecia",CAPTURA!M144))+ISNUMBER(SEARCH("Dinamarca",CAPTURA!M144)))/((LEN(CAPTURA!M144)-LEN(SUBSTITUTE(CAPTURA!M144,";","")))+1)*100,1))</f>
        <v/>
      </c>
      <c r="D144" t="str">
        <f>IF(CAPTURA!AE144="","",IFERROR(IF(INDEX(CODIFICACION!$E$2:$E$500,MATCH("P8|"&amp;CAPTURA!AE144,CODIFICACION!$F$2:$F$500,0))="sin dato","",INDEX(CODIFICACION!$E$2:$E$500,MATCH("P8|"&amp;CAPTURA!AE144,CODIFICACION!$F$2:$F$500,0))),"⚠"))</f>
        <v/>
      </c>
      <c r="E144" t="str">
        <f>IF(CAPTURA!AG144="","",IFERROR(IF(INDEX(CODIFICACION!$E$2:$E$500,MATCH("P10|"&amp;CAPTURA!AG144,CODIFICACION!$F$2:$F$500,0))="sin dato","",INDEX(CODIFICACION!$E$2:$E$500,MATCH("P10|"&amp;CAPTURA!AG144,CODIFICACION!$F$2:$F$500,0))),"⚠"))</f>
        <v/>
      </c>
      <c r="F144" t="str">
        <f>IF(CAPTURA!AJ144="","",IFERROR(IF(INDEX(CODIFICACION!$E$2:$E$500,MATCH("P13|"&amp;CAPTURA!AJ144,CODIFICACION!$F$2:$F$500,0))="sin dato","",INDEX(CODIFICACION!$E$2:$E$500,MATCH("P13|"&amp;CAPTURA!AJ144,CODIFICACION!$F$2:$F$500,0))),"⚠"))</f>
        <v/>
      </c>
      <c r="G144" t="str">
        <f>IF(CAPTURA!AK144="","",IFERROR(IF(INDEX(CODIFICACION!$E$2:$E$500,MATCH("P14|"&amp;CAPTURA!AK144,CODIFICACION!$F$2:$F$500,0))="sin dato","",INDEX(CODIFICACION!$E$2:$E$500,MATCH("P14|"&amp;CAPTURA!AK144,CODIFICACION!$F$2:$F$500,0))),"⚠"))</f>
        <v/>
      </c>
      <c r="H144" t="str">
        <f>IF(CAPTURA!AL144="","",IFERROR(IF(INDEX(CODIFICACION!$E$2:$E$500,MATCH("D1.1|"&amp;CAPTURA!AL144,CODIFICACION!$F$2:$F$500,0))="sin dato","",INDEX(CODIFICACION!$E$2:$E$500,MATCH("D1.1|"&amp;CAPTURA!AL144,CODIFICACION!$F$2:$F$500,0))),"⚠"))</f>
        <v/>
      </c>
      <c r="I144" t="str">
        <f>IF(CAPTURA!AN144="","",IFERROR(IF(INDEX(CODIFICACION!$E$2:$E$500,MATCH("D1.3|"&amp;CAPTURA!AN144,CODIFICACION!$F$2:$F$500,0))="sin dato","",INDEX(CODIFICACION!$E$2:$E$500,MATCH("D1.3|"&amp;CAPTURA!AN144,CODIFICACION!$F$2:$F$500,0))),"⚠"))</f>
        <v/>
      </c>
      <c r="J144" t="str">
        <f>IF(CAPTURA!AO144="","",IFERROR(IF(INDEX(CODIFICACION!$E$2:$E$500,MATCH("D1.4|"&amp;CAPTURA!AO144,CODIFICACION!$F$2:$F$500,0))="sin dato","",INDEX(CODIFICACION!$E$2:$E$500,MATCH("D1.4|"&amp;CAPTURA!AO144,CODIFICACION!$F$2:$F$500,0))),"⚠"))</f>
        <v/>
      </c>
      <c r="K144" t="str">
        <f>IF(CAPTURA!AP144="","",IFERROR(IF(INDEX(CODIFICACION!$E$2:$E$500,MATCH("D1.3a|"&amp;CAPTURA!AP144,CODIFICACION!$F$2:$F$500,0))="sin dato","",INDEX(CODIFICACION!$E$2:$E$500,MATCH("D1.3a|"&amp;CAPTURA!AP144,CODIFICACION!$F$2:$F$500,0))),"⚠"))</f>
        <v/>
      </c>
      <c r="L144" t="str">
        <f>IF(CAPTURA!AQ144="","",IF(AND(ISNUMBER(CAPTURA!AQ144),CAPTURA!AQ144&gt;=0,CAPTURA!AQ144&lt;=4),CAPTURA!AQ144*25,"⚠"))</f>
        <v/>
      </c>
      <c r="M144" t="str">
        <f>IF(CAPTURA!AR144="","",IF(ISNUMBER(CAPTURA!AR144),MAX(0,MIN(100,CAPTURA!AR144)),"⚠"))</f>
        <v/>
      </c>
      <c r="N144" t="str">
        <f>IF(CAPTURA!AS144="","",IF(AND(ISNUMBER(CAPTURA!AS144),CAPTURA!AS144&gt;=0,CAPTURA!AS144&lt;=4),CAPTURA!AS144*25,"⚠"))</f>
        <v/>
      </c>
      <c r="O144" t="str">
        <f>IF(CAPTURA!AT144="","",IFERROR(IF(INDEX(CODIFICACION!$E$2:$E$500,MATCH("D2.8|"&amp;CAPTURA!AT144,CODIFICACION!$F$2:$F$500,0))="sin dato","",INDEX(CODIFICACION!$E$2:$E$500,MATCH("D2.8|"&amp;CAPTURA!AT144,CODIFICACION!$F$2:$F$500,0))),"⚠"))</f>
        <v/>
      </c>
      <c r="P144" t="str">
        <f>IF(CAPTURA!AU144="","",IFERROR(IF(INDEX(CODIFICACION!$E$2:$E$500,MATCH("D2.9|"&amp;CAPTURA!AU144,CODIFICACION!$F$2:$F$500,0))="sin dato","",INDEX(CODIFICACION!$E$2:$E$500,MATCH("D2.9|"&amp;CAPTURA!AU144,CODIFICACION!$F$2:$F$500,0))),"⚠"))</f>
        <v/>
      </c>
      <c r="Q144" t="str">
        <f>IF(CAPTURA!AV144="","",IFERROR(IF(INDEX(CODIFICACION!$E$2:$E$500,MATCH("D2.10|"&amp;CAPTURA!AV144,CODIFICACION!$F$2:$F$500,0))="sin dato","",INDEX(CODIFICACION!$E$2:$E$500,MATCH("D2.10|"&amp;CAPTURA!AV144,CODIFICACION!$F$2:$F$500,0))),"⚠"))</f>
        <v/>
      </c>
      <c r="R144" t="str">
        <f>IF(CAPTURA!AW144="","",IFERROR(IF(INDEX(CODIFICACION!$E$2:$E$500,MATCH("D2.5a|"&amp;CAPTURA!AW144,CODIFICACION!$F$2:$F$500,0))="sin dato","",INDEX(CODIFICACION!$E$2:$E$500,MATCH("D2.5a|"&amp;CAPTURA!AW144,CODIFICACION!$F$2:$F$500,0))),"⚠"))</f>
        <v/>
      </c>
      <c r="S144" t="str">
        <f>IF(CAPTURA!AX144="","",IFERROR(IF(INDEX(CODIFICACION!$E$2:$E$500,MATCH("D2.5b|"&amp;CAPTURA!AX144,CODIFICACION!$F$2:$F$500,0))="sin dato","",INDEX(CODIFICACION!$E$2:$E$500,MATCH("D2.5b|"&amp;CAPTURA!AX144,CODIFICACION!$F$2:$F$500,0))),"⚠"))</f>
        <v/>
      </c>
      <c r="T144" t="str">
        <f>IF(CAPTURA!AY144="","",IF(ISNUMBER(CAPTURA!AY144),MAX(0,MIN(100,CAPTURA!AY144)),"⚠"))</f>
        <v/>
      </c>
      <c r="U144" t="str">
        <f>IF(CAPTURA!AZ144="","",IFERROR(IF(INDEX(CODIFICACION!$E$2:$E$500,MATCH("D3.12|"&amp;CAPTURA!AZ144,CODIFICACION!$F$2:$F$500,0))="sin dato","",INDEX(CODIFICACION!$E$2:$E$500,MATCH("D3.12|"&amp;CAPTURA!AZ144,CODIFICACION!$F$2:$F$500,0))),"⚠"))</f>
        <v/>
      </c>
      <c r="V144" t="str">
        <f>IF(CAPTURA!BA144="","",IF(AND(ISNUMBER(CAPTURA!BA144),CAPTURA!BA144&gt;=0,CAPTURA!BA144&lt;=4),CAPTURA!BA144*25,"⚠"))</f>
        <v/>
      </c>
      <c r="W144" t="str">
        <f>IF(CAPTURA!BB144="","",IFERROR(IF(INDEX(CODIFICACION!$E$2:$E$500,MATCH("D3.14|"&amp;CAPTURA!BB144,CODIFICACION!$F$2:$F$500,0))="sin dato","",INDEX(CODIFICACION!$E$2:$E$500,MATCH("D3.14|"&amp;CAPTURA!BB144,CODIFICACION!$F$2:$F$500,0))),"⚠"))</f>
        <v/>
      </c>
      <c r="X144" t="str">
        <f>IF(CAPTURA!BC144="","",IFERROR(IF(INDEX(CODIFICACION!$E$2:$E$500,MATCH("D3.14a|"&amp;CAPTURA!BC144,CODIFICACION!$F$2:$F$500,0))="sin dato","",INDEX(CODIFICACION!$E$2:$E$500,MATCH("D3.14a|"&amp;CAPTURA!BC144,CODIFICACION!$F$2:$F$500,0))),"⚠"))</f>
        <v/>
      </c>
      <c r="Y144" t="str">
        <f>IF(CAPTURA!BD144="","",IFERROR(IF(INDEX(CODIFICACION!$E$2:$E$500,MATCH("D3.14b|"&amp;CAPTURA!BD144,CODIFICACION!$F$2:$F$500,0))="sin dato","",INDEX(CODIFICACION!$E$2:$E$500,MATCH("D3.14b|"&amp;CAPTURA!BD144,CODIFICACION!$F$2:$F$500,0))),"⚠"))</f>
        <v/>
      </c>
      <c r="Z144" t="str">
        <f>IF(CAPTURA!BE144="","",IFERROR(IF(INDEX(CODIFICACION!$E$2:$E$500,MATCH("D3.14c|"&amp;CAPTURA!BE144,CODIFICACION!$F$2:$F$500,0))="sin dato","",INDEX(CODIFICACION!$E$2:$E$500,MATCH("D3.14c|"&amp;CAPTURA!BE144,CODIFICACION!$F$2:$F$500,0))),"⚠"))</f>
        <v/>
      </c>
      <c r="AA144" t="str">
        <f>IF(CAPTURA!BF144="","",IFERROR(IF(INDEX(CODIFICACION!$E$2:$E$500,MATCH("D3.14d|"&amp;CAPTURA!BF144,CODIFICACION!$F$2:$F$500,0))="sin dato","",INDEX(CODIFICACION!$E$2:$E$500,MATCH("D3.14d|"&amp;CAPTURA!BF144,CODIFICACION!$F$2:$F$500,0))),"⚠"))</f>
        <v/>
      </c>
      <c r="AB144" t="str">
        <f>IF(CAPTURA!BG144="","",IFERROR(IF(INDEX(CODIFICACION!$E$2:$E$500,MATCH("D3.14e|"&amp;CAPTURA!BG144,CODIFICACION!$F$2:$F$500,0))="sin dato","",INDEX(CODIFICACION!$E$2:$E$500,MATCH("D3.14e|"&amp;CAPTURA!BG144,CODIFICACION!$F$2:$F$500,0))),"⚠"))</f>
        <v/>
      </c>
      <c r="AC144" t="str">
        <f>IF(CAPTURA!BH144="","",IFERROR(IF(INDEX(CODIFICACION!$E$2:$E$500,MATCH("D3.14f|"&amp;CAPTURA!BH144,CODIFICACION!$F$2:$F$500,0))="sin dato","",INDEX(CODIFICACION!$E$2:$E$500,MATCH("D3.14f|"&amp;CAPTURA!BH144,CODIFICACION!$F$2:$F$500,0))),"⚠"))</f>
        <v/>
      </c>
      <c r="AD144" t="str">
        <f>IF(CAPTURA!BI144="","",IFERROR(IF(INDEX(CODIFICACION!$E$2:$E$500,MATCH("D3.14g|"&amp;CAPTURA!BI144,CODIFICACION!$F$2:$F$500,0))="sin dato","",INDEX(CODIFICACION!$E$2:$E$500,MATCH("D3.14g|"&amp;CAPTURA!BI144,CODIFICACION!$F$2:$F$500,0))),"⚠"))</f>
        <v/>
      </c>
      <c r="AE144" t="str">
        <f>IF(CAPTURA!BJ144="","",IFERROR(IF(INDEX(CODIFICACION!$E$2:$E$500,MATCH("D3.14h|"&amp;CAPTURA!BJ144,CODIFICACION!$F$2:$F$500,0))="sin dato","",INDEX(CODIFICACION!$E$2:$E$500,MATCH("D3.14h|"&amp;CAPTURA!BJ144,CODIFICACION!$F$2:$F$500,0))),"⚠"))</f>
        <v/>
      </c>
      <c r="AF144" t="str">
        <f>IF(CAPTURA!BK144="","",IFERROR(IF(INDEX(CODIFICACION!$E$2:$E$500,MATCH("D3.14i|"&amp;CAPTURA!BK144,CODIFICACION!$F$2:$F$500,0))="sin dato","",INDEX(CODIFICACION!$E$2:$E$500,MATCH("D3.14i|"&amp;CAPTURA!BK144,CODIFICACION!$F$2:$F$500,0))),"⚠"))</f>
        <v/>
      </c>
      <c r="AG144" t="str">
        <f>IF(CAPTURA!BL144="","",IFERROR(IF(INDEX(CODIFICACION!$E$2:$E$500,MATCH("D4.15|"&amp;CAPTURA!BL144,CODIFICACION!$F$2:$F$500,0))="sin dato","",INDEX(CODIFICACION!$E$2:$E$500,MATCH("D4.15|"&amp;CAPTURA!BL144,CODIFICACION!$F$2:$F$500,0))),"⚠"))</f>
        <v/>
      </c>
      <c r="AH144" t="str">
        <f>IF(CAPTURA!BM144="","",IF(AND(ISNUMBER(CAPTURA!BM144),CAPTURA!BM144&gt;=0,CAPTURA!BM144&lt;=4),CAPTURA!BM144*25,"⚠"))</f>
        <v/>
      </c>
      <c r="AI144" t="str">
        <f>IF(CAPTURA!BN144="","",IFERROR(IF(INDEX(CODIFICACION!$E$2:$E$500,MATCH("D4.17|"&amp;CAPTURA!BN144,CODIFICACION!$F$2:$F$500,0))="sin dato","",INDEX(CODIFICACION!$E$2:$E$500,MATCH("D4.17|"&amp;CAPTURA!BN144,CODIFICACION!$F$2:$F$500,0))),"⚠"))</f>
        <v/>
      </c>
      <c r="AJ144" t="str">
        <f>IF(CAPTURA!BO144="","",IFERROR(IF(INDEX(CODIFICACION!$E$2:$E$500,MATCH("D4.15a|"&amp;CAPTURA!BO144,CODIFICACION!$F$2:$F$500,0))="sin dato","",INDEX(CODIFICACION!$E$2:$E$500,MATCH("D4.15a|"&amp;CAPTURA!BO144,CODIFICACION!$F$2:$F$500,0))),"⚠"))</f>
        <v/>
      </c>
      <c r="AK144" t="str">
        <f>IF(CAPTURA!BP144="","",IF(AND(ISNUMBER(CAPTURA!BP144),CAPTURA!BP144&gt;=0,CAPTURA!BP144&lt;=4),CAPTURA!BP144*25,"⚠"))</f>
        <v/>
      </c>
      <c r="AL144" t="str">
        <f>IF(CAPTURA!BQ144="","",IF(AND(ISNUMBER(CAPTURA!BQ144),CAPTURA!BQ144&gt;=0,CAPTURA!BQ144&lt;=4),CAPTURA!BQ144*25,"⚠"))</f>
        <v/>
      </c>
      <c r="AM144" t="str">
        <f>IF(CAPTURA!BR144="","",IFERROR(IF(INDEX(CODIFICACION!$E$2:$E$500,MATCH("D5.18b|"&amp;CAPTURA!BR144,CODIFICACION!$F$2:$F$500,0))="sin dato","",INDEX(CODIFICACION!$E$2:$E$500,MATCH("D5.18b|"&amp;CAPTURA!BR144,CODIFICACION!$F$2:$F$500,0))),"⚠"))</f>
        <v/>
      </c>
      <c r="AN144" t="str">
        <f>IF(CAPTURA!BS144="","",IFERROR(IF(INDEX(CODIFICACION!$E$2:$E$500,MATCH("D5.19|"&amp;CAPTURA!BS144,CODIFICACION!$F$2:$F$500,0))="sin dato","",INDEX(CODIFICACION!$E$2:$E$500,MATCH("D5.19|"&amp;CAPTURA!BS144,CODIFICACION!$F$2:$F$500,0))),"⚠"))</f>
        <v/>
      </c>
      <c r="AO144" t="str">
        <f>IF(CAPTURA!BT144="","",MIN(100,ROUND((LEN(CAPTURA!BT144)-LEN(SUBSTITUTE(CAPTURA!BT144,";",""))+1)/7*100,1)))</f>
        <v/>
      </c>
      <c r="AP144" t="str">
        <f>IF(CAPTURA!BU144="","",IFERROR(IF(INDEX(CODIFICACION!$E$2:$E$500,MATCH("D5.20|"&amp;CAPTURA!BU144,CODIFICACION!$F$2:$F$500,0))="sin dato","",INDEX(CODIFICACION!$E$2:$E$500,MATCH("D5.20|"&amp;CAPTURA!BU144,CODIFICACION!$F$2:$F$500,0))),"⚠"))</f>
        <v/>
      </c>
      <c r="AQ144" t="str">
        <f>IF(CAPTURA!BV144="","",IFERROR(IF(INDEX(CODIFICACION!$E$2:$E$500,MATCH("D5.21|"&amp;CAPTURA!BV144,CODIFICACION!$F$2:$F$500,0))="sin dato","",INDEX(CODIFICACION!$E$2:$E$500,MATCH("D5.21|"&amp;CAPTURA!BV144,CODIFICACION!$F$2:$F$500,0))),"⚠"))</f>
        <v/>
      </c>
      <c r="AR144" t="str">
        <f>IF(CAPTURA!BW144="","",IFERROR(IF(INDEX(CODIFICACION!$E$2:$E$500,MATCH("D5.21a|"&amp;CAPTURA!BW144,CODIFICACION!$F$2:$F$500,0))="sin dato","",INDEX(CODIFICACION!$E$2:$E$500,MATCH("D5.21a|"&amp;CAPTURA!BW144,CODIFICACION!$F$2:$F$500,0))),"⚠"))</f>
        <v/>
      </c>
      <c r="AS144" t="str">
        <f>IF(CAPTURA!BX144="","",IFERROR(IF(INDEX(CODIFICACION!$E$2:$E$500,MATCH("D5.21b|"&amp;CAPTURA!BX144,CODIFICACION!$F$2:$F$500,0))="sin dato","",INDEX(CODIFICACION!$E$2:$E$500,MATCH("D5.21b|"&amp;CAPTURA!BX144,CODIFICACION!$F$2:$F$500,0))),"⚠"))</f>
        <v/>
      </c>
      <c r="AT144" t="str">
        <f>IF(CAPTURA!BY144="","",IFERROR(IF(INDEX(CODIFICACION!$E$2:$E$500,MATCH("D6.22|"&amp;CAPTURA!BY144,CODIFICACION!$F$2:$F$500,0))="sin dato","",INDEX(CODIFICACION!$E$2:$E$500,MATCH("D6.22|"&amp;CAPTURA!BY144,CODIFICACION!$F$2:$F$500,0))),"⚠"))</f>
        <v/>
      </c>
      <c r="AU144" t="str">
        <f>IF(CAPTURA!BZ144="","",IFERROR(IF(INDEX(CODIFICACION!$E$2:$E$500,MATCH("D6.22a|"&amp;CAPTURA!BZ144,CODIFICACION!$F$2:$F$500,0))="sin dato","",INDEX(CODIFICACION!$E$2:$E$500,MATCH("D6.22a|"&amp;CAPTURA!BZ144,CODIFICACION!$F$2:$F$500,0))),"⚠"))</f>
        <v/>
      </c>
      <c r="AV144" t="str">
        <f>IF(CAPTURA!CA144="","",IFERROR(IF(INDEX(CODIFICACION!$E$2:$E$500,MATCH("D6.22b|"&amp;CAPTURA!CA144,CODIFICACION!$F$2:$F$500,0))="sin dato","",INDEX(CODIFICACION!$E$2:$E$500,MATCH("D6.22b|"&amp;CAPTURA!CA144,CODIFICACION!$F$2:$F$500,0))),"⚠"))</f>
        <v/>
      </c>
      <c r="AW144" t="str">
        <f>IF(CAPTURA!CB144="","",IFERROR(IF(INDEX(CODIFICACION!$E$2:$E$500,MATCH("D6.23|"&amp;CAPTURA!CB144,CODIFICACION!$F$2:$F$500,0))="sin dato","",INDEX(CODIFICACION!$E$2:$E$500,MATCH("D6.23|"&amp;CAPTURA!CB144,CODIFICACION!$F$2:$F$500,0))),"⚠"))</f>
        <v/>
      </c>
      <c r="AX144" t="str">
        <f>IF(CAPTURA!CC144="","",IFERROR(IF(INDEX(CODIFICACION!$E$2:$E$500,MATCH("D6.24|"&amp;CAPTURA!CC144,CODIFICACION!$F$2:$F$500,0))="sin dato","",INDEX(CODIFICACION!$E$2:$E$500,MATCH("D6.24|"&amp;CAPTURA!CC144,CODIFICACION!$F$2:$F$500,0))),"⚠"))</f>
        <v/>
      </c>
      <c r="AY144" t="str">
        <f>IF(CAPTURA!CD144="","",IFERROR(IF(INDEX(CODIFICACION!$E$2:$E$500,MATCH("D6.25|"&amp;CAPTURA!CD144,CODIFICACION!$F$2:$F$500,0))="sin dato","",INDEX(CODIFICACION!$E$2:$E$500,MATCH("D6.25|"&amp;CAPTURA!CD144,CODIFICACION!$F$2:$F$500,0))),"⚠"))</f>
        <v/>
      </c>
      <c r="AZ144" t="str">
        <f>IF(CAPTURA!CE144="","",IFERROR(IF(INDEX(CODIFICACION!$E$2:$E$500,MATCH("D6.25a|"&amp;CAPTURA!CE144,CODIFICACION!$F$2:$F$500,0))="sin dato","",INDEX(CODIFICACION!$E$2:$E$500,MATCH("D6.25a|"&amp;CAPTURA!CE144,CODIFICACION!$F$2:$F$500,0))),"⚠"))</f>
        <v/>
      </c>
      <c r="BA144" t="str">
        <f>IF(CAPTURA!CF144="","",IFERROR(IF(INDEX(CODIFICACION!$E$2:$E$500,MATCH("D6.25b|"&amp;CAPTURA!CF144,CODIFICACION!$F$2:$F$500,0))="sin dato","",INDEX(CODIFICACION!$E$2:$E$500,MATCH("D6.25b|"&amp;CAPTURA!CF144,CODIFICACION!$F$2:$F$500,0))),"⚠"))</f>
        <v/>
      </c>
      <c r="BB144" t="str">
        <f>IF(CAPTURA!CG144="","",IFERROR(IF(INDEX(CODIFICACION!$E$2:$E$500,MATCH("D6.22c|"&amp;CAPTURA!CG144,CODIFICACION!$F$2:$F$500,0))="sin dato","",INDEX(CODIFICACION!$E$2:$E$500,MATCH("D6.22c|"&amp;CAPTURA!CG144,CODIFICACION!$F$2:$F$500,0))),"⚠"))</f>
        <v/>
      </c>
      <c r="BC144" t="str">
        <f>IF(CAPTURA!CH144="","",IFERROR(IF(INDEX(CODIFICACION!$E$2:$E$500,MATCH("D7.26|"&amp;CAPTURA!CH144,CODIFICACION!$F$2:$F$500,0))="sin dato","",INDEX(CODIFICACION!$E$2:$E$500,MATCH("D7.26|"&amp;CAPTURA!CH144,CODIFICACION!$F$2:$F$500,0))),"⚠"))</f>
        <v/>
      </c>
      <c r="BD144" t="str">
        <f>IF(CAPTURA!CI144="","",IFERROR(IF(INDEX(CODIFICACION!$E$2:$E$500,MATCH("D7.27|"&amp;CAPTURA!CI144,CODIFICACION!$F$2:$F$500,0))="sin dato","",INDEX(CODIFICACION!$E$2:$E$500,MATCH("D7.27|"&amp;CAPTURA!CI144,CODIFICACION!$F$2:$F$500,0))),"⚠"))</f>
        <v/>
      </c>
      <c r="BE144" t="str">
        <f>IF(CAPTURA!CJ144="","",IFERROR(IF(INDEX(CODIFICACION!$E$2:$E$500,MATCH("D7.28|"&amp;CAPTURA!CJ144,CODIFICACION!$F$2:$F$500,0))="sin dato","",INDEX(CODIFICACION!$E$2:$E$500,MATCH("D7.28|"&amp;CAPTURA!CJ144,CODIFICACION!$F$2:$F$500,0))),"⚠"))</f>
        <v/>
      </c>
      <c r="BF144" t="str">
        <f>IF(CAPTURA!CK144="","",IFERROR(IF(INDEX(CODIFICACION!$E$2:$E$500,MATCH("D7.28b|"&amp;CAPTURA!CK144,CODIFICACION!$F$2:$F$500,0))="sin dato","",INDEX(CODIFICACION!$E$2:$E$500,MATCH("D7.28b|"&amp;CAPTURA!CK144,CODIFICACION!$F$2:$F$500,0))),"⚠"))</f>
        <v/>
      </c>
      <c r="BG144" t="str">
        <f>IF(CAPTURA!CL144="","",MIN(100,ROUND((LEN(CAPTURA!CL144)-LEN(SUBSTITUTE(CAPTURA!CL144,";",""))+1)/8*100,1)))</f>
        <v/>
      </c>
      <c r="BH144" t="str">
        <f>IF(CAPTURA!CM144="","",IFERROR(IF(INDEX(CODIFICACION!$E$2:$E$500,MATCH("D7.26a|"&amp;CAPTURA!CM144,CODIFICACION!$F$2:$F$500,0))="sin dato","",INDEX(CODIFICACION!$E$2:$E$500,MATCH("D7.26a|"&amp;CAPTURA!CM144,CODIFICACION!$F$2:$F$500,0))),"⚠"))</f>
        <v/>
      </c>
      <c r="BI144" t="str">
        <f>IF(CAPTURA!CN144="","",IFERROR(IF(INDEX(CODIFICACION!$E$2:$E$500,MATCH("D7.26b|"&amp;CAPTURA!CN144,CODIFICACION!$F$2:$F$500,0))="sin dato","",INDEX(CODIFICACION!$E$2:$E$500,MATCH("D7.26b|"&amp;CAPTURA!CN144,CODIFICACION!$F$2:$F$500,0))),"⚠"))</f>
        <v/>
      </c>
      <c r="BJ144" t="str">
        <f>IF(CAPTURA!CO144="","",IF(AND(ISNUMBER(CAPTURA!CO144),CAPTURA!CO144&gt;=0,CAPTURA!CO144&lt;=4),CAPTURA!CO144*25,"⚠"))</f>
        <v/>
      </c>
      <c r="BK144" t="str">
        <f>IF(CAPTURA!CP144="","",IF(ISNUMBER(CAPTURA!CP144),MAX(0,MIN(100,CAPTURA!CP144)),"⚠"))</f>
        <v/>
      </c>
      <c r="BL144" t="str">
        <f>IF(CAPTURA!CQ144="","",IFERROR(IF(INDEX(CODIFICACION!$E$2:$E$500,MATCH("D8.31|"&amp;CAPTURA!CQ144,CODIFICACION!$F$2:$F$500,0))="sin dato","",INDEX(CODIFICACION!$E$2:$E$500,MATCH("D8.31|"&amp;CAPTURA!CQ144,CODIFICACION!$F$2:$F$500,0))),"⚠"))</f>
        <v/>
      </c>
      <c r="BM144" t="str">
        <f>IF(CAPTURA!CR144="","",IFERROR(IF(INDEX(CODIFICACION!$E$2:$E$500,MATCH("D8.32|"&amp;CAPTURA!CR144,CODIFICACION!$F$2:$F$500,0))="sin dato","",INDEX(CODIFICACION!$E$2:$E$500,MATCH("D8.32|"&amp;CAPTURA!CR144,CODIFICACION!$F$2:$F$500,0))),"⚠"))</f>
        <v/>
      </c>
      <c r="BN144" t="str">
        <f>IF(CAPTURA!CS144="","",IFERROR(IF(INDEX(CODIFICACION!$E$2:$E$500,MATCH("D9.33|"&amp;CAPTURA!CS144,CODIFICACION!$F$2:$F$500,0))="sin dato","",INDEX(CODIFICACION!$E$2:$E$500,MATCH("D9.33|"&amp;CAPTURA!CS144,CODIFICACION!$F$2:$F$500,0))),"⚠"))</f>
        <v/>
      </c>
      <c r="BO144" t="str">
        <f>IF(CAPTURA!CT144="","",IFERROR(IF(INDEX(CODIFICACION!$E$2:$E$500,MATCH("D9.34|"&amp;CAPTURA!CT144,CODIFICACION!$F$2:$F$500,0))="sin dato","",INDEX(CODIFICACION!$E$2:$E$500,MATCH("D9.34|"&amp;CAPTURA!CT144,CODIFICACION!$F$2:$F$500,0))),"⚠"))</f>
        <v/>
      </c>
      <c r="BP144" t="str">
        <f>IF(CAPTURA!CU144="","",IFERROR(IF(INDEX(CODIFICACION!$E$2:$E$500,MATCH("D9.35|"&amp;CAPTURA!CU144,CODIFICACION!$F$2:$F$500,0))="sin dato","",INDEX(CODIFICACION!$E$2:$E$500,MATCH("D9.35|"&amp;CAPTURA!CU144,CODIFICACION!$F$2:$F$500,0))),"⚠"))</f>
        <v/>
      </c>
      <c r="BQ144" t="str">
        <f>IF(CAPTURA!CV144="","",IFERROR(IF(INDEX(CODIFICACION!$E$2:$E$500,MATCH("D10.36|"&amp;CAPTURA!CV144,CODIFICACION!$F$2:$F$500,0))="sin dato","",INDEX(CODIFICACION!$E$2:$E$500,MATCH("D10.36|"&amp;CAPTURA!CV144,CODIFICACION!$F$2:$F$500,0))),"⚠"))</f>
        <v/>
      </c>
      <c r="BR144" t="str">
        <f>IF(CAPTURA!CW144="","",IFERROR(IF(INDEX(CODIFICACION!$E$2:$E$500,MATCH("D10.37|"&amp;CAPTURA!CW144,CODIFICACION!$F$2:$F$500,0))="sin dato","",INDEX(CODIFICACION!$E$2:$E$500,MATCH("D10.37|"&amp;CAPTURA!CW144,CODIFICACION!$F$2:$F$500,0))),"⚠"))</f>
        <v/>
      </c>
      <c r="BS144" t="str">
        <f>IF(CAPTURA!CX144="","",IFERROR(IF(INDEX(CODIFICACION!$E$2:$E$500,MATCH("D10.36a|"&amp;CAPTURA!CX144,CODIFICACION!$F$2:$F$500,0))="sin dato","",INDEX(CODIFICACION!$E$2:$E$500,MATCH("D10.36a|"&amp;CAPTURA!CX144,CODIFICACION!$F$2:$F$500,0))),"⚠"))</f>
        <v/>
      </c>
      <c r="BT144" t="str">
        <f>IF(CAPTURA!CY144="","",IF(ISNUMBER(SEARCH("Ninguno",CAPTURA!CY144)),0,MIN(100,ROUND((LEN(CAPTURA!CY144)-LEN(SUBSTITUTE(CAPTURA!CY144,";",""))+1)/6*100,1))))</f>
        <v/>
      </c>
      <c r="BU144" t="str">
        <f>IF(CAPTURA!DA144="","",IFERROR(IF(INDEX(CODIFICACION!$E$2:$E$500,MATCH("D11.39a|"&amp;CAPTURA!DA144,CODIFICACION!$F$2:$F$500,0))="sin dato","",INDEX(CODIFICACION!$E$2:$E$500,MATCH("D11.39a|"&amp;CAPTURA!DA144,CODIFICACION!$F$2:$F$500,0))),"⚠"))</f>
        <v/>
      </c>
      <c r="BV144" t="str">
        <f>IF(CAPTURA!DB144="","",IFERROR(IF(INDEX(CODIFICACION!$E$2:$E$500,MATCH("D12.42|"&amp;CAPTURA!DB144,CODIFICACION!$F$2:$F$500,0))="sin dato","",INDEX(CODIFICACION!$E$2:$E$500,MATCH("D12.42|"&amp;CAPTURA!DB144,CODIFICACION!$F$2:$F$500,0))),"⚠"))</f>
        <v/>
      </c>
      <c r="BW144" t="str">
        <f>IF(CAPTURA!DC144="","",IFERROR(IF(INDEX(CODIFICACION!$E$2:$E$500,MATCH("D13.45|"&amp;CAPTURA!DC144,CODIFICACION!$F$2:$F$500,0))="sin dato","",INDEX(CODIFICACION!$E$2:$E$500,MATCH("D13.45|"&amp;CAPTURA!DC144,CODIFICACION!$F$2:$F$500,0))),"⚠"))</f>
        <v/>
      </c>
      <c r="BX144" t="str">
        <f>IF(CAPTURA!DD144="","",IFERROR(IF(INDEX(CODIFICACION!$E$2:$E$500,MATCH("D14.51|"&amp;CAPTURA!DD144,CODIFICACION!$F$2:$F$500,0))="sin dato","",INDEX(CODIFICACION!$E$2:$E$500,MATCH("D14.51|"&amp;CAPTURA!DD144,CODIFICACION!$F$2:$F$500,0))),"⚠"))</f>
        <v/>
      </c>
      <c r="BY144" t="str">
        <f>IF(CAPTURA!DE144="","",IFERROR(IF(INDEX(CODIFICACION!$E$2:$E$500,MATCH("D15.58|"&amp;CAPTURA!DE144,CODIFICACION!$F$2:$F$500,0))="sin dato","",INDEX(CODIFICACION!$E$2:$E$500,MATCH("D15.58|"&amp;CAPTURA!DE144,CODIFICACION!$F$2:$F$500,0))),"⚠"))</f>
        <v/>
      </c>
      <c r="BZ144" t="str">
        <f>IF(CAPTURA!DF144="","",IFERROR(IF(INDEX(CODIFICACION!$E$2:$E$500,MATCH("PP1|"&amp;CAPTURA!DF144,CODIFICACION!$F$2:$F$500,0))="sin dato","",INDEX(CODIFICACION!$E$2:$E$500,MATCH("PP1|"&amp;CAPTURA!DF144,CODIFICACION!$F$2:$F$500,0))),"⚠"))</f>
        <v/>
      </c>
      <c r="CA144" t="str">
        <f>IF(CAPTURA!DG144="","",IFERROR(IF(INDEX(CODIFICACION!$E$2:$E$500,MATCH("PP2|"&amp;CAPTURA!DG144,CODIFICACION!$F$2:$F$500,0))="sin dato","",INDEX(CODIFICACION!$E$2:$E$500,MATCH("PP2|"&amp;CAPTURA!DG144,CODIFICACION!$F$2:$F$500,0))),"⚠"))</f>
        <v/>
      </c>
      <c r="CB144" t="str">
        <f t="shared" si="44"/>
        <v/>
      </c>
      <c r="CC144" t="str">
        <f t="shared" si="45"/>
        <v/>
      </c>
      <c r="CD144" t="str">
        <f t="shared" si="46"/>
        <v/>
      </c>
      <c r="CE144" t="str">
        <f t="shared" si="47"/>
        <v/>
      </c>
      <c r="CF144" t="str">
        <f t="shared" si="48"/>
        <v/>
      </c>
      <c r="CG144" t="str">
        <f t="shared" si="49"/>
        <v/>
      </c>
      <c r="CH144" t="str">
        <f t="shared" si="50"/>
        <v/>
      </c>
      <c r="CI144" t="str">
        <f t="shared" si="51"/>
        <v/>
      </c>
      <c r="CJ144" t="str">
        <f t="shared" si="52"/>
        <v/>
      </c>
      <c r="CK144" t="str">
        <f t="shared" si="53"/>
        <v/>
      </c>
      <c r="CL144" t="str">
        <f t="shared" si="54"/>
        <v/>
      </c>
    </row>
    <row r="145" spans="1:90" x14ac:dyDescent="0.3">
      <c r="A145">
        <f>CAPTURA!A145</f>
        <v>20603842511</v>
      </c>
      <c r="B145">
        <f>CAPTURA!C145</f>
        <v>0</v>
      </c>
      <c r="C145" t="str">
        <f>IF(CAPTURA!M145="","",ROUND((ISNUMBER(SEARCH("Alemania",CAPTURA!M145))+ISNUMBER(SEARCH("Bélgica",CAPTURA!M145))+ISNUMBER(SEARCH("Países Bajos",CAPTURA!M145))+ISNUMBER(SEARCH("Francia",CAPTURA!M145))+ISNUMBER(SEARCH("Italia",CAPTURA!M145))+ISNUMBER(SEARCH("España",CAPTURA!M145))+ISNUMBER(SEARCH("Suecia",CAPTURA!M145))+ISNUMBER(SEARCH("Dinamarca",CAPTURA!M145)))/((LEN(CAPTURA!M145)-LEN(SUBSTITUTE(CAPTURA!M145,";","")))+1)*100,1))</f>
        <v/>
      </c>
      <c r="D145" t="str">
        <f>IF(CAPTURA!AE145="","",IFERROR(IF(INDEX(CODIFICACION!$E$2:$E$500,MATCH("P8|"&amp;CAPTURA!AE145,CODIFICACION!$F$2:$F$500,0))="sin dato","",INDEX(CODIFICACION!$E$2:$E$500,MATCH("P8|"&amp;CAPTURA!AE145,CODIFICACION!$F$2:$F$500,0))),"⚠"))</f>
        <v/>
      </c>
      <c r="E145" t="str">
        <f>IF(CAPTURA!AG145="","",IFERROR(IF(INDEX(CODIFICACION!$E$2:$E$500,MATCH("P10|"&amp;CAPTURA!AG145,CODIFICACION!$F$2:$F$500,0))="sin dato","",INDEX(CODIFICACION!$E$2:$E$500,MATCH("P10|"&amp;CAPTURA!AG145,CODIFICACION!$F$2:$F$500,0))),"⚠"))</f>
        <v/>
      </c>
      <c r="F145" t="str">
        <f>IF(CAPTURA!AJ145="","",IFERROR(IF(INDEX(CODIFICACION!$E$2:$E$500,MATCH("P13|"&amp;CAPTURA!AJ145,CODIFICACION!$F$2:$F$500,0))="sin dato","",INDEX(CODIFICACION!$E$2:$E$500,MATCH("P13|"&amp;CAPTURA!AJ145,CODIFICACION!$F$2:$F$500,0))),"⚠"))</f>
        <v/>
      </c>
      <c r="G145" t="str">
        <f>IF(CAPTURA!AK145="","",IFERROR(IF(INDEX(CODIFICACION!$E$2:$E$500,MATCH("P14|"&amp;CAPTURA!AK145,CODIFICACION!$F$2:$F$500,0))="sin dato","",INDEX(CODIFICACION!$E$2:$E$500,MATCH("P14|"&amp;CAPTURA!AK145,CODIFICACION!$F$2:$F$500,0))),"⚠"))</f>
        <v/>
      </c>
      <c r="H145" t="str">
        <f>IF(CAPTURA!AL145="","",IFERROR(IF(INDEX(CODIFICACION!$E$2:$E$500,MATCH("D1.1|"&amp;CAPTURA!AL145,CODIFICACION!$F$2:$F$500,0))="sin dato","",INDEX(CODIFICACION!$E$2:$E$500,MATCH("D1.1|"&amp;CAPTURA!AL145,CODIFICACION!$F$2:$F$500,0))),"⚠"))</f>
        <v/>
      </c>
      <c r="I145" t="str">
        <f>IF(CAPTURA!AN145="","",IFERROR(IF(INDEX(CODIFICACION!$E$2:$E$500,MATCH("D1.3|"&amp;CAPTURA!AN145,CODIFICACION!$F$2:$F$500,0))="sin dato","",INDEX(CODIFICACION!$E$2:$E$500,MATCH("D1.3|"&amp;CAPTURA!AN145,CODIFICACION!$F$2:$F$500,0))),"⚠"))</f>
        <v/>
      </c>
      <c r="J145" t="str">
        <f>IF(CAPTURA!AO145="","",IFERROR(IF(INDEX(CODIFICACION!$E$2:$E$500,MATCH("D1.4|"&amp;CAPTURA!AO145,CODIFICACION!$F$2:$F$500,0))="sin dato","",INDEX(CODIFICACION!$E$2:$E$500,MATCH("D1.4|"&amp;CAPTURA!AO145,CODIFICACION!$F$2:$F$500,0))),"⚠"))</f>
        <v/>
      </c>
      <c r="K145" t="str">
        <f>IF(CAPTURA!AP145="","",IFERROR(IF(INDEX(CODIFICACION!$E$2:$E$500,MATCH("D1.3a|"&amp;CAPTURA!AP145,CODIFICACION!$F$2:$F$500,0))="sin dato","",INDEX(CODIFICACION!$E$2:$E$500,MATCH("D1.3a|"&amp;CAPTURA!AP145,CODIFICACION!$F$2:$F$500,0))),"⚠"))</f>
        <v/>
      </c>
      <c r="L145" t="str">
        <f>IF(CAPTURA!AQ145="","",IF(AND(ISNUMBER(CAPTURA!AQ145),CAPTURA!AQ145&gt;=0,CAPTURA!AQ145&lt;=4),CAPTURA!AQ145*25,"⚠"))</f>
        <v/>
      </c>
      <c r="M145" t="str">
        <f>IF(CAPTURA!AR145="","",IF(ISNUMBER(CAPTURA!AR145),MAX(0,MIN(100,CAPTURA!AR145)),"⚠"))</f>
        <v/>
      </c>
      <c r="N145" t="str">
        <f>IF(CAPTURA!AS145="","",IF(AND(ISNUMBER(CAPTURA!AS145),CAPTURA!AS145&gt;=0,CAPTURA!AS145&lt;=4),CAPTURA!AS145*25,"⚠"))</f>
        <v/>
      </c>
      <c r="O145" t="str">
        <f>IF(CAPTURA!AT145="","",IFERROR(IF(INDEX(CODIFICACION!$E$2:$E$500,MATCH("D2.8|"&amp;CAPTURA!AT145,CODIFICACION!$F$2:$F$500,0))="sin dato","",INDEX(CODIFICACION!$E$2:$E$500,MATCH("D2.8|"&amp;CAPTURA!AT145,CODIFICACION!$F$2:$F$500,0))),"⚠"))</f>
        <v/>
      </c>
      <c r="P145" t="str">
        <f>IF(CAPTURA!AU145="","",IFERROR(IF(INDEX(CODIFICACION!$E$2:$E$500,MATCH("D2.9|"&amp;CAPTURA!AU145,CODIFICACION!$F$2:$F$500,0))="sin dato","",INDEX(CODIFICACION!$E$2:$E$500,MATCH("D2.9|"&amp;CAPTURA!AU145,CODIFICACION!$F$2:$F$500,0))),"⚠"))</f>
        <v/>
      </c>
      <c r="Q145" t="str">
        <f>IF(CAPTURA!AV145="","",IFERROR(IF(INDEX(CODIFICACION!$E$2:$E$500,MATCH("D2.10|"&amp;CAPTURA!AV145,CODIFICACION!$F$2:$F$500,0))="sin dato","",INDEX(CODIFICACION!$E$2:$E$500,MATCH("D2.10|"&amp;CAPTURA!AV145,CODIFICACION!$F$2:$F$500,0))),"⚠"))</f>
        <v/>
      </c>
      <c r="R145" t="str">
        <f>IF(CAPTURA!AW145="","",IFERROR(IF(INDEX(CODIFICACION!$E$2:$E$500,MATCH("D2.5a|"&amp;CAPTURA!AW145,CODIFICACION!$F$2:$F$500,0))="sin dato","",INDEX(CODIFICACION!$E$2:$E$500,MATCH("D2.5a|"&amp;CAPTURA!AW145,CODIFICACION!$F$2:$F$500,0))),"⚠"))</f>
        <v/>
      </c>
      <c r="S145" t="str">
        <f>IF(CAPTURA!AX145="","",IFERROR(IF(INDEX(CODIFICACION!$E$2:$E$500,MATCH("D2.5b|"&amp;CAPTURA!AX145,CODIFICACION!$F$2:$F$500,0))="sin dato","",INDEX(CODIFICACION!$E$2:$E$500,MATCH("D2.5b|"&amp;CAPTURA!AX145,CODIFICACION!$F$2:$F$500,0))),"⚠"))</f>
        <v/>
      </c>
      <c r="T145" t="str">
        <f>IF(CAPTURA!AY145="","",IF(ISNUMBER(CAPTURA!AY145),MAX(0,MIN(100,CAPTURA!AY145)),"⚠"))</f>
        <v/>
      </c>
      <c r="U145" t="str">
        <f>IF(CAPTURA!AZ145="","",IFERROR(IF(INDEX(CODIFICACION!$E$2:$E$500,MATCH("D3.12|"&amp;CAPTURA!AZ145,CODIFICACION!$F$2:$F$500,0))="sin dato","",INDEX(CODIFICACION!$E$2:$E$500,MATCH("D3.12|"&amp;CAPTURA!AZ145,CODIFICACION!$F$2:$F$500,0))),"⚠"))</f>
        <v/>
      </c>
      <c r="V145" t="str">
        <f>IF(CAPTURA!BA145="","",IF(AND(ISNUMBER(CAPTURA!BA145),CAPTURA!BA145&gt;=0,CAPTURA!BA145&lt;=4),CAPTURA!BA145*25,"⚠"))</f>
        <v/>
      </c>
      <c r="W145" t="str">
        <f>IF(CAPTURA!BB145="","",IFERROR(IF(INDEX(CODIFICACION!$E$2:$E$500,MATCH("D3.14|"&amp;CAPTURA!BB145,CODIFICACION!$F$2:$F$500,0))="sin dato","",INDEX(CODIFICACION!$E$2:$E$500,MATCH("D3.14|"&amp;CAPTURA!BB145,CODIFICACION!$F$2:$F$500,0))),"⚠"))</f>
        <v/>
      </c>
      <c r="X145" t="str">
        <f>IF(CAPTURA!BC145="","",IFERROR(IF(INDEX(CODIFICACION!$E$2:$E$500,MATCH("D3.14a|"&amp;CAPTURA!BC145,CODIFICACION!$F$2:$F$500,0))="sin dato","",INDEX(CODIFICACION!$E$2:$E$500,MATCH("D3.14a|"&amp;CAPTURA!BC145,CODIFICACION!$F$2:$F$500,0))),"⚠"))</f>
        <v/>
      </c>
      <c r="Y145" t="str">
        <f>IF(CAPTURA!BD145="","",IFERROR(IF(INDEX(CODIFICACION!$E$2:$E$500,MATCH("D3.14b|"&amp;CAPTURA!BD145,CODIFICACION!$F$2:$F$500,0))="sin dato","",INDEX(CODIFICACION!$E$2:$E$500,MATCH("D3.14b|"&amp;CAPTURA!BD145,CODIFICACION!$F$2:$F$500,0))),"⚠"))</f>
        <v/>
      </c>
      <c r="Z145" t="str">
        <f>IF(CAPTURA!BE145="","",IFERROR(IF(INDEX(CODIFICACION!$E$2:$E$500,MATCH("D3.14c|"&amp;CAPTURA!BE145,CODIFICACION!$F$2:$F$500,0))="sin dato","",INDEX(CODIFICACION!$E$2:$E$500,MATCH("D3.14c|"&amp;CAPTURA!BE145,CODIFICACION!$F$2:$F$500,0))),"⚠"))</f>
        <v/>
      </c>
      <c r="AA145" t="str">
        <f>IF(CAPTURA!BF145="","",IFERROR(IF(INDEX(CODIFICACION!$E$2:$E$500,MATCH("D3.14d|"&amp;CAPTURA!BF145,CODIFICACION!$F$2:$F$500,0))="sin dato","",INDEX(CODIFICACION!$E$2:$E$500,MATCH("D3.14d|"&amp;CAPTURA!BF145,CODIFICACION!$F$2:$F$500,0))),"⚠"))</f>
        <v/>
      </c>
      <c r="AB145" t="str">
        <f>IF(CAPTURA!BG145="","",IFERROR(IF(INDEX(CODIFICACION!$E$2:$E$500,MATCH("D3.14e|"&amp;CAPTURA!BG145,CODIFICACION!$F$2:$F$500,0))="sin dato","",INDEX(CODIFICACION!$E$2:$E$500,MATCH("D3.14e|"&amp;CAPTURA!BG145,CODIFICACION!$F$2:$F$500,0))),"⚠"))</f>
        <v/>
      </c>
      <c r="AC145" t="str">
        <f>IF(CAPTURA!BH145="","",IFERROR(IF(INDEX(CODIFICACION!$E$2:$E$500,MATCH("D3.14f|"&amp;CAPTURA!BH145,CODIFICACION!$F$2:$F$500,0))="sin dato","",INDEX(CODIFICACION!$E$2:$E$500,MATCH("D3.14f|"&amp;CAPTURA!BH145,CODIFICACION!$F$2:$F$500,0))),"⚠"))</f>
        <v/>
      </c>
      <c r="AD145" t="str">
        <f>IF(CAPTURA!BI145="","",IFERROR(IF(INDEX(CODIFICACION!$E$2:$E$500,MATCH("D3.14g|"&amp;CAPTURA!BI145,CODIFICACION!$F$2:$F$500,0))="sin dato","",INDEX(CODIFICACION!$E$2:$E$500,MATCH("D3.14g|"&amp;CAPTURA!BI145,CODIFICACION!$F$2:$F$500,0))),"⚠"))</f>
        <v/>
      </c>
      <c r="AE145" t="str">
        <f>IF(CAPTURA!BJ145="","",IFERROR(IF(INDEX(CODIFICACION!$E$2:$E$500,MATCH("D3.14h|"&amp;CAPTURA!BJ145,CODIFICACION!$F$2:$F$500,0))="sin dato","",INDEX(CODIFICACION!$E$2:$E$500,MATCH("D3.14h|"&amp;CAPTURA!BJ145,CODIFICACION!$F$2:$F$500,0))),"⚠"))</f>
        <v/>
      </c>
      <c r="AF145" t="str">
        <f>IF(CAPTURA!BK145="","",IFERROR(IF(INDEX(CODIFICACION!$E$2:$E$500,MATCH("D3.14i|"&amp;CAPTURA!BK145,CODIFICACION!$F$2:$F$500,0))="sin dato","",INDEX(CODIFICACION!$E$2:$E$500,MATCH("D3.14i|"&amp;CAPTURA!BK145,CODIFICACION!$F$2:$F$500,0))),"⚠"))</f>
        <v/>
      </c>
      <c r="AG145" t="str">
        <f>IF(CAPTURA!BL145="","",IFERROR(IF(INDEX(CODIFICACION!$E$2:$E$500,MATCH("D4.15|"&amp;CAPTURA!BL145,CODIFICACION!$F$2:$F$500,0))="sin dato","",INDEX(CODIFICACION!$E$2:$E$500,MATCH("D4.15|"&amp;CAPTURA!BL145,CODIFICACION!$F$2:$F$500,0))),"⚠"))</f>
        <v/>
      </c>
      <c r="AH145" t="str">
        <f>IF(CAPTURA!BM145="","",IF(AND(ISNUMBER(CAPTURA!BM145),CAPTURA!BM145&gt;=0,CAPTURA!BM145&lt;=4),CAPTURA!BM145*25,"⚠"))</f>
        <v/>
      </c>
      <c r="AI145" t="str">
        <f>IF(CAPTURA!BN145="","",IFERROR(IF(INDEX(CODIFICACION!$E$2:$E$500,MATCH("D4.17|"&amp;CAPTURA!BN145,CODIFICACION!$F$2:$F$500,0))="sin dato","",INDEX(CODIFICACION!$E$2:$E$500,MATCH("D4.17|"&amp;CAPTURA!BN145,CODIFICACION!$F$2:$F$500,0))),"⚠"))</f>
        <v/>
      </c>
      <c r="AJ145" t="str">
        <f>IF(CAPTURA!BO145="","",IFERROR(IF(INDEX(CODIFICACION!$E$2:$E$500,MATCH("D4.15a|"&amp;CAPTURA!BO145,CODIFICACION!$F$2:$F$500,0))="sin dato","",INDEX(CODIFICACION!$E$2:$E$500,MATCH("D4.15a|"&amp;CAPTURA!BO145,CODIFICACION!$F$2:$F$500,0))),"⚠"))</f>
        <v/>
      </c>
      <c r="AK145" t="str">
        <f>IF(CAPTURA!BP145="","",IF(AND(ISNUMBER(CAPTURA!BP145),CAPTURA!BP145&gt;=0,CAPTURA!BP145&lt;=4),CAPTURA!BP145*25,"⚠"))</f>
        <v/>
      </c>
      <c r="AL145" t="str">
        <f>IF(CAPTURA!BQ145="","",IF(AND(ISNUMBER(CAPTURA!BQ145),CAPTURA!BQ145&gt;=0,CAPTURA!BQ145&lt;=4),CAPTURA!BQ145*25,"⚠"))</f>
        <v/>
      </c>
      <c r="AM145" t="str">
        <f>IF(CAPTURA!BR145="","",IFERROR(IF(INDEX(CODIFICACION!$E$2:$E$500,MATCH("D5.18b|"&amp;CAPTURA!BR145,CODIFICACION!$F$2:$F$500,0))="sin dato","",INDEX(CODIFICACION!$E$2:$E$500,MATCH("D5.18b|"&amp;CAPTURA!BR145,CODIFICACION!$F$2:$F$500,0))),"⚠"))</f>
        <v/>
      </c>
      <c r="AN145" t="str">
        <f>IF(CAPTURA!BS145="","",IFERROR(IF(INDEX(CODIFICACION!$E$2:$E$500,MATCH("D5.19|"&amp;CAPTURA!BS145,CODIFICACION!$F$2:$F$500,0))="sin dato","",INDEX(CODIFICACION!$E$2:$E$500,MATCH("D5.19|"&amp;CAPTURA!BS145,CODIFICACION!$F$2:$F$500,0))),"⚠"))</f>
        <v/>
      </c>
      <c r="AO145" t="str">
        <f>IF(CAPTURA!BT145="","",MIN(100,ROUND((LEN(CAPTURA!BT145)-LEN(SUBSTITUTE(CAPTURA!BT145,";",""))+1)/7*100,1)))</f>
        <v/>
      </c>
      <c r="AP145" t="str">
        <f>IF(CAPTURA!BU145="","",IFERROR(IF(INDEX(CODIFICACION!$E$2:$E$500,MATCH("D5.20|"&amp;CAPTURA!BU145,CODIFICACION!$F$2:$F$500,0))="sin dato","",INDEX(CODIFICACION!$E$2:$E$500,MATCH("D5.20|"&amp;CAPTURA!BU145,CODIFICACION!$F$2:$F$500,0))),"⚠"))</f>
        <v/>
      </c>
      <c r="AQ145" t="str">
        <f>IF(CAPTURA!BV145="","",IFERROR(IF(INDEX(CODIFICACION!$E$2:$E$500,MATCH("D5.21|"&amp;CAPTURA!BV145,CODIFICACION!$F$2:$F$500,0))="sin dato","",INDEX(CODIFICACION!$E$2:$E$500,MATCH("D5.21|"&amp;CAPTURA!BV145,CODIFICACION!$F$2:$F$500,0))),"⚠"))</f>
        <v/>
      </c>
      <c r="AR145" t="str">
        <f>IF(CAPTURA!BW145="","",IFERROR(IF(INDEX(CODIFICACION!$E$2:$E$500,MATCH("D5.21a|"&amp;CAPTURA!BW145,CODIFICACION!$F$2:$F$500,0))="sin dato","",INDEX(CODIFICACION!$E$2:$E$500,MATCH("D5.21a|"&amp;CAPTURA!BW145,CODIFICACION!$F$2:$F$500,0))),"⚠"))</f>
        <v/>
      </c>
      <c r="AS145" t="str">
        <f>IF(CAPTURA!BX145="","",IFERROR(IF(INDEX(CODIFICACION!$E$2:$E$500,MATCH("D5.21b|"&amp;CAPTURA!BX145,CODIFICACION!$F$2:$F$500,0))="sin dato","",INDEX(CODIFICACION!$E$2:$E$500,MATCH("D5.21b|"&amp;CAPTURA!BX145,CODIFICACION!$F$2:$F$500,0))),"⚠"))</f>
        <v/>
      </c>
      <c r="AT145" t="str">
        <f>IF(CAPTURA!BY145="","",IFERROR(IF(INDEX(CODIFICACION!$E$2:$E$500,MATCH("D6.22|"&amp;CAPTURA!BY145,CODIFICACION!$F$2:$F$500,0))="sin dato","",INDEX(CODIFICACION!$E$2:$E$500,MATCH("D6.22|"&amp;CAPTURA!BY145,CODIFICACION!$F$2:$F$500,0))),"⚠"))</f>
        <v/>
      </c>
      <c r="AU145" t="str">
        <f>IF(CAPTURA!BZ145="","",IFERROR(IF(INDEX(CODIFICACION!$E$2:$E$500,MATCH("D6.22a|"&amp;CAPTURA!BZ145,CODIFICACION!$F$2:$F$500,0))="sin dato","",INDEX(CODIFICACION!$E$2:$E$500,MATCH("D6.22a|"&amp;CAPTURA!BZ145,CODIFICACION!$F$2:$F$500,0))),"⚠"))</f>
        <v/>
      </c>
      <c r="AV145" t="str">
        <f>IF(CAPTURA!CA145="","",IFERROR(IF(INDEX(CODIFICACION!$E$2:$E$500,MATCH("D6.22b|"&amp;CAPTURA!CA145,CODIFICACION!$F$2:$F$500,0))="sin dato","",INDEX(CODIFICACION!$E$2:$E$500,MATCH("D6.22b|"&amp;CAPTURA!CA145,CODIFICACION!$F$2:$F$500,0))),"⚠"))</f>
        <v/>
      </c>
      <c r="AW145" t="str">
        <f>IF(CAPTURA!CB145="","",IFERROR(IF(INDEX(CODIFICACION!$E$2:$E$500,MATCH("D6.23|"&amp;CAPTURA!CB145,CODIFICACION!$F$2:$F$500,0))="sin dato","",INDEX(CODIFICACION!$E$2:$E$500,MATCH("D6.23|"&amp;CAPTURA!CB145,CODIFICACION!$F$2:$F$500,0))),"⚠"))</f>
        <v/>
      </c>
      <c r="AX145" t="str">
        <f>IF(CAPTURA!CC145="","",IFERROR(IF(INDEX(CODIFICACION!$E$2:$E$500,MATCH("D6.24|"&amp;CAPTURA!CC145,CODIFICACION!$F$2:$F$500,0))="sin dato","",INDEX(CODIFICACION!$E$2:$E$500,MATCH("D6.24|"&amp;CAPTURA!CC145,CODIFICACION!$F$2:$F$500,0))),"⚠"))</f>
        <v/>
      </c>
      <c r="AY145" t="str">
        <f>IF(CAPTURA!CD145="","",IFERROR(IF(INDEX(CODIFICACION!$E$2:$E$500,MATCH("D6.25|"&amp;CAPTURA!CD145,CODIFICACION!$F$2:$F$500,0))="sin dato","",INDEX(CODIFICACION!$E$2:$E$500,MATCH("D6.25|"&amp;CAPTURA!CD145,CODIFICACION!$F$2:$F$500,0))),"⚠"))</f>
        <v/>
      </c>
      <c r="AZ145" t="str">
        <f>IF(CAPTURA!CE145="","",IFERROR(IF(INDEX(CODIFICACION!$E$2:$E$500,MATCH("D6.25a|"&amp;CAPTURA!CE145,CODIFICACION!$F$2:$F$500,0))="sin dato","",INDEX(CODIFICACION!$E$2:$E$500,MATCH("D6.25a|"&amp;CAPTURA!CE145,CODIFICACION!$F$2:$F$500,0))),"⚠"))</f>
        <v/>
      </c>
      <c r="BA145" t="str">
        <f>IF(CAPTURA!CF145="","",IFERROR(IF(INDEX(CODIFICACION!$E$2:$E$500,MATCH("D6.25b|"&amp;CAPTURA!CF145,CODIFICACION!$F$2:$F$500,0))="sin dato","",INDEX(CODIFICACION!$E$2:$E$500,MATCH("D6.25b|"&amp;CAPTURA!CF145,CODIFICACION!$F$2:$F$500,0))),"⚠"))</f>
        <v/>
      </c>
      <c r="BB145" t="str">
        <f>IF(CAPTURA!CG145="","",IFERROR(IF(INDEX(CODIFICACION!$E$2:$E$500,MATCH("D6.22c|"&amp;CAPTURA!CG145,CODIFICACION!$F$2:$F$500,0))="sin dato","",INDEX(CODIFICACION!$E$2:$E$500,MATCH("D6.22c|"&amp;CAPTURA!CG145,CODIFICACION!$F$2:$F$500,0))),"⚠"))</f>
        <v/>
      </c>
      <c r="BC145" t="str">
        <f>IF(CAPTURA!CH145="","",IFERROR(IF(INDEX(CODIFICACION!$E$2:$E$500,MATCH("D7.26|"&amp;CAPTURA!CH145,CODIFICACION!$F$2:$F$500,0))="sin dato","",INDEX(CODIFICACION!$E$2:$E$500,MATCH("D7.26|"&amp;CAPTURA!CH145,CODIFICACION!$F$2:$F$500,0))),"⚠"))</f>
        <v/>
      </c>
      <c r="BD145" t="str">
        <f>IF(CAPTURA!CI145="","",IFERROR(IF(INDEX(CODIFICACION!$E$2:$E$500,MATCH("D7.27|"&amp;CAPTURA!CI145,CODIFICACION!$F$2:$F$500,0))="sin dato","",INDEX(CODIFICACION!$E$2:$E$500,MATCH("D7.27|"&amp;CAPTURA!CI145,CODIFICACION!$F$2:$F$500,0))),"⚠"))</f>
        <v/>
      </c>
      <c r="BE145" t="str">
        <f>IF(CAPTURA!CJ145="","",IFERROR(IF(INDEX(CODIFICACION!$E$2:$E$500,MATCH("D7.28|"&amp;CAPTURA!CJ145,CODIFICACION!$F$2:$F$500,0))="sin dato","",INDEX(CODIFICACION!$E$2:$E$500,MATCH("D7.28|"&amp;CAPTURA!CJ145,CODIFICACION!$F$2:$F$500,0))),"⚠"))</f>
        <v/>
      </c>
      <c r="BF145" t="str">
        <f>IF(CAPTURA!CK145="","",IFERROR(IF(INDEX(CODIFICACION!$E$2:$E$500,MATCH("D7.28b|"&amp;CAPTURA!CK145,CODIFICACION!$F$2:$F$500,0))="sin dato","",INDEX(CODIFICACION!$E$2:$E$500,MATCH("D7.28b|"&amp;CAPTURA!CK145,CODIFICACION!$F$2:$F$500,0))),"⚠"))</f>
        <v/>
      </c>
      <c r="BG145" t="str">
        <f>IF(CAPTURA!CL145="","",MIN(100,ROUND((LEN(CAPTURA!CL145)-LEN(SUBSTITUTE(CAPTURA!CL145,";",""))+1)/8*100,1)))</f>
        <v/>
      </c>
      <c r="BH145" t="str">
        <f>IF(CAPTURA!CM145="","",IFERROR(IF(INDEX(CODIFICACION!$E$2:$E$500,MATCH("D7.26a|"&amp;CAPTURA!CM145,CODIFICACION!$F$2:$F$500,0))="sin dato","",INDEX(CODIFICACION!$E$2:$E$500,MATCH("D7.26a|"&amp;CAPTURA!CM145,CODIFICACION!$F$2:$F$500,0))),"⚠"))</f>
        <v/>
      </c>
      <c r="BI145" t="str">
        <f>IF(CAPTURA!CN145="","",IFERROR(IF(INDEX(CODIFICACION!$E$2:$E$500,MATCH("D7.26b|"&amp;CAPTURA!CN145,CODIFICACION!$F$2:$F$500,0))="sin dato","",INDEX(CODIFICACION!$E$2:$E$500,MATCH("D7.26b|"&amp;CAPTURA!CN145,CODIFICACION!$F$2:$F$500,0))),"⚠"))</f>
        <v/>
      </c>
      <c r="BJ145" t="str">
        <f>IF(CAPTURA!CO145="","",IF(AND(ISNUMBER(CAPTURA!CO145),CAPTURA!CO145&gt;=0,CAPTURA!CO145&lt;=4),CAPTURA!CO145*25,"⚠"))</f>
        <v/>
      </c>
      <c r="BK145" t="str">
        <f>IF(CAPTURA!CP145="","",IF(ISNUMBER(CAPTURA!CP145),MAX(0,MIN(100,CAPTURA!CP145)),"⚠"))</f>
        <v/>
      </c>
      <c r="BL145" t="str">
        <f>IF(CAPTURA!CQ145="","",IFERROR(IF(INDEX(CODIFICACION!$E$2:$E$500,MATCH("D8.31|"&amp;CAPTURA!CQ145,CODIFICACION!$F$2:$F$500,0))="sin dato","",INDEX(CODIFICACION!$E$2:$E$500,MATCH("D8.31|"&amp;CAPTURA!CQ145,CODIFICACION!$F$2:$F$500,0))),"⚠"))</f>
        <v/>
      </c>
      <c r="BM145" t="str">
        <f>IF(CAPTURA!CR145="","",IFERROR(IF(INDEX(CODIFICACION!$E$2:$E$500,MATCH("D8.32|"&amp;CAPTURA!CR145,CODIFICACION!$F$2:$F$500,0))="sin dato","",INDEX(CODIFICACION!$E$2:$E$500,MATCH("D8.32|"&amp;CAPTURA!CR145,CODIFICACION!$F$2:$F$500,0))),"⚠"))</f>
        <v/>
      </c>
      <c r="BN145" t="str">
        <f>IF(CAPTURA!CS145="","",IFERROR(IF(INDEX(CODIFICACION!$E$2:$E$500,MATCH("D9.33|"&amp;CAPTURA!CS145,CODIFICACION!$F$2:$F$500,0))="sin dato","",INDEX(CODIFICACION!$E$2:$E$500,MATCH("D9.33|"&amp;CAPTURA!CS145,CODIFICACION!$F$2:$F$500,0))),"⚠"))</f>
        <v/>
      </c>
      <c r="BO145" t="str">
        <f>IF(CAPTURA!CT145="","",IFERROR(IF(INDEX(CODIFICACION!$E$2:$E$500,MATCH("D9.34|"&amp;CAPTURA!CT145,CODIFICACION!$F$2:$F$500,0))="sin dato","",INDEX(CODIFICACION!$E$2:$E$500,MATCH("D9.34|"&amp;CAPTURA!CT145,CODIFICACION!$F$2:$F$500,0))),"⚠"))</f>
        <v/>
      </c>
      <c r="BP145" t="str">
        <f>IF(CAPTURA!CU145="","",IFERROR(IF(INDEX(CODIFICACION!$E$2:$E$500,MATCH("D9.35|"&amp;CAPTURA!CU145,CODIFICACION!$F$2:$F$500,0))="sin dato","",INDEX(CODIFICACION!$E$2:$E$500,MATCH("D9.35|"&amp;CAPTURA!CU145,CODIFICACION!$F$2:$F$500,0))),"⚠"))</f>
        <v/>
      </c>
      <c r="BQ145" t="str">
        <f>IF(CAPTURA!CV145="","",IFERROR(IF(INDEX(CODIFICACION!$E$2:$E$500,MATCH("D10.36|"&amp;CAPTURA!CV145,CODIFICACION!$F$2:$F$500,0))="sin dato","",INDEX(CODIFICACION!$E$2:$E$500,MATCH("D10.36|"&amp;CAPTURA!CV145,CODIFICACION!$F$2:$F$500,0))),"⚠"))</f>
        <v/>
      </c>
      <c r="BR145" t="str">
        <f>IF(CAPTURA!CW145="","",IFERROR(IF(INDEX(CODIFICACION!$E$2:$E$500,MATCH("D10.37|"&amp;CAPTURA!CW145,CODIFICACION!$F$2:$F$500,0))="sin dato","",INDEX(CODIFICACION!$E$2:$E$500,MATCH("D10.37|"&amp;CAPTURA!CW145,CODIFICACION!$F$2:$F$500,0))),"⚠"))</f>
        <v/>
      </c>
      <c r="BS145" t="str">
        <f>IF(CAPTURA!CX145="","",IFERROR(IF(INDEX(CODIFICACION!$E$2:$E$500,MATCH("D10.36a|"&amp;CAPTURA!CX145,CODIFICACION!$F$2:$F$500,0))="sin dato","",INDEX(CODIFICACION!$E$2:$E$500,MATCH("D10.36a|"&amp;CAPTURA!CX145,CODIFICACION!$F$2:$F$500,0))),"⚠"))</f>
        <v/>
      </c>
      <c r="BT145" t="str">
        <f>IF(CAPTURA!CY145="","",IF(ISNUMBER(SEARCH("Ninguno",CAPTURA!CY145)),0,MIN(100,ROUND((LEN(CAPTURA!CY145)-LEN(SUBSTITUTE(CAPTURA!CY145,";",""))+1)/6*100,1))))</f>
        <v/>
      </c>
      <c r="BU145" t="str">
        <f>IF(CAPTURA!DA145="","",IFERROR(IF(INDEX(CODIFICACION!$E$2:$E$500,MATCH("D11.39a|"&amp;CAPTURA!DA145,CODIFICACION!$F$2:$F$500,0))="sin dato","",INDEX(CODIFICACION!$E$2:$E$500,MATCH("D11.39a|"&amp;CAPTURA!DA145,CODIFICACION!$F$2:$F$500,0))),"⚠"))</f>
        <v/>
      </c>
      <c r="BV145" t="str">
        <f>IF(CAPTURA!DB145="","",IFERROR(IF(INDEX(CODIFICACION!$E$2:$E$500,MATCH("D12.42|"&amp;CAPTURA!DB145,CODIFICACION!$F$2:$F$500,0))="sin dato","",INDEX(CODIFICACION!$E$2:$E$500,MATCH("D12.42|"&amp;CAPTURA!DB145,CODIFICACION!$F$2:$F$500,0))),"⚠"))</f>
        <v/>
      </c>
      <c r="BW145" t="str">
        <f>IF(CAPTURA!DC145="","",IFERROR(IF(INDEX(CODIFICACION!$E$2:$E$500,MATCH("D13.45|"&amp;CAPTURA!DC145,CODIFICACION!$F$2:$F$500,0))="sin dato","",INDEX(CODIFICACION!$E$2:$E$500,MATCH("D13.45|"&amp;CAPTURA!DC145,CODIFICACION!$F$2:$F$500,0))),"⚠"))</f>
        <v/>
      </c>
      <c r="BX145" t="str">
        <f>IF(CAPTURA!DD145="","",IFERROR(IF(INDEX(CODIFICACION!$E$2:$E$500,MATCH("D14.51|"&amp;CAPTURA!DD145,CODIFICACION!$F$2:$F$500,0))="sin dato","",INDEX(CODIFICACION!$E$2:$E$500,MATCH("D14.51|"&amp;CAPTURA!DD145,CODIFICACION!$F$2:$F$500,0))),"⚠"))</f>
        <v/>
      </c>
      <c r="BY145" t="str">
        <f>IF(CAPTURA!DE145="","",IFERROR(IF(INDEX(CODIFICACION!$E$2:$E$500,MATCH("D15.58|"&amp;CAPTURA!DE145,CODIFICACION!$F$2:$F$500,0))="sin dato","",INDEX(CODIFICACION!$E$2:$E$500,MATCH("D15.58|"&amp;CAPTURA!DE145,CODIFICACION!$F$2:$F$500,0))),"⚠"))</f>
        <v/>
      </c>
      <c r="BZ145" t="str">
        <f>IF(CAPTURA!DF145="","",IFERROR(IF(INDEX(CODIFICACION!$E$2:$E$500,MATCH("PP1|"&amp;CAPTURA!DF145,CODIFICACION!$F$2:$F$500,0))="sin dato","",INDEX(CODIFICACION!$E$2:$E$500,MATCH("PP1|"&amp;CAPTURA!DF145,CODIFICACION!$F$2:$F$500,0))),"⚠"))</f>
        <v/>
      </c>
      <c r="CA145" t="str">
        <f>IF(CAPTURA!DG145="","",IFERROR(IF(INDEX(CODIFICACION!$E$2:$E$500,MATCH("PP2|"&amp;CAPTURA!DG145,CODIFICACION!$F$2:$F$500,0))="sin dato","",INDEX(CODIFICACION!$E$2:$E$500,MATCH("PP2|"&amp;CAPTURA!DG145,CODIFICACION!$F$2:$F$500,0))),"⚠"))</f>
        <v/>
      </c>
      <c r="CB145" t="str">
        <f t="shared" si="44"/>
        <v/>
      </c>
      <c r="CC145" t="str">
        <f t="shared" si="45"/>
        <v/>
      </c>
      <c r="CD145" t="str">
        <f t="shared" si="46"/>
        <v/>
      </c>
      <c r="CE145" t="str">
        <f t="shared" si="47"/>
        <v/>
      </c>
      <c r="CF145" t="str">
        <f t="shared" si="48"/>
        <v/>
      </c>
      <c r="CG145" t="str">
        <f t="shared" si="49"/>
        <v/>
      </c>
      <c r="CH145" t="str">
        <f t="shared" si="50"/>
        <v/>
      </c>
      <c r="CI145" t="str">
        <f t="shared" si="51"/>
        <v/>
      </c>
      <c r="CJ145" t="str">
        <f t="shared" si="52"/>
        <v/>
      </c>
      <c r="CK145" t="str">
        <f t="shared" si="53"/>
        <v/>
      </c>
      <c r="CL145" t="str">
        <f t="shared" si="54"/>
        <v/>
      </c>
    </row>
    <row r="146" spans="1:90" x14ac:dyDescent="0.3">
      <c r="A146">
        <f>CAPTURA!A146</f>
        <v>20603862369</v>
      </c>
      <c r="B146">
        <f>CAPTURA!C146</f>
        <v>0</v>
      </c>
      <c r="C146" t="str">
        <f>IF(CAPTURA!M146="","",ROUND((ISNUMBER(SEARCH("Alemania",CAPTURA!M146))+ISNUMBER(SEARCH("Bélgica",CAPTURA!M146))+ISNUMBER(SEARCH("Países Bajos",CAPTURA!M146))+ISNUMBER(SEARCH("Francia",CAPTURA!M146))+ISNUMBER(SEARCH("Italia",CAPTURA!M146))+ISNUMBER(SEARCH("España",CAPTURA!M146))+ISNUMBER(SEARCH("Suecia",CAPTURA!M146))+ISNUMBER(SEARCH("Dinamarca",CAPTURA!M146)))/((LEN(CAPTURA!M146)-LEN(SUBSTITUTE(CAPTURA!M146,";","")))+1)*100,1))</f>
        <v/>
      </c>
      <c r="D146" t="str">
        <f>IF(CAPTURA!AE146="","",IFERROR(IF(INDEX(CODIFICACION!$E$2:$E$500,MATCH("P8|"&amp;CAPTURA!AE146,CODIFICACION!$F$2:$F$500,0))="sin dato","",INDEX(CODIFICACION!$E$2:$E$500,MATCH("P8|"&amp;CAPTURA!AE146,CODIFICACION!$F$2:$F$500,0))),"⚠"))</f>
        <v/>
      </c>
      <c r="E146" t="str">
        <f>IF(CAPTURA!AG146="","",IFERROR(IF(INDEX(CODIFICACION!$E$2:$E$500,MATCH("P10|"&amp;CAPTURA!AG146,CODIFICACION!$F$2:$F$500,0))="sin dato","",INDEX(CODIFICACION!$E$2:$E$500,MATCH("P10|"&amp;CAPTURA!AG146,CODIFICACION!$F$2:$F$500,0))),"⚠"))</f>
        <v/>
      </c>
      <c r="F146" t="str">
        <f>IF(CAPTURA!AJ146="","",IFERROR(IF(INDEX(CODIFICACION!$E$2:$E$500,MATCH("P13|"&amp;CAPTURA!AJ146,CODIFICACION!$F$2:$F$500,0))="sin dato","",INDEX(CODIFICACION!$E$2:$E$500,MATCH("P13|"&amp;CAPTURA!AJ146,CODIFICACION!$F$2:$F$500,0))),"⚠"))</f>
        <v/>
      </c>
      <c r="G146" t="str">
        <f>IF(CAPTURA!AK146="","",IFERROR(IF(INDEX(CODIFICACION!$E$2:$E$500,MATCH("P14|"&amp;CAPTURA!AK146,CODIFICACION!$F$2:$F$500,0))="sin dato","",INDEX(CODIFICACION!$E$2:$E$500,MATCH("P14|"&amp;CAPTURA!AK146,CODIFICACION!$F$2:$F$500,0))),"⚠"))</f>
        <v/>
      </c>
      <c r="H146" t="str">
        <f>IF(CAPTURA!AL146="","",IFERROR(IF(INDEX(CODIFICACION!$E$2:$E$500,MATCH("D1.1|"&amp;CAPTURA!AL146,CODIFICACION!$F$2:$F$500,0))="sin dato","",INDEX(CODIFICACION!$E$2:$E$500,MATCH("D1.1|"&amp;CAPTURA!AL146,CODIFICACION!$F$2:$F$500,0))),"⚠"))</f>
        <v/>
      </c>
      <c r="I146" t="str">
        <f>IF(CAPTURA!AN146="","",IFERROR(IF(INDEX(CODIFICACION!$E$2:$E$500,MATCH("D1.3|"&amp;CAPTURA!AN146,CODIFICACION!$F$2:$F$500,0))="sin dato","",INDEX(CODIFICACION!$E$2:$E$500,MATCH("D1.3|"&amp;CAPTURA!AN146,CODIFICACION!$F$2:$F$500,0))),"⚠"))</f>
        <v/>
      </c>
      <c r="J146" t="str">
        <f>IF(CAPTURA!AO146="","",IFERROR(IF(INDEX(CODIFICACION!$E$2:$E$500,MATCH("D1.4|"&amp;CAPTURA!AO146,CODIFICACION!$F$2:$F$500,0))="sin dato","",INDEX(CODIFICACION!$E$2:$E$500,MATCH("D1.4|"&amp;CAPTURA!AO146,CODIFICACION!$F$2:$F$500,0))),"⚠"))</f>
        <v/>
      </c>
      <c r="K146" t="str">
        <f>IF(CAPTURA!AP146="","",IFERROR(IF(INDEX(CODIFICACION!$E$2:$E$500,MATCH("D1.3a|"&amp;CAPTURA!AP146,CODIFICACION!$F$2:$F$500,0))="sin dato","",INDEX(CODIFICACION!$E$2:$E$500,MATCH("D1.3a|"&amp;CAPTURA!AP146,CODIFICACION!$F$2:$F$500,0))),"⚠"))</f>
        <v/>
      </c>
      <c r="L146" t="str">
        <f>IF(CAPTURA!AQ146="","",IF(AND(ISNUMBER(CAPTURA!AQ146),CAPTURA!AQ146&gt;=0,CAPTURA!AQ146&lt;=4),CAPTURA!AQ146*25,"⚠"))</f>
        <v/>
      </c>
      <c r="M146" t="str">
        <f>IF(CAPTURA!AR146="","",IF(ISNUMBER(CAPTURA!AR146),MAX(0,MIN(100,CAPTURA!AR146)),"⚠"))</f>
        <v/>
      </c>
      <c r="N146" t="str">
        <f>IF(CAPTURA!AS146="","",IF(AND(ISNUMBER(CAPTURA!AS146),CAPTURA!AS146&gt;=0,CAPTURA!AS146&lt;=4),CAPTURA!AS146*25,"⚠"))</f>
        <v/>
      </c>
      <c r="O146" t="str">
        <f>IF(CAPTURA!AT146="","",IFERROR(IF(INDEX(CODIFICACION!$E$2:$E$500,MATCH("D2.8|"&amp;CAPTURA!AT146,CODIFICACION!$F$2:$F$500,0))="sin dato","",INDEX(CODIFICACION!$E$2:$E$500,MATCH("D2.8|"&amp;CAPTURA!AT146,CODIFICACION!$F$2:$F$500,0))),"⚠"))</f>
        <v/>
      </c>
      <c r="P146" t="str">
        <f>IF(CAPTURA!AU146="","",IFERROR(IF(INDEX(CODIFICACION!$E$2:$E$500,MATCH("D2.9|"&amp;CAPTURA!AU146,CODIFICACION!$F$2:$F$500,0))="sin dato","",INDEX(CODIFICACION!$E$2:$E$500,MATCH("D2.9|"&amp;CAPTURA!AU146,CODIFICACION!$F$2:$F$500,0))),"⚠"))</f>
        <v/>
      </c>
      <c r="Q146" t="str">
        <f>IF(CAPTURA!AV146="","",IFERROR(IF(INDEX(CODIFICACION!$E$2:$E$500,MATCH("D2.10|"&amp;CAPTURA!AV146,CODIFICACION!$F$2:$F$500,0))="sin dato","",INDEX(CODIFICACION!$E$2:$E$500,MATCH("D2.10|"&amp;CAPTURA!AV146,CODIFICACION!$F$2:$F$500,0))),"⚠"))</f>
        <v/>
      </c>
      <c r="R146" t="str">
        <f>IF(CAPTURA!AW146="","",IFERROR(IF(INDEX(CODIFICACION!$E$2:$E$500,MATCH("D2.5a|"&amp;CAPTURA!AW146,CODIFICACION!$F$2:$F$500,0))="sin dato","",INDEX(CODIFICACION!$E$2:$E$500,MATCH("D2.5a|"&amp;CAPTURA!AW146,CODIFICACION!$F$2:$F$500,0))),"⚠"))</f>
        <v/>
      </c>
      <c r="S146" t="str">
        <f>IF(CAPTURA!AX146="","",IFERROR(IF(INDEX(CODIFICACION!$E$2:$E$500,MATCH("D2.5b|"&amp;CAPTURA!AX146,CODIFICACION!$F$2:$F$500,0))="sin dato","",INDEX(CODIFICACION!$E$2:$E$500,MATCH("D2.5b|"&amp;CAPTURA!AX146,CODIFICACION!$F$2:$F$500,0))),"⚠"))</f>
        <v/>
      </c>
      <c r="T146" t="str">
        <f>IF(CAPTURA!AY146="","",IF(ISNUMBER(CAPTURA!AY146),MAX(0,MIN(100,CAPTURA!AY146)),"⚠"))</f>
        <v/>
      </c>
      <c r="U146" t="str">
        <f>IF(CAPTURA!AZ146="","",IFERROR(IF(INDEX(CODIFICACION!$E$2:$E$500,MATCH("D3.12|"&amp;CAPTURA!AZ146,CODIFICACION!$F$2:$F$500,0))="sin dato","",INDEX(CODIFICACION!$E$2:$E$500,MATCH("D3.12|"&amp;CAPTURA!AZ146,CODIFICACION!$F$2:$F$500,0))),"⚠"))</f>
        <v/>
      </c>
      <c r="V146" t="str">
        <f>IF(CAPTURA!BA146="","",IF(AND(ISNUMBER(CAPTURA!BA146),CAPTURA!BA146&gt;=0,CAPTURA!BA146&lt;=4),CAPTURA!BA146*25,"⚠"))</f>
        <v/>
      </c>
      <c r="W146" t="str">
        <f>IF(CAPTURA!BB146="","",IFERROR(IF(INDEX(CODIFICACION!$E$2:$E$500,MATCH("D3.14|"&amp;CAPTURA!BB146,CODIFICACION!$F$2:$F$500,0))="sin dato","",INDEX(CODIFICACION!$E$2:$E$500,MATCH("D3.14|"&amp;CAPTURA!BB146,CODIFICACION!$F$2:$F$500,0))),"⚠"))</f>
        <v/>
      </c>
      <c r="X146" t="str">
        <f>IF(CAPTURA!BC146="","",IFERROR(IF(INDEX(CODIFICACION!$E$2:$E$500,MATCH("D3.14a|"&amp;CAPTURA!BC146,CODIFICACION!$F$2:$F$500,0))="sin dato","",INDEX(CODIFICACION!$E$2:$E$500,MATCH("D3.14a|"&amp;CAPTURA!BC146,CODIFICACION!$F$2:$F$500,0))),"⚠"))</f>
        <v/>
      </c>
      <c r="Y146" t="str">
        <f>IF(CAPTURA!BD146="","",IFERROR(IF(INDEX(CODIFICACION!$E$2:$E$500,MATCH("D3.14b|"&amp;CAPTURA!BD146,CODIFICACION!$F$2:$F$500,0))="sin dato","",INDEX(CODIFICACION!$E$2:$E$500,MATCH("D3.14b|"&amp;CAPTURA!BD146,CODIFICACION!$F$2:$F$500,0))),"⚠"))</f>
        <v/>
      </c>
      <c r="Z146" t="str">
        <f>IF(CAPTURA!BE146="","",IFERROR(IF(INDEX(CODIFICACION!$E$2:$E$500,MATCH("D3.14c|"&amp;CAPTURA!BE146,CODIFICACION!$F$2:$F$500,0))="sin dato","",INDEX(CODIFICACION!$E$2:$E$500,MATCH("D3.14c|"&amp;CAPTURA!BE146,CODIFICACION!$F$2:$F$500,0))),"⚠"))</f>
        <v/>
      </c>
      <c r="AA146" t="str">
        <f>IF(CAPTURA!BF146="","",IFERROR(IF(INDEX(CODIFICACION!$E$2:$E$500,MATCH("D3.14d|"&amp;CAPTURA!BF146,CODIFICACION!$F$2:$F$500,0))="sin dato","",INDEX(CODIFICACION!$E$2:$E$500,MATCH("D3.14d|"&amp;CAPTURA!BF146,CODIFICACION!$F$2:$F$500,0))),"⚠"))</f>
        <v/>
      </c>
      <c r="AB146" t="str">
        <f>IF(CAPTURA!BG146="","",IFERROR(IF(INDEX(CODIFICACION!$E$2:$E$500,MATCH("D3.14e|"&amp;CAPTURA!BG146,CODIFICACION!$F$2:$F$500,0))="sin dato","",INDEX(CODIFICACION!$E$2:$E$500,MATCH("D3.14e|"&amp;CAPTURA!BG146,CODIFICACION!$F$2:$F$500,0))),"⚠"))</f>
        <v/>
      </c>
      <c r="AC146" t="str">
        <f>IF(CAPTURA!BH146="","",IFERROR(IF(INDEX(CODIFICACION!$E$2:$E$500,MATCH("D3.14f|"&amp;CAPTURA!BH146,CODIFICACION!$F$2:$F$500,0))="sin dato","",INDEX(CODIFICACION!$E$2:$E$500,MATCH("D3.14f|"&amp;CAPTURA!BH146,CODIFICACION!$F$2:$F$500,0))),"⚠"))</f>
        <v/>
      </c>
      <c r="AD146" t="str">
        <f>IF(CAPTURA!BI146="","",IFERROR(IF(INDEX(CODIFICACION!$E$2:$E$500,MATCH("D3.14g|"&amp;CAPTURA!BI146,CODIFICACION!$F$2:$F$500,0))="sin dato","",INDEX(CODIFICACION!$E$2:$E$500,MATCH("D3.14g|"&amp;CAPTURA!BI146,CODIFICACION!$F$2:$F$500,0))),"⚠"))</f>
        <v/>
      </c>
      <c r="AE146" t="str">
        <f>IF(CAPTURA!BJ146="","",IFERROR(IF(INDEX(CODIFICACION!$E$2:$E$500,MATCH("D3.14h|"&amp;CAPTURA!BJ146,CODIFICACION!$F$2:$F$500,0))="sin dato","",INDEX(CODIFICACION!$E$2:$E$500,MATCH("D3.14h|"&amp;CAPTURA!BJ146,CODIFICACION!$F$2:$F$500,0))),"⚠"))</f>
        <v/>
      </c>
      <c r="AF146" t="str">
        <f>IF(CAPTURA!BK146="","",IFERROR(IF(INDEX(CODIFICACION!$E$2:$E$500,MATCH("D3.14i|"&amp;CAPTURA!BK146,CODIFICACION!$F$2:$F$500,0))="sin dato","",INDEX(CODIFICACION!$E$2:$E$500,MATCH("D3.14i|"&amp;CAPTURA!BK146,CODIFICACION!$F$2:$F$500,0))),"⚠"))</f>
        <v/>
      </c>
      <c r="AG146" t="str">
        <f>IF(CAPTURA!BL146="","",IFERROR(IF(INDEX(CODIFICACION!$E$2:$E$500,MATCH("D4.15|"&amp;CAPTURA!BL146,CODIFICACION!$F$2:$F$500,0))="sin dato","",INDEX(CODIFICACION!$E$2:$E$500,MATCH("D4.15|"&amp;CAPTURA!BL146,CODIFICACION!$F$2:$F$500,0))),"⚠"))</f>
        <v/>
      </c>
      <c r="AH146" t="str">
        <f>IF(CAPTURA!BM146="","",IF(AND(ISNUMBER(CAPTURA!BM146),CAPTURA!BM146&gt;=0,CAPTURA!BM146&lt;=4),CAPTURA!BM146*25,"⚠"))</f>
        <v/>
      </c>
      <c r="AI146" t="str">
        <f>IF(CAPTURA!BN146="","",IFERROR(IF(INDEX(CODIFICACION!$E$2:$E$500,MATCH("D4.17|"&amp;CAPTURA!BN146,CODIFICACION!$F$2:$F$500,0))="sin dato","",INDEX(CODIFICACION!$E$2:$E$500,MATCH("D4.17|"&amp;CAPTURA!BN146,CODIFICACION!$F$2:$F$500,0))),"⚠"))</f>
        <v/>
      </c>
      <c r="AJ146" t="str">
        <f>IF(CAPTURA!BO146="","",IFERROR(IF(INDEX(CODIFICACION!$E$2:$E$500,MATCH("D4.15a|"&amp;CAPTURA!BO146,CODIFICACION!$F$2:$F$500,0))="sin dato","",INDEX(CODIFICACION!$E$2:$E$500,MATCH("D4.15a|"&amp;CAPTURA!BO146,CODIFICACION!$F$2:$F$500,0))),"⚠"))</f>
        <v/>
      </c>
      <c r="AK146" t="str">
        <f>IF(CAPTURA!BP146="","",IF(AND(ISNUMBER(CAPTURA!BP146),CAPTURA!BP146&gt;=0,CAPTURA!BP146&lt;=4),CAPTURA!BP146*25,"⚠"))</f>
        <v/>
      </c>
      <c r="AL146" t="str">
        <f>IF(CAPTURA!BQ146="","",IF(AND(ISNUMBER(CAPTURA!BQ146),CAPTURA!BQ146&gt;=0,CAPTURA!BQ146&lt;=4),CAPTURA!BQ146*25,"⚠"))</f>
        <v/>
      </c>
      <c r="AM146" t="str">
        <f>IF(CAPTURA!BR146="","",IFERROR(IF(INDEX(CODIFICACION!$E$2:$E$500,MATCH("D5.18b|"&amp;CAPTURA!BR146,CODIFICACION!$F$2:$F$500,0))="sin dato","",INDEX(CODIFICACION!$E$2:$E$500,MATCH("D5.18b|"&amp;CAPTURA!BR146,CODIFICACION!$F$2:$F$500,0))),"⚠"))</f>
        <v/>
      </c>
      <c r="AN146" t="str">
        <f>IF(CAPTURA!BS146="","",IFERROR(IF(INDEX(CODIFICACION!$E$2:$E$500,MATCH("D5.19|"&amp;CAPTURA!BS146,CODIFICACION!$F$2:$F$500,0))="sin dato","",INDEX(CODIFICACION!$E$2:$E$500,MATCH("D5.19|"&amp;CAPTURA!BS146,CODIFICACION!$F$2:$F$500,0))),"⚠"))</f>
        <v/>
      </c>
      <c r="AO146" t="str">
        <f>IF(CAPTURA!BT146="","",MIN(100,ROUND((LEN(CAPTURA!BT146)-LEN(SUBSTITUTE(CAPTURA!BT146,";",""))+1)/7*100,1)))</f>
        <v/>
      </c>
      <c r="AP146" t="str">
        <f>IF(CAPTURA!BU146="","",IFERROR(IF(INDEX(CODIFICACION!$E$2:$E$500,MATCH("D5.20|"&amp;CAPTURA!BU146,CODIFICACION!$F$2:$F$500,0))="sin dato","",INDEX(CODIFICACION!$E$2:$E$500,MATCH("D5.20|"&amp;CAPTURA!BU146,CODIFICACION!$F$2:$F$500,0))),"⚠"))</f>
        <v/>
      </c>
      <c r="AQ146" t="str">
        <f>IF(CAPTURA!BV146="","",IFERROR(IF(INDEX(CODIFICACION!$E$2:$E$500,MATCH("D5.21|"&amp;CAPTURA!BV146,CODIFICACION!$F$2:$F$500,0))="sin dato","",INDEX(CODIFICACION!$E$2:$E$500,MATCH("D5.21|"&amp;CAPTURA!BV146,CODIFICACION!$F$2:$F$500,0))),"⚠"))</f>
        <v/>
      </c>
      <c r="AR146" t="str">
        <f>IF(CAPTURA!BW146="","",IFERROR(IF(INDEX(CODIFICACION!$E$2:$E$500,MATCH("D5.21a|"&amp;CAPTURA!BW146,CODIFICACION!$F$2:$F$500,0))="sin dato","",INDEX(CODIFICACION!$E$2:$E$500,MATCH("D5.21a|"&amp;CAPTURA!BW146,CODIFICACION!$F$2:$F$500,0))),"⚠"))</f>
        <v/>
      </c>
      <c r="AS146" t="str">
        <f>IF(CAPTURA!BX146="","",IFERROR(IF(INDEX(CODIFICACION!$E$2:$E$500,MATCH("D5.21b|"&amp;CAPTURA!BX146,CODIFICACION!$F$2:$F$500,0))="sin dato","",INDEX(CODIFICACION!$E$2:$E$500,MATCH("D5.21b|"&amp;CAPTURA!BX146,CODIFICACION!$F$2:$F$500,0))),"⚠"))</f>
        <v/>
      </c>
      <c r="AT146" t="str">
        <f>IF(CAPTURA!BY146="","",IFERROR(IF(INDEX(CODIFICACION!$E$2:$E$500,MATCH("D6.22|"&amp;CAPTURA!BY146,CODIFICACION!$F$2:$F$500,0))="sin dato","",INDEX(CODIFICACION!$E$2:$E$500,MATCH("D6.22|"&amp;CAPTURA!BY146,CODIFICACION!$F$2:$F$500,0))),"⚠"))</f>
        <v/>
      </c>
      <c r="AU146" t="str">
        <f>IF(CAPTURA!BZ146="","",IFERROR(IF(INDEX(CODIFICACION!$E$2:$E$500,MATCH("D6.22a|"&amp;CAPTURA!BZ146,CODIFICACION!$F$2:$F$500,0))="sin dato","",INDEX(CODIFICACION!$E$2:$E$500,MATCH("D6.22a|"&amp;CAPTURA!BZ146,CODIFICACION!$F$2:$F$500,0))),"⚠"))</f>
        <v/>
      </c>
      <c r="AV146" t="str">
        <f>IF(CAPTURA!CA146="","",IFERROR(IF(INDEX(CODIFICACION!$E$2:$E$500,MATCH("D6.22b|"&amp;CAPTURA!CA146,CODIFICACION!$F$2:$F$500,0))="sin dato","",INDEX(CODIFICACION!$E$2:$E$500,MATCH("D6.22b|"&amp;CAPTURA!CA146,CODIFICACION!$F$2:$F$500,0))),"⚠"))</f>
        <v/>
      </c>
      <c r="AW146" t="str">
        <f>IF(CAPTURA!CB146="","",IFERROR(IF(INDEX(CODIFICACION!$E$2:$E$500,MATCH("D6.23|"&amp;CAPTURA!CB146,CODIFICACION!$F$2:$F$500,0))="sin dato","",INDEX(CODIFICACION!$E$2:$E$500,MATCH("D6.23|"&amp;CAPTURA!CB146,CODIFICACION!$F$2:$F$500,0))),"⚠"))</f>
        <v/>
      </c>
      <c r="AX146" t="str">
        <f>IF(CAPTURA!CC146="","",IFERROR(IF(INDEX(CODIFICACION!$E$2:$E$500,MATCH("D6.24|"&amp;CAPTURA!CC146,CODIFICACION!$F$2:$F$500,0))="sin dato","",INDEX(CODIFICACION!$E$2:$E$500,MATCH("D6.24|"&amp;CAPTURA!CC146,CODIFICACION!$F$2:$F$500,0))),"⚠"))</f>
        <v/>
      </c>
      <c r="AY146" t="str">
        <f>IF(CAPTURA!CD146="","",IFERROR(IF(INDEX(CODIFICACION!$E$2:$E$500,MATCH("D6.25|"&amp;CAPTURA!CD146,CODIFICACION!$F$2:$F$500,0))="sin dato","",INDEX(CODIFICACION!$E$2:$E$500,MATCH("D6.25|"&amp;CAPTURA!CD146,CODIFICACION!$F$2:$F$500,0))),"⚠"))</f>
        <v/>
      </c>
      <c r="AZ146" t="str">
        <f>IF(CAPTURA!CE146="","",IFERROR(IF(INDEX(CODIFICACION!$E$2:$E$500,MATCH("D6.25a|"&amp;CAPTURA!CE146,CODIFICACION!$F$2:$F$500,0))="sin dato","",INDEX(CODIFICACION!$E$2:$E$500,MATCH("D6.25a|"&amp;CAPTURA!CE146,CODIFICACION!$F$2:$F$500,0))),"⚠"))</f>
        <v/>
      </c>
      <c r="BA146" t="str">
        <f>IF(CAPTURA!CF146="","",IFERROR(IF(INDEX(CODIFICACION!$E$2:$E$500,MATCH("D6.25b|"&amp;CAPTURA!CF146,CODIFICACION!$F$2:$F$500,0))="sin dato","",INDEX(CODIFICACION!$E$2:$E$500,MATCH("D6.25b|"&amp;CAPTURA!CF146,CODIFICACION!$F$2:$F$500,0))),"⚠"))</f>
        <v/>
      </c>
      <c r="BB146" t="str">
        <f>IF(CAPTURA!CG146="","",IFERROR(IF(INDEX(CODIFICACION!$E$2:$E$500,MATCH("D6.22c|"&amp;CAPTURA!CG146,CODIFICACION!$F$2:$F$500,0))="sin dato","",INDEX(CODIFICACION!$E$2:$E$500,MATCH("D6.22c|"&amp;CAPTURA!CG146,CODIFICACION!$F$2:$F$500,0))),"⚠"))</f>
        <v/>
      </c>
      <c r="BC146" t="str">
        <f>IF(CAPTURA!CH146="","",IFERROR(IF(INDEX(CODIFICACION!$E$2:$E$500,MATCH("D7.26|"&amp;CAPTURA!CH146,CODIFICACION!$F$2:$F$500,0))="sin dato","",INDEX(CODIFICACION!$E$2:$E$500,MATCH("D7.26|"&amp;CAPTURA!CH146,CODIFICACION!$F$2:$F$500,0))),"⚠"))</f>
        <v/>
      </c>
      <c r="BD146" t="str">
        <f>IF(CAPTURA!CI146="","",IFERROR(IF(INDEX(CODIFICACION!$E$2:$E$500,MATCH("D7.27|"&amp;CAPTURA!CI146,CODIFICACION!$F$2:$F$500,0))="sin dato","",INDEX(CODIFICACION!$E$2:$E$500,MATCH("D7.27|"&amp;CAPTURA!CI146,CODIFICACION!$F$2:$F$500,0))),"⚠"))</f>
        <v/>
      </c>
      <c r="BE146" t="str">
        <f>IF(CAPTURA!CJ146="","",IFERROR(IF(INDEX(CODIFICACION!$E$2:$E$500,MATCH("D7.28|"&amp;CAPTURA!CJ146,CODIFICACION!$F$2:$F$500,0))="sin dato","",INDEX(CODIFICACION!$E$2:$E$500,MATCH("D7.28|"&amp;CAPTURA!CJ146,CODIFICACION!$F$2:$F$500,0))),"⚠"))</f>
        <v/>
      </c>
      <c r="BF146" t="str">
        <f>IF(CAPTURA!CK146="","",IFERROR(IF(INDEX(CODIFICACION!$E$2:$E$500,MATCH("D7.28b|"&amp;CAPTURA!CK146,CODIFICACION!$F$2:$F$500,0))="sin dato","",INDEX(CODIFICACION!$E$2:$E$500,MATCH("D7.28b|"&amp;CAPTURA!CK146,CODIFICACION!$F$2:$F$500,0))),"⚠"))</f>
        <v/>
      </c>
      <c r="BG146" t="str">
        <f>IF(CAPTURA!CL146="","",MIN(100,ROUND((LEN(CAPTURA!CL146)-LEN(SUBSTITUTE(CAPTURA!CL146,";",""))+1)/8*100,1)))</f>
        <v/>
      </c>
      <c r="BH146" t="str">
        <f>IF(CAPTURA!CM146="","",IFERROR(IF(INDEX(CODIFICACION!$E$2:$E$500,MATCH("D7.26a|"&amp;CAPTURA!CM146,CODIFICACION!$F$2:$F$500,0))="sin dato","",INDEX(CODIFICACION!$E$2:$E$500,MATCH("D7.26a|"&amp;CAPTURA!CM146,CODIFICACION!$F$2:$F$500,0))),"⚠"))</f>
        <v/>
      </c>
      <c r="BI146" t="str">
        <f>IF(CAPTURA!CN146="","",IFERROR(IF(INDEX(CODIFICACION!$E$2:$E$500,MATCH("D7.26b|"&amp;CAPTURA!CN146,CODIFICACION!$F$2:$F$500,0))="sin dato","",INDEX(CODIFICACION!$E$2:$E$500,MATCH("D7.26b|"&amp;CAPTURA!CN146,CODIFICACION!$F$2:$F$500,0))),"⚠"))</f>
        <v/>
      </c>
      <c r="BJ146" t="str">
        <f>IF(CAPTURA!CO146="","",IF(AND(ISNUMBER(CAPTURA!CO146),CAPTURA!CO146&gt;=0,CAPTURA!CO146&lt;=4),CAPTURA!CO146*25,"⚠"))</f>
        <v/>
      </c>
      <c r="BK146" t="str">
        <f>IF(CAPTURA!CP146="","",IF(ISNUMBER(CAPTURA!CP146),MAX(0,MIN(100,CAPTURA!CP146)),"⚠"))</f>
        <v/>
      </c>
      <c r="BL146" t="str">
        <f>IF(CAPTURA!CQ146="","",IFERROR(IF(INDEX(CODIFICACION!$E$2:$E$500,MATCH("D8.31|"&amp;CAPTURA!CQ146,CODIFICACION!$F$2:$F$500,0))="sin dato","",INDEX(CODIFICACION!$E$2:$E$500,MATCH("D8.31|"&amp;CAPTURA!CQ146,CODIFICACION!$F$2:$F$500,0))),"⚠"))</f>
        <v/>
      </c>
      <c r="BM146" t="str">
        <f>IF(CAPTURA!CR146="","",IFERROR(IF(INDEX(CODIFICACION!$E$2:$E$500,MATCH("D8.32|"&amp;CAPTURA!CR146,CODIFICACION!$F$2:$F$500,0))="sin dato","",INDEX(CODIFICACION!$E$2:$E$500,MATCH("D8.32|"&amp;CAPTURA!CR146,CODIFICACION!$F$2:$F$500,0))),"⚠"))</f>
        <v/>
      </c>
      <c r="BN146" t="str">
        <f>IF(CAPTURA!CS146="","",IFERROR(IF(INDEX(CODIFICACION!$E$2:$E$500,MATCH("D9.33|"&amp;CAPTURA!CS146,CODIFICACION!$F$2:$F$500,0))="sin dato","",INDEX(CODIFICACION!$E$2:$E$500,MATCH("D9.33|"&amp;CAPTURA!CS146,CODIFICACION!$F$2:$F$500,0))),"⚠"))</f>
        <v/>
      </c>
      <c r="BO146" t="str">
        <f>IF(CAPTURA!CT146="","",IFERROR(IF(INDEX(CODIFICACION!$E$2:$E$500,MATCH("D9.34|"&amp;CAPTURA!CT146,CODIFICACION!$F$2:$F$500,0))="sin dato","",INDEX(CODIFICACION!$E$2:$E$500,MATCH("D9.34|"&amp;CAPTURA!CT146,CODIFICACION!$F$2:$F$500,0))),"⚠"))</f>
        <v/>
      </c>
      <c r="BP146" t="str">
        <f>IF(CAPTURA!CU146="","",IFERROR(IF(INDEX(CODIFICACION!$E$2:$E$500,MATCH("D9.35|"&amp;CAPTURA!CU146,CODIFICACION!$F$2:$F$500,0))="sin dato","",INDEX(CODIFICACION!$E$2:$E$500,MATCH("D9.35|"&amp;CAPTURA!CU146,CODIFICACION!$F$2:$F$500,0))),"⚠"))</f>
        <v/>
      </c>
      <c r="BQ146" t="str">
        <f>IF(CAPTURA!CV146="","",IFERROR(IF(INDEX(CODIFICACION!$E$2:$E$500,MATCH("D10.36|"&amp;CAPTURA!CV146,CODIFICACION!$F$2:$F$500,0))="sin dato","",INDEX(CODIFICACION!$E$2:$E$500,MATCH("D10.36|"&amp;CAPTURA!CV146,CODIFICACION!$F$2:$F$500,0))),"⚠"))</f>
        <v/>
      </c>
      <c r="BR146" t="str">
        <f>IF(CAPTURA!CW146="","",IFERROR(IF(INDEX(CODIFICACION!$E$2:$E$500,MATCH("D10.37|"&amp;CAPTURA!CW146,CODIFICACION!$F$2:$F$500,0))="sin dato","",INDEX(CODIFICACION!$E$2:$E$500,MATCH("D10.37|"&amp;CAPTURA!CW146,CODIFICACION!$F$2:$F$500,0))),"⚠"))</f>
        <v/>
      </c>
      <c r="BS146" t="str">
        <f>IF(CAPTURA!CX146="","",IFERROR(IF(INDEX(CODIFICACION!$E$2:$E$500,MATCH("D10.36a|"&amp;CAPTURA!CX146,CODIFICACION!$F$2:$F$500,0))="sin dato","",INDEX(CODIFICACION!$E$2:$E$500,MATCH("D10.36a|"&amp;CAPTURA!CX146,CODIFICACION!$F$2:$F$500,0))),"⚠"))</f>
        <v/>
      </c>
      <c r="BT146" t="str">
        <f>IF(CAPTURA!CY146="","",IF(ISNUMBER(SEARCH("Ninguno",CAPTURA!CY146)),0,MIN(100,ROUND((LEN(CAPTURA!CY146)-LEN(SUBSTITUTE(CAPTURA!CY146,";",""))+1)/6*100,1))))</f>
        <v/>
      </c>
      <c r="BU146" t="str">
        <f>IF(CAPTURA!DA146="","",IFERROR(IF(INDEX(CODIFICACION!$E$2:$E$500,MATCH("D11.39a|"&amp;CAPTURA!DA146,CODIFICACION!$F$2:$F$500,0))="sin dato","",INDEX(CODIFICACION!$E$2:$E$500,MATCH("D11.39a|"&amp;CAPTURA!DA146,CODIFICACION!$F$2:$F$500,0))),"⚠"))</f>
        <v/>
      </c>
      <c r="BV146" t="str">
        <f>IF(CAPTURA!DB146="","",IFERROR(IF(INDEX(CODIFICACION!$E$2:$E$500,MATCH("D12.42|"&amp;CAPTURA!DB146,CODIFICACION!$F$2:$F$500,0))="sin dato","",INDEX(CODIFICACION!$E$2:$E$500,MATCH("D12.42|"&amp;CAPTURA!DB146,CODIFICACION!$F$2:$F$500,0))),"⚠"))</f>
        <v/>
      </c>
      <c r="BW146" t="str">
        <f>IF(CAPTURA!DC146="","",IFERROR(IF(INDEX(CODIFICACION!$E$2:$E$500,MATCH("D13.45|"&amp;CAPTURA!DC146,CODIFICACION!$F$2:$F$500,0))="sin dato","",INDEX(CODIFICACION!$E$2:$E$500,MATCH("D13.45|"&amp;CAPTURA!DC146,CODIFICACION!$F$2:$F$500,0))),"⚠"))</f>
        <v/>
      </c>
      <c r="BX146" t="str">
        <f>IF(CAPTURA!DD146="","",IFERROR(IF(INDEX(CODIFICACION!$E$2:$E$500,MATCH("D14.51|"&amp;CAPTURA!DD146,CODIFICACION!$F$2:$F$500,0))="sin dato","",INDEX(CODIFICACION!$E$2:$E$500,MATCH("D14.51|"&amp;CAPTURA!DD146,CODIFICACION!$F$2:$F$500,0))),"⚠"))</f>
        <v/>
      </c>
      <c r="BY146" t="str">
        <f>IF(CAPTURA!DE146="","",IFERROR(IF(INDEX(CODIFICACION!$E$2:$E$500,MATCH("D15.58|"&amp;CAPTURA!DE146,CODIFICACION!$F$2:$F$500,0))="sin dato","",INDEX(CODIFICACION!$E$2:$E$500,MATCH("D15.58|"&amp;CAPTURA!DE146,CODIFICACION!$F$2:$F$500,0))),"⚠"))</f>
        <v/>
      </c>
      <c r="BZ146" t="str">
        <f>IF(CAPTURA!DF146="","",IFERROR(IF(INDEX(CODIFICACION!$E$2:$E$500,MATCH("PP1|"&amp;CAPTURA!DF146,CODIFICACION!$F$2:$F$500,0))="sin dato","",INDEX(CODIFICACION!$E$2:$E$500,MATCH("PP1|"&amp;CAPTURA!DF146,CODIFICACION!$F$2:$F$500,0))),"⚠"))</f>
        <v/>
      </c>
      <c r="CA146" t="str">
        <f>IF(CAPTURA!DG146="","",IFERROR(IF(INDEX(CODIFICACION!$E$2:$E$500,MATCH("PP2|"&amp;CAPTURA!DG146,CODIFICACION!$F$2:$F$500,0))="sin dato","",INDEX(CODIFICACION!$E$2:$E$500,MATCH("PP2|"&amp;CAPTURA!DG146,CODIFICACION!$F$2:$F$500,0))),"⚠"))</f>
        <v/>
      </c>
      <c r="CB146" t="str">
        <f t="shared" si="44"/>
        <v/>
      </c>
      <c r="CC146" t="str">
        <f t="shared" si="45"/>
        <v/>
      </c>
      <c r="CD146" t="str">
        <f t="shared" si="46"/>
        <v/>
      </c>
      <c r="CE146" t="str">
        <f t="shared" si="47"/>
        <v/>
      </c>
      <c r="CF146" t="str">
        <f t="shared" si="48"/>
        <v/>
      </c>
      <c r="CG146" t="str">
        <f t="shared" si="49"/>
        <v/>
      </c>
      <c r="CH146" t="str">
        <f t="shared" si="50"/>
        <v/>
      </c>
      <c r="CI146" t="str">
        <f t="shared" si="51"/>
        <v/>
      </c>
      <c r="CJ146" t="str">
        <f t="shared" si="52"/>
        <v/>
      </c>
      <c r="CK146" t="str">
        <f t="shared" si="53"/>
        <v/>
      </c>
      <c r="CL146" t="str">
        <f t="shared" si="54"/>
        <v/>
      </c>
    </row>
    <row r="147" spans="1:90" x14ac:dyDescent="0.3">
      <c r="A147">
        <f>CAPTURA!A147</f>
        <v>20604151954</v>
      </c>
      <c r="B147">
        <f>CAPTURA!C147</f>
        <v>0</v>
      </c>
      <c r="C147" t="str">
        <f>IF(CAPTURA!M147="","",ROUND((ISNUMBER(SEARCH("Alemania",CAPTURA!M147))+ISNUMBER(SEARCH("Bélgica",CAPTURA!M147))+ISNUMBER(SEARCH("Países Bajos",CAPTURA!M147))+ISNUMBER(SEARCH("Francia",CAPTURA!M147))+ISNUMBER(SEARCH("Italia",CAPTURA!M147))+ISNUMBER(SEARCH("España",CAPTURA!M147))+ISNUMBER(SEARCH("Suecia",CAPTURA!M147))+ISNUMBER(SEARCH("Dinamarca",CAPTURA!M147)))/((LEN(CAPTURA!M147)-LEN(SUBSTITUTE(CAPTURA!M147,";","")))+1)*100,1))</f>
        <v/>
      </c>
      <c r="D147" t="str">
        <f>IF(CAPTURA!AE147="","",IFERROR(IF(INDEX(CODIFICACION!$E$2:$E$500,MATCH("P8|"&amp;CAPTURA!AE147,CODIFICACION!$F$2:$F$500,0))="sin dato","",INDEX(CODIFICACION!$E$2:$E$500,MATCH("P8|"&amp;CAPTURA!AE147,CODIFICACION!$F$2:$F$500,0))),"⚠"))</f>
        <v/>
      </c>
      <c r="E147" t="str">
        <f>IF(CAPTURA!AG147="","",IFERROR(IF(INDEX(CODIFICACION!$E$2:$E$500,MATCH("P10|"&amp;CAPTURA!AG147,CODIFICACION!$F$2:$F$500,0))="sin dato","",INDEX(CODIFICACION!$E$2:$E$500,MATCH("P10|"&amp;CAPTURA!AG147,CODIFICACION!$F$2:$F$500,0))),"⚠"))</f>
        <v/>
      </c>
      <c r="F147" t="str">
        <f>IF(CAPTURA!AJ147="","",IFERROR(IF(INDEX(CODIFICACION!$E$2:$E$500,MATCH("P13|"&amp;CAPTURA!AJ147,CODIFICACION!$F$2:$F$500,0))="sin dato","",INDEX(CODIFICACION!$E$2:$E$500,MATCH("P13|"&amp;CAPTURA!AJ147,CODIFICACION!$F$2:$F$500,0))),"⚠"))</f>
        <v/>
      </c>
      <c r="G147" t="str">
        <f>IF(CAPTURA!AK147="","",IFERROR(IF(INDEX(CODIFICACION!$E$2:$E$500,MATCH("P14|"&amp;CAPTURA!AK147,CODIFICACION!$F$2:$F$500,0))="sin dato","",INDEX(CODIFICACION!$E$2:$E$500,MATCH("P14|"&amp;CAPTURA!AK147,CODIFICACION!$F$2:$F$500,0))),"⚠"))</f>
        <v/>
      </c>
      <c r="H147" t="str">
        <f>IF(CAPTURA!AL147="","",IFERROR(IF(INDEX(CODIFICACION!$E$2:$E$500,MATCH("D1.1|"&amp;CAPTURA!AL147,CODIFICACION!$F$2:$F$500,0))="sin dato","",INDEX(CODIFICACION!$E$2:$E$500,MATCH("D1.1|"&amp;CAPTURA!AL147,CODIFICACION!$F$2:$F$500,0))),"⚠"))</f>
        <v/>
      </c>
      <c r="I147" t="str">
        <f>IF(CAPTURA!AN147="","",IFERROR(IF(INDEX(CODIFICACION!$E$2:$E$500,MATCH("D1.3|"&amp;CAPTURA!AN147,CODIFICACION!$F$2:$F$500,0))="sin dato","",INDEX(CODIFICACION!$E$2:$E$500,MATCH("D1.3|"&amp;CAPTURA!AN147,CODIFICACION!$F$2:$F$500,0))),"⚠"))</f>
        <v/>
      </c>
      <c r="J147" t="str">
        <f>IF(CAPTURA!AO147="","",IFERROR(IF(INDEX(CODIFICACION!$E$2:$E$500,MATCH("D1.4|"&amp;CAPTURA!AO147,CODIFICACION!$F$2:$F$500,0))="sin dato","",INDEX(CODIFICACION!$E$2:$E$500,MATCH("D1.4|"&amp;CAPTURA!AO147,CODIFICACION!$F$2:$F$500,0))),"⚠"))</f>
        <v/>
      </c>
      <c r="K147" t="str">
        <f>IF(CAPTURA!AP147="","",IFERROR(IF(INDEX(CODIFICACION!$E$2:$E$500,MATCH("D1.3a|"&amp;CAPTURA!AP147,CODIFICACION!$F$2:$F$500,0))="sin dato","",INDEX(CODIFICACION!$E$2:$E$500,MATCH("D1.3a|"&amp;CAPTURA!AP147,CODIFICACION!$F$2:$F$500,0))),"⚠"))</f>
        <v/>
      </c>
      <c r="L147" t="str">
        <f>IF(CAPTURA!AQ147="","",IF(AND(ISNUMBER(CAPTURA!AQ147),CAPTURA!AQ147&gt;=0,CAPTURA!AQ147&lt;=4),CAPTURA!AQ147*25,"⚠"))</f>
        <v/>
      </c>
      <c r="M147" t="str">
        <f>IF(CAPTURA!AR147="","",IF(ISNUMBER(CAPTURA!AR147),MAX(0,MIN(100,CAPTURA!AR147)),"⚠"))</f>
        <v/>
      </c>
      <c r="N147" t="str">
        <f>IF(CAPTURA!AS147="","",IF(AND(ISNUMBER(CAPTURA!AS147),CAPTURA!AS147&gt;=0,CAPTURA!AS147&lt;=4),CAPTURA!AS147*25,"⚠"))</f>
        <v/>
      </c>
      <c r="O147" t="str">
        <f>IF(CAPTURA!AT147="","",IFERROR(IF(INDEX(CODIFICACION!$E$2:$E$500,MATCH("D2.8|"&amp;CAPTURA!AT147,CODIFICACION!$F$2:$F$500,0))="sin dato","",INDEX(CODIFICACION!$E$2:$E$500,MATCH("D2.8|"&amp;CAPTURA!AT147,CODIFICACION!$F$2:$F$500,0))),"⚠"))</f>
        <v/>
      </c>
      <c r="P147" t="str">
        <f>IF(CAPTURA!AU147="","",IFERROR(IF(INDEX(CODIFICACION!$E$2:$E$500,MATCH("D2.9|"&amp;CAPTURA!AU147,CODIFICACION!$F$2:$F$500,0))="sin dato","",INDEX(CODIFICACION!$E$2:$E$500,MATCH("D2.9|"&amp;CAPTURA!AU147,CODIFICACION!$F$2:$F$500,0))),"⚠"))</f>
        <v/>
      </c>
      <c r="Q147" t="str">
        <f>IF(CAPTURA!AV147="","",IFERROR(IF(INDEX(CODIFICACION!$E$2:$E$500,MATCH("D2.10|"&amp;CAPTURA!AV147,CODIFICACION!$F$2:$F$500,0))="sin dato","",INDEX(CODIFICACION!$E$2:$E$500,MATCH("D2.10|"&amp;CAPTURA!AV147,CODIFICACION!$F$2:$F$500,0))),"⚠"))</f>
        <v/>
      </c>
      <c r="R147" t="str">
        <f>IF(CAPTURA!AW147="","",IFERROR(IF(INDEX(CODIFICACION!$E$2:$E$500,MATCH("D2.5a|"&amp;CAPTURA!AW147,CODIFICACION!$F$2:$F$500,0))="sin dato","",INDEX(CODIFICACION!$E$2:$E$500,MATCH("D2.5a|"&amp;CAPTURA!AW147,CODIFICACION!$F$2:$F$500,0))),"⚠"))</f>
        <v/>
      </c>
      <c r="S147" t="str">
        <f>IF(CAPTURA!AX147="","",IFERROR(IF(INDEX(CODIFICACION!$E$2:$E$500,MATCH("D2.5b|"&amp;CAPTURA!AX147,CODIFICACION!$F$2:$F$500,0))="sin dato","",INDEX(CODIFICACION!$E$2:$E$500,MATCH("D2.5b|"&amp;CAPTURA!AX147,CODIFICACION!$F$2:$F$500,0))),"⚠"))</f>
        <v/>
      </c>
      <c r="T147" t="str">
        <f>IF(CAPTURA!AY147="","",IF(ISNUMBER(CAPTURA!AY147),MAX(0,MIN(100,CAPTURA!AY147)),"⚠"))</f>
        <v/>
      </c>
      <c r="U147" t="str">
        <f>IF(CAPTURA!AZ147="","",IFERROR(IF(INDEX(CODIFICACION!$E$2:$E$500,MATCH("D3.12|"&amp;CAPTURA!AZ147,CODIFICACION!$F$2:$F$500,0))="sin dato","",INDEX(CODIFICACION!$E$2:$E$500,MATCH("D3.12|"&amp;CAPTURA!AZ147,CODIFICACION!$F$2:$F$500,0))),"⚠"))</f>
        <v/>
      </c>
      <c r="V147" t="str">
        <f>IF(CAPTURA!BA147="","",IF(AND(ISNUMBER(CAPTURA!BA147),CAPTURA!BA147&gt;=0,CAPTURA!BA147&lt;=4),CAPTURA!BA147*25,"⚠"))</f>
        <v/>
      </c>
      <c r="W147" t="str">
        <f>IF(CAPTURA!BB147="","",IFERROR(IF(INDEX(CODIFICACION!$E$2:$E$500,MATCH("D3.14|"&amp;CAPTURA!BB147,CODIFICACION!$F$2:$F$500,0))="sin dato","",INDEX(CODIFICACION!$E$2:$E$500,MATCH("D3.14|"&amp;CAPTURA!BB147,CODIFICACION!$F$2:$F$500,0))),"⚠"))</f>
        <v/>
      </c>
      <c r="X147" t="str">
        <f>IF(CAPTURA!BC147="","",IFERROR(IF(INDEX(CODIFICACION!$E$2:$E$500,MATCH("D3.14a|"&amp;CAPTURA!BC147,CODIFICACION!$F$2:$F$500,0))="sin dato","",INDEX(CODIFICACION!$E$2:$E$500,MATCH("D3.14a|"&amp;CAPTURA!BC147,CODIFICACION!$F$2:$F$500,0))),"⚠"))</f>
        <v/>
      </c>
      <c r="Y147" t="str">
        <f>IF(CAPTURA!BD147="","",IFERROR(IF(INDEX(CODIFICACION!$E$2:$E$500,MATCH("D3.14b|"&amp;CAPTURA!BD147,CODIFICACION!$F$2:$F$500,0))="sin dato","",INDEX(CODIFICACION!$E$2:$E$500,MATCH("D3.14b|"&amp;CAPTURA!BD147,CODIFICACION!$F$2:$F$500,0))),"⚠"))</f>
        <v/>
      </c>
      <c r="Z147" t="str">
        <f>IF(CAPTURA!BE147="","",IFERROR(IF(INDEX(CODIFICACION!$E$2:$E$500,MATCH("D3.14c|"&amp;CAPTURA!BE147,CODIFICACION!$F$2:$F$500,0))="sin dato","",INDEX(CODIFICACION!$E$2:$E$500,MATCH("D3.14c|"&amp;CAPTURA!BE147,CODIFICACION!$F$2:$F$500,0))),"⚠"))</f>
        <v/>
      </c>
      <c r="AA147" t="str">
        <f>IF(CAPTURA!BF147="","",IFERROR(IF(INDEX(CODIFICACION!$E$2:$E$500,MATCH("D3.14d|"&amp;CAPTURA!BF147,CODIFICACION!$F$2:$F$500,0))="sin dato","",INDEX(CODIFICACION!$E$2:$E$500,MATCH("D3.14d|"&amp;CAPTURA!BF147,CODIFICACION!$F$2:$F$500,0))),"⚠"))</f>
        <v/>
      </c>
      <c r="AB147" t="str">
        <f>IF(CAPTURA!BG147="","",IFERROR(IF(INDEX(CODIFICACION!$E$2:$E$500,MATCH("D3.14e|"&amp;CAPTURA!BG147,CODIFICACION!$F$2:$F$500,0))="sin dato","",INDEX(CODIFICACION!$E$2:$E$500,MATCH("D3.14e|"&amp;CAPTURA!BG147,CODIFICACION!$F$2:$F$500,0))),"⚠"))</f>
        <v/>
      </c>
      <c r="AC147" t="str">
        <f>IF(CAPTURA!BH147="","",IFERROR(IF(INDEX(CODIFICACION!$E$2:$E$500,MATCH("D3.14f|"&amp;CAPTURA!BH147,CODIFICACION!$F$2:$F$500,0))="sin dato","",INDEX(CODIFICACION!$E$2:$E$500,MATCH("D3.14f|"&amp;CAPTURA!BH147,CODIFICACION!$F$2:$F$500,0))),"⚠"))</f>
        <v/>
      </c>
      <c r="AD147" t="str">
        <f>IF(CAPTURA!BI147="","",IFERROR(IF(INDEX(CODIFICACION!$E$2:$E$500,MATCH("D3.14g|"&amp;CAPTURA!BI147,CODIFICACION!$F$2:$F$500,0))="sin dato","",INDEX(CODIFICACION!$E$2:$E$500,MATCH("D3.14g|"&amp;CAPTURA!BI147,CODIFICACION!$F$2:$F$500,0))),"⚠"))</f>
        <v/>
      </c>
      <c r="AE147" t="str">
        <f>IF(CAPTURA!BJ147="","",IFERROR(IF(INDEX(CODIFICACION!$E$2:$E$500,MATCH("D3.14h|"&amp;CAPTURA!BJ147,CODIFICACION!$F$2:$F$500,0))="sin dato","",INDEX(CODIFICACION!$E$2:$E$500,MATCH("D3.14h|"&amp;CAPTURA!BJ147,CODIFICACION!$F$2:$F$500,0))),"⚠"))</f>
        <v/>
      </c>
      <c r="AF147" t="str">
        <f>IF(CAPTURA!BK147="","",IFERROR(IF(INDEX(CODIFICACION!$E$2:$E$500,MATCH("D3.14i|"&amp;CAPTURA!BK147,CODIFICACION!$F$2:$F$500,0))="sin dato","",INDEX(CODIFICACION!$E$2:$E$500,MATCH("D3.14i|"&amp;CAPTURA!BK147,CODIFICACION!$F$2:$F$500,0))),"⚠"))</f>
        <v/>
      </c>
      <c r="AG147" t="str">
        <f>IF(CAPTURA!BL147="","",IFERROR(IF(INDEX(CODIFICACION!$E$2:$E$500,MATCH("D4.15|"&amp;CAPTURA!BL147,CODIFICACION!$F$2:$F$500,0))="sin dato","",INDEX(CODIFICACION!$E$2:$E$500,MATCH("D4.15|"&amp;CAPTURA!BL147,CODIFICACION!$F$2:$F$500,0))),"⚠"))</f>
        <v/>
      </c>
      <c r="AH147" t="str">
        <f>IF(CAPTURA!BM147="","",IF(AND(ISNUMBER(CAPTURA!BM147),CAPTURA!BM147&gt;=0,CAPTURA!BM147&lt;=4),CAPTURA!BM147*25,"⚠"))</f>
        <v/>
      </c>
      <c r="AI147" t="str">
        <f>IF(CAPTURA!BN147="","",IFERROR(IF(INDEX(CODIFICACION!$E$2:$E$500,MATCH("D4.17|"&amp;CAPTURA!BN147,CODIFICACION!$F$2:$F$500,0))="sin dato","",INDEX(CODIFICACION!$E$2:$E$500,MATCH("D4.17|"&amp;CAPTURA!BN147,CODIFICACION!$F$2:$F$500,0))),"⚠"))</f>
        <v/>
      </c>
      <c r="AJ147" t="str">
        <f>IF(CAPTURA!BO147="","",IFERROR(IF(INDEX(CODIFICACION!$E$2:$E$500,MATCH("D4.15a|"&amp;CAPTURA!BO147,CODIFICACION!$F$2:$F$500,0))="sin dato","",INDEX(CODIFICACION!$E$2:$E$500,MATCH("D4.15a|"&amp;CAPTURA!BO147,CODIFICACION!$F$2:$F$500,0))),"⚠"))</f>
        <v/>
      </c>
      <c r="AK147" t="str">
        <f>IF(CAPTURA!BP147="","",IF(AND(ISNUMBER(CAPTURA!BP147),CAPTURA!BP147&gt;=0,CAPTURA!BP147&lt;=4),CAPTURA!BP147*25,"⚠"))</f>
        <v/>
      </c>
      <c r="AL147" t="str">
        <f>IF(CAPTURA!BQ147="","",IF(AND(ISNUMBER(CAPTURA!BQ147),CAPTURA!BQ147&gt;=0,CAPTURA!BQ147&lt;=4),CAPTURA!BQ147*25,"⚠"))</f>
        <v/>
      </c>
      <c r="AM147" t="str">
        <f>IF(CAPTURA!BR147="","",IFERROR(IF(INDEX(CODIFICACION!$E$2:$E$500,MATCH("D5.18b|"&amp;CAPTURA!BR147,CODIFICACION!$F$2:$F$500,0))="sin dato","",INDEX(CODIFICACION!$E$2:$E$500,MATCH("D5.18b|"&amp;CAPTURA!BR147,CODIFICACION!$F$2:$F$500,0))),"⚠"))</f>
        <v/>
      </c>
      <c r="AN147" t="str">
        <f>IF(CAPTURA!BS147="","",IFERROR(IF(INDEX(CODIFICACION!$E$2:$E$500,MATCH("D5.19|"&amp;CAPTURA!BS147,CODIFICACION!$F$2:$F$500,0))="sin dato","",INDEX(CODIFICACION!$E$2:$E$500,MATCH("D5.19|"&amp;CAPTURA!BS147,CODIFICACION!$F$2:$F$500,0))),"⚠"))</f>
        <v/>
      </c>
      <c r="AO147" t="str">
        <f>IF(CAPTURA!BT147="","",MIN(100,ROUND((LEN(CAPTURA!BT147)-LEN(SUBSTITUTE(CAPTURA!BT147,";",""))+1)/7*100,1)))</f>
        <v/>
      </c>
      <c r="AP147" t="str">
        <f>IF(CAPTURA!BU147="","",IFERROR(IF(INDEX(CODIFICACION!$E$2:$E$500,MATCH("D5.20|"&amp;CAPTURA!BU147,CODIFICACION!$F$2:$F$500,0))="sin dato","",INDEX(CODIFICACION!$E$2:$E$500,MATCH("D5.20|"&amp;CAPTURA!BU147,CODIFICACION!$F$2:$F$500,0))),"⚠"))</f>
        <v/>
      </c>
      <c r="AQ147" t="str">
        <f>IF(CAPTURA!BV147="","",IFERROR(IF(INDEX(CODIFICACION!$E$2:$E$500,MATCH("D5.21|"&amp;CAPTURA!BV147,CODIFICACION!$F$2:$F$500,0))="sin dato","",INDEX(CODIFICACION!$E$2:$E$500,MATCH("D5.21|"&amp;CAPTURA!BV147,CODIFICACION!$F$2:$F$500,0))),"⚠"))</f>
        <v/>
      </c>
      <c r="AR147" t="str">
        <f>IF(CAPTURA!BW147="","",IFERROR(IF(INDEX(CODIFICACION!$E$2:$E$500,MATCH("D5.21a|"&amp;CAPTURA!BW147,CODIFICACION!$F$2:$F$500,0))="sin dato","",INDEX(CODIFICACION!$E$2:$E$500,MATCH("D5.21a|"&amp;CAPTURA!BW147,CODIFICACION!$F$2:$F$500,0))),"⚠"))</f>
        <v/>
      </c>
      <c r="AS147" t="str">
        <f>IF(CAPTURA!BX147="","",IFERROR(IF(INDEX(CODIFICACION!$E$2:$E$500,MATCH("D5.21b|"&amp;CAPTURA!BX147,CODIFICACION!$F$2:$F$500,0))="sin dato","",INDEX(CODIFICACION!$E$2:$E$500,MATCH("D5.21b|"&amp;CAPTURA!BX147,CODIFICACION!$F$2:$F$500,0))),"⚠"))</f>
        <v/>
      </c>
      <c r="AT147" t="str">
        <f>IF(CAPTURA!BY147="","",IFERROR(IF(INDEX(CODIFICACION!$E$2:$E$500,MATCH("D6.22|"&amp;CAPTURA!BY147,CODIFICACION!$F$2:$F$500,0))="sin dato","",INDEX(CODIFICACION!$E$2:$E$500,MATCH("D6.22|"&amp;CAPTURA!BY147,CODIFICACION!$F$2:$F$500,0))),"⚠"))</f>
        <v/>
      </c>
      <c r="AU147" t="str">
        <f>IF(CAPTURA!BZ147="","",IFERROR(IF(INDEX(CODIFICACION!$E$2:$E$500,MATCH("D6.22a|"&amp;CAPTURA!BZ147,CODIFICACION!$F$2:$F$500,0))="sin dato","",INDEX(CODIFICACION!$E$2:$E$500,MATCH("D6.22a|"&amp;CAPTURA!BZ147,CODIFICACION!$F$2:$F$500,0))),"⚠"))</f>
        <v/>
      </c>
      <c r="AV147" t="str">
        <f>IF(CAPTURA!CA147="","",IFERROR(IF(INDEX(CODIFICACION!$E$2:$E$500,MATCH("D6.22b|"&amp;CAPTURA!CA147,CODIFICACION!$F$2:$F$500,0))="sin dato","",INDEX(CODIFICACION!$E$2:$E$500,MATCH("D6.22b|"&amp;CAPTURA!CA147,CODIFICACION!$F$2:$F$500,0))),"⚠"))</f>
        <v/>
      </c>
      <c r="AW147" t="str">
        <f>IF(CAPTURA!CB147="","",IFERROR(IF(INDEX(CODIFICACION!$E$2:$E$500,MATCH("D6.23|"&amp;CAPTURA!CB147,CODIFICACION!$F$2:$F$500,0))="sin dato","",INDEX(CODIFICACION!$E$2:$E$500,MATCH("D6.23|"&amp;CAPTURA!CB147,CODIFICACION!$F$2:$F$500,0))),"⚠"))</f>
        <v/>
      </c>
      <c r="AX147" t="str">
        <f>IF(CAPTURA!CC147="","",IFERROR(IF(INDEX(CODIFICACION!$E$2:$E$500,MATCH("D6.24|"&amp;CAPTURA!CC147,CODIFICACION!$F$2:$F$500,0))="sin dato","",INDEX(CODIFICACION!$E$2:$E$500,MATCH("D6.24|"&amp;CAPTURA!CC147,CODIFICACION!$F$2:$F$500,0))),"⚠"))</f>
        <v/>
      </c>
      <c r="AY147" t="str">
        <f>IF(CAPTURA!CD147="","",IFERROR(IF(INDEX(CODIFICACION!$E$2:$E$500,MATCH("D6.25|"&amp;CAPTURA!CD147,CODIFICACION!$F$2:$F$500,0))="sin dato","",INDEX(CODIFICACION!$E$2:$E$500,MATCH("D6.25|"&amp;CAPTURA!CD147,CODIFICACION!$F$2:$F$500,0))),"⚠"))</f>
        <v/>
      </c>
      <c r="AZ147" t="str">
        <f>IF(CAPTURA!CE147="","",IFERROR(IF(INDEX(CODIFICACION!$E$2:$E$500,MATCH("D6.25a|"&amp;CAPTURA!CE147,CODIFICACION!$F$2:$F$500,0))="sin dato","",INDEX(CODIFICACION!$E$2:$E$500,MATCH("D6.25a|"&amp;CAPTURA!CE147,CODIFICACION!$F$2:$F$500,0))),"⚠"))</f>
        <v/>
      </c>
      <c r="BA147" t="str">
        <f>IF(CAPTURA!CF147="","",IFERROR(IF(INDEX(CODIFICACION!$E$2:$E$500,MATCH("D6.25b|"&amp;CAPTURA!CF147,CODIFICACION!$F$2:$F$500,0))="sin dato","",INDEX(CODIFICACION!$E$2:$E$500,MATCH("D6.25b|"&amp;CAPTURA!CF147,CODIFICACION!$F$2:$F$500,0))),"⚠"))</f>
        <v/>
      </c>
      <c r="BB147" t="str">
        <f>IF(CAPTURA!CG147="","",IFERROR(IF(INDEX(CODIFICACION!$E$2:$E$500,MATCH("D6.22c|"&amp;CAPTURA!CG147,CODIFICACION!$F$2:$F$500,0))="sin dato","",INDEX(CODIFICACION!$E$2:$E$500,MATCH("D6.22c|"&amp;CAPTURA!CG147,CODIFICACION!$F$2:$F$500,0))),"⚠"))</f>
        <v/>
      </c>
      <c r="BC147" t="str">
        <f>IF(CAPTURA!CH147="","",IFERROR(IF(INDEX(CODIFICACION!$E$2:$E$500,MATCH("D7.26|"&amp;CAPTURA!CH147,CODIFICACION!$F$2:$F$500,0))="sin dato","",INDEX(CODIFICACION!$E$2:$E$500,MATCH("D7.26|"&amp;CAPTURA!CH147,CODIFICACION!$F$2:$F$500,0))),"⚠"))</f>
        <v/>
      </c>
      <c r="BD147" t="str">
        <f>IF(CAPTURA!CI147="","",IFERROR(IF(INDEX(CODIFICACION!$E$2:$E$500,MATCH("D7.27|"&amp;CAPTURA!CI147,CODIFICACION!$F$2:$F$500,0))="sin dato","",INDEX(CODIFICACION!$E$2:$E$500,MATCH("D7.27|"&amp;CAPTURA!CI147,CODIFICACION!$F$2:$F$500,0))),"⚠"))</f>
        <v/>
      </c>
      <c r="BE147" t="str">
        <f>IF(CAPTURA!CJ147="","",IFERROR(IF(INDEX(CODIFICACION!$E$2:$E$500,MATCH("D7.28|"&amp;CAPTURA!CJ147,CODIFICACION!$F$2:$F$500,0))="sin dato","",INDEX(CODIFICACION!$E$2:$E$500,MATCH("D7.28|"&amp;CAPTURA!CJ147,CODIFICACION!$F$2:$F$500,0))),"⚠"))</f>
        <v/>
      </c>
      <c r="BF147" t="str">
        <f>IF(CAPTURA!CK147="","",IFERROR(IF(INDEX(CODIFICACION!$E$2:$E$500,MATCH("D7.28b|"&amp;CAPTURA!CK147,CODIFICACION!$F$2:$F$500,0))="sin dato","",INDEX(CODIFICACION!$E$2:$E$500,MATCH("D7.28b|"&amp;CAPTURA!CK147,CODIFICACION!$F$2:$F$500,0))),"⚠"))</f>
        <v/>
      </c>
      <c r="BG147" t="str">
        <f>IF(CAPTURA!CL147="","",MIN(100,ROUND((LEN(CAPTURA!CL147)-LEN(SUBSTITUTE(CAPTURA!CL147,";",""))+1)/8*100,1)))</f>
        <v/>
      </c>
      <c r="BH147" t="str">
        <f>IF(CAPTURA!CM147="","",IFERROR(IF(INDEX(CODIFICACION!$E$2:$E$500,MATCH("D7.26a|"&amp;CAPTURA!CM147,CODIFICACION!$F$2:$F$500,0))="sin dato","",INDEX(CODIFICACION!$E$2:$E$500,MATCH("D7.26a|"&amp;CAPTURA!CM147,CODIFICACION!$F$2:$F$500,0))),"⚠"))</f>
        <v/>
      </c>
      <c r="BI147" t="str">
        <f>IF(CAPTURA!CN147="","",IFERROR(IF(INDEX(CODIFICACION!$E$2:$E$500,MATCH("D7.26b|"&amp;CAPTURA!CN147,CODIFICACION!$F$2:$F$500,0))="sin dato","",INDEX(CODIFICACION!$E$2:$E$500,MATCH("D7.26b|"&amp;CAPTURA!CN147,CODIFICACION!$F$2:$F$500,0))),"⚠"))</f>
        <v/>
      </c>
      <c r="BJ147" t="str">
        <f>IF(CAPTURA!CO147="","",IF(AND(ISNUMBER(CAPTURA!CO147),CAPTURA!CO147&gt;=0,CAPTURA!CO147&lt;=4),CAPTURA!CO147*25,"⚠"))</f>
        <v/>
      </c>
      <c r="BK147" t="str">
        <f>IF(CAPTURA!CP147="","",IF(ISNUMBER(CAPTURA!CP147),MAX(0,MIN(100,CAPTURA!CP147)),"⚠"))</f>
        <v/>
      </c>
      <c r="BL147" t="str">
        <f>IF(CAPTURA!CQ147="","",IFERROR(IF(INDEX(CODIFICACION!$E$2:$E$500,MATCH("D8.31|"&amp;CAPTURA!CQ147,CODIFICACION!$F$2:$F$500,0))="sin dato","",INDEX(CODIFICACION!$E$2:$E$500,MATCH("D8.31|"&amp;CAPTURA!CQ147,CODIFICACION!$F$2:$F$500,0))),"⚠"))</f>
        <v/>
      </c>
      <c r="BM147" t="str">
        <f>IF(CAPTURA!CR147="","",IFERROR(IF(INDEX(CODIFICACION!$E$2:$E$500,MATCH("D8.32|"&amp;CAPTURA!CR147,CODIFICACION!$F$2:$F$500,0))="sin dato","",INDEX(CODIFICACION!$E$2:$E$500,MATCH("D8.32|"&amp;CAPTURA!CR147,CODIFICACION!$F$2:$F$500,0))),"⚠"))</f>
        <v/>
      </c>
      <c r="BN147" t="str">
        <f>IF(CAPTURA!CS147="","",IFERROR(IF(INDEX(CODIFICACION!$E$2:$E$500,MATCH("D9.33|"&amp;CAPTURA!CS147,CODIFICACION!$F$2:$F$500,0))="sin dato","",INDEX(CODIFICACION!$E$2:$E$500,MATCH("D9.33|"&amp;CAPTURA!CS147,CODIFICACION!$F$2:$F$500,0))),"⚠"))</f>
        <v/>
      </c>
      <c r="BO147" t="str">
        <f>IF(CAPTURA!CT147="","",IFERROR(IF(INDEX(CODIFICACION!$E$2:$E$500,MATCH("D9.34|"&amp;CAPTURA!CT147,CODIFICACION!$F$2:$F$500,0))="sin dato","",INDEX(CODIFICACION!$E$2:$E$500,MATCH("D9.34|"&amp;CAPTURA!CT147,CODIFICACION!$F$2:$F$500,0))),"⚠"))</f>
        <v/>
      </c>
      <c r="BP147" t="str">
        <f>IF(CAPTURA!CU147="","",IFERROR(IF(INDEX(CODIFICACION!$E$2:$E$500,MATCH("D9.35|"&amp;CAPTURA!CU147,CODIFICACION!$F$2:$F$500,0))="sin dato","",INDEX(CODIFICACION!$E$2:$E$500,MATCH("D9.35|"&amp;CAPTURA!CU147,CODIFICACION!$F$2:$F$500,0))),"⚠"))</f>
        <v/>
      </c>
      <c r="BQ147" t="str">
        <f>IF(CAPTURA!CV147="","",IFERROR(IF(INDEX(CODIFICACION!$E$2:$E$500,MATCH("D10.36|"&amp;CAPTURA!CV147,CODIFICACION!$F$2:$F$500,0))="sin dato","",INDEX(CODIFICACION!$E$2:$E$500,MATCH("D10.36|"&amp;CAPTURA!CV147,CODIFICACION!$F$2:$F$500,0))),"⚠"))</f>
        <v/>
      </c>
      <c r="BR147" t="str">
        <f>IF(CAPTURA!CW147="","",IFERROR(IF(INDEX(CODIFICACION!$E$2:$E$500,MATCH("D10.37|"&amp;CAPTURA!CW147,CODIFICACION!$F$2:$F$500,0))="sin dato","",INDEX(CODIFICACION!$E$2:$E$500,MATCH("D10.37|"&amp;CAPTURA!CW147,CODIFICACION!$F$2:$F$500,0))),"⚠"))</f>
        <v/>
      </c>
      <c r="BS147" t="str">
        <f>IF(CAPTURA!CX147="","",IFERROR(IF(INDEX(CODIFICACION!$E$2:$E$500,MATCH("D10.36a|"&amp;CAPTURA!CX147,CODIFICACION!$F$2:$F$500,0))="sin dato","",INDEX(CODIFICACION!$E$2:$E$500,MATCH("D10.36a|"&amp;CAPTURA!CX147,CODIFICACION!$F$2:$F$500,0))),"⚠"))</f>
        <v/>
      </c>
      <c r="BT147" t="str">
        <f>IF(CAPTURA!CY147="","",IF(ISNUMBER(SEARCH("Ninguno",CAPTURA!CY147)),0,MIN(100,ROUND((LEN(CAPTURA!CY147)-LEN(SUBSTITUTE(CAPTURA!CY147,";",""))+1)/6*100,1))))</f>
        <v/>
      </c>
      <c r="BU147" t="str">
        <f>IF(CAPTURA!DA147="","",IFERROR(IF(INDEX(CODIFICACION!$E$2:$E$500,MATCH("D11.39a|"&amp;CAPTURA!DA147,CODIFICACION!$F$2:$F$500,0))="sin dato","",INDEX(CODIFICACION!$E$2:$E$500,MATCH("D11.39a|"&amp;CAPTURA!DA147,CODIFICACION!$F$2:$F$500,0))),"⚠"))</f>
        <v/>
      </c>
      <c r="BV147" t="str">
        <f>IF(CAPTURA!DB147="","",IFERROR(IF(INDEX(CODIFICACION!$E$2:$E$500,MATCH("D12.42|"&amp;CAPTURA!DB147,CODIFICACION!$F$2:$F$500,0))="sin dato","",INDEX(CODIFICACION!$E$2:$E$500,MATCH("D12.42|"&amp;CAPTURA!DB147,CODIFICACION!$F$2:$F$500,0))),"⚠"))</f>
        <v/>
      </c>
      <c r="BW147" t="str">
        <f>IF(CAPTURA!DC147="","",IFERROR(IF(INDEX(CODIFICACION!$E$2:$E$500,MATCH("D13.45|"&amp;CAPTURA!DC147,CODIFICACION!$F$2:$F$500,0))="sin dato","",INDEX(CODIFICACION!$E$2:$E$500,MATCH("D13.45|"&amp;CAPTURA!DC147,CODIFICACION!$F$2:$F$500,0))),"⚠"))</f>
        <v/>
      </c>
      <c r="BX147" t="str">
        <f>IF(CAPTURA!DD147="","",IFERROR(IF(INDEX(CODIFICACION!$E$2:$E$500,MATCH("D14.51|"&amp;CAPTURA!DD147,CODIFICACION!$F$2:$F$500,0))="sin dato","",INDEX(CODIFICACION!$E$2:$E$500,MATCH("D14.51|"&amp;CAPTURA!DD147,CODIFICACION!$F$2:$F$500,0))),"⚠"))</f>
        <v/>
      </c>
      <c r="BY147" t="str">
        <f>IF(CAPTURA!DE147="","",IFERROR(IF(INDEX(CODIFICACION!$E$2:$E$500,MATCH("D15.58|"&amp;CAPTURA!DE147,CODIFICACION!$F$2:$F$500,0))="sin dato","",INDEX(CODIFICACION!$E$2:$E$500,MATCH("D15.58|"&amp;CAPTURA!DE147,CODIFICACION!$F$2:$F$500,0))),"⚠"))</f>
        <v/>
      </c>
      <c r="BZ147" t="str">
        <f>IF(CAPTURA!DF147="","",IFERROR(IF(INDEX(CODIFICACION!$E$2:$E$500,MATCH("PP1|"&amp;CAPTURA!DF147,CODIFICACION!$F$2:$F$500,0))="sin dato","",INDEX(CODIFICACION!$E$2:$E$500,MATCH("PP1|"&amp;CAPTURA!DF147,CODIFICACION!$F$2:$F$500,0))),"⚠"))</f>
        <v/>
      </c>
      <c r="CA147" t="str">
        <f>IF(CAPTURA!DG147="","",IFERROR(IF(INDEX(CODIFICACION!$E$2:$E$500,MATCH("PP2|"&amp;CAPTURA!DG147,CODIFICACION!$F$2:$F$500,0))="sin dato","",INDEX(CODIFICACION!$E$2:$E$500,MATCH("PP2|"&amp;CAPTURA!DG147,CODIFICACION!$F$2:$F$500,0))),"⚠"))</f>
        <v/>
      </c>
      <c r="CB147" t="str">
        <f t="shared" si="44"/>
        <v/>
      </c>
      <c r="CC147" t="str">
        <f t="shared" si="45"/>
        <v/>
      </c>
      <c r="CD147" t="str">
        <f t="shared" si="46"/>
        <v/>
      </c>
      <c r="CE147" t="str">
        <f t="shared" si="47"/>
        <v/>
      </c>
      <c r="CF147" t="str">
        <f t="shared" si="48"/>
        <v/>
      </c>
      <c r="CG147" t="str">
        <f t="shared" si="49"/>
        <v/>
      </c>
      <c r="CH147" t="str">
        <f t="shared" si="50"/>
        <v/>
      </c>
      <c r="CI147" t="str">
        <f t="shared" si="51"/>
        <v/>
      </c>
      <c r="CJ147" t="str">
        <f t="shared" si="52"/>
        <v/>
      </c>
      <c r="CK147" t="str">
        <f t="shared" si="53"/>
        <v/>
      </c>
      <c r="CL147" t="str">
        <f t="shared" si="54"/>
        <v/>
      </c>
    </row>
    <row r="148" spans="1:90" x14ac:dyDescent="0.3">
      <c r="A148">
        <f>CAPTURA!A148</f>
        <v>20604215600</v>
      </c>
      <c r="B148">
        <f>CAPTURA!C148</f>
        <v>0</v>
      </c>
      <c r="C148" t="str">
        <f>IF(CAPTURA!M148="","",ROUND((ISNUMBER(SEARCH("Alemania",CAPTURA!M148))+ISNUMBER(SEARCH("Bélgica",CAPTURA!M148))+ISNUMBER(SEARCH("Países Bajos",CAPTURA!M148))+ISNUMBER(SEARCH("Francia",CAPTURA!M148))+ISNUMBER(SEARCH("Italia",CAPTURA!M148))+ISNUMBER(SEARCH("España",CAPTURA!M148))+ISNUMBER(SEARCH("Suecia",CAPTURA!M148))+ISNUMBER(SEARCH("Dinamarca",CAPTURA!M148)))/((LEN(CAPTURA!M148)-LEN(SUBSTITUTE(CAPTURA!M148,";","")))+1)*100,1))</f>
        <v/>
      </c>
      <c r="D148" t="str">
        <f>IF(CAPTURA!AE148="","",IFERROR(IF(INDEX(CODIFICACION!$E$2:$E$500,MATCH("P8|"&amp;CAPTURA!AE148,CODIFICACION!$F$2:$F$500,0))="sin dato","",INDEX(CODIFICACION!$E$2:$E$500,MATCH("P8|"&amp;CAPTURA!AE148,CODIFICACION!$F$2:$F$500,0))),"⚠"))</f>
        <v/>
      </c>
      <c r="E148" t="str">
        <f>IF(CAPTURA!AG148="","",IFERROR(IF(INDEX(CODIFICACION!$E$2:$E$500,MATCH("P10|"&amp;CAPTURA!AG148,CODIFICACION!$F$2:$F$500,0))="sin dato","",INDEX(CODIFICACION!$E$2:$E$500,MATCH("P10|"&amp;CAPTURA!AG148,CODIFICACION!$F$2:$F$500,0))),"⚠"))</f>
        <v/>
      </c>
      <c r="F148" t="str">
        <f>IF(CAPTURA!AJ148="","",IFERROR(IF(INDEX(CODIFICACION!$E$2:$E$500,MATCH("P13|"&amp;CAPTURA!AJ148,CODIFICACION!$F$2:$F$500,0))="sin dato","",INDEX(CODIFICACION!$E$2:$E$500,MATCH("P13|"&amp;CAPTURA!AJ148,CODIFICACION!$F$2:$F$500,0))),"⚠"))</f>
        <v/>
      </c>
      <c r="G148" t="str">
        <f>IF(CAPTURA!AK148="","",IFERROR(IF(INDEX(CODIFICACION!$E$2:$E$500,MATCH("P14|"&amp;CAPTURA!AK148,CODIFICACION!$F$2:$F$500,0))="sin dato","",INDEX(CODIFICACION!$E$2:$E$500,MATCH("P14|"&amp;CAPTURA!AK148,CODIFICACION!$F$2:$F$500,0))),"⚠"))</f>
        <v/>
      </c>
      <c r="H148" t="str">
        <f>IF(CAPTURA!AL148="","",IFERROR(IF(INDEX(CODIFICACION!$E$2:$E$500,MATCH("D1.1|"&amp;CAPTURA!AL148,CODIFICACION!$F$2:$F$500,0))="sin dato","",INDEX(CODIFICACION!$E$2:$E$500,MATCH("D1.1|"&amp;CAPTURA!AL148,CODIFICACION!$F$2:$F$500,0))),"⚠"))</f>
        <v/>
      </c>
      <c r="I148" t="str">
        <f>IF(CAPTURA!AN148="","",IFERROR(IF(INDEX(CODIFICACION!$E$2:$E$500,MATCH("D1.3|"&amp;CAPTURA!AN148,CODIFICACION!$F$2:$F$500,0))="sin dato","",INDEX(CODIFICACION!$E$2:$E$500,MATCH("D1.3|"&amp;CAPTURA!AN148,CODIFICACION!$F$2:$F$500,0))),"⚠"))</f>
        <v/>
      </c>
      <c r="J148" t="str">
        <f>IF(CAPTURA!AO148="","",IFERROR(IF(INDEX(CODIFICACION!$E$2:$E$500,MATCH("D1.4|"&amp;CAPTURA!AO148,CODIFICACION!$F$2:$F$500,0))="sin dato","",INDEX(CODIFICACION!$E$2:$E$500,MATCH("D1.4|"&amp;CAPTURA!AO148,CODIFICACION!$F$2:$F$500,0))),"⚠"))</f>
        <v/>
      </c>
      <c r="K148" t="str">
        <f>IF(CAPTURA!AP148="","",IFERROR(IF(INDEX(CODIFICACION!$E$2:$E$500,MATCH("D1.3a|"&amp;CAPTURA!AP148,CODIFICACION!$F$2:$F$500,0))="sin dato","",INDEX(CODIFICACION!$E$2:$E$500,MATCH("D1.3a|"&amp;CAPTURA!AP148,CODIFICACION!$F$2:$F$500,0))),"⚠"))</f>
        <v/>
      </c>
      <c r="L148" t="str">
        <f>IF(CAPTURA!AQ148="","",IF(AND(ISNUMBER(CAPTURA!AQ148),CAPTURA!AQ148&gt;=0,CAPTURA!AQ148&lt;=4),CAPTURA!AQ148*25,"⚠"))</f>
        <v/>
      </c>
      <c r="M148" t="str">
        <f>IF(CAPTURA!AR148="","",IF(ISNUMBER(CAPTURA!AR148),MAX(0,MIN(100,CAPTURA!AR148)),"⚠"))</f>
        <v/>
      </c>
      <c r="N148" t="str">
        <f>IF(CAPTURA!AS148="","",IF(AND(ISNUMBER(CAPTURA!AS148),CAPTURA!AS148&gt;=0,CAPTURA!AS148&lt;=4),CAPTURA!AS148*25,"⚠"))</f>
        <v/>
      </c>
      <c r="O148" t="str">
        <f>IF(CAPTURA!AT148="","",IFERROR(IF(INDEX(CODIFICACION!$E$2:$E$500,MATCH("D2.8|"&amp;CAPTURA!AT148,CODIFICACION!$F$2:$F$500,0))="sin dato","",INDEX(CODIFICACION!$E$2:$E$500,MATCH("D2.8|"&amp;CAPTURA!AT148,CODIFICACION!$F$2:$F$500,0))),"⚠"))</f>
        <v/>
      </c>
      <c r="P148" t="str">
        <f>IF(CAPTURA!AU148="","",IFERROR(IF(INDEX(CODIFICACION!$E$2:$E$500,MATCH("D2.9|"&amp;CAPTURA!AU148,CODIFICACION!$F$2:$F$500,0))="sin dato","",INDEX(CODIFICACION!$E$2:$E$500,MATCH("D2.9|"&amp;CAPTURA!AU148,CODIFICACION!$F$2:$F$500,0))),"⚠"))</f>
        <v/>
      </c>
      <c r="Q148" t="str">
        <f>IF(CAPTURA!AV148="","",IFERROR(IF(INDEX(CODIFICACION!$E$2:$E$500,MATCH("D2.10|"&amp;CAPTURA!AV148,CODIFICACION!$F$2:$F$500,0))="sin dato","",INDEX(CODIFICACION!$E$2:$E$500,MATCH("D2.10|"&amp;CAPTURA!AV148,CODIFICACION!$F$2:$F$500,0))),"⚠"))</f>
        <v/>
      </c>
      <c r="R148" t="str">
        <f>IF(CAPTURA!AW148="","",IFERROR(IF(INDEX(CODIFICACION!$E$2:$E$500,MATCH("D2.5a|"&amp;CAPTURA!AW148,CODIFICACION!$F$2:$F$500,0))="sin dato","",INDEX(CODIFICACION!$E$2:$E$500,MATCH("D2.5a|"&amp;CAPTURA!AW148,CODIFICACION!$F$2:$F$500,0))),"⚠"))</f>
        <v/>
      </c>
      <c r="S148" t="str">
        <f>IF(CAPTURA!AX148="","",IFERROR(IF(INDEX(CODIFICACION!$E$2:$E$500,MATCH("D2.5b|"&amp;CAPTURA!AX148,CODIFICACION!$F$2:$F$500,0))="sin dato","",INDEX(CODIFICACION!$E$2:$E$500,MATCH("D2.5b|"&amp;CAPTURA!AX148,CODIFICACION!$F$2:$F$500,0))),"⚠"))</f>
        <v/>
      </c>
      <c r="T148" t="str">
        <f>IF(CAPTURA!AY148="","",IF(ISNUMBER(CAPTURA!AY148),MAX(0,MIN(100,CAPTURA!AY148)),"⚠"))</f>
        <v/>
      </c>
      <c r="U148" t="str">
        <f>IF(CAPTURA!AZ148="","",IFERROR(IF(INDEX(CODIFICACION!$E$2:$E$500,MATCH("D3.12|"&amp;CAPTURA!AZ148,CODIFICACION!$F$2:$F$500,0))="sin dato","",INDEX(CODIFICACION!$E$2:$E$500,MATCH("D3.12|"&amp;CAPTURA!AZ148,CODIFICACION!$F$2:$F$500,0))),"⚠"))</f>
        <v/>
      </c>
      <c r="V148" t="str">
        <f>IF(CAPTURA!BA148="","",IF(AND(ISNUMBER(CAPTURA!BA148),CAPTURA!BA148&gt;=0,CAPTURA!BA148&lt;=4),CAPTURA!BA148*25,"⚠"))</f>
        <v/>
      </c>
      <c r="W148" t="str">
        <f>IF(CAPTURA!BB148="","",IFERROR(IF(INDEX(CODIFICACION!$E$2:$E$500,MATCH("D3.14|"&amp;CAPTURA!BB148,CODIFICACION!$F$2:$F$500,0))="sin dato","",INDEX(CODIFICACION!$E$2:$E$500,MATCH("D3.14|"&amp;CAPTURA!BB148,CODIFICACION!$F$2:$F$500,0))),"⚠"))</f>
        <v/>
      </c>
      <c r="X148" t="str">
        <f>IF(CAPTURA!BC148="","",IFERROR(IF(INDEX(CODIFICACION!$E$2:$E$500,MATCH("D3.14a|"&amp;CAPTURA!BC148,CODIFICACION!$F$2:$F$500,0))="sin dato","",INDEX(CODIFICACION!$E$2:$E$500,MATCH("D3.14a|"&amp;CAPTURA!BC148,CODIFICACION!$F$2:$F$500,0))),"⚠"))</f>
        <v/>
      </c>
      <c r="Y148" t="str">
        <f>IF(CAPTURA!BD148="","",IFERROR(IF(INDEX(CODIFICACION!$E$2:$E$500,MATCH("D3.14b|"&amp;CAPTURA!BD148,CODIFICACION!$F$2:$F$500,0))="sin dato","",INDEX(CODIFICACION!$E$2:$E$500,MATCH("D3.14b|"&amp;CAPTURA!BD148,CODIFICACION!$F$2:$F$500,0))),"⚠"))</f>
        <v/>
      </c>
      <c r="Z148" t="str">
        <f>IF(CAPTURA!BE148="","",IFERROR(IF(INDEX(CODIFICACION!$E$2:$E$500,MATCH("D3.14c|"&amp;CAPTURA!BE148,CODIFICACION!$F$2:$F$500,0))="sin dato","",INDEX(CODIFICACION!$E$2:$E$500,MATCH("D3.14c|"&amp;CAPTURA!BE148,CODIFICACION!$F$2:$F$500,0))),"⚠"))</f>
        <v/>
      </c>
      <c r="AA148" t="str">
        <f>IF(CAPTURA!BF148="","",IFERROR(IF(INDEX(CODIFICACION!$E$2:$E$500,MATCH("D3.14d|"&amp;CAPTURA!BF148,CODIFICACION!$F$2:$F$500,0))="sin dato","",INDEX(CODIFICACION!$E$2:$E$500,MATCH("D3.14d|"&amp;CAPTURA!BF148,CODIFICACION!$F$2:$F$500,0))),"⚠"))</f>
        <v/>
      </c>
      <c r="AB148" t="str">
        <f>IF(CAPTURA!BG148="","",IFERROR(IF(INDEX(CODIFICACION!$E$2:$E$500,MATCH("D3.14e|"&amp;CAPTURA!BG148,CODIFICACION!$F$2:$F$500,0))="sin dato","",INDEX(CODIFICACION!$E$2:$E$500,MATCH("D3.14e|"&amp;CAPTURA!BG148,CODIFICACION!$F$2:$F$500,0))),"⚠"))</f>
        <v/>
      </c>
      <c r="AC148" t="str">
        <f>IF(CAPTURA!BH148="","",IFERROR(IF(INDEX(CODIFICACION!$E$2:$E$500,MATCH("D3.14f|"&amp;CAPTURA!BH148,CODIFICACION!$F$2:$F$500,0))="sin dato","",INDEX(CODIFICACION!$E$2:$E$500,MATCH("D3.14f|"&amp;CAPTURA!BH148,CODIFICACION!$F$2:$F$500,0))),"⚠"))</f>
        <v/>
      </c>
      <c r="AD148" t="str">
        <f>IF(CAPTURA!BI148="","",IFERROR(IF(INDEX(CODIFICACION!$E$2:$E$500,MATCH("D3.14g|"&amp;CAPTURA!BI148,CODIFICACION!$F$2:$F$500,0))="sin dato","",INDEX(CODIFICACION!$E$2:$E$500,MATCH("D3.14g|"&amp;CAPTURA!BI148,CODIFICACION!$F$2:$F$500,0))),"⚠"))</f>
        <v/>
      </c>
      <c r="AE148" t="str">
        <f>IF(CAPTURA!BJ148="","",IFERROR(IF(INDEX(CODIFICACION!$E$2:$E$500,MATCH("D3.14h|"&amp;CAPTURA!BJ148,CODIFICACION!$F$2:$F$500,0))="sin dato","",INDEX(CODIFICACION!$E$2:$E$500,MATCH("D3.14h|"&amp;CAPTURA!BJ148,CODIFICACION!$F$2:$F$500,0))),"⚠"))</f>
        <v/>
      </c>
      <c r="AF148" t="str">
        <f>IF(CAPTURA!BK148="","",IFERROR(IF(INDEX(CODIFICACION!$E$2:$E$500,MATCH("D3.14i|"&amp;CAPTURA!BK148,CODIFICACION!$F$2:$F$500,0))="sin dato","",INDEX(CODIFICACION!$E$2:$E$500,MATCH("D3.14i|"&amp;CAPTURA!BK148,CODIFICACION!$F$2:$F$500,0))),"⚠"))</f>
        <v/>
      </c>
      <c r="AG148" t="str">
        <f>IF(CAPTURA!BL148="","",IFERROR(IF(INDEX(CODIFICACION!$E$2:$E$500,MATCH("D4.15|"&amp;CAPTURA!BL148,CODIFICACION!$F$2:$F$500,0))="sin dato","",INDEX(CODIFICACION!$E$2:$E$500,MATCH("D4.15|"&amp;CAPTURA!BL148,CODIFICACION!$F$2:$F$500,0))),"⚠"))</f>
        <v/>
      </c>
      <c r="AH148" t="str">
        <f>IF(CAPTURA!BM148="","",IF(AND(ISNUMBER(CAPTURA!BM148),CAPTURA!BM148&gt;=0,CAPTURA!BM148&lt;=4),CAPTURA!BM148*25,"⚠"))</f>
        <v/>
      </c>
      <c r="AI148" t="str">
        <f>IF(CAPTURA!BN148="","",IFERROR(IF(INDEX(CODIFICACION!$E$2:$E$500,MATCH("D4.17|"&amp;CAPTURA!BN148,CODIFICACION!$F$2:$F$500,0))="sin dato","",INDEX(CODIFICACION!$E$2:$E$500,MATCH("D4.17|"&amp;CAPTURA!BN148,CODIFICACION!$F$2:$F$500,0))),"⚠"))</f>
        <v/>
      </c>
      <c r="AJ148" t="str">
        <f>IF(CAPTURA!BO148="","",IFERROR(IF(INDEX(CODIFICACION!$E$2:$E$500,MATCH("D4.15a|"&amp;CAPTURA!BO148,CODIFICACION!$F$2:$F$500,0))="sin dato","",INDEX(CODIFICACION!$E$2:$E$500,MATCH("D4.15a|"&amp;CAPTURA!BO148,CODIFICACION!$F$2:$F$500,0))),"⚠"))</f>
        <v/>
      </c>
      <c r="AK148" t="str">
        <f>IF(CAPTURA!BP148="","",IF(AND(ISNUMBER(CAPTURA!BP148),CAPTURA!BP148&gt;=0,CAPTURA!BP148&lt;=4),CAPTURA!BP148*25,"⚠"))</f>
        <v/>
      </c>
      <c r="AL148" t="str">
        <f>IF(CAPTURA!BQ148="","",IF(AND(ISNUMBER(CAPTURA!BQ148),CAPTURA!BQ148&gt;=0,CAPTURA!BQ148&lt;=4),CAPTURA!BQ148*25,"⚠"))</f>
        <v/>
      </c>
      <c r="AM148" t="str">
        <f>IF(CAPTURA!BR148="","",IFERROR(IF(INDEX(CODIFICACION!$E$2:$E$500,MATCH("D5.18b|"&amp;CAPTURA!BR148,CODIFICACION!$F$2:$F$500,0))="sin dato","",INDEX(CODIFICACION!$E$2:$E$500,MATCH("D5.18b|"&amp;CAPTURA!BR148,CODIFICACION!$F$2:$F$500,0))),"⚠"))</f>
        <v/>
      </c>
      <c r="AN148" t="str">
        <f>IF(CAPTURA!BS148="","",IFERROR(IF(INDEX(CODIFICACION!$E$2:$E$500,MATCH("D5.19|"&amp;CAPTURA!BS148,CODIFICACION!$F$2:$F$500,0))="sin dato","",INDEX(CODIFICACION!$E$2:$E$500,MATCH("D5.19|"&amp;CAPTURA!BS148,CODIFICACION!$F$2:$F$500,0))),"⚠"))</f>
        <v/>
      </c>
      <c r="AO148" t="str">
        <f>IF(CAPTURA!BT148="","",MIN(100,ROUND((LEN(CAPTURA!BT148)-LEN(SUBSTITUTE(CAPTURA!BT148,";",""))+1)/7*100,1)))</f>
        <v/>
      </c>
      <c r="AP148" t="str">
        <f>IF(CAPTURA!BU148="","",IFERROR(IF(INDEX(CODIFICACION!$E$2:$E$500,MATCH("D5.20|"&amp;CAPTURA!BU148,CODIFICACION!$F$2:$F$500,0))="sin dato","",INDEX(CODIFICACION!$E$2:$E$500,MATCH("D5.20|"&amp;CAPTURA!BU148,CODIFICACION!$F$2:$F$500,0))),"⚠"))</f>
        <v/>
      </c>
      <c r="AQ148" t="str">
        <f>IF(CAPTURA!BV148="","",IFERROR(IF(INDEX(CODIFICACION!$E$2:$E$500,MATCH("D5.21|"&amp;CAPTURA!BV148,CODIFICACION!$F$2:$F$500,0))="sin dato","",INDEX(CODIFICACION!$E$2:$E$500,MATCH("D5.21|"&amp;CAPTURA!BV148,CODIFICACION!$F$2:$F$500,0))),"⚠"))</f>
        <v/>
      </c>
      <c r="AR148" t="str">
        <f>IF(CAPTURA!BW148="","",IFERROR(IF(INDEX(CODIFICACION!$E$2:$E$500,MATCH("D5.21a|"&amp;CAPTURA!BW148,CODIFICACION!$F$2:$F$500,0))="sin dato","",INDEX(CODIFICACION!$E$2:$E$500,MATCH("D5.21a|"&amp;CAPTURA!BW148,CODIFICACION!$F$2:$F$500,0))),"⚠"))</f>
        <v/>
      </c>
      <c r="AS148" t="str">
        <f>IF(CAPTURA!BX148="","",IFERROR(IF(INDEX(CODIFICACION!$E$2:$E$500,MATCH("D5.21b|"&amp;CAPTURA!BX148,CODIFICACION!$F$2:$F$500,0))="sin dato","",INDEX(CODIFICACION!$E$2:$E$500,MATCH("D5.21b|"&amp;CAPTURA!BX148,CODIFICACION!$F$2:$F$500,0))),"⚠"))</f>
        <v/>
      </c>
      <c r="AT148" t="str">
        <f>IF(CAPTURA!BY148="","",IFERROR(IF(INDEX(CODIFICACION!$E$2:$E$500,MATCH("D6.22|"&amp;CAPTURA!BY148,CODIFICACION!$F$2:$F$500,0))="sin dato","",INDEX(CODIFICACION!$E$2:$E$500,MATCH("D6.22|"&amp;CAPTURA!BY148,CODIFICACION!$F$2:$F$500,0))),"⚠"))</f>
        <v/>
      </c>
      <c r="AU148" t="str">
        <f>IF(CAPTURA!BZ148="","",IFERROR(IF(INDEX(CODIFICACION!$E$2:$E$500,MATCH("D6.22a|"&amp;CAPTURA!BZ148,CODIFICACION!$F$2:$F$500,0))="sin dato","",INDEX(CODIFICACION!$E$2:$E$500,MATCH("D6.22a|"&amp;CAPTURA!BZ148,CODIFICACION!$F$2:$F$500,0))),"⚠"))</f>
        <v/>
      </c>
      <c r="AV148" t="str">
        <f>IF(CAPTURA!CA148="","",IFERROR(IF(INDEX(CODIFICACION!$E$2:$E$500,MATCH("D6.22b|"&amp;CAPTURA!CA148,CODIFICACION!$F$2:$F$500,0))="sin dato","",INDEX(CODIFICACION!$E$2:$E$500,MATCH("D6.22b|"&amp;CAPTURA!CA148,CODIFICACION!$F$2:$F$500,0))),"⚠"))</f>
        <v/>
      </c>
      <c r="AW148" t="str">
        <f>IF(CAPTURA!CB148="","",IFERROR(IF(INDEX(CODIFICACION!$E$2:$E$500,MATCH("D6.23|"&amp;CAPTURA!CB148,CODIFICACION!$F$2:$F$500,0))="sin dato","",INDEX(CODIFICACION!$E$2:$E$500,MATCH("D6.23|"&amp;CAPTURA!CB148,CODIFICACION!$F$2:$F$500,0))),"⚠"))</f>
        <v/>
      </c>
      <c r="AX148" t="str">
        <f>IF(CAPTURA!CC148="","",IFERROR(IF(INDEX(CODIFICACION!$E$2:$E$500,MATCH("D6.24|"&amp;CAPTURA!CC148,CODIFICACION!$F$2:$F$500,0))="sin dato","",INDEX(CODIFICACION!$E$2:$E$500,MATCH("D6.24|"&amp;CAPTURA!CC148,CODIFICACION!$F$2:$F$500,0))),"⚠"))</f>
        <v/>
      </c>
      <c r="AY148" t="str">
        <f>IF(CAPTURA!CD148="","",IFERROR(IF(INDEX(CODIFICACION!$E$2:$E$500,MATCH("D6.25|"&amp;CAPTURA!CD148,CODIFICACION!$F$2:$F$500,0))="sin dato","",INDEX(CODIFICACION!$E$2:$E$500,MATCH("D6.25|"&amp;CAPTURA!CD148,CODIFICACION!$F$2:$F$500,0))),"⚠"))</f>
        <v/>
      </c>
      <c r="AZ148" t="str">
        <f>IF(CAPTURA!CE148="","",IFERROR(IF(INDEX(CODIFICACION!$E$2:$E$500,MATCH("D6.25a|"&amp;CAPTURA!CE148,CODIFICACION!$F$2:$F$500,0))="sin dato","",INDEX(CODIFICACION!$E$2:$E$500,MATCH("D6.25a|"&amp;CAPTURA!CE148,CODIFICACION!$F$2:$F$500,0))),"⚠"))</f>
        <v/>
      </c>
      <c r="BA148" t="str">
        <f>IF(CAPTURA!CF148="","",IFERROR(IF(INDEX(CODIFICACION!$E$2:$E$500,MATCH("D6.25b|"&amp;CAPTURA!CF148,CODIFICACION!$F$2:$F$500,0))="sin dato","",INDEX(CODIFICACION!$E$2:$E$500,MATCH("D6.25b|"&amp;CAPTURA!CF148,CODIFICACION!$F$2:$F$500,0))),"⚠"))</f>
        <v/>
      </c>
      <c r="BB148" t="str">
        <f>IF(CAPTURA!CG148="","",IFERROR(IF(INDEX(CODIFICACION!$E$2:$E$500,MATCH("D6.22c|"&amp;CAPTURA!CG148,CODIFICACION!$F$2:$F$500,0))="sin dato","",INDEX(CODIFICACION!$E$2:$E$500,MATCH("D6.22c|"&amp;CAPTURA!CG148,CODIFICACION!$F$2:$F$500,0))),"⚠"))</f>
        <v/>
      </c>
      <c r="BC148" t="str">
        <f>IF(CAPTURA!CH148="","",IFERROR(IF(INDEX(CODIFICACION!$E$2:$E$500,MATCH("D7.26|"&amp;CAPTURA!CH148,CODIFICACION!$F$2:$F$500,0))="sin dato","",INDEX(CODIFICACION!$E$2:$E$500,MATCH("D7.26|"&amp;CAPTURA!CH148,CODIFICACION!$F$2:$F$500,0))),"⚠"))</f>
        <v/>
      </c>
      <c r="BD148" t="str">
        <f>IF(CAPTURA!CI148="","",IFERROR(IF(INDEX(CODIFICACION!$E$2:$E$500,MATCH("D7.27|"&amp;CAPTURA!CI148,CODIFICACION!$F$2:$F$500,0))="sin dato","",INDEX(CODIFICACION!$E$2:$E$500,MATCH("D7.27|"&amp;CAPTURA!CI148,CODIFICACION!$F$2:$F$500,0))),"⚠"))</f>
        <v/>
      </c>
      <c r="BE148" t="str">
        <f>IF(CAPTURA!CJ148="","",IFERROR(IF(INDEX(CODIFICACION!$E$2:$E$500,MATCH("D7.28|"&amp;CAPTURA!CJ148,CODIFICACION!$F$2:$F$500,0))="sin dato","",INDEX(CODIFICACION!$E$2:$E$500,MATCH("D7.28|"&amp;CAPTURA!CJ148,CODIFICACION!$F$2:$F$500,0))),"⚠"))</f>
        <v/>
      </c>
      <c r="BF148" t="str">
        <f>IF(CAPTURA!CK148="","",IFERROR(IF(INDEX(CODIFICACION!$E$2:$E$500,MATCH("D7.28b|"&amp;CAPTURA!CK148,CODIFICACION!$F$2:$F$500,0))="sin dato","",INDEX(CODIFICACION!$E$2:$E$500,MATCH("D7.28b|"&amp;CAPTURA!CK148,CODIFICACION!$F$2:$F$500,0))),"⚠"))</f>
        <v/>
      </c>
      <c r="BG148" t="str">
        <f>IF(CAPTURA!CL148="","",MIN(100,ROUND((LEN(CAPTURA!CL148)-LEN(SUBSTITUTE(CAPTURA!CL148,";",""))+1)/8*100,1)))</f>
        <v/>
      </c>
      <c r="BH148" t="str">
        <f>IF(CAPTURA!CM148="","",IFERROR(IF(INDEX(CODIFICACION!$E$2:$E$500,MATCH("D7.26a|"&amp;CAPTURA!CM148,CODIFICACION!$F$2:$F$500,0))="sin dato","",INDEX(CODIFICACION!$E$2:$E$500,MATCH("D7.26a|"&amp;CAPTURA!CM148,CODIFICACION!$F$2:$F$500,0))),"⚠"))</f>
        <v/>
      </c>
      <c r="BI148" t="str">
        <f>IF(CAPTURA!CN148="","",IFERROR(IF(INDEX(CODIFICACION!$E$2:$E$500,MATCH("D7.26b|"&amp;CAPTURA!CN148,CODIFICACION!$F$2:$F$500,0))="sin dato","",INDEX(CODIFICACION!$E$2:$E$500,MATCH("D7.26b|"&amp;CAPTURA!CN148,CODIFICACION!$F$2:$F$500,0))),"⚠"))</f>
        <v/>
      </c>
      <c r="BJ148" t="str">
        <f>IF(CAPTURA!CO148="","",IF(AND(ISNUMBER(CAPTURA!CO148),CAPTURA!CO148&gt;=0,CAPTURA!CO148&lt;=4),CAPTURA!CO148*25,"⚠"))</f>
        <v/>
      </c>
      <c r="BK148" t="str">
        <f>IF(CAPTURA!CP148="","",IF(ISNUMBER(CAPTURA!CP148),MAX(0,MIN(100,CAPTURA!CP148)),"⚠"))</f>
        <v/>
      </c>
      <c r="BL148" t="str">
        <f>IF(CAPTURA!CQ148="","",IFERROR(IF(INDEX(CODIFICACION!$E$2:$E$500,MATCH("D8.31|"&amp;CAPTURA!CQ148,CODIFICACION!$F$2:$F$500,0))="sin dato","",INDEX(CODIFICACION!$E$2:$E$500,MATCH("D8.31|"&amp;CAPTURA!CQ148,CODIFICACION!$F$2:$F$500,0))),"⚠"))</f>
        <v/>
      </c>
      <c r="BM148" t="str">
        <f>IF(CAPTURA!CR148="","",IFERROR(IF(INDEX(CODIFICACION!$E$2:$E$500,MATCH("D8.32|"&amp;CAPTURA!CR148,CODIFICACION!$F$2:$F$500,0))="sin dato","",INDEX(CODIFICACION!$E$2:$E$500,MATCH("D8.32|"&amp;CAPTURA!CR148,CODIFICACION!$F$2:$F$500,0))),"⚠"))</f>
        <v/>
      </c>
      <c r="BN148" t="str">
        <f>IF(CAPTURA!CS148="","",IFERROR(IF(INDEX(CODIFICACION!$E$2:$E$500,MATCH("D9.33|"&amp;CAPTURA!CS148,CODIFICACION!$F$2:$F$500,0))="sin dato","",INDEX(CODIFICACION!$E$2:$E$500,MATCH("D9.33|"&amp;CAPTURA!CS148,CODIFICACION!$F$2:$F$500,0))),"⚠"))</f>
        <v/>
      </c>
      <c r="BO148" t="str">
        <f>IF(CAPTURA!CT148="","",IFERROR(IF(INDEX(CODIFICACION!$E$2:$E$500,MATCH("D9.34|"&amp;CAPTURA!CT148,CODIFICACION!$F$2:$F$500,0))="sin dato","",INDEX(CODIFICACION!$E$2:$E$500,MATCH("D9.34|"&amp;CAPTURA!CT148,CODIFICACION!$F$2:$F$500,0))),"⚠"))</f>
        <v/>
      </c>
      <c r="BP148" t="str">
        <f>IF(CAPTURA!CU148="","",IFERROR(IF(INDEX(CODIFICACION!$E$2:$E$500,MATCH("D9.35|"&amp;CAPTURA!CU148,CODIFICACION!$F$2:$F$500,0))="sin dato","",INDEX(CODIFICACION!$E$2:$E$500,MATCH("D9.35|"&amp;CAPTURA!CU148,CODIFICACION!$F$2:$F$500,0))),"⚠"))</f>
        <v/>
      </c>
      <c r="BQ148" t="str">
        <f>IF(CAPTURA!CV148="","",IFERROR(IF(INDEX(CODIFICACION!$E$2:$E$500,MATCH("D10.36|"&amp;CAPTURA!CV148,CODIFICACION!$F$2:$F$500,0))="sin dato","",INDEX(CODIFICACION!$E$2:$E$500,MATCH("D10.36|"&amp;CAPTURA!CV148,CODIFICACION!$F$2:$F$500,0))),"⚠"))</f>
        <v/>
      </c>
      <c r="BR148" t="str">
        <f>IF(CAPTURA!CW148="","",IFERROR(IF(INDEX(CODIFICACION!$E$2:$E$500,MATCH("D10.37|"&amp;CAPTURA!CW148,CODIFICACION!$F$2:$F$500,0))="sin dato","",INDEX(CODIFICACION!$E$2:$E$500,MATCH("D10.37|"&amp;CAPTURA!CW148,CODIFICACION!$F$2:$F$500,0))),"⚠"))</f>
        <v/>
      </c>
      <c r="BS148" t="str">
        <f>IF(CAPTURA!CX148="","",IFERROR(IF(INDEX(CODIFICACION!$E$2:$E$500,MATCH("D10.36a|"&amp;CAPTURA!CX148,CODIFICACION!$F$2:$F$500,0))="sin dato","",INDEX(CODIFICACION!$E$2:$E$500,MATCH("D10.36a|"&amp;CAPTURA!CX148,CODIFICACION!$F$2:$F$500,0))),"⚠"))</f>
        <v/>
      </c>
      <c r="BT148" t="str">
        <f>IF(CAPTURA!CY148="","",IF(ISNUMBER(SEARCH("Ninguno",CAPTURA!CY148)),0,MIN(100,ROUND((LEN(CAPTURA!CY148)-LEN(SUBSTITUTE(CAPTURA!CY148,";",""))+1)/6*100,1))))</f>
        <v/>
      </c>
      <c r="BU148" t="str">
        <f>IF(CAPTURA!DA148="","",IFERROR(IF(INDEX(CODIFICACION!$E$2:$E$500,MATCH("D11.39a|"&amp;CAPTURA!DA148,CODIFICACION!$F$2:$F$500,0))="sin dato","",INDEX(CODIFICACION!$E$2:$E$500,MATCH("D11.39a|"&amp;CAPTURA!DA148,CODIFICACION!$F$2:$F$500,0))),"⚠"))</f>
        <v/>
      </c>
      <c r="BV148" t="str">
        <f>IF(CAPTURA!DB148="","",IFERROR(IF(INDEX(CODIFICACION!$E$2:$E$500,MATCH("D12.42|"&amp;CAPTURA!DB148,CODIFICACION!$F$2:$F$500,0))="sin dato","",INDEX(CODIFICACION!$E$2:$E$500,MATCH("D12.42|"&amp;CAPTURA!DB148,CODIFICACION!$F$2:$F$500,0))),"⚠"))</f>
        <v/>
      </c>
      <c r="BW148" t="str">
        <f>IF(CAPTURA!DC148="","",IFERROR(IF(INDEX(CODIFICACION!$E$2:$E$500,MATCH("D13.45|"&amp;CAPTURA!DC148,CODIFICACION!$F$2:$F$500,0))="sin dato","",INDEX(CODIFICACION!$E$2:$E$500,MATCH("D13.45|"&amp;CAPTURA!DC148,CODIFICACION!$F$2:$F$500,0))),"⚠"))</f>
        <v/>
      </c>
      <c r="BX148" t="str">
        <f>IF(CAPTURA!DD148="","",IFERROR(IF(INDEX(CODIFICACION!$E$2:$E$500,MATCH("D14.51|"&amp;CAPTURA!DD148,CODIFICACION!$F$2:$F$500,0))="sin dato","",INDEX(CODIFICACION!$E$2:$E$500,MATCH("D14.51|"&amp;CAPTURA!DD148,CODIFICACION!$F$2:$F$500,0))),"⚠"))</f>
        <v/>
      </c>
      <c r="BY148" t="str">
        <f>IF(CAPTURA!DE148="","",IFERROR(IF(INDEX(CODIFICACION!$E$2:$E$500,MATCH("D15.58|"&amp;CAPTURA!DE148,CODIFICACION!$F$2:$F$500,0))="sin dato","",INDEX(CODIFICACION!$E$2:$E$500,MATCH("D15.58|"&amp;CAPTURA!DE148,CODIFICACION!$F$2:$F$500,0))),"⚠"))</f>
        <v/>
      </c>
      <c r="BZ148" t="str">
        <f>IF(CAPTURA!DF148="","",IFERROR(IF(INDEX(CODIFICACION!$E$2:$E$500,MATCH("PP1|"&amp;CAPTURA!DF148,CODIFICACION!$F$2:$F$500,0))="sin dato","",INDEX(CODIFICACION!$E$2:$E$500,MATCH("PP1|"&amp;CAPTURA!DF148,CODIFICACION!$F$2:$F$500,0))),"⚠"))</f>
        <v/>
      </c>
      <c r="CA148" t="str">
        <f>IF(CAPTURA!DG148="","",IFERROR(IF(INDEX(CODIFICACION!$E$2:$E$500,MATCH("PP2|"&amp;CAPTURA!DG148,CODIFICACION!$F$2:$F$500,0))="sin dato","",INDEX(CODIFICACION!$E$2:$E$500,MATCH("PP2|"&amp;CAPTURA!DG148,CODIFICACION!$F$2:$F$500,0))),"⚠"))</f>
        <v/>
      </c>
      <c r="CB148" t="str">
        <f t="shared" si="44"/>
        <v/>
      </c>
      <c r="CC148" t="str">
        <f t="shared" si="45"/>
        <v/>
      </c>
      <c r="CD148" t="str">
        <f t="shared" si="46"/>
        <v/>
      </c>
      <c r="CE148" t="str">
        <f t="shared" si="47"/>
        <v/>
      </c>
      <c r="CF148" t="str">
        <f t="shared" si="48"/>
        <v/>
      </c>
      <c r="CG148" t="str">
        <f t="shared" si="49"/>
        <v/>
      </c>
      <c r="CH148" t="str">
        <f t="shared" si="50"/>
        <v/>
      </c>
      <c r="CI148" t="str">
        <f t="shared" si="51"/>
        <v/>
      </c>
      <c r="CJ148" t="str">
        <f t="shared" si="52"/>
        <v/>
      </c>
      <c r="CK148" t="str">
        <f t="shared" si="53"/>
        <v/>
      </c>
      <c r="CL148" t="str">
        <f t="shared" si="54"/>
        <v/>
      </c>
    </row>
    <row r="149" spans="1:90" x14ac:dyDescent="0.3">
      <c r="A149">
        <f>CAPTURA!A149</f>
        <v>20604309728</v>
      </c>
      <c r="B149">
        <f>CAPTURA!C149</f>
        <v>0</v>
      </c>
      <c r="C149" t="str">
        <f>IF(CAPTURA!M149="","",ROUND((ISNUMBER(SEARCH("Alemania",CAPTURA!M149))+ISNUMBER(SEARCH("Bélgica",CAPTURA!M149))+ISNUMBER(SEARCH("Países Bajos",CAPTURA!M149))+ISNUMBER(SEARCH("Francia",CAPTURA!M149))+ISNUMBER(SEARCH("Italia",CAPTURA!M149))+ISNUMBER(SEARCH("España",CAPTURA!M149))+ISNUMBER(SEARCH("Suecia",CAPTURA!M149))+ISNUMBER(SEARCH("Dinamarca",CAPTURA!M149)))/((LEN(CAPTURA!M149)-LEN(SUBSTITUTE(CAPTURA!M149,";","")))+1)*100,1))</f>
        <v/>
      </c>
      <c r="D149" t="str">
        <f>IF(CAPTURA!AE149="","",IFERROR(IF(INDEX(CODIFICACION!$E$2:$E$500,MATCH("P8|"&amp;CAPTURA!AE149,CODIFICACION!$F$2:$F$500,0))="sin dato","",INDEX(CODIFICACION!$E$2:$E$500,MATCH("P8|"&amp;CAPTURA!AE149,CODIFICACION!$F$2:$F$500,0))),"⚠"))</f>
        <v/>
      </c>
      <c r="E149" t="str">
        <f>IF(CAPTURA!AG149="","",IFERROR(IF(INDEX(CODIFICACION!$E$2:$E$500,MATCH("P10|"&amp;CAPTURA!AG149,CODIFICACION!$F$2:$F$500,0))="sin dato","",INDEX(CODIFICACION!$E$2:$E$500,MATCH("P10|"&amp;CAPTURA!AG149,CODIFICACION!$F$2:$F$500,0))),"⚠"))</f>
        <v/>
      </c>
      <c r="F149" t="str">
        <f>IF(CAPTURA!AJ149="","",IFERROR(IF(INDEX(CODIFICACION!$E$2:$E$500,MATCH("P13|"&amp;CAPTURA!AJ149,CODIFICACION!$F$2:$F$500,0))="sin dato","",INDEX(CODIFICACION!$E$2:$E$500,MATCH("P13|"&amp;CAPTURA!AJ149,CODIFICACION!$F$2:$F$500,0))),"⚠"))</f>
        <v/>
      </c>
      <c r="G149" t="str">
        <f>IF(CAPTURA!AK149="","",IFERROR(IF(INDEX(CODIFICACION!$E$2:$E$500,MATCH("P14|"&amp;CAPTURA!AK149,CODIFICACION!$F$2:$F$500,0))="sin dato","",INDEX(CODIFICACION!$E$2:$E$500,MATCH("P14|"&amp;CAPTURA!AK149,CODIFICACION!$F$2:$F$500,0))),"⚠"))</f>
        <v/>
      </c>
      <c r="H149" t="str">
        <f>IF(CAPTURA!AL149="","",IFERROR(IF(INDEX(CODIFICACION!$E$2:$E$500,MATCH("D1.1|"&amp;CAPTURA!AL149,CODIFICACION!$F$2:$F$500,0))="sin dato","",INDEX(CODIFICACION!$E$2:$E$500,MATCH("D1.1|"&amp;CAPTURA!AL149,CODIFICACION!$F$2:$F$500,0))),"⚠"))</f>
        <v/>
      </c>
      <c r="I149" t="str">
        <f>IF(CAPTURA!AN149="","",IFERROR(IF(INDEX(CODIFICACION!$E$2:$E$500,MATCH("D1.3|"&amp;CAPTURA!AN149,CODIFICACION!$F$2:$F$500,0))="sin dato","",INDEX(CODIFICACION!$E$2:$E$500,MATCH("D1.3|"&amp;CAPTURA!AN149,CODIFICACION!$F$2:$F$500,0))),"⚠"))</f>
        <v/>
      </c>
      <c r="J149" t="str">
        <f>IF(CAPTURA!AO149="","",IFERROR(IF(INDEX(CODIFICACION!$E$2:$E$500,MATCH("D1.4|"&amp;CAPTURA!AO149,CODIFICACION!$F$2:$F$500,0))="sin dato","",INDEX(CODIFICACION!$E$2:$E$500,MATCH("D1.4|"&amp;CAPTURA!AO149,CODIFICACION!$F$2:$F$500,0))),"⚠"))</f>
        <v/>
      </c>
      <c r="K149" t="str">
        <f>IF(CAPTURA!AP149="","",IFERROR(IF(INDEX(CODIFICACION!$E$2:$E$500,MATCH("D1.3a|"&amp;CAPTURA!AP149,CODIFICACION!$F$2:$F$500,0))="sin dato","",INDEX(CODIFICACION!$E$2:$E$500,MATCH("D1.3a|"&amp;CAPTURA!AP149,CODIFICACION!$F$2:$F$500,0))),"⚠"))</f>
        <v/>
      </c>
      <c r="L149" t="str">
        <f>IF(CAPTURA!AQ149="","",IF(AND(ISNUMBER(CAPTURA!AQ149),CAPTURA!AQ149&gt;=0,CAPTURA!AQ149&lt;=4),CAPTURA!AQ149*25,"⚠"))</f>
        <v/>
      </c>
      <c r="M149" t="str">
        <f>IF(CAPTURA!AR149="","",IF(ISNUMBER(CAPTURA!AR149),MAX(0,MIN(100,CAPTURA!AR149)),"⚠"))</f>
        <v/>
      </c>
      <c r="N149" t="str">
        <f>IF(CAPTURA!AS149="","",IF(AND(ISNUMBER(CAPTURA!AS149),CAPTURA!AS149&gt;=0,CAPTURA!AS149&lt;=4),CAPTURA!AS149*25,"⚠"))</f>
        <v/>
      </c>
      <c r="O149" t="str">
        <f>IF(CAPTURA!AT149="","",IFERROR(IF(INDEX(CODIFICACION!$E$2:$E$500,MATCH("D2.8|"&amp;CAPTURA!AT149,CODIFICACION!$F$2:$F$500,0))="sin dato","",INDEX(CODIFICACION!$E$2:$E$500,MATCH("D2.8|"&amp;CAPTURA!AT149,CODIFICACION!$F$2:$F$500,0))),"⚠"))</f>
        <v/>
      </c>
      <c r="P149" t="str">
        <f>IF(CAPTURA!AU149="","",IFERROR(IF(INDEX(CODIFICACION!$E$2:$E$500,MATCH("D2.9|"&amp;CAPTURA!AU149,CODIFICACION!$F$2:$F$500,0))="sin dato","",INDEX(CODIFICACION!$E$2:$E$500,MATCH("D2.9|"&amp;CAPTURA!AU149,CODIFICACION!$F$2:$F$500,0))),"⚠"))</f>
        <v/>
      </c>
      <c r="Q149" t="str">
        <f>IF(CAPTURA!AV149="","",IFERROR(IF(INDEX(CODIFICACION!$E$2:$E$500,MATCH("D2.10|"&amp;CAPTURA!AV149,CODIFICACION!$F$2:$F$500,0))="sin dato","",INDEX(CODIFICACION!$E$2:$E$500,MATCH("D2.10|"&amp;CAPTURA!AV149,CODIFICACION!$F$2:$F$500,0))),"⚠"))</f>
        <v/>
      </c>
      <c r="R149" t="str">
        <f>IF(CAPTURA!AW149="","",IFERROR(IF(INDEX(CODIFICACION!$E$2:$E$500,MATCH("D2.5a|"&amp;CAPTURA!AW149,CODIFICACION!$F$2:$F$500,0))="sin dato","",INDEX(CODIFICACION!$E$2:$E$500,MATCH("D2.5a|"&amp;CAPTURA!AW149,CODIFICACION!$F$2:$F$500,0))),"⚠"))</f>
        <v/>
      </c>
      <c r="S149" t="str">
        <f>IF(CAPTURA!AX149="","",IFERROR(IF(INDEX(CODIFICACION!$E$2:$E$500,MATCH("D2.5b|"&amp;CAPTURA!AX149,CODIFICACION!$F$2:$F$500,0))="sin dato","",INDEX(CODIFICACION!$E$2:$E$500,MATCH("D2.5b|"&amp;CAPTURA!AX149,CODIFICACION!$F$2:$F$500,0))),"⚠"))</f>
        <v/>
      </c>
      <c r="T149" t="str">
        <f>IF(CAPTURA!AY149="","",IF(ISNUMBER(CAPTURA!AY149),MAX(0,MIN(100,CAPTURA!AY149)),"⚠"))</f>
        <v/>
      </c>
      <c r="U149" t="str">
        <f>IF(CAPTURA!AZ149="","",IFERROR(IF(INDEX(CODIFICACION!$E$2:$E$500,MATCH("D3.12|"&amp;CAPTURA!AZ149,CODIFICACION!$F$2:$F$500,0))="sin dato","",INDEX(CODIFICACION!$E$2:$E$500,MATCH("D3.12|"&amp;CAPTURA!AZ149,CODIFICACION!$F$2:$F$500,0))),"⚠"))</f>
        <v/>
      </c>
      <c r="V149" t="str">
        <f>IF(CAPTURA!BA149="","",IF(AND(ISNUMBER(CAPTURA!BA149),CAPTURA!BA149&gt;=0,CAPTURA!BA149&lt;=4),CAPTURA!BA149*25,"⚠"))</f>
        <v/>
      </c>
      <c r="W149" t="str">
        <f>IF(CAPTURA!BB149="","",IFERROR(IF(INDEX(CODIFICACION!$E$2:$E$500,MATCH("D3.14|"&amp;CAPTURA!BB149,CODIFICACION!$F$2:$F$500,0))="sin dato","",INDEX(CODIFICACION!$E$2:$E$500,MATCH("D3.14|"&amp;CAPTURA!BB149,CODIFICACION!$F$2:$F$500,0))),"⚠"))</f>
        <v/>
      </c>
      <c r="X149" t="str">
        <f>IF(CAPTURA!BC149="","",IFERROR(IF(INDEX(CODIFICACION!$E$2:$E$500,MATCH("D3.14a|"&amp;CAPTURA!BC149,CODIFICACION!$F$2:$F$500,0))="sin dato","",INDEX(CODIFICACION!$E$2:$E$500,MATCH("D3.14a|"&amp;CAPTURA!BC149,CODIFICACION!$F$2:$F$500,0))),"⚠"))</f>
        <v/>
      </c>
      <c r="Y149" t="str">
        <f>IF(CAPTURA!BD149="","",IFERROR(IF(INDEX(CODIFICACION!$E$2:$E$500,MATCH("D3.14b|"&amp;CAPTURA!BD149,CODIFICACION!$F$2:$F$500,0))="sin dato","",INDEX(CODIFICACION!$E$2:$E$500,MATCH("D3.14b|"&amp;CAPTURA!BD149,CODIFICACION!$F$2:$F$500,0))),"⚠"))</f>
        <v/>
      </c>
      <c r="Z149" t="str">
        <f>IF(CAPTURA!BE149="","",IFERROR(IF(INDEX(CODIFICACION!$E$2:$E$500,MATCH("D3.14c|"&amp;CAPTURA!BE149,CODIFICACION!$F$2:$F$500,0))="sin dato","",INDEX(CODIFICACION!$E$2:$E$500,MATCH("D3.14c|"&amp;CAPTURA!BE149,CODIFICACION!$F$2:$F$500,0))),"⚠"))</f>
        <v/>
      </c>
      <c r="AA149" t="str">
        <f>IF(CAPTURA!BF149="","",IFERROR(IF(INDEX(CODIFICACION!$E$2:$E$500,MATCH("D3.14d|"&amp;CAPTURA!BF149,CODIFICACION!$F$2:$F$500,0))="sin dato","",INDEX(CODIFICACION!$E$2:$E$500,MATCH("D3.14d|"&amp;CAPTURA!BF149,CODIFICACION!$F$2:$F$500,0))),"⚠"))</f>
        <v/>
      </c>
      <c r="AB149" t="str">
        <f>IF(CAPTURA!BG149="","",IFERROR(IF(INDEX(CODIFICACION!$E$2:$E$500,MATCH("D3.14e|"&amp;CAPTURA!BG149,CODIFICACION!$F$2:$F$500,0))="sin dato","",INDEX(CODIFICACION!$E$2:$E$500,MATCH("D3.14e|"&amp;CAPTURA!BG149,CODIFICACION!$F$2:$F$500,0))),"⚠"))</f>
        <v/>
      </c>
      <c r="AC149" t="str">
        <f>IF(CAPTURA!BH149="","",IFERROR(IF(INDEX(CODIFICACION!$E$2:$E$500,MATCH("D3.14f|"&amp;CAPTURA!BH149,CODIFICACION!$F$2:$F$500,0))="sin dato","",INDEX(CODIFICACION!$E$2:$E$500,MATCH("D3.14f|"&amp;CAPTURA!BH149,CODIFICACION!$F$2:$F$500,0))),"⚠"))</f>
        <v/>
      </c>
      <c r="AD149" t="str">
        <f>IF(CAPTURA!BI149="","",IFERROR(IF(INDEX(CODIFICACION!$E$2:$E$500,MATCH("D3.14g|"&amp;CAPTURA!BI149,CODIFICACION!$F$2:$F$500,0))="sin dato","",INDEX(CODIFICACION!$E$2:$E$500,MATCH("D3.14g|"&amp;CAPTURA!BI149,CODIFICACION!$F$2:$F$500,0))),"⚠"))</f>
        <v/>
      </c>
      <c r="AE149" t="str">
        <f>IF(CAPTURA!BJ149="","",IFERROR(IF(INDEX(CODIFICACION!$E$2:$E$500,MATCH("D3.14h|"&amp;CAPTURA!BJ149,CODIFICACION!$F$2:$F$500,0))="sin dato","",INDEX(CODIFICACION!$E$2:$E$500,MATCH("D3.14h|"&amp;CAPTURA!BJ149,CODIFICACION!$F$2:$F$500,0))),"⚠"))</f>
        <v/>
      </c>
      <c r="AF149" t="str">
        <f>IF(CAPTURA!BK149="","",IFERROR(IF(INDEX(CODIFICACION!$E$2:$E$500,MATCH("D3.14i|"&amp;CAPTURA!BK149,CODIFICACION!$F$2:$F$500,0))="sin dato","",INDEX(CODIFICACION!$E$2:$E$500,MATCH("D3.14i|"&amp;CAPTURA!BK149,CODIFICACION!$F$2:$F$500,0))),"⚠"))</f>
        <v/>
      </c>
      <c r="AG149" t="str">
        <f>IF(CAPTURA!BL149="","",IFERROR(IF(INDEX(CODIFICACION!$E$2:$E$500,MATCH("D4.15|"&amp;CAPTURA!BL149,CODIFICACION!$F$2:$F$500,0))="sin dato","",INDEX(CODIFICACION!$E$2:$E$500,MATCH("D4.15|"&amp;CAPTURA!BL149,CODIFICACION!$F$2:$F$500,0))),"⚠"))</f>
        <v/>
      </c>
      <c r="AH149" t="str">
        <f>IF(CAPTURA!BM149="","",IF(AND(ISNUMBER(CAPTURA!BM149),CAPTURA!BM149&gt;=0,CAPTURA!BM149&lt;=4),CAPTURA!BM149*25,"⚠"))</f>
        <v/>
      </c>
      <c r="AI149" t="str">
        <f>IF(CAPTURA!BN149="","",IFERROR(IF(INDEX(CODIFICACION!$E$2:$E$500,MATCH("D4.17|"&amp;CAPTURA!BN149,CODIFICACION!$F$2:$F$500,0))="sin dato","",INDEX(CODIFICACION!$E$2:$E$500,MATCH("D4.17|"&amp;CAPTURA!BN149,CODIFICACION!$F$2:$F$500,0))),"⚠"))</f>
        <v/>
      </c>
      <c r="AJ149" t="str">
        <f>IF(CAPTURA!BO149="","",IFERROR(IF(INDEX(CODIFICACION!$E$2:$E$500,MATCH("D4.15a|"&amp;CAPTURA!BO149,CODIFICACION!$F$2:$F$500,0))="sin dato","",INDEX(CODIFICACION!$E$2:$E$500,MATCH("D4.15a|"&amp;CAPTURA!BO149,CODIFICACION!$F$2:$F$500,0))),"⚠"))</f>
        <v/>
      </c>
      <c r="AK149" t="str">
        <f>IF(CAPTURA!BP149="","",IF(AND(ISNUMBER(CAPTURA!BP149),CAPTURA!BP149&gt;=0,CAPTURA!BP149&lt;=4),CAPTURA!BP149*25,"⚠"))</f>
        <v/>
      </c>
      <c r="AL149" t="str">
        <f>IF(CAPTURA!BQ149="","",IF(AND(ISNUMBER(CAPTURA!BQ149),CAPTURA!BQ149&gt;=0,CAPTURA!BQ149&lt;=4),CAPTURA!BQ149*25,"⚠"))</f>
        <v/>
      </c>
      <c r="AM149" t="str">
        <f>IF(CAPTURA!BR149="","",IFERROR(IF(INDEX(CODIFICACION!$E$2:$E$500,MATCH("D5.18b|"&amp;CAPTURA!BR149,CODIFICACION!$F$2:$F$500,0))="sin dato","",INDEX(CODIFICACION!$E$2:$E$500,MATCH("D5.18b|"&amp;CAPTURA!BR149,CODIFICACION!$F$2:$F$500,0))),"⚠"))</f>
        <v/>
      </c>
      <c r="AN149" t="str">
        <f>IF(CAPTURA!BS149="","",IFERROR(IF(INDEX(CODIFICACION!$E$2:$E$500,MATCH("D5.19|"&amp;CAPTURA!BS149,CODIFICACION!$F$2:$F$500,0))="sin dato","",INDEX(CODIFICACION!$E$2:$E$500,MATCH("D5.19|"&amp;CAPTURA!BS149,CODIFICACION!$F$2:$F$500,0))),"⚠"))</f>
        <v/>
      </c>
      <c r="AO149" t="str">
        <f>IF(CAPTURA!BT149="","",MIN(100,ROUND((LEN(CAPTURA!BT149)-LEN(SUBSTITUTE(CAPTURA!BT149,";",""))+1)/7*100,1)))</f>
        <v/>
      </c>
      <c r="AP149" t="str">
        <f>IF(CAPTURA!BU149="","",IFERROR(IF(INDEX(CODIFICACION!$E$2:$E$500,MATCH("D5.20|"&amp;CAPTURA!BU149,CODIFICACION!$F$2:$F$500,0))="sin dato","",INDEX(CODIFICACION!$E$2:$E$500,MATCH("D5.20|"&amp;CAPTURA!BU149,CODIFICACION!$F$2:$F$500,0))),"⚠"))</f>
        <v/>
      </c>
      <c r="AQ149" t="str">
        <f>IF(CAPTURA!BV149="","",IFERROR(IF(INDEX(CODIFICACION!$E$2:$E$500,MATCH("D5.21|"&amp;CAPTURA!BV149,CODIFICACION!$F$2:$F$500,0))="sin dato","",INDEX(CODIFICACION!$E$2:$E$500,MATCH("D5.21|"&amp;CAPTURA!BV149,CODIFICACION!$F$2:$F$500,0))),"⚠"))</f>
        <v/>
      </c>
      <c r="AR149" t="str">
        <f>IF(CAPTURA!BW149="","",IFERROR(IF(INDEX(CODIFICACION!$E$2:$E$500,MATCH("D5.21a|"&amp;CAPTURA!BW149,CODIFICACION!$F$2:$F$500,0))="sin dato","",INDEX(CODIFICACION!$E$2:$E$500,MATCH("D5.21a|"&amp;CAPTURA!BW149,CODIFICACION!$F$2:$F$500,0))),"⚠"))</f>
        <v/>
      </c>
      <c r="AS149" t="str">
        <f>IF(CAPTURA!BX149="","",IFERROR(IF(INDEX(CODIFICACION!$E$2:$E$500,MATCH("D5.21b|"&amp;CAPTURA!BX149,CODIFICACION!$F$2:$F$500,0))="sin dato","",INDEX(CODIFICACION!$E$2:$E$500,MATCH("D5.21b|"&amp;CAPTURA!BX149,CODIFICACION!$F$2:$F$500,0))),"⚠"))</f>
        <v/>
      </c>
      <c r="AT149" t="str">
        <f>IF(CAPTURA!BY149="","",IFERROR(IF(INDEX(CODIFICACION!$E$2:$E$500,MATCH("D6.22|"&amp;CAPTURA!BY149,CODIFICACION!$F$2:$F$500,0))="sin dato","",INDEX(CODIFICACION!$E$2:$E$500,MATCH("D6.22|"&amp;CAPTURA!BY149,CODIFICACION!$F$2:$F$500,0))),"⚠"))</f>
        <v/>
      </c>
      <c r="AU149" t="str">
        <f>IF(CAPTURA!BZ149="","",IFERROR(IF(INDEX(CODIFICACION!$E$2:$E$500,MATCH("D6.22a|"&amp;CAPTURA!BZ149,CODIFICACION!$F$2:$F$500,0))="sin dato","",INDEX(CODIFICACION!$E$2:$E$500,MATCH("D6.22a|"&amp;CAPTURA!BZ149,CODIFICACION!$F$2:$F$500,0))),"⚠"))</f>
        <v/>
      </c>
      <c r="AV149" t="str">
        <f>IF(CAPTURA!CA149="","",IFERROR(IF(INDEX(CODIFICACION!$E$2:$E$500,MATCH("D6.22b|"&amp;CAPTURA!CA149,CODIFICACION!$F$2:$F$500,0))="sin dato","",INDEX(CODIFICACION!$E$2:$E$500,MATCH("D6.22b|"&amp;CAPTURA!CA149,CODIFICACION!$F$2:$F$500,0))),"⚠"))</f>
        <v/>
      </c>
      <c r="AW149" t="str">
        <f>IF(CAPTURA!CB149="","",IFERROR(IF(INDEX(CODIFICACION!$E$2:$E$500,MATCH("D6.23|"&amp;CAPTURA!CB149,CODIFICACION!$F$2:$F$500,0))="sin dato","",INDEX(CODIFICACION!$E$2:$E$500,MATCH("D6.23|"&amp;CAPTURA!CB149,CODIFICACION!$F$2:$F$500,0))),"⚠"))</f>
        <v/>
      </c>
      <c r="AX149" t="str">
        <f>IF(CAPTURA!CC149="","",IFERROR(IF(INDEX(CODIFICACION!$E$2:$E$500,MATCH("D6.24|"&amp;CAPTURA!CC149,CODIFICACION!$F$2:$F$500,0))="sin dato","",INDEX(CODIFICACION!$E$2:$E$500,MATCH("D6.24|"&amp;CAPTURA!CC149,CODIFICACION!$F$2:$F$500,0))),"⚠"))</f>
        <v/>
      </c>
      <c r="AY149" t="str">
        <f>IF(CAPTURA!CD149="","",IFERROR(IF(INDEX(CODIFICACION!$E$2:$E$500,MATCH("D6.25|"&amp;CAPTURA!CD149,CODIFICACION!$F$2:$F$500,0))="sin dato","",INDEX(CODIFICACION!$E$2:$E$500,MATCH("D6.25|"&amp;CAPTURA!CD149,CODIFICACION!$F$2:$F$500,0))),"⚠"))</f>
        <v/>
      </c>
      <c r="AZ149" t="str">
        <f>IF(CAPTURA!CE149="","",IFERROR(IF(INDEX(CODIFICACION!$E$2:$E$500,MATCH("D6.25a|"&amp;CAPTURA!CE149,CODIFICACION!$F$2:$F$500,0))="sin dato","",INDEX(CODIFICACION!$E$2:$E$500,MATCH("D6.25a|"&amp;CAPTURA!CE149,CODIFICACION!$F$2:$F$500,0))),"⚠"))</f>
        <v/>
      </c>
      <c r="BA149" t="str">
        <f>IF(CAPTURA!CF149="","",IFERROR(IF(INDEX(CODIFICACION!$E$2:$E$500,MATCH("D6.25b|"&amp;CAPTURA!CF149,CODIFICACION!$F$2:$F$500,0))="sin dato","",INDEX(CODIFICACION!$E$2:$E$500,MATCH("D6.25b|"&amp;CAPTURA!CF149,CODIFICACION!$F$2:$F$500,0))),"⚠"))</f>
        <v/>
      </c>
      <c r="BB149" t="str">
        <f>IF(CAPTURA!CG149="","",IFERROR(IF(INDEX(CODIFICACION!$E$2:$E$500,MATCH("D6.22c|"&amp;CAPTURA!CG149,CODIFICACION!$F$2:$F$500,0))="sin dato","",INDEX(CODIFICACION!$E$2:$E$500,MATCH("D6.22c|"&amp;CAPTURA!CG149,CODIFICACION!$F$2:$F$500,0))),"⚠"))</f>
        <v/>
      </c>
      <c r="BC149" t="str">
        <f>IF(CAPTURA!CH149="","",IFERROR(IF(INDEX(CODIFICACION!$E$2:$E$500,MATCH("D7.26|"&amp;CAPTURA!CH149,CODIFICACION!$F$2:$F$500,0))="sin dato","",INDEX(CODIFICACION!$E$2:$E$500,MATCH("D7.26|"&amp;CAPTURA!CH149,CODIFICACION!$F$2:$F$500,0))),"⚠"))</f>
        <v/>
      </c>
      <c r="BD149" t="str">
        <f>IF(CAPTURA!CI149="","",IFERROR(IF(INDEX(CODIFICACION!$E$2:$E$500,MATCH("D7.27|"&amp;CAPTURA!CI149,CODIFICACION!$F$2:$F$500,0))="sin dato","",INDEX(CODIFICACION!$E$2:$E$500,MATCH("D7.27|"&amp;CAPTURA!CI149,CODIFICACION!$F$2:$F$500,0))),"⚠"))</f>
        <v/>
      </c>
      <c r="BE149" t="str">
        <f>IF(CAPTURA!CJ149="","",IFERROR(IF(INDEX(CODIFICACION!$E$2:$E$500,MATCH("D7.28|"&amp;CAPTURA!CJ149,CODIFICACION!$F$2:$F$500,0))="sin dato","",INDEX(CODIFICACION!$E$2:$E$500,MATCH("D7.28|"&amp;CAPTURA!CJ149,CODIFICACION!$F$2:$F$500,0))),"⚠"))</f>
        <v/>
      </c>
      <c r="BF149" t="str">
        <f>IF(CAPTURA!CK149="","",IFERROR(IF(INDEX(CODIFICACION!$E$2:$E$500,MATCH("D7.28b|"&amp;CAPTURA!CK149,CODIFICACION!$F$2:$F$500,0))="sin dato","",INDEX(CODIFICACION!$E$2:$E$500,MATCH("D7.28b|"&amp;CAPTURA!CK149,CODIFICACION!$F$2:$F$500,0))),"⚠"))</f>
        <v/>
      </c>
      <c r="BG149" t="str">
        <f>IF(CAPTURA!CL149="","",MIN(100,ROUND((LEN(CAPTURA!CL149)-LEN(SUBSTITUTE(CAPTURA!CL149,";",""))+1)/8*100,1)))</f>
        <v/>
      </c>
      <c r="BH149" t="str">
        <f>IF(CAPTURA!CM149="","",IFERROR(IF(INDEX(CODIFICACION!$E$2:$E$500,MATCH("D7.26a|"&amp;CAPTURA!CM149,CODIFICACION!$F$2:$F$500,0))="sin dato","",INDEX(CODIFICACION!$E$2:$E$500,MATCH("D7.26a|"&amp;CAPTURA!CM149,CODIFICACION!$F$2:$F$500,0))),"⚠"))</f>
        <v/>
      </c>
      <c r="BI149" t="str">
        <f>IF(CAPTURA!CN149="","",IFERROR(IF(INDEX(CODIFICACION!$E$2:$E$500,MATCH("D7.26b|"&amp;CAPTURA!CN149,CODIFICACION!$F$2:$F$500,0))="sin dato","",INDEX(CODIFICACION!$E$2:$E$500,MATCH("D7.26b|"&amp;CAPTURA!CN149,CODIFICACION!$F$2:$F$500,0))),"⚠"))</f>
        <v/>
      </c>
      <c r="BJ149" t="str">
        <f>IF(CAPTURA!CO149="","",IF(AND(ISNUMBER(CAPTURA!CO149),CAPTURA!CO149&gt;=0,CAPTURA!CO149&lt;=4),CAPTURA!CO149*25,"⚠"))</f>
        <v/>
      </c>
      <c r="BK149" t="str">
        <f>IF(CAPTURA!CP149="","",IF(ISNUMBER(CAPTURA!CP149),MAX(0,MIN(100,CAPTURA!CP149)),"⚠"))</f>
        <v/>
      </c>
      <c r="BL149" t="str">
        <f>IF(CAPTURA!CQ149="","",IFERROR(IF(INDEX(CODIFICACION!$E$2:$E$500,MATCH("D8.31|"&amp;CAPTURA!CQ149,CODIFICACION!$F$2:$F$500,0))="sin dato","",INDEX(CODIFICACION!$E$2:$E$500,MATCH("D8.31|"&amp;CAPTURA!CQ149,CODIFICACION!$F$2:$F$500,0))),"⚠"))</f>
        <v/>
      </c>
      <c r="BM149" t="str">
        <f>IF(CAPTURA!CR149="","",IFERROR(IF(INDEX(CODIFICACION!$E$2:$E$500,MATCH("D8.32|"&amp;CAPTURA!CR149,CODIFICACION!$F$2:$F$500,0))="sin dato","",INDEX(CODIFICACION!$E$2:$E$500,MATCH("D8.32|"&amp;CAPTURA!CR149,CODIFICACION!$F$2:$F$500,0))),"⚠"))</f>
        <v/>
      </c>
      <c r="BN149" t="str">
        <f>IF(CAPTURA!CS149="","",IFERROR(IF(INDEX(CODIFICACION!$E$2:$E$500,MATCH("D9.33|"&amp;CAPTURA!CS149,CODIFICACION!$F$2:$F$500,0))="sin dato","",INDEX(CODIFICACION!$E$2:$E$500,MATCH("D9.33|"&amp;CAPTURA!CS149,CODIFICACION!$F$2:$F$500,0))),"⚠"))</f>
        <v/>
      </c>
      <c r="BO149" t="str">
        <f>IF(CAPTURA!CT149="","",IFERROR(IF(INDEX(CODIFICACION!$E$2:$E$500,MATCH("D9.34|"&amp;CAPTURA!CT149,CODIFICACION!$F$2:$F$500,0))="sin dato","",INDEX(CODIFICACION!$E$2:$E$500,MATCH("D9.34|"&amp;CAPTURA!CT149,CODIFICACION!$F$2:$F$500,0))),"⚠"))</f>
        <v/>
      </c>
      <c r="BP149" t="str">
        <f>IF(CAPTURA!CU149="","",IFERROR(IF(INDEX(CODIFICACION!$E$2:$E$500,MATCH("D9.35|"&amp;CAPTURA!CU149,CODIFICACION!$F$2:$F$500,0))="sin dato","",INDEX(CODIFICACION!$E$2:$E$500,MATCH("D9.35|"&amp;CAPTURA!CU149,CODIFICACION!$F$2:$F$500,0))),"⚠"))</f>
        <v/>
      </c>
      <c r="BQ149" t="str">
        <f>IF(CAPTURA!CV149="","",IFERROR(IF(INDEX(CODIFICACION!$E$2:$E$500,MATCH("D10.36|"&amp;CAPTURA!CV149,CODIFICACION!$F$2:$F$500,0))="sin dato","",INDEX(CODIFICACION!$E$2:$E$500,MATCH("D10.36|"&amp;CAPTURA!CV149,CODIFICACION!$F$2:$F$500,0))),"⚠"))</f>
        <v/>
      </c>
      <c r="BR149" t="str">
        <f>IF(CAPTURA!CW149="","",IFERROR(IF(INDEX(CODIFICACION!$E$2:$E$500,MATCH("D10.37|"&amp;CAPTURA!CW149,CODIFICACION!$F$2:$F$500,0))="sin dato","",INDEX(CODIFICACION!$E$2:$E$500,MATCH("D10.37|"&amp;CAPTURA!CW149,CODIFICACION!$F$2:$F$500,0))),"⚠"))</f>
        <v/>
      </c>
      <c r="BS149" t="str">
        <f>IF(CAPTURA!CX149="","",IFERROR(IF(INDEX(CODIFICACION!$E$2:$E$500,MATCH("D10.36a|"&amp;CAPTURA!CX149,CODIFICACION!$F$2:$F$500,0))="sin dato","",INDEX(CODIFICACION!$E$2:$E$500,MATCH("D10.36a|"&amp;CAPTURA!CX149,CODIFICACION!$F$2:$F$500,0))),"⚠"))</f>
        <v/>
      </c>
      <c r="BT149" t="str">
        <f>IF(CAPTURA!CY149="","",IF(ISNUMBER(SEARCH("Ninguno",CAPTURA!CY149)),0,MIN(100,ROUND((LEN(CAPTURA!CY149)-LEN(SUBSTITUTE(CAPTURA!CY149,";",""))+1)/6*100,1))))</f>
        <v/>
      </c>
      <c r="BU149" t="str">
        <f>IF(CAPTURA!DA149="","",IFERROR(IF(INDEX(CODIFICACION!$E$2:$E$500,MATCH("D11.39a|"&amp;CAPTURA!DA149,CODIFICACION!$F$2:$F$500,0))="sin dato","",INDEX(CODIFICACION!$E$2:$E$500,MATCH("D11.39a|"&amp;CAPTURA!DA149,CODIFICACION!$F$2:$F$500,0))),"⚠"))</f>
        <v/>
      </c>
      <c r="BV149" t="str">
        <f>IF(CAPTURA!DB149="","",IFERROR(IF(INDEX(CODIFICACION!$E$2:$E$500,MATCH("D12.42|"&amp;CAPTURA!DB149,CODIFICACION!$F$2:$F$500,0))="sin dato","",INDEX(CODIFICACION!$E$2:$E$500,MATCH("D12.42|"&amp;CAPTURA!DB149,CODIFICACION!$F$2:$F$500,0))),"⚠"))</f>
        <v/>
      </c>
      <c r="BW149" t="str">
        <f>IF(CAPTURA!DC149="","",IFERROR(IF(INDEX(CODIFICACION!$E$2:$E$500,MATCH("D13.45|"&amp;CAPTURA!DC149,CODIFICACION!$F$2:$F$500,0))="sin dato","",INDEX(CODIFICACION!$E$2:$E$500,MATCH("D13.45|"&amp;CAPTURA!DC149,CODIFICACION!$F$2:$F$500,0))),"⚠"))</f>
        <v/>
      </c>
      <c r="BX149" t="str">
        <f>IF(CAPTURA!DD149="","",IFERROR(IF(INDEX(CODIFICACION!$E$2:$E$500,MATCH("D14.51|"&amp;CAPTURA!DD149,CODIFICACION!$F$2:$F$500,0))="sin dato","",INDEX(CODIFICACION!$E$2:$E$500,MATCH("D14.51|"&amp;CAPTURA!DD149,CODIFICACION!$F$2:$F$500,0))),"⚠"))</f>
        <v/>
      </c>
      <c r="BY149" t="str">
        <f>IF(CAPTURA!DE149="","",IFERROR(IF(INDEX(CODIFICACION!$E$2:$E$500,MATCH("D15.58|"&amp;CAPTURA!DE149,CODIFICACION!$F$2:$F$500,0))="sin dato","",INDEX(CODIFICACION!$E$2:$E$500,MATCH("D15.58|"&amp;CAPTURA!DE149,CODIFICACION!$F$2:$F$500,0))),"⚠"))</f>
        <v/>
      </c>
      <c r="BZ149" t="str">
        <f>IF(CAPTURA!DF149="","",IFERROR(IF(INDEX(CODIFICACION!$E$2:$E$500,MATCH("PP1|"&amp;CAPTURA!DF149,CODIFICACION!$F$2:$F$500,0))="sin dato","",INDEX(CODIFICACION!$E$2:$E$500,MATCH("PP1|"&amp;CAPTURA!DF149,CODIFICACION!$F$2:$F$500,0))),"⚠"))</f>
        <v/>
      </c>
      <c r="CA149" t="str">
        <f>IF(CAPTURA!DG149="","",IFERROR(IF(INDEX(CODIFICACION!$E$2:$E$500,MATCH("PP2|"&amp;CAPTURA!DG149,CODIFICACION!$F$2:$F$500,0))="sin dato","",INDEX(CODIFICACION!$E$2:$E$500,MATCH("PP2|"&amp;CAPTURA!DG149,CODIFICACION!$F$2:$F$500,0))),"⚠"))</f>
        <v/>
      </c>
      <c r="CB149" t="str">
        <f t="shared" si="44"/>
        <v/>
      </c>
      <c r="CC149" t="str">
        <f t="shared" si="45"/>
        <v/>
      </c>
      <c r="CD149" t="str">
        <f t="shared" si="46"/>
        <v/>
      </c>
      <c r="CE149" t="str">
        <f t="shared" si="47"/>
        <v/>
      </c>
      <c r="CF149" t="str">
        <f t="shared" si="48"/>
        <v/>
      </c>
      <c r="CG149" t="str">
        <f t="shared" si="49"/>
        <v/>
      </c>
      <c r="CH149" t="str">
        <f t="shared" si="50"/>
        <v/>
      </c>
      <c r="CI149" t="str">
        <f t="shared" si="51"/>
        <v/>
      </c>
      <c r="CJ149" t="str">
        <f t="shared" si="52"/>
        <v/>
      </c>
      <c r="CK149" t="str">
        <f t="shared" si="53"/>
        <v/>
      </c>
      <c r="CL149" t="str">
        <f t="shared" si="54"/>
        <v/>
      </c>
    </row>
    <row r="150" spans="1:90" x14ac:dyDescent="0.3">
      <c r="A150">
        <f>CAPTURA!A150</f>
        <v>20604401187</v>
      </c>
      <c r="B150">
        <f>CAPTURA!C150</f>
        <v>0</v>
      </c>
      <c r="C150" t="str">
        <f>IF(CAPTURA!M150="","",ROUND((ISNUMBER(SEARCH("Alemania",CAPTURA!M150))+ISNUMBER(SEARCH("Bélgica",CAPTURA!M150))+ISNUMBER(SEARCH("Países Bajos",CAPTURA!M150))+ISNUMBER(SEARCH("Francia",CAPTURA!M150))+ISNUMBER(SEARCH("Italia",CAPTURA!M150))+ISNUMBER(SEARCH("España",CAPTURA!M150))+ISNUMBER(SEARCH("Suecia",CAPTURA!M150))+ISNUMBER(SEARCH("Dinamarca",CAPTURA!M150)))/((LEN(CAPTURA!M150)-LEN(SUBSTITUTE(CAPTURA!M150,";","")))+1)*100,1))</f>
        <v/>
      </c>
      <c r="D150" t="str">
        <f>IF(CAPTURA!AE150="","",IFERROR(IF(INDEX(CODIFICACION!$E$2:$E$500,MATCH("P8|"&amp;CAPTURA!AE150,CODIFICACION!$F$2:$F$500,0))="sin dato","",INDEX(CODIFICACION!$E$2:$E$500,MATCH("P8|"&amp;CAPTURA!AE150,CODIFICACION!$F$2:$F$500,0))),"⚠"))</f>
        <v/>
      </c>
      <c r="E150" t="str">
        <f>IF(CAPTURA!AG150="","",IFERROR(IF(INDEX(CODIFICACION!$E$2:$E$500,MATCH("P10|"&amp;CAPTURA!AG150,CODIFICACION!$F$2:$F$500,0))="sin dato","",INDEX(CODIFICACION!$E$2:$E$500,MATCH("P10|"&amp;CAPTURA!AG150,CODIFICACION!$F$2:$F$500,0))),"⚠"))</f>
        <v/>
      </c>
      <c r="F150" t="str">
        <f>IF(CAPTURA!AJ150="","",IFERROR(IF(INDEX(CODIFICACION!$E$2:$E$500,MATCH("P13|"&amp;CAPTURA!AJ150,CODIFICACION!$F$2:$F$500,0))="sin dato","",INDEX(CODIFICACION!$E$2:$E$500,MATCH("P13|"&amp;CAPTURA!AJ150,CODIFICACION!$F$2:$F$500,0))),"⚠"))</f>
        <v/>
      </c>
      <c r="G150" t="str">
        <f>IF(CAPTURA!AK150="","",IFERROR(IF(INDEX(CODIFICACION!$E$2:$E$500,MATCH("P14|"&amp;CAPTURA!AK150,CODIFICACION!$F$2:$F$500,0))="sin dato","",INDEX(CODIFICACION!$E$2:$E$500,MATCH("P14|"&amp;CAPTURA!AK150,CODIFICACION!$F$2:$F$500,0))),"⚠"))</f>
        <v/>
      </c>
      <c r="H150" t="str">
        <f>IF(CAPTURA!AL150="","",IFERROR(IF(INDEX(CODIFICACION!$E$2:$E$500,MATCH("D1.1|"&amp;CAPTURA!AL150,CODIFICACION!$F$2:$F$500,0))="sin dato","",INDEX(CODIFICACION!$E$2:$E$500,MATCH("D1.1|"&amp;CAPTURA!AL150,CODIFICACION!$F$2:$F$500,0))),"⚠"))</f>
        <v/>
      </c>
      <c r="I150" t="str">
        <f>IF(CAPTURA!AN150="","",IFERROR(IF(INDEX(CODIFICACION!$E$2:$E$500,MATCH("D1.3|"&amp;CAPTURA!AN150,CODIFICACION!$F$2:$F$500,0))="sin dato","",INDEX(CODIFICACION!$E$2:$E$500,MATCH("D1.3|"&amp;CAPTURA!AN150,CODIFICACION!$F$2:$F$500,0))),"⚠"))</f>
        <v/>
      </c>
      <c r="J150" t="str">
        <f>IF(CAPTURA!AO150="","",IFERROR(IF(INDEX(CODIFICACION!$E$2:$E$500,MATCH("D1.4|"&amp;CAPTURA!AO150,CODIFICACION!$F$2:$F$500,0))="sin dato","",INDEX(CODIFICACION!$E$2:$E$500,MATCH("D1.4|"&amp;CAPTURA!AO150,CODIFICACION!$F$2:$F$500,0))),"⚠"))</f>
        <v/>
      </c>
      <c r="K150" t="str">
        <f>IF(CAPTURA!AP150="","",IFERROR(IF(INDEX(CODIFICACION!$E$2:$E$500,MATCH("D1.3a|"&amp;CAPTURA!AP150,CODIFICACION!$F$2:$F$500,0))="sin dato","",INDEX(CODIFICACION!$E$2:$E$500,MATCH("D1.3a|"&amp;CAPTURA!AP150,CODIFICACION!$F$2:$F$500,0))),"⚠"))</f>
        <v/>
      </c>
      <c r="L150" t="str">
        <f>IF(CAPTURA!AQ150="","",IF(AND(ISNUMBER(CAPTURA!AQ150),CAPTURA!AQ150&gt;=0,CAPTURA!AQ150&lt;=4),CAPTURA!AQ150*25,"⚠"))</f>
        <v/>
      </c>
      <c r="M150" t="str">
        <f>IF(CAPTURA!AR150="","",IF(ISNUMBER(CAPTURA!AR150),MAX(0,MIN(100,CAPTURA!AR150)),"⚠"))</f>
        <v/>
      </c>
      <c r="N150" t="str">
        <f>IF(CAPTURA!AS150="","",IF(AND(ISNUMBER(CAPTURA!AS150),CAPTURA!AS150&gt;=0,CAPTURA!AS150&lt;=4),CAPTURA!AS150*25,"⚠"))</f>
        <v/>
      </c>
      <c r="O150" t="str">
        <f>IF(CAPTURA!AT150="","",IFERROR(IF(INDEX(CODIFICACION!$E$2:$E$500,MATCH("D2.8|"&amp;CAPTURA!AT150,CODIFICACION!$F$2:$F$500,0))="sin dato","",INDEX(CODIFICACION!$E$2:$E$500,MATCH("D2.8|"&amp;CAPTURA!AT150,CODIFICACION!$F$2:$F$500,0))),"⚠"))</f>
        <v/>
      </c>
      <c r="P150" t="str">
        <f>IF(CAPTURA!AU150="","",IFERROR(IF(INDEX(CODIFICACION!$E$2:$E$500,MATCH("D2.9|"&amp;CAPTURA!AU150,CODIFICACION!$F$2:$F$500,0))="sin dato","",INDEX(CODIFICACION!$E$2:$E$500,MATCH("D2.9|"&amp;CAPTURA!AU150,CODIFICACION!$F$2:$F$500,0))),"⚠"))</f>
        <v/>
      </c>
      <c r="Q150" t="str">
        <f>IF(CAPTURA!AV150="","",IFERROR(IF(INDEX(CODIFICACION!$E$2:$E$500,MATCH("D2.10|"&amp;CAPTURA!AV150,CODIFICACION!$F$2:$F$500,0))="sin dato","",INDEX(CODIFICACION!$E$2:$E$500,MATCH("D2.10|"&amp;CAPTURA!AV150,CODIFICACION!$F$2:$F$500,0))),"⚠"))</f>
        <v/>
      </c>
      <c r="R150" t="str">
        <f>IF(CAPTURA!AW150="","",IFERROR(IF(INDEX(CODIFICACION!$E$2:$E$500,MATCH("D2.5a|"&amp;CAPTURA!AW150,CODIFICACION!$F$2:$F$500,0))="sin dato","",INDEX(CODIFICACION!$E$2:$E$500,MATCH("D2.5a|"&amp;CAPTURA!AW150,CODIFICACION!$F$2:$F$500,0))),"⚠"))</f>
        <v/>
      </c>
      <c r="S150" t="str">
        <f>IF(CAPTURA!AX150="","",IFERROR(IF(INDEX(CODIFICACION!$E$2:$E$500,MATCH("D2.5b|"&amp;CAPTURA!AX150,CODIFICACION!$F$2:$F$500,0))="sin dato","",INDEX(CODIFICACION!$E$2:$E$500,MATCH("D2.5b|"&amp;CAPTURA!AX150,CODIFICACION!$F$2:$F$500,0))),"⚠"))</f>
        <v/>
      </c>
      <c r="T150" t="str">
        <f>IF(CAPTURA!AY150="","",IF(ISNUMBER(CAPTURA!AY150),MAX(0,MIN(100,CAPTURA!AY150)),"⚠"))</f>
        <v/>
      </c>
      <c r="U150" t="str">
        <f>IF(CAPTURA!AZ150="","",IFERROR(IF(INDEX(CODIFICACION!$E$2:$E$500,MATCH("D3.12|"&amp;CAPTURA!AZ150,CODIFICACION!$F$2:$F$500,0))="sin dato","",INDEX(CODIFICACION!$E$2:$E$500,MATCH("D3.12|"&amp;CAPTURA!AZ150,CODIFICACION!$F$2:$F$500,0))),"⚠"))</f>
        <v/>
      </c>
      <c r="V150" t="str">
        <f>IF(CAPTURA!BA150="","",IF(AND(ISNUMBER(CAPTURA!BA150),CAPTURA!BA150&gt;=0,CAPTURA!BA150&lt;=4),CAPTURA!BA150*25,"⚠"))</f>
        <v/>
      </c>
      <c r="W150" t="str">
        <f>IF(CAPTURA!BB150="","",IFERROR(IF(INDEX(CODIFICACION!$E$2:$E$500,MATCH("D3.14|"&amp;CAPTURA!BB150,CODIFICACION!$F$2:$F$500,0))="sin dato","",INDEX(CODIFICACION!$E$2:$E$500,MATCH("D3.14|"&amp;CAPTURA!BB150,CODIFICACION!$F$2:$F$500,0))),"⚠"))</f>
        <v/>
      </c>
      <c r="X150" t="str">
        <f>IF(CAPTURA!BC150="","",IFERROR(IF(INDEX(CODIFICACION!$E$2:$E$500,MATCH("D3.14a|"&amp;CAPTURA!BC150,CODIFICACION!$F$2:$F$500,0))="sin dato","",INDEX(CODIFICACION!$E$2:$E$500,MATCH("D3.14a|"&amp;CAPTURA!BC150,CODIFICACION!$F$2:$F$500,0))),"⚠"))</f>
        <v/>
      </c>
      <c r="Y150" t="str">
        <f>IF(CAPTURA!BD150="","",IFERROR(IF(INDEX(CODIFICACION!$E$2:$E$500,MATCH("D3.14b|"&amp;CAPTURA!BD150,CODIFICACION!$F$2:$F$500,0))="sin dato","",INDEX(CODIFICACION!$E$2:$E$500,MATCH("D3.14b|"&amp;CAPTURA!BD150,CODIFICACION!$F$2:$F$500,0))),"⚠"))</f>
        <v/>
      </c>
      <c r="Z150" t="str">
        <f>IF(CAPTURA!BE150="","",IFERROR(IF(INDEX(CODIFICACION!$E$2:$E$500,MATCH("D3.14c|"&amp;CAPTURA!BE150,CODIFICACION!$F$2:$F$500,0))="sin dato","",INDEX(CODIFICACION!$E$2:$E$500,MATCH("D3.14c|"&amp;CAPTURA!BE150,CODIFICACION!$F$2:$F$500,0))),"⚠"))</f>
        <v/>
      </c>
      <c r="AA150" t="str">
        <f>IF(CAPTURA!BF150="","",IFERROR(IF(INDEX(CODIFICACION!$E$2:$E$500,MATCH("D3.14d|"&amp;CAPTURA!BF150,CODIFICACION!$F$2:$F$500,0))="sin dato","",INDEX(CODIFICACION!$E$2:$E$500,MATCH("D3.14d|"&amp;CAPTURA!BF150,CODIFICACION!$F$2:$F$500,0))),"⚠"))</f>
        <v/>
      </c>
      <c r="AB150" t="str">
        <f>IF(CAPTURA!BG150="","",IFERROR(IF(INDEX(CODIFICACION!$E$2:$E$500,MATCH("D3.14e|"&amp;CAPTURA!BG150,CODIFICACION!$F$2:$F$500,0))="sin dato","",INDEX(CODIFICACION!$E$2:$E$500,MATCH("D3.14e|"&amp;CAPTURA!BG150,CODIFICACION!$F$2:$F$500,0))),"⚠"))</f>
        <v/>
      </c>
      <c r="AC150" t="str">
        <f>IF(CAPTURA!BH150="","",IFERROR(IF(INDEX(CODIFICACION!$E$2:$E$500,MATCH("D3.14f|"&amp;CAPTURA!BH150,CODIFICACION!$F$2:$F$500,0))="sin dato","",INDEX(CODIFICACION!$E$2:$E$500,MATCH("D3.14f|"&amp;CAPTURA!BH150,CODIFICACION!$F$2:$F$500,0))),"⚠"))</f>
        <v/>
      </c>
      <c r="AD150" t="str">
        <f>IF(CAPTURA!BI150="","",IFERROR(IF(INDEX(CODIFICACION!$E$2:$E$500,MATCH("D3.14g|"&amp;CAPTURA!BI150,CODIFICACION!$F$2:$F$500,0))="sin dato","",INDEX(CODIFICACION!$E$2:$E$500,MATCH("D3.14g|"&amp;CAPTURA!BI150,CODIFICACION!$F$2:$F$500,0))),"⚠"))</f>
        <v/>
      </c>
      <c r="AE150" t="str">
        <f>IF(CAPTURA!BJ150="","",IFERROR(IF(INDEX(CODIFICACION!$E$2:$E$500,MATCH("D3.14h|"&amp;CAPTURA!BJ150,CODIFICACION!$F$2:$F$500,0))="sin dato","",INDEX(CODIFICACION!$E$2:$E$500,MATCH("D3.14h|"&amp;CAPTURA!BJ150,CODIFICACION!$F$2:$F$500,0))),"⚠"))</f>
        <v/>
      </c>
      <c r="AF150" t="str">
        <f>IF(CAPTURA!BK150="","",IFERROR(IF(INDEX(CODIFICACION!$E$2:$E$500,MATCH("D3.14i|"&amp;CAPTURA!BK150,CODIFICACION!$F$2:$F$500,0))="sin dato","",INDEX(CODIFICACION!$E$2:$E$500,MATCH("D3.14i|"&amp;CAPTURA!BK150,CODIFICACION!$F$2:$F$500,0))),"⚠"))</f>
        <v/>
      </c>
      <c r="AG150" t="str">
        <f>IF(CAPTURA!BL150="","",IFERROR(IF(INDEX(CODIFICACION!$E$2:$E$500,MATCH("D4.15|"&amp;CAPTURA!BL150,CODIFICACION!$F$2:$F$500,0))="sin dato","",INDEX(CODIFICACION!$E$2:$E$500,MATCH("D4.15|"&amp;CAPTURA!BL150,CODIFICACION!$F$2:$F$500,0))),"⚠"))</f>
        <v/>
      </c>
      <c r="AH150" t="str">
        <f>IF(CAPTURA!BM150="","",IF(AND(ISNUMBER(CAPTURA!BM150),CAPTURA!BM150&gt;=0,CAPTURA!BM150&lt;=4),CAPTURA!BM150*25,"⚠"))</f>
        <v/>
      </c>
      <c r="AI150" t="str">
        <f>IF(CAPTURA!BN150="","",IFERROR(IF(INDEX(CODIFICACION!$E$2:$E$500,MATCH("D4.17|"&amp;CAPTURA!BN150,CODIFICACION!$F$2:$F$500,0))="sin dato","",INDEX(CODIFICACION!$E$2:$E$500,MATCH("D4.17|"&amp;CAPTURA!BN150,CODIFICACION!$F$2:$F$500,0))),"⚠"))</f>
        <v/>
      </c>
      <c r="AJ150" t="str">
        <f>IF(CAPTURA!BO150="","",IFERROR(IF(INDEX(CODIFICACION!$E$2:$E$500,MATCH("D4.15a|"&amp;CAPTURA!BO150,CODIFICACION!$F$2:$F$500,0))="sin dato","",INDEX(CODIFICACION!$E$2:$E$500,MATCH("D4.15a|"&amp;CAPTURA!BO150,CODIFICACION!$F$2:$F$500,0))),"⚠"))</f>
        <v/>
      </c>
      <c r="AK150" t="str">
        <f>IF(CAPTURA!BP150="","",IF(AND(ISNUMBER(CAPTURA!BP150),CAPTURA!BP150&gt;=0,CAPTURA!BP150&lt;=4),CAPTURA!BP150*25,"⚠"))</f>
        <v/>
      </c>
      <c r="AL150" t="str">
        <f>IF(CAPTURA!BQ150="","",IF(AND(ISNUMBER(CAPTURA!BQ150),CAPTURA!BQ150&gt;=0,CAPTURA!BQ150&lt;=4),CAPTURA!BQ150*25,"⚠"))</f>
        <v/>
      </c>
      <c r="AM150" t="str">
        <f>IF(CAPTURA!BR150="","",IFERROR(IF(INDEX(CODIFICACION!$E$2:$E$500,MATCH("D5.18b|"&amp;CAPTURA!BR150,CODIFICACION!$F$2:$F$500,0))="sin dato","",INDEX(CODIFICACION!$E$2:$E$500,MATCH("D5.18b|"&amp;CAPTURA!BR150,CODIFICACION!$F$2:$F$500,0))),"⚠"))</f>
        <v/>
      </c>
      <c r="AN150" t="str">
        <f>IF(CAPTURA!BS150="","",IFERROR(IF(INDEX(CODIFICACION!$E$2:$E$500,MATCH("D5.19|"&amp;CAPTURA!BS150,CODIFICACION!$F$2:$F$500,0))="sin dato","",INDEX(CODIFICACION!$E$2:$E$500,MATCH("D5.19|"&amp;CAPTURA!BS150,CODIFICACION!$F$2:$F$500,0))),"⚠"))</f>
        <v/>
      </c>
      <c r="AO150" t="str">
        <f>IF(CAPTURA!BT150="","",MIN(100,ROUND((LEN(CAPTURA!BT150)-LEN(SUBSTITUTE(CAPTURA!BT150,";",""))+1)/7*100,1)))</f>
        <v/>
      </c>
      <c r="AP150" t="str">
        <f>IF(CAPTURA!BU150="","",IFERROR(IF(INDEX(CODIFICACION!$E$2:$E$500,MATCH("D5.20|"&amp;CAPTURA!BU150,CODIFICACION!$F$2:$F$500,0))="sin dato","",INDEX(CODIFICACION!$E$2:$E$500,MATCH("D5.20|"&amp;CAPTURA!BU150,CODIFICACION!$F$2:$F$500,0))),"⚠"))</f>
        <v/>
      </c>
      <c r="AQ150" t="str">
        <f>IF(CAPTURA!BV150="","",IFERROR(IF(INDEX(CODIFICACION!$E$2:$E$500,MATCH("D5.21|"&amp;CAPTURA!BV150,CODIFICACION!$F$2:$F$500,0))="sin dato","",INDEX(CODIFICACION!$E$2:$E$500,MATCH("D5.21|"&amp;CAPTURA!BV150,CODIFICACION!$F$2:$F$500,0))),"⚠"))</f>
        <v/>
      </c>
      <c r="AR150" t="str">
        <f>IF(CAPTURA!BW150="","",IFERROR(IF(INDEX(CODIFICACION!$E$2:$E$500,MATCH("D5.21a|"&amp;CAPTURA!BW150,CODIFICACION!$F$2:$F$500,0))="sin dato","",INDEX(CODIFICACION!$E$2:$E$500,MATCH("D5.21a|"&amp;CAPTURA!BW150,CODIFICACION!$F$2:$F$500,0))),"⚠"))</f>
        <v/>
      </c>
      <c r="AS150" t="str">
        <f>IF(CAPTURA!BX150="","",IFERROR(IF(INDEX(CODIFICACION!$E$2:$E$500,MATCH("D5.21b|"&amp;CAPTURA!BX150,CODIFICACION!$F$2:$F$500,0))="sin dato","",INDEX(CODIFICACION!$E$2:$E$500,MATCH("D5.21b|"&amp;CAPTURA!BX150,CODIFICACION!$F$2:$F$500,0))),"⚠"))</f>
        <v/>
      </c>
      <c r="AT150" t="str">
        <f>IF(CAPTURA!BY150="","",IFERROR(IF(INDEX(CODIFICACION!$E$2:$E$500,MATCH("D6.22|"&amp;CAPTURA!BY150,CODIFICACION!$F$2:$F$500,0))="sin dato","",INDEX(CODIFICACION!$E$2:$E$500,MATCH("D6.22|"&amp;CAPTURA!BY150,CODIFICACION!$F$2:$F$500,0))),"⚠"))</f>
        <v/>
      </c>
      <c r="AU150" t="str">
        <f>IF(CAPTURA!BZ150="","",IFERROR(IF(INDEX(CODIFICACION!$E$2:$E$500,MATCH("D6.22a|"&amp;CAPTURA!BZ150,CODIFICACION!$F$2:$F$500,0))="sin dato","",INDEX(CODIFICACION!$E$2:$E$500,MATCH("D6.22a|"&amp;CAPTURA!BZ150,CODIFICACION!$F$2:$F$500,0))),"⚠"))</f>
        <v/>
      </c>
      <c r="AV150" t="str">
        <f>IF(CAPTURA!CA150="","",IFERROR(IF(INDEX(CODIFICACION!$E$2:$E$500,MATCH("D6.22b|"&amp;CAPTURA!CA150,CODIFICACION!$F$2:$F$500,0))="sin dato","",INDEX(CODIFICACION!$E$2:$E$500,MATCH("D6.22b|"&amp;CAPTURA!CA150,CODIFICACION!$F$2:$F$500,0))),"⚠"))</f>
        <v/>
      </c>
      <c r="AW150" t="str">
        <f>IF(CAPTURA!CB150="","",IFERROR(IF(INDEX(CODIFICACION!$E$2:$E$500,MATCH("D6.23|"&amp;CAPTURA!CB150,CODIFICACION!$F$2:$F$500,0))="sin dato","",INDEX(CODIFICACION!$E$2:$E$500,MATCH("D6.23|"&amp;CAPTURA!CB150,CODIFICACION!$F$2:$F$500,0))),"⚠"))</f>
        <v/>
      </c>
      <c r="AX150" t="str">
        <f>IF(CAPTURA!CC150="","",IFERROR(IF(INDEX(CODIFICACION!$E$2:$E$500,MATCH("D6.24|"&amp;CAPTURA!CC150,CODIFICACION!$F$2:$F$500,0))="sin dato","",INDEX(CODIFICACION!$E$2:$E$500,MATCH("D6.24|"&amp;CAPTURA!CC150,CODIFICACION!$F$2:$F$500,0))),"⚠"))</f>
        <v/>
      </c>
      <c r="AY150" t="str">
        <f>IF(CAPTURA!CD150="","",IFERROR(IF(INDEX(CODIFICACION!$E$2:$E$500,MATCH("D6.25|"&amp;CAPTURA!CD150,CODIFICACION!$F$2:$F$500,0))="sin dato","",INDEX(CODIFICACION!$E$2:$E$500,MATCH("D6.25|"&amp;CAPTURA!CD150,CODIFICACION!$F$2:$F$500,0))),"⚠"))</f>
        <v/>
      </c>
      <c r="AZ150" t="str">
        <f>IF(CAPTURA!CE150="","",IFERROR(IF(INDEX(CODIFICACION!$E$2:$E$500,MATCH("D6.25a|"&amp;CAPTURA!CE150,CODIFICACION!$F$2:$F$500,0))="sin dato","",INDEX(CODIFICACION!$E$2:$E$500,MATCH("D6.25a|"&amp;CAPTURA!CE150,CODIFICACION!$F$2:$F$500,0))),"⚠"))</f>
        <v/>
      </c>
      <c r="BA150" t="str">
        <f>IF(CAPTURA!CF150="","",IFERROR(IF(INDEX(CODIFICACION!$E$2:$E$500,MATCH("D6.25b|"&amp;CAPTURA!CF150,CODIFICACION!$F$2:$F$500,0))="sin dato","",INDEX(CODIFICACION!$E$2:$E$500,MATCH("D6.25b|"&amp;CAPTURA!CF150,CODIFICACION!$F$2:$F$500,0))),"⚠"))</f>
        <v/>
      </c>
      <c r="BB150" t="str">
        <f>IF(CAPTURA!CG150="","",IFERROR(IF(INDEX(CODIFICACION!$E$2:$E$500,MATCH("D6.22c|"&amp;CAPTURA!CG150,CODIFICACION!$F$2:$F$500,0))="sin dato","",INDEX(CODIFICACION!$E$2:$E$500,MATCH("D6.22c|"&amp;CAPTURA!CG150,CODIFICACION!$F$2:$F$500,0))),"⚠"))</f>
        <v/>
      </c>
      <c r="BC150" t="str">
        <f>IF(CAPTURA!CH150="","",IFERROR(IF(INDEX(CODIFICACION!$E$2:$E$500,MATCH("D7.26|"&amp;CAPTURA!CH150,CODIFICACION!$F$2:$F$500,0))="sin dato","",INDEX(CODIFICACION!$E$2:$E$500,MATCH("D7.26|"&amp;CAPTURA!CH150,CODIFICACION!$F$2:$F$500,0))),"⚠"))</f>
        <v/>
      </c>
      <c r="BD150" t="str">
        <f>IF(CAPTURA!CI150="","",IFERROR(IF(INDEX(CODIFICACION!$E$2:$E$500,MATCH("D7.27|"&amp;CAPTURA!CI150,CODIFICACION!$F$2:$F$500,0))="sin dato","",INDEX(CODIFICACION!$E$2:$E$500,MATCH("D7.27|"&amp;CAPTURA!CI150,CODIFICACION!$F$2:$F$500,0))),"⚠"))</f>
        <v/>
      </c>
      <c r="BE150" t="str">
        <f>IF(CAPTURA!CJ150="","",IFERROR(IF(INDEX(CODIFICACION!$E$2:$E$500,MATCH("D7.28|"&amp;CAPTURA!CJ150,CODIFICACION!$F$2:$F$500,0))="sin dato","",INDEX(CODIFICACION!$E$2:$E$500,MATCH("D7.28|"&amp;CAPTURA!CJ150,CODIFICACION!$F$2:$F$500,0))),"⚠"))</f>
        <v/>
      </c>
      <c r="BF150" t="str">
        <f>IF(CAPTURA!CK150="","",IFERROR(IF(INDEX(CODIFICACION!$E$2:$E$500,MATCH("D7.28b|"&amp;CAPTURA!CK150,CODIFICACION!$F$2:$F$500,0))="sin dato","",INDEX(CODIFICACION!$E$2:$E$500,MATCH("D7.28b|"&amp;CAPTURA!CK150,CODIFICACION!$F$2:$F$500,0))),"⚠"))</f>
        <v/>
      </c>
      <c r="BG150" t="str">
        <f>IF(CAPTURA!CL150="","",MIN(100,ROUND((LEN(CAPTURA!CL150)-LEN(SUBSTITUTE(CAPTURA!CL150,";",""))+1)/8*100,1)))</f>
        <v/>
      </c>
      <c r="BH150" t="str">
        <f>IF(CAPTURA!CM150="","",IFERROR(IF(INDEX(CODIFICACION!$E$2:$E$500,MATCH("D7.26a|"&amp;CAPTURA!CM150,CODIFICACION!$F$2:$F$500,0))="sin dato","",INDEX(CODIFICACION!$E$2:$E$500,MATCH("D7.26a|"&amp;CAPTURA!CM150,CODIFICACION!$F$2:$F$500,0))),"⚠"))</f>
        <v/>
      </c>
      <c r="BI150" t="str">
        <f>IF(CAPTURA!CN150="","",IFERROR(IF(INDEX(CODIFICACION!$E$2:$E$500,MATCH("D7.26b|"&amp;CAPTURA!CN150,CODIFICACION!$F$2:$F$500,0))="sin dato","",INDEX(CODIFICACION!$E$2:$E$500,MATCH("D7.26b|"&amp;CAPTURA!CN150,CODIFICACION!$F$2:$F$500,0))),"⚠"))</f>
        <v/>
      </c>
      <c r="BJ150" t="str">
        <f>IF(CAPTURA!CO150="","",IF(AND(ISNUMBER(CAPTURA!CO150),CAPTURA!CO150&gt;=0,CAPTURA!CO150&lt;=4),CAPTURA!CO150*25,"⚠"))</f>
        <v/>
      </c>
      <c r="BK150" t="str">
        <f>IF(CAPTURA!CP150="","",IF(ISNUMBER(CAPTURA!CP150),MAX(0,MIN(100,CAPTURA!CP150)),"⚠"))</f>
        <v/>
      </c>
      <c r="BL150" t="str">
        <f>IF(CAPTURA!CQ150="","",IFERROR(IF(INDEX(CODIFICACION!$E$2:$E$500,MATCH("D8.31|"&amp;CAPTURA!CQ150,CODIFICACION!$F$2:$F$500,0))="sin dato","",INDEX(CODIFICACION!$E$2:$E$500,MATCH("D8.31|"&amp;CAPTURA!CQ150,CODIFICACION!$F$2:$F$500,0))),"⚠"))</f>
        <v/>
      </c>
      <c r="BM150" t="str">
        <f>IF(CAPTURA!CR150="","",IFERROR(IF(INDEX(CODIFICACION!$E$2:$E$500,MATCH("D8.32|"&amp;CAPTURA!CR150,CODIFICACION!$F$2:$F$500,0))="sin dato","",INDEX(CODIFICACION!$E$2:$E$500,MATCH("D8.32|"&amp;CAPTURA!CR150,CODIFICACION!$F$2:$F$500,0))),"⚠"))</f>
        <v/>
      </c>
      <c r="BN150" t="str">
        <f>IF(CAPTURA!CS150="","",IFERROR(IF(INDEX(CODIFICACION!$E$2:$E$500,MATCH("D9.33|"&amp;CAPTURA!CS150,CODIFICACION!$F$2:$F$500,0))="sin dato","",INDEX(CODIFICACION!$E$2:$E$500,MATCH("D9.33|"&amp;CAPTURA!CS150,CODIFICACION!$F$2:$F$500,0))),"⚠"))</f>
        <v/>
      </c>
      <c r="BO150" t="str">
        <f>IF(CAPTURA!CT150="","",IFERROR(IF(INDEX(CODIFICACION!$E$2:$E$500,MATCH("D9.34|"&amp;CAPTURA!CT150,CODIFICACION!$F$2:$F$500,0))="sin dato","",INDEX(CODIFICACION!$E$2:$E$500,MATCH("D9.34|"&amp;CAPTURA!CT150,CODIFICACION!$F$2:$F$500,0))),"⚠"))</f>
        <v/>
      </c>
      <c r="BP150" t="str">
        <f>IF(CAPTURA!CU150="","",IFERROR(IF(INDEX(CODIFICACION!$E$2:$E$500,MATCH("D9.35|"&amp;CAPTURA!CU150,CODIFICACION!$F$2:$F$500,0))="sin dato","",INDEX(CODIFICACION!$E$2:$E$500,MATCH("D9.35|"&amp;CAPTURA!CU150,CODIFICACION!$F$2:$F$500,0))),"⚠"))</f>
        <v/>
      </c>
      <c r="BQ150" t="str">
        <f>IF(CAPTURA!CV150="","",IFERROR(IF(INDEX(CODIFICACION!$E$2:$E$500,MATCH("D10.36|"&amp;CAPTURA!CV150,CODIFICACION!$F$2:$F$500,0))="sin dato","",INDEX(CODIFICACION!$E$2:$E$500,MATCH("D10.36|"&amp;CAPTURA!CV150,CODIFICACION!$F$2:$F$500,0))),"⚠"))</f>
        <v/>
      </c>
      <c r="BR150" t="str">
        <f>IF(CAPTURA!CW150="","",IFERROR(IF(INDEX(CODIFICACION!$E$2:$E$500,MATCH("D10.37|"&amp;CAPTURA!CW150,CODIFICACION!$F$2:$F$500,0))="sin dato","",INDEX(CODIFICACION!$E$2:$E$500,MATCH("D10.37|"&amp;CAPTURA!CW150,CODIFICACION!$F$2:$F$500,0))),"⚠"))</f>
        <v/>
      </c>
      <c r="BS150" t="str">
        <f>IF(CAPTURA!CX150="","",IFERROR(IF(INDEX(CODIFICACION!$E$2:$E$500,MATCH("D10.36a|"&amp;CAPTURA!CX150,CODIFICACION!$F$2:$F$500,0))="sin dato","",INDEX(CODIFICACION!$E$2:$E$500,MATCH("D10.36a|"&amp;CAPTURA!CX150,CODIFICACION!$F$2:$F$500,0))),"⚠"))</f>
        <v/>
      </c>
      <c r="BT150" t="str">
        <f>IF(CAPTURA!CY150="","",IF(ISNUMBER(SEARCH("Ninguno",CAPTURA!CY150)),0,MIN(100,ROUND((LEN(CAPTURA!CY150)-LEN(SUBSTITUTE(CAPTURA!CY150,";",""))+1)/6*100,1))))</f>
        <v/>
      </c>
      <c r="BU150" t="str">
        <f>IF(CAPTURA!DA150="","",IFERROR(IF(INDEX(CODIFICACION!$E$2:$E$500,MATCH("D11.39a|"&amp;CAPTURA!DA150,CODIFICACION!$F$2:$F$500,0))="sin dato","",INDEX(CODIFICACION!$E$2:$E$500,MATCH("D11.39a|"&amp;CAPTURA!DA150,CODIFICACION!$F$2:$F$500,0))),"⚠"))</f>
        <v/>
      </c>
      <c r="BV150" t="str">
        <f>IF(CAPTURA!DB150="","",IFERROR(IF(INDEX(CODIFICACION!$E$2:$E$500,MATCH("D12.42|"&amp;CAPTURA!DB150,CODIFICACION!$F$2:$F$500,0))="sin dato","",INDEX(CODIFICACION!$E$2:$E$500,MATCH("D12.42|"&amp;CAPTURA!DB150,CODIFICACION!$F$2:$F$500,0))),"⚠"))</f>
        <v/>
      </c>
      <c r="BW150" t="str">
        <f>IF(CAPTURA!DC150="","",IFERROR(IF(INDEX(CODIFICACION!$E$2:$E$500,MATCH("D13.45|"&amp;CAPTURA!DC150,CODIFICACION!$F$2:$F$500,0))="sin dato","",INDEX(CODIFICACION!$E$2:$E$500,MATCH("D13.45|"&amp;CAPTURA!DC150,CODIFICACION!$F$2:$F$500,0))),"⚠"))</f>
        <v/>
      </c>
      <c r="BX150" t="str">
        <f>IF(CAPTURA!DD150="","",IFERROR(IF(INDEX(CODIFICACION!$E$2:$E$500,MATCH("D14.51|"&amp;CAPTURA!DD150,CODIFICACION!$F$2:$F$500,0))="sin dato","",INDEX(CODIFICACION!$E$2:$E$500,MATCH("D14.51|"&amp;CAPTURA!DD150,CODIFICACION!$F$2:$F$500,0))),"⚠"))</f>
        <v/>
      </c>
      <c r="BY150" t="str">
        <f>IF(CAPTURA!DE150="","",IFERROR(IF(INDEX(CODIFICACION!$E$2:$E$500,MATCH("D15.58|"&amp;CAPTURA!DE150,CODIFICACION!$F$2:$F$500,0))="sin dato","",INDEX(CODIFICACION!$E$2:$E$500,MATCH("D15.58|"&amp;CAPTURA!DE150,CODIFICACION!$F$2:$F$500,0))),"⚠"))</f>
        <v/>
      </c>
      <c r="BZ150" t="str">
        <f>IF(CAPTURA!DF150="","",IFERROR(IF(INDEX(CODIFICACION!$E$2:$E$500,MATCH("PP1|"&amp;CAPTURA!DF150,CODIFICACION!$F$2:$F$500,0))="sin dato","",INDEX(CODIFICACION!$E$2:$E$500,MATCH("PP1|"&amp;CAPTURA!DF150,CODIFICACION!$F$2:$F$500,0))),"⚠"))</f>
        <v/>
      </c>
      <c r="CA150" t="str">
        <f>IF(CAPTURA!DG150="","",IFERROR(IF(INDEX(CODIFICACION!$E$2:$E$500,MATCH("PP2|"&amp;CAPTURA!DG150,CODIFICACION!$F$2:$F$500,0))="sin dato","",INDEX(CODIFICACION!$E$2:$E$500,MATCH("PP2|"&amp;CAPTURA!DG150,CODIFICACION!$F$2:$F$500,0))),"⚠"))</f>
        <v/>
      </c>
      <c r="CB150" t="str">
        <f t="shared" si="44"/>
        <v/>
      </c>
      <c r="CC150" t="str">
        <f t="shared" si="45"/>
        <v/>
      </c>
      <c r="CD150" t="str">
        <f t="shared" si="46"/>
        <v/>
      </c>
      <c r="CE150" t="str">
        <f t="shared" si="47"/>
        <v/>
      </c>
      <c r="CF150" t="str">
        <f t="shared" si="48"/>
        <v/>
      </c>
      <c r="CG150" t="str">
        <f t="shared" si="49"/>
        <v/>
      </c>
      <c r="CH150" t="str">
        <f t="shared" si="50"/>
        <v/>
      </c>
      <c r="CI150" t="str">
        <f t="shared" si="51"/>
        <v/>
      </c>
      <c r="CJ150" t="str">
        <f t="shared" si="52"/>
        <v/>
      </c>
      <c r="CK150" t="str">
        <f t="shared" si="53"/>
        <v/>
      </c>
      <c r="CL150" t="str">
        <f t="shared" si="54"/>
        <v/>
      </c>
    </row>
    <row r="151" spans="1:90" x14ac:dyDescent="0.3">
      <c r="A151">
        <f>CAPTURA!A151</f>
        <v>20604705411</v>
      </c>
      <c r="B151">
        <f>CAPTURA!C151</f>
        <v>0</v>
      </c>
      <c r="C151" t="str">
        <f>IF(CAPTURA!M151="","",ROUND((ISNUMBER(SEARCH("Alemania",CAPTURA!M151))+ISNUMBER(SEARCH("Bélgica",CAPTURA!M151))+ISNUMBER(SEARCH("Países Bajos",CAPTURA!M151))+ISNUMBER(SEARCH("Francia",CAPTURA!M151))+ISNUMBER(SEARCH("Italia",CAPTURA!M151))+ISNUMBER(SEARCH("España",CAPTURA!M151))+ISNUMBER(SEARCH("Suecia",CAPTURA!M151))+ISNUMBER(SEARCH("Dinamarca",CAPTURA!M151)))/((LEN(CAPTURA!M151)-LEN(SUBSTITUTE(CAPTURA!M151,";","")))+1)*100,1))</f>
        <v/>
      </c>
      <c r="D151" t="str">
        <f>IF(CAPTURA!AE151="","",IFERROR(IF(INDEX(CODIFICACION!$E$2:$E$500,MATCH("P8|"&amp;CAPTURA!AE151,CODIFICACION!$F$2:$F$500,0))="sin dato","",INDEX(CODIFICACION!$E$2:$E$500,MATCH("P8|"&amp;CAPTURA!AE151,CODIFICACION!$F$2:$F$500,0))),"⚠"))</f>
        <v/>
      </c>
      <c r="E151" t="str">
        <f>IF(CAPTURA!AG151="","",IFERROR(IF(INDEX(CODIFICACION!$E$2:$E$500,MATCH("P10|"&amp;CAPTURA!AG151,CODIFICACION!$F$2:$F$500,0))="sin dato","",INDEX(CODIFICACION!$E$2:$E$500,MATCH("P10|"&amp;CAPTURA!AG151,CODIFICACION!$F$2:$F$500,0))),"⚠"))</f>
        <v/>
      </c>
      <c r="F151" t="str">
        <f>IF(CAPTURA!AJ151="","",IFERROR(IF(INDEX(CODIFICACION!$E$2:$E$500,MATCH("P13|"&amp;CAPTURA!AJ151,CODIFICACION!$F$2:$F$500,0))="sin dato","",INDEX(CODIFICACION!$E$2:$E$500,MATCH("P13|"&amp;CAPTURA!AJ151,CODIFICACION!$F$2:$F$500,0))),"⚠"))</f>
        <v/>
      </c>
      <c r="G151" t="str">
        <f>IF(CAPTURA!AK151="","",IFERROR(IF(INDEX(CODIFICACION!$E$2:$E$500,MATCH("P14|"&amp;CAPTURA!AK151,CODIFICACION!$F$2:$F$500,0))="sin dato","",INDEX(CODIFICACION!$E$2:$E$500,MATCH("P14|"&amp;CAPTURA!AK151,CODIFICACION!$F$2:$F$500,0))),"⚠"))</f>
        <v/>
      </c>
      <c r="H151" t="str">
        <f>IF(CAPTURA!AL151="","",IFERROR(IF(INDEX(CODIFICACION!$E$2:$E$500,MATCH("D1.1|"&amp;CAPTURA!AL151,CODIFICACION!$F$2:$F$500,0))="sin dato","",INDEX(CODIFICACION!$E$2:$E$500,MATCH("D1.1|"&amp;CAPTURA!AL151,CODIFICACION!$F$2:$F$500,0))),"⚠"))</f>
        <v/>
      </c>
      <c r="I151" t="str">
        <f>IF(CAPTURA!AN151="","",IFERROR(IF(INDEX(CODIFICACION!$E$2:$E$500,MATCH("D1.3|"&amp;CAPTURA!AN151,CODIFICACION!$F$2:$F$500,0))="sin dato","",INDEX(CODIFICACION!$E$2:$E$500,MATCH("D1.3|"&amp;CAPTURA!AN151,CODIFICACION!$F$2:$F$500,0))),"⚠"))</f>
        <v/>
      </c>
      <c r="J151" t="str">
        <f>IF(CAPTURA!AO151="","",IFERROR(IF(INDEX(CODIFICACION!$E$2:$E$500,MATCH("D1.4|"&amp;CAPTURA!AO151,CODIFICACION!$F$2:$F$500,0))="sin dato","",INDEX(CODIFICACION!$E$2:$E$500,MATCH("D1.4|"&amp;CAPTURA!AO151,CODIFICACION!$F$2:$F$500,0))),"⚠"))</f>
        <v/>
      </c>
      <c r="K151" t="str">
        <f>IF(CAPTURA!AP151="","",IFERROR(IF(INDEX(CODIFICACION!$E$2:$E$500,MATCH("D1.3a|"&amp;CAPTURA!AP151,CODIFICACION!$F$2:$F$500,0))="sin dato","",INDEX(CODIFICACION!$E$2:$E$500,MATCH("D1.3a|"&amp;CAPTURA!AP151,CODIFICACION!$F$2:$F$500,0))),"⚠"))</f>
        <v/>
      </c>
      <c r="L151" t="str">
        <f>IF(CAPTURA!AQ151="","",IF(AND(ISNUMBER(CAPTURA!AQ151),CAPTURA!AQ151&gt;=0,CAPTURA!AQ151&lt;=4),CAPTURA!AQ151*25,"⚠"))</f>
        <v/>
      </c>
      <c r="M151" t="str">
        <f>IF(CAPTURA!AR151="","",IF(ISNUMBER(CAPTURA!AR151),MAX(0,MIN(100,CAPTURA!AR151)),"⚠"))</f>
        <v/>
      </c>
      <c r="N151" t="str">
        <f>IF(CAPTURA!AS151="","",IF(AND(ISNUMBER(CAPTURA!AS151),CAPTURA!AS151&gt;=0,CAPTURA!AS151&lt;=4),CAPTURA!AS151*25,"⚠"))</f>
        <v/>
      </c>
      <c r="O151" t="str">
        <f>IF(CAPTURA!AT151="","",IFERROR(IF(INDEX(CODIFICACION!$E$2:$E$500,MATCH("D2.8|"&amp;CAPTURA!AT151,CODIFICACION!$F$2:$F$500,0))="sin dato","",INDEX(CODIFICACION!$E$2:$E$500,MATCH("D2.8|"&amp;CAPTURA!AT151,CODIFICACION!$F$2:$F$500,0))),"⚠"))</f>
        <v/>
      </c>
      <c r="P151" t="str">
        <f>IF(CAPTURA!AU151="","",IFERROR(IF(INDEX(CODIFICACION!$E$2:$E$500,MATCH("D2.9|"&amp;CAPTURA!AU151,CODIFICACION!$F$2:$F$500,0))="sin dato","",INDEX(CODIFICACION!$E$2:$E$500,MATCH("D2.9|"&amp;CAPTURA!AU151,CODIFICACION!$F$2:$F$500,0))),"⚠"))</f>
        <v/>
      </c>
      <c r="Q151" t="str">
        <f>IF(CAPTURA!AV151="","",IFERROR(IF(INDEX(CODIFICACION!$E$2:$E$500,MATCH("D2.10|"&amp;CAPTURA!AV151,CODIFICACION!$F$2:$F$500,0))="sin dato","",INDEX(CODIFICACION!$E$2:$E$500,MATCH("D2.10|"&amp;CAPTURA!AV151,CODIFICACION!$F$2:$F$500,0))),"⚠"))</f>
        <v/>
      </c>
      <c r="R151" t="str">
        <f>IF(CAPTURA!AW151="","",IFERROR(IF(INDEX(CODIFICACION!$E$2:$E$500,MATCH("D2.5a|"&amp;CAPTURA!AW151,CODIFICACION!$F$2:$F$500,0))="sin dato","",INDEX(CODIFICACION!$E$2:$E$500,MATCH("D2.5a|"&amp;CAPTURA!AW151,CODIFICACION!$F$2:$F$500,0))),"⚠"))</f>
        <v/>
      </c>
      <c r="S151" t="str">
        <f>IF(CAPTURA!AX151="","",IFERROR(IF(INDEX(CODIFICACION!$E$2:$E$500,MATCH("D2.5b|"&amp;CAPTURA!AX151,CODIFICACION!$F$2:$F$500,0))="sin dato","",INDEX(CODIFICACION!$E$2:$E$500,MATCH("D2.5b|"&amp;CAPTURA!AX151,CODIFICACION!$F$2:$F$500,0))),"⚠"))</f>
        <v/>
      </c>
      <c r="T151" t="str">
        <f>IF(CAPTURA!AY151="","",IF(ISNUMBER(CAPTURA!AY151),MAX(0,MIN(100,CAPTURA!AY151)),"⚠"))</f>
        <v/>
      </c>
      <c r="U151" t="str">
        <f>IF(CAPTURA!AZ151="","",IFERROR(IF(INDEX(CODIFICACION!$E$2:$E$500,MATCH("D3.12|"&amp;CAPTURA!AZ151,CODIFICACION!$F$2:$F$500,0))="sin dato","",INDEX(CODIFICACION!$E$2:$E$500,MATCH("D3.12|"&amp;CAPTURA!AZ151,CODIFICACION!$F$2:$F$500,0))),"⚠"))</f>
        <v/>
      </c>
      <c r="V151" t="str">
        <f>IF(CAPTURA!BA151="","",IF(AND(ISNUMBER(CAPTURA!BA151),CAPTURA!BA151&gt;=0,CAPTURA!BA151&lt;=4),CAPTURA!BA151*25,"⚠"))</f>
        <v/>
      </c>
      <c r="W151" t="str">
        <f>IF(CAPTURA!BB151="","",IFERROR(IF(INDEX(CODIFICACION!$E$2:$E$500,MATCH("D3.14|"&amp;CAPTURA!BB151,CODIFICACION!$F$2:$F$500,0))="sin dato","",INDEX(CODIFICACION!$E$2:$E$500,MATCH("D3.14|"&amp;CAPTURA!BB151,CODIFICACION!$F$2:$F$500,0))),"⚠"))</f>
        <v/>
      </c>
      <c r="X151" t="str">
        <f>IF(CAPTURA!BC151="","",IFERROR(IF(INDEX(CODIFICACION!$E$2:$E$500,MATCH("D3.14a|"&amp;CAPTURA!BC151,CODIFICACION!$F$2:$F$500,0))="sin dato","",INDEX(CODIFICACION!$E$2:$E$500,MATCH("D3.14a|"&amp;CAPTURA!BC151,CODIFICACION!$F$2:$F$500,0))),"⚠"))</f>
        <v/>
      </c>
      <c r="Y151" t="str">
        <f>IF(CAPTURA!BD151="","",IFERROR(IF(INDEX(CODIFICACION!$E$2:$E$500,MATCH("D3.14b|"&amp;CAPTURA!BD151,CODIFICACION!$F$2:$F$500,0))="sin dato","",INDEX(CODIFICACION!$E$2:$E$500,MATCH("D3.14b|"&amp;CAPTURA!BD151,CODIFICACION!$F$2:$F$500,0))),"⚠"))</f>
        <v/>
      </c>
      <c r="Z151" t="str">
        <f>IF(CAPTURA!BE151="","",IFERROR(IF(INDEX(CODIFICACION!$E$2:$E$500,MATCH("D3.14c|"&amp;CAPTURA!BE151,CODIFICACION!$F$2:$F$500,0))="sin dato","",INDEX(CODIFICACION!$E$2:$E$500,MATCH("D3.14c|"&amp;CAPTURA!BE151,CODIFICACION!$F$2:$F$500,0))),"⚠"))</f>
        <v/>
      </c>
      <c r="AA151" t="str">
        <f>IF(CAPTURA!BF151="","",IFERROR(IF(INDEX(CODIFICACION!$E$2:$E$500,MATCH("D3.14d|"&amp;CAPTURA!BF151,CODIFICACION!$F$2:$F$500,0))="sin dato","",INDEX(CODIFICACION!$E$2:$E$500,MATCH("D3.14d|"&amp;CAPTURA!BF151,CODIFICACION!$F$2:$F$500,0))),"⚠"))</f>
        <v/>
      </c>
      <c r="AB151" t="str">
        <f>IF(CAPTURA!BG151="","",IFERROR(IF(INDEX(CODIFICACION!$E$2:$E$500,MATCH("D3.14e|"&amp;CAPTURA!BG151,CODIFICACION!$F$2:$F$500,0))="sin dato","",INDEX(CODIFICACION!$E$2:$E$500,MATCH("D3.14e|"&amp;CAPTURA!BG151,CODIFICACION!$F$2:$F$500,0))),"⚠"))</f>
        <v/>
      </c>
      <c r="AC151" t="str">
        <f>IF(CAPTURA!BH151="","",IFERROR(IF(INDEX(CODIFICACION!$E$2:$E$500,MATCH("D3.14f|"&amp;CAPTURA!BH151,CODIFICACION!$F$2:$F$500,0))="sin dato","",INDEX(CODIFICACION!$E$2:$E$500,MATCH("D3.14f|"&amp;CAPTURA!BH151,CODIFICACION!$F$2:$F$500,0))),"⚠"))</f>
        <v/>
      </c>
      <c r="AD151" t="str">
        <f>IF(CAPTURA!BI151="","",IFERROR(IF(INDEX(CODIFICACION!$E$2:$E$500,MATCH("D3.14g|"&amp;CAPTURA!BI151,CODIFICACION!$F$2:$F$500,0))="sin dato","",INDEX(CODIFICACION!$E$2:$E$500,MATCH("D3.14g|"&amp;CAPTURA!BI151,CODIFICACION!$F$2:$F$500,0))),"⚠"))</f>
        <v/>
      </c>
      <c r="AE151" t="str">
        <f>IF(CAPTURA!BJ151="","",IFERROR(IF(INDEX(CODIFICACION!$E$2:$E$500,MATCH("D3.14h|"&amp;CAPTURA!BJ151,CODIFICACION!$F$2:$F$500,0))="sin dato","",INDEX(CODIFICACION!$E$2:$E$500,MATCH("D3.14h|"&amp;CAPTURA!BJ151,CODIFICACION!$F$2:$F$500,0))),"⚠"))</f>
        <v/>
      </c>
      <c r="AF151" t="str">
        <f>IF(CAPTURA!BK151="","",IFERROR(IF(INDEX(CODIFICACION!$E$2:$E$500,MATCH("D3.14i|"&amp;CAPTURA!BK151,CODIFICACION!$F$2:$F$500,0))="sin dato","",INDEX(CODIFICACION!$E$2:$E$500,MATCH("D3.14i|"&amp;CAPTURA!BK151,CODIFICACION!$F$2:$F$500,0))),"⚠"))</f>
        <v/>
      </c>
      <c r="AG151" t="str">
        <f>IF(CAPTURA!BL151="","",IFERROR(IF(INDEX(CODIFICACION!$E$2:$E$500,MATCH("D4.15|"&amp;CAPTURA!BL151,CODIFICACION!$F$2:$F$500,0))="sin dato","",INDEX(CODIFICACION!$E$2:$E$500,MATCH("D4.15|"&amp;CAPTURA!BL151,CODIFICACION!$F$2:$F$500,0))),"⚠"))</f>
        <v/>
      </c>
      <c r="AH151" t="str">
        <f>IF(CAPTURA!BM151="","",IF(AND(ISNUMBER(CAPTURA!BM151),CAPTURA!BM151&gt;=0,CAPTURA!BM151&lt;=4),CAPTURA!BM151*25,"⚠"))</f>
        <v/>
      </c>
      <c r="AI151" t="str">
        <f>IF(CAPTURA!BN151="","",IFERROR(IF(INDEX(CODIFICACION!$E$2:$E$500,MATCH("D4.17|"&amp;CAPTURA!BN151,CODIFICACION!$F$2:$F$500,0))="sin dato","",INDEX(CODIFICACION!$E$2:$E$500,MATCH("D4.17|"&amp;CAPTURA!BN151,CODIFICACION!$F$2:$F$500,0))),"⚠"))</f>
        <v/>
      </c>
      <c r="AJ151" t="str">
        <f>IF(CAPTURA!BO151="","",IFERROR(IF(INDEX(CODIFICACION!$E$2:$E$500,MATCH("D4.15a|"&amp;CAPTURA!BO151,CODIFICACION!$F$2:$F$500,0))="sin dato","",INDEX(CODIFICACION!$E$2:$E$500,MATCH("D4.15a|"&amp;CAPTURA!BO151,CODIFICACION!$F$2:$F$500,0))),"⚠"))</f>
        <v/>
      </c>
      <c r="AK151" t="str">
        <f>IF(CAPTURA!BP151="","",IF(AND(ISNUMBER(CAPTURA!BP151),CAPTURA!BP151&gt;=0,CAPTURA!BP151&lt;=4),CAPTURA!BP151*25,"⚠"))</f>
        <v/>
      </c>
      <c r="AL151" t="str">
        <f>IF(CAPTURA!BQ151="","",IF(AND(ISNUMBER(CAPTURA!BQ151),CAPTURA!BQ151&gt;=0,CAPTURA!BQ151&lt;=4),CAPTURA!BQ151*25,"⚠"))</f>
        <v/>
      </c>
      <c r="AM151" t="str">
        <f>IF(CAPTURA!BR151="","",IFERROR(IF(INDEX(CODIFICACION!$E$2:$E$500,MATCH("D5.18b|"&amp;CAPTURA!BR151,CODIFICACION!$F$2:$F$500,0))="sin dato","",INDEX(CODIFICACION!$E$2:$E$500,MATCH("D5.18b|"&amp;CAPTURA!BR151,CODIFICACION!$F$2:$F$500,0))),"⚠"))</f>
        <v/>
      </c>
      <c r="AN151" t="str">
        <f>IF(CAPTURA!BS151="","",IFERROR(IF(INDEX(CODIFICACION!$E$2:$E$500,MATCH("D5.19|"&amp;CAPTURA!BS151,CODIFICACION!$F$2:$F$500,0))="sin dato","",INDEX(CODIFICACION!$E$2:$E$500,MATCH("D5.19|"&amp;CAPTURA!BS151,CODIFICACION!$F$2:$F$500,0))),"⚠"))</f>
        <v/>
      </c>
      <c r="AO151" t="str">
        <f>IF(CAPTURA!BT151="","",MIN(100,ROUND((LEN(CAPTURA!BT151)-LEN(SUBSTITUTE(CAPTURA!BT151,";",""))+1)/7*100,1)))</f>
        <v/>
      </c>
      <c r="AP151" t="str">
        <f>IF(CAPTURA!BU151="","",IFERROR(IF(INDEX(CODIFICACION!$E$2:$E$500,MATCH("D5.20|"&amp;CAPTURA!BU151,CODIFICACION!$F$2:$F$500,0))="sin dato","",INDEX(CODIFICACION!$E$2:$E$500,MATCH("D5.20|"&amp;CAPTURA!BU151,CODIFICACION!$F$2:$F$500,0))),"⚠"))</f>
        <v/>
      </c>
      <c r="AQ151" t="str">
        <f>IF(CAPTURA!BV151="","",IFERROR(IF(INDEX(CODIFICACION!$E$2:$E$500,MATCH("D5.21|"&amp;CAPTURA!BV151,CODIFICACION!$F$2:$F$500,0))="sin dato","",INDEX(CODIFICACION!$E$2:$E$500,MATCH("D5.21|"&amp;CAPTURA!BV151,CODIFICACION!$F$2:$F$500,0))),"⚠"))</f>
        <v/>
      </c>
      <c r="AR151" t="str">
        <f>IF(CAPTURA!BW151="","",IFERROR(IF(INDEX(CODIFICACION!$E$2:$E$500,MATCH("D5.21a|"&amp;CAPTURA!BW151,CODIFICACION!$F$2:$F$500,0))="sin dato","",INDEX(CODIFICACION!$E$2:$E$500,MATCH("D5.21a|"&amp;CAPTURA!BW151,CODIFICACION!$F$2:$F$500,0))),"⚠"))</f>
        <v/>
      </c>
      <c r="AS151" t="str">
        <f>IF(CAPTURA!BX151="","",IFERROR(IF(INDEX(CODIFICACION!$E$2:$E$500,MATCH("D5.21b|"&amp;CAPTURA!BX151,CODIFICACION!$F$2:$F$500,0))="sin dato","",INDEX(CODIFICACION!$E$2:$E$500,MATCH("D5.21b|"&amp;CAPTURA!BX151,CODIFICACION!$F$2:$F$500,0))),"⚠"))</f>
        <v/>
      </c>
      <c r="AT151" t="str">
        <f>IF(CAPTURA!BY151="","",IFERROR(IF(INDEX(CODIFICACION!$E$2:$E$500,MATCH("D6.22|"&amp;CAPTURA!BY151,CODIFICACION!$F$2:$F$500,0))="sin dato","",INDEX(CODIFICACION!$E$2:$E$500,MATCH("D6.22|"&amp;CAPTURA!BY151,CODIFICACION!$F$2:$F$500,0))),"⚠"))</f>
        <v/>
      </c>
      <c r="AU151" t="str">
        <f>IF(CAPTURA!BZ151="","",IFERROR(IF(INDEX(CODIFICACION!$E$2:$E$500,MATCH("D6.22a|"&amp;CAPTURA!BZ151,CODIFICACION!$F$2:$F$500,0))="sin dato","",INDEX(CODIFICACION!$E$2:$E$500,MATCH("D6.22a|"&amp;CAPTURA!BZ151,CODIFICACION!$F$2:$F$500,0))),"⚠"))</f>
        <v/>
      </c>
      <c r="AV151" t="str">
        <f>IF(CAPTURA!CA151="","",IFERROR(IF(INDEX(CODIFICACION!$E$2:$E$500,MATCH("D6.22b|"&amp;CAPTURA!CA151,CODIFICACION!$F$2:$F$500,0))="sin dato","",INDEX(CODIFICACION!$E$2:$E$500,MATCH("D6.22b|"&amp;CAPTURA!CA151,CODIFICACION!$F$2:$F$500,0))),"⚠"))</f>
        <v/>
      </c>
      <c r="AW151" t="str">
        <f>IF(CAPTURA!CB151="","",IFERROR(IF(INDEX(CODIFICACION!$E$2:$E$500,MATCH("D6.23|"&amp;CAPTURA!CB151,CODIFICACION!$F$2:$F$500,0))="sin dato","",INDEX(CODIFICACION!$E$2:$E$500,MATCH("D6.23|"&amp;CAPTURA!CB151,CODIFICACION!$F$2:$F$500,0))),"⚠"))</f>
        <v/>
      </c>
      <c r="AX151" t="str">
        <f>IF(CAPTURA!CC151="","",IFERROR(IF(INDEX(CODIFICACION!$E$2:$E$500,MATCH("D6.24|"&amp;CAPTURA!CC151,CODIFICACION!$F$2:$F$500,0))="sin dato","",INDEX(CODIFICACION!$E$2:$E$500,MATCH("D6.24|"&amp;CAPTURA!CC151,CODIFICACION!$F$2:$F$500,0))),"⚠"))</f>
        <v/>
      </c>
      <c r="AY151" t="str">
        <f>IF(CAPTURA!CD151="","",IFERROR(IF(INDEX(CODIFICACION!$E$2:$E$500,MATCH("D6.25|"&amp;CAPTURA!CD151,CODIFICACION!$F$2:$F$500,0))="sin dato","",INDEX(CODIFICACION!$E$2:$E$500,MATCH("D6.25|"&amp;CAPTURA!CD151,CODIFICACION!$F$2:$F$500,0))),"⚠"))</f>
        <v/>
      </c>
      <c r="AZ151" t="str">
        <f>IF(CAPTURA!CE151="","",IFERROR(IF(INDEX(CODIFICACION!$E$2:$E$500,MATCH("D6.25a|"&amp;CAPTURA!CE151,CODIFICACION!$F$2:$F$500,0))="sin dato","",INDEX(CODIFICACION!$E$2:$E$500,MATCH("D6.25a|"&amp;CAPTURA!CE151,CODIFICACION!$F$2:$F$500,0))),"⚠"))</f>
        <v/>
      </c>
      <c r="BA151" t="str">
        <f>IF(CAPTURA!CF151="","",IFERROR(IF(INDEX(CODIFICACION!$E$2:$E$500,MATCH("D6.25b|"&amp;CAPTURA!CF151,CODIFICACION!$F$2:$F$500,0))="sin dato","",INDEX(CODIFICACION!$E$2:$E$500,MATCH("D6.25b|"&amp;CAPTURA!CF151,CODIFICACION!$F$2:$F$500,0))),"⚠"))</f>
        <v/>
      </c>
      <c r="BB151" t="str">
        <f>IF(CAPTURA!CG151="","",IFERROR(IF(INDEX(CODIFICACION!$E$2:$E$500,MATCH("D6.22c|"&amp;CAPTURA!CG151,CODIFICACION!$F$2:$F$500,0))="sin dato","",INDEX(CODIFICACION!$E$2:$E$500,MATCH("D6.22c|"&amp;CAPTURA!CG151,CODIFICACION!$F$2:$F$500,0))),"⚠"))</f>
        <v/>
      </c>
      <c r="BC151" t="str">
        <f>IF(CAPTURA!CH151="","",IFERROR(IF(INDEX(CODIFICACION!$E$2:$E$500,MATCH("D7.26|"&amp;CAPTURA!CH151,CODIFICACION!$F$2:$F$500,0))="sin dato","",INDEX(CODIFICACION!$E$2:$E$500,MATCH("D7.26|"&amp;CAPTURA!CH151,CODIFICACION!$F$2:$F$500,0))),"⚠"))</f>
        <v/>
      </c>
      <c r="BD151" t="str">
        <f>IF(CAPTURA!CI151="","",IFERROR(IF(INDEX(CODIFICACION!$E$2:$E$500,MATCH("D7.27|"&amp;CAPTURA!CI151,CODIFICACION!$F$2:$F$500,0))="sin dato","",INDEX(CODIFICACION!$E$2:$E$500,MATCH("D7.27|"&amp;CAPTURA!CI151,CODIFICACION!$F$2:$F$500,0))),"⚠"))</f>
        <v/>
      </c>
      <c r="BE151" t="str">
        <f>IF(CAPTURA!CJ151="","",IFERROR(IF(INDEX(CODIFICACION!$E$2:$E$500,MATCH("D7.28|"&amp;CAPTURA!CJ151,CODIFICACION!$F$2:$F$500,0))="sin dato","",INDEX(CODIFICACION!$E$2:$E$500,MATCH("D7.28|"&amp;CAPTURA!CJ151,CODIFICACION!$F$2:$F$500,0))),"⚠"))</f>
        <v/>
      </c>
      <c r="BF151" t="str">
        <f>IF(CAPTURA!CK151="","",IFERROR(IF(INDEX(CODIFICACION!$E$2:$E$500,MATCH("D7.28b|"&amp;CAPTURA!CK151,CODIFICACION!$F$2:$F$500,0))="sin dato","",INDEX(CODIFICACION!$E$2:$E$500,MATCH("D7.28b|"&amp;CAPTURA!CK151,CODIFICACION!$F$2:$F$500,0))),"⚠"))</f>
        <v/>
      </c>
      <c r="BG151" t="str">
        <f>IF(CAPTURA!CL151="","",MIN(100,ROUND((LEN(CAPTURA!CL151)-LEN(SUBSTITUTE(CAPTURA!CL151,";",""))+1)/8*100,1)))</f>
        <v/>
      </c>
      <c r="BH151" t="str">
        <f>IF(CAPTURA!CM151="","",IFERROR(IF(INDEX(CODIFICACION!$E$2:$E$500,MATCH("D7.26a|"&amp;CAPTURA!CM151,CODIFICACION!$F$2:$F$500,0))="sin dato","",INDEX(CODIFICACION!$E$2:$E$500,MATCH("D7.26a|"&amp;CAPTURA!CM151,CODIFICACION!$F$2:$F$500,0))),"⚠"))</f>
        <v/>
      </c>
      <c r="BI151" t="str">
        <f>IF(CAPTURA!CN151="","",IFERROR(IF(INDEX(CODIFICACION!$E$2:$E$500,MATCH("D7.26b|"&amp;CAPTURA!CN151,CODIFICACION!$F$2:$F$500,0))="sin dato","",INDEX(CODIFICACION!$E$2:$E$500,MATCH("D7.26b|"&amp;CAPTURA!CN151,CODIFICACION!$F$2:$F$500,0))),"⚠"))</f>
        <v/>
      </c>
      <c r="BJ151" t="str">
        <f>IF(CAPTURA!CO151="","",IF(AND(ISNUMBER(CAPTURA!CO151),CAPTURA!CO151&gt;=0,CAPTURA!CO151&lt;=4),CAPTURA!CO151*25,"⚠"))</f>
        <v/>
      </c>
      <c r="BK151" t="str">
        <f>IF(CAPTURA!CP151="","",IF(ISNUMBER(CAPTURA!CP151),MAX(0,MIN(100,CAPTURA!CP151)),"⚠"))</f>
        <v/>
      </c>
      <c r="BL151" t="str">
        <f>IF(CAPTURA!CQ151="","",IFERROR(IF(INDEX(CODIFICACION!$E$2:$E$500,MATCH("D8.31|"&amp;CAPTURA!CQ151,CODIFICACION!$F$2:$F$500,0))="sin dato","",INDEX(CODIFICACION!$E$2:$E$500,MATCH("D8.31|"&amp;CAPTURA!CQ151,CODIFICACION!$F$2:$F$500,0))),"⚠"))</f>
        <v/>
      </c>
      <c r="BM151" t="str">
        <f>IF(CAPTURA!CR151="","",IFERROR(IF(INDEX(CODIFICACION!$E$2:$E$500,MATCH("D8.32|"&amp;CAPTURA!CR151,CODIFICACION!$F$2:$F$500,0))="sin dato","",INDEX(CODIFICACION!$E$2:$E$500,MATCH("D8.32|"&amp;CAPTURA!CR151,CODIFICACION!$F$2:$F$500,0))),"⚠"))</f>
        <v/>
      </c>
      <c r="BN151" t="str">
        <f>IF(CAPTURA!CS151="","",IFERROR(IF(INDEX(CODIFICACION!$E$2:$E$500,MATCH("D9.33|"&amp;CAPTURA!CS151,CODIFICACION!$F$2:$F$500,0))="sin dato","",INDEX(CODIFICACION!$E$2:$E$500,MATCH("D9.33|"&amp;CAPTURA!CS151,CODIFICACION!$F$2:$F$500,0))),"⚠"))</f>
        <v/>
      </c>
      <c r="BO151" t="str">
        <f>IF(CAPTURA!CT151="","",IFERROR(IF(INDEX(CODIFICACION!$E$2:$E$500,MATCH("D9.34|"&amp;CAPTURA!CT151,CODIFICACION!$F$2:$F$500,0))="sin dato","",INDEX(CODIFICACION!$E$2:$E$500,MATCH("D9.34|"&amp;CAPTURA!CT151,CODIFICACION!$F$2:$F$500,0))),"⚠"))</f>
        <v/>
      </c>
      <c r="BP151" t="str">
        <f>IF(CAPTURA!CU151="","",IFERROR(IF(INDEX(CODIFICACION!$E$2:$E$500,MATCH("D9.35|"&amp;CAPTURA!CU151,CODIFICACION!$F$2:$F$500,0))="sin dato","",INDEX(CODIFICACION!$E$2:$E$500,MATCH("D9.35|"&amp;CAPTURA!CU151,CODIFICACION!$F$2:$F$500,0))),"⚠"))</f>
        <v/>
      </c>
      <c r="BQ151" t="str">
        <f>IF(CAPTURA!CV151="","",IFERROR(IF(INDEX(CODIFICACION!$E$2:$E$500,MATCH("D10.36|"&amp;CAPTURA!CV151,CODIFICACION!$F$2:$F$500,0))="sin dato","",INDEX(CODIFICACION!$E$2:$E$500,MATCH("D10.36|"&amp;CAPTURA!CV151,CODIFICACION!$F$2:$F$500,0))),"⚠"))</f>
        <v/>
      </c>
      <c r="BR151" t="str">
        <f>IF(CAPTURA!CW151="","",IFERROR(IF(INDEX(CODIFICACION!$E$2:$E$500,MATCH("D10.37|"&amp;CAPTURA!CW151,CODIFICACION!$F$2:$F$500,0))="sin dato","",INDEX(CODIFICACION!$E$2:$E$500,MATCH("D10.37|"&amp;CAPTURA!CW151,CODIFICACION!$F$2:$F$500,0))),"⚠"))</f>
        <v/>
      </c>
      <c r="BS151" t="str">
        <f>IF(CAPTURA!CX151="","",IFERROR(IF(INDEX(CODIFICACION!$E$2:$E$500,MATCH("D10.36a|"&amp;CAPTURA!CX151,CODIFICACION!$F$2:$F$500,0))="sin dato","",INDEX(CODIFICACION!$E$2:$E$500,MATCH("D10.36a|"&amp;CAPTURA!CX151,CODIFICACION!$F$2:$F$500,0))),"⚠"))</f>
        <v/>
      </c>
      <c r="BT151" t="str">
        <f>IF(CAPTURA!CY151="","",IF(ISNUMBER(SEARCH("Ninguno",CAPTURA!CY151)),0,MIN(100,ROUND((LEN(CAPTURA!CY151)-LEN(SUBSTITUTE(CAPTURA!CY151,";",""))+1)/6*100,1))))</f>
        <v/>
      </c>
      <c r="BU151" t="str">
        <f>IF(CAPTURA!DA151="","",IFERROR(IF(INDEX(CODIFICACION!$E$2:$E$500,MATCH("D11.39a|"&amp;CAPTURA!DA151,CODIFICACION!$F$2:$F$500,0))="sin dato","",INDEX(CODIFICACION!$E$2:$E$500,MATCH("D11.39a|"&amp;CAPTURA!DA151,CODIFICACION!$F$2:$F$500,0))),"⚠"))</f>
        <v/>
      </c>
      <c r="BV151" t="str">
        <f>IF(CAPTURA!DB151="","",IFERROR(IF(INDEX(CODIFICACION!$E$2:$E$500,MATCH("D12.42|"&amp;CAPTURA!DB151,CODIFICACION!$F$2:$F$500,0))="sin dato","",INDEX(CODIFICACION!$E$2:$E$500,MATCH("D12.42|"&amp;CAPTURA!DB151,CODIFICACION!$F$2:$F$500,0))),"⚠"))</f>
        <v/>
      </c>
      <c r="BW151" t="str">
        <f>IF(CAPTURA!DC151="","",IFERROR(IF(INDEX(CODIFICACION!$E$2:$E$500,MATCH("D13.45|"&amp;CAPTURA!DC151,CODIFICACION!$F$2:$F$500,0))="sin dato","",INDEX(CODIFICACION!$E$2:$E$500,MATCH("D13.45|"&amp;CAPTURA!DC151,CODIFICACION!$F$2:$F$500,0))),"⚠"))</f>
        <v/>
      </c>
      <c r="BX151" t="str">
        <f>IF(CAPTURA!DD151="","",IFERROR(IF(INDEX(CODIFICACION!$E$2:$E$500,MATCH("D14.51|"&amp;CAPTURA!DD151,CODIFICACION!$F$2:$F$500,0))="sin dato","",INDEX(CODIFICACION!$E$2:$E$500,MATCH("D14.51|"&amp;CAPTURA!DD151,CODIFICACION!$F$2:$F$500,0))),"⚠"))</f>
        <v/>
      </c>
      <c r="BY151" t="str">
        <f>IF(CAPTURA!DE151="","",IFERROR(IF(INDEX(CODIFICACION!$E$2:$E$500,MATCH("D15.58|"&amp;CAPTURA!DE151,CODIFICACION!$F$2:$F$500,0))="sin dato","",INDEX(CODIFICACION!$E$2:$E$500,MATCH("D15.58|"&amp;CAPTURA!DE151,CODIFICACION!$F$2:$F$500,0))),"⚠"))</f>
        <v/>
      </c>
      <c r="BZ151" t="str">
        <f>IF(CAPTURA!DF151="","",IFERROR(IF(INDEX(CODIFICACION!$E$2:$E$500,MATCH("PP1|"&amp;CAPTURA!DF151,CODIFICACION!$F$2:$F$500,0))="sin dato","",INDEX(CODIFICACION!$E$2:$E$500,MATCH("PP1|"&amp;CAPTURA!DF151,CODIFICACION!$F$2:$F$500,0))),"⚠"))</f>
        <v/>
      </c>
      <c r="CA151" t="str">
        <f>IF(CAPTURA!DG151="","",IFERROR(IF(INDEX(CODIFICACION!$E$2:$E$500,MATCH("PP2|"&amp;CAPTURA!DG151,CODIFICACION!$F$2:$F$500,0))="sin dato","",INDEX(CODIFICACION!$E$2:$E$500,MATCH("PP2|"&amp;CAPTURA!DG151,CODIFICACION!$F$2:$F$500,0))),"⚠"))</f>
        <v/>
      </c>
      <c r="CB151" t="str">
        <f t="shared" si="44"/>
        <v/>
      </c>
      <c r="CC151" t="str">
        <f t="shared" si="45"/>
        <v/>
      </c>
      <c r="CD151" t="str">
        <f t="shared" si="46"/>
        <v/>
      </c>
      <c r="CE151" t="str">
        <f t="shared" si="47"/>
        <v/>
      </c>
      <c r="CF151" t="str">
        <f t="shared" si="48"/>
        <v/>
      </c>
      <c r="CG151" t="str">
        <f t="shared" si="49"/>
        <v/>
      </c>
      <c r="CH151" t="str">
        <f t="shared" si="50"/>
        <v/>
      </c>
      <c r="CI151" t="str">
        <f t="shared" si="51"/>
        <v/>
      </c>
      <c r="CJ151" t="str">
        <f t="shared" si="52"/>
        <v/>
      </c>
      <c r="CK151" t="str">
        <f t="shared" si="53"/>
        <v/>
      </c>
      <c r="CL151" t="str">
        <f t="shared" si="54"/>
        <v/>
      </c>
    </row>
    <row r="152" spans="1:90" x14ac:dyDescent="0.3">
      <c r="A152">
        <f>CAPTURA!A152</f>
        <v>20604988200</v>
      </c>
      <c r="B152">
        <f>CAPTURA!C152</f>
        <v>0</v>
      </c>
      <c r="C152" t="str">
        <f>IF(CAPTURA!M152="","",ROUND((ISNUMBER(SEARCH("Alemania",CAPTURA!M152))+ISNUMBER(SEARCH("Bélgica",CAPTURA!M152))+ISNUMBER(SEARCH("Países Bajos",CAPTURA!M152))+ISNUMBER(SEARCH("Francia",CAPTURA!M152))+ISNUMBER(SEARCH("Italia",CAPTURA!M152))+ISNUMBER(SEARCH("España",CAPTURA!M152))+ISNUMBER(SEARCH("Suecia",CAPTURA!M152))+ISNUMBER(SEARCH("Dinamarca",CAPTURA!M152)))/((LEN(CAPTURA!M152)-LEN(SUBSTITUTE(CAPTURA!M152,";","")))+1)*100,1))</f>
        <v/>
      </c>
      <c r="D152" t="str">
        <f>IF(CAPTURA!AE152="","",IFERROR(IF(INDEX(CODIFICACION!$E$2:$E$500,MATCH("P8|"&amp;CAPTURA!AE152,CODIFICACION!$F$2:$F$500,0))="sin dato","",INDEX(CODIFICACION!$E$2:$E$500,MATCH("P8|"&amp;CAPTURA!AE152,CODIFICACION!$F$2:$F$500,0))),"⚠"))</f>
        <v/>
      </c>
      <c r="E152" t="str">
        <f>IF(CAPTURA!AG152="","",IFERROR(IF(INDEX(CODIFICACION!$E$2:$E$500,MATCH("P10|"&amp;CAPTURA!AG152,CODIFICACION!$F$2:$F$500,0))="sin dato","",INDEX(CODIFICACION!$E$2:$E$500,MATCH("P10|"&amp;CAPTURA!AG152,CODIFICACION!$F$2:$F$500,0))),"⚠"))</f>
        <v/>
      </c>
      <c r="F152" t="str">
        <f>IF(CAPTURA!AJ152="","",IFERROR(IF(INDEX(CODIFICACION!$E$2:$E$500,MATCH("P13|"&amp;CAPTURA!AJ152,CODIFICACION!$F$2:$F$500,0))="sin dato","",INDEX(CODIFICACION!$E$2:$E$500,MATCH("P13|"&amp;CAPTURA!AJ152,CODIFICACION!$F$2:$F$500,0))),"⚠"))</f>
        <v/>
      </c>
      <c r="G152" t="str">
        <f>IF(CAPTURA!AK152="","",IFERROR(IF(INDEX(CODIFICACION!$E$2:$E$500,MATCH("P14|"&amp;CAPTURA!AK152,CODIFICACION!$F$2:$F$500,0))="sin dato","",INDEX(CODIFICACION!$E$2:$E$500,MATCH("P14|"&amp;CAPTURA!AK152,CODIFICACION!$F$2:$F$500,0))),"⚠"))</f>
        <v/>
      </c>
      <c r="H152" t="str">
        <f>IF(CAPTURA!AL152="","",IFERROR(IF(INDEX(CODIFICACION!$E$2:$E$500,MATCH("D1.1|"&amp;CAPTURA!AL152,CODIFICACION!$F$2:$F$500,0))="sin dato","",INDEX(CODIFICACION!$E$2:$E$500,MATCH("D1.1|"&amp;CAPTURA!AL152,CODIFICACION!$F$2:$F$500,0))),"⚠"))</f>
        <v/>
      </c>
      <c r="I152" t="str">
        <f>IF(CAPTURA!AN152="","",IFERROR(IF(INDEX(CODIFICACION!$E$2:$E$500,MATCH("D1.3|"&amp;CAPTURA!AN152,CODIFICACION!$F$2:$F$500,0))="sin dato","",INDEX(CODIFICACION!$E$2:$E$500,MATCH("D1.3|"&amp;CAPTURA!AN152,CODIFICACION!$F$2:$F$500,0))),"⚠"))</f>
        <v/>
      </c>
      <c r="J152" t="str">
        <f>IF(CAPTURA!AO152="","",IFERROR(IF(INDEX(CODIFICACION!$E$2:$E$500,MATCH("D1.4|"&amp;CAPTURA!AO152,CODIFICACION!$F$2:$F$500,0))="sin dato","",INDEX(CODIFICACION!$E$2:$E$500,MATCH("D1.4|"&amp;CAPTURA!AO152,CODIFICACION!$F$2:$F$500,0))),"⚠"))</f>
        <v/>
      </c>
      <c r="K152" t="str">
        <f>IF(CAPTURA!AP152="","",IFERROR(IF(INDEX(CODIFICACION!$E$2:$E$500,MATCH("D1.3a|"&amp;CAPTURA!AP152,CODIFICACION!$F$2:$F$500,0))="sin dato","",INDEX(CODIFICACION!$E$2:$E$500,MATCH("D1.3a|"&amp;CAPTURA!AP152,CODIFICACION!$F$2:$F$500,0))),"⚠"))</f>
        <v/>
      </c>
      <c r="L152" t="str">
        <f>IF(CAPTURA!AQ152="","",IF(AND(ISNUMBER(CAPTURA!AQ152),CAPTURA!AQ152&gt;=0,CAPTURA!AQ152&lt;=4),CAPTURA!AQ152*25,"⚠"))</f>
        <v/>
      </c>
      <c r="M152" t="str">
        <f>IF(CAPTURA!AR152="","",IF(ISNUMBER(CAPTURA!AR152),MAX(0,MIN(100,CAPTURA!AR152)),"⚠"))</f>
        <v/>
      </c>
      <c r="N152" t="str">
        <f>IF(CAPTURA!AS152="","",IF(AND(ISNUMBER(CAPTURA!AS152),CAPTURA!AS152&gt;=0,CAPTURA!AS152&lt;=4),CAPTURA!AS152*25,"⚠"))</f>
        <v/>
      </c>
      <c r="O152" t="str">
        <f>IF(CAPTURA!AT152="","",IFERROR(IF(INDEX(CODIFICACION!$E$2:$E$500,MATCH("D2.8|"&amp;CAPTURA!AT152,CODIFICACION!$F$2:$F$500,0))="sin dato","",INDEX(CODIFICACION!$E$2:$E$500,MATCH("D2.8|"&amp;CAPTURA!AT152,CODIFICACION!$F$2:$F$500,0))),"⚠"))</f>
        <v/>
      </c>
      <c r="P152" t="str">
        <f>IF(CAPTURA!AU152="","",IFERROR(IF(INDEX(CODIFICACION!$E$2:$E$500,MATCH("D2.9|"&amp;CAPTURA!AU152,CODIFICACION!$F$2:$F$500,0))="sin dato","",INDEX(CODIFICACION!$E$2:$E$500,MATCH("D2.9|"&amp;CAPTURA!AU152,CODIFICACION!$F$2:$F$500,0))),"⚠"))</f>
        <v/>
      </c>
      <c r="Q152" t="str">
        <f>IF(CAPTURA!AV152="","",IFERROR(IF(INDEX(CODIFICACION!$E$2:$E$500,MATCH("D2.10|"&amp;CAPTURA!AV152,CODIFICACION!$F$2:$F$500,0))="sin dato","",INDEX(CODIFICACION!$E$2:$E$500,MATCH("D2.10|"&amp;CAPTURA!AV152,CODIFICACION!$F$2:$F$500,0))),"⚠"))</f>
        <v/>
      </c>
      <c r="R152" t="str">
        <f>IF(CAPTURA!AW152="","",IFERROR(IF(INDEX(CODIFICACION!$E$2:$E$500,MATCH("D2.5a|"&amp;CAPTURA!AW152,CODIFICACION!$F$2:$F$500,0))="sin dato","",INDEX(CODIFICACION!$E$2:$E$500,MATCH("D2.5a|"&amp;CAPTURA!AW152,CODIFICACION!$F$2:$F$500,0))),"⚠"))</f>
        <v/>
      </c>
      <c r="S152" t="str">
        <f>IF(CAPTURA!AX152="","",IFERROR(IF(INDEX(CODIFICACION!$E$2:$E$500,MATCH("D2.5b|"&amp;CAPTURA!AX152,CODIFICACION!$F$2:$F$500,0))="sin dato","",INDEX(CODIFICACION!$E$2:$E$500,MATCH("D2.5b|"&amp;CAPTURA!AX152,CODIFICACION!$F$2:$F$500,0))),"⚠"))</f>
        <v/>
      </c>
      <c r="T152" t="str">
        <f>IF(CAPTURA!AY152="","",IF(ISNUMBER(CAPTURA!AY152),MAX(0,MIN(100,CAPTURA!AY152)),"⚠"))</f>
        <v/>
      </c>
      <c r="U152" t="str">
        <f>IF(CAPTURA!AZ152="","",IFERROR(IF(INDEX(CODIFICACION!$E$2:$E$500,MATCH("D3.12|"&amp;CAPTURA!AZ152,CODIFICACION!$F$2:$F$500,0))="sin dato","",INDEX(CODIFICACION!$E$2:$E$500,MATCH("D3.12|"&amp;CAPTURA!AZ152,CODIFICACION!$F$2:$F$500,0))),"⚠"))</f>
        <v/>
      </c>
      <c r="V152" t="str">
        <f>IF(CAPTURA!BA152="","",IF(AND(ISNUMBER(CAPTURA!BA152),CAPTURA!BA152&gt;=0,CAPTURA!BA152&lt;=4),CAPTURA!BA152*25,"⚠"))</f>
        <v/>
      </c>
      <c r="W152" t="str">
        <f>IF(CAPTURA!BB152="","",IFERROR(IF(INDEX(CODIFICACION!$E$2:$E$500,MATCH("D3.14|"&amp;CAPTURA!BB152,CODIFICACION!$F$2:$F$500,0))="sin dato","",INDEX(CODIFICACION!$E$2:$E$500,MATCH("D3.14|"&amp;CAPTURA!BB152,CODIFICACION!$F$2:$F$500,0))),"⚠"))</f>
        <v/>
      </c>
      <c r="X152" t="str">
        <f>IF(CAPTURA!BC152="","",IFERROR(IF(INDEX(CODIFICACION!$E$2:$E$500,MATCH("D3.14a|"&amp;CAPTURA!BC152,CODIFICACION!$F$2:$F$500,0))="sin dato","",INDEX(CODIFICACION!$E$2:$E$500,MATCH("D3.14a|"&amp;CAPTURA!BC152,CODIFICACION!$F$2:$F$500,0))),"⚠"))</f>
        <v/>
      </c>
      <c r="Y152" t="str">
        <f>IF(CAPTURA!BD152="","",IFERROR(IF(INDEX(CODIFICACION!$E$2:$E$500,MATCH("D3.14b|"&amp;CAPTURA!BD152,CODIFICACION!$F$2:$F$500,0))="sin dato","",INDEX(CODIFICACION!$E$2:$E$500,MATCH("D3.14b|"&amp;CAPTURA!BD152,CODIFICACION!$F$2:$F$500,0))),"⚠"))</f>
        <v/>
      </c>
      <c r="Z152" t="str">
        <f>IF(CAPTURA!BE152="","",IFERROR(IF(INDEX(CODIFICACION!$E$2:$E$500,MATCH("D3.14c|"&amp;CAPTURA!BE152,CODIFICACION!$F$2:$F$500,0))="sin dato","",INDEX(CODIFICACION!$E$2:$E$500,MATCH("D3.14c|"&amp;CAPTURA!BE152,CODIFICACION!$F$2:$F$500,0))),"⚠"))</f>
        <v/>
      </c>
      <c r="AA152" t="str">
        <f>IF(CAPTURA!BF152="","",IFERROR(IF(INDEX(CODIFICACION!$E$2:$E$500,MATCH("D3.14d|"&amp;CAPTURA!BF152,CODIFICACION!$F$2:$F$500,0))="sin dato","",INDEX(CODIFICACION!$E$2:$E$500,MATCH("D3.14d|"&amp;CAPTURA!BF152,CODIFICACION!$F$2:$F$500,0))),"⚠"))</f>
        <v/>
      </c>
      <c r="AB152" t="str">
        <f>IF(CAPTURA!BG152="","",IFERROR(IF(INDEX(CODIFICACION!$E$2:$E$500,MATCH("D3.14e|"&amp;CAPTURA!BG152,CODIFICACION!$F$2:$F$500,0))="sin dato","",INDEX(CODIFICACION!$E$2:$E$500,MATCH("D3.14e|"&amp;CAPTURA!BG152,CODIFICACION!$F$2:$F$500,0))),"⚠"))</f>
        <v/>
      </c>
      <c r="AC152" t="str">
        <f>IF(CAPTURA!BH152="","",IFERROR(IF(INDEX(CODIFICACION!$E$2:$E$500,MATCH("D3.14f|"&amp;CAPTURA!BH152,CODIFICACION!$F$2:$F$500,0))="sin dato","",INDEX(CODIFICACION!$E$2:$E$500,MATCH("D3.14f|"&amp;CAPTURA!BH152,CODIFICACION!$F$2:$F$500,0))),"⚠"))</f>
        <v/>
      </c>
      <c r="AD152" t="str">
        <f>IF(CAPTURA!BI152="","",IFERROR(IF(INDEX(CODIFICACION!$E$2:$E$500,MATCH("D3.14g|"&amp;CAPTURA!BI152,CODIFICACION!$F$2:$F$500,0))="sin dato","",INDEX(CODIFICACION!$E$2:$E$500,MATCH("D3.14g|"&amp;CAPTURA!BI152,CODIFICACION!$F$2:$F$500,0))),"⚠"))</f>
        <v/>
      </c>
      <c r="AE152" t="str">
        <f>IF(CAPTURA!BJ152="","",IFERROR(IF(INDEX(CODIFICACION!$E$2:$E$500,MATCH("D3.14h|"&amp;CAPTURA!BJ152,CODIFICACION!$F$2:$F$500,0))="sin dato","",INDEX(CODIFICACION!$E$2:$E$500,MATCH("D3.14h|"&amp;CAPTURA!BJ152,CODIFICACION!$F$2:$F$500,0))),"⚠"))</f>
        <v/>
      </c>
      <c r="AF152" t="str">
        <f>IF(CAPTURA!BK152="","",IFERROR(IF(INDEX(CODIFICACION!$E$2:$E$500,MATCH("D3.14i|"&amp;CAPTURA!BK152,CODIFICACION!$F$2:$F$500,0))="sin dato","",INDEX(CODIFICACION!$E$2:$E$500,MATCH("D3.14i|"&amp;CAPTURA!BK152,CODIFICACION!$F$2:$F$500,0))),"⚠"))</f>
        <v/>
      </c>
      <c r="AG152" t="str">
        <f>IF(CAPTURA!BL152="","",IFERROR(IF(INDEX(CODIFICACION!$E$2:$E$500,MATCH("D4.15|"&amp;CAPTURA!BL152,CODIFICACION!$F$2:$F$500,0))="sin dato","",INDEX(CODIFICACION!$E$2:$E$500,MATCH("D4.15|"&amp;CAPTURA!BL152,CODIFICACION!$F$2:$F$500,0))),"⚠"))</f>
        <v/>
      </c>
      <c r="AH152" t="str">
        <f>IF(CAPTURA!BM152="","",IF(AND(ISNUMBER(CAPTURA!BM152),CAPTURA!BM152&gt;=0,CAPTURA!BM152&lt;=4),CAPTURA!BM152*25,"⚠"))</f>
        <v/>
      </c>
      <c r="AI152" t="str">
        <f>IF(CAPTURA!BN152="","",IFERROR(IF(INDEX(CODIFICACION!$E$2:$E$500,MATCH("D4.17|"&amp;CAPTURA!BN152,CODIFICACION!$F$2:$F$500,0))="sin dato","",INDEX(CODIFICACION!$E$2:$E$500,MATCH("D4.17|"&amp;CAPTURA!BN152,CODIFICACION!$F$2:$F$500,0))),"⚠"))</f>
        <v/>
      </c>
      <c r="AJ152" t="str">
        <f>IF(CAPTURA!BO152="","",IFERROR(IF(INDEX(CODIFICACION!$E$2:$E$500,MATCH("D4.15a|"&amp;CAPTURA!BO152,CODIFICACION!$F$2:$F$500,0))="sin dato","",INDEX(CODIFICACION!$E$2:$E$500,MATCH("D4.15a|"&amp;CAPTURA!BO152,CODIFICACION!$F$2:$F$500,0))),"⚠"))</f>
        <v/>
      </c>
      <c r="AK152" t="str">
        <f>IF(CAPTURA!BP152="","",IF(AND(ISNUMBER(CAPTURA!BP152),CAPTURA!BP152&gt;=0,CAPTURA!BP152&lt;=4),CAPTURA!BP152*25,"⚠"))</f>
        <v/>
      </c>
      <c r="AL152" t="str">
        <f>IF(CAPTURA!BQ152="","",IF(AND(ISNUMBER(CAPTURA!BQ152),CAPTURA!BQ152&gt;=0,CAPTURA!BQ152&lt;=4),CAPTURA!BQ152*25,"⚠"))</f>
        <v/>
      </c>
      <c r="AM152" t="str">
        <f>IF(CAPTURA!BR152="","",IFERROR(IF(INDEX(CODIFICACION!$E$2:$E$500,MATCH("D5.18b|"&amp;CAPTURA!BR152,CODIFICACION!$F$2:$F$500,0))="sin dato","",INDEX(CODIFICACION!$E$2:$E$500,MATCH("D5.18b|"&amp;CAPTURA!BR152,CODIFICACION!$F$2:$F$500,0))),"⚠"))</f>
        <v/>
      </c>
      <c r="AN152" t="str">
        <f>IF(CAPTURA!BS152="","",IFERROR(IF(INDEX(CODIFICACION!$E$2:$E$500,MATCH("D5.19|"&amp;CAPTURA!BS152,CODIFICACION!$F$2:$F$500,0))="sin dato","",INDEX(CODIFICACION!$E$2:$E$500,MATCH("D5.19|"&amp;CAPTURA!BS152,CODIFICACION!$F$2:$F$500,0))),"⚠"))</f>
        <v/>
      </c>
      <c r="AO152" t="str">
        <f>IF(CAPTURA!BT152="","",MIN(100,ROUND((LEN(CAPTURA!BT152)-LEN(SUBSTITUTE(CAPTURA!BT152,";",""))+1)/7*100,1)))</f>
        <v/>
      </c>
      <c r="AP152" t="str">
        <f>IF(CAPTURA!BU152="","",IFERROR(IF(INDEX(CODIFICACION!$E$2:$E$500,MATCH("D5.20|"&amp;CAPTURA!BU152,CODIFICACION!$F$2:$F$500,0))="sin dato","",INDEX(CODIFICACION!$E$2:$E$500,MATCH("D5.20|"&amp;CAPTURA!BU152,CODIFICACION!$F$2:$F$500,0))),"⚠"))</f>
        <v/>
      </c>
      <c r="AQ152" t="str">
        <f>IF(CAPTURA!BV152="","",IFERROR(IF(INDEX(CODIFICACION!$E$2:$E$500,MATCH("D5.21|"&amp;CAPTURA!BV152,CODIFICACION!$F$2:$F$500,0))="sin dato","",INDEX(CODIFICACION!$E$2:$E$500,MATCH("D5.21|"&amp;CAPTURA!BV152,CODIFICACION!$F$2:$F$500,0))),"⚠"))</f>
        <v/>
      </c>
      <c r="AR152" t="str">
        <f>IF(CAPTURA!BW152="","",IFERROR(IF(INDEX(CODIFICACION!$E$2:$E$500,MATCH("D5.21a|"&amp;CAPTURA!BW152,CODIFICACION!$F$2:$F$500,0))="sin dato","",INDEX(CODIFICACION!$E$2:$E$500,MATCH("D5.21a|"&amp;CAPTURA!BW152,CODIFICACION!$F$2:$F$500,0))),"⚠"))</f>
        <v/>
      </c>
      <c r="AS152" t="str">
        <f>IF(CAPTURA!BX152="","",IFERROR(IF(INDEX(CODIFICACION!$E$2:$E$500,MATCH("D5.21b|"&amp;CAPTURA!BX152,CODIFICACION!$F$2:$F$500,0))="sin dato","",INDEX(CODIFICACION!$E$2:$E$500,MATCH("D5.21b|"&amp;CAPTURA!BX152,CODIFICACION!$F$2:$F$500,0))),"⚠"))</f>
        <v/>
      </c>
      <c r="AT152" t="str">
        <f>IF(CAPTURA!BY152="","",IFERROR(IF(INDEX(CODIFICACION!$E$2:$E$500,MATCH("D6.22|"&amp;CAPTURA!BY152,CODIFICACION!$F$2:$F$500,0))="sin dato","",INDEX(CODIFICACION!$E$2:$E$500,MATCH("D6.22|"&amp;CAPTURA!BY152,CODIFICACION!$F$2:$F$500,0))),"⚠"))</f>
        <v/>
      </c>
      <c r="AU152" t="str">
        <f>IF(CAPTURA!BZ152="","",IFERROR(IF(INDEX(CODIFICACION!$E$2:$E$500,MATCH("D6.22a|"&amp;CAPTURA!BZ152,CODIFICACION!$F$2:$F$500,0))="sin dato","",INDEX(CODIFICACION!$E$2:$E$500,MATCH("D6.22a|"&amp;CAPTURA!BZ152,CODIFICACION!$F$2:$F$500,0))),"⚠"))</f>
        <v/>
      </c>
      <c r="AV152" t="str">
        <f>IF(CAPTURA!CA152="","",IFERROR(IF(INDEX(CODIFICACION!$E$2:$E$500,MATCH("D6.22b|"&amp;CAPTURA!CA152,CODIFICACION!$F$2:$F$500,0))="sin dato","",INDEX(CODIFICACION!$E$2:$E$500,MATCH("D6.22b|"&amp;CAPTURA!CA152,CODIFICACION!$F$2:$F$500,0))),"⚠"))</f>
        <v/>
      </c>
      <c r="AW152" t="str">
        <f>IF(CAPTURA!CB152="","",IFERROR(IF(INDEX(CODIFICACION!$E$2:$E$500,MATCH("D6.23|"&amp;CAPTURA!CB152,CODIFICACION!$F$2:$F$500,0))="sin dato","",INDEX(CODIFICACION!$E$2:$E$500,MATCH("D6.23|"&amp;CAPTURA!CB152,CODIFICACION!$F$2:$F$500,0))),"⚠"))</f>
        <v/>
      </c>
      <c r="AX152" t="str">
        <f>IF(CAPTURA!CC152="","",IFERROR(IF(INDEX(CODIFICACION!$E$2:$E$500,MATCH("D6.24|"&amp;CAPTURA!CC152,CODIFICACION!$F$2:$F$500,0))="sin dato","",INDEX(CODIFICACION!$E$2:$E$500,MATCH("D6.24|"&amp;CAPTURA!CC152,CODIFICACION!$F$2:$F$500,0))),"⚠"))</f>
        <v/>
      </c>
      <c r="AY152" t="str">
        <f>IF(CAPTURA!CD152="","",IFERROR(IF(INDEX(CODIFICACION!$E$2:$E$500,MATCH("D6.25|"&amp;CAPTURA!CD152,CODIFICACION!$F$2:$F$500,0))="sin dato","",INDEX(CODIFICACION!$E$2:$E$500,MATCH("D6.25|"&amp;CAPTURA!CD152,CODIFICACION!$F$2:$F$500,0))),"⚠"))</f>
        <v/>
      </c>
      <c r="AZ152" t="str">
        <f>IF(CAPTURA!CE152="","",IFERROR(IF(INDEX(CODIFICACION!$E$2:$E$500,MATCH("D6.25a|"&amp;CAPTURA!CE152,CODIFICACION!$F$2:$F$500,0))="sin dato","",INDEX(CODIFICACION!$E$2:$E$500,MATCH("D6.25a|"&amp;CAPTURA!CE152,CODIFICACION!$F$2:$F$500,0))),"⚠"))</f>
        <v/>
      </c>
      <c r="BA152" t="str">
        <f>IF(CAPTURA!CF152="","",IFERROR(IF(INDEX(CODIFICACION!$E$2:$E$500,MATCH("D6.25b|"&amp;CAPTURA!CF152,CODIFICACION!$F$2:$F$500,0))="sin dato","",INDEX(CODIFICACION!$E$2:$E$500,MATCH("D6.25b|"&amp;CAPTURA!CF152,CODIFICACION!$F$2:$F$500,0))),"⚠"))</f>
        <v/>
      </c>
      <c r="BB152" t="str">
        <f>IF(CAPTURA!CG152="","",IFERROR(IF(INDEX(CODIFICACION!$E$2:$E$500,MATCH("D6.22c|"&amp;CAPTURA!CG152,CODIFICACION!$F$2:$F$500,0))="sin dato","",INDEX(CODIFICACION!$E$2:$E$500,MATCH("D6.22c|"&amp;CAPTURA!CG152,CODIFICACION!$F$2:$F$500,0))),"⚠"))</f>
        <v/>
      </c>
      <c r="BC152" t="str">
        <f>IF(CAPTURA!CH152="","",IFERROR(IF(INDEX(CODIFICACION!$E$2:$E$500,MATCH("D7.26|"&amp;CAPTURA!CH152,CODIFICACION!$F$2:$F$500,0))="sin dato","",INDEX(CODIFICACION!$E$2:$E$500,MATCH("D7.26|"&amp;CAPTURA!CH152,CODIFICACION!$F$2:$F$500,0))),"⚠"))</f>
        <v/>
      </c>
      <c r="BD152" t="str">
        <f>IF(CAPTURA!CI152="","",IFERROR(IF(INDEX(CODIFICACION!$E$2:$E$500,MATCH("D7.27|"&amp;CAPTURA!CI152,CODIFICACION!$F$2:$F$500,0))="sin dato","",INDEX(CODIFICACION!$E$2:$E$500,MATCH("D7.27|"&amp;CAPTURA!CI152,CODIFICACION!$F$2:$F$500,0))),"⚠"))</f>
        <v/>
      </c>
      <c r="BE152" t="str">
        <f>IF(CAPTURA!CJ152="","",IFERROR(IF(INDEX(CODIFICACION!$E$2:$E$500,MATCH("D7.28|"&amp;CAPTURA!CJ152,CODIFICACION!$F$2:$F$500,0))="sin dato","",INDEX(CODIFICACION!$E$2:$E$500,MATCH("D7.28|"&amp;CAPTURA!CJ152,CODIFICACION!$F$2:$F$500,0))),"⚠"))</f>
        <v/>
      </c>
      <c r="BF152" t="str">
        <f>IF(CAPTURA!CK152="","",IFERROR(IF(INDEX(CODIFICACION!$E$2:$E$500,MATCH("D7.28b|"&amp;CAPTURA!CK152,CODIFICACION!$F$2:$F$500,0))="sin dato","",INDEX(CODIFICACION!$E$2:$E$500,MATCH("D7.28b|"&amp;CAPTURA!CK152,CODIFICACION!$F$2:$F$500,0))),"⚠"))</f>
        <v/>
      </c>
      <c r="BG152" t="str">
        <f>IF(CAPTURA!CL152="","",MIN(100,ROUND((LEN(CAPTURA!CL152)-LEN(SUBSTITUTE(CAPTURA!CL152,";",""))+1)/8*100,1)))</f>
        <v/>
      </c>
      <c r="BH152" t="str">
        <f>IF(CAPTURA!CM152="","",IFERROR(IF(INDEX(CODIFICACION!$E$2:$E$500,MATCH("D7.26a|"&amp;CAPTURA!CM152,CODIFICACION!$F$2:$F$500,0))="sin dato","",INDEX(CODIFICACION!$E$2:$E$500,MATCH("D7.26a|"&amp;CAPTURA!CM152,CODIFICACION!$F$2:$F$500,0))),"⚠"))</f>
        <v/>
      </c>
      <c r="BI152" t="str">
        <f>IF(CAPTURA!CN152="","",IFERROR(IF(INDEX(CODIFICACION!$E$2:$E$500,MATCH("D7.26b|"&amp;CAPTURA!CN152,CODIFICACION!$F$2:$F$500,0))="sin dato","",INDEX(CODIFICACION!$E$2:$E$500,MATCH("D7.26b|"&amp;CAPTURA!CN152,CODIFICACION!$F$2:$F$500,0))),"⚠"))</f>
        <v/>
      </c>
      <c r="BJ152" t="str">
        <f>IF(CAPTURA!CO152="","",IF(AND(ISNUMBER(CAPTURA!CO152),CAPTURA!CO152&gt;=0,CAPTURA!CO152&lt;=4),CAPTURA!CO152*25,"⚠"))</f>
        <v/>
      </c>
      <c r="BK152" t="str">
        <f>IF(CAPTURA!CP152="","",IF(ISNUMBER(CAPTURA!CP152),MAX(0,MIN(100,CAPTURA!CP152)),"⚠"))</f>
        <v/>
      </c>
      <c r="BL152" t="str">
        <f>IF(CAPTURA!CQ152="","",IFERROR(IF(INDEX(CODIFICACION!$E$2:$E$500,MATCH("D8.31|"&amp;CAPTURA!CQ152,CODIFICACION!$F$2:$F$500,0))="sin dato","",INDEX(CODIFICACION!$E$2:$E$500,MATCH("D8.31|"&amp;CAPTURA!CQ152,CODIFICACION!$F$2:$F$500,0))),"⚠"))</f>
        <v/>
      </c>
      <c r="BM152" t="str">
        <f>IF(CAPTURA!CR152="","",IFERROR(IF(INDEX(CODIFICACION!$E$2:$E$500,MATCH("D8.32|"&amp;CAPTURA!CR152,CODIFICACION!$F$2:$F$500,0))="sin dato","",INDEX(CODIFICACION!$E$2:$E$500,MATCH("D8.32|"&amp;CAPTURA!CR152,CODIFICACION!$F$2:$F$500,0))),"⚠"))</f>
        <v/>
      </c>
      <c r="BN152" t="str">
        <f>IF(CAPTURA!CS152="","",IFERROR(IF(INDEX(CODIFICACION!$E$2:$E$500,MATCH("D9.33|"&amp;CAPTURA!CS152,CODIFICACION!$F$2:$F$500,0))="sin dato","",INDEX(CODIFICACION!$E$2:$E$500,MATCH("D9.33|"&amp;CAPTURA!CS152,CODIFICACION!$F$2:$F$500,0))),"⚠"))</f>
        <v/>
      </c>
      <c r="BO152" t="str">
        <f>IF(CAPTURA!CT152="","",IFERROR(IF(INDEX(CODIFICACION!$E$2:$E$500,MATCH("D9.34|"&amp;CAPTURA!CT152,CODIFICACION!$F$2:$F$500,0))="sin dato","",INDEX(CODIFICACION!$E$2:$E$500,MATCH("D9.34|"&amp;CAPTURA!CT152,CODIFICACION!$F$2:$F$500,0))),"⚠"))</f>
        <v/>
      </c>
      <c r="BP152" t="str">
        <f>IF(CAPTURA!CU152="","",IFERROR(IF(INDEX(CODIFICACION!$E$2:$E$500,MATCH("D9.35|"&amp;CAPTURA!CU152,CODIFICACION!$F$2:$F$500,0))="sin dato","",INDEX(CODIFICACION!$E$2:$E$500,MATCH("D9.35|"&amp;CAPTURA!CU152,CODIFICACION!$F$2:$F$500,0))),"⚠"))</f>
        <v/>
      </c>
      <c r="BQ152" t="str">
        <f>IF(CAPTURA!CV152="","",IFERROR(IF(INDEX(CODIFICACION!$E$2:$E$500,MATCH("D10.36|"&amp;CAPTURA!CV152,CODIFICACION!$F$2:$F$500,0))="sin dato","",INDEX(CODIFICACION!$E$2:$E$500,MATCH("D10.36|"&amp;CAPTURA!CV152,CODIFICACION!$F$2:$F$500,0))),"⚠"))</f>
        <v/>
      </c>
      <c r="BR152" t="str">
        <f>IF(CAPTURA!CW152="","",IFERROR(IF(INDEX(CODIFICACION!$E$2:$E$500,MATCH("D10.37|"&amp;CAPTURA!CW152,CODIFICACION!$F$2:$F$500,0))="sin dato","",INDEX(CODIFICACION!$E$2:$E$500,MATCH("D10.37|"&amp;CAPTURA!CW152,CODIFICACION!$F$2:$F$500,0))),"⚠"))</f>
        <v/>
      </c>
      <c r="BS152" t="str">
        <f>IF(CAPTURA!CX152="","",IFERROR(IF(INDEX(CODIFICACION!$E$2:$E$500,MATCH("D10.36a|"&amp;CAPTURA!CX152,CODIFICACION!$F$2:$F$500,0))="sin dato","",INDEX(CODIFICACION!$E$2:$E$500,MATCH("D10.36a|"&amp;CAPTURA!CX152,CODIFICACION!$F$2:$F$500,0))),"⚠"))</f>
        <v/>
      </c>
      <c r="BT152" t="str">
        <f>IF(CAPTURA!CY152="","",IF(ISNUMBER(SEARCH("Ninguno",CAPTURA!CY152)),0,MIN(100,ROUND((LEN(CAPTURA!CY152)-LEN(SUBSTITUTE(CAPTURA!CY152,";",""))+1)/6*100,1))))</f>
        <v/>
      </c>
      <c r="BU152" t="str">
        <f>IF(CAPTURA!DA152="","",IFERROR(IF(INDEX(CODIFICACION!$E$2:$E$500,MATCH("D11.39a|"&amp;CAPTURA!DA152,CODIFICACION!$F$2:$F$500,0))="sin dato","",INDEX(CODIFICACION!$E$2:$E$500,MATCH("D11.39a|"&amp;CAPTURA!DA152,CODIFICACION!$F$2:$F$500,0))),"⚠"))</f>
        <v/>
      </c>
      <c r="BV152" t="str">
        <f>IF(CAPTURA!DB152="","",IFERROR(IF(INDEX(CODIFICACION!$E$2:$E$500,MATCH("D12.42|"&amp;CAPTURA!DB152,CODIFICACION!$F$2:$F$500,0))="sin dato","",INDEX(CODIFICACION!$E$2:$E$500,MATCH("D12.42|"&amp;CAPTURA!DB152,CODIFICACION!$F$2:$F$500,0))),"⚠"))</f>
        <v/>
      </c>
      <c r="BW152" t="str">
        <f>IF(CAPTURA!DC152="","",IFERROR(IF(INDEX(CODIFICACION!$E$2:$E$500,MATCH("D13.45|"&amp;CAPTURA!DC152,CODIFICACION!$F$2:$F$500,0))="sin dato","",INDEX(CODIFICACION!$E$2:$E$500,MATCH("D13.45|"&amp;CAPTURA!DC152,CODIFICACION!$F$2:$F$500,0))),"⚠"))</f>
        <v/>
      </c>
      <c r="BX152" t="str">
        <f>IF(CAPTURA!DD152="","",IFERROR(IF(INDEX(CODIFICACION!$E$2:$E$500,MATCH("D14.51|"&amp;CAPTURA!DD152,CODIFICACION!$F$2:$F$500,0))="sin dato","",INDEX(CODIFICACION!$E$2:$E$500,MATCH("D14.51|"&amp;CAPTURA!DD152,CODIFICACION!$F$2:$F$500,0))),"⚠"))</f>
        <v/>
      </c>
      <c r="BY152" t="str">
        <f>IF(CAPTURA!DE152="","",IFERROR(IF(INDEX(CODIFICACION!$E$2:$E$500,MATCH("D15.58|"&amp;CAPTURA!DE152,CODIFICACION!$F$2:$F$500,0))="sin dato","",INDEX(CODIFICACION!$E$2:$E$500,MATCH("D15.58|"&amp;CAPTURA!DE152,CODIFICACION!$F$2:$F$500,0))),"⚠"))</f>
        <v/>
      </c>
      <c r="BZ152" t="str">
        <f>IF(CAPTURA!DF152="","",IFERROR(IF(INDEX(CODIFICACION!$E$2:$E$500,MATCH("PP1|"&amp;CAPTURA!DF152,CODIFICACION!$F$2:$F$500,0))="sin dato","",INDEX(CODIFICACION!$E$2:$E$500,MATCH("PP1|"&amp;CAPTURA!DF152,CODIFICACION!$F$2:$F$500,0))),"⚠"))</f>
        <v/>
      </c>
      <c r="CA152" t="str">
        <f>IF(CAPTURA!DG152="","",IFERROR(IF(INDEX(CODIFICACION!$E$2:$E$500,MATCH("PP2|"&amp;CAPTURA!DG152,CODIFICACION!$F$2:$F$500,0))="sin dato","",INDEX(CODIFICACION!$E$2:$E$500,MATCH("PP2|"&amp;CAPTURA!DG152,CODIFICACION!$F$2:$F$500,0))),"⚠"))</f>
        <v/>
      </c>
      <c r="CB152" t="str">
        <f t="shared" si="44"/>
        <v/>
      </c>
      <c r="CC152" t="str">
        <f t="shared" si="45"/>
        <v/>
      </c>
      <c r="CD152" t="str">
        <f t="shared" si="46"/>
        <v/>
      </c>
      <c r="CE152" t="str">
        <f t="shared" si="47"/>
        <v/>
      </c>
      <c r="CF152" t="str">
        <f t="shared" si="48"/>
        <v/>
      </c>
      <c r="CG152" t="str">
        <f t="shared" si="49"/>
        <v/>
      </c>
      <c r="CH152" t="str">
        <f t="shared" si="50"/>
        <v/>
      </c>
      <c r="CI152" t="str">
        <f t="shared" si="51"/>
        <v/>
      </c>
      <c r="CJ152" t="str">
        <f t="shared" si="52"/>
        <v/>
      </c>
      <c r="CK152" t="str">
        <f t="shared" si="53"/>
        <v/>
      </c>
      <c r="CL152" t="str">
        <f t="shared" si="54"/>
        <v/>
      </c>
    </row>
    <row r="153" spans="1:90" x14ac:dyDescent="0.3">
      <c r="A153">
        <f>CAPTURA!A153</f>
        <v>20605228489</v>
      </c>
      <c r="B153">
        <f>CAPTURA!C153</f>
        <v>0</v>
      </c>
      <c r="C153" t="str">
        <f>IF(CAPTURA!M153="","",ROUND((ISNUMBER(SEARCH("Alemania",CAPTURA!M153))+ISNUMBER(SEARCH("Bélgica",CAPTURA!M153))+ISNUMBER(SEARCH("Países Bajos",CAPTURA!M153))+ISNUMBER(SEARCH("Francia",CAPTURA!M153))+ISNUMBER(SEARCH("Italia",CAPTURA!M153))+ISNUMBER(SEARCH("España",CAPTURA!M153))+ISNUMBER(SEARCH("Suecia",CAPTURA!M153))+ISNUMBER(SEARCH("Dinamarca",CAPTURA!M153)))/((LEN(CAPTURA!M153)-LEN(SUBSTITUTE(CAPTURA!M153,";","")))+1)*100,1))</f>
        <v/>
      </c>
      <c r="D153" t="str">
        <f>IF(CAPTURA!AE153="","",IFERROR(IF(INDEX(CODIFICACION!$E$2:$E$500,MATCH("P8|"&amp;CAPTURA!AE153,CODIFICACION!$F$2:$F$500,0))="sin dato","",INDEX(CODIFICACION!$E$2:$E$500,MATCH("P8|"&amp;CAPTURA!AE153,CODIFICACION!$F$2:$F$500,0))),"⚠"))</f>
        <v/>
      </c>
      <c r="E153" t="str">
        <f>IF(CAPTURA!AG153="","",IFERROR(IF(INDEX(CODIFICACION!$E$2:$E$500,MATCH("P10|"&amp;CAPTURA!AG153,CODIFICACION!$F$2:$F$500,0))="sin dato","",INDEX(CODIFICACION!$E$2:$E$500,MATCH("P10|"&amp;CAPTURA!AG153,CODIFICACION!$F$2:$F$500,0))),"⚠"))</f>
        <v/>
      </c>
      <c r="F153" t="str">
        <f>IF(CAPTURA!AJ153="","",IFERROR(IF(INDEX(CODIFICACION!$E$2:$E$500,MATCH("P13|"&amp;CAPTURA!AJ153,CODIFICACION!$F$2:$F$500,0))="sin dato","",INDEX(CODIFICACION!$E$2:$E$500,MATCH("P13|"&amp;CAPTURA!AJ153,CODIFICACION!$F$2:$F$500,0))),"⚠"))</f>
        <v/>
      </c>
      <c r="G153" t="str">
        <f>IF(CAPTURA!AK153="","",IFERROR(IF(INDEX(CODIFICACION!$E$2:$E$500,MATCH("P14|"&amp;CAPTURA!AK153,CODIFICACION!$F$2:$F$500,0))="sin dato","",INDEX(CODIFICACION!$E$2:$E$500,MATCH("P14|"&amp;CAPTURA!AK153,CODIFICACION!$F$2:$F$500,0))),"⚠"))</f>
        <v/>
      </c>
      <c r="H153" t="str">
        <f>IF(CAPTURA!AL153="","",IFERROR(IF(INDEX(CODIFICACION!$E$2:$E$500,MATCH("D1.1|"&amp;CAPTURA!AL153,CODIFICACION!$F$2:$F$500,0))="sin dato","",INDEX(CODIFICACION!$E$2:$E$500,MATCH("D1.1|"&amp;CAPTURA!AL153,CODIFICACION!$F$2:$F$500,0))),"⚠"))</f>
        <v/>
      </c>
      <c r="I153" t="str">
        <f>IF(CAPTURA!AN153="","",IFERROR(IF(INDEX(CODIFICACION!$E$2:$E$500,MATCH("D1.3|"&amp;CAPTURA!AN153,CODIFICACION!$F$2:$F$500,0))="sin dato","",INDEX(CODIFICACION!$E$2:$E$500,MATCH("D1.3|"&amp;CAPTURA!AN153,CODIFICACION!$F$2:$F$500,0))),"⚠"))</f>
        <v/>
      </c>
      <c r="J153" t="str">
        <f>IF(CAPTURA!AO153="","",IFERROR(IF(INDEX(CODIFICACION!$E$2:$E$500,MATCH("D1.4|"&amp;CAPTURA!AO153,CODIFICACION!$F$2:$F$500,0))="sin dato","",INDEX(CODIFICACION!$E$2:$E$500,MATCH("D1.4|"&amp;CAPTURA!AO153,CODIFICACION!$F$2:$F$500,0))),"⚠"))</f>
        <v/>
      </c>
      <c r="K153" t="str">
        <f>IF(CAPTURA!AP153="","",IFERROR(IF(INDEX(CODIFICACION!$E$2:$E$500,MATCH("D1.3a|"&amp;CAPTURA!AP153,CODIFICACION!$F$2:$F$500,0))="sin dato","",INDEX(CODIFICACION!$E$2:$E$500,MATCH("D1.3a|"&amp;CAPTURA!AP153,CODIFICACION!$F$2:$F$500,0))),"⚠"))</f>
        <v/>
      </c>
      <c r="L153" t="str">
        <f>IF(CAPTURA!AQ153="","",IF(AND(ISNUMBER(CAPTURA!AQ153),CAPTURA!AQ153&gt;=0,CAPTURA!AQ153&lt;=4),CAPTURA!AQ153*25,"⚠"))</f>
        <v/>
      </c>
      <c r="M153" t="str">
        <f>IF(CAPTURA!AR153="","",IF(ISNUMBER(CAPTURA!AR153),MAX(0,MIN(100,CAPTURA!AR153)),"⚠"))</f>
        <v/>
      </c>
      <c r="N153" t="str">
        <f>IF(CAPTURA!AS153="","",IF(AND(ISNUMBER(CAPTURA!AS153),CAPTURA!AS153&gt;=0,CAPTURA!AS153&lt;=4),CAPTURA!AS153*25,"⚠"))</f>
        <v/>
      </c>
      <c r="O153" t="str">
        <f>IF(CAPTURA!AT153="","",IFERROR(IF(INDEX(CODIFICACION!$E$2:$E$500,MATCH("D2.8|"&amp;CAPTURA!AT153,CODIFICACION!$F$2:$F$500,0))="sin dato","",INDEX(CODIFICACION!$E$2:$E$500,MATCH("D2.8|"&amp;CAPTURA!AT153,CODIFICACION!$F$2:$F$500,0))),"⚠"))</f>
        <v/>
      </c>
      <c r="P153" t="str">
        <f>IF(CAPTURA!AU153="","",IFERROR(IF(INDEX(CODIFICACION!$E$2:$E$500,MATCH("D2.9|"&amp;CAPTURA!AU153,CODIFICACION!$F$2:$F$500,0))="sin dato","",INDEX(CODIFICACION!$E$2:$E$500,MATCH("D2.9|"&amp;CAPTURA!AU153,CODIFICACION!$F$2:$F$500,0))),"⚠"))</f>
        <v/>
      </c>
      <c r="Q153" t="str">
        <f>IF(CAPTURA!AV153="","",IFERROR(IF(INDEX(CODIFICACION!$E$2:$E$500,MATCH("D2.10|"&amp;CAPTURA!AV153,CODIFICACION!$F$2:$F$500,0))="sin dato","",INDEX(CODIFICACION!$E$2:$E$500,MATCH("D2.10|"&amp;CAPTURA!AV153,CODIFICACION!$F$2:$F$500,0))),"⚠"))</f>
        <v/>
      </c>
      <c r="R153" t="str">
        <f>IF(CAPTURA!AW153="","",IFERROR(IF(INDEX(CODIFICACION!$E$2:$E$500,MATCH("D2.5a|"&amp;CAPTURA!AW153,CODIFICACION!$F$2:$F$500,0))="sin dato","",INDEX(CODIFICACION!$E$2:$E$500,MATCH("D2.5a|"&amp;CAPTURA!AW153,CODIFICACION!$F$2:$F$500,0))),"⚠"))</f>
        <v/>
      </c>
      <c r="S153" t="str">
        <f>IF(CAPTURA!AX153="","",IFERROR(IF(INDEX(CODIFICACION!$E$2:$E$500,MATCH("D2.5b|"&amp;CAPTURA!AX153,CODIFICACION!$F$2:$F$500,0))="sin dato","",INDEX(CODIFICACION!$E$2:$E$500,MATCH("D2.5b|"&amp;CAPTURA!AX153,CODIFICACION!$F$2:$F$500,0))),"⚠"))</f>
        <v/>
      </c>
      <c r="T153" t="str">
        <f>IF(CAPTURA!AY153="","",IF(ISNUMBER(CAPTURA!AY153),MAX(0,MIN(100,CAPTURA!AY153)),"⚠"))</f>
        <v/>
      </c>
      <c r="U153" t="str">
        <f>IF(CAPTURA!AZ153="","",IFERROR(IF(INDEX(CODIFICACION!$E$2:$E$500,MATCH("D3.12|"&amp;CAPTURA!AZ153,CODIFICACION!$F$2:$F$500,0))="sin dato","",INDEX(CODIFICACION!$E$2:$E$500,MATCH("D3.12|"&amp;CAPTURA!AZ153,CODIFICACION!$F$2:$F$500,0))),"⚠"))</f>
        <v/>
      </c>
      <c r="V153" t="str">
        <f>IF(CAPTURA!BA153="","",IF(AND(ISNUMBER(CAPTURA!BA153),CAPTURA!BA153&gt;=0,CAPTURA!BA153&lt;=4),CAPTURA!BA153*25,"⚠"))</f>
        <v/>
      </c>
      <c r="W153" t="str">
        <f>IF(CAPTURA!BB153="","",IFERROR(IF(INDEX(CODIFICACION!$E$2:$E$500,MATCH("D3.14|"&amp;CAPTURA!BB153,CODIFICACION!$F$2:$F$500,0))="sin dato","",INDEX(CODIFICACION!$E$2:$E$500,MATCH("D3.14|"&amp;CAPTURA!BB153,CODIFICACION!$F$2:$F$500,0))),"⚠"))</f>
        <v/>
      </c>
      <c r="X153" t="str">
        <f>IF(CAPTURA!BC153="","",IFERROR(IF(INDEX(CODIFICACION!$E$2:$E$500,MATCH("D3.14a|"&amp;CAPTURA!BC153,CODIFICACION!$F$2:$F$500,0))="sin dato","",INDEX(CODIFICACION!$E$2:$E$500,MATCH("D3.14a|"&amp;CAPTURA!BC153,CODIFICACION!$F$2:$F$500,0))),"⚠"))</f>
        <v/>
      </c>
      <c r="Y153" t="str">
        <f>IF(CAPTURA!BD153="","",IFERROR(IF(INDEX(CODIFICACION!$E$2:$E$500,MATCH("D3.14b|"&amp;CAPTURA!BD153,CODIFICACION!$F$2:$F$500,0))="sin dato","",INDEX(CODIFICACION!$E$2:$E$500,MATCH("D3.14b|"&amp;CAPTURA!BD153,CODIFICACION!$F$2:$F$500,0))),"⚠"))</f>
        <v/>
      </c>
      <c r="Z153" t="str">
        <f>IF(CAPTURA!BE153="","",IFERROR(IF(INDEX(CODIFICACION!$E$2:$E$500,MATCH("D3.14c|"&amp;CAPTURA!BE153,CODIFICACION!$F$2:$F$500,0))="sin dato","",INDEX(CODIFICACION!$E$2:$E$500,MATCH("D3.14c|"&amp;CAPTURA!BE153,CODIFICACION!$F$2:$F$500,0))),"⚠"))</f>
        <v/>
      </c>
      <c r="AA153" t="str">
        <f>IF(CAPTURA!BF153="","",IFERROR(IF(INDEX(CODIFICACION!$E$2:$E$500,MATCH("D3.14d|"&amp;CAPTURA!BF153,CODIFICACION!$F$2:$F$500,0))="sin dato","",INDEX(CODIFICACION!$E$2:$E$500,MATCH("D3.14d|"&amp;CAPTURA!BF153,CODIFICACION!$F$2:$F$500,0))),"⚠"))</f>
        <v/>
      </c>
      <c r="AB153" t="str">
        <f>IF(CAPTURA!BG153="","",IFERROR(IF(INDEX(CODIFICACION!$E$2:$E$500,MATCH("D3.14e|"&amp;CAPTURA!BG153,CODIFICACION!$F$2:$F$500,0))="sin dato","",INDEX(CODIFICACION!$E$2:$E$500,MATCH("D3.14e|"&amp;CAPTURA!BG153,CODIFICACION!$F$2:$F$500,0))),"⚠"))</f>
        <v/>
      </c>
      <c r="AC153" t="str">
        <f>IF(CAPTURA!BH153="","",IFERROR(IF(INDEX(CODIFICACION!$E$2:$E$500,MATCH("D3.14f|"&amp;CAPTURA!BH153,CODIFICACION!$F$2:$F$500,0))="sin dato","",INDEX(CODIFICACION!$E$2:$E$500,MATCH("D3.14f|"&amp;CAPTURA!BH153,CODIFICACION!$F$2:$F$500,0))),"⚠"))</f>
        <v/>
      </c>
      <c r="AD153" t="str">
        <f>IF(CAPTURA!BI153="","",IFERROR(IF(INDEX(CODIFICACION!$E$2:$E$500,MATCH("D3.14g|"&amp;CAPTURA!BI153,CODIFICACION!$F$2:$F$500,0))="sin dato","",INDEX(CODIFICACION!$E$2:$E$500,MATCH("D3.14g|"&amp;CAPTURA!BI153,CODIFICACION!$F$2:$F$500,0))),"⚠"))</f>
        <v/>
      </c>
      <c r="AE153" t="str">
        <f>IF(CAPTURA!BJ153="","",IFERROR(IF(INDEX(CODIFICACION!$E$2:$E$500,MATCH("D3.14h|"&amp;CAPTURA!BJ153,CODIFICACION!$F$2:$F$500,0))="sin dato","",INDEX(CODIFICACION!$E$2:$E$500,MATCH("D3.14h|"&amp;CAPTURA!BJ153,CODIFICACION!$F$2:$F$500,0))),"⚠"))</f>
        <v/>
      </c>
      <c r="AF153" t="str">
        <f>IF(CAPTURA!BK153="","",IFERROR(IF(INDEX(CODIFICACION!$E$2:$E$500,MATCH("D3.14i|"&amp;CAPTURA!BK153,CODIFICACION!$F$2:$F$500,0))="sin dato","",INDEX(CODIFICACION!$E$2:$E$500,MATCH("D3.14i|"&amp;CAPTURA!BK153,CODIFICACION!$F$2:$F$500,0))),"⚠"))</f>
        <v/>
      </c>
      <c r="AG153" t="str">
        <f>IF(CAPTURA!BL153="","",IFERROR(IF(INDEX(CODIFICACION!$E$2:$E$500,MATCH("D4.15|"&amp;CAPTURA!BL153,CODIFICACION!$F$2:$F$500,0))="sin dato","",INDEX(CODIFICACION!$E$2:$E$500,MATCH("D4.15|"&amp;CAPTURA!BL153,CODIFICACION!$F$2:$F$500,0))),"⚠"))</f>
        <v/>
      </c>
      <c r="AH153" t="str">
        <f>IF(CAPTURA!BM153="","",IF(AND(ISNUMBER(CAPTURA!BM153),CAPTURA!BM153&gt;=0,CAPTURA!BM153&lt;=4),CAPTURA!BM153*25,"⚠"))</f>
        <v/>
      </c>
      <c r="AI153" t="str">
        <f>IF(CAPTURA!BN153="","",IFERROR(IF(INDEX(CODIFICACION!$E$2:$E$500,MATCH("D4.17|"&amp;CAPTURA!BN153,CODIFICACION!$F$2:$F$500,0))="sin dato","",INDEX(CODIFICACION!$E$2:$E$500,MATCH("D4.17|"&amp;CAPTURA!BN153,CODIFICACION!$F$2:$F$500,0))),"⚠"))</f>
        <v/>
      </c>
      <c r="AJ153" t="str">
        <f>IF(CAPTURA!BO153="","",IFERROR(IF(INDEX(CODIFICACION!$E$2:$E$500,MATCH("D4.15a|"&amp;CAPTURA!BO153,CODIFICACION!$F$2:$F$500,0))="sin dato","",INDEX(CODIFICACION!$E$2:$E$500,MATCH("D4.15a|"&amp;CAPTURA!BO153,CODIFICACION!$F$2:$F$500,0))),"⚠"))</f>
        <v/>
      </c>
      <c r="AK153" t="str">
        <f>IF(CAPTURA!BP153="","",IF(AND(ISNUMBER(CAPTURA!BP153),CAPTURA!BP153&gt;=0,CAPTURA!BP153&lt;=4),CAPTURA!BP153*25,"⚠"))</f>
        <v/>
      </c>
      <c r="AL153" t="str">
        <f>IF(CAPTURA!BQ153="","",IF(AND(ISNUMBER(CAPTURA!BQ153),CAPTURA!BQ153&gt;=0,CAPTURA!BQ153&lt;=4),CAPTURA!BQ153*25,"⚠"))</f>
        <v/>
      </c>
      <c r="AM153" t="str">
        <f>IF(CAPTURA!BR153="","",IFERROR(IF(INDEX(CODIFICACION!$E$2:$E$500,MATCH("D5.18b|"&amp;CAPTURA!BR153,CODIFICACION!$F$2:$F$500,0))="sin dato","",INDEX(CODIFICACION!$E$2:$E$500,MATCH("D5.18b|"&amp;CAPTURA!BR153,CODIFICACION!$F$2:$F$500,0))),"⚠"))</f>
        <v/>
      </c>
      <c r="AN153" t="str">
        <f>IF(CAPTURA!BS153="","",IFERROR(IF(INDEX(CODIFICACION!$E$2:$E$500,MATCH("D5.19|"&amp;CAPTURA!BS153,CODIFICACION!$F$2:$F$500,0))="sin dato","",INDEX(CODIFICACION!$E$2:$E$500,MATCH("D5.19|"&amp;CAPTURA!BS153,CODIFICACION!$F$2:$F$500,0))),"⚠"))</f>
        <v/>
      </c>
      <c r="AO153" t="str">
        <f>IF(CAPTURA!BT153="","",MIN(100,ROUND((LEN(CAPTURA!BT153)-LEN(SUBSTITUTE(CAPTURA!BT153,";",""))+1)/7*100,1)))</f>
        <v/>
      </c>
      <c r="AP153" t="str">
        <f>IF(CAPTURA!BU153="","",IFERROR(IF(INDEX(CODIFICACION!$E$2:$E$500,MATCH("D5.20|"&amp;CAPTURA!BU153,CODIFICACION!$F$2:$F$500,0))="sin dato","",INDEX(CODIFICACION!$E$2:$E$500,MATCH("D5.20|"&amp;CAPTURA!BU153,CODIFICACION!$F$2:$F$500,0))),"⚠"))</f>
        <v/>
      </c>
      <c r="AQ153" t="str">
        <f>IF(CAPTURA!BV153="","",IFERROR(IF(INDEX(CODIFICACION!$E$2:$E$500,MATCH("D5.21|"&amp;CAPTURA!BV153,CODIFICACION!$F$2:$F$500,0))="sin dato","",INDEX(CODIFICACION!$E$2:$E$500,MATCH("D5.21|"&amp;CAPTURA!BV153,CODIFICACION!$F$2:$F$500,0))),"⚠"))</f>
        <v/>
      </c>
      <c r="AR153" t="str">
        <f>IF(CAPTURA!BW153="","",IFERROR(IF(INDEX(CODIFICACION!$E$2:$E$500,MATCH("D5.21a|"&amp;CAPTURA!BW153,CODIFICACION!$F$2:$F$500,0))="sin dato","",INDEX(CODIFICACION!$E$2:$E$500,MATCH("D5.21a|"&amp;CAPTURA!BW153,CODIFICACION!$F$2:$F$500,0))),"⚠"))</f>
        <v/>
      </c>
      <c r="AS153" t="str">
        <f>IF(CAPTURA!BX153="","",IFERROR(IF(INDEX(CODIFICACION!$E$2:$E$500,MATCH("D5.21b|"&amp;CAPTURA!BX153,CODIFICACION!$F$2:$F$500,0))="sin dato","",INDEX(CODIFICACION!$E$2:$E$500,MATCH("D5.21b|"&amp;CAPTURA!BX153,CODIFICACION!$F$2:$F$500,0))),"⚠"))</f>
        <v/>
      </c>
      <c r="AT153" t="str">
        <f>IF(CAPTURA!BY153="","",IFERROR(IF(INDEX(CODIFICACION!$E$2:$E$500,MATCH("D6.22|"&amp;CAPTURA!BY153,CODIFICACION!$F$2:$F$500,0))="sin dato","",INDEX(CODIFICACION!$E$2:$E$500,MATCH("D6.22|"&amp;CAPTURA!BY153,CODIFICACION!$F$2:$F$500,0))),"⚠"))</f>
        <v/>
      </c>
      <c r="AU153" t="str">
        <f>IF(CAPTURA!BZ153="","",IFERROR(IF(INDEX(CODIFICACION!$E$2:$E$500,MATCH("D6.22a|"&amp;CAPTURA!BZ153,CODIFICACION!$F$2:$F$500,0))="sin dato","",INDEX(CODIFICACION!$E$2:$E$500,MATCH("D6.22a|"&amp;CAPTURA!BZ153,CODIFICACION!$F$2:$F$500,0))),"⚠"))</f>
        <v/>
      </c>
      <c r="AV153" t="str">
        <f>IF(CAPTURA!CA153="","",IFERROR(IF(INDEX(CODIFICACION!$E$2:$E$500,MATCH("D6.22b|"&amp;CAPTURA!CA153,CODIFICACION!$F$2:$F$500,0))="sin dato","",INDEX(CODIFICACION!$E$2:$E$500,MATCH("D6.22b|"&amp;CAPTURA!CA153,CODIFICACION!$F$2:$F$500,0))),"⚠"))</f>
        <v/>
      </c>
      <c r="AW153" t="str">
        <f>IF(CAPTURA!CB153="","",IFERROR(IF(INDEX(CODIFICACION!$E$2:$E$500,MATCH("D6.23|"&amp;CAPTURA!CB153,CODIFICACION!$F$2:$F$500,0))="sin dato","",INDEX(CODIFICACION!$E$2:$E$500,MATCH("D6.23|"&amp;CAPTURA!CB153,CODIFICACION!$F$2:$F$500,0))),"⚠"))</f>
        <v/>
      </c>
      <c r="AX153" t="str">
        <f>IF(CAPTURA!CC153="","",IFERROR(IF(INDEX(CODIFICACION!$E$2:$E$500,MATCH("D6.24|"&amp;CAPTURA!CC153,CODIFICACION!$F$2:$F$500,0))="sin dato","",INDEX(CODIFICACION!$E$2:$E$500,MATCH("D6.24|"&amp;CAPTURA!CC153,CODIFICACION!$F$2:$F$500,0))),"⚠"))</f>
        <v/>
      </c>
      <c r="AY153" t="str">
        <f>IF(CAPTURA!CD153="","",IFERROR(IF(INDEX(CODIFICACION!$E$2:$E$500,MATCH("D6.25|"&amp;CAPTURA!CD153,CODIFICACION!$F$2:$F$500,0))="sin dato","",INDEX(CODIFICACION!$E$2:$E$500,MATCH("D6.25|"&amp;CAPTURA!CD153,CODIFICACION!$F$2:$F$500,0))),"⚠"))</f>
        <v/>
      </c>
      <c r="AZ153" t="str">
        <f>IF(CAPTURA!CE153="","",IFERROR(IF(INDEX(CODIFICACION!$E$2:$E$500,MATCH("D6.25a|"&amp;CAPTURA!CE153,CODIFICACION!$F$2:$F$500,0))="sin dato","",INDEX(CODIFICACION!$E$2:$E$500,MATCH("D6.25a|"&amp;CAPTURA!CE153,CODIFICACION!$F$2:$F$500,0))),"⚠"))</f>
        <v/>
      </c>
      <c r="BA153" t="str">
        <f>IF(CAPTURA!CF153="","",IFERROR(IF(INDEX(CODIFICACION!$E$2:$E$500,MATCH("D6.25b|"&amp;CAPTURA!CF153,CODIFICACION!$F$2:$F$500,0))="sin dato","",INDEX(CODIFICACION!$E$2:$E$500,MATCH("D6.25b|"&amp;CAPTURA!CF153,CODIFICACION!$F$2:$F$500,0))),"⚠"))</f>
        <v/>
      </c>
      <c r="BB153" t="str">
        <f>IF(CAPTURA!CG153="","",IFERROR(IF(INDEX(CODIFICACION!$E$2:$E$500,MATCH("D6.22c|"&amp;CAPTURA!CG153,CODIFICACION!$F$2:$F$500,0))="sin dato","",INDEX(CODIFICACION!$E$2:$E$500,MATCH("D6.22c|"&amp;CAPTURA!CG153,CODIFICACION!$F$2:$F$500,0))),"⚠"))</f>
        <v/>
      </c>
      <c r="BC153" t="str">
        <f>IF(CAPTURA!CH153="","",IFERROR(IF(INDEX(CODIFICACION!$E$2:$E$500,MATCH("D7.26|"&amp;CAPTURA!CH153,CODIFICACION!$F$2:$F$500,0))="sin dato","",INDEX(CODIFICACION!$E$2:$E$500,MATCH("D7.26|"&amp;CAPTURA!CH153,CODIFICACION!$F$2:$F$500,0))),"⚠"))</f>
        <v/>
      </c>
      <c r="BD153" t="str">
        <f>IF(CAPTURA!CI153="","",IFERROR(IF(INDEX(CODIFICACION!$E$2:$E$500,MATCH("D7.27|"&amp;CAPTURA!CI153,CODIFICACION!$F$2:$F$500,0))="sin dato","",INDEX(CODIFICACION!$E$2:$E$500,MATCH("D7.27|"&amp;CAPTURA!CI153,CODIFICACION!$F$2:$F$500,0))),"⚠"))</f>
        <v/>
      </c>
      <c r="BE153" t="str">
        <f>IF(CAPTURA!CJ153="","",IFERROR(IF(INDEX(CODIFICACION!$E$2:$E$500,MATCH("D7.28|"&amp;CAPTURA!CJ153,CODIFICACION!$F$2:$F$500,0))="sin dato","",INDEX(CODIFICACION!$E$2:$E$500,MATCH("D7.28|"&amp;CAPTURA!CJ153,CODIFICACION!$F$2:$F$500,0))),"⚠"))</f>
        <v/>
      </c>
      <c r="BF153" t="str">
        <f>IF(CAPTURA!CK153="","",IFERROR(IF(INDEX(CODIFICACION!$E$2:$E$500,MATCH("D7.28b|"&amp;CAPTURA!CK153,CODIFICACION!$F$2:$F$500,0))="sin dato","",INDEX(CODIFICACION!$E$2:$E$500,MATCH("D7.28b|"&amp;CAPTURA!CK153,CODIFICACION!$F$2:$F$500,0))),"⚠"))</f>
        <v/>
      </c>
      <c r="BG153" t="str">
        <f>IF(CAPTURA!CL153="","",MIN(100,ROUND((LEN(CAPTURA!CL153)-LEN(SUBSTITUTE(CAPTURA!CL153,";",""))+1)/8*100,1)))</f>
        <v/>
      </c>
      <c r="BH153" t="str">
        <f>IF(CAPTURA!CM153="","",IFERROR(IF(INDEX(CODIFICACION!$E$2:$E$500,MATCH("D7.26a|"&amp;CAPTURA!CM153,CODIFICACION!$F$2:$F$500,0))="sin dato","",INDEX(CODIFICACION!$E$2:$E$500,MATCH("D7.26a|"&amp;CAPTURA!CM153,CODIFICACION!$F$2:$F$500,0))),"⚠"))</f>
        <v/>
      </c>
      <c r="BI153" t="str">
        <f>IF(CAPTURA!CN153="","",IFERROR(IF(INDEX(CODIFICACION!$E$2:$E$500,MATCH("D7.26b|"&amp;CAPTURA!CN153,CODIFICACION!$F$2:$F$500,0))="sin dato","",INDEX(CODIFICACION!$E$2:$E$500,MATCH("D7.26b|"&amp;CAPTURA!CN153,CODIFICACION!$F$2:$F$500,0))),"⚠"))</f>
        <v/>
      </c>
      <c r="BJ153" t="str">
        <f>IF(CAPTURA!CO153="","",IF(AND(ISNUMBER(CAPTURA!CO153),CAPTURA!CO153&gt;=0,CAPTURA!CO153&lt;=4),CAPTURA!CO153*25,"⚠"))</f>
        <v/>
      </c>
      <c r="BK153" t="str">
        <f>IF(CAPTURA!CP153="","",IF(ISNUMBER(CAPTURA!CP153),MAX(0,MIN(100,CAPTURA!CP153)),"⚠"))</f>
        <v/>
      </c>
      <c r="BL153" t="str">
        <f>IF(CAPTURA!CQ153="","",IFERROR(IF(INDEX(CODIFICACION!$E$2:$E$500,MATCH("D8.31|"&amp;CAPTURA!CQ153,CODIFICACION!$F$2:$F$500,0))="sin dato","",INDEX(CODIFICACION!$E$2:$E$500,MATCH("D8.31|"&amp;CAPTURA!CQ153,CODIFICACION!$F$2:$F$500,0))),"⚠"))</f>
        <v/>
      </c>
      <c r="BM153" t="str">
        <f>IF(CAPTURA!CR153="","",IFERROR(IF(INDEX(CODIFICACION!$E$2:$E$500,MATCH("D8.32|"&amp;CAPTURA!CR153,CODIFICACION!$F$2:$F$500,0))="sin dato","",INDEX(CODIFICACION!$E$2:$E$500,MATCH("D8.32|"&amp;CAPTURA!CR153,CODIFICACION!$F$2:$F$500,0))),"⚠"))</f>
        <v/>
      </c>
      <c r="BN153" t="str">
        <f>IF(CAPTURA!CS153="","",IFERROR(IF(INDEX(CODIFICACION!$E$2:$E$500,MATCH("D9.33|"&amp;CAPTURA!CS153,CODIFICACION!$F$2:$F$500,0))="sin dato","",INDEX(CODIFICACION!$E$2:$E$500,MATCH("D9.33|"&amp;CAPTURA!CS153,CODIFICACION!$F$2:$F$500,0))),"⚠"))</f>
        <v/>
      </c>
      <c r="BO153" t="str">
        <f>IF(CAPTURA!CT153="","",IFERROR(IF(INDEX(CODIFICACION!$E$2:$E$500,MATCH("D9.34|"&amp;CAPTURA!CT153,CODIFICACION!$F$2:$F$500,0))="sin dato","",INDEX(CODIFICACION!$E$2:$E$500,MATCH("D9.34|"&amp;CAPTURA!CT153,CODIFICACION!$F$2:$F$500,0))),"⚠"))</f>
        <v/>
      </c>
      <c r="BP153" t="str">
        <f>IF(CAPTURA!CU153="","",IFERROR(IF(INDEX(CODIFICACION!$E$2:$E$500,MATCH("D9.35|"&amp;CAPTURA!CU153,CODIFICACION!$F$2:$F$500,0))="sin dato","",INDEX(CODIFICACION!$E$2:$E$500,MATCH("D9.35|"&amp;CAPTURA!CU153,CODIFICACION!$F$2:$F$500,0))),"⚠"))</f>
        <v/>
      </c>
      <c r="BQ153" t="str">
        <f>IF(CAPTURA!CV153="","",IFERROR(IF(INDEX(CODIFICACION!$E$2:$E$500,MATCH("D10.36|"&amp;CAPTURA!CV153,CODIFICACION!$F$2:$F$500,0))="sin dato","",INDEX(CODIFICACION!$E$2:$E$500,MATCH("D10.36|"&amp;CAPTURA!CV153,CODIFICACION!$F$2:$F$500,0))),"⚠"))</f>
        <v/>
      </c>
      <c r="BR153" t="str">
        <f>IF(CAPTURA!CW153="","",IFERROR(IF(INDEX(CODIFICACION!$E$2:$E$500,MATCH("D10.37|"&amp;CAPTURA!CW153,CODIFICACION!$F$2:$F$500,0))="sin dato","",INDEX(CODIFICACION!$E$2:$E$500,MATCH("D10.37|"&amp;CAPTURA!CW153,CODIFICACION!$F$2:$F$500,0))),"⚠"))</f>
        <v/>
      </c>
      <c r="BS153" t="str">
        <f>IF(CAPTURA!CX153="","",IFERROR(IF(INDEX(CODIFICACION!$E$2:$E$500,MATCH("D10.36a|"&amp;CAPTURA!CX153,CODIFICACION!$F$2:$F$500,0))="sin dato","",INDEX(CODIFICACION!$E$2:$E$500,MATCH("D10.36a|"&amp;CAPTURA!CX153,CODIFICACION!$F$2:$F$500,0))),"⚠"))</f>
        <v/>
      </c>
      <c r="BT153" t="str">
        <f>IF(CAPTURA!CY153="","",IF(ISNUMBER(SEARCH("Ninguno",CAPTURA!CY153)),0,MIN(100,ROUND((LEN(CAPTURA!CY153)-LEN(SUBSTITUTE(CAPTURA!CY153,";",""))+1)/6*100,1))))</f>
        <v/>
      </c>
      <c r="BU153" t="str">
        <f>IF(CAPTURA!DA153="","",IFERROR(IF(INDEX(CODIFICACION!$E$2:$E$500,MATCH("D11.39a|"&amp;CAPTURA!DA153,CODIFICACION!$F$2:$F$500,0))="sin dato","",INDEX(CODIFICACION!$E$2:$E$500,MATCH("D11.39a|"&amp;CAPTURA!DA153,CODIFICACION!$F$2:$F$500,0))),"⚠"))</f>
        <v/>
      </c>
      <c r="BV153" t="str">
        <f>IF(CAPTURA!DB153="","",IFERROR(IF(INDEX(CODIFICACION!$E$2:$E$500,MATCH("D12.42|"&amp;CAPTURA!DB153,CODIFICACION!$F$2:$F$500,0))="sin dato","",INDEX(CODIFICACION!$E$2:$E$500,MATCH("D12.42|"&amp;CAPTURA!DB153,CODIFICACION!$F$2:$F$500,0))),"⚠"))</f>
        <v/>
      </c>
      <c r="BW153" t="str">
        <f>IF(CAPTURA!DC153="","",IFERROR(IF(INDEX(CODIFICACION!$E$2:$E$500,MATCH("D13.45|"&amp;CAPTURA!DC153,CODIFICACION!$F$2:$F$500,0))="sin dato","",INDEX(CODIFICACION!$E$2:$E$500,MATCH("D13.45|"&amp;CAPTURA!DC153,CODIFICACION!$F$2:$F$500,0))),"⚠"))</f>
        <v/>
      </c>
      <c r="BX153" t="str">
        <f>IF(CAPTURA!DD153="","",IFERROR(IF(INDEX(CODIFICACION!$E$2:$E$500,MATCH("D14.51|"&amp;CAPTURA!DD153,CODIFICACION!$F$2:$F$500,0))="sin dato","",INDEX(CODIFICACION!$E$2:$E$500,MATCH("D14.51|"&amp;CAPTURA!DD153,CODIFICACION!$F$2:$F$500,0))),"⚠"))</f>
        <v/>
      </c>
      <c r="BY153" t="str">
        <f>IF(CAPTURA!DE153="","",IFERROR(IF(INDEX(CODIFICACION!$E$2:$E$500,MATCH("D15.58|"&amp;CAPTURA!DE153,CODIFICACION!$F$2:$F$500,0))="sin dato","",INDEX(CODIFICACION!$E$2:$E$500,MATCH("D15.58|"&amp;CAPTURA!DE153,CODIFICACION!$F$2:$F$500,0))),"⚠"))</f>
        <v/>
      </c>
      <c r="BZ153" t="str">
        <f>IF(CAPTURA!DF153="","",IFERROR(IF(INDEX(CODIFICACION!$E$2:$E$500,MATCH("PP1|"&amp;CAPTURA!DF153,CODIFICACION!$F$2:$F$500,0))="sin dato","",INDEX(CODIFICACION!$E$2:$E$500,MATCH("PP1|"&amp;CAPTURA!DF153,CODIFICACION!$F$2:$F$500,0))),"⚠"))</f>
        <v/>
      </c>
      <c r="CA153" t="str">
        <f>IF(CAPTURA!DG153="","",IFERROR(IF(INDEX(CODIFICACION!$E$2:$E$500,MATCH("PP2|"&amp;CAPTURA!DG153,CODIFICACION!$F$2:$F$500,0))="sin dato","",INDEX(CODIFICACION!$E$2:$E$500,MATCH("PP2|"&amp;CAPTURA!DG153,CODIFICACION!$F$2:$F$500,0))),"⚠"))</f>
        <v/>
      </c>
      <c r="CB153" t="str">
        <f t="shared" si="44"/>
        <v/>
      </c>
      <c r="CC153" t="str">
        <f t="shared" si="45"/>
        <v/>
      </c>
      <c r="CD153" t="str">
        <f t="shared" si="46"/>
        <v/>
      </c>
      <c r="CE153" t="str">
        <f t="shared" si="47"/>
        <v/>
      </c>
      <c r="CF153" t="str">
        <f t="shared" si="48"/>
        <v/>
      </c>
      <c r="CG153" t="str">
        <f t="shared" si="49"/>
        <v/>
      </c>
      <c r="CH153" t="str">
        <f t="shared" si="50"/>
        <v/>
      </c>
      <c r="CI153" t="str">
        <f t="shared" si="51"/>
        <v/>
      </c>
      <c r="CJ153" t="str">
        <f t="shared" si="52"/>
        <v/>
      </c>
      <c r="CK153" t="str">
        <f t="shared" si="53"/>
        <v/>
      </c>
      <c r="CL153" t="str">
        <f t="shared" si="54"/>
        <v/>
      </c>
    </row>
    <row r="154" spans="1:90" x14ac:dyDescent="0.3">
      <c r="A154">
        <f>CAPTURA!A154</f>
        <v>20605500430</v>
      </c>
      <c r="B154">
        <f>CAPTURA!C154</f>
        <v>0</v>
      </c>
      <c r="C154" t="str">
        <f>IF(CAPTURA!M154="","",ROUND((ISNUMBER(SEARCH("Alemania",CAPTURA!M154))+ISNUMBER(SEARCH("Bélgica",CAPTURA!M154))+ISNUMBER(SEARCH("Países Bajos",CAPTURA!M154))+ISNUMBER(SEARCH("Francia",CAPTURA!M154))+ISNUMBER(SEARCH("Italia",CAPTURA!M154))+ISNUMBER(SEARCH("España",CAPTURA!M154))+ISNUMBER(SEARCH("Suecia",CAPTURA!M154))+ISNUMBER(SEARCH("Dinamarca",CAPTURA!M154)))/((LEN(CAPTURA!M154)-LEN(SUBSTITUTE(CAPTURA!M154,";","")))+1)*100,1))</f>
        <v/>
      </c>
      <c r="D154" t="str">
        <f>IF(CAPTURA!AE154="","",IFERROR(IF(INDEX(CODIFICACION!$E$2:$E$500,MATCH("P8|"&amp;CAPTURA!AE154,CODIFICACION!$F$2:$F$500,0))="sin dato","",INDEX(CODIFICACION!$E$2:$E$500,MATCH("P8|"&amp;CAPTURA!AE154,CODIFICACION!$F$2:$F$500,0))),"⚠"))</f>
        <v/>
      </c>
      <c r="E154" t="str">
        <f>IF(CAPTURA!AG154="","",IFERROR(IF(INDEX(CODIFICACION!$E$2:$E$500,MATCH("P10|"&amp;CAPTURA!AG154,CODIFICACION!$F$2:$F$500,0))="sin dato","",INDEX(CODIFICACION!$E$2:$E$500,MATCH("P10|"&amp;CAPTURA!AG154,CODIFICACION!$F$2:$F$500,0))),"⚠"))</f>
        <v/>
      </c>
      <c r="F154" t="str">
        <f>IF(CAPTURA!AJ154="","",IFERROR(IF(INDEX(CODIFICACION!$E$2:$E$500,MATCH("P13|"&amp;CAPTURA!AJ154,CODIFICACION!$F$2:$F$500,0))="sin dato","",INDEX(CODIFICACION!$E$2:$E$500,MATCH("P13|"&amp;CAPTURA!AJ154,CODIFICACION!$F$2:$F$500,0))),"⚠"))</f>
        <v/>
      </c>
      <c r="G154" t="str">
        <f>IF(CAPTURA!AK154="","",IFERROR(IF(INDEX(CODIFICACION!$E$2:$E$500,MATCH("P14|"&amp;CAPTURA!AK154,CODIFICACION!$F$2:$F$500,0))="sin dato","",INDEX(CODIFICACION!$E$2:$E$500,MATCH("P14|"&amp;CAPTURA!AK154,CODIFICACION!$F$2:$F$500,0))),"⚠"))</f>
        <v/>
      </c>
      <c r="H154" t="str">
        <f>IF(CAPTURA!AL154="","",IFERROR(IF(INDEX(CODIFICACION!$E$2:$E$500,MATCH("D1.1|"&amp;CAPTURA!AL154,CODIFICACION!$F$2:$F$500,0))="sin dato","",INDEX(CODIFICACION!$E$2:$E$500,MATCH("D1.1|"&amp;CAPTURA!AL154,CODIFICACION!$F$2:$F$500,0))),"⚠"))</f>
        <v/>
      </c>
      <c r="I154" t="str">
        <f>IF(CAPTURA!AN154="","",IFERROR(IF(INDEX(CODIFICACION!$E$2:$E$500,MATCH("D1.3|"&amp;CAPTURA!AN154,CODIFICACION!$F$2:$F$500,0))="sin dato","",INDEX(CODIFICACION!$E$2:$E$500,MATCH("D1.3|"&amp;CAPTURA!AN154,CODIFICACION!$F$2:$F$500,0))),"⚠"))</f>
        <v/>
      </c>
      <c r="J154" t="str">
        <f>IF(CAPTURA!AO154="","",IFERROR(IF(INDEX(CODIFICACION!$E$2:$E$500,MATCH("D1.4|"&amp;CAPTURA!AO154,CODIFICACION!$F$2:$F$500,0))="sin dato","",INDEX(CODIFICACION!$E$2:$E$500,MATCH("D1.4|"&amp;CAPTURA!AO154,CODIFICACION!$F$2:$F$500,0))),"⚠"))</f>
        <v/>
      </c>
      <c r="K154" t="str">
        <f>IF(CAPTURA!AP154="","",IFERROR(IF(INDEX(CODIFICACION!$E$2:$E$500,MATCH("D1.3a|"&amp;CAPTURA!AP154,CODIFICACION!$F$2:$F$500,0))="sin dato","",INDEX(CODIFICACION!$E$2:$E$500,MATCH("D1.3a|"&amp;CAPTURA!AP154,CODIFICACION!$F$2:$F$500,0))),"⚠"))</f>
        <v/>
      </c>
      <c r="L154" t="str">
        <f>IF(CAPTURA!AQ154="","",IF(AND(ISNUMBER(CAPTURA!AQ154),CAPTURA!AQ154&gt;=0,CAPTURA!AQ154&lt;=4),CAPTURA!AQ154*25,"⚠"))</f>
        <v/>
      </c>
      <c r="M154" t="str">
        <f>IF(CAPTURA!AR154="","",IF(ISNUMBER(CAPTURA!AR154),MAX(0,MIN(100,CAPTURA!AR154)),"⚠"))</f>
        <v/>
      </c>
      <c r="N154" t="str">
        <f>IF(CAPTURA!AS154="","",IF(AND(ISNUMBER(CAPTURA!AS154),CAPTURA!AS154&gt;=0,CAPTURA!AS154&lt;=4),CAPTURA!AS154*25,"⚠"))</f>
        <v/>
      </c>
      <c r="O154" t="str">
        <f>IF(CAPTURA!AT154="","",IFERROR(IF(INDEX(CODIFICACION!$E$2:$E$500,MATCH("D2.8|"&amp;CAPTURA!AT154,CODIFICACION!$F$2:$F$500,0))="sin dato","",INDEX(CODIFICACION!$E$2:$E$500,MATCH("D2.8|"&amp;CAPTURA!AT154,CODIFICACION!$F$2:$F$500,0))),"⚠"))</f>
        <v/>
      </c>
      <c r="P154" t="str">
        <f>IF(CAPTURA!AU154="","",IFERROR(IF(INDEX(CODIFICACION!$E$2:$E$500,MATCH("D2.9|"&amp;CAPTURA!AU154,CODIFICACION!$F$2:$F$500,0))="sin dato","",INDEX(CODIFICACION!$E$2:$E$500,MATCH("D2.9|"&amp;CAPTURA!AU154,CODIFICACION!$F$2:$F$500,0))),"⚠"))</f>
        <v/>
      </c>
      <c r="Q154" t="str">
        <f>IF(CAPTURA!AV154="","",IFERROR(IF(INDEX(CODIFICACION!$E$2:$E$500,MATCH("D2.10|"&amp;CAPTURA!AV154,CODIFICACION!$F$2:$F$500,0))="sin dato","",INDEX(CODIFICACION!$E$2:$E$500,MATCH("D2.10|"&amp;CAPTURA!AV154,CODIFICACION!$F$2:$F$500,0))),"⚠"))</f>
        <v/>
      </c>
      <c r="R154" t="str">
        <f>IF(CAPTURA!AW154="","",IFERROR(IF(INDEX(CODIFICACION!$E$2:$E$500,MATCH("D2.5a|"&amp;CAPTURA!AW154,CODIFICACION!$F$2:$F$500,0))="sin dato","",INDEX(CODIFICACION!$E$2:$E$500,MATCH("D2.5a|"&amp;CAPTURA!AW154,CODIFICACION!$F$2:$F$500,0))),"⚠"))</f>
        <v/>
      </c>
      <c r="S154" t="str">
        <f>IF(CAPTURA!AX154="","",IFERROR(IF(INDEX(CODIFICACION!$E$2:$E$500,MATCH("D2.5b|"&amp;CAPTURA!AX154,CODIFICACION!$F$2:$F$500,0))="sin dato","",INDEX(CODIFICACION!$E$2:$E$500,MATCH("D2.5b|"&amp;CAPTURA!AX154,CODIFICACION!$F$2:$F$500,0))),"⚠"))</f>
        <v/>
      </c>
      <c r="T154" t="str">
        <f>IF(CAPTURA!AY154="","",IF(ISNUMBER(CAPTURA!AY154),MAX(0,MIN(100,CAPTURA!AY154)),"⚠"))</f>
        <v/>
      </c>
      <c r="U154" t="str">
        <f>IF(CAPTURA!AZ154="","",IFERROR(IF(INDEX(CODIFICACION!$E$2:$E$500,MATCH("D3.12|"&amp;CAPTURA!AZ154,CODIFICACION!$F$2:$F$500,0))="sin dato","",INDEX(CODIFICACION!$E$2:$E$500,MATCH("D3.12|"&amp;CAPTURA!AZ154,CODIFICACION!$F$2:$F$500,0))),"⚠"))</f>
        <v/>
      </c>
      <c r="V154" t="str">
        <f>IF(CAPTURA!BA154="","",IF(AND(ISNUMBER(CAPTURA!BA154),CAPTURA!BA154&gt;=0,CAPTURA!BA154&lt;=4),CAPTURA!BA154*25,"⚠"))</f>
        <v/>
      </c>
      <c r="W154" t="str">
        <f>IF(CAPTURA!BB154="","",IFERROR(IF(INDEX(CODIFICACION!$E$2:$E$500,MATCH("D3.14|"&amp;CAPTURA!BB154,CODIFICACION!$F$2:$F$500,0))="sin dato","",INDEX(CODIFICACION!$E$2:$E$500,MATCH("D3.14|"&amp;CAPTURA!BB154,CODIFICACION!$F$2:$F$500,0))),"⚠"))</f>
        <v/>
      </c>
      <c r="X154" t="str">
        <f>IF(CAPTURA!BC154="","",IFERROR(IF(INDEX(CODIFICACION!$E$2:$E$500,MATCH("D3.14a|"&amp;CAPTURA!BC154,CODIFICACION!$F$2:$F$500,0))="sin dato","",INDEX(CODIFICACION!$E$2:$E$500,MATCH("D3.14a|"&amp;CAPTURA!BC154,CODIFICACION!$F$2:$F$500,0))),"⚠"))</f>
        <v/>
      </c>
      <c r="Y154" t="str">
        <f>IF(CAPTURA!BD154="","",IFERROR(IF(INDEX(CODIFICACION!$E$2:$E$500,MATCH("D3.14b|"&amp;CAPTURA!BD154,CODIFICACION!$F$2:$F$500,0))="sin dato","",INDEX(CODIFICACION!$E$2:$E$500,MATCH("D3.14b|"&amp;CAPTURA!BD154,CODIFICACION!$F$2:$F$500,0))),"⚠"))</f>
        <v/>
      </c>
      <c r="Z154" t="str">
        <f>IF(CAPTURA!BE154="","",IFERROR(IF(INDEX(CODIFICACION!$E$2:$E$500,MATCH("D3.14c|"&amp;CAPTURA!BE154,CODIFICACION!$F$2:$F$500,0))="sin dato","",INDEX(CODIFICACION!$E$2:$E$500,MATCH("D3.14c|"&amp;CAPTURA!BE154,CODIFICACION!$F$2:$F$500,0))),"⚠"))</f>
        <v/>
      </c>
      <c r="AA154" t="str">
        <f>IF(CAPTURA!BF154="","",IFERROR(IF(INDEX(CODIFICACION!$E$2:$E$500,MATCH("D3.14d|"&amp;CAPTURA!BF154,CODIFICACION!$F$2:$F$500,0))="sin dato","",INDEX(CODIFICACION!$E$2:$E$500,MATCH("D3.14d|"&amp;CAPTURA!BF154,CODIFICACION!$F$2:$F$500,0))),"⚠"))</f>
        <v/>
      </c>
      <c r="AB154" t="str">
        <f>IF(CAPTURA!BG154="","",IFERROR(IF(INDEX(CODIFICACION!$E$2:$E$500,MATCH("D3.14e|"&amp;CAPTURA!BG154,CODIFICACION!$F$2:$F$500,0))="sin dato","",INDEX(CODIFICACION!$E$2:$E$500,MATCH("D3.14e|"&amp;CAPTURA!BG154,CODIFICACION!$F$2:$F$500,0))),"⚠"))</f>
        <v/>
      </c>
      <c r="AC154" t="str">
        <f>IF(CAPTURA!BH154="","",IFERROR(IF(INDEX(CODIFICACION!$E$2:$E$500,MATCH("D3.14f|"&amp;CAPTURA!BH154,CODIFICACION!$F$2:$F$500,0))="sin dato","",INDEX(CODIFICACION!$E$2:$E$500,MATCH("D3.14f|"&amp;CAPTURA!BH154,CODIFICACION!$F$2:$F$500,0))),"⚠"))</f>
        <v/>
      </c>
      <c r="AD154" t="str">
        <f>IF(CAPTURA!BI154="","",IFERROR(IF(INDEX(CODIFICACION!$E$2:$E$500,MATCH("D3.14g|"&amp;CAPTURA!BI154,CODIFICACION!$F$2:$F$500,0))="sin dato","",INDEX(CODIFICACION!$E$2:$E$500,MATCH("D3.14g|"&amp;CAPTURA!BI154,CODIFICACION!$F$2:$F$500,0))),"⚠"))</f>
        <v/>
      </c>
      <c r="AE154" t="str">
        <f>IF(CAPTURA!BJ154="","",IFERROR(IF(INDEX(CODIFICACION!$E$2:$E$500,MATCH("D3.14h|"&amp;CAPTURA!BJ154,CODIFICACION!$F$2:$F$500,0))="sin dato","",INDEX(CODIFICACION!$E$2:$E$500,MATCH("D3.14h|"&amp;CAPTURA!BJ154,CODIFICACION!$F$2:$F$500,0))),"⚠"))</f>
        <v/>
      </c>
      <c r="AF154" t="str">
        <f>IF(CAPTURA!BK154="","",IFERROR(IF(INDEX(CODIFICACION!$E$2:$E$500,MATCH("D3.14i|"&amp;CAPTURA!BK154,CODIFICACION!$F$2:$F$500,0))="sin dato","",INDEX(CODIFICACION!$E$2:$E$500,MATCH("D3.14i|"&amp;CAPTURA!BK154,CODIFICACION!$F$2:$F$500,0))),"⚠"))</f>
        <v/>
      </c>
      <c r="AG154" t="str">
        <f>IF(CAPTURA!BL154="","",IFERROR(IF(INDEX(CODIFICACION!$E$2:$E$500,MATCH("D4.15|"&amp;CAPTURA!BL154,CODIFICACION!$F$2:$F$500,0))="sin dato","",INDEX(CODIFICACION!$E$2:$E$500,MATCH("D4.15|"&amp;CAPTURA!BL154,CODIFICACION!$F$2:$F$500,0))),"⚠"))</f>
        <v/>
      </c>
      <c r="AH154" t="str">
        <f>IF(CAPTURA!BM154="","",IF(AND(ISNUMBER(CAPTURA!BM154),CAPTURA!BM154&gt;=0,CAPTURA!BM154&lt;=4),CAPTURA!BM154*25,"⚠"))</f>
        <v/>
      </c>
      <c r="AI154" t="str">
        <f>IF(CAPTURA!BN154="","",IFERROR(IF(INDEX(CODIFICACION!$E$2:$E$500,MATCH("D4.17|"&amp;CAPTURA!BN154,CODIFICACION!$F$2:$F$500,0))="sin dato","",INDEX(CODIFICACION!$E$2:$E$500,MATCH("D4.17|"&amp;CAPTURA!BN154,CODIFICACION!$F$2:$F$500,0))),"⚠"))</f>
        <v/>
      </c>
      <c r="AJ154" t="str">
        <f>IF(CAPTURA!BO154="","",IFERROR(IF(INDEX(CODIFICACION!$E$2:$E$500,MATCH("D4.15a|"&amp;CAPTURA!BO154,CODIFICACION!$F$2:$F$500,0))="sin dato","",INDEX(CODIFICACION!$E$2:$E$500,MATCH("D4.15a|"&amp;CAPTURA!BO154,CODIFICACION!$F$2:$F$500,0))),"⚠"))</f>
        <v/>
      </c>
      <c r="AK154" t="str">
        <f>IF(CAPTURA!BP154="","",IF(AND(ISNUMBER(CAPTURA!BP154),CAPTURA!BP154&gt;=0,CAPTURA!BP154&lt;=4),CAPTURA!BP154*25,"⚠"))</f>
        <v/>
      </c>
      <c r="AL154" t="str">
        <f>IF(CAPTURA!BQ154="","",IF(AND(ISNUMBER(CAPTURA!BQ154),CAPTURA!BQ154&gt;=0,CAPTURA!BQ154&lt;=4),CAPTURA!BQ154*25,"⚠"))</f>
        <v/>
      </c>
      <c r="AM154" t="str">
        <f>IF(CAPTURA!BR154="","",IFERROR(IF(INDEX(CODIFICACION!$E$2:$E$500,MATCH("D5.18b|"&amp;CAPTURA!BR154,CODIFICACION!$F$2:$F$500,0))="sin dato","",INDEX(CODIFICACION!$E$2:$E$500,MATCH("D5.18b|"&amp;CAPTURA!BR154,CODIFICACION!$F$2:$F$500,0))),"⚠"))</f>
        <v/>
      </c>
      <c r="AN154" t="str">
        <f>IF(CAPTURA!BS154="","",IFERROR(IF(INDEX(CODIFICACION!$E$2:$E$500,MATCH("D5.19|"&amp;CAPTURA!BS154,CODIFICACION!$F$2:$F$500,0))="sin dato","",INDEX(CODIFICACION!$E$2:$E$500,MATCH("D5.19|"&amp;CAPTURA!BS154,CODIFICACION!$F$2:$F$500,0))),"⚠"))</f>
        <v/>
      </c>
      <c r="AO154" t="str">
        <f>IF(CAPTURA!BT154="","",MIN(100,ROUND((LEN(CAPTURA!BT154)-LEN(SUBSTITUTE(CAPTURA!BT154,";",""))+1)/7*100,1)))</f>
        <v/>
      </c>
      <c r="AP154" t="str">
        <f>IF(CAPTURA!BU154="","",IFERROR(IF(INDEX(CODIFICACION!$E$2:$E$500,MATCH("D5.20|"&amp;CAPTURA!BU154,CODIFICACION!$F$2:$F$500,0))="sin dato","",INDEX(CODIFICACION!$E$2:$E$500,MATCH("D5.20|"&amp;CAPTURA!BU154,CODIFICACION!$F$2:$F$500,0))),"⚠"))</f>
        <v/>
      </c>
      <c r="AQ154" t="str">
        <f>IF(CAPTURA!BV154="","",IFERROR(IF(INDEX(CODIFICACION!$E$2:$E$500,MATCH("D5.21|"&amp;CAPTURA!BV154,CODIFICACION!$F$2:$F$500,0))="sin dato","",INDEX(CODIFICACION!$E$2:$E$500,MATCH("D5.21|"&amp;CAPTURA!BV154,CODIFICACION!$F$2:$F$500,0))),"⚠"))</f>
        <v/>
      </c>
      <c r="AR154" t="str">
        <f>IF(CAPTURA!BW154="","",IFERROR(IF(INDEX(CODIFICACION!$E$2:$E$500,MATCH("D5.21a|"&amp;CAPTURA!BW154,CODIFICACION!$F$2:$F$500,0))="sin dato","",INDEX(CODIFICACION!$E$2:$E$500,MATCH("D5.21a|"&amp;CAPTURA!BW154,CODIFICACION!$F$2:$F$500,0))),"⚠"))</f>
        <v/>
      </c>
      <c r="AS154" t="str">
        <f>IF(CAPTURA!BX154="","",IFERROR(IF(INDEX(CODIFICACION!$E$2:$E$500,MATCH("D5.21b|"&amp;CAPTURA!BX154,CODIFICACION!$F$2:$F$500,0))="sin dato","",INDEX(CODIFICACION!$E$2:$E$500,MATCH("D5.21b|"&amp;CAPTURA!BX154,CODIFICACION!$F$2:$F$500,0))),"⚠"))</f>
        <v/>
      </c>
      <c r="AT154" t="str">
        <f>IF(CAPTURA!BY154="","",IFERROR(IF(INDEX(CODIFICACION!$E$2:$E$500,MATCH("D6.22|"&amp;CAPTURA!BY154,CODIFICACION!$F$2:$F$500,0))="sin dato","",INDEX(CODIFICACION!$E$2:$E$500,MATCH("D6.22|"&amp;CAPTURA!BY154,CODIFICACION!$F$2:$F$500,0))),"⚠"))</f>
        <v/>
      </c>
      <c r="AU154" t="str">
        <f>IF(CAPTURA!BZ154="","",IFERROR(IF(INDEX(CODIFICACION!$E$2:$E$500,MATCH("D6.22a|"&amp;CAPTURA!BZ154,CODIFICACION!$F$2:$F$500,0))="sin dato","",INDEX(CODIFICACION!$E$2:$E$500,MATCH("D6.22a|"&amp;CAPTURA!BZ154,CODIFICACION!$F$2:$F$500,0))),"⚠"))</f>
        <v/>
      </c>
      <c r="AV154" t="str">
        <f>IF(CAPTURA!CA154="","",IFERROR(IF(INDEX(CODIFICACION!$E$2:$E$500,MATCH("D6.22b|"&amp;CAPTURA!CA154,CODIFICACION!$F$2:$F$500,0))="sin dato","",INDEX(CODIFICACION!$E$2:$E$500,MATCH("D6.22b|"&amp;CAPTURA!CA154,CODIFICACION!$F$2:$F$500,0))),"⚠"))</f>
        <v/>
      </c>
      <c r="AW154" t="str">
        <f>IF(CAPTURA!CB154="","",IFERROR(IF(INDEX(CODIFICACION!$E$2:$E$500,MATCH("D6.23|"&amp;CAPTURA!CB154,CODIFICACION!$F$2:$F$500,0))="sin dato","",INDEX(CODIFICACION!$E$2:$E$500,MATCH("D6.23|"&amp;CAPTURA!CB154,CODIFICACION!$F$2:$F$500,0))),"⚠"))</f>
        <v/>
      </c>
      <c r="AX154" t="str">
        <f>IF(CAPTURA!CC154="","",IFERROR(IF(INDEX(CODIFICACION!$E$2:$E$500,MATCH("D6.24|"&amp;CAPTURA!CC154,CODIFICACION!$F$2:$F$500,0))="sin dato","",INDEX(CODIFICACION!$E$2:$E$500,MATCH("D6.24|"&amp;CAPTURA!CC154,CODIFICACION!$F$2:$F$500,0))),"⚠"))</f>
        <v/>
      </c>
      <c r="AY154" t="str">
        <f>IF(CAPTURA!CD154="","",IFERROR(IF(INDEX(CODIFICACION!$E$2:$E$500,MATCH("D6.25|"&amp;CAPTURA!CD154,CODIFICACION!$F$2:$F$500,0))="sin dato","",INDEX(CODIFICACION!$E$2:$E$500,MATCH("D6.25|"&amp;CAPTURA!CD154,CODIFICACION!$F$2:$F$500,0))),"⚠"))</f>
        <v/>
      </c>
      <c r="AZ154" t="str">
        <f>IF(CAPTURA!CE154="","",IFERROR(IF(INDEX(CODIFICACION!$E$2:$E$500,MATCH("D6.25a|"&amp;CAPTURA!CE154,CODIFICACION!$F$2:$F$500,0))="sin dato","",INDEX(CODIFICACION!$E$2:$E$500,MATCH("D6.25a|"&amp;CAPTURA!CE154,CODIFICACION!$F$2:$F$500,0))),"⚠"))</f>
        <v/>
      </c>
      <c r="BA154" t="str">
        <f>IF(CAPTURA!CF154="","",IFERROR(IF(INDEX(CODIFICACION!$E$2:$E$500,MATCH("D6.25b|"&amp;CAPTURA!CF154,CODIFICACION!$F$2:$F$500,0))="sin dato","",INDEX(CODIFICACION!$E$2:$E$500,MATCH("D6.25b|"&amp;CAPTURA!CF154,CODIFICACION!$F$2:$F$500,0))),"⚠"))</f>
        <v/>
      </c>
      <c r="BB154" t="str">
        <f>IF(CAPTURA!CG154="","",IFERROR(IF(INDEX(CODIFICACION!$E$2:$E$500,MATCH("D6.22c|"&amp;CAPTURA!CG154,CODIFICACION!$F$2:$F$500,0))="sin dato","",INDEX(CODIFICACION!$E$2:$E$500,MATCH("D6.22c|"&amp;CAPTURA!CG154,CODIFICACION!$F$2:$F$500,0))),"⚠"))</f>
        <v/>
      </c>
      <c r="BC154" t="str">
        <f>IF(CAPTURA!CH154="","",IFERROR(IF(INDEX(CODIFICACION!$E$2:$E$500,MATCH("D7.26|"&amp;CAPTURA!CH154,CODIFICACION!$F$2:$F$500,0))="sin dato","",INDEX(CODIFICACION!$E$2:$E$500,MATCH("D7.26|"&amp;CAPTURA!CH154,CODIFICACION!$F$2:$F$500,0))),"⚠"))</f>
        <v/>
      </c>
      <c r="BD154" t="str">
        <f>IF(CAPTURA!CI154="","",IFERROR(IF(INDEX(CODIFICACION!$E$2:$E$500,MATCH("D7.27|"&amp;CAPTURA!CI154,CODIFICACION!$F$2:$F$500,0))="sin dato","",INDEX(CODIFICACION!$E$2:$E$500,MATCH("D7.27|"&amp;CAPTURA!CI154,CODIFICACION!$F$2:$F$500,0))),"⚠"))</f>
        <v/>
      </c>
      <c r="BE154" t="str">
        <f>IF(CAPTURA!CJ154="","",IFERROR(IF(INDEX(CODIFICACION!$E$2:$E$500,MATCH("D7.28|"&amp;CAPTURA!CJ154,CODIFICACION!$F$2:$F$500,0))="sin dato","",INDEX(CODIFICACION!$E$2:$E$500,MATCH("D7.28|"&amp;CAPTURA!CJ154,CODIFICACION!$F$2:$F$500,0))),"⚠"))</f>
        <v/>
      </c>
      <c r="BF154" t="str">
        <f>IF(CAPTURA!CK154="","",IFERROR(IF(INDEX(CODIFICACION!$E$2:$E$500,MATCH("D7.28b|"&amp;CAPTURA!CK154,CODIFICACION!$F$2:$F$500,0))="sin dato","",INDEX(CODIFICACION!$E$2:$E$500,MATCH("D7.28b|"&amp;CAPTURA!CK154,CODIFICACION!$F$2:$F$500,0))),"⚠"))</f>
        <v/>
      </c>
      <c r="BG154" t="str">
        <f>IF(CAPTURA!CL154="","",MIN(100,ROUND((LEN(CAPTURA!CL154)-LEN(SUBSTITUTE(CAPTURA!CL154,";",""))+1)/8*100,1)))</f>
        <v/>
      </c>
      <c r="BH154" t="str">
        <f>IF(CAPTURA!CM154="","",IFERROR(IF(INDEX(CODIFICACION!$E$2:$E$500,MATCH("D7.26a|"&amp;CAPTURA!CM154,CODIFICACION!$F$2:$F$500,0))="sin dato","",INDEX(CODIFICACION!$E$2:$E$500,MATCH("D7.26a|"&amp;CAPTURA!CM154,CODIFICACION!$F$2:$F$500,0))),"⚠"))</f>
        <v/>
      </c>
      <c r="BI154" t="str">
        <f>IF(CAPTURA!CN154="","",IFERROR(IF(INDEX(CODIFICACION!$E$2:$E$500,MATCH("D7.26b|"&amp;CAPTURA!CN154,CODIFICACION!$F$2:$F$500,0))="sin dato","",INDEX(CODIFICACION!$E$2:$E$500,MATCH("D7.26b|"&amp;CAPTURA!CN154,CODIFICACION!$F$2:$F$500,0))),"⚠"))</f>
        <v/>
      </c>
      <c r="BJ154" t="str">
        <f>IF(CAPTURA!CO154="","",IF(AND(ISNUMBER(CAPTURA!CO154),CAPTURA!CO154&gt;=0,CAPTURA!CO154&lt;=4),CAPTURA!CO154*25,"⚠"))</f>
        <v/>
      </c>
      <c r="BK154" t="str">
        <f>IF(CAPTURA!CP154="","",IF(ISNUMBER(CAPTURA!CP154),MAX(0,MIN(100,CAPTURA!CP154)),"⚠"))</f>
        <v/>
      </c>
      <c r="BL154" t="str">
        <f>IF(CAPTURA!CQ154="","",IFERROR(IF(INDEX(CODIFICACION!$E$2:$E$500,MATCH("D8.31|"&amp;CAPTURA!CQ154,CODIFICACION!$F$2:$F$500,0))="sin dato","",INDEX(CODIFICACION!$E$2:$E$500,MATCH("D8.31|"&amp;CAPTURA!CQ154,CODIFICACION!$F$2:$F$500,0))),"⚠"))</f>
        <v/>
      </c>
      <c r="BM154" t="str">
        <f>IF(CAPTURA!CR154="","",IFERROR(IF(INDEX(CODIFICACION!$E$2:$E$500,MATCH("D8.32|"&amp;CAPTURA!CR154,CODIFICACION!$F$2:$F$500,0))="sin dato","",INDEX(CODIFICACION!$E$2:$E$500,MATCH("D8.32|"&amp;CAPTURA!CR154,CODIFICACION!$F$2:$F$500,0))),"⚠"))</f>
        <v/>
      </c>
      <c r="BN154" t="str">
        <f>IF(CAPTURA!CS154="","",IFERROR(IF(INDEX(CODIFICACION!$E$2:$E$500,MATCH("D9.33|"&amp;CAPTURA!CS154,CODIFICACION!$F$2:$F$500,0))="sin dato","",INDEX(CODIFICACION!$E$2:$E$500,MATCH("D9.33|"&amp;CAPTURA!CS154,CODIFICACION!$F$2:$F$500,0))),"⚠"))</f>
        <v/>
      </c>
      <c r="BO154" t="str">
        <f>IF(CAPTURA!CT154="","",IFERROR(IF(INDEX(CODIFICACION!$E$2:$E$500,MATCH("D9.34|"&amp;CAPTURA!CT154,CODIFICACION!$F$2:$F$500,0))="sin dato","",INDEX(CODIFICACION!$E$2:$E$500,MATCH("D9.34|"&amp;CAPTURA!CT154,CODIFICACION!$F$2:$F$500,0))),"⚠"))</f>
        <v/>
      </c>
      <c r="BP154" t="str">
        <f>IF(CAPTURA!CU154="","",IFERROR(IF(INDEX(CODIFICACION!$E$2:$E$500,MATCH("D9.35|"&amp;CAPTURA!CU154,CODIFICACION!$F$2:$F$500,0))="sin dato","",INDEX(CODIFICACION!$E$2:$E$500,MATCH("D9.35|"&amp;CAPTURA!CU154,CODIFICACION!$F$2:$F$500,0))),"⚠"))</f>
        <v/>
      </c>
      <c r="BQ154" t="str">
        <f>IF(CAPTURA!CV154="","",IFERROR(IF(INDEX(CODIFICACION!$E$2:$E$500,MATCH("D10.36|"&amp;CAPTURA!CV154,CODIFICACION!$F$2:$F$500,0))="sin dato","",INDEX(CODIFICACION!$E$2:$E$500,MATCH("D10.36|"&amp;CAPTURA!CV154,CODIFICACION!$F$2:$F$500,0))),"⚠"))</f>
        <v/>
      </c>
      <c r="BR154" t="str">
        <f>IF(CAPTURA!CW154="","",IFERROR(IF(INDEX(CODIFICACION!$E$2:$E$500,MATCH("D10.37|"&amp;CAPTURA!CW154,CODIFICACION!$F$2:$F$500,0))="sin dato","",INDEX(CODIFICACION!$E$2:$E$500,MATCH("D10.37|"&amp;CAPTURA!CW154,CODIFICACION!$F$2:$F$500,0))),"⚠"))</f>
        <v/>
      </c>
      <c r="BS154" t="str">
        <f>IF(CAPTURA!CX154="","",IFERROR(IF(INDEX(CODIFICACION!$E$2:$E$500,MATCH("D10.36a|"&amp;CAPTURA!CX154,CODIFICACION!$F$2:$F$500,0))="sin dato","",INDEX(CODIFICACION!$E$2:$E$500,MATCH("D10.36a|"&amp;CAPTURA!CX154,CODIFICACION!$F$2:$F$500,0))),"⚠"))</f>
        <v/>
      </c>
      <c r="BT154" t="str">
        <f>IF(CAPTURA!CY154="","",IF(ISNUMBER(SEARCH("Ninguno",CAPTURA!CY154)),0,MIN(100,ROUND((LEN(CAPTURA!CY154)-LEN(SUBSTITUTE(CAPTURA!CY154,";",""))+1)/6*100,1))))</f>
        <v/>
      </c>
      <c r="BU154" t="str">
        <f>IF(CAPTURA!DA154="","",IFERROR(IF(INDEX(CODIFICACION!$E$2:$E$500,MATCH("D11.39a|"&amp;CAPTURA!DA154,CODIFICACION!$F$2:$F$500,0))="sin dato","",INDEX(CODIFICACION!$E$2:$E$500,MATCH("D11.39a|"&amp;CAPTURA!DA154,CODIFICACION!$F$2:$F$500,0))),"⚠"))</f>
        <v/>
      </c>
      <c r="BV154" t="str">
        <f>IF(CAPTURA!DB154="","",IFERROR(IF(INDEX(CODIFICACION!$E$2:$E$500,MATCH("D12.42|"&amp;CAPTURA!DB154,CODIFICACION!$F$2:$F$500,0))="sin dato","",INDEX(CODIFICACION!$E$2:$E$500,MATCH("D12.42|"&amp;CAPTURA!DB154,CODIFICACION!$F$2:$F$500,0))),"⚠"))</f>
        <v/>
      </c>
      <c r="BW154" t="str">
        <f>IF(CAPTURA!DC154="","",IFERROR(IF(INDEX(CODIFICACION!$E$2:$E$500,MATCH("D13.45|"&amp;CAPTURA!DC154,CODIFICACION!$F$2:$F$500,0))="sin dato","",INDEX(CODIFICACION!$E$2:$E$500,MATCH("D13.45|"&amp;CAPTURA!DC154,CODIFICACION!$F$2:$F$500,0))),"⚠"))</f>
        <v/>
      </c>
      <c r="BX154" t="str">
        <f>IF(CAPTURA!DD154="","",IFERROR(IF(INDEX(CODIFICACION!$E$2:$E$500,MATCH("D14.51|"&amp;CAPTURA!DD154,CODIFICACION!$F$2:$F$500,0))="sin dato","",INDEX(CODIFICACION!$E$2:$E$500,MATCH("D14.51|"&amp;CAPTURA!DD154,CODIFICACION!$F$2:$F$500,0))),"⚠"))</f>
        <v/>
      </c>
      <c r="BY154" t="str">
        <f>IF(CAPTURA!DE154="","",IFERROR(IF(INDEX(CODIFICACION!$E$2:$E$500,MATCH("D15.58|"&amp;CAPTURA!DE154,CODIFICACION!$F$2:$F$500,0))="sin dato","",INDEX(CODIFICACION!$E$2:$E$500,MATCH("D15.58|"&amp;CAPTURA!DE154,CODIFICACION!$F$2:$F$500,0))),"⚠"))</f>
        <v/>
      </c>
      <c r="BZ154" t="str">
        <f>IF(CAPTURA!DF154="","",IFERROR(IF(INDEX(CODIFICACION!$E$2:$E$500,MATCH("PP1|"&amp;CAPTURA!DF154,CODIFICACION!$F$2:$F$500,0))="sin dato","",INDEX(CODIFICACION!$E$2:$E$500,MATCH("PP1|"&amp;CAPTURA!DF154,CODIFICACION!$F$2:$F$500,0))),"⚠"))</f>
        <v/>
      </c>
      <c r="CA154" t="str">
        <f>IF(CAPTURA!DG154="","",IFERROR(IF(INDEX(CODIFICACION!$E$2:$E$500,MATCH("PP2|"&amp;CAPTURA!DG154,CODIFICACION!$F$2:$F$500,0))="sin dato","",INDEX(CODIFICACION!$E$2:$E$500,MATCH("PP2|"&amp;CAPTURA!DG154,CODIFICACION!$F$2:$F$500,0))),"⚠"))</f>
        <v/>
      </c>
      <c r="CB154" t="str">
        <f t="shared" si="44"/>
        <v/>
      </c>
      <c r="CC154" t="str">
        <f t="shared" si="45"/>
        <v/>
      </c>
      <c r="CD154" t="str">
        <f t="shared" si="46"/>
        <v/>
      </c>
      <c r="CE154" t="str">
        <f t="shared" si="47"/>
        <v/>
      </c>
      <c r="CF154" t="str">
        <f t="shared" si="48"/>
        <v/>
      </c>
      <c r="CG154" t="str">
        <f t="shared" si="49"/>
        <v/>
      </c>
      <c r="CH154" t="str">
        <f t="shared" si="50"/>
        <v/>
      </c>
      <c r="CI154" t="str">
        <f t="shared" si="51"/>
        <v/>
      </c>
      <c r="CJ154" t="str">
        <f t="shared" si="52"/>
        <v/>
      </c>
      <c r="CK154" t="str">
        <f t="shared" si="53"/>
        <v/>
      </c>
      <c r="CL154" t="str">
        <f t="shared" si="54"/>
        <v/>
      </c>
    </row>
    <row r="155" spans="1:90" x14ac:dyDescent="0.3">
      <c r="A155">
        <f>CAPTURA!A155</f>
        <v>20605688170</v>
      </c>
      <c r="B155">
        <f>CAPTURA!C155</f>
        <v>0</v>
      </c>
      <c r="C155" t="str">
        <f>IF(CAPTURA!M155="","",ROUND((ISNUMBER(SEARCH("Alemania",CAPTURA!M155))+ISNUMBER(SEARCH("Bélgica",CAPTURA!M155))+ISNUMBER(SEARCH("Países Bajos",CAPTURA!M155))+ISNUMBER(SEARCH("Francia",CAPTURA!M155))+ISNUMBER(SEARCH("Italia",CAPTURA!M155))+ISNUMBER(SEARCH("España",CAPTURA!M155))+ISNUMBER(SEARCH("Suecia",CAPTURA!M155))+ISNUMBER(SEARCH("Dinamarca",CAPTURA!M155)))/((LEN(CAPTURA!M155)-LEN(SUBSTITUTE(CAPTURA!M155,";","")))+1)*100,1))</f>
        <v/>
      </c>
      <c r="D155" t="str">
        <f>IF(CAPTURA!AE155="","",IFERROR(IF(INDEX(CODIFICACION!$E$2:$E$500,MATCH("P8|"&amp;CAPTURA!AE155,CODIFICACION!$F$2:$F$500,0))="sin dato","",INDEX(CODIFICACION!$E$2:$E$500,MATCH("P8|"&amp;CAPTURA!AE155,CODIFICACION!$F$2:$F$500,0))),"⚠"))</f>
        <v/>
      </c>
      <c r="E155" t="str">
        <f>IF(CAPTURA!AG155="","",IFERROR(IF(INDEX(CODIFICACION!$E$2:$E$500,MATCH("P10|"&amp;CAPTURA!AG155,CODIFICACION!$F$2:$F$500,0))="sin dato","",INDEX(CODIFICACION!$E$2:$E$500,MATCH("P10|"&amp;CAPTURA!AG155,CODIFICACION!$F$2:$F$500,0))),"⚠"))</f>
        <v/>
      </c>
      <c r="F155" t="str">
        <f>IF(CAPTURA!AJ155="","",IFERROR(IF(INDEX(CODIFICACION!$E$2:$E$500,MATCH("P13|"&amp;CAPTURA!AJ155,CODIFICACION!$F$2:$F$500,0))="sin dato","",INDEX(CODIFICACION!$E$2:$E$500,MATCH("P13|"&amp;CAPTURA!AJ155,CODIFICACION!$F$2:$F$500,0))),"⚠"))</f>
        <v/>
      </c>
      <c r="G155" t="str">
        <f>IF(CAPTURA!AK155="","",IFERROR(IF(INDEX(CODIFICACION!$E$2:$E$500,MATCH("P14|"&amp;CAPTURA!AK155,CODIFICACION!$F$2:$F$500,0))="sin dato","",INDEX(CODIFICACION!$E$2:$E$500,MATCH("P14|"&amp;CAPTURA!AK155,CODIFICACION!$F$2:$F$500,0))),"⚠"))</f>
        <v/>
      </c>
      <c r="H155" t="str">
        <f>IF(CAPTURA!AL155="","",IFERROR(IF(INDEX(CODIFICACION!$E$2:$E$500,MATCH("D1.1|"&amp;CAPTURA!AL155,CODIFICACION!$F$2:$F$500,0))="sin dato","",INDEX(CODIFICACION!$E$2:$E$500,MATCH("D1.1|"&amp;CAPTURA!AL155,CODIFICACION!$F$2:$F$500,0))),"⚠"))</f>
        <v/>
      </c>
      <c r="I155" t="str">
        <f>IF(CAPTURA!AN155="","",IFERROR(IF(INDEX(CODIFICACION!$E$2:$E$500,MATCH("D1.3|"&amp;CAPTURA!AN155,CODIFICACION!$F$2:$F$500,0))="sin dato","",INDEX(CODIFICACION!$E$2:$E$500,MATCH("D1.3|"&amp;CAPTURA!AN155,CODIFICACION!$F$2:$F$500,0))),"⚠"))</f>
        <v/>
      </c>
      <c r="J155" t="str">
        <f>IF(CAPTURA!AO155="","",IFERROR(IF(INDEX(CODIFICACION!$E$2:$E$500,MATCH("D1.4|"&amp;CAPTURA!AO155,CODIFICACION!$F$2:$F$500,0))="sin dato","",INDEX(CODIFICACION!$E$2:$E$500,MATCH("D1.4|"&amp;CAPTURA!AO155,CODIFICACION!$F$2:$F$500,0))),"⚠"))</f>
        <v/>
      </c>
      <c r="K155" t="str">
        <f>IF(CAPTURA!AP155="","",IFERROR(IF(INDEX(CODIFICACION!$E$2:$E$500,MATCH("D1.3a|"&amp;CAPTURA!AP155,CODIFICACION!$F$2:$F$500,0))="sin dato","",INDEX(CODIFICACION!$E$2:$E$500,MATCH("D1.3a|"&amp;CAPTURA!AP155,CODIFICACION!$F$2:$F$500,0))),"⚠"))</f>
        <v/>
      </c>
      <c r="L155" t="str">
        <f>IF(CAPTURA!AQ155="","",IF(AND(ISNUMBER(CAPTURA!AQ155),CAPTURA!AQ155&gt;=0,CAPTURA!AQ155&lt;=4),CAPTURA!AQ155*25,"⚠"))</f>
        <v/>
      </c>
      <c r="M155" t="str">
        <f>IF(CAPTURA!AR155="","",IF(ISNUMBER(CAPTURA!AR155),MAX(0,MIN(100,CAPTURA!AR155)),"⚠"))</f>
        <v/>
      </c>
      <c r="N155" t="str">
        <f>IF(CAPTURA!AS155="","",IF(AND(ISNUMBER(CAPTURA!AS155),CAPTURA!AS155&gt;=0,CAPTURA!AS155&lt;=4),CAPTURA!AS155*25,"⚠"))</f>
        <v/>
      </c>
      <c r="O155" t="str">
        <f>IF(CAPTURA!AT155="","",IFERROR(IF(INDEX(CODIFICACION!$E$2:$E$500,MATCH("D2.8|"&amp;CAPTURA!AT155,CODIFICACION!$F$2:$F$500,0))="sin dato","",INDEX(CODIFICACION!$E$2:$E$500,MATCH("D2.8|"&amp;CAPTURA!AT155,CODIFICACION!$F$2:$F$500,0))),"⚠"))</f>
        <v/>
      </c>
      <c r="P155" t="str">
        <f>IF(CAPTURA!AU155="","",IFERROR(IF(INDEX(CODIFICACION!$E$2:$E$500,MATCH("D2.9|"&amp;CAPTURA!AU155,CODIFICACION!$F$2:$F$500,0))="sin dato","",INDEX(CODIFICACION!$E$2:$E$500,MATCH("D2.9|"&amp;CAPTURA!AU155,CODIFICACION!$F$2:$F$500,0))),"⚠"))</f>
        <v/>
      </c>
      <c r="Q155" t="str">
        <f>IF(CAPTURA!AV155="","",IFERROR(IF(INDEX(CODIFICACION!$E$2:$E$500,MATCH("D2.10|"&amp;CAPTURA!AV155,CODIFICACION!$F$2:$F$500,0))="sin dato","",INDEX(CODIFICACION!$E$2:$E$500,MATCH("D2.10|"&amp;CAPTURA!AV155,CODIFICACION!$F$2:$F$500,0))),"⚠"))</f>
        <v/>
      </c>
      <c r="R155" t="str">
        <f>IF(CAPTURA!AW155="","",IFERROR(IF(INDEX(CODIFICACION!$E$2:$E$500,MATCH("D2.5a|"&amp;CAPTURA!AW155,CODIFICACION!$F$2:$F$500,0))="sin dato","",INDEX(CODIFICACION!$E$2:$E$500,MATCH("D2.5a|"&amp;CAPTURA!AW155,CODIFICACION!$F$2:$F$500,0))),"⚠"))</f>
        <v/>
      </c>
      <c r="S155" t="str">
        <f>IF(CAPTURA!AX155="","",IFERROR(IF(INDEX(CODIFICACION!$E$2:$E$500,MATCH("D2.5b|"&amp;CAPTURA!AX155,CODIFICACION!$F$2:$F$500,0))="sin dato","",INDEX(CODIFICACION!$E$2:$E$500,MATCH("D2.5b|"&amp;CAPTURA!AX155,CODIFICACION!$F$2:$F$500,0))),"⚠"))</f>
        <v/>
      </c>
      <c r="T155" t="str">
        <f>IF(CAPTURA!AY155="","",IF(ISNUMBER(CAPTURA!AY155),MAX(0,MIN(100,CAPTURA!AY155)),"⚠"))</f>
        <v/>
      </c>
      <c r="U155" t="str">
        <f>IF(CAPTURA!AZ155="","",IFERROR(IF(INDEX(CODIFICACION!$E$2:$E$500,MATCH("D3.12|"&amp;CAPTURA!AZ155,CODIFICACION!$F$2:$F$500,0))="sin dato","",INDEX(CODIFICACION!$E$2:$E$500,MATCH("D3.12|"&amp;CAPTURA!AZ155,CODIFICACION!$F$2:$F$500,0))),"⚠"))</f>
        <v/>
      </c>
      <c r="V155" t="str">
        <f>IF(CAPTURA!BA155="","",IF(AND(ISNUMBER(CAPTURA!BA155),CAPTURA!BA155&gt;=0,CAPTURA!BA155&lt;=4),CAPTURA!BA155*25,"⚠"))</f>
        <v/>
      </c>
      <c r="W155" t="str">
        <f>IF(CAPTURA!BB155="","",IFERROR(IF(INDEX(CODIFICACION!$E$2:$E$500,MATCH("D3.14|"&amp;CAPTURA!BB155,CODIFICACION!$F$2:$F$500,0))="sin dato","",INDEX(CODIFICACION!$E$2:$E$500,MATCH("D3.14|"&amp;CAPTURA!BB155,CODIFICACION!$F$2:$F$500,0))),"⚠"))</f>
        <v/>
      </c>
      <c r="X155" t="str">
        <f>IF(CAPTURA!BC155="","",IFERROR(IF(INDEX(CODIFICACION!$E$2:$E$500,MATCH("D3.14a|"&amp;CAPTURA!BC155,CODIFICACION!$F$2:$F$500,0))="sin dato","",INDEX(CODIFICACION!$E$2:$E$500,MATCH("D3.14a|"&amp;CAPTURA!BC155,CODIFICACION!$F$2:$F$500,0))),"⚠"))</f>
        <v/>
      </c>
      <c r="Y155" t="str">
        <f>IF(CAPTURA!BD155="","",IFERROR(IF(INDEX(CODIFICACION!$E$2:$E$500,MATCH("D3.14b|"&amp;CAPTURA!BD155,CODIFICACION!$F$2:$F$500,0))="sin dato","",INDEX(CODIFICACION!$E$2:$E$500,MATCH("D3.14b|"&amp;CAPTURA!BD155,CODIFICACION!$F$2:$F$500,0))),"⚠"))</f>
        <v/>
      </c>
      <c r="Z155" t="str">
        <f>IF(CAPTURA!BE155="","",IFERROR(IF(INDEX(CODIFICACION!$E$2:$E$500,MATCH("D3.14c|"&amp;CAPTURA!BE155,CODIFICACION!$F$2:$F$500,0))="sin dato","",INDEX(CODIFICACION!$E$2:$E$500,MATCH("D3.14c|"&amp;CAPTURA!BE155,CODIFICACION!$F$2:$F$500,0))),"⚠"))</f>
        <v/>
      </c>
      <c r="AA155" t="str">
        <f>IF(CAPTURA!BF155="","",IFERROR(IF(INDEX(CODIFICACION!$E$2:$E$500,MATCH("D3.14d|"&amp;CAPTURA!BF155,CODIFICACION!$F$2:$F$500,0))="sin dato","",INDEX(CODIFICACION!$E$2:$E$500,MATCH("D3.14d|"&amp;CAPTURA!BF155,CODIFICACION!$F$2:$F$500,0))),"⚠"))</f>
        <v/>
      </c>
      <c r="AB155" t="str">
        <f>IF(CAPTURA!BG155="","",IFERROR(IF(INDEX(CODIFICACION!$E$2:$E$500,MATCH("D3.14e|"&amp;CAPTURA!BG155,CODIFICACION!$F$2:$F$500,0))="sin dato","",INDEX(CODIFICACION!$E$2:$E$500,MATCH("D3.14e|"&amp;CAPTURA!BG155,CODIFICACION!$F$2:$F$500,0))),"⚠"))</f>
        <v/>
      </c>
      <c r="AC155" t="str">
        <f>IF(CAPTURA!BH155="","",IFERROR(IF(INDEX(CODIFICACION!$E$2:$E$500,MATCH("D3.14f|"&amp;CAPTURA!BH155,CODIFICACION!$F$2:$F$500,0))="sin dato","",INDEX(CODIFICACION!$E$2:$E$500,MATCH("D3.14f|"&amp;CAPTURA!BH155,CODIFICACION!$F$2:$F$500,0))),"⚠"))</f>
        <v/>
      </c>
      <c r="AD155" t="str">
        <f>IF(CAPTURA!BI155="","",IFERROR(IF(INDEX(CODIFICACION!$E$2:$E$500,MATCH("D3.14g|"&amp;CAPTURA!BI155,CODIFICACION!$F$2:$F$500,0))="sin dato","",INDEX(CODIFICACION!$E$2:$E$500,MATCH("D3.14g|"&amp;CAPTURA!BI155,CODIFICACION!$F$2:$F$500,0))),"⚠"))</f>
        <v/>
      </c>
      <c r="AE155" t="str">
        <f>IF(CAPTURA!BJ155="","",IFERROR(IF(INDEX(CODIFICACION!$E$2:$E$500,MATCH("D3.14h|"&amp;CAPTURA!BJ155,CODIFICACION!$F$2:$F$500,0))="sin dato","",INDEX(CODIFICACION!$E$2:$E$500,MATCH("D3.14h|"&amp;CAPTURA!BJ155,CODIFICACION!$F$2:$F$500,0))),"⚠"))</f>
        <v/>
      </c>
      <c r="AF155" t="str">
        <f>IF(CAPTURA!BK155="","",IFERROR(IF(INDEX(CODIFICACION!$E$2:$E$500,MATCH("D3.14i|"&amp;CAPTURA!BK155,CODIFICACION!$F$2:$F$500,0))="sin dato","",INDEX(CODIFICACION!$E$2:$E$500,MATCH("D3.14i|"&amp;CAPTURA!BK155,CODIFICACION!$F$2:$F$500,0))),"⚠"))</f>
        <v/>
      </c>
      <c r="AG155" t="str">
        <f>IF(CAPTURA!BL155="","",IFERROR(IF(INDEX(CODIFICACION!$E$2:$E$500,MATCH("D4.15|"&amp;CAPTURA!BL155,CODIFICACION!$F$2:$F$500,0))="sin dato","",INDEX(CODIFICACION!$E$2:$E$500,MATCH("D4.15|"&amp;CAPTURA!BL155,CODIFICACION!$F$2:$F$500,0))),"⚠"))</f>
        <v/>
      </c>
      <c r="AH155" t="str">
        <f>IF(CAPTURA!BM155="","",IF(AND(ISNUMBER(CAPTURA!BM155),CAPTURA!BM155&gt;=0,CAPTURA!BM155&lt;=4),CAPTURA!BM155*25,"⚠"))</f>
        <v/>
      </c>
      <c r="AI155" t="str">
        <f>IF(CAPTURA!BN155="","",IFERROR(IF(INDEX(CODIFICACION!$E$2:$E$500,MATCH("D4.17|"&amp;CAPTURA!BN155,CODIFICACION!$F$2:$F$500,0))="sin dato","",INDEX(CODIFICACION!$E$2:$E$500,MATCH("D4.17|"&amp;CAPTURA!BN155,CODIFICACION!$F$2:$F$500,0))),"⚠"))</f>
        <v/>
      </c>
      <c r="AJ155" t="str">
        <f>IF(CAPTURA!BO155="","",IFERROR(IF(INDEX(CODIFICACION!$E$2:$E$500,MATCH("D4.15a|"&amp;CAPTURA!BO155,CODIFICACION!$F$2:$F$500,0))="sin dato","",INDEX(CODIFICACION!$E$2:$E$500,MATCH("D4.15a|"&amp;CAPTURA!BO155,CODIFICACION!$F$2:$F$500,0))),"⚠"))</f>
        <v/>
      </c>
      <c r="AK155" t="str">
        <f>IF(CAPTURA!BP155="","",IF(AND(ISNUMBER(CAPTURA!BP155),CAPTURA!BP155&gt;=0,CAPTURA!BP155&lt;=4),CAPTURA!BP155*25,"⚠"))</f>
        <v/>
      </c>
      <c r="AL155" t="str">
        <f>IF(CAPTURA!BQ155="","",IF(AND(ISNUMBER(CAPTURA!BQ155),CAPTURA!BQ155&gt;=0,CAPTURA!BQ155&lt;=4),CAPTURA!BQ155*25,"⚠"))</f>
        <v/>
      </c>
      <c r="AM155" t="str">
        <f>IF(CAPTURA!BR155="","",IFERROR(IF(INDEX(CODIFICACION!$E$2:$E$500,MATCH("D5.18b|"&amp;CAPTURA!BR155,CODIFICACION!$F$2:$F$500,0))="sin dato","",INDEX(CODIFICACION!$E$2:$E$500,MATCH("D5.18b|"&amp;CAPTURA!BR155,CODIFICACION!$F$2:$F$500,0))),"⚠"))</f>
        <v/>
      </c>
      <c r="AN155" t="str">
        <f>IF(CAPTURA!BS155="","",IFERROR(IF(INDEX(CODIFICACION!$E$2:$E$500,MATCH("D5.19|"&amp;CAPTURA!BS155,CODIFICACION!$F$2:$F$500,0))="sin dato","",INDEX(CODIFICACION!$E$2:$E$500,MATCH("D5.19|"&amp;CAPTURA!BS155,CODIFICACION!$F$2:$F$500,0))),"⚠"))</f>
        <v/>
      </c>
      <c r="AO155" t="str">
        <f>IF(CAPTURA!BT155="","",MIN(100,ROUND((LEN(CAPTURA!BT155)-LEN(SUBSTITUTE(CAPTURA!BT155,";",""))+1)/7*100,1)))</f>
        <v/>
      </c>
      <c r="AP155" t="str">
        <f>IF(CAPTURA!BU155="","",IFERROR(IF(INDEX(CODIFICACION!$E$2:$E$500,MATCH("D5.20|"&amp;CAPTURA!BU155,CODIFICACION!$F$2:$F$500,0))="sin dato","",INDEX(CODIFICACION!$E$2:$E$500,MATCH("D5.20|"&amp;CAPTURA!BU155,CODIFICACION!$F$2:$F$500,0))),"⚠"))</f>
        <v/>
      </c>
      <c r="AQ155" t="str">
        <f>IF(CAPTURA!BV155="","",IFERROR(IF(INDEX(CODIFICACION!$E$2:$E$500,MATCH("D5.21|"&amp;CAPTURA!BV155,CODIFICACION!$F$2:$F$500,0))="sin dato","",INDEX(CODIFICACION!$E$2:$E$500,MATCH("D5.21|"&amp;CAPTURA!BV155,CODIFICACION!$F$2:$F$500,0))),"⚠"))</f>
        <v/>
      </c>
      <c r="AR155" t="str">
        <f>IF(CAPTURA!BW155="","",IFERROR(IF(INDEX(CODIFICACION!$E$2:$E$500,MATCH("D5.21a|"&amp;CAPTURA!BW155,CODIFICACION!$F$2:$F$500,0))="sin dato","",INDEX(CODIFICACION!$E$2:$E$500,MATCH("D5.21a|"&amp;CAPTURA!BW155,CODIFICACION!$F$2:$F$500,0))),"⚠"))</f>
        <v/>
      </c>
      <c r="AS155" t="str">
        <f>IF(CAPTURA!BX155="","",IFERROR(IF(INDEX(CODIFICACION!$E$2:$E$500,MATCH("D5.21b|"&amp;CAPTURA!BX155,CODIFICACION!$F$2:$F$500,0))="sin dato","",INDEX(CODIFICACION!$E$2:$E$500,MATCH("D5.21b|"&amp;CAPTURA!BX155,CODIFICACION!$F$2:$F$500,0))),"⚠"))</f>
        <v/>
      </c>
      <c r="AT155" t="str">
        <f>IF(CAPTURA!BY155="","",IFERROR(IF(INDEX(CODIFICACION!$E$2:$E$500,MATCH("D6.22|"&amp;CAPTURA!BY155,CODIFICACION!$F$2:$F$500,0))="sin dato","",INDEX(CODIFICACION!$E$2:$E$500,MATCH("D6.22|"&amp;CAPTURA!BY155,CODIFICACION!$F$2:$F$500,0))),"⚠"))</f>
        <v/>
      </c>
      <c r="AU155" t="str">
        <f>IF(CAPTURA!BZ155="","",IFERROR(IF(INDEX(CODIFICACION!$E$2:$E$500,MATCH("D6.22a|"&amp;CAPTURA!BZ155,CODIFICACION!$F$2:$F$500,0))="sin dato","",INDEX(CODIFICACION!$E$2:$E$500,MATCH("D6.22a|"&amp;CAPTURA!BZ155,CODIFICACION!$F$2:$F$500,0))),"⚠"))</f>
        <v/>
      </c>
      <c r="AV155" t="str">
        <f>IF(CAPTURA!CA155="","",IFERROR(IF(INDEX(CODIFICACION!$E$2:$E$500,MATCH("D6.22b|"&amp;CAPTURA!CA155,CODIFICACION!$F$2:$F$500,0))="sin dato","",INDEX(CODIFICACION!$E$2:$E$500,MATCH("D6.22b|"&amp;CAPTURA!CA155,CODIFICACION!$F$2:$F$500,0))),"⚠"))</f>
        <v/>
      </c>
      <c r="AW155" t="str">
        <f>IF(CAPTURA!CB155="","",IFERROR(IF(INDEX(CODIFICACION!$E$2:$E$500,MATCH("D6.23|"&amp;CAPTURA!CB155,CODIFICACION!$F$2:$F$500,0))="sin dato","",INDEX(CODIFICACION!$E$2:$E$500,MATCH("D6.23|"&amp;CAPTURA!CB155,CODIFICACION!$F$2:$F$500,0))),"⚠"))</f>
        <v/>
      </c>
      <c r="AX155" t="str">
        <f>IF(CAPTURA!CC155="","",IFERROR(IF(INDEX(CODIFICACION!$E$2:$E$500,MATCH("D6.24|"&amp;CAPTURA!CC155,CODIFICACION!$F$2:$F$500,0))="sin dato","",INDEX(CODIFICACION!$E$2:$E$500,MATCH("D6.24|"&amp;CAPTURA!CC155,CODIFICACION!$F$2:$F$500,0))),"⚠"))</f>
        <v/>
      </c>
      <c r="AY155" t="str">
        <f>IF(CAPTURA!CD155="","",IFERROR(IF(INDEX(CODIFICACION!$E$2:$E$500,MATCH("D6.25|"&amp;CAPTURA!CD155,CODIFICACION!$F$2:$F$500,0))="sin dato","",INDEX(CODIFICACION!$E$2:$E$500,MATCH("D6.25|"&amp;CAPTURA!CD155,CODIFICACION!$F$2:$F$500,0))),"⚠"))</f>
        <v/>
      </c>
      <c r="AZ155" t="str">
        <f>IF(CAPTURA!CE155="","",IFERROR(IF(INDEX(CODIFICACION!$E$2:$E$500,MATCH("D6.25a|"&amp;CAPTURA!CE155,CODIFICACION!$F$2:$F$500,0))="sin dato","",INDEX(CODIFICACION!$E$2:$E$500,MATCH("D6.25a|"&amp;CAPTURA!CE155,CODIFICACION!$F$2:$F$500,0))),"⚠"))</f>
        <v/>
      </c>
      <c r="BA155" t="str">
        <f>IF(CAPTURA!CF155="","",IFERROR(IF(INDEX(CODIFICACION!$E$2:$E$500,MATCH("D6.25b|"&amp;CAPTURA!CF155,CODIFICACION!$F$2:$F$500,0))="sin dato","",INDEX(CODIFICACION!$E$2:$E$500,MATCH("D6.25b|"&amp;CAPTURA!CF155,CODIFICACION!$F$2:$F$500,0))),"⚠"))</f>
        <v/>
      </c>
      <c r="BB155" t="str">
        <f>IF(CAPTURA!CG155="","",IFERROR(IF(INDEX(CODIFICACION!$E$2:$E$500,MATCH("D6.22c|"&amp;CAPTURA!CG155,CODIFICACION!$F$2:$F$500,0))="sin dato","",INDEX(CODIFICACION!$E$2:$E$500,MATCH("D6.22c|"&amp;CAPTURA!CG155,CODIFICACION!$F$2:$F$500,0))),"⚠"))</f>
        <v/>
      </c>
      <c r="BC155" t="str">
        <f>IF(CAPTURA!CH155="","",IFERROR(IF(INDEX(CODIFICACION!$E$2:$E$500,MATCH("D7.26|"&amp;CAPTURA!CH155,CODIFICACION!$F$2:$F$500,0))="sin dato","",INDEX(CODIFICACION!$E$2:$E$500,MATCH("D7.26|"&amp;CAPTURA!CH155,CODIFICACION!$F$2:$F$500,0))),"⚠"))</f>
        <v/>
      </c>
      <c r="BD155" t="str">
        <f>IF(CAPTURA!CI155="","",IFERROR(IF(INDEX(CODIFICACION!$E$2:$E$500,MATCH("D7.27|"&amp;CAPTURA!CI155,CODIFICACION!$F$2:$F$500,0))="sin dato","",INDEX(CODIFICACION!$E$2:$E$500,MATCH("D7.27|"&amp;CAPTURA!CI155,CODIFICACION!$F$2:$F$500,0))),"⚠"))</f>
        <v/>
      </c>
      <c r="BE155" t="str">
        <f>IF(CAPTURA!CJ155="","",IFERROR(IF(INDEX(CODIFICACION!$E$2:$E$500,MATCH("D7.28|"&amp;CAPTURA!CJ155,CODIFICACION!$F$2:$F$500,0))="sin dato","",INDEX(CODIFICACION!$E$2:$E$500,MATCH("D7.28|"&amp;CAPTURA!CJ155,CODIFICACION!$F$2:$F$500,0))),"⚠"))</f>
        <v/>
      </c>
      <c r="BF155" t="str">
        <f>IF(CAPTURA!CK155="","",IFERROR(IF(INDEX(CODIFICACION!$E$2:$E$500,MATCH("D7.28b|"&amp;CAPTURA!CK155,CODIFICACION!$F$2:$F$500,0))="sin dato","",INDEX(CODIFICACION!$E$2:$E$500,MATCH("D7.28b|"&amp;CAPTURA!CK155,CODIFICACION!$F$2:$F$500,0))),"⚠"))</f>
        <v/>
      </c>
      <c r="BG155" t="str">
        <f>IF(CAPTURA!CL155="","",MIN(100,ROUND((LEN(CAPTURA!CL155)-LEN(SUBSTITUTE(CAPTURA!CL155,";",""))+1)/8*100,1)))</f>
        <v/>
      </c>
      <c r="BH155" t="str">
        <f>IF(CAPTURA!CM155="","",IFERROR(IF(INDEX(CODIFICACION!$E$2:$E$500,MATCH("D7.26a|"&amp;CAPTURA!CM155,CODIFICACION!$F$2:$F$500,0))="sin dato","",INDEX(CODIFICACION!$E$2:$E$500,MATCH("D7.26a|"&amp;CAPTURA!CM155,CODIFICACION!$F$2:$F$500,0))),"⚠"))</f>
        <v/>
      </c>
      <c r="BI155" t="str">
        <f>IF(CAPTURA!CN155="","",IFERROR(IF(INDEX(CODIFICACION!$E$2:$E$500,MATCH("D7.26b|"&amp;CAPTURA!CN155,CODIFICACION!$F$2:$F$500,0))="sin dato","",INDEX(CODIFICACION!$E$2:$E$500,MATCH("D7.26b|"&amp;CAPTURA!CN155,CODIFICACION!$F$2:$F$500,0))),"⚠"))</f>
        <v/>
      </c>
      <c r="BJ155" t="str">
        <f>IF(CAPTURA!CO155="","",IF(AND(ISNUMBER(CAPTURA!CO155),CAPTURA!CO155&gt;=0,CAPTURA!CO155&lt;=4),CAPTURA!CO155*25,"⚠"))</f>
        <v/>
      </c>
      <c r="BK155" t="str">
        <f>IF(CAPTURA!CP155="","",IF(ISNUMBER(CAPTURA!CP155),MAX(0,MIN(100,CAPTURA!CP155)),"⚠"))</f>
        <v/>
      </c>
      <c r="BL155" t="str">
        <f>IF(CAPTURA!CQ155="","",IFERROR(IF(INDEX(CODIFICACION!$E$2:$E$500,MATCH("D8.31|"&amp;CAPTURA!CQ155,CODIFICACION!$F$2:$F$500,0))="sin dato","",INDEX(CODIFICACION!$E$2:$E$500,MATCH("D8.31|"&amp;CAPTURA!CQ155,CODIFICACION!$F$2:$F$500,0))),"⚠"))</f>
        <v/>
      </c>
      <c r="BM155" t="str">
        <f>IF(CAPTURA!CR155="","",IFERROR(IF(INDEX(CODIFICACION!$E$2:$E$500,MATCH("D8.32|"&amp;CAPTURA!CR155,CODIFICACION!$F$2:$F$500,0))="sin dato","",INDEX(CODIFICACION!$E$2:$E$500,MATCH("D8.32|"&amp;CAPTURA!CR155,CODIFICACION!$F$2:$F$500,0))),"⚠"))</f>
        <v/>
      </c>
      <c r="BN155" t="str">
        <f>IF(CAPTURA!CS155="","",IFERROR(IF(INDEX(CODIFICACION!$E$2:$E$500,MATCH("D9.33|"&amp;CAPTURA!CS155,CODIFICACION!$F$2:$F$500,0))="sin dato","",INDEX(CODIFICACION!$E$2:$E$500,MATCH("D9.33|"&amp;CAPTURA!CS155,CODIFICACION!$F$2:$F$500,0))),"⚠"))</f>
        <v/>
      </c>
      <c r="BO155" t="str">
        <f>IF(CAPTURA!CT155="","",IFERROR(IF(INDEX(CODIFICACION!$E$2:$E$500,MATCH("D9.34|"&amp;CAPTURA!CT155,CODIFICACION!$F$2:$F$500,0))="sin dato","",INDEX(CODIFICACION!$E$2:$E$500,MATCH("D9.34|"&amp;CAPTURA!CT155,CODIFICACION!$F$2:$F$500,0))),"⚠"))</f>
        <v/>
      </c>
      <c r="BP155" t="str">
        <f>IF(CAPTURA!CU155="","",IFERROR(IF(INDEX(CODIFICACION!$E$2:$E$500,MATCH("D9.35|"&amp;CAPTURA!CU155,CODIFICACION!$F$2:$F$500,0))="sin dato","",INDEX(CODIFICACION!$E$2:$E$500,MATCH("D9.35|"&amp;CAPTURA!CU155,CODIFICACION!$F$2:$F$500,0))),"⚠"))</f>
        <v/>
      </c>
      <c r="BQ155" t="str">
        <f>IF(CAPTURA!CV155="","",IFERROR(IF(INDEX(CODIFICACION!$E$2:$E$500,MATCH("D10.36|"&amp;CAPTURA!CV155,CODIFICACION!$F$2:$F$500,0))="sin dato","",INDEX(CODIFICACION!$E$2:$E$500,MATCH("D10.36|"&amp;CAPTURA!CV155,CODIFICACION!$F$2:$F$500,0))),"⚠"))</f>
        <v/>
      </c>
      <c r="BR155" t="str">
        <f>IF(CAPTURA!CW155="","",IFERROR(IF(INDEX(CODIFICACION!$E$2:$E$500,MATCH("D10.37|"&amp;CAPTURA!CW155,CODIFICACION!$F$2:$F$500,0))="sin dato","",INDEX(CODIFICACION!$E$2:$E$500,MATCH("D10.37|"&amp;CAPTURA!CW155,CODIFICACION!$F$2:$F$500,0))),"⚠"))</f>
        <v/>
      </c>
      <c r="BS155" t="str">
        <f>IF(CAPTURA!CX155="","",IFERROR(IF(INDEX(CODIFICACION!$E$2:$E$500,MATCH("D10.36a|"&amp;CAPTURA!CX155,CODIFICACION!$F$2:$F$500,0))="sin dato","",INDEX(CODIFICACION!$E$2:$E$500,MATCH("D10.36a|"&amp;CAPTURA!CX155,CODIFICACION!$F$2:$F$500,0))),"⚠"))</f>
        <v/>
      </c>
      <c r="BT155" t="str">
        <f>IF(CAPTURA!CY155="","",IF(ISNUMBER(SEARCH("Ninguno",CAPTURA!CY155)),0,MIN(100,ROUND((LEN(CAPTURA!CY155)-LEN(SUBSTITUTE(CAPTURA!CY155,";",""))+1)/6*100,1))))</f>
        <v/>
      </c>
      <c r="BU155" t="str">
        <f>IF(CAPTURA!DA155="","",IFERROR(IF(INDEX(CODIFICACION!$E$2:$E$500,MATCH("D11.39a|"&amp;CAPTURA!DA155,CODIFICACION!$F$2:$F$500,0))="sin dato","",INDEX(CODIFICACION!$E$2:$E$500,MATCH("D11.39a|"&amp;CAPTURA!DA155,CODIFICACION!$F$2:$F$500,0))),"⚠"))</f>
        <v/>
      </c>
      <c r="BV155" t="str">
        <f>IF(CAPTURA!DB155="","",IFERROR(IF(INDEX(CODIFICACION!$E$2:$E$500,MATCH("D12.42|"&amp;CAPTURA!DB155,CODIFICACION!$F$2:$F$500,0))="sin dato","",INDEX(CODIFICACION!$E$2:$E$500,MATCH("D12.42|"&amp;CAPTURA!DB155,CODIFICACION!$F$2:$F$500,0))),"⚠"))</f>
        <v/>
      </c>
      <c r="BW155" t="str">
        <f>IF(CAPTURA!DC155="","",IFERROR(IF(INDEX(CODIFICACION!$E$2:$E$500,MATCH("D13.45|"&amp;CAPTURA!DC155,CODIFICACION!$F$2:$F$500,0))="sin dato","",INDEX(CODIFICACION!$E$2:$E$500,MATCH("D13.45|"&amp;CAPTURA!DC155,CODIFICACION!$F$2:$F$500,0))),"⚠"))</f>
        <v/>
      </c>
      <c r="BX155" t="str">
        <f>IF(CAPTURA!DD155="","",IFERROR(IF(INDEX(CODIFICACION!$E$2:$E$500,MATCH("D14.51|"&amp;CAPTURA!DD155,CODIFICACION!$F$2:$F$500,0))="sin dato","",INDEX(CODIFICACION!$E$2:$E$500,MATCH("D14.51|"&amp;CAPTURA!DD155,CODIFICACION!$F$2:$F$500,0))),"⚠"))</f>
        <v/>
      </c>
      <c r="BY155" t="str">
        <f>IF(CAPTURA!DE155="","",IFERROR(IF(INDEX(CODIFICACION!$E$2:$E$500,MATCH("D15.58|"&amp;CAPTURA!DE155,CODIFICACION!$F$2:$F$500,0))="sin dato","",INDEX(CODIFICACION!$E$2:$E$500,MATCH("D15.58|"&amp;CAPTURA!DE155,CODIFICACION!$F$2:$F$500,0))),"⚠"))</f>
        <v/>
      </c>
      <c r="BZ155" t="str">
        <f>IF(CAPTURA!DF155="","",IFERROR(IF(INDEX(CODIFICACION!$E$2:$E$500,MATCH("PP1|"&amp;CAPTURA!DF155,CODIFICACION!$F$2:$F$500,0))="sin dato","",INDEX(CODIFICACION!$E$2:$E$500,MATCH("PP1|"&amp;CAPTURA!DF155,CODIFICACION!$F$2:$F$500,0))),"⚠"))</f>
        <v/>
      </c>
      <c r="CA155" t="str">
        <f>IF(CAPTURA!DG155="","",IFERROR(IF(INDEX(CODIFICACION!$E$2:$E$500,MATCH("PP2|"&amp;CAPTURA!DG155,CODIFICACION!$F$2:$F$500,0))="sin dato","",INDEX(CODIFICACION!$E$2:$E$500,MATCH("PP2|"&amp;CAPTURA!DG155,CODIFICACION!$F$2:$F$500,0))),"⚠"))</f>
        <v/>
      </c>
      <c r="CB155" t="str">
        <f t="shared" si="44"/>
        <v/>
      </c>
      <c r="CC155" t="str">
        <f t="shared" si="45"/>
        <v/>
      </c>
      <c r="CD155" t="str">
        <f t="shared" si="46"/>
        <v/>
      </c>
      <c r="CE155" t="str">
        <f t="shared" si="47"/>
        <v/>
      </c>
      <c r="CF155" t="str">
        <f t="shared" si="48"/>
        <v/>
      </c>
      <c r="CG155" t="str">
        <f t="shared" si="49"/>
        <v/>
      </c>
      <c r="CH155" t="str">
        <f t="shared" si="50"/>
        <v/>
      </c>
      <c r="CI155" t="str">
        <f t="shared" si="51"/>
        <v/>
      </c>
      <c r="CJ155" t="str">
        <f t="shared" si="52"/>
        <v/>
      </c>
      <c r="CK155" t="str">
        <f t="shared" si="53"/>
        <v/>
      </c>
      <c r="CL155" t="str">
        <f t="shared" si="54"/>
        <v/>
      </c>
    </row>
    <row r="156" spans="1:90" x14ac:dyDescent="0.3">
      <c r="A156">
        <f>CAPTURA!A156</f>
        <v>20606041382</v>
      </c>
      <c r="B156">
        <f>CAPTURA!C156</f>
        <v>0</v>
      </c>
      <c r="C156" t="str">
        <f>IF(CAPTURA!M156="","",ROUND((ISNUMBER(SEARCH("Alemania",CAPTURA!M156))+ISNUMBER(SEARCH("Bélgica",CAPTURA!M156))+ISNUMBER(SEARCH("Países Bajos",CAPTURA!M156))+ISNUMBER(SEARCH("Francia",CAPTURA!M156))+ISNUMBER(SEARCH("Italia",CAPTURA!M156))+ISNUMBER(SEARCH("España",CAPTURA!M156))+ISNUMBER(SEARCH("Suecia",CAPTURA!M156))+ISNUMBER(SEARCH("Dinamarca",CAPTURA!M156)))/((LEN(CAPTURA!M156)-LEN(SUBSTITUTE(CAPTURA!M156,";","")))+1)*100,1))</f>
        <v/>
      </c>
      <c r="D156" t="str">
        <f>IF(CAPTURA!AE156="","",IFERROR(IF(INDEX(CODIFICACION!$E$2:$E$500,MATCH("P8|"&amp;CAPTURA!AE156,CODIFICACION!$F$2:$F$500,0))="sin dato","",INDEX(CODIFICACION!$E$2:$E$500,MATCH("P8|"&amp;CAPTURA!AE156,CODIFICACION!$F$2:$F$500,0))),"⚠"))</f>
        <v/>
      </c>
      <c r="E156" t="str">
        <f>IF(CAPTURA!AG156="","",IFERROR(IF(INDEX(CODIFICACION!$E$2:$E$500,MATCH("P10|"&amp;CAPTURA!AG156,CODIFICACION!$F$2:$F$500,0))="sin dato","",INDEX(CODIFICACION!$E$2:$E$500,MATCH("P10|"&amp;CAPTURA!AG156,CODIFICACION!$F$2:$F$500,0))),"⚠"))</f>
        <v/>
      </c>
      <c r="F156" t="str">
        <f>IF(CAPTURA!AJ156="","",IFERROR(IF(INDEX(CODIFICACION!$E$2:$E$500,MATCH("P13|"&amp;CAPTURA!AJ156,CODIFICACION!$F$2:$F$500,0))="sin dato","",INDEX(CODIFICACION!$E$2:$E$500,MATCH("P13|"&amp;CAPTURA!AJ156,CODIFICACION!$F$2:$F$500,0))),"⚠"))</f>
        <v/>
      </c>
      <c r="G156" t="str">
        <f>IF(CAPTURA!AK156="","",IFERROR(IF(INDEX(CODIFICACION!$E$2:$E$500,MATCH("P14|"&amp;CAPTURA!AK156,CODIFICACION!$F$2:$F$500,0))="sin dato","",INDEX(CODIFICACION!$E$2:$E$500,MATCH("P14|"&amp;CAPTURA!AK156,CODIFICACION!$F$2:$F$500,0))),"⚠"))</f>
        <v/>
      </c>
      <c r="H156" t="str">
        <f>IF(CAPTURA!AL156="","",IFERROR(IF(INDEX(CODIFICACION!$E$2:$E$500,MATCH("D1.1|"&amp;CAPTURA!AL156,CODIFICACION!$F$2:$F$500,0))="sin dato","",INDEX(CODIFICACION!$E$2:$E$500,MATCH("D1.1|"&amp;CAPTURA!AL156,CODIFICACION!$F$2:$F$500,0))),"⚠"))</f>
        <v/>
      </c>
      <c r="I156" t="str">
        <f>IF(CAPTURA!AN156="","",IFERROR(IF(INDEX(CODIFICACION!$E$2:$E$500,MATCH("D1.3|"&amp;CAPTURA!AN156,CODIFICACION!$F$2:$F$500,0))="sin dato","",INDEX(CODIFICACION!$E$2:$E$500,MATCH("D1.3|"&amp;CAPTURA!AN156,CODIFICACION!$F$2:$F$500,0))),"⚠"))</f>
        <v/>
      </c>
      <c r="J156" t="str">
        <f>IF(CAPTURA!AO156="","",IFERROR(IF(INDEX(CODIFICACION!$E$2:$E$500,MATCH("D1.4|"&amp;CAPTURA!AO156,CODIFICACION!$F$2:$F$500,0))="sin dato","",INDEX(CODIFICACION!$E$2:$E$500,MATCH("D1.4|"&amp;CAPTURA!AO156,CODIFICACION!$F$2:$F$500,0))),"⚠"))</f>
        <v/>
      </c>
      <c r="K156" t="str">
        <f>IF(CAPTURA!AP156="","",IFERROR(IF(INDEX(CODIFICACION!$E$2:$E$500,MATCH("D1.3a|"&amp;CAPTURA!AP156,CODIFICACION!$F$2:$F$500,0))="sin dato","",INDEX(CODIFICACION!$E$2:$E$500,MATCH("D1.3a|"&amp;CAPTURA!AP156,CODIFICACION!$F$2:$F$500,0))),"⚠"))</f>
        <v/>
      </c>
      <c r="L156" t="str">
        <f>IF(CAPTURA!AQ156="","",IF(AND(ISNUMBER(CAPTURA!AQ156),CAPTURA!AQ156&gt;=0,CAPTURA!AQ156&lt;=4),CAPTURA!AQ156*25,"⚠"))</f>
        <v/>
      </c>
      <c r="M156" t="str">
        <f>IF(CAPTURA!AR156="","",IF(ISNUMBER(CAPTURA!AR156),MAX(0,MIN(100,CAPTURA!AR156)),"⚠"))</f>
        <v/>
      </c>
      <c r="N156" t="str">
        <f>IF(CAPTURA!AS156="","",IF(AND(ISNUMBER(CAPTURA!AS156),CAPTURA!AS156&gt;=0,CAPTURA!AS156&lt;=4),CAPTURA!AS156*25,"⚠"))</f>
        <v/>
      </c>
      <c r="O156" t="str">
        <f>IF(CAPTURA!AT156="","",IFERROR(IF(INDEX(CODIFICACION!$E$2:$E$500,MATCH("D2.8|"&amp;CAPTURA!AT156,CODIFICACION!$F$2:$F$500,0))="sin dato","",INDEX(CODIFICACION!$E$2:$E$500,MATCH("D2.8|"&amp;CAPTURA!AT156,CODIFICACION!$F$2:$F$500,0))),"⚠"))</f>
        <v/>
      </c>
      <c r="P156" t="str">
        <f>IF(CAPTURA!AU156="","",IFERROR(IF(INDEX(CODIFICACION!$E$2:$E$500,MATCH("D2.9|"&amp;CAPTURA!AU156,CODIFICACION!$F$2:$F$500,0))="sin dato","",INDEX(CODIFICACION!$E$2:$E$500,MATCH("D2.9|"&amp;CAPTURA!AU156,CODIFICACION!$F$2:$F$500,0))),"⚠"))</f>
        <v/>
      </c>
      <c r="Q156" t="str">
        <f>IF(CAPTURA!AV156="","",IFERROR(IF(INDEX(CODIFICACION!$E$2:$E$500,MATCH("D2.10|"&amp;CAPTURA!AV156,CODIFICACION!$F$2:$F$500,0))="sin dato","",INDEX(CODIFICACION!$E$2:$E$500,MATCH("D2.10|"&amp;CAPTURA!AV156,CODIFICACION!$F$2:$F$500,0))),"⚠"))</f>
        <v/>
      </c>
      <c r="R156" t="str">
        <f>IF(CAPTURA!AW156="","",IFERROR(IF(INDEX(CODIFICACION!$E$2:$E$500,MATCH("D2.5a|"&amp;CAPTURA!AW156,CODIFICACION!$F$2:$F$500,0))="sin dato","",INDEX(CODIFICACION!$E$2:$E$500,MATCH("D2.5a|"&amp;CAPTURA!AW156,CODIFICACION!$F$2:$F$500,0))),"⚠"))</f>
        <v/>
      </c>
      <c r="S156" t="str">
        <f>IF(CAPTURA!AX156="","",IFERROR(IF(INDEX(CODIFICACION!$E$2:$E$500,MATCH("D2.5b|"&amp;CAPTURA!AX156,CODIFICACION!$F$2:$F$500,0))="sin dato","",INDEX(CODIFICACION!$E$2:$E$500,MATCH("D2.5b|"&amp;CAPTURA!AX156,CODIFICACION!$F$2:$F$500,0))),"⚠"))</f>
        <v/>
      </c>
      <c r="T156" t="str">
        <f>IF(CAPTURA!AY156="","",IF(ISNUMBER(CAPTURA!AY156),MAX(0,MIN(100,CAPTURA!AY156)),"⚠"))</f>
        <v/>
      </c>
      <c r="U156" t="str">
        <f>IF(CAPTURA!AZ156="","",IFERROR(IF(INDEX(CODIFICACION!$E$2:$E$500,MATCH("D3.12|"&amp;CAPTURA!AZ156,CODIFICACION!$F$2:$F$500,0))="sin dato","",INDEX(CODIFICACION!$E$2:$E$500,MATCH("D3.12|"&amp;CAPTURA!AZ156,CODIFICACION!$F$2:$F$500,0))),"⚠"))</f>
        <v/>
      </c>
      <c r="V156" t="str">
        <f>IF(CAPTURA!BA156="","",IF(AND(ISNUMBER(CAPTURA!BA156),CAPTURA!BA156&gt;=0,CAPTURA!BA156&lt;=4),CAPTURA!BA156*25,"⚠"))</f>
        <v/>
      </c>
      <c r="W156" t="str">
        <f>IF(CAPTURA!BB156="","",IFERROR(IF(INDEX(CODIFICACION!$E$2:$E$500,MATCH("D3.14|"&amp;CAPTURA!BB156,CODIFICACION!$F$2:$F$500,0))="sin dato","",INDEX(CODIFICACION!$E$2:$E$500,MATCH("D3.14|"&amp;CAPTURA!BB156,CODIFICACION!$F$2:$F$500,0))),"⚠"))</f>
        <v/>
      </c>
      <c r="X156" t="str">
        <f>IF(CAPTURA!BC156="","",IFERROR(IF(INDEX(CODIFICACION!$E$2:$E$500,MATCH("D3.14a|"&amp;CAPTURA!BC156,CODIFICACION!$F$2:$F$500,0))="sin dato","",INDEX(CODIFICACION!$E$2:$E$500,MATCH("D3.14a|"&amp;CAPTURA!BC156,CODIFICACION!$F$2:$F$500,0))),"⚠"))</f>
        <v/>
      </c>
      <c r="Y156" t="str">
        <f>IF(CAPTURA!BD156="","",IFERROR(IF(INDEX(CODIFICACION!$E$2:$E$500,MATCH("D3.14b|"&amp;CAPTURA!BD156,CODIFICACION!$F$2:$F$500,0))="sin dato","",INDEX(CODIFICACION!$E$2:$E$500,MATCH("D3.14b|"&amp;CAPTURA!BD156,CODIFICACION!$F$2:$F$500,0))),"⚠"))</f>
        <v/>
      </c>
      <c r="Z156" t="str">
        <f>IF(CAPTURA!BE156="","",IFERROR(IF(INDEX(CODIFICACION!$E$2:$E$500,MATCH("D3.14c|"&amp;CAPTURA!BE156,CODIFICACION!$F$2:$F$500,0))="sin dato","",INDEX(CODIFICACION!$E$2:$E$500,MATCH("D3.14c|"&amp;CAPTURA!BE156,CODIFICACION!$F$2:$F$500,0))),"⚠"))</f>
        <v/>
      </c>
      <c r="AA156" t="str">
        <f>IF(CAPTURA!BF156="","",IFERROR(IF(INDEX(CODIFICACION!$E$2:$E$500,MATCH("D3.14d|"&amp;CAPTURA!BF156,CODIFICACION!$F$2:$F$500,0))="sin dato","",INDEX(CODIFICACION!$E$2:$E$500,MATCH("D3.14d|"&amp;CAPTURA!BF156,CODIFICACION!$F$2:$F$500,0))),"⚠"))</f>
        <v/>
      </c>
      <c r="AB156" t="str">
        <f>IF(CAPTURA!BG156="","",IFERROR(IF(INDEX(CODIFICACION!$E$2:$E$500,MATCH("D3.14e|"&amp;CAPTURA!BG156,CODIFICACION!$F$2:$F$500,0))="sin dato","",INDEX(CODIFICACION!$E$2:$E$500,MATCH("D3.14e|"&amp;CAPTURA!BG156,CODIFICACION!$F$2:$F$500,0))),"⚠"))</f>
        <v/>
      </c>
      <c r="AC156" t="str">
        <f>IF(CAPTURA!BH156="","",IFERROR(IF(INDEX(CODIFICACION!$E$2:$E$500,MATCH("D3.14f|"&amp;CAPTURA!BH156,CODIFICACION!$F$2:$F$500,0))="sin dato","",INDEX(CODIFICACION!$E$2:$E$500,MATCH("D3.14f|"&amp;CAPTURA!BH156,CODIFICACION!$F$2:$F$500,0))),"⚠"))</f>
        <v/>
      </c>
      <c r="AD156" t="str">
        <f>IF(CAPTURA!BI156="","",IFERROR(IF(INDEX(CODIFICACION!$E$2:$E$500,MATCH("D3.14g|"&amp;CAPTURA!BI156,CODIFICACION!$F$2:$F$500,0))="sin dato","",INDEX(CODIFICACION!$E$2:$E$500,MATCH("D3.14g|"&amp;CAPTURA!BI156,CODIFICACION!$F$2:$F$500,0))),"⚠"))</f>
        <v/>
      </c>
      <c r="AE156" t="str">
        <f>IF(CAPTURA!BJ156="","",IFERROR(IF(INDEX(CODIFICACION!$E$2:$E$500,MATCH("D3.14h|"&amp;CAPTURA!BJ156,CODIFICACION!$F$2:$F$500,0))="sin dato","",INDEX(CODIFICACION!$E$2:$E$500,MATCH("D3.14h|"&amp;CAPTURA!BJ156,CODIFICACION!$F$2:$F$500,0))),"⚠"))</f>
        <v/>
      </c>
      <c r="AF156" t="str">
        <f>IF(CAPTURA!BK156="","",IFERROR(IF(INDEX(CODIFICACION!$E$2:$E$500,MATCH("D3.14i|"&amp;CAPTURA!BK156,CODIFICACION!$F$2:$F$500,0))="sin dato","",INDEX(CODIFICACION!$E$2:$E$500,MATCH("D3.14i|"&amp;CAPTURA!BK156,CODIFICACION!$F$2:$F$500,0))),"⚠"))</f>
        <v/>
      </c>
      <c r="AG156" t="str">
        <f>IF(CAPTURA!BL156="","",IFERROR(IF(INDEX(CODIFICACION!$E$2:$E$500,MATCH("D4.15|"&amp;CAPTURA!BL156,CODIFICACION!$F$2:$F$500,0))="sin dato","",INDEX(CODIFICACION!$E$2:$E$500,MATCH("D4.15|"&amp;CAPTURA!BL156,CODIFICACION!$F$2:$F$500,0))),"⚠"))</f>
        <v/>
      </c>
      <c r="AH156" t="str">
        <f>IF(CAPTURA!BM156="","",IF(AND(ISNUMBER(CAPTURA!BM156),CAPTURA!BM156&gt;=0,CAPTURA!BM156&lt;=4),CAPTURA!BM156*25,"⚠"))</f>
        <v/>
      </c>
      <c r="AI156" t="str">
        <f>IF(CAPTURA!BN156="","",IFERROR(IF(INDEX(CODIFICACION!$E$2:$E$500,MATCH("D4.17|"&amp;CAPTURA!BN156,CODIFICACION!$F$2:$F$500,0))="sin dato","",INDEX(CODIFICACION!$E$2:$E$500,MATCH("D4.17|"&amp;CAPTURA!BN156,CODIFICACION!$F$2:$F$500,0))),"⚠"))</f>
        <v/>
      </c>
      <c r="AJ156" t="str">
        <f>IF(CAPTURA!BO156="","",IFERROR(IF(INDEX(CODIFICACION!$E$2:$E$500,MATCH("D4.15a|"&amp;CAPTURA!BO156,CODIFICACION!$F$2:$F$500,0))="sin dato","",INDEX(CODIFICACION!$E$2:$E$500,MATCH("D4.15a|"&amp;CAPTURA!BO156,CODIFICACION!$F$2:$F$500,0))),"⚠"))</f>
        <v/>
      </c>
      <c r="AK156" t="str">
        <f>IF(CAPTURA!BP156="","",IF(AND(ISNUMBER(CAPTURA!BP156),CAPTURA!BP156&gt;=0,CAPTURA!BP156&lt;=4),CAPTURA!BP156*25,"⚠"))</f>
        <v/>
      </c>
      <c r="AL156" t="str">
        <f>IF(CAPTURA!BQ156="","",IF(AND(ISNUMBER(CAPTURA!BQ156),CAPTURA!BQ156&gt;=0,CAPTURA!BQ156&lt;=4),CAPTURA!BQ156*25,"⚠"))</f>
        <v/>
      </c>
      <c r="AM156" t="str">
        <f>IF(CAPTURA!BR156="","",IFERROR(IF(INDEX(CODIFICACION!$E$2:$E$500,MATCH("D5.18b|"&amp;CAPTURA!BR156,CODIFICACION!$F$2:$F$500,0))="sin dato","",INDEX(CODIFICACION!$E$2:$E$500,MATCH("D5.18b|"&amp;CAPTURA!BR156,CODIFICACION!$F$2:$F$500,0))),"⚠"))</f>
        <v/>
      </c>
      <c r="AN156" t="str">
        <f>IF(CAPTURA!BS156="","",IFERROR(IF(INDEX(CODIFICACION!$E$2:$E$500,MATCH("D5.19|"&amp;CAPTURA!BS156,CODIFICACION!$F$2:$F$500,0))="sin dato","",INDEX(CODIFICACION!$E$2:$E$500,MATCH("D5.19|"&amp;CAPTURA!BS156,CODIFICACION!$F$2:$F$500,0))),"⚠"))</f>
        <v/>
      </c>
      <c r="AO156" t="str">
        <f>IF(CAPTURA!BT156="","",MIN(100,ROUND((LEN(CAPTURA!BT156)-LEN(SUBSTITUTE(CAPTURA!BT156,";",""))+1)/7*100,1)))</f>
        <v/>
      </c>
      <c r="AP156" t="str">
        <f>IF(CAPTURA!BU156="","",IFERROR(IF(INDEX(CODIFICACION!$E$2:$E$500,MATCH("D5.20|"&amp;CAPTURA!BU156,CODIFICACION!$F$2:$F$500,0))="sin dato","",INDEX(CODIFICACION!$E$2:$E$500,MATCH("D5.20|"&amp;CAPTURA!BU156,CODIFICACION!$F$2:$F$500,0))),"⚠"))</f>
        <v/>
      </c>
      <c r="AQ156" t="str">
        <f>IF(CAPTURA!BV156="","",IFERROR(IF(INDEX(CODIFICACION!$E$2:$E$500,MATCH("D5.21|"&amp;CAPTURA!BV156,CODIFICACION!$F$2:$F$500,0))="sin dato","",INDEX(CODIFICACION!$E$2:$E$500,MATCH("D5.21|"&amp;CAPTURA!BV156,CODIFICACION!$F$2:$F$500,0))),"⚠"))</f>
        <v/>
      </c>
      <c r="AR156" t="str">
        <f>IF(CAPTURA!BW156="","",IFERROR(IF(INDEX(CODIFICACION!$E$2:$E$500,MATCH("D5.21a|"&amp;CAPTURA!BW156,CODIFICACION!$F$2:$F$500,0))="sin dato","",INDEX(CODIFICACION!$E$2:$E$500,MATCH("D5.21a|"&amp;CAPTURA!BW156,CODIFICACION!$F$2:$F$500,0))),"⚠"))</f>
        <v/>
      </c>
      <c r="AS156" t="str">
        <f>IF(CAPTURA!BX156="","",IFERROR(IF(INDEX(CODIFICACION!$E$2:$E$500,MATCH("D5.21b|"&amp;CAPTURA!BX156,CODIFICACION!$F$2:$F$500,0))="sin dato","",INDEX(CODIFICACION!$E$2:$E$500,MATCH("D5.21b|"&amp;CAPTURA!BX156,CODIFICACION!$F$2:$F$500,0))),"⚠"))</f>
        <v/>
      </c>
      <c r="AT156" t="str">
        <f>IF(CAPTURA!BY156="","",IFERROR(IF(INDEX(CODIFICACION!$E$2:$E$500,MATCH("D6.22|"&amp;CAPTURA!BY156,CODIFICACION!$F$2:$F$500,0))="sin dato","",INDEX(CODIFICACION!$E$2:$E$500,MATCH("D6.22|"&amp;CAPTURA!BY156,CODIFICACION!$F$2:$F$500,0))),"⚠"))</f>
        <v/>
      </c>
      <c r="AU156" t="str">
        <f>IF(CAPTURA!BZ156="","",IFERROR(IF(INDEX(CODIFICACION!$E$2:$E$500,MATCH("D6.22a|"&amp;CAPTURA!BZ156,CODIFICACION!$F$2:$F$500,0))="sin dato","",INDEX(CODIFICACION!$E$2:$E$500,MATCH("D6.22a|"&amp;CAPTURA!BZ156,CODIFICACION!$F$2:$F$500,0))),"⚠"))</f>
        <v/>
      </c>
      <c r="AV156" t="str">
        <f>IF(CAPTURA!CA156="","",IFERROR(IF(INDEX(CODIFICACION!$E$2:$E$500,MATCH("D6.22b|"&amp;CAPTURA!CA156,CODIFICACION!$F$2:$F$500,0))="sin dato","",INDEX(CODIFICACION!$E$2:$E$500,MATCH("D6.22b|"&amp;CAPTURA!CA156,CODIFICACION!$F$2:$F$500,0))),"⚠"))</f>
        <v/>
      </c>
      <c r="AW156" t="str">
        <f>IF(CAPTURA!CB156="","",IFERROR(IF(INDEX(CODIFICACION!$E$2:$E$500,MATCH("D6.23|"&amp;CAPTURA!CB156,CODIFICACION!$F$2:$F$500,0))="sin dato","",INDEX(CODIFICACION!$E$2:$E$500,MATCH("D6.23|"&amp;CAPTURA!CB156,CODIFICACION!$F$2:$F$500,0))),"⚠"))</f>
        <v/>
      </c>
      <c r="AX156" t="str">
        <f>IF(CAPTURA!CC156="","",IFERROR(IF(INDEX(CODIFICACION!$E$2:$E$500,MATCH("D6.24|"&amp;CAPTURA!CC156,CODIFICACION!$F$2:$F$500,0))="sin dato","",INDEX(CODIFICACION!$E$2:$E$500,MATCH("D6.24|"&amp;CAPTURA!CC156,CODIFICACION!$F$2:$F$500,0))),"⚠"))</f>
        <v/>
      </c>
      <c r="AY156" t="str">
        <f>IF(CAPTURA!CD156="","",IFERROR(IF(INDEX(CODIFICACION!$E$2:$E$500,MATCH("D6.25|"&amp;CAPTURA!CD156,CODIFICACION!$F$2:$F$500,0))="sin dato","",INDEX(CODIFICACION!$E$2:$E$500,MATCH("D6.25|"&amp;CAPTURA!CD156,CODIFICACION!$F$2:$F$500,0))),"⚠"))</f>
        <v/>
      </c>
      <c r="AZ156" t="str">
        <f>IF(CAPTURA!CE156="","",IFERROR(IF(INDEX(CODIFICACION!$E$2:$E$500,MATCH("D6.25a|"&amp;CAPTURA!CE156,CODIFICACION!$F$2:$F$500,0))="sin dato","",INDEX(CODIFICACION!$E$2:$E$500,MATCH("D6.25a|"&amp;CAPTURA!CE156,CODIFICACION!$F$2:$F$500,0))),"⚠"))</f>
        <v/>
      </c>
      <c r="BA156" t="str">
        <f>IF(CAPTURA!CF156="","",IFERROR(IF(INDEX(CODIFICACION!$E$2:$E$500,MATCH("D6.25b|"&amp;CAPTURA!CF156,CODIFICACION!$F$2:$F$500,0))="sin dato","",INDEX(CODIFICACION!$E$2:$E$500,MATCH("D6.25b|"&amp;CAPTURA!CF156,CODIFICACION!$F$2:$F$500,0))),"⚠"))</f>
        <v/>
      </c>
      <c r="BB156" t="str">
        <f>IF(CAPTURA!CG156="","",IFERROR(IF(INDEX(CODIFICACION!$E$2:$E$500,MATCH("D6.22c|"&amp;CAPTURA!CG156,CODIFICACION!$F$2:$F$500,0))="sin dato","",INDEX(CODIFICACION!$E$2:$E$500,MATCH("D6.22c|"&amp;CAPTURA!CG156,CODIFICACION!$F$2:$F$500,0))),"⚠"))</f>
        <v/>
      </c>
      <c r="BC156" t="str">
        <f>IF(CAPTURA!CH156="","",IFERROR(IF(INDEX(CODIFICACION!$E$2:$E$500,MATCH("D7.26|"&amp;CAPTURA!CH156,CODIFICACION!$F$2:$F$500,0))="sin dato","",INDEX(CODIFICACION!$E$2:$E$500,MATCH("D7.26|"&amp;CAPTURA!CH156,CODIFICACION!$F$2:$F$500,0))),"⚠"))</f>
        <v/>
      </c>
      <c r="BD156" t="str">
        <f>IF(CAPTURA!CI156="","",IFERROR(IF(INDEX(CODIFICACION!$E$2:$E$500,MATCH("D7.27|"&amp;CAPTURA!CI156,CODIFICACION!$F$2:$F$500,0))="sin dato","",INDEX(CODIFICACION!$E$2:$E$500,MATCH("D7.27|"&amp;CAPTURA!CI156,CODIFICACION!$F$2:$F$500,0))),"⚠"))</f>
        <v/>
      </c>
      <c r="BE156" t="str">
        <f>IF(CAPTURA!CJ156="","",IFERROR(IF(INDEX(CODIFICACION!$E$2:$E$500,MATCH("D7.28|"&amp;CAPTURA!CJ156,CODIFICACION!$F$2:$F$500,0))="sin dato","",INDEX(CODIFICACION!$E$2:$E$500,MATCH("D7.28|"&amp;CAPTURA!CJ156,CODIFICACION!$F$2:$F$500,0))),"⚠"))</f>
        <v/>
      </c>
      <c r="BF156" t="str">
        <f>IF(CAPTURA!CK156="","",IFERROR(IF(INDEX(CODIFICACION!$E$2:$E$500,MATCH("D7.28b|"&amp;CAPTURA!CK156,CODIFICACION!$F$2:$F$500,0))="sin dato","",INDEX(CODIFICACION!$E$2:$E$500,MATCH("D7.28b|"&amp;CAPTURA!CK156,CODIFICACION!$F$2:$F$500,0))),"⚠"))</f>
        <v/>
      </c>
      <c r="BG156" t="str">
        <f>IF(CAPTURA!CL156="","",MIN(100,ROUND((LEN(CAPTURA!CL156)-LEN(SUBSTITUTE(CAPTURA!CL156,";",""))+1)/8*100,1)))</f>
        <v/>
      </c>
      <c r="BH156" t="str">
        <f>IF(CAPTURA!CM156="","",IFERROR(IF(INDEX(CODIFICACION!$E$2:$E$500,MATCH("D7.26a|"&amp;CAPTURA!CM156,CODIFICACION!$F$2:$F$500,0))="sin dato","",INDEX(CODIFICACION!$E$2:$E$500,MATCH("D7.26a|"&amp;CAPTURA!CM156,CODIFICACION!$F$2:$F$500,0))),"⚠"))</f>
        <v/>
      </c>
      <c r="BI156" t="str">
        <f>IF(CAPTURA!CN156="","",IFERROR(IF(INDEX(CODIFICACION!$E$2:$E$500,MATCH("D7.26b|"&amp;CAPTURA!CN156,CODIFICACION!$F$2:$F$500,0))="sin dato","",INDEX(CODIFICACION!$E$2:$E$500,MATCH("D7.26b|"&amp;CAPTURA!CN156,CODIFICACION!$F$2:$F$500,0))),"⚠"))</f>
        <v/>
      </c>
      <c r="BJ156" t="str">
        <f>IF(CAPTURA!CO156="","",IF(AND(ISNUMBER(CAPTURA!CO156),CAPTURA!CO156&gt;=0,CAPTURA!CO156&lt;=4),CAPTURA!CO156*25,"⚠"))</f>
        <v/>
      </c>
      <c r="BK156" t="str">
        <f>IF(CAPTURA!CP156="","",IF(ISNUMBER(CAPTURA!CP156),MAX(0,MIN(100,CAPTURA!CP156)),"⚠"))</f>
        <v/>
      </c>
      <c r="BL156" t="str">
        <f>IF(CAPTURA!CQ156="","",IFERROR(IF(INDEX(CODIFICACION!$E$2:$E$500,MATCH("D8.31|"&amp;CAPTURA!CQ156,CODIFICACION!$F$2:$F$500,0))="sin dato","",INDEX(CODIFICACION!$E$2:$E$500,MATCH("D8.31|"&amp;CAPTURA!CQ156,CODIFICACION!$F$2:$F$500,0))),"⚠"))</f>
        <v/>
      </c>
      <c r="BM156" t="str">
        <f>IF(CAPTURA!CR156="","",IFERROR(IF(INDEX(CODIFICACION!$E$2:$E$500,MATCH("D8.32|"&amp;CAPTURA!CR156,CODIFICACION!$F$2:$F$500,0))="sin dato","",INDEX(CODIFICACION!$E$2:$E$500,MATCH("D8.32|"&amp;CAPTURA!CR156,CODIFICACION!$F$2:$F$500,0))),"⚠"))</f>
        <v/>
      </c>
      <c r="BN156" t="str">
        <f>IF(CAPTURA!CS156="","",IFERROR(IF(INDEX(CODIFICACION!$E$2:$E$500,MATCH("D9.33|"&amp;CAPTURA!CS156,CODIFICACION!$F$2:$F$500,0))="sin dato","",INDEX(CODIFICACION!$E$2:$E$500,MATCH("D9.33|"&amp;CAPTURA!CS156,CODIFICACION!$F$2:$F$500,0))),"⚠"))</f>
        <v/>
      </c>
      <c r="BO156" t="str">
        <f>IF(CAPTURA!CT156="","",IFERROR(IF(INDEX(CODIFICACION!$E$2:$E$500,MATCH("D9.34|"&amp;CAPTURA!CT156,CODIFICACION!$F$2:$F$500,0))="sin dato","",INDEX(CODIFICACION!$E$2:$E$500,MATCH("D9.34|"&amp;CAPTURA!CT156,CODIFICACION!$F$2:$F$500,0))),"⚠"))</f>
        <v/>
      </c>
      <c r="BP156" t="str">
        <f>IF(CAPTURA!CU156="","",IFERROR(IF(INDEX(CODIFICACION!$E$2:$E$500,MATCH("D9.35|"&amp;CAPTURA!CU156,CODIFICACION!$F$2:$F$500,0))="sin dato","",INDEX(CODIFICACION!$E$2:$E$500,MATCH("D9.35|"&amp;CAPTURA!CU156,CODIFICACION!$F$2:$F$500,0))),"⚠"))</f>
        <v/>
      </c>
      <c r="BQ156" t="str">
        <f>IF(CAPTURA!CV156="","",IFERROR(IF(INDEX(CODIFICACION!$E$2:$E$500,MATCH("D10.36|"&amp;CAPTURA!CV156,CODIFICACION!$F$2:$F$500,0))="sin dato","",INDEX(CODIFICACION!$E$2:$E$500,MATCH("D10.36|"&amp;CAPTURA!CV156,CODIFICACION!$F$2:$F$500,0))),"⚠"))</f>
        <v/>
      </c>
      <c r="BR156" t="str">
        <f>IF(CAPTURA!CW156="","",IFERROR(IF(INDEX(CODIFICACION!$E$2:$E$500,MATCH("D10.37|"&amp;CAPTURA!CW156,CODIFICACION!$F$2:$F$500,0))="sin dato","",INDEX(CODIFICACION!$E$2:$E$500,MATCH("D10.37|"&amp;CAPTURA!CW156,CODIFICACION!$F$2:$F$500,0))),"⚠"))</f>
        <v/>
      </c>
      <c r="BS156" t="str">
        <f>IF(CAPTURA!CX156="","",IFERROR(IF(INDEX(CODIFICACION!$E$2:$E$500,MATCH("D10.36a|"&amp;CAPTURA!CX156,CODIFICACION!$F$2:$F$500,0))="sin dato","",INDEX(CODIFICACION!$E$2:$E$500,MATCH("D10.36a|"&amp;CAPTURA!CX156,CODIFICACION!$F$2:$F$500,0))),"⚠"))</f>
        <v/>
      </c>
      <c r="BT156" t="str">
        <f>IF(CAPTURA!CY156="","",IF(ISNUMBER(SEARCH("Ninguno",CAPTURA!CY156)),0,MIN(100,ROUND((LEN(CAPTURA!CY156)-LEN(SUBSTITUTE(CAPTURA!CY156,";",""))+1)/6*100,1))))</f>
        <v/>
      </c>
      <c r="BU156" t="str">
        <f>IF(CAPTURA!DA156="","",IFERROR(IF(INDEX(CODIFICACION!$E$2:$E$500,MATCH("D11.39a|"&amp;CAPTURA!DA156,CODIFICACION!$F$2:$F$500,0))="sin dato","",INDEX(CODIFICACION!$E$2:$E$500,MATCH("D11.39a|"&amp;CAPTURA!DA156,CODIFICACION!$F$2:$F$500,0))),"⚠"))</f>
        <v/>
      </c>
      <c r="BV156" t="str">
        <f>IF(CAPTURA!DB156="","",IFERROR(IF(INDEX(CODIFICACION!$E$2:$E$500,MATCH("D12.42|"&amp;CAPTURA!DB156,CODIFICACION!$F$2:$F$500,0))="sin dato","",INDEX(CODIFICACION!$E$2:$E$500,MATCH("D12.42|"&amp;CAPTURA!DB156,CODIFICACION!$F$2:$F$500,0))),"⚠"))</f>
        <v/>
      </c>
      <c r="BW156" t="str">
        <f>IF(CAPTURA!DC156="","",IFERROR(IF(INDEX(CODIFICACION!$E$2:$E$500,MATCH("D13.45|"&amp;CAPTURA!DC156,CODIFICACION!$F$2:$F$500,0))="sin dato","",INDEX(CODIFICACION!$E$2:$E$500,MATCH("D13.45|"&amp;CAPTURA!DC156,CODIFICACION!$F$2:$F$500,0))),"⚠"))</f>
        <v/>
      </c>
      <c r="BX156" t="str">
        <f>IF(CAPTURA!DD156="","",IFERROR(IF(INDEX(CODIFICACION!$E$2:$E$500,MATCH("D14.51|"&amp;CAPTURA!DD156,CODIFICACION!$F$2:$F$500,0))="sin dato","",INDEX(CODIFICACION!$E$2:$E$500,MATCH("D14.51|"&amp;CAPTURA!DD156,CODIFICACION!$F$2:$F$500,0))),"⚠"))</f>
        <v/>
      </c>
      <c r="BY156" t="str">
        <f>IF(CAPTURA!DE156="","",IFERROR(IF(INDEX(CODIFICACION!$E$2:$E$500,MATCH("D15.58|"&amp;CAPTURA!DE156,CODIFICACION!$F$2:$F$500,0))="sin dato","",INDEX(CODIFICACION!$E$2:$E$500,MATCH("D15.58|"&amp;CAPTURA!DE156,CODIFICACION!$F$2:$F$500,0))),"⚠"))</f>
        <v/>
      </c>
      <c r="BZ156" t="str">
        <f>IF(CAPTURA!DF156="","",IFERROR(IF(INDEX(CODIFICACION!$E$2:$E$500,MATCH("PP1|"&amp;CAPTURA!DF156,CODIFICACION!$F$2:$F$500,0))="sin dato","",INDEX(CODIFICACION!$E$2:$E$500,MATCH("PP1|"&amp;CAPTURA!DF156,CODIFICACION!$F$2:$F$500,0))),"⚠"))</f>
        <v/>
      </c>
      <c r="CA156" t="str">
        <f>IF(CAPTURA!DG156="","",IFERROR(IF(INDEX(CODIFICACION!$E$2:$E$500,MATCH("PP2|"&amp;CAPTURA!DG156,CODIFICACION!$F$2:$F$500,0))="sin dato","",INDEX(CODIFICACION!$E$2:$E$500,MATCH("PP2|"&amp;CAPTURA!DG156,CODIFICACION!$F$2:$F$500,0))),"⚠"))</f>
        <v/>
      </c>
      <c r="CB156" t="str">
        <f t="shared" si="44"/>
        <v/>
      </c>
      <c r="CC156" t="str">
        <f t="shared" si="45"/>
        <v/>
      </c>
      <c r="CD156" t="str">
        <f t="shared" si="46"/>
        <v/>
      </c>
      <c r="CE156" t="str">
        <f t="shared" si="47"/>
        <v/>
      </c>
      <c r="CF156" t="str">
        <f t="shared" si="48"/>
        <v/>
      </c>
      <c r="CG156" t="str">
        <f t="shared" si="49"/>
        <v/>
      </c>
      <c r="CH156" t="str">
        <f t="shared" si="50"/>
        <v/>
      </c>
      <c r="CI156" t="str">
        <f t="shared" si="51"/>
        <v/>
      </c>
      <c r="CJ156" t="str">
        <f t="shared" si="52"/>
        <v/>
      </c>
      <c r="CK156" t="str">
        <f t="shared" si="53"/>
        <v/>
      </c>
      <c r="CL156" t="str">
        <f t="shared" si="54"/>
        <v/>
      </c>
    </row>
    <row r="157" spans="1:90" x14ac:dyDescent="0.3">
      <c r="A157">
        <f>CAPTURA!A157</f>
        <v>20606451122</v>
      </c>
      <c r="B157">
        <f>CAPTURA!C157</f>
        <v>0</v>
      </c>
      <c r="C157" t="str">
        <f>IF(CAPTURA!M157="","",ROUND((ISNUMBER(SEARCH("Alemania",CAPTURA!M157))+ISNUMBER(SEARCH("Bélgica",CAPTURA!M157))+ISNUMBER(SEARCH("Países Bajos",CAPTURA!M157))+ISNUMBER(SEARCH("Francia",CAPTURA!M157))+ISNUMBER(SEARCH("Italia",CAPTURA!M157))+ISNUMBER(SEARCH("España",CAPTURA!M157))+ISNUMBER(SEARCH("Suecia",CAPTURA!M157))+ISNUMBER(SEARCH("Dinamarca",CAPTURA!M157)))/((LEN(CAPTURA!M157)-LEN(SUBSTITUTE(CAPTURA!M157,";","")))+1)*100,1))</f>
        <v/>
      </c>
      <c r="D157" t="str">
        <f>IF(CAPTURA!AE157="","",IFERROR(IF(INDEX(CODIFICACION!$E$2:$E$500,MATCH("P8|"&amp;CAPTURA!AE157,CODIFICACION!$F$2:$F$500,0))="sin dato","",INDEX(CODIFICACION!$E$2:$E$500,MATCH("P8|"&amp;CAPTURA!AE157,CODIFICACION!$F$2:$F$500,0))),"⚠"))</f>
        <v/>
      </c>
      <c r="E157" t="str">
        <f>IF(CAPTURA!AG157="","",IFERROR(IF(INDEX(CODIFICACION!$E$2:$E$500,MATCH("P10|"&amp;CAPTURA!AG157,CODIFICACION!$F$2:$F$500,0))="sin dato","",INDEX(CODIFICACION!$E$2:$E$500,MATCH("P10|"&amp;CAPTURA!AG157,CODIFICACION!$F$2:$F$500,0))),"⚠"))</f>
        <v/>
      </c>
      <c r="F157" t="str">
        <f>IF(CAPTURA!AJ157="","",IFERROR(IF(INDEX(CODIFICACION!$E$2:$E$500,MATCH("P13|"&amp;CAPTURA!AJ157,CODIFICACION!$F$2:$F$500,0))="sin dato","",INDEX(CODIFICACION!$E$2:$E$500,MATCH("P13|"&amp;CAPTURA!AJ157,CODIFICACION!$F$2:$F$500,0))),"⚠"))</f>
        <v/>
      </c>
      <c r="G157" t="str">
        <f>IF(CAPTURA!AK157="","",IFERROR(IF(INDEX(CODIFICACION!$E$2:$E$500,MATCH("P14|"&amp;CAPTURA!AK157,CODIFICACION!$F$2:$F$500,0))="sin dato","",INDEX(CODIFICACION!$E$2:$E$500,MATCH("P14|"&amp;CAPTURA!AK157,CODIFICACION!$F$2:$F$500,0))),"⚠"))</f>
        <v/>
      </c>
      <c r="H157" t="str">
        <f>IF(CAPTURA!AL157="","",IFERROR(IF(INDEX(CODIFICACION!$E$2:$E$500,MATCH("D1.1|"&amp;CAPTURA!AL157,CODIFICACION!$F$2:$F$500,0))="sin dato","",INDEX(CODIFICACION!$E$2:$E$500,MATCH("D1.1|"&amp;CAPTURA!AL157,CODIFICACION!$F$2:$F$500,0))),"⚠"))</f>
        <v/>
      </c>
      <c r="I157" t="str">
        <f>IF(CAPTURA!AN157="","",IFERROR(IF(INDEX(CODIFICACION!$E$2:$E$500,MATCH("D1.3|"&amp;CAPTURA!AN157,CODIFICACION!$F$2:$F$500,0))="sin dato","",INDEX(CODIFICACION!$E$2:$E$500,MATCH("D1.3|"&amp;CAPTURA!AN157,CODIFICACION!$F$2:$F$500,0))),"⚠"))</f>
        <v/>
      </c>
      <c r="J157" t="str">
        <f>IF(CAPTURA!AO157="","",IFERROR(IF(INDEX(CODIFICACION!$E$2:$E$500,MATCH("D1.4|"&amp;CAPTURA!AO157,CODIFICACION!$F$2:$F$500,0))="sin dato","",INDEX(CODIFICACION!$E$2:$E$500,MATCH("D1.4|"&amp;CAPTURA!AO157,CODIFICACION!$F$2:$F$500,0))),"⚠"))</f>
        <v/>
      </c>
      <c r="K157" t="str">
        <f>IF(CAPTURA!AP157="","",IFERROR(IF(INDEX(CODIFICACION!$E$2:$E$500,MATCH("D1.3a|"&amp;CAPTURA!AP157,CODIFICACION!$F$2:$F$500,0))="sin dato","",INDEX(CODIFICACION!$E$2:$E$500,MATCH("D1.3a|"&amp;CAPTURA!AP157,CODIFICACION!$F$2:$F$500,0))),"⚠"))</f>
        <v/>
      </c>
      <c r="L157" t="str">
        <f>IF(CAPTURA!AQ157="","",IF(AND(ISNUMBER(CAPTURA!AQ157),CAPTURA!AQ157&gt;=0,CAPTURA!AQ157&lt;=4),CAPTURA!AQ157*25,"⚠"))</f>
        <v/>
      </c>
      <c r="M157" t="str">
        <f>IF(CAPTURA!AR157="","",IF(ISNUMBER(CAPTURA!AR157),MAX(0,MIN(100,CAPTURA!AR157)),"⚠"))</f>
        <v/>
      </c>
      <c r="N157" t="str">
        <f>IF(CAPTURA!AS157="","",IF(AND(ISNUMBER(CAPTURA!AS157),CAPTURA!AS157&gt;=0,CAPTURA!AS157&lt;=4),CAPTURA!AS157*25,"⚠"))</f>
        <v/>
      </c>
      <c r="O157" t="str">
        <f>IF(CAPTURA!AT157="","",IFERROR(IF(INDEX(CODIFICACION!$E$2:$E$500,MATCH("D2.8|"&amp;CAPTURA!AT157,CODIFICACION!$F$2:$F$500,0))="sin dato","",INDEX(CODIFICACION!$E$2:$E$500,MATCH("D2.8|"&amp;CAPTURA!AT157,CODIFICACION!$F$2:$F$500,0))),"⚠"))</f>
        <v/>
      </c>
      <c r="P157" t="str">
        <f>IF(CAPTURA!AU157="","",IFERROR(IF(INDEX(CODIFICACION!$E$2:$E$500,MATCH("D2.9|"&amp;CAPTURA!AU157,CODIFICACION!$F$2:$F$500,0))="sin dato","",INDEX(CODIFICACION!$E$2:$E$500,MATCH("D2.9|"&amp;CAPTURA!AU157,CODIFICACION!$F$2:$F$500,0))),"⚠"))</f>
        <v/>
      </c>
      <c r="Q157" t="str">
        <f>IF(CAPTURA!AV157="","",IFERROR(IF(INDEX(CODIFICACION!$E$2:$E$500,MATCH("D2.10|"&amp;CAPTURA!AV157,CODIFICACION!$F$2:$F$500,0))="sin dato","",INDEX(CODIFICACION!$E$2:$E$500,MATCH("D2.10|"&amp;CAPTURA!AV157,CODIFICACION!$F$2:$F$500,0))),"⚠"))</f>
        <v/>
      </c>
      <c r="R157" t="str">
        <f>IF(CAPTURA!AW157="","",IFERROR(IF(INDEX(CODIFICACION!$E$2:$E$500,MATCH("D2.5a|"&amp;CAPTURA!AW157,CODIFICACION!$F$2:$F$500,0))="sin dato","",INDEX(CODIFICACION!$E$2:$E$500,MATCH("D2.5a|"&amp;CAPTURA!AW157,CODIFICACION!$F$2:$F$500,0))),"⚠"))</f>
        <v/>
      </c>
      <c r="S157" t="str">
        <f>IF(CAPTURA!AX157="","",IFERROR(IF(INDEX(CODIFICACION!$E$2:$E$500,MATCH("D2.5b|"&amp;CAPTURA!AX157,CODIFICACION!$F$2:$F$500,0))="sin dato","",INDEX(CODIFICACION!$E$2:$E$500,MATCH("D2.5b|"&amp;CAPTURA!AX157,CODIFICACION!$F$2:$F$500,0))),"⚠"))</f>
        <v/>
      </c>
      <c r="T157" t="str">
        <f>IF(CAPTURA!AY157="","",IF(ISNUMBER(CAPTURA!AY157),MAX(0,MIN(100,CAPTURA!AY157)),"⚠"))</f>
        <v/>
      </c>
      <c r="U157" t="str">
        <f>IF(CAPTURA!AZ157="","",IFERROR(IF(INDEX(CODIFICACION!$E$2:$E$500,MATCH("D3.12|"&amp;CAPTURA!AZ157,CODIFICACION!$F$2:$F$500,0))="sin dato","",INDEX(CODIFICACION!$E$2:$E$500,MATCH("D3.12|"&amp;CAPTURA!AZ157,CODIFICACION!$F$2:$F$500,0))),"⚠"))</f>
        <v/>
      </c>
      <c r="V157" t="str">
        <f>IF(CAPTURA!BA157="","",IF(AND(ISNUMBER(CAPTURA!BA157),CAPTURA!BA157&gt;=0,CAPTURA!BA157&lt;=4),CAPTURA!BA157*25,"⚠"))</f>
        <v/>
      </c>
      <c r="W157" t="str">
        <f>IF(CAPTURA!BB157="","",IFERROR(IF(INDEX(CODIFICACION!$E$2:$E$500,MATCH("D3.14|"&amp;CAPTURA!BB157,CODIFICACION!$F$2:$F$500,0))="sin dato","",INDEX(CODIFICACION!$E$2:$E$500,MATCH("D3.14|"&amp;CAPTURA!BB157,CODIFICACION!$F$2:$F$500,0))),"⚠"))</f>
        <v/>
      </c>
      <c r="X157" t="str">
        <f>IF(CAPTURA!BC157="","",IFERROR(IF(INDEX(CODIFICACION!$E$2:$E$500,MATCH("D3.14a|"&amp;CAPTURA!BC157,CODIFICACION!$F$2:$F$500,0))="sin dato","",INDEX(CODIFICACION!$E$2:$E$500,MATCH("D3.14a|"&amp;CAPTURA!BC157,CODIFICACION!$F$2:$F$500,0))),"⚠"))</f>
        <v/>
      </c>
      <c r="Y157" t="str">
        <f>IF(CAPTURA!BD157="","",IFERROR(IF(INDEX(CODIFICACION!$E$2:$E$500,MATCH("D3.14b|"&amp;CAPTURA!BD157,CODIFICACION!$F$2:$F$500,0))="sin dato","",INDEX(CODIFICACION!$E$2:$E$500,MATCH("D3.14b|"&amp;CAPTURA!BD157,CODIFICACION!$F$2:$F$500,0))),"⚠"))</f>
        <v/>
      </c>
      <c r="Z157" t="str">
        <f>IF(CAPTURA!BE157="","",IFERROR(IF(INDEX(CODIFICACION!$E$2:$E$500,MATCH("D3.14c|"&amp;CAPTURA!BE157,CODIFICACION!$F$2:$F$500,0))="sin dato","",INDEX(CODIFICACION!$E$2:$E$500,MATCH("D3.14c|"&amp;CAPTURA!BE157,CODIFICACION!$F$2:$F$500,0))),"⚠"))</f>
        <v/>
      </c>
      <c r="AA157" t="str">
        <f>IF(CAPTURA!BF157="","",IFERROR(IF(INDEX(CODIFICACION!$E$2:$E$500,MATCH("D3.14d|"&amp;CAPTURA!BF157,CODIFICACION!$F$2:$F$500,0))="sin dato","",INDEX(CODIFICACION!$E$2:$E$500,MATCH("D3.14d|"&amp;CAPTURA!BF157,CODIFICACION!$F$2:$F$500,0))),"⚠"))</f>
        <v/>
      </c>
      <c r="AB157" t="str">
        <f>IF(CAPTURA!BG157="","",IFERROR(IF(INDEX(CODIFICACION!$E$2:$E$500,MATCH("D3.14e|"&amp;CAPTURA!BG157,CODIFICACION!$F$2:$F$500,0))="sin dato","",INDEX(CODIFICACION!$E$2:$E$500,MATCH("D3.14e|"&amp;CAPTURA!BG157,CODIFICACION!$F$2:$F$500,0))),"⚠"))</f>
        <v/>
      </c>
      <c r="AC157" t="str">
        <f>IF(CAPTURA!BH157="","",IFERROR(IF(INDEX(CODIFICACION!$E$2:$E$500,MATCH("D3.14f|"&amp;CAPTURA!BH157,CODIFICACION!$F$2:$F$500,0))="sin dato","",INDEX(CODIFICACION!$E$2:$E$500,MATCH("D3.14f|"&amp;CAPTURA!BH157,CODIFICACION!$F$2:$F$500,0))),"⚠"))</f>
        <v/>
      </c>
      <c r="AD157" t="str">
        <f>IF(CAPTURA!BI157="","",IFERROR(IF(INDEX(CODIFICACION!$E$2:$E$500,MATCH("D3.14g|"&amp;CAPTURA!BI157,CODIFICACION!$F$2:$F$500,0))="sin dato","",INDEX(CODIFICACION!$E$2:$E$500,MATCH("D3.14g|"&amp;CAPTURA!BI157,CODIFICACION!$F$2:$F$500,0))),"⚠"))</f>
        <v/>
      </c>
      <c r="AE157" t="str">
        <f>IF(CAPTURA!BJ157="","",IFERROR(IF(INDEX(CODIFICACION!$E$2:$E$500,MATCH("D3.14h|"&amp;CAPTURA!BJ157,CODIFICACION!$F$2:$F$500,0))="sin dato","",INDEX(CODIFICACION!$E$2:$E$500,MATCH("D3.14h|"&amp;CAPTURA!BJ157,CODIFICACION!$F$2:$F$500,0))),"⚠"))</f>
        <v/>
      </c>
      <c r="AF157" t="str">
        <f>IF(CAPTURA!BK157="","",IFERROR(IF(INDEX(CODIFICACION!$E$2:$E$500,MATCH("D3.14i|"&amp;CAPTURA!BK157,CODIFICACION!$F$2:$F$500,0))="sin dato","",INDEX(CODIFICACION!$E$2:$E$500,MATCH("D3.14i|"&amp;CAPTURA!BK157,CODIFICACION!$F$2:$F$500,0))),"⚠"))</f>
        <v/>
      </c>
      <c r="AG157" t="str">
        <f>IF(CAPTURA!BL157="","",IFERROR(IF(INDEX(CODIFICACION!$E$2:$E$500,MATCH("D4.15|"&amp;CAPTURA!BL157,CODIFICACION!$F$2:$F$500,0))="sin dato","",INDEX(CODIFICACION!$E$2:$E$500,MATCH("D4.15|"&amp;CAPTURA!BL157,CODIFICACION!$F$2:$F$500,0))),"⚠"))</f>
        <v/>
      </c>
      <c r="AH157" t="str">
        <f>IF(CAPTURA!BM157="","",IF(AND(ISNUMBER(CAPTURA!BM157),CAPTURA!BM157&gt;=0,CAPTURA!BM157&lt;=4),CAPTURA!BM157*25,"⚠"))</f>
        <v/>
      </c>
      <c r="AI157" t="str">
        <f>IF(CAPTURA!BN157="","",IFERROR(IF(INDEX(CODIFICACION!$E$2:$E$500,MATCH("D4.17|"&amp;CAPTURA!BN157,CODIFICACION!$F$2:$F$500,0))="sin dato","",INDEX(CODIFICACION!$E$2:$E$500,MATCH("D4.17|"&amp;CAPTURA!BN157,CODIFICACION!$F$2:$F$500,0))),"⚠"))</f>
        <v/>
      </c>
      <c r="AJ157" t="str">
        <f>IF(CAPTURA!BO157="","",IFERROR(IF(INDEX(CODIFICACION!$E$2:$E$500,MATCH("D4.15a|"&amp;CAPTURA!BO157,CODIFICACION!$F$2:$F$500,0))="sin dato","",INDEX(CODIFICACION!$E$2:$E$500,MATCH("D4.15a|"&amp;CAPTURA!BO157,CODIFICACION!$F$2:$F$500,0))),"⚠"))</f>
        <v/>
      </c>
      <c r="AK157" t="str">
        <f>IF(CAPTURA!BP157="","",IF(AND(ISNUMBER(CAPTURA!BP157),CAPTURA!BP157&gt;=0,CAPTURA!BP157&lt;=4),CAPTURA!BP157*25,"⚠"))</f>
        <v/>
      </c>
      <c r="AL157" t="str">
        <f>IF(CAPTURA!BQ157="","",IF(AND(ISNUMBER(CAPTURA!BQ157),CAPTURA!BQ157&gt;=0,CAPTURA!BQ157&lt;=4),CAPTURA!BQ157*25,"⚠"))</f>
        <v/>
      </c>
      <c r="AM157" t="str">
        <f>IF(CAPTURA!BR157="","",IFERROR(IF(INDEX(CODIFICACION!$E$2:$E$500,MATCH("D5.18b|"&amp;CAPTURA!BR157,CODIFICACION!$F$2:$F$500,0))="sin dato","",INDEX(CODIFICACION!$E$2:$E$500,MATCH("D5.18b|"&amp;CAPTURA!BR157,CODIFICACION!$F$2:$F$500,0))),"⚠"))</f>
        <v/>
      </c>
      <c r="AN157" t="str">
        <f>IF(CAPTURA!BS157="","",IFERROR(IF(INDEX(CODIFICACION!$E$2:$E$500,MATCH("D5.19|"&amp;CAPTURA!BS157,CODIFICACION!$F$2:$F$500,0))="sin dato","",INDEX(CODIFICACION!$E$2:$E$500,MATCH("D5.19|"&amp;CAPTURA!BS157,CODIFICACION!$F$2:$F$500,0))),"⚠"))</f>
        <v/>
      </c>
      <c r="AO157" t="str">
        <f>IF(CAPTURA!BT157="","",MIN(100,ROUND((LEN(CAPTURA!BT157)-LEN(SUBSTITUTE(CAPTURA!BT157,";",""))+1)/7*100,1)))</f>
        <v/>
      </c>
      <c r="AP157" t="str">
        <f>IF(CAPTURA!BU157="","",IFERROR(IF(INDEX(CODIFICACION!$E$2:$E$500,MATCH("D5.20|"&amp;CAPTURA!BU157,CODIFICACION!$F$2:$F$500,0))="sin dato","",INDEX(CODIFICACION!$E$2:$E$500,MATCH("D5.20|"&amp;CAPTURA!BU157,CODIFICACION!$F$2:$F$500,0))),"⚠"))</f>
        <v/>
      </c>
      <c r="AQ157" t="str">
        <f>IF(CAPTURA!BV157="","",IFERROR(IF(INDEX(CODIFICACION!$E$2:$E$500,MATCH("D5.21|"&amp;CAPTURA!BV157,CODIFICACION!$F$2:$F$500,0))="sin dato","",INDEX(CODIFICACION!$E$2:$E$500,MATCH("D5.21|"&amp;CAPTURA!BV157,CODIFICACION!$F$2:$F$500,0))),"⚠"))</f>
        <v/>
      </c>
      <c r="AR157" t="str">
        <f>IF(CAPTURA!BW157="","",IFERROR(IF(INDEX(CODIFICACION!$E$2:$E$500,MATCH("D5.21a|"&amp;CAPTURA!BW157,CODIFICACION!$F$2:$F$500,0))="sin dato","",INDEX(CODIFICACION!$E$2:$E$500,MATCH("D5.21a|"&amp;CAPTURA!BW157,CODIFICACION!$F$2:$F$500,0))),"⚠"))</f>
        <v/>
      </c>
      <c r="AS157" t="str">
        <f>IF(CAPTURA!BX157="","",IFERROR(IF(INDEX(CODIFICACION!$E$2:$E$500,MATCH("D5.21b|"&amp;CAPTURA!BX157,CODIFICACION!$F$2:$F$500,0))="sin dato","",INDEX(CODIFICACION!$E$2:$E$500,MATCH("D5.21b|"&amp;CAPTURA!BX157,CODIFICACION!$F$2:$F$500,0))),"⚠"))</f>
        <v/>
      </c>
      <c r="AT157" t="str">
        <f>IF(CAPTURA!BY157="","",IFERROR(IF(INDEX(CODIFICACION!$E$2:$E$500,MATCH("D6.22|"&amp;CAPTURA!BY157,CODIFICACION!$F$2:$F$500,0))="sin dato","",INDEX(CODIFICACION!$E$2:$E$500,MATCH("D6.22|"&amp;CAPTURA!BY157,CODIFICACION!$F$2:$F$500,0))),"⚠"))</f>
        <v/>
      </c>
      <c r="AU157" t="str">
        <f>IF(CAPTURA!BZ157="","",IFERROR(IF(INDEX(CODIFICACION!$E$2:$E$500,MATCH("D6.22a|"&amp;CAPTURA!BZ157,CODIFICACION!$F$2:$F$500,0))="sin dato","",INDEX(CODIFICACION!$E$2:$E$500,MATCH("D6.22a|"&amp;CAPTURA!BZ157,CODIFICACION!$F$2:$F$500,0))),"⚠"))</f>
        <v/>
      </c>
      <c r="AV157" t="str">
        <f>IF(CAPTURA!CA157="","",IFERROR(IF(INDEX(CODIFICACION!$E$2:$E$500,MATCH("D6.22b|"&amp;CAPTURA!CA157,CODIFICACION!$F$2:$F$500,0))="sin dato","",INDEX(CODIFICACION!$E$2:$E$500,MATCH("D6.22b|"&amp;CAPTURA!CA157,CODIFICACION!$F$2:$F$500,0))),"⚠"))</f>
        <v/>
      </c>
      <c r="AW157" t="str">
        <f>IF(CAPTURA!CB157="","",IFERROR(IF(INDEX(CODIFICACION!$E$2:$E$500,MATCH("D6.23|"&amp;CAPTURA!CB157,CODIFICACION!$F$2:$F$500,0))="sin dato","",INDEX(CODIFICACION!$E$2:$E$500,MATCH("D6.23|"&amp;CAPTURA!CB157,CODIFICACION!$F$2:$F$500,0))),"⚠"))</f>
        <v/>
      </c>
      <c r="AX157" t="str">
        <f>IF(CAPTURA!CC157="","",IFERROR(IF(INDEX(CODIFICACION!$E$2:$E$500,MATCH("D6.24|"&amp;CAPTURA!CC157,CODIFICACION!$F$2:$F$500,0))="sin dato","",INDEX(CODIFICACION!$E$2:$E$500,MATCH("D6.24|"&amp;CAPTURA!CC157,CODIFICACION!$F$2:$F$500,0))),"⚠"))</f>
        <v/>
      </c>
      <c r="AY157" t="str">
        <f>IF(CAPTURA!CD157="","",IFERROR(IF(INDEX(CODIFICACION!$E$2:$E$500,MATCH("D6.25|"&amp;CAPTURA!CD157,CODIFICACION!$F$2:$F$500,0))="sin dato","",INDEX(CODIFICACION!$E$2:$E$500,MATCH("D6.25|"&amp;CAPTURA!CD157,CODIFICACION!$F$2:$F$500,0))),"⚠"))</f>
        <v/>
      </c>
      <c r="AZ157" t="str">
        <f>IF(CAPTURA!CE157="","",IFERROR(IF(INDEX(CODIFICACION!$E$2:$E$500,MATCH("D6.25a|"&amp;CAPTURA!CE157,CODIFICACION!$F$2:$F$500,0))="sin dato","",INDEX(CODIFICACION!$E$2:$E$500,MATCH("D6.25a|"&amp;CAPTURA!CE157,CODIFICACION!$F$2:$F$500,0))),"⚠"))</f>
        <v/>
      </c>
      <c r="BA157" t="str">
        <f>IF(CAPTURA!CF157="","",IFERROR(IF(INDEX(CODIFICACION!$E$2:$E$500,MATCH("D6.25b|"&amp;CAPTURA!CF157,CODIFICACION!$F$2:$F$500,0))="sin dato","",INDEX(CODIFICACION!$E$2:$E$500,MATCH("D6.25b|"&amp;CAPTURA!CF157,CODIFICACION!$F$2:$F$500,0))),"⚠"))</f>
        <v/>
      </c>
      <c r="BB157" t="str">
        <f>IF(CAPTURA!CG157="","",IFERROR(IF(INDEX(CODIFICACION!$E$2:$E$500,MATCH("D6.22c|"&amp;CAPTURA!CG157,CODIFICACION!$F$2:$F$500,0))="sin dato","",INDEX(CODIFICACION!$E$2:$E$500,MATCH("D6.22c|"&amp;CAPTURA!CG157,CODIFICACION!$F$2:$F$500,0))),"⚠"))</f>
        <v/>
      </c>
      <c r="BC157" t="str">
        <f>IF(CAPTURA!CH157="","",IFERROR(IF(INDEX(CODIFICACION!$E$2:$E$500,MATCH("D7.26|"&amp;CAPTURA!CH157,CODIFICACION!$F$2:$F$500,0))="sin dato","",INDEX(CODIFICACION!$E$2:$E$500,MATCH("D7.26|"&amp;CAPTURA!CH157,CODIFICACION!$F$2:$F$500,0))),"⚠"))</f>
        <v/>
      </c>
      <c r="BD157" t="str">
        <f>IF(CAPTURA!CI157="","",IFERROR(IF(INDEX(CODIFICACION!$E$2:$E$500,MATCH("D7.27|"&amp;CAPTURA!CI157,CODIFICACION!$F$2:$F$500,0))="sin dato","",INDEX(CODIFICACION!$E$2:$E$500,MATCH("D7.27|"&amp;CAPTURA!CI157,CODIFICACION!$F$2:$F$500,0))),"⚠"))</f>
        <v/>
      </c>
      <c r="BE157" t="str">
        <f>IF(CAPTURA!CJ157="","",IFERROR(IF(INDEX(CODIFICACION!$E$2:$E$500,MATCH("D7.28|"&amp;CAPTURA!CJ157,CODIFICACION!$F$2:$F$500,0))="sin dato","",INDEX(CODIFICACION!$E$2:$E$500,MATCH("D7.28|"&amp;CAPTURA!CJ157,CODIFICACION!$F$2:$F$500,0))),"⚠"))</f>
        <v/>
      </c>
      <c r="BF157" t="str">
        <f>IF(CAPTURA!CK157="","",IFERROR(IF(INDEX(CODIFICACION!$E$2:$E$500,MATCH("D7.28b|"&amp;CAPTURA!CK157,CODIFICACION!$F$2:$F$500,0))="sin dato","",INDEX(CODIFICACION!$E$2:$E$500,MATCH("D7.28b|"&amp;CAPTURA!CK157,CODIFICACION!$F$2:$F$500,0))),"⚠"))</f>
        <v/>
      </c>
      <c r="BG157" t="str">
        <f>IF(CAPTURA!CL157="","",MIN(100,ROUND((LEN(CAPTURA!CL157)-LEN(SUBSTITUTE(CAPTURA!CL157,";",""))+1)/8*100,1)))</f>
        <v/>
      </c>
      <c r="BH157" t="str">
        <f>IF(CAPTURA!CM157="","",IFERROR(IF(INDEX(CODIFICACION!$E$2:$E$500,MATCH("D7.26a|"&amp;CAPTURA!CM157,CODIFICACION!$F$2:$F$500,0))="sin dato","",INDEX(CODIFICACION!$E$2:$E$500,MATCH("D7.26a|"&amp;CAPTURA!CM157,CODIFICACION!$F$2:$F$500,0))),"⚠"))</f>
        <v/>
      </c>
      <c r="BI157" t="str">
        <f>IF(CAPTURA!CN157="","",IFERROR(IF(INDEX(CODIFICACION!$E$2:$E$500,MATCH("D7.26b|"&amp;CAPTURA!CN157,CODIFICACION!$F$2:$F$500,0))="sin dato","",INDEX(CODIFICACION!$E$2:$E$500,MATCH("D7.26b|"&amp;CAPTURA!CN157,CODIFICACION!$F$2:$F$500,0))),"⚠"))</f>
        <v/>
      </c>
      <c r="BJ157" t="str">
        <f>IF(CAPTURA!CO157="","",IF(AND(ISNUMBER(CAPTURA!CO157),CAPTURA!CO157&gt;=0,CAPTURA!CO157&lt;=4),CAPTURA!CO157*25,"⚠"))</f>
        <v/>
      </c>
      <c r="BK157" t="str">
        <f>IF(CAPTURA!CP157="","",IF(ISNUMBER(CAPTURA!CP157),MAX(0,MIN(100,CAPTURA!CP157)),"⚠"))</f>
        <v/>
      </c>
      <c r="BL157" t="str">
        <f>IF(CAPTURA!CQ157="","",IFERROR(IF(INDEX(CODIFICACION!$E$2:$E$500,MATCH("D8.31|"&amp;CAPTURA!CQ157,CODIFICACION!$F$2:$F$500,0))="sin dato","",INDEX(CODIFICACION!$E$2:$E$500,MATCH("D8.31|"&amp;CAPTURA!CQ157,CODIFICACION!$F$2:$F$500,0))),"⚠"))</f>
        <v/>
      </c>
      <c r="BM157" t="str">
        <f>IF(CAPTURA!CR157="","",IFERROR(IF(INDEX(CODIFICACION!$E$2:$E$500,MATCH("D8.32|"&amp;CAPTURA!CR157,CODIFICACION!$F$2:$F$500,0))="sin dato","",INDEX(CODIFICACION!$E$2:$E$500,MATCH("D8.32|"&amp;CAPTURA!CR157,CODIFICACION!$F$2:$F$500,0))),"⚠"))</f>
        <v/>
      </c>
      <c r="BN157" t="str">
        <f>IF(CAPTURA!CS157="","",IFERROR(IF(INDEX(CODIFICACION!$E$2:$E$500,MATCH("D9.33|"&amp;CAPTURA!CS157,CODIFICACION!$F$2:$F$500,0))="sin dato","",INDEX(CODIFICACION!$E$2:$E$500,MATCH("D9.33|"&amp;CAPTURA!CS157,CODIFICACION!$F$2:$F$500,0))),"⚠"))</f>
        <v/>
      </c>
      <c r="BO157" t="str">
        <f>IF(CAPTURA!CT157="","",IFERROR(IF(INDEX(CODIFICACION!$E$2:$E$500,MATCH("D9.34|"&amp;CAPTURA!CT157,CODIFICACION!$F$2:$F$500,0))="sin dato","",INDEX(CODIFICACION!$E$2:$E$500,MATCH("D9.34|"&amp;CAPTURA!CT157,CODIFICACION!$F$2:$F$500,0))),"⚠"))</f>
        <v/>
      </c>
      <c r="BP157" t="str">
        <f>IF(CAPTURA!CU157="","",IFERROR(IF(INDEX(CODIFICACION!$E$2:$E$500,MATCH("D9.35|"&amp;CAPTURA!CU157,CODIFICACION!$F$2:$F$500,0))="sin dato","",INDEX(CODIFICACION!$E$2:$E$500,MATCH("D9.35|"&amp;CAPTURA!CU157,CODIFICACION!$F$2:$F$500,0))),"⚠"))</f>
        <v/>
      </c>
      <c r="BQ157" t="str">
        <f>IF(CAPTURA!CV157="","",IFERROR(IF(INDEX(CODIFICACION!$E$2:$E$500,MATCH("D10.36|"&amp;CAPTURA!CV157,CODIFICACION!$F$2:$F$500,0))="sin dato","",INDEX(CODIFICACION!$E$2:$E$500,MATCH("D10.36|"&amp;CAPTURA!CV157,CODIFICACION!$F$2:$F$500,0))),"⚠"))</f>
        <v/>
      </c>
      <c r="BR157" t="str">
        <f>IF(CAPTURA!CW157="","",IFERROR(IF(INDEX(CODIFICACION!$E$2:$E$500,MATCH("D10.37|"&amp;CAPTURA!CW157,CODIFICACION!$F$2:$F$500,0))="sin dato","",INDEX(CODIFICACION!$E$2:$E$500,MATCH("D10.37|"&amp;CAPTURA!CW157,CODIFICACION!$F$2:$F$500,0))),"⚠"))</f>
        <v/>
      </c>
      <c r="BS157" t="str">
        <f>IF(CAPTURA!CX157="","",IFERROR(IF(INDEX(CODIFICACION!$E$2:$E$500,MATCH("D10.36a|"&amp;CAPTURA!CX157,CODIFICACION!$F$2:$F$500,0))="sin dato","",INDEX(CODIFICACION!$E$2:$E$500,MATCH("D10.36a|"&amp;CAPTURA!CX157,CODIFICACION!$F$2:$F$500,0))),"⚠"))</f>
        <v/>
      </c>
      <c r="BT157" t="str">
        <f>IF(CAPTURA!CY157="","",IF(ISNUMBER(SEARCH("Ninguno",CAPTURA!CY157)),0,MIN(100,ROUND((LEN(CAPTURA!CY157)-LEN(SUBSTITUTE(CAPTURA!CY157,";",""))+1)/6*100,1))))</f>
        <v/>
      </c>
      <c r="BU157" t="str">
        <f>IF(CAPTURA!DA157="","",IFERROR(IF(INDEX(CODIFICACION!$E$2:$E$500,MATCH("D11.39a|"&amp;CAPTURA!DA157,CODIFICACION!$F$2:$F$500,0))="sin dato","",INDEX(CODIFICACION!$E$2:$E$500,MATCH("D11.39a|"&amp;CAPTURA!DA157,CODIFICACION!$F$2:$F$500,0))),"⚠"))</f>
        <v/>
      </c>
      <c r="BV157" t="str">
        <f>IF(CAPTURA!DB157="","",IFERROR(IF(INDEX(CODIFICACION!$E$2:$E$500,MATCH("D12.42|"&amp;CAPTURA!DB157,CODIFICACION!$F$2:$F$500,0))="sin dato","",INDEX(CODIFICACION!$E$2:$E$500,MATCH("D12.42|"&amp;CAPTURA!DB157,CODIFICACION!$F$2:$F$500,0))),"⚠"))</f>
        <v/>
      </c>
      <c r="BW157" t="str">
        <f>IF(CAPTURA!DC157="","",IFERROR(IF(INDEX(CODIFICACION!$E$2:$E$500,MATCH("D13.45|"&amp;CAPTURA!DC157,CODIFICACION!$F$2:$F$500,0))="sin dato","",INDEX(CODIFICACION!$E$2:$E$500,MATCH("D13.45|"&amp;CAPTURA!DC157,CODIFICACION!$F$2:$F$500,0))),"⚠"))</f>
        <v/>
      </c>
      <c r="BX157" t="str">
        <f>IF(CAPTURA!DD157="","",IFERROR(IF(INDEX(CODIFICACION!$E$2:$E$500,MATCH("D14.51|"&amp;CAPTURA!DD157,CODIFICACION!$F$2:$F$500,0))="sin dato","",INDEX(CODIFICACION!$E$2:$E$500,MATCH("D14.51|"&amp;CAPTURA!DD157,CODIFICACION!$F$2:$F$500,0))),"⚠"))</f>
        <v/>
      </c>
      <c r="BY157" t="str">
        <f>IF(CAPTURA!DE157="","",IFERROR(IF(INDEX(CODIFICACION!$E$2:$E$500,MATCH("D15.58|"&amp;CAPTURA!DE157,CODIFICACION!$F$2:$F$500,0))="sin dato","",INDEX(CODIFICACION!$E$2:$E$500,MATCH("D15.58|"&amp;CAPTURA!DE157,CODIFICACION!$F$2:$F$500,0))),"⚠"))</f>
        <v/>
      </c>
      <c r="BZ157" t="str">
        <f>IF(CAPTURA!DF157="","",IFERROR(IF(INDEX(CODIFICACION!$E$2:$E$500,MATCH("PP1|"&amp;CAPTURA!DF157,CODIFICACION!$F$2:$F$500,0))="sin dato","",INDEX(CODIFICACION!$E$2:$E$500,MATCH("PP1|"&amp;CAPTURA!DF157,CODIFICACION!$F$2:$F$500,0))),"⚠"))</f>
        <v/>
      </c>
      <c r="CA157" t="str">
        <f>IF(CAPTURA!DG157="","",IFERROR(IF(INDEX(CODIFICACION!$E$2:$E$500,MATCH("PP2|"&amp;CAPTURA!DG157,CODIFICACION!$F$2:$F$500,0))="sin dato","",INDEX(CODIFICACION!$E$2:$E$500,MATCH("PP2|"&amp;CAPTURA!DG157,CODIFICACION!$F$2:$F$500,0))),"⚠"))</f>
        <v/>
      </c>
      <c r="CB157" t="str">
        <f t="shared" si="44"/>
        <v/>
      </c>
      <c r="CC157" t="str">
        <f t="shared" si="45"/>
        <v/>
      </c>
      <c r="CD157" t="str">
        <f t="shared" si="46"/>
        <v/>
      </c>
      <c r="CE157" t="str">
        <f t="shared" si="47"/>
        <v/>
      </c>
      <c r="CF157" t="str">
        <f t="shared" si="48"/>
        <v/>
      </c>
      <c r="CG157" t="str">
        <f t="shared" si="49"/>
        <v/>
      </c>
      <c r="CH157" t="str">
        <f t="shared" si="50"/>
        <v/>
      </c>
      <c r="CI157" t="str">
        <f t="shared" si="51"/>
        <v/>
      </c>
      <c r="CJ157" t="str">
        <f t="shared" si="52"/>
        <v/>
      </c>
      <c r="CK157" t="str">
        <f t="shared" si="53"/>
        <v/>
      </c>
      <c r="CL157" t="str">
        <f t="shared" si="54"/>
        <v/>
      </c>
    </row>
    <row r="158" spans="1:90" x14ac:dyDescent="0.3">
      <c r="A158">
        <f>CAPTURA!A158</f>
        <v>20606485281</v>
      </c>
      <c r="B158">
        <f>CAPTURA!C158</f>
        <v>0</v>
      </c>
      <c r="C158" t="str">
        <f>IF(CAPTURA!M158="","",ROUND((ISNUMBER(SEARCH("Alemania",CAPTURA!M158))+ISNUMBER(SEARCH("Bélgica",CAPTURA!M158))+ISNUMBER(SEARCH("Países Bajos",CAPTURA!M158))+ISNUMBER(SEARCH("Francia",CAPTURA!M158))+ISNUMBER(SEARCH("Italia",CAPTURA!M158))+ISNUMBER(SEARCH("España",CAPTURA!M158))+ISNUMBER(SEARCH("Suecia",CAPTURA!M158))+ISNUMBER(SEARCH("Dinamarca",CAPTURA!M158)))/((LEN(CAPTURA!M158)-LEN(SUBSTITUTE(CAPTURA!M158,";","")))+1)*100,1))</f>
        <v/>
      </c>
      <c r="D158" t="str">
        <f>IF(CAPTURA!AE158="","",IFERROR(IF(INDEX(CODIFICACION!$E$2:$E$500,MATCH("P8|"&amp;CAPTURA!AE158,CODIFICACION!$F$2:$F$500,0))="sin dato","",INDEX(CODIFICACION!$E$2:$E$500,MATCH("P8|"&amp;CAPTURA!AE158,CODIFICACION!$F$2:$F$500,0))),"⚠"))</f>
        <v/>
      </c>
      <c r="E158" t="str">
        <f>IF(CAPTURA!AG158="","",IFERROR(IF(INDEX(CODIFICACION!$E$2:$E$500,MATCH("P10|"&amp;CAPTURA!AG158,CODIFICACION!$F$2:$F$500,0))="sin dato","",INDEX(CODIFICACION!$E$2:$E$500,MATCH("P10|"&amp;CAPTURA!AG158,CODIFICACION!$F$2:$F$500,0))),"⚠"))</f>
        <v/>
      </c>
      <c r="F158" t="str">
        <f>IF(CAPTURA!AJ158="","",IFERROR(IF(INDEX(CODIFICACION!$E$2:$E$500,MATCH("P13|"&amp;CAPTURA!AJ158,CODIFICACION!$F$2:$F$500,0))="sin dato","",INDEX(CODIFICACION!$E$2:$E$500,MATCH("P13|"&amp;CAPTURA!AJ158,CODIFICACION!$F$2:$F$500,0))),"⚠"))</f>
        <v/>
      </c>
      <c r="G158" t="str">
        <f>IF(CAPTURA!AK158="","",IFERROR(IF(INDEX(CODIFICACION!$E$2:$E$500,MATCH("P14|"&amp;CAPTURA!AK158,CODIFICACION!$F$2:$F$500,0))="sin dato","",INDEX(CODIFICACION!$E$2:$E$500,MATCH("P14|"&amp;CAPTURA!AK158,CODIFICACION!$F$2:$F$500,0))),"⚠"))</f>
        <v/>
      </c>
      <c r="H158" t="str">
        <f>IF(CAPTURA!AL158="","",IFERROR(IF(INDEX(CODIFICACION!$E$2:$E$500,MATCH("D1.1|"&amp;CAPTURA!AL158,CODIFICACION!$F$2:$F$500,0))="sin dato","",INDEX(CODIFICACION!$E$2:$E$500,MATCH("D1.1|"&amp;CAPTURA!AL158,CODIFICACION!$F$2:$F$500,0))),"⚠"))</f>
        <v/>
      </c>
      <c r="I158" t="str">
        <f>IF(CAPTURA!AN158="","",IFERROR(IF(INDEX(CODIFICACION!$E$2:$E$500,MATCH("D1.3|"&amp;CAPTURA!AN158,CODIFICACION!$F$2:$F$500,0))="sin dato","",INDEX(CODIFICACION!$E$2:$E$500,MATCH("D1.3|"&amp;CAPTURA!AN158,CODIFICACION!$F$2:$F$500,0))),"⚠"))</f>
        <v/>
      </c>
      <c r="J158" t="str">
        <f>IF(CAPTURA!AO158="","",IFERROR(IF(INDEX(CODIFICACION!$E$2:$E$500,MATCH("D1.4|"&amp;CAPTURA!AO158,CODIFICACION!$F$2:$F$500,0))="sin dato","",INDEX(CODIFICACION!$E$2:$E$500,MATCH("D1.4|"&amp;CAPTURA!AO158,CODIFICACION!$F$2:$F$500,0))),"⚠"))</f>
        <v/>
      </c>
      <c r="K158" t="str">
        <f>IF(CAPTURA!AP158="","",IFERROR(IF(INDEX(CODIFICACION!$E$2:$E$500,MATCH("D1.3a|"&amp;CAPTURA!AP158,CODIFICACION!$F$2:$F$500,0))="sin dato","",INDEX(CODIFICACION!$E$2:$E$500,MATCH("D1.3a|"&amp;CAPTURA!AP158,CODIFICACION!$F$2:$F$500,0))),"⚠"))</f>
        <v/>
      </c>
      <c r="L158" t="str">
        <f>IF(CAPTURA!AQ158="","",IF(AND(ISNUMBER(CAPTURA!AQ158),CAPTURA!AQ158&gt;=0,CAPTURA!AQ158&lt;=4),CAPTURA!AQ158*25,"⚠"))</f>
        <v/>
      </c>
      <c r="M158" t="str">
        <f>IF(CAPTURA!AR158="","",IF(ISNUMBER(CAPTURA!AR158),MAX(0,MIN(100,CAPTURA!AR158)),"⚠"))</f>
        <v/>
      </c>
      <c r="N158" t="str">
        <f>IF(CAPTURA!AS158="","",IF(AND(ISNUMBER(CAPTURA!AS158),CAPTURA!AS158&gt;=0,CAPTURA!AS158&lt;=4),CAPTURA!AS158*25,"⚠"))</f>
        <v/>
      </c>
      <c r="O158" t="str">
        <f>IF(CAPTURA!AT158="","",IFERROR(IF(INDEX(CODIFICACION!$E$2:$E$500,MATCH("D2.8|"&amp;CAPTURA!AT158,CODIFICACION!$F$2:$F$500,0))="sin dato","",INDEX(CODIFICACION!$E$2:$E$500,MATCH("D2.8|"&amp;CAPTURA!AT158,CODIFICACION!$F$2:$F$500,0))),"⚠"))</f>
        <v/>
      </c>
      <c r="P158" t="str">
        <f>IF(CAPTURA!AU158="","",IFERROR(IF(INDEX(CODIFICACION!$E$2:$E$500,MATCH("D2.9|"&amp;CAPTURA!AU158,CODIFICACION!$F$2:$F$500,0))="sin dato","",INDEX(CODIFICACION!$E$2:$E$500,MATCH("D2.9|"&amp;CAPTURA!AU158,CODIFICACION!$F$2:$F$500,0))),"⚠"))</f>
        <v/>
      </c>
      <c r="Q158" t="str">
        <f>IF(CAPTURA!AV158="","",IFERROR(IF(INDEX(CODIFICACION!$E$2:$E$500,MATCH("D2.10|"&amp;CAPTURA!AV158,CODIFICACION!$F$2:$F$500,0))="sin dato","",INDEX(CODIFICACION!$E$2:$E$500,MATCH("D2.10|"&amp;CAPTURA!AV158,CODIFICACION!$F$2:$F$500,0))),"⚠"))</f>
        <v/>
      </c>
      <c r="R158" t="str">
        <f>IF(CAPTURA!AW158="","",IFERROR(IF(INDEX(CODIFICACION!$E$2:$E$500,MATCH("D2.5a|"&amp;CAPTURA!AW158,CODIFICACION!$F$2:$F$500,0))="sin dato","",INDEX(CODIFICACION!$E$2:$E$500,MATCH("D2.5a|"&amp;CAPTURA!AW158,CODIFICACION!$F$2:$F$500,0))),"⚠"))</f>
        <v/>
      </c>
      <c r="S158" t="str">
        <f>IF(CAPTURA!AX158="","",IFERROR(IF(INDEX(CODIFICACION!$E$2:$E$500,MATCH("D2.5b|"&amp;CAPTURA!AX158,CODIFICACION!$F$2:$F$500,0))="sin dato","",INDEX(CODIFICACION!$E$2:$E$500,MATCH("D2.5b|"&amp;CAPTURA!AX158,CODIFICACION!$F$2:$F$500,0))),"⚠"))</f>
        <v/>
      </c>
      <c r="T158" t="str">
        <f>IF(CAPTURA!AY158="","",IF(ISNUMBER(CAPTURA!AY158),MAX(0,MIN(100,CAPTURA!AY158)),"⚠"))</f>
        <v/>
      </c>
      <c r="U158" t="str">
        <f>IF(CAPTURA!AZ158="","",IFERROR(IF(INDEX(CODIFICACION!$E$2:$E$500,MATCH("D3.12|"&amp;CAPTURA!AZ158,CODIFICACION!$F$2:$F$500,0))="sin dato","",INDEX(CODIFICACION!$E$2:$E$500,MATCH("D3.12|"&amp;CAPTURA!AZ158,CODIFICACION!$F$2:$F$500,0))),"⚠"))</f>
        <v/>
      </c>
      <c r="V158" t="str">
        <f>IF(CAPTURA!BA158="","",IF(AND(ISNUMBER(CAPTURA!BA158),CAPTURA!BA158&gt;=0,CAPTURA!BA158&lt;=4),CAPTURA!BA158*25,"⚠"))</f>
        <v/>
      </c>
      <c r="W158" t="str">
        <f>IF(CAPTURA!BB158="","",IFERROR(IF(INDEX(CODIFICACION!$E$2:$E$500,MATCH("D3.14|"&amp;CAPTURA!BB158,CODIFICACION!$F$2:$F$500,0))="sin dato","",INDEX(CODIFICACION!$E$2:$E$500,MATCH("D3.14|"&amp;CAPTURA!BB158,CODIFICACION!$F$2:$F$500,0))),"⚠"))</f>
        <v/>
      </c>
      <c r="X158" t="str">
        <f>IF(CAPTURA!BC158="","",IFERROR(IF(INDEX(CODIFICACION!$E$2:$E$500,MATCH("D3.14a|"&amp;CAPTURA!BC158,CODIFICACION!$F$2:$F$500,0))="sin dato","",INDEX(CODIFICACION!$E$2:$E$500,MATCH("D3.14a|"&amp;CAPTURA!BC158,CODIFICACION!$F$2:$F$500,0))),"⚠"))</f>
        <v/>
      </c>
      <c r="Y158" t="str">
        <f>IF(CAPTURA!BD158="","",IFERROR(IF(INDEX(CODIFICACION!$E$2:$E$500,MATCH("D3.14b|"&amp;CAPTURA!BD158,CODIFICACION!$F$2:$F$500,0))="sin dato","",INDEX(CODIFICACION!$E$2:$E$500,MATCH("D3.14b|"&amp;CAPTURA!BD158,CODIFICACION!$F$2:$F$500,0))),"⚠"))</f>
        <v/>
      </c>
      <c r="Z158" t="str">
        <f>IF(CAPTURA!BE158="","",IFERROR(IF(INDEX(CODIFICACION!$E$2:$E$500,MATCH("D3.14c|"&amp;CAPTURA!BE158,CODIFICACION!$F$2:$F$500,0))="sin dato","",INDEX(CODIFICACION!$E$2:$E$500,MATCH("D3.14c|"&amp;CAPTURA!BE158,CODIFICACION!$F$2:$F$500,0))),"⚠"))</f>
        <v/>
      </c>
      <c r="AA158" t="str">
        <f>IF(CAPTURA!BF158="","",IFERROR(IF(INDEX(CODIFICACION!$E$2:$E$500,MATCH("D3.14d|"&amp;CAPTURA!BF158,CODIFICACION!$F$2:$F$500,0))="sin dato","",INDEX(CODIFICACION!$E$2:$E$500,MATCH("D3.14d|"&amp;CAPTURA!BF158,CODIFICACION!$F$2:$F$500,0))),"⚠"))</f>
        <v/>
      </c>
      <c r="AB158" t="str">
        <f>IF(CAPTURA!BG158="","",IFERROR(IF(INDEX(CODIFICACION!$E$2:$E$500,MATCH("D3.14e|"&amp;CAPTURA!BG158,CODIFICACION!$F$2:$F$500,0))="sin dato","",INDEX(CODIFICACION!$E$2:$E$500,MATCH("D3.14e|"&amp;CAPTURA!BG158,CODIFICACION!$F$2:$F$500,0))),"⚠"))</f>
        <v/>
      </c>
      <c r="AC158" t="str">
        <f>IF(CAPTURA!BH158="","",IFERROR(IF(INDEX(CODIFICACION!$E$2:$E$500,MATCH("D3.14f|"&amp;CAPTURA!BH158,CODIFICACION!$F$2:$F$500,0))="sin dato","",INDEX(CODIFICACION!$E$2:$E$500,MATCH("D3.14f|"&amp;CAPTURA!BH158,CODIFICACION!$F$2:$F$500,0))),"⚠"))</f>
        <v/>
      </c>
      <c r="AD158" t="str">
        <f>IF(CAPTURA!BI158="","",IFERROR(IF(INDEX(CODIFICACION!$E$2:$E$500,MATCH("D3.14g|"&amp;CAPTURA!BI158,CODIFICACION!$F$2:$F$500,0))="sin dato","",INDEX(CODIFICACION!$E$2:$E$500,MATCH("D3.14g|"&amp;CAPTURA!BI158,CODIFICACION!$F$2:$F$500,0))),"⚠"))</f>
        <v/>
      </c>
      <c r="AE158" t="str">
        <f>IF(CAPTURA!BJ158="","",IFERROR(IF(INDEX(CODIFICACION!$E$2:$E$500,MATCH("D3.14h|"&amp;CAPTURA!BJ158,CODIFICACION!$F$2:$F$500,0))="sin dato","",INDEX(CODIFICACION!$E$2:$E$500,MATCH("D3.14h|"&amp;CAPTURA!BJ158,CODIFICACION!$F$2:$F$500,0))),"⚠"))</f>
        <v/>
      </c>
      <c r="AF158" t="str">
        <f>IF(CAPTURA!BK158="","",IFERROR(IF(INDEX(CODIFICACION!$E$2:$E$500,MATCH("D3.14i|"&amp;CAPTURA!BK158,CODIFICACION!$F$2:$F$500,0))="sin dato","",INDEX(CODIFICACION!$E$2:$E$500,MATCH("D3.14i|"&amp;CAPTURA!BK158,CODIFICACION!$F$2:$F$500,0))),"⚠"))</f>
        <v/>
      </c>
      <c r="AG158" t="str">
        <f>IF(CAPTURA!BL158="","",IFERROR(IF(INDEX(CODIFICACION!$E$2:$E$500,MATCH("D4.15|"&amp;CAPTURA!BL158,CODIFICACION!$F$2:$F$500,0))="sin dato","",INDEX(CODIFICACION!$E$2:$E$500,MATCH("D4.15|"&amp;CAPTURA!BL158,CODIFICACION!$F$2:$F$500,0))),"⚠"))</f>
        <v/>
      </c>
      <c r="AH158" t="str">
        <f>IF(CAPTURA!BM158="","",IF(AND(ISNUMBER(CAPTURA!BM158),CAPTURA!BM158&gt;=0,CAPTURA!BM158&lt;=4),CAPTURA!BM158*25,"⚠"))</f>
        <v/>
      </c>
      <c r="AI158" t="str">
        <f>IF(CAPTURA!BN158="","",IFERROR(IF(INDEX(CODIFICACION!$E$2:$E$500,MATCH("D4.17|"&amp;CAPTURA!BN158,CODIFICACION!$F$2:$F$500,0))="sin dato","",INDEX(CODIFICACION!$E$2:$E$500,MATCH("D4.17|"&amp;CAPTURA!BN158,CODIFICACION!$F$2:$F$500,0))),"⚠"))</f>
        <v/>
      </c>
      <c r="AJ158" t="str">
        <f>IF(CAPTURA!BO158="","",IFERROR(IF(INDEX(CODIFICACION!$E$2:$E$500,MATCH("D4.15a|"&amp;CAPTURA!BO158,CODIFICACION!$F$2:$F$500,0))="sin dato","",INDEX(CODIFICACION!$E$2:$E$500,MATCH("D4.15a|"&amp;CAPTURA!BO158,CODIFICACION!$F$2:$F$500,0))),"⚠"))</f>
        <v/>
      </c>
      <c r="AK158" t="str">
        <f>IF(CAPTURA!BP158="","",IF(AND(ISNUMBER(CAPTURA!BP158),CAPTURA!BP158&gt;=0,CAPTURA!BP158&lt;=4),CAPTURA!BP158*25,"⚠"))</f>
        <v/>
      </c>
      <c r="AL158" t="str">
        <f>IF(CAPTURA!BQ158="","",IF(AND(ISNUMBER(CAPTURA!BQ158),CAPTURA!BQ158&gt;=0,CAPTURA!BQ158&lt;=4),CAPTURA!BQ158*25,"⚠"))</f>
        <v/>
      </c>
      <c r="AM158" t="str">
        <f>IF(CAPTURA!BR158="","",IFERROR(IF(INDEX(CODIFICACION!$E$2:$E$500,MATCH("D5.18b|"&amp;CAPTURA!BR158,CODIFICACION!$F$2:$F$500,0))="sin dato","",INDEX(CODIFICACION!$E$2:$E$500,MATCH("D5.18b|"&amp;CAPTURA!BR158,CODIFICACION!$F$2:$F$500,0))),"⚠"))</f>
        <v/>
      </c>
      <c r="AN158" t="str">
        <f>IF(CAPTURA!BS158="","",IFERROR(IF(INDEX(CODIFICACION!$E$2:$E$500,MATCH("D5.19|"&amp;CAPTURA!BS158,CODIFICACION!$F$2:$F$500,0))="sin dato","",INDEX(CODIFICACION!$E$2:$E$500,MATCH("D5.19|"&amp;CAPTURA!BS158,CODIFICACION!$F$2:$F$500,0))),"⚠"))</f>
        <v/>
      </c>
      <c r="AO158" t="str">
        <f>IF(CAPTURA!BT158="","",MIN(100,ROUND((LEN(CAPTURA!BT158)-LEN(SUBSTITUTE(CAPTURA!BT158,";",""))+1)/7*100,1)))</f>
        <v/>
      </c>
      <c r="AP158" t="str">
        <f>IF(CAPTURA!BU158="","",IFERROR(IF(INDEX(CODIFICACION!$E$2:$E$500,MATCH("D5.20|"&amp;CAPTURA!BU158,CODIFICACION!$F$2:$F$500,0))="sin dato","",INDEX(CODIFICACION!$E$2:$E$500,MATCH("D5.20|"&amp;CAPTURA!BU158,CODIFICACION!$F$2:$F$500,0))),"⚠"))</f>
        <v/>
      </c>
      <c r="AQ158" t="str">
        <f>IF(CAPTURA!BV158="","",IFERROR(IF(INDEX(CODIFICACION!$E$2:$E$500,MATCH("D5.21|"&amp;CAPTURA!BV158,CODIFICACION!$F$2:$F$500,0))="sin dato","",INDEX(CODIFICACION!$E$2:$E$500,MATCH("D5.21|"&amp;CAPTURA!BV158,CODIFICACION!$F$2:$F$500,0))),"⚠"))</f>
        <v/>
      </c>
      <c r="AR158" t="str">
        <f>IF(CAPTURA!BW158="","",IFERROR(IF(INDEX(CODIFICACION!$E$2:$E$500,MATCH("D5.21a|"&amp;CAPTURA!BW158,CODIFICACION!$F$2:$F$500,0))="sin dato","",INDEX(CODIFICACION!$E$2:$E$500,MATCH("D5.21a|"&amp;CAPTURA!BW158,CODIFICACION!$F$2:$F$500,0))),"⚠"))</f>
        <v/>
      </c>
      <c r="AS158" t="str">
        <f>IF(CAPTURA!BX158="","",IFERROR(IF(INDEX(CODIFICACION!$E$2:$E$500,MATCH("D5.21b|"&amp;CAPTURA!BX158,CODIFICACION!$F$2:$F$500,0))="sin dato","",INDEX(CODIFICACION!$E$2:$E$500,MATCH("D5.21b|"&amp;CAPTURA!BX158,CODIFICACION!$F$2:$F$500,0))),"⚠"))</f>
        <v/>
      </c>
      <c r="AT158" t="str">
        <f>IF(CAPTURA!BY158="","",IFERROR(IF(INDEX(CODIFICACION!$E$2:$E$500,MATCH("D6.22|"&amp;CAPTURA!BY158,CODIFICACION!$F$2:$F$500,0))="sin dato","",INDEX(CODIFICACION!$E$2:$E$500,MATCH("D6.22|"&amp;CAPTURA!BY158,CODIFICACION!$F$2:$F$500,0))),"⚠"))</f>
        <v/>
      </c>
      <c r="AU158" t="str">
        <f>IF(CAPTURA!BZ158="","",IFERROR(IF(INDEX(CODIFICACION!$E$2:$E$500,MATCH("D6.22a|"&amp;CAPTURA!BZ158,CODIFICACION!$F$2:$F$500,0))="sin dato","",INDEX(CODIFICACION!$E$2:$E$500,MATCH("D6.22a|"&amp;CAPTURA!BZ158,CODIFICACION!$F$2:$F$500,0))),"⚠"))</f>
        <v/>
      </c>
      <c r="AV158" t="str">
        <f>IF(CAPTURA!CA158="","",IFERROR(IF(INDEX(CODIFICACION!$E$2:$E$500,MATCH("D6.22b|"&amp;CAPTURA!CA158,CODIFICACION!$F$2:$F$500,0))="sin dato","",INDEX(CODIFICACION!$E$2:$E$500,MATCH("D6.22b|"&amp;CAPTURA!CA158,CODIFICACION!$F$2:$F$500,0))),"⚠"))</f>
        <v/>
      </c>
      <c r="AW158" t="str">
        <f>IF(CAPTURA!CB158="","",IFERROR(IF(INDEX(CODIFICACION!$E$2:$E$500,MATCH("D6.23|"&amp;CAPTURA!CB158,CODIFICACION!$F$2:$F$500,0))="sin dato","",INDEX(CODIFICACION!$E$2:$E$500,MATCH("D6.23|"&amp;CAPTURA!CB158,CODIFICACION!$F$2:$F$500,0))),"⚠"))</f>
        <v/>
      </c>
      <c r="AX158" t="str">
        <f>IF(CAPTURA!CC158="","",IFERROR(IF(INDEX(CODIFICACION!$E$2:$E$500,MATCH("D6.24|"&amp;CAPTURA!CC158,CODIFICACION!$F$2:$F$500,0))="sin dato","",INDEX(CODIFICACION!$E$2:$E$500,MATCH("D6.24|"&amp;CAPTURA!CC158,CODIFICACION!$F$2:$F$500,0))),"⚠"))</f>
        <v/>
      </c>
      <c r="AY158" t="str">
        <f>IF(CAPTURA!CD158="","",IFERROR(IF(INDEX(CODIFICACION!$E$2:$E$500,MATCH("D6.25|"&amp;CAPTURA!CD158,CODIFICACION!$F$2:$F$500,0))="sin dato","",INDEX(CODIFICACION!$E$2:$E$500,MATCH("D6.25|"&amp;CAPTURA!CD158,CODIFICACION!$F$2:$F$500,0))),"⚠"))</f>
        <v/>
      </c>
      <c r="AZ158" t="str">
        <f>IF(CAPTURA!CE158="","",IFERROR(IF(INDEX(CODIFICACION!$E$2:$E$500,MATCH("D6.25a|"&amp;CAPTURA!CE158,CODIFICACION!$F$2:$F$500,0))="sin dato","",INDEX(CODIFICACION!$E$2:$E$500,MATCH("D6.25a|"&amp;CAPTURA!CE158,CODIFICACION!$F$2:$F$500,0))),"⚠"))</f>
        <v/>
      </c>
      <c r="BA158" t="str">
        <f>IF(CAPTURA!CF158="","",IFERROR(IF(INDEX(CODIFICACION!$E$2:$E$500,MATCH("D6.25b|"&amp;CAPTURA!CF158,CODIFICACION!$F$2:$F$500,0))="sin dato","",INDEX(CODIFICACION!$E$2:$E$500,MATCH("D6.25b|"&amp;CAPTURA!CF158,CODIFICACION!$F$2:$F$500,0))),"⚠"))</f>
        <v/>
      </c>
      <c r="BB158" t="str">
        <f>IF(CAPTURA!CG158="","",IFERROR(IF(INDEX(CODIFICACION!$E$2:$E$500,MATCH("D6.22c|"&amp;CAPTURA!CG158,CODIFICACION!$F$2:$F$500,0))="sin dato","",INDEX(CODIFICACION!$E$2:$E$500,MATCH("D6.22c|"&amp;CAPTURA!CG158,CODIFICACION!$F$2:$F$500,0))),"⚠"))</f>
        <v/>
      </c>
      <c r="BC158" t="str">
        <f>IF(CAPTURA!CH158="","",IFERROR(IF(INDEX(CODIFICACION!$E$2:$E$500,MATCH("D7.26|"&amp;CAPTURA!CH158,CODIFICACION!$F$2:$F$500,0))="sin dato","",INDEX(CODIFICACION!$E$2:$E$500,MATCH("D7.26|"&amp;CAPTURA!CH158,CODIFICACION!$F$2:$F$500,0))),"⚠"))</f>
        <v/>
      </c>
      <c r="BD158" t="str">
        <f>IF(CAPTURA!CI158="","",IFERROR(IF(INDEX(CODIFICACION!$E$2:$E$500,MATCH("D7.27|"&amp;CAPTURA!CI158,CODIFICACION!$F$2:$F$500,0))="sin dato","",INDEX(CODIFICACION!$E$2:$E$500,MATCH("D7.27|"&amp;CAPTURA!CI158,CODIFICACION!$F$2:$F$500,0))),"⚠"))</f>
        <v/>
      </c>
      <c r="BE158" t="str">
        <f>IF(CAPTURA!CJ158="","",IFERROR(IF(INDEX(CODIFICACION!$E$2:$E$500,MATCH("D7.28|"&amp;CAPTURA!CJ158,CODIFICACION!$F$2:$F$500,0))="sin dato","",INDEX(CODIFICACION!$E$2:$E$500,MATCH("D7.28|"&amp;CAPTURA!CJ158,CODIFICACION!$F$2:$F$500,0))),"⚠"))</f>
        <v/>
      </c>
      <c r="BF158" t="str">
        <f>IF(CAPTURA!CK158="","",IFERROR(IF(INDEX(CODIFICACION!$E$2:$E$500,MATCH("D7.28b|"&amp;CAPTURA!CK158,CODIFICACION!$F$2:$F$500,0))="sin dato","",INDEX(CODIFICACION!$E$2:$E$500,MATCH("D7.28b|"&amp;CAPTURA!CK158,CODIFICACION!$F$2:$F$500,0))),"⚠"))</f>
        <v/>
      </c>
      <c r="BG158" t="str">
        <f>IF(CAPTURA!CL158="","",MIN(100,ROUND((LEN(CAPTURA!CL158)-LEN(SUBSTITUTE(CAPTURA!CL158,";",""))+1)/8*100,1)))</f>
        <v/>
      </c>
      <c r="BH158" t="str">
        <f>IF(CAPTURA!CM158="","",IFERROR(IF(INDEX(CODIFICACION!$E$2:$E$500,MATCH("D7.26a|"&amp;CAPTURA!CM158,CODIFICACION!$F$2:$F$500,0))="sin dato","",INDEX(CODIFICACION!$E$2:$E$500,MATCH("D7.26a|"&amp;CAPTURA!CM158,CODIFICACION!$F$2:$F$500,0))),"⚠"))</f>
        <v/>
      </c>
      <c r="BI158" t="str">
        <f>IF(CAPTURA!CN158="","",IFERROR(IF(INDEX(CODIFICACION!$E$2:$E$500,MATCH("D7.26b|"&amp;CAPTURA!CN158,CODIFICACION!$F$2:$F$500,0))="sin dato","",INDEX(CODIFICACION!$E$2:$E$500,MATCH("D7.26b|"&amp;CAPTURA!CN158,CODIFICACION!$F$2:$F$500,0))),"⚠"))</f>
        <v/>
      </c>
      <c r="BJ158" t="str">
        <f>IF(CAPTURA!CO158="","",IF(AND(ISNUMBER(CAPTURA!CO158),CAPTURA!CO158&gt;=0,CAPTURA!CO158&lt;=4),CAPTURA!CO158*25,"⚠"))</f>
        <v/>
      </c>
      <c r="BK158" t="str">
        <f>IF(CAPTURA!CP158="","",IF(ISNUMBER(CAPTURA!CP158),MAX(0,MIN(100,CAPTURA!CP158)),"⚠"))</f>
        <v/>
      </c>
      <c r="BL158" t="str">
        <f>IF(CAPTURA!CQ158="","",IFERROR(IF(INDEX(CODIFICACION!$E$2:$E$500,MATCH("D8.31|"&amp;CAPTURA!CQ158,CODIFICACION!$F$2:$F$500,0))="sin dato","",INDEX(CODIFICACION!$E$2:$E$500,MATCH("D8.31|"&amp;CAPTURA!CQ158,CODIFICACION!$F$2:$F$500,0))),"⚠"))</f>
        <v/>
      </c>
      <c r="BM158" t="str">
        <f>IF(CAPTURA!CR158="","",IFERROR(IF(INDEX(CODIFICACION!$E$2:$E$500,MATCH("D8.32|"&amp;CAPTURA!CR158,CODIFICACION!$F$2:$F$500,0))="sin dato","",INDEX(CODIFICACION!$E$2:$E$500,MATCH("D8.32|"&amp;CAPTURA!CR158,CODIFICACION!$F$2:$F$500,0))),"⚠"))</f>
        <v/>
      </c>
      <c r="BN158" t="str">
        <f>IF(CAPTURA!CS158="","",IFERROR(IF(INDEX(CODIFICACION!$E$2:$E$500,MATCH("D9.33|"&amp;CAPTURA!CS158,CODIFICACION!$F$2:$F$500,0))="sin dato","",INDEX(CODIFICACION!$E$2:$E$500,MATCH("D9.33|"&amp;CAPTURA!CS158,CODIFICACION!$F$2:$F$500,0))),"⚠"))</f>
        <v/>
      </c>
      <c r="BO158" t="str">
        <f>IF(CAPTURA!CT158="","",IFERROR(IF(INDEX(CODIFICACION!$E$2:$E$500,MATCH("D9.34|"&amp;CAPTURA!CT158,CODIFICACION!$F$2:$F$500,0))="sin dato","",INDEX(CODIFICACION!$E$2:$E$500,MATCH("D9.34|"&amp;CAPTURA!CT158,CODIFICACION!$F$2:$F$500,0))),"⚠"))</f>
        <v/>
      </c>
      <c r="BP158" t="str">
        <f>IF(CAPTURA!CU158="","",IFERROR(IF(INDEX(CODIFICACION!$E$2:$E$500,MATCH("D9.35|"&amp;CAPTURA!CU158,CODIFICACION!$F$2:$F$500,0))="sin dato","",INDEX(CODIFICACION!$E$2:$E$500,MATCH("D9.35|"&amp;CAPTURA!CU158,CODIFICACION!$F$2:$F$500,0))),"⚠"))</f>
        <v/>
      </c>
      <c r="BQ158" t="str">
        <f>IF(CAPTURA!CV158="","",IFERROR(IF(INDEX(CODIFICACION!$E$2:$E$500,MATCH("D10.36|"&amp;CAPTURA!CV158,CODIFICACION!$F$2:$F$500,0))="sin dato","",INDEX(CODIFICACION!$E$2:$E$500,MATCH("D10.36|"&amp;CAPTURA!CV158,CODIFICACION!$F$2:$F$500,0))),"⚠"))</f>
        <v/>
      </c>
      <c r="BR158" t="str">
        <f>IF(CAPTURA!CW158="","",IFERROR(IF(INDEX(CODIFICACION!$E$2:$E$500,MATCH("D10.37|"&amp;CAPTURA!CW158,CODIFICACION!$F$2:$F$500,0))="sin dato","",INDEX(CODIFICACION!$E$2:$E$500,MATCH("D10.37|"&amp;CAPTURA!CW158,CODIFICACION!$F$2:$F$500,0))),"⚠"))</f>
        <v/>
      </c>
      <c r="BS158" t="str">
        <f>IF(CAPTURA!CX158="","",IFERROR(IF(INDEX(CODIFICACION!$E$2:$E$500,MATCH("D10.36a|"&amp;CAPTURA!CX158,CODIFICACION!$F$2:$F$500,0))="sin dato","",INDEX(CODIFICACION!$E$2:$E$500,MATCH("D10.36a|"&amp;CAPTURA!CX158,CODIFICACION!$F$2:$F$500,0))),"⚠"))</f>
        <v/>
      </c>
      <c r="BT158" t="str">
        <f>IF(CAPTURA!CY158="","",IF(ISNUMBER(SEARCH("Ninguno",CAPTURA!CY158)),0,MIN(100,ROUND((LEN(CAPTURA!CY158)-LEN(SUBSTITUTE(CAPTURA!CY158,";",""))+1)/6*100,1))))</f>
        <v/>
      </c>
      <c r="BU158" t="str">
        <f>IF(CAPTURA!DA158="","",IFERROR(IF(INDEX(CODIFICACION!$E$2:$E$500,MATCH("D11.39a|"&amp;CAPTURA!DA158,CODIFICACION!$F$2:$F$500,0))="sin dato","",INDEX(CODIFICACION!$E$2:$E$500,MATCH("D11.39a|"&amp;CAPTURA!DA158,CODIFICACION!$F$2:$F$500,0))),"⚠"))</f>
        <v/>
      </c>
      <c r="BV158" t="str">
        <f>IF(CAPTURA!DB158="","",IFERROR(IF(INDEX(CODIFICACION!$E$2:$E$500,MATCH("D12.42|"&amp;CAPTURA!DB158,CODIFICACION!$F$2:$F$500,0))="sin dato","",INDEX(CODIFICACION!$E$2:$E$500,MATCH("D12.42|"&amp;CAPTURA!DB158,CODIFICACION!$F$2:$F$500,0))),"⚠"))</f>
        <v/>
      </c>
      <c r="BW158" t="str">
        <f>IF(CAPTURA!DC158="","",IFERROR(IF(INDEX(CODIFICACION!$E$2:$E$500,MATCH("D13.45|"&amp;CAPTURA!DC158,CODIFICACION!$F$2:$F$500,0))="sin dato","",INDEX(CODIFICACION!$E$2:$E$500,MATCH("D13.45|"&amp;CAPTURA!DC158,CODIFICACION!$F$2:$F$500,0))),"⚠"))</f>
        <v/>
      </c>
      <c r="BX158" t="str">
        <f>IF(CAPTURA!DD158="","",IFERROR(IF(INDEX(CODIFICACION!$E$2:$E$500,MATCH("D14.51|"&amp;CAPTURA!DD158,CODIFICACION!$F$2:$F$500,0))="sin dato","",INDEX(CODIFICACION!$E$2:$E$500,MATCH("D14.51|"&amp;CAPTURA!DD158,CODIFICACION!$F$2:$F$500,0))),"⚠"))</f>
        <v/>
      </c>
      <c r="BY158" t="str">
        <f>IF(CAPTURA!DE158="","",IFERROR(IF(INDEX(CODIFICACION!$E$2:$E$500,MATCH("D15.58|"&amp;CAPTURA!DE158,CODIFICACION!$F$2:$F$500,0))="sin dato","",INDEX(CODIFICACION!$E$2:$E$500,MATCH("D15.58|"&amp;CAPTURA!DE158,CODIFICACION!$F$2:$F$500,0))),"⚠"))</f>
        <v/>
      </c>
      <c r="BZ158" t="str">
        <f>IF(CAPTURA!DF158="","",IFERROR(IF(INDEX(CODIFICACION!$E$2:$E$500,MATCH("PP1|"&amp;CAPTURA!DF158,CODIFICACION!$F$2:$F$500,0))="sin dato","",INDEX(CODIFICACION!$E$2:$E$500,MATCH("PP1|"&amp;CAPTURA!DF158,CODIFICACION!$F$2:$F$500,0))),"⚠"))</f>
        <v/>
      </c>
      <c r="CA158" t="str">
        <f>IF(CAPTURA!DG158="","",IFERROR(IF(INDEX(CODIFICACION!$E$2:$E$500,MATCH("PP2|"&amp;CAPTURA!DG158,CODIFICACION!$F$2:$F$500,0))="sin dato","",INDEX(CODIFICACION!$E$2:$E$500,MATCH("PP2|"&amp;CAPTURA!DG158,CODIFICACION!$F$2:$F$500,0))),"⚠"))</f>
        <v/>
      </c>
      <c r="CB158" t="str">
        <f t="shared" si="44"/>
        <v/>
      </c>
      <c r="CC158" t="str">
        <f t="shared" si="45"/>
        <v/>
      </c>
      <c r="CD158" t="str">
        <f t="shared" si="46"/>
        <v/>
      </c>
      <c r="CE158" t="str">
        <f t="shared" si="47"/>
        <v/>
      </c>
      <c r="CF158" t="str">
        <f t="shared" si="48"/>
        <v/>
      </c>
      <c r="CG158" t="str">
        <f t="shared" si="49"/>
        <v/>
      </c>
      <c r="CH158" t="str">
        <f t="shared" si="50"/>
        <v/>
      </c>
      <c r="CI158" t="str">
        <f t="shared" si="51"/>
        <v/>
      </c>
      <c r="CJ158" t="str">
        <f t="shared" si="52"/>
        <v/>
      </c>
      <c r="CK158" t="str">
        <f t="shared" si="53"/>
        <v/>
      </c>
      <c r="CL158" t="str">
        <f t="shared" si="54"/>
        <v/>
      </c>
    </row>
    <row r="159" spans="1:90" x14ac:dyDescent="0.3">
      <c r="A159">
        <f>CAPTURA!A159</f>
        <v>20606556331</v>
      </c>
      <c r="B159">
        <f>CAPTURA!C159</f>
        <v>0</v>
      </c>
      <c r="C159" t="str">
        <f>IF(CAPTURA!M159="","",ROUND((ISNUMBER(SEARCH("Alemania",CAPTURA!M159))+ISNUMBER(SEARCH("Bélgica",CAPTURA!M159))+ISNUMBER(SEARCH("Países Bajos",CAPTURA!M159))+ISNUMBER(SEARCH("Francia",CAPTURA!M159))+ISNUMBER(SEARCH("Italia",CAPTURA!M159))+ISNUMBER(SEARCH("España",CAPTURA!M159))+ISNUMBER(SEARCH("Suecia",CAPTURA!M159))+ISNUMBER(SEARCH("Dinamarca",CAPTURA!M159)))/((LEN(CAPTURA!M159)-LEN(SUBSTITUTE(CAPTURA!M159,";","")))+1)*100,1))</f>
        <v/>
      </c>
      <c r="D159" t="str">
        <f>IF(CAPTURA!AE159="","",IFERROR(IF(INDEX(CODIFICACION!$E$2:$E$500,MATCH("P8|"&amp;CAPTURA!AE159,CODIFICACION!$F$2:$F$500,0))="sin dato","",INDEX(CODIFICACION!$E$2:$E$500,MATCH("P8|"&amp;CAPTURA!AE159,CODIFICACION!$F$2:$F$500,0))),"⚠"))</f>
        <v/>
      </c>
      <c r="E159" t="str">
        <f>IF(CAPTURA!AG159="","",IFERROR(IF(INDEX(CODIFICACION!$E$2:$E$500,MATCH("P10|"&amp;CAPTURA!AG159,CODIFICACION!$F$2:$F$500,0))="sin dato","",INDEX(CODIFICACION!$E$2:$E$500,MATCH("P10|"&amp;CAPTURA!AG159,CODIFICACION!$F$2:$F$500,0))),"⚠"))</f>
        <v/>
      </c>
      <c r="F159" t="str">
        <f>IF(CAPTURA!AJ159="","",IFERROR(IF(INDEX(CODIFICACION!$E$2:$E$500,MATCH("P13|"&amp;CAPTURA!AJ159,CODIFICACION!$F$2:$F$500,0))="sin dato","",INDEX(CODIFICACION!$E$2:$E$500,MATCH("P13|"&amp;CAPTURA!AJ159,CODIFICACION!$F$2:$F$500,0))),"⚠"))</f>
        <v/>
      </c>
      <c r="G159" t="str">
        <f>IF(CAPTURA!AK159="","",IFERROR(IF(INDEX(CODIFICACION!$E$2:$E$500,MATCH("P14|"&amp;CAPTURA!AK159,CODIFICACION!$F$2:$F$500,0))="sin dato","",INDEX(CODIFICACION!$E$2:$E$500,MATCH("P14|"&amp;CAPTURA!AK159,CODIFICACION!$F$2:$F$500,0))),"⚠"))</f>
        <v/>
      </c>
      <c r="H159" t="str">
        <f>IF(CAPTURA!AL159="","",IFERROR(IF(INDEX(CODIFICACION!$E$2:$E$500,MATCH("D1.1|"&amp;CAPTURA!AL159,CODIFICACION!$F$2:$F$500,0))="sin dato","",INDEX(CODIFICACION!$E$2:$E$500,MATCH("D1.1|"&amp;CAPTURA!AL159,CODIFICACION!$F$2:$F$500,0))),"⚠"))</f>
        <v/>
      </c>
      <c r="I159" t="str">
        <f>IF(CAPTURA!AN159="","",IFERROR(IF(INDEX(CODIFICACION!$E$2:$E$500,MATCH("D1.3|"&amp;CAPTURA!AN159,CODIFICACION!$F$2:$F$500,0))="sin dato","",INDEX(CODIFICACION!$E$2:$E$500,MATCH("D1.3|"&amp;CAPTURA!AN159,CODIFICACION!$F$2:$F$500,0))),"⚠"))</f>
        <v/>
      </c>
      <c r="J159" t="str">
        <f>IF(CAPTURA!AO159="","",IFERROR(IF(INDEX(CODIFICACION!$E$2:$E$500,MATCH("D1.4|"&amp;CAPTURA!AO159,CODIFICACION!$F$2:$F$500,0))="sin dato","",INDEX(CODIFICACION!$E$2:$E$500,MATCH("D1.4|"&amp;CAPTURA!AO159,CODIFICACION!$F$2:$F$500,0))),"⚠"))</f>
        <v/>
      </c>
      <c r="K159" t="str">
        <f>IF(CAPTURA!AP159="","",IFERROR(IF(INDEX(CODIFICACION!$E$2:$E$500,MATCH("D1.3a|"&amp;CAPTURA!AP159,CODIFICACION!$F$2:$F$500,0))="sin dato","",INDEX(CODIFICACION!$E$2:$E$500,MATCH("D1.3a|"&amp;CAPTURA!AP159,CODIFICACION!$F$2:$F$500,0))),"⚠"))</f>
        <v/>
      </c>
      <c r="L159" t="str">
        <f>IF(CAPTURA!AQ159="","",IF(AND(ISNUMBER(CAPTURA!AQ159),CAPTURA!AQ159&gt;=0,CAPTURA!AQ159&lt;=4),CAPTURA!AQ159*25,"⚠"))</f>
        <v/>
      </c>
      <c r="M159" t="str">
        <f>IF(CAPTURA!AR159="","",IF(ISNUMBER(CAPTURA!AR159),MAX(0,MIN(100,CAPTURA!AR159)),"⚠"))</f>
        <v/>
      </c>
      <c r="N159" t="str">
        <f>IF(CAPTURA!AS159="","",IF(AND(ISNUMBER(CAPTURA!AS159),CAPTURA!AS159&gt;=0,CAPTURA!AS159&lt;=4),CAPTURA!AS159*25,"⚠"))</f>
        <v/>
      </c>
      <c r="O159" t="str">
        <f>IF(CAPTURA!AT159="","",IFERROR(IF(INDEX(CODIFICACION!$E$2:$E$500,MATCH("D2.8|"&amp;CAPTURA!AT159,CODIFICACION!$F$2:$F$500,0))="sin dato","",INDEX(CODIFICACION!$E$2:$E$500,MATCH("D2.8|"&amp;CAPTURA!AT159,CODIFICACION!$F$2:$F$500,0))),"⚠"))</f>
        <v/>
      </c>
      <c r="P159" t="str">
        <f>IF(CAPTURA!AU159="","",IFERROR(IF(INDEX(CODIFICACION!$E$2:$E$500,MATCH("D2.9|"&amp;CAPTURA!AU159,CODIFICACION!$F$2:$F$500,0))="sin dato","",INDEX(CODIFICACION!$E$2:$E$500,MATCH("D2.9|"&amp;CAPTURA!AU159,CODIFICACION!$F$2:$F$500,0))),"⚠"))</f>
        <v/>
      </c>
      <c r="Q159" t="str">
        <f>IF(CAPTURA!AV159="","",IFERROR(IF(INDEX(CODIFICACION!$E$2:$E$500,MATCH("D2.10|"&amp;CAPTURA!AV159,CODIFICACION!$F$2:$F$500,0))="sin dato","",INDEX(CODIFICACION!$E$2:$E$500,MATCH("D2.10|"&amp;CAPTURA!AV159,CODIFICACION!$F$2:$F$500,0))),"⚠"))</f>
        <v/>
      </c>
      <c r="R159" t="str">
        <f>IF(CAPTURA!AW159="","",IFERROR(IF(INDEX(CODIFICACION!$E$2:$E$500,MATCH("D2.5a|"&amp;CAPTURA!AW159,CODIFICACION!$F$2:$F$500,0))="sin dato","",INDEX(CODIFICACION!$E$2:$E$500,MATCH("D2.5a|"&amp;CAPTURA!AW159,CODIFICACION!$F$2:$F$500,0))),"⚠"))</f>
        <v/>
      </c>
      <c r="S159" t="str">
        <f>IF(CAPTURA!AX159="","",IFERROR(IF(INDEX(CODIFICACION!$E$2:$E$500,MATCH("D2.5b|"&amp;CAPTURA!AX159,CODIFICACION!$F$2:$F$500,0))="sin dato","",INDEX(CODIFICACION!$E$2:$E$500,MATCH("D2.5b|"&amp;CAPTURA!AX159,CODIFICACION!$F$2:$F$500,0))),"⚠"))</f>
        <v/>
      </c>
      <c r="T159" t="str">
        <f>IF(CAPTURA!AY159="","",IF(ISNUMBER(CAPTURA!AY159),MAX(0,MIN(100,CAPTURA!AY159)),"⚠"))</f>
        <v/>
      </c>
      <c r="U159" t="str">
        <f>IF(CAPTURA!AZ159="","",IFERROR(IF(INDEX(CODIFICACION!$E$2:$E$500,MATCH("D3.12|"&amp;CAPTURA!AZ159,CODIFICACION!$F$2:$F$500,0))="sin dato","",INDEX(CODIFICACION!$E$2:$E$500,MATCH("D3.12|"&amp;CAPTURA!AZ159,CODIFICACION!$F$2:$F$500,0))),"⚠"))</f>
        <v/>
      </c>
      <c r="V159" t="str">
        <f>IF(CAPTURA!BA159="","",IF(AND(ISNUMBER(CAPTURA!BA159),CAPTURA!BA159&gt;=0,CAPTURA!BA159&lt;=4),CAPTURA!BA159*25,"⚠"))</f>
        <v/>
      </c>
      <c r="W159" t="str">
        <f>IF(CAPTURA!BB159="","",IFERROR(IF(INDEX(CODIFICACION!$E$2:$E$500,MATCH("D3.14|"&amp;CAPTURA!BB159,CODIFICACION!$F$2:$F$500,0))="sin dato","",INDEX(CODIFICACION!$E$2:$E$500,MATCH("D3.14|"&amp;CAPTURA!BB159,CODIFICACION!$F$2:$F$500,0))),"⚠"))</f>
        <v/>
      </c>
      <c r="X159" t="str">
        <f>IF(CAPTURA!BC159="","",IFERROR(IF(INDEX(CODIFICACION!$E$2:$E$500,MATCH("D3.14a|"&amp;CAPTURA!BC159,CODIFICACION!$F$2:$F$500,0))="sin dato","",INDEX(CODIFICACION!$E$2:$E$500,MATCH("D3.14a|"&amp;CAPTURA!BC159,CODIFICACION!$F$2:$F$500,0))),"⚠"))</f>
        <v/>
      </c>
      <c r="Y159" t="str">
        <f>IF(CAPTURA!BD159="","",IFERROR(IF(INDEX(CODIFICACION!$E$2:$E$500,MATCH("D3.14b|"&amp;CAPTURA!BD159,CODIFICACION!$F$2:$F$500,0))="sin dato","",INDEX(CODIFICACION!$E$2:$E$500,MATCH("D3.14b|"&amp;CAPTURA!BD159,CODIFICACION!$F$2:$F$500,0))),"⚠"))</f>
        <v/>
      </c>
      <c r="Z159" t="str">
        <f>IF(CAPTURA!BE159="","",IFERROR(IF(INDEX(CODIFICACION!$E$2:$E$500,MATCH("D3.14c|"&amp;CAPTURA!BE159,CODIFICACION!$F$2:$F$500,0))="sin dato","",INDEX(CODIFICACION!$E$2:$E$500,MATCH("D3.14c|"&amp;CAPTURA!BE159,CODIFICACION!$F$2:$F$500,0))),"⚠"))</f>
        <v/>
      </c>
      <c r="AA159" t="str">
        <f>IF(CAPTURA!BF159="","",IFERROR(IF(INDEX(CODIFICACION!$E$2:$E$500,MATCH("D3.14d|"&amp;CAPTURA!BF159,CODIFICACION!$F$2:$F$500,0))="sin dato","",INDEX(CODIFICACION!$E$2:$E$500,MATCH("D3.14d|"&amp;CAPTURA!BF159,CODIFICACION!$F$2:$F$500,0))),"⚠"))</f>
        <v/>
      </c>
      <c r="AB159" t="str">
        <f>IF(CAPTURA!BG159="","",IFERROR(IF(INDEX(CODIFICACION!$E$2:$E$500,MATCH("D3.14e|"&amp;CAPTURA!BG159,CODIFICACION!$F$2:$F$500,0))="sin dato","",INDEX(CODIFICACION!$E$2:$E$500,MATCH("D3.14e|"&amp;CAPTURA!BG159,CODIFICACION!$F$2:$F$500,0))),"⚠"))</f>
        <v/>
      </c>
      <c r="AC159" t="str">
        <f>IF(CAPTURA!BH159="","",IFERROR(IF(INDEX(CODIFICACION!$E$2:$E$500,MATCH("D3.14f|"&amp;CAPTURA!BH159,CODIFICACION!$F$2:$F$500,0))="sin dato","",INDEX(CODIFICACION!$E$2:$E$500,MATCH("D3.14f|"&amp;CAPTURA!BH159,CODIFICACION!$F$2:$F$500,0))),"⚠"))</f>
        <v/>
      </c>
      <c r="AD159" t="str">
        <f>IF(CAPTURA!BI159="","",IFERROR(IF(INDEX(CODIFICACION!$E$2:$E$500,MATCH("D3.14g|"&amp;CAPTURA!BI159,CODIFICACION!$F$2:$F$500,0))="sin dato","",INDEX(CODIFICACION!$E$2:$E$500,MATCH("D3.14g|"&amp;CAPTURA!BI159,CODIFICACION!$F$2:$F$500,0))),"⚠"))</f>
        <v/>
      </c>
      <c r="AE159" t="str">
        <f>IF(CAPTURA!BJ159="","",IFERROR(IF(INDEX(CODIFICACION!$E$2:$E$500,MATCH("D3.14h|"&amp;CAPTURA!BJ159,CODIFICACION!$F$2:$F$500,0))="sin dato","",INDEX(CODIFICACION!$E$2:$E$500,MATCH("D3.14h|"&amp;CAPTURA!BJ159,CODIFICACION!$F$2:$F$500,0))),"⚠"))</f>
        <v/>
      </c>
      <c r="AF159" t="str">
        <f>IF(CAPTURA!BK159="","",IFERROR(IF(INDEX(CODIFICACION!$E$2:$E$500,MATCH("D3.14i|"&amp;CAPTURA!BK159,CODIFICACION!$F$2:$F$500,0))="sin dato","",INDEX(CODIFICACION!$E$2:$E$500,MATCH("D3.14i|"&amp;CAPTURA!BK159,CODIFICACION!$F$2:$F$500,0))),"⚠"))</f>
        <v/>
      </c>
      <c r="AG159" t="str">
        <f>IF(CAPTURA!BL159="","",IFERROR(IF(INDEX(CODIFICACION!$E$2:$E$500,MATCH("D4.15|"&amp;CAPTURA!BL159,CODIFICACION!$F$2:$F$500,0))="sin dato","",INDEX(CODIFICACION!$E$2:$E$500,MATCH("D4.15|"&amp;CAPTURA!BL159,CODIFICACION!$F$2:$F$500,0))),"⚠"))</f>
        <v/>
      </c>
      <c r="AH159" t="str">
        <f>IF(CAPTURA!BM159="","",IF(AND(ISNUMBER(CAPTURA!BM159),CAPTURA!BM159&gt;=0,CAPTURA!BM159&lt;=4),CAPTURA!BM159*25,"⚠"))</f>
        <v/>
      </c>
      <c r="AI159" t="str">
        <f>IF(CAPTURA!BN159="","",IFERROR(IF(INDEX(CODIFICACION!$E$2:$E$500,MATCH("D4.17|"&amp;CAPTURA!BN159,CODIFICACION!$F$2:$F$500,0))="sin dato","",INDEX(CODIFICACION!$E$2:$E$500,MATCH("D4.17|"&amp;CAPTURA!BN159,CODIFICACION!$F$2:$F$500,0))),"⚠"))</f>
        <v/>
      </c>
      <c r="AJ159" t="str">
        <f>IF(CAPTURA!BO159="","",IFERROR(IF(INDEX(CODIFICACION!$E$2:$E$500,MATCH("D4.15a|"&amp;CAPTURA!BO159,CODIFICACION!$F$2:$F$500,0))="sin dato","",INDEX(CODIFICACION!$E$2:$E$500,MATCH("D4.15a|"&amp;CAPTURA!BO159,CODIFICACION!$F$2:$F$500,0))),"⚠"))</f>
        <v/>
      </c>
      <c r="AK159" t="str">
        <f>IF(CAPTURA!BP159="","",IF(AND(ISNUMBER(CAPTURA!BP159),CAPTURA!BP159&gt;=0,CAPTURA!BP159&lt;=4),CAPTURA!BP159*25,"⚠"))</f>
        <v/>
      </c>
      <c r="AL159" t="str">
        <f>IF(CAPTURA!BQ159="","",IF(AND(ISNUMBER(CAPTURA!BQ159),CAPTURA!BQ159&gt;=0,CAPTURA!BQ159&lt;=4),CAPTURA!BQ159*25,"⚠"))</f>
        <v/>
      </c>
      <c r="AM159" t="str">
        <f>IF(CAPTURA!BR159="","",IFERROR(IF(INDEX(CODIFICACION!$E$2:$E$500,MATCH("D5.18b|"&amp;CAPTURA!BR159,CODIFICACION!$F$2:$F$500,0))="sin dato","",INDEX(CODIFICACION!$E$2:$E$500,MATCH("D5.18b|"&amp;CAPTURA!BR159,CODIFICACION!$F$2:$F$500,0))),"⚠"))</f>
        <v/>
      </c>
      <c r="AN159" t="str">
        <f>IF(CAPTURA!BS159="","",IFERROR(IF(INDEX(CODIFICACION!$E$2:$E$500,MATCH("D5.19|"&amp;CAPTURA!BS159,CODIFICACION!$F$2:$F$500,0))="sin dato","",INDEX(CODIFICACION!$E$2:$E$500,MATCH("D5.19|"&amp;CAPTURA!BS159,CODIFICACION!$F$2:$F$500,0))),"⚠"))</f>
        <v/>
      </c>
      <c r="AO159" t="str">
        <f>IF(CAPTURA!BT159="","",MIN(100,ROUND((LEN(CAPTURA!BT159)-LEN(SUBSTITUTE(CAPTURA!BT159,";",""))+1)/7*100,1)))</f>
        <v/>
      </c>
      <c r="AP159" t="str">
        <f>IF(CAPTURA!BU159="","",IFERROR(IF(INDEX(CODIFICACION!$E$2:$E$500,MATCH("D5.20|"&amp;CAPTURA!BU159,CODIFICACION!$F$2:$F$500,0))="sin dato","",INDEX(CODIFICACION!$E$2:$E$500,MATCH("D5.20|"&amp;CAPTURA!BU159,CODIFICACION!$F$2:$F$500,0))),"⚠"))</f>
        <v/>
      </c>
      <c r="AQ159" t="str">
        <f>IF(CAPTURA!BV159="","",IFERROR(IF(INDEX(CODIFICACION!$E$2:$E$500,MATCH("D5.21|"&amp;CAPTURA!BV159,CODIFICACION!$F$2:$F$500,0))="sin dato","",INDEX(CODIFICACION!$E$2:$E$500,MATCH("D5.21|"&amp;CAPTURA!BV159,CODIFICACION!$F$2:$F$500,0))),"⚠"))</f>
        <v/>
      </c>
      <c r="AR159" t="str">
        <f>IF(CAPTURA!BW159="","",IFERROR(IF(INDEX(CODIFICACION!$E$2:$E$500,MATCH("D5.21a|"&amp;CAPTURA!BW159,CODIFICACION!$F$2:$F$500,0))="sin dato","",INDEX(CODIFICACION!$E$2:$E$500,MATCH("D5.21a|"&amp;CAPTURA!BW159,CODIFICACION!$F$2:$F$500,0))),"⚠"))</f>
        <v/>
      </c>
      <c r="AS159" t="str">
        <f>IF(CAPTURA!BX159="","",IFERROR(IF(INDEX(CODIFICACION!$E$2:$E$500,MATCH("D5.21b|"&amp;CAPTURA!BX159,CODIFICACION!$F$2:$F$500,0))="sin dato","",INDEX(CODIFICACION!$E$2:$E$500,MATCH("D5.21b|"&amp;CAPTURA!BX159,CODIFICACION!$F$2:$F$500,0))),"⚠"))</f>
        <v/>
      </c>
      <c r="AT159" t="str">
        <f>IF(CAPTURA!BY159="","",IFERROR(IF(INDEX(CODIFICACION!$E$2:$E$500,MATCH("D6.22|"&amp;CAPTURA!BY159,CODIFICACION!$F$2:$F$500,0))="sin dato","",INDEX(CODIFICACION!$E$2:$E$500,MATCH("D6.22|"&amp;CAPTURA!BY159,CODIFICACION!$F$2:$F$500,0))),"⚠"))</f>
        <v/>
      </c>
      <c r="AU159" t="str">
        <f>IF(CAPTURA!BZ159="","",IFERROR(IF(INDEX(CODIFICACION!$E$2:$E$500,MATCH("D6.22a|"&amp;CAPTURA!BZ159,CODIFICACION!$F$2:$F$500,0))="sin dato","",INDEX(CODIFICACION!$E$2:$E$500,MATCH("D6.22a|"&amp;CAPTURA!BZ159,CODIFICACION!$F$2:$F$500,0))),"⚠"))</f>
        <v/>
      </c>
      <c r="AV159" t="str">
        <f>IF(CAPTURA!CA159="","",IFERROR(IF(INDEX(CODIFICACION!$E$2:$E$500,MATCH("D6.22b|"&amp;CAPTURA!CA159,CODIFICACION!$F$2:$F$500,0))="sin dato","",INDEX(CODIFICACION!$E$2:$E$500,MATCH("D6.22b|"&amp;CAPTURA!CA159,CODIFICACION!$F$2:$F$500,0))),"⚠"))</f>
        <v/>
      </c>
      <c r="AW159" t="str">
        <f>IF(CAPTURA!CB159="","",IFERROR(IF(INDEX(CODIFICACION!$E$2:$E$500,MATCH("D6.23|"&amp;CAPTURA!CB159,CODIFICACION!$F$2:$F$500,0))="sin dato","",INDEX(CODIFICACION!$E$2:$E$500,MATCH("D6.23|"&amp;CAPTURA!CB159,CODIFICACION!$F$2:$F$500,0))),"⚠"))</f>
        <v/>
      </c>
      <c r="AX159" t="str">
        <f>IF(CAPTURA!CC159="","",IFERROR(IF(INDEX(CODIFICACION!$E$2:$E$500,MATCH("D6.24|"&amp;CAPTURA!CC159,CODIFICACION!$F$2:$F$500,0))="sin dato","",INDEX(CODIFICACION!$E$2:$E$500,MATCH("D6.24|"&amp;CAPTURA!CC159,CODIFICACION!$F$2:$F$500,0))),"⚠"))</f>
        <v/>
      </c>
      <c r="AY159" t="str">
        <f>IF(CAPTURA!CD159="","",IFERROR(IF(INDEX(CODIFICACION!$E$2:$E$500,MATCH("D6.25|"&amp;CAPTURA!CD159,CODIFICACION!$F$2:$F$500,0))="sin dato","",INDEX(CODIFICACION!$E$2:$E$500,MATCH("D6.25|"&amp;CAPTURA!CD159,CODIFICACION!$F$2:$F$500,0))),"⚠"))</f>
        <v/>
      </c>
      <c r="AZ159" t="str">
        <f>IF(CAPTURA!CE159="","",IFERROR(IF(INDEX(CODIFICACION!$E$2:$E$500,MATCH("D6.25a|"&amp;CAPTURA!CE159,CODIFICACION!$F$2:$F$500,0))="sin dato","",INDEX(CODIFICACION!$E$2:$E$500,MATCH("D6.25a|"&amp;CAPTURA!CE159,CODIFICACION!$F$2:$F$500,0))),"⚠"))</f>
        <v/>
      </c>
      <c r="BA159" t="str">
        <f>IF(CAPTURA!CF159="","",IFERROR(IF(INDEX(CODIFICACION!$E$2:$E$500,MATCH("D6.25b|"&amp;CAPTURA!CF159,CODIFICACION!$F$2:$F$500,0))="sin dato","",INDEX(CODIFICACION!$E$2:$E$500,MATCH("D6.25b|"&amp;CAPTURA!CF159,CODIFICACION!$F$2:$F$500,0))),"⚠"))</f>
        <v/>
      </c>
      <c r="BB159" t="str">
        <f>IF(CAPTURA!CG159="","",IFERROR(IF(INDEX(CODIFICACION!$E$2:$E$500,MATCH("D6.22c|"&amp;CAPTURA!CG159,CODIFICACION!$F$2:$F$500,0))="sin dato","",INDEX(CODIFICACION!$E$2:$E$500,MATCH("D6.22c|"&amp;CAPTURA!CG159,CODIFICACION!$F$2:$F$500,0))),"⚠"))</f>
        <v/>
      </c>
      <c r="BC159" t="str">
        <f>IF(CAPTURA!CH159="","",IFERROR(IF(INDEX(CODIFICACION!$E$2:$E$500,MATCH("D7.26|"&amp;CAPTURA!CH159,CODIFICACION!$F$2:$F$500,0))="sin dato","",INDEX(CODIFICACION!$E$2:$E$500,MATCH("D7.26|"&amp;CAPTURA!CH159,CODIFICACION!$F$2:$F$500,0))),"⚠"))</f>
        <v/>
      </c>
      <c r="BD159" t="str">
        <f>IF(CAPTURA!CI159="","",IFERROR(IF(INDEX(CODIFICACION!$E$2:$E$500,MATCH("D7.27|"&amp;CAPTURA!CI159,CODIFICACION!$F$2:$F$500,0))="sin dato","",INDEX(CODIFICACION!$E$2:$E$500,MATCH("D7.27|"&amp;CAPTURA!CI159,CODIFICACION!$F$2:$F$500,0))),"⚠"))</f>
        <v/>
      </c>
      <c r="BE159" t="str">
        <f>IF(CAPTURA!CJ159="","",IFERROR(IF(INDEX(CODIFICACION!$E$2:$E$500,MATCH("D7.28|"&amp;CAPTURA!CJ159,CODIFICACION!$F$2:$F$500,0))="sin dato","",INDEX(CODIFICACION!$E$2:$E$500,MATCH("D7.28|"&amp;CAPTURA!CJ159,CODIFICACION!$F$2:$F$500,0))),"⚠"))</f>
        <v/>
      </c>
      <c r="BF159" t="str">
        <f>IF(CAPTURA!CK159="","",IFERROR(IF(INDEX(CODIFICACION!$E$2:$E$500,MATCH("D7.28b|"&amp;CAPTURA!CK159,CODIFICACION!$F$2:$F$500,0))="sin dato","",INDEX(CODIFICACION!$E$2:$E$500,MATCH("D7.28b|"&amp;CAPTURA!CK159,CODIFICACION!$F$2:$F$500,0))),"⚠"))</f>
        <v/>
      </c>
      <c r="BG159" t="str">
        <f>IF(CAPTURA!CL159="","",MIN(100,ROUND((LEN(CAPTURA!CL159)-LEN(SUBSTITUTE(CAPTURA!CL159,";",""))+1)/8*100,1)))</f>
        <v/>
      </c>
      <c r="BH159" t="str">
        <f>IF(CAPTURA!CM159="","",IFERROR(IF(INDEX(CODIFICACION!$E$2:$E$500,MATCH("D7.26a|"&amp;CAPTURA!CM159,CODIFICACION!$F$2:$F$500,0))="sin dato","",INDEX(CODIFICACION!$E$2:$E$500,MATCH("D7.26a|"&amp;CAPTURA!CM159,CODIFICACION!$F$2:$F$500,0))),"⚠"))</f>
        <v/>
      </c>
      <c r="BI159" t="str">
        <f>IF(CAPTURA!CN159="","",IFERROR(IF(INDEX(CODIFICACION!$E$2:$E$500,MATCH("D7.26b|"&amp;CAPTURA!CN159,CODIFICACION!$F$2:$F$500,0))="sin dato","",INDEX(CODIFICACION!$E$2:$E$500,MATCH("D7.26b|"&amp;CAPTURA!CN159,CODIFICACION!$F$2:$F$500,0))),"⚠"))</f>
        <v/>
      </c>
      <c r="BJ159" t="str">
        <f>IF(CAPTURA!CO159="","",IF(AND(ISNUMBER(CAPTURA!CO159),CAPTURA!CO159&gt;=0,CAPTURA!CO159&lt;=4),CAPTURA!CO159*25,"⚠"))</f>
        <v/>
      </c>
      <c r="BK159" t="str">
        <f>IF(CAPTURA!CP159="","",IF(ISNUMBER(CAPTURA!CP159),MAX(0,MIN(100,CAPTURA!CP159)),"⚠"))</f>
        <v/>
      </c>
      <c r="BL159" t="str">
        <f>IF(CAPTURA!CQ159="","",IFERROR(IF(INDEX(CODIFICACION!$E$2:$E$500,MATCH("D8.31|"&amp;CAPTURA!CQ159,CODIFICACION!$F$2:$F$500,0))="sin dato","",INDEX(CODIFICACION!$E$2:$E$500,MATCH("D8.31|"&amp;CAPTURA!CQ159,CODIFICACION!$F$2:$F$500,0))),"⚠"))</f>
        <v/>
      </c>
      <c r="BM159" t="str">
        <f>IF(CAPTURA!CR159="","",IFERROR(IF(INDEX(CODIFICACION!$E$2:$E$500,MATCH("D8.32|"&amp;CAPTURA!CR159,CODIFICACION!$F$2:$F$500,0))="sin dato","",INDEX(CODIFICACION!$E$2:$E$500,MATCH("D8.32|"&amp;CAPTURA!CR159,CODIFICACION!$F$2:$F$500,0))),"⚠"))</f>
        <v/>
      </c>
      <c r="BN159" t="str">
        <f>IF(CAPTURA!CS159="","",IFERROR(IF(INDEX(CODIFICACION!$E$2:$E$500,MATCH("D9.33|"&amp;CAPTURA!CS159,CODIFICACION!$F$2:$F$500,0))="sin dato","",INDEX(CODIFICACION!$E$2:$E$500,MATCH("D9.33|"&amp;CAPTURA!CS159,CODIFICACION!$F$2:$F$500,0))),"⚠"))</f>
        <v/>
      </c>
      <c r="BO159" t="str">
        <f>IF(CAPTURA!CT159="","",IFERROR(IF(INDEX(CODIFICACION!$E$2:$E$500,MATCH("D9.34|"&amp;CAPTURA!CT159,CODIFICACION!$F$2:$F$500,0))="sin dato","",INDEX(CODIFICACION!$E$2:$E$500,MATCH("D9.34|"&amp;CAPTURA!CT159,CODIFICACION!$F$2:$F$500,0))),"⚠"))</f>
        <v/>
      </c>
      <c r="BP159" t="str">
        <f>IF(CAPTURA!CU159="","",IFERROR(IF(INDEX(CODIFICACION!$E$2:$E$500,MATCH("D9.35|"&amp;CAPTURA!CU159,CODIFICACION!$F$2:$F$500,0))="sin dato","",INDEX(CODIFICACION!$E$2:$E$500,MATCH("D9.35|"&amp;CAPTURA!CU159,CODIFICACION!$F$2:$F$500,0))),"⚠"))</f>
        <v/>
      </c>
      <c r="BQ159" t="str">
        <f>IF(CAPTURA!CV159="","",IFERROR(IF(INDEX(CODIFICACION!$E$2:$E$500,MATCH("D10.36|"&amp;CAPTURA!CV159,CODIFICACION!$F$2:$F$500,0))="sin dato","",INDEX(CODIFICACION!$E$2:$E$500,MATCH("D10.36|"&amp;CAPTURA!CV159,CODIFICACION!$F$2:$F$500,0))),"⚠"))</f>
        <v/>
      </c>
      <c r="BR159" t="str">
        <f>IF(CAPTURA!CW159="","",IFERROR(IF(INDEX(CODIFICACION!$E$2:$E$500,MATCH("D10.37|"&amp;CAPTURA!CW159,CODIFICACION!$F$2:$F$500,0))="sin dato","",INDEX(CODIFICACION!$E$2:$E$500,MATCH("D10.37|"&amp;CAPTURA!CW159,CODIFICACION!$F$2:$F$500,0))),"⚠"))</f>
        <v/>
      </c>
      <c r="BS159" t="str">
        <f>IF(CAPTURA!CX159="","",IFERROR(IF(INDEX(CODIFICACION!$E$2:$E$500,MATCH("D10.36a|"&amp;CAPTURA!CX159,CODIFICACION!$F$2:$F$500,0))="sin dato","",INDEX(CODIFICACION!$E$2:$E$500,MATCH("D10.36a|"&amp;CAPTURA!CX159,CODIFICACION!$F$2:$F$500,0))),"⚠"))</f>
        <v/>
      </c>
      <c r="BT159" t="str">
        <f>IF(CAPTURA!CY159="","",IF(ISNUMBER(SEARCH("Ninguno",CAPTURA!CY159)),0,MIN(100,ROUND((LEN(CAPTURA!CY159)-LEN(SUBSTITUTE(CAPTURA!CY159,";",""))+1)/6*100,1))))</f>
        <v/>
      </c>
      <c r="BU159" t="str">
        <f>IF(CAPTURA!DA159="","",IFERROR(IF(INDEX(CODIFICACION!$E$2:$E$500,MATCH("D11.39a|"&amp;CAPTURA!DA159,CODIFICACION!$F$2:$F$500,0))="sin dato","",INDEX(CODIFICACION!$E$2:$E$500,MATCH("D11.39a|"&amp;CAPTURA!DA159,CODIFICACION!$F$2:$F$500,0))),"⚠"))</f>
        <v/>
      </c>
      <c r="BV159" t="str">
        <f>IF(CAPTURA!DB159="","",IFERROR(IF(INDEX(CODIFICACION!$E$2:$E$500,MATCH("D12.42|"&amp;CAPTURA!DB159,CODIFICACION!$F$2:$F$500,0))="sin dato","",INDEX(CODIFICACION!$E$2:$E$500,MATCH("D12.42|"&amp;CAPTURA!DB159,CODIFICACION!$F$2:$F$500,0))),"⚠"))</f>
        <v/>
      </c>
      <c r="BW159" t="str">
        <f>IF(CAPTURA!DC159="","",IFERROR(IF(INDEX(CODIFICACION!$E$2:$E$500,MATCH("D13.45|"&amp;CAPTURA!DC159,CODIFICACION!$F$2:$F$500,0))="sin dato","",INDEX(CODIFICACION!$E$2:$E$500,MATCH("D13.45|"&amp;CAPTURA!DC159,CODIFICACION!$F$2:$F$500,0))),"⚠"))</f>
        <v/>
      </c>
      <c r="BX159" t="str">
        <f>IF(CAPTURA!DD159="","",IFERROR(IF(INDEX(CODIFICACION!$E$2:$E$500,MATCH("D14.51|"&amp;CAPTURA!DD159,CODIFICACION!$F$2:$F$500,0))="sin dato","",INDEX(CODIFICACION!$E$2:$E$500,MATCH("D14.51|"&amp;CAPTURA!DD159,CODIFICACION!$F$2:$F$500,0))),"⚠"))</f>
        <v/>
      </c>
      <c r="BY159" t="str">
        <f>IF(CAPTURA!DE159="","",IFERROR(IF(INDEX(CODIFICACION!$E$2:$E$500,MATCH("D15.58|"&amp;CAPTURA!DE159,CODIFICACION!$F$2:$F$500,0))="sin dato","",INDEX(CODIFICACION!$E$2:$E$500,MATCH("D15.58|"&amp;CAPTURA!DE159,CODIFICACION!$F$2:$F$500,0))),"⚠"))</f>
        <v/>
      </c>
      <c r="BZ159" t="str">
        <f>IF(CAPTURA!DF159="","",IFERROR(IF(INDEX(CODIFICACION!$E$2:$E$500,MATCH("PP1|"&amp;CAPTURA!DF159,CODIFICACION!$F$2:$F$500,0))="sin dato","",INDEX(CODIFICACION!$E$2:$E$500,MATCH("PP1|"&amp;CAPTURA!DF159,CODIFICACION!$F$2:$F$500,0))),"⚠"))</f>
        <v/>
      </c>
      <c r="CA159" t="str">
        <f>IF(CAPTURA!DG159="","",IFERROR(IF(INDEX(CODIFICACION!$E$2:$E$500,MATCH("PP2|"&amp;CAPTURA!DG159,CODIFICACION!$F$2:$F$500,0))="sin dato","",INDEX(CODIFICACION!$E$2:$E$500,MATCH("PP2|"&amp;CAPTURA!DG159,CODIFICACION!$F$2:$F$500,0))),"⚠"))</f>
        <v/>
      </c>
      <c r="CB159" t="str">
        <f t="shared" si="44"/>
        <v/>
      </c>
      <c r="CC159" t="str">
        <f t="shared" si="45"/>
        <v/>
      </c>
      <c r="CD159" t="str">
        <f t="shared" si="46"/>
        <v/>
      </c>
      <c r="CE159" t="str">
        <f t="shared" si="47"/>
        <v/>
      </c>
      <c r="CF159" t="str">
        <f t="shared" si="48"/>
        <v/>
      </c>
      <c r="CG159" t="str">
        <f t="shared" si="49"/>
        <v/>
      </c>
      <c r="CH159" t="str">
        <f t="shared" si="50"/>
        <v/>
      </c>
      <c r="CI159" t="str">
        <f t="shared" si="51"/>
        <v/>
      </c>
      <c r="CJ159" t="str">
        <f t="shared" si="52"/>
        <v/>
      </c>
      <c r="CK159" t="str">
        <f t="shared" si="53"/>
        <v/>
      </c>
      <c r="CL159" t="str">
        <f t="shared" si="54"/>
        <v/>
      </c>
    </row>
    <row r="160" spans="1:90" x14ac:dyDescent="0.3">
      <c r="A160">
        <f>CAPTURA!A160</f>
        <v>20606717475</v>
      </c>
      <c r="B160">
        <f>CAPTURA!C160</f>
        <v>0</v>
      </c>
      <c r="C160" t="str">
        <f>IF(CAPTURA!M160="","",ROUND((ISNUMBER(SEARCH("Alemania",CAPTURA!M160))+ISNUMBER(SEARCH("Bélgica",CAPTURA!M160))+ISNUMBER(SEARCH("Países Bajos",CAPTURA!M160))+ISNUMBER(SEARCH("Francia",CAPTURA!M160))+ISNUMBER(SEARCH("Italia",CAPTURA!M160))+ISNUMBER(SEARCH("España",CAPTURA!M160))+ISNUMBER(SEARCH("Suecia",CAPTURA!M160))+ISNUMBER(SEARCH("Dinamarca",CAPTURA!M160)))/((LEN(CAPTURA!M160)-LEN(SUBSTITUTE(CAPTURA!M160,";","")))+1)*100,1))</f>
        <v/>
      </c>
      <c r="D160" t="str">
        <f>IF(CAPTURA!AE160="","",IFERROR(IF(INDEX(CODIFICACION!$E$2:$E$500,MATCH("P8|"&amp;CAPTURA!AE160,CODIFICACION!$F$2:$F$500,0))="sin dato","",INDEX(CODIFICACION!$E$2:$E$500,MATCH("P8|"&amp;CAPTURA!AE160,CODIFICACION!$F$2:$F$500,0))),"⚠"))</f>
        <v/>
      </c>
      <c r="E160" t="str">
        <f>IF(CAPTURA!AG160="","",IFERROR(IF(INDEX(CODIFICACION!$E$2:$E$500,MATCH("P10|"&amp;CAPTURA!AG160,CODIFICACION!$F$2:$F$500,0))="sin dato","",INDEX(CODIFICACION!$E$2:$E$500,MATCH("P10|"&amp;CAPTURA!AG160,CODIFICACION!$F$2:$F$500,0))),"⚠"))</f>
        <v/>
      </c>
      <c r="F160" t="str">
        <f>IF(CAPTURA!AJ160="","",IFERROR(IF(INDEX(CODIFICACION!$E$2:$E$500,MATCH("P13|"&amp;CAPTURA!AJ160,CODIFICACION!$F$2:$F$500,0))="sin dato","",INDEX(CODIFICACION!$E$2:$E$500,MATCH("P13|"&amp;CAPTURA!AJ160,CODIFICACION!$F$2:$F$500,0))),"⚠"))</f>
        <v/>
      </c>
      <c r="G160" t="str">
        <f>IF(CAPTURA!AK160="","",IFERROR(IF(INDEX(CODIFICACION!$E$2:$E$500,MATCH("P14|"&amp;CAPTURA!AK160,CODIFICACION!$F$2:$F$500,0))="sin dato","",INDEX(CODIFICACION!$E$2:$E$500,MATCH("P14|"&amp;CAPTURA!AK160,CODIFICACION!$F$2:$F$500,0))),"⚠"))</f>
        <v/>
      </c>
      <c r="H160" t="str">
        <f>IF(CAPTURA!AL160="","",IFERROR(IF(INDEX(CODIFICACION!$E$2:$E$500,MATCH("D1.1|"&amp;CAPTURA!AL160,CODIFICACION!$F$2:$F$500,0))="sin dato","",INDEX(CODIFICACION!$E$2:$E$500,MATCH("D1.1|"&amp;CAPTURA!AL160,CODIFICACION!$F$2:$F$500,0))),"⚠"))</f>
        <v/>
      </c>
      <c r="I160" t="str">
        <f>IF(CAPTURA!AN160="","",IFERROR(IF(INDEX(CODIFICACION!$E$2:$E$500,MATCH("D1.3|"&amp;CAPTURA!AN160,CODIFICACION!$F$2:$F$500,0))="sin dato","",INDEX(CODIFICACION!$E$2:$E$500,MATCH("D1.3|"&amp;CAPTURA!AN160,CODIFICACION!$F$2:$F$500,0))),"⚠"))</f>
        <v/>
      </c>
      <c r="J160" t="str">
        <f>IF(CAPTURA!AO160="","",IFERROR(IF(INDEX(CODIFICACION!$E$2:$E$500,MATCH("D1.4|"&amp;CAPTURA!AO160,CODIFICACION!$F$2:$F$500,0))="sin dato","",INDEX(CODIFICACION!$E$2:$E$500,MATCH("D1.4|"&amp;CAPTURA!AO160,CODIFICACION!$F$2:$F$500,0))),"⚠"))</f>
        <v/>
      </c>
      <c r="K160" t="str">
        <f>IF(CAPTURA!AP160="","",IFERROR(IF(INDEX(CODIFICACION!$E$2:$E$500,MATCH("D1.3a|"&amp;CAPTURA!AP160,CODIFICACION!$F$2:$F$500,0))="sin dato","",INDEX(CODIFICACION!$E$2:$E$500,MATCH("D1.3a|"&amp;CAPTURA!AP160,CODIFICACION!$F$2:$F$500,0))),"⚠"))</f>
        <v/>
      </c>
      <c r="L160" t="str">
        <f>IF(CAPTURA!AQ160="","",IF(AND(ISNUMBER(CAPTURA!AQ160),CAPTURA!AQ160&gt;=0,CAPTURA!AQ160&lt;=4),CAPTURA!AQ160*25,"⚠"))</f>
        <v/>
      </c>
      <c r="M160" t="str">
        <f>IF(CAPTURA!AR160="","",IF(ISNUMBER(CAPTURA!AR160),MAX(0,MIN(100,CAPTURA!AR160)),"⚠"))</f>
        <v/>
      </c>
      <c r="N160" t="str">
        <f>IF(CAPTURA!AS160="","",IF(AND(ISNUMBER(CAPTURA!AS160),CAPTURA!AS160&gt;=0,CAPTURA!AS160&lt;=4),CAPTURA!AS160*25,"⚠"))</f>
        <v/>
      </c>
      <c r="O160" t="str">
        <f>IF(CAPTURA!AT160="","",IFERROR(IF(INDEX(CODIFICACION!$E$2:$E$500,MATCH("D2.8|"&amp;CAPTURA!AT160,CODIFICACION!$F$2:$F$500,0))="sin dato","",INDEX(CODIFICACION!$E$2:$E$500,MATCH("D2.8|"&amp;CAPTURA!AT160,CODIFICACION!$F$2:$F$500,0))),"⚠"))</f>
        <v/>
      </c>
      <c r="P160" t="str">
        <f>IF(CAPTURA!AU160="","",IFERROR(IF(INDEX(CODIFICACION!$E$2:$E$500,MATCH("D2.9|"&amp;CAPTURA!AU160,CODIFICACION!$F$2:$F$500,0))="sin dato","",INDEX(CODIFICACION!$E$2:$E$500,MATCH("D2.9|"&amp;CAPTURA!AU160,CODIFICACION!$F$2:$F$500,0))),"⚠"))</f>
        <v/>
      </c>
      <c r="Q160" t="str">
        <f>IF(CAPTURA!AV160="","",IFERROR(IF(INDEX(CODIFICACION!$E$2:$E$500,MATCH("D2.10|"&amp;CAPTURA!AV160,CODIFICACION!$F$2:$F$500,0))="sin dato","",INDEX(CODIFICACION!$E$2:$E$500,MATCH("D2.10|"&amp;CAPTURA!AV160,CODIFICACION!$F$2:$F$500,0))),"⚠"))</f>
        <v/>
      </c>
      <c r="R160" t="str">
        <f>IF(CAPTURA!AW160="","",IFERROR(IF(INDEX(CODIFICACION!$E$2:$E$500,MATCH("D2.5a|"&amp;CAPTURA!AW160,CODIFICACION!$F$2:$F$500,0))="sin dato","",INDEX(CODIFICACION!$E$2:$E$500,MATCH("D2.5a|"&amp;CAPTURA!AW160,CODIFICACION!$F$2:$F$500,0))),"⚠"))</f>
        <v/>
      </c>
      <c r="S160" t="str">
        <f>IF(CAPTURA!AX160="","",IFERROR(IF(INDEX(CODIFICACION!$E$2:$E$500,MATCH("D2.5b|"&amp;CAPTURA!AX160,CODIFICACION!$F$2:$F$500,0))="sin dato","",INDEX(CODIFICACION!$E$2:$E$500,MATCH("D2.5b|"&amp;CAPTURA!AX160,CODIFICACION!$F$2:$F$500,0))),"⚠"))</f>
        <v/>
      </c>
      <c r="T160" t="str">
        <f>IF(CAPTURA!AY160="","",IF(ISNUMBER(CAPTURA!AY160),MAX(0,MIN(100,CAPTURA!AY160)),"⚠"))</f>
        <v/>
      </c>
      <c r="U160" t="str">
        <f>IF(CAPTURA!AZ160="","",IFERROR(IF(INDEX(CODIFICACION!$E$2:$E$500,MATCH("D3.12|"&amp;CAPTURA!AZ160,CODIFICACION!$F$2:$F$500,0))="sin dato","",INDEX(CODIFICACION!$E$2:$E$500,MATCH("D3.12|"&amp;CAPTURA!AZ160,CODIFICACION!$F$2:$F$500,0))),"⚠"))</f>
        <v/>
      </c>
      <c r="V160" t="str">
        <f>IF(CAPTURA!BA160="","",IF(AND(ISNUMBER(CAPTURA!BA160),CAPTURA!BA160&gt;=0,CAPTURA!BA160&lt;=4),CAPTURA!BA160*25,"⚠"))</f>
        <v/>
      </c>
      <c r="W160" t="str">
        <f>IF(CAPTURA!BB160="","",IFERROR(IF(INDEX(CODIFICACION!$E$2:$E$500,MATCH("D3.14|"&amp;CAPTURA!BB160,CODIFICACION!$F$2:$F$500,0))="sin dato","",INDEX(CODIFICACION!$E$2:$E$500,MATCH("D3.14|"&amp;CAPTURA!BB160,CODIFICACION!$F$2:$F$500,0))),"⚠"))</f>
        <v/>
      </c>
      <c r="X160" t="str">
        <f>IF(CAPTURA!BC160="","",IFERROR(IF(INDEX(CODIFICACION!$E$2:$E$500,MATCH("D3.14a|"&amp;CAPTURA!BC160,CODIFICACION!$F$2:$F$500,0))="sin dato","",INDEX(CODIFICACION!$E$2:$E$500,MATCH("D3.14a|"&amp;CAPTURA!BC160,CODIFICACION!$F$2:$F$500,0))),"⚠"))</f>
        <v/>
      </c>
      <c r="Y160" t="str">
        <f>IF(CAPTURA!BD160="","",IFERROR(IF(INDEX(CODIFICACION!$E$2:$E$500,MATCH("D3.14b|"&amp;CAPTURA!BD160,CODIFICACION!$F$2:$F$500,0))="sin dato","",INDEX(CODIFICACION!$E$2:$E$500,MATCH("D3.14b|"&amp;CAPTURA!BD160,CODIFICACION!$F$2:$F$500,0))),"⚠"))</f>
        <v/>
      </c>
      <c r="Z160" t="str">
        <f>IF(CAPTURA!BE160="","",IFERROR(IF(INDEX(CODIFICACION!$E$2:$E$500,MATCH("D3.14c|"&amp;CAPTURA!BE160,CODIFICACION!$F$2:$F$500,0))="sin dato","",INDEX(CODIFICACION!$E$2:$E$500,MATCH("D3.14c|"&amp;CAPTURA!BE160,CODIFICACION!$F$2:$F$500,0))),"⚠"))</f>
        <v/>
      </c>
      <c r="AA160" t="str">
        <f>IF(CAPTURA!BF160="","",IFERROR(IF(INDEX(CODIFICACION!$E$2:$E$500,MATCH("D3.14d|"&amp;CAPTURA!BF160,CODIFICACION!$F$2:$F$500,0))="sin dato","",INDEX(CODIFICACION!$E$2:$E$500,MATCH("D3.14d|"&amp;CAPTURA!BF160,CODIFICACION!$F$2:$F$500,0))),"⚠"))</f>
        <v/>
      </c>
      <c r="AB160" t="str">
        <f>IF(CAPTURA!BG160="","",IFERROR(IF(INDEX(CODIFICACION!$E$2:$E$500,MATCH("D3.14e|"&amp;CAPTURA!BG160,CODIFICACION!$F$2:$F$500,0))="sin dato","",INDEX(CODIFICACION!$E$2:$E$500,MATCH("D3.14e|"&amp;CAPTURA!BG160,CODIFICACION!$F$2:$F$500,0))),"⚠"))</f>
        <v/>
      </c>
      <c r="AC160" t="str">
        <f>IF(CAPTURA!BH160="","",IFERROR(IF(INDEX(CODIFICACION!$E$2:$E$500,MATCH("D3.14f|"&amp;CAPTURA!BH160,CODIFICACION!$F$2:$F$500,0))="sin dato","",INDEX(CODIFICACION!$E$2:$E$500,MATCH("D3.14f|"&amp;CAPTURA!BH160,CODIFICACION!$F$2:$F$500,0))),"⚠"))</f>
        <v/>
      </c>
      <c r="AD160" t="str">
        <f>IF(CAPTURA!BI160="","",IFERROR(IF(INDEX(CODIFICACION!$E$2:$E$500,MATCH("D3.14g|"&amp;CAPTURA!BI160,CODIFICACION!$F$2:$F$500,0))="sin dato","",INDEX(CODIFICACION!$E$2:$E$500,MATCH("D3.14g|"&amp;CAPTURA!BI160,CODIFICACION!$F$2:$F$500,0))),"⚠"))</f>
        <v/>
      </c>
      <c r="AE160" t="str">
        <f>IF(CAPTURA!BJ160="","",IFERROR(IF(INDEX(CODIFICACION!$E$2:$E$500,MATCH("D3.14h|"&amp;CAPTURA!BJ160,CODIFICACION!$F$2:$F$500,0))="sin dato","",INDEX(CODIFICACION!$E$2:$E$500,MATCH("D3.14h|"&amp;CAPTURA!BJ160,CODIFICACION!$F$2:$F$500,0))),"⚠"))</f>
        <v/>
      </c>
      <c r="AF160" t="str">
        <f>IF(CAPTURA!BK160="","",IFERROR(IF(INDEX(CODIFICACION!$E$2:$E$500,MATCH("D3.14i|"&amp;CAPTURA!BK160,CODIFICACION!$F$2:$F$500,0))="sin dato","",INDEX(CODIFICACION!$E$2:$E$500,MATCH("D3.14i|"&amp;CAPTURA!BK160,CODIFICACION!$F$2:$F$500,0))),"⚠"))</f>
        <v/>
      </c>
      <c r="AG160" t="str">
        <f>IF(CAPTURA!BL160="","",IFERROR(IF(INDEX(CODIFICACION!$E$2:$E$500,MATCH("D4.15|"&amp;CAPTURA!BL160,CODIFICACION!$F$2:$F$500,0))="sin dato","",INDEX(CODIFICACION!$E$2:$E$500,MATCH("D4.15|"&amp;CAPTURA!BL160,CODIFICACION!$F$2:$F$500,0))),"⚠"))</f>
        <v/>
      </c>
      <c r="AH160" t="str">
        <f>IF(CAPTURA!BM160="","",IF(AND(ISNUMBER(CAPTURA!BM160),CAPTURA!BM160&gt;=0,CAPTURA!BM160&lt;=4),CAPTURA!BM160*25,"⚠"))</f>
        <v/>
      </c>
      <c r="AI160" t="str">
        <f>IF(CAPTURA!BN160="","",IFERROR(IF(INDEX(CODIFICACION!$E$2:$E$500,MATCH("D4.17|"&amp;CAPTURA!BN160,CODIFICACION!$F$2:$F$500,0))="sin dato","",INDEX(CODIFICACION!$E$2:$E$500,MATCH("D4.17|"&amp;CAPTURA!BN160,CODIFICACION!$F$2:$F$500,0))),"⚠"))</f>
        <v/>
      </c>
      <c r="AJ160" t="str">
        <f>IF(CAPTURA!BO160="","",IFERROR(IF(INDEX(CODIFICACION!$E$2:$E$500,MATCH("D4.15a|"&amp;CAPTURA!BO160,CODIFICACION!$F$2:$F$500,0))="sin dato","",INDEX(CODIFICACION!$E$2:$E$500,MATCH("D4.15a|"&amp;CAPTURA!BO160,CODIFICACION!$F$2:$F$500,0))),"⚠"))</f>
        <v/>
      </c>
      <c r="AK160" t="str">
        <f>IF(CAPTURA!BP160="","",IF(AND(ISNUMBER(CAPTURA!BP160),CAPTURA!BP160&gt;=0,CAPTURA!BP160&lt;=4),CAPTURA!BP160*25,"⚠"))</f>
        <v/>
      </c>
      <c r="AL160" t="str">
        <f>IF(CAPTURA!BQ160="","",IF(AND(ISNUMBER(CAPTURA!BQ160),CAPTURA!BQ160&gt;=0,CAPTURA!BQ160&lt;=4),CAPTURA!BQ160*25,"⚠"))</f>
        <v/>
      </c>
      <c r="AM160" t="str">
        <f>IF(CAPTURA!BR160="","",IFERROR(IF(INDEX(CODIFICACION!$E$2:$E$500,MATCH("D5.18b|"&amp;CAPTURA!BR160,CODIFICACION!$F$2:$F$500,0))="sin dato","",INDEX(CODIFICACION!$E$2:$E$500,MATCH("D5.18b|"&amp;CAPTURA!BR160,CODIFICACION!$F$2:$F$500,0))),"⚠"))</f>
        <v/>
      </c>
      <c r="AN160" t="str">
        <f>IF(CAPTURA!BS160="","",IFERROR(IF(INDEX(CODIFICACION!$E$2:$E$500,MATCH("D5.19|"&amp;CAPTURA!BS160,CODIFICACION!$F$2:$F$500,0))="sin dato","",INDEX(CODIFICACION!$E$2:$E$500,MATCH("D5.19|"&amp;CAPTURA!BS160,CODIFICACION!$F$2:$F$500,0))),"⚠"))</f>
        <v/>
      </c>
      <c r="AO160" t="str">
        <f>IF(CAPTURA!BT160="","",MIN(100,ROUND((LEN(CAPTURA!BT160)-LEN(SUBSTITUTE(CAPTURA!BT160,";",""))+1)/7*100,1)))</f>
        <v/>
      </c>
      <c r="AP160" t="str">
        <f>IF(CAPTURA!BU160="","",IFERROR(IF(INDEX(CODIFICACION!$E$2:$E$500,MATCH("D5.20|"&amp;CAPTURA!BU160,CODIFICACION!$F$2:$F$500,0))="sin dato","",INDEX(CODIFICACION!$E$2:$E$500,MATCH("D5.20|"&amp;CAPTURA!BU160,CODIFICACION!$F$2:$F$500,0))),"⚠"))</f>
        <v/>
      </c>
      <c r="AQ160" t="str">
        <f>IF(CAPTURA!BV160="","",IFERROR(IF(INDEX(CODIFICACION!$E$2:$E$500,MATCH("D5.21|"&amp;CAPTURA!BV160,CODIFICACION!$F$2:$F$500,0))="sin dato","",INDEX(CODIFICACION!$E$2:$E$500,MATCH("D5.21|"&amp;CAPTURA!BV160,CODIFICACION!$F$2:$F$500,0))),"⚠"))</f>
        <v/>
      </c>
      <c r="AR160" t="str">
        <f>IF(CAPTURA!BW160="","",IFERROR(IF(INDEX(CODIFICACION!$E$2:$E$500,MATCH("D5.21a|"&amp;CAPTURA!BW160,CODIFICACION!$F$2:$F$500,0))="sin dato","",INDEX(CODIFICACION!$E$2:$E$500,MATCH("D5.21a|"&amp;CAPTURA!BW160,CODIFICACION!$F$2:$F$500,0))),"⚠"))</f>
        <v/>
      </c>
      <c r="AS160" t="str">
        <f>IF(CAPTURA!BX160="","",IFERROR(IF(INDEX(CODIFICACION!$E$2:$E$500,MATCH("D5.21b|"&amp;CAPTURA!BX160,CODIFICACION!$F$2:$F$500,0))="sin dato","",INDEX(CODIFICACION!$E$2:$E$500,MATCH("D5.21b|"&amp;CAPTURA!BX160,CODIFICACION!$F$2:$F$500,0))),"⚠"))</f>
        <v/>
      </c>
      <c r="AT160" t="str">
        <f>IF(CAPTURA!BY160="","",IFERROR(IF(INDEX(CODIFICACION!$E$2:$E$500,MATCH("D6.22|"&amp;CAPTURA!BY160,CODIFICACION!$F$2:$F$500,0))="sin dato","",INDEX(CODIFICACION!$E$2:$E$500,MATCH("D6.22|"&amp;CAPTURA!BY160,CODIFICACION!$F$2:$F$500,0))),"⚠"))</f>
        <v/>
      </c>
      <c r="AU160" t="str">
        <f>IF(CAPTURA!BZ160="","",IFERROR(IF(INDEX(CODIFICACION!$E$2:$E$500,MATCH("D6.22a|"&amp;CAPTURA!BZ160,CODIFICACION!$F$2:$F$500,0))="sin dato","",INDEX(CODIFICACION!$E$2:$E$500,MATCH("D6.22a|"&amp;CAPTURA!BZ160,CODIFICACION!$F$2:$F$500,0))),"⚠"))</f>
        <v/>
      </c>
      <c r="AV160" t="str">
        <f>IF(CAPTURA!CA160="","",IFERROR(IF(INDEX(CODIFICACION!$E$2:$E$500,MATCH("D6.22b|"&amp;CAPTURA!CA160,CODIFICACION!$F$2:$F$500,0))="sin dato","",INDEX(CODIFICACION!$E$2:$E$500,MATCH("D6.22b|"&amp;CAPTURA!CA160,CODIFICACION!$F$2:$F$500,0))),"⚠"))</f>
        <v/>
      </c>
      <c r="AW160" t="str">
        <f>IF(CAPTURA!CB160="","",IFERROR(IF(INDEX(CODIFICACION!$E$2:$E$500,MATCH("D6.23|"&amp;CAPTURA!CB160,CODIFICACION!$F$2:$F$500,0))="sin dato","",INDEX(CODIFICACION!$E$2:$E$500,MATCH("D6.23|"&amp;CAPTURA!CB160,CODIFICACION!$F$2:$F$500,0))),"⚠"))</f>
        <v/>
      </c>
      <c r="AX160" t="str">
        <f>IF(CAPTURA!CC160="","",IFERROR(IF(INDEX(CODIFICACION!$E$2:$E$500,MATCH("D6.24|"&amp;CAPTURA!CC160,CODIFICACION!$F$2:$F$500,0))="sin dato","",INDEX(CODIFICACION!$E$2:$E$500,MATCH("D6.24|"&amp;CAPTURA!CC160,CODIFICACION!$F$2:$F$500,0))),"⚠"))</f>
        <v/>
      </c>
      <c r="AY160" t="str">
        <f>IF(CAPTURA!CD160="","",IFERROR(IF(INDEX(CODIFICACION!$E$2:$E$500,MATCH("D6.25|"&amp;CAPTURA!CD160,CODIFICACION!$F$2:$F$500,0))="sin dato","",INDEX(CODIFICACION!$E$2:$E$500,MATCH("D6.25|"&amp;CAPTURA!CD160,CODIFICACION!$F$2:$F$500,0))),"⚠"))</f>
        <v/>
      </c>
      <c r="AZ160" t="str">
        <f>IF(CAPTURA!CE160="","",IFERROR(IF(INDEX(CODIFICACION!$E$2:$E$500,MATCH("D6.25a|"&amp;CAPTURA!CE160,CODIFICACION!$F$2:$F$500,0))="sin dato","",INDEX(CODIFICACION!$E$2:$E$500,MATCH("D6.25a|"&amp;CAPTURA!CE160,CODIFICACION!$F$2:$F$500,0))),"⚠"))</f>
        <v/>
      </c>
      <c r="BA160" t="str">
        <f>IF(CAPTURA!CF160="","",IFERROR(IF(INDEX(CODIFICACION!$E$2:$E$500,MATCH("D6.25b|"&amp;CAPTURA!CF160,CODIFICACION!$F$2:$F$500,0))="sin dato","",INDEX(CODIFICACION!$E$2:$E$500,MATCH("D6.25b|"&amp;CAPTURA!CF160,CODIFICACION!$F$2:$F$500,0))),"⚠"))</f>
        <v/>
      </c>
      <c r="BB160" t="str">
        <f>IF(CAPTURA!CG160="","",IFERROR(IF(INDEX(CODIFICACION!$E$2:$E$500,MATCH("D6.22c|"&amp;CAPTURA!CG160,CODIFICACION!$F$2:$F$500,0))="sin dato","",INDEX(CODIFICACION!$E$2:$E$500,MATCH("D6.22c|"&amp;CAPTURA!CG160,CODIFICACION!$F$2:$F$500,0))),"⚠"))</f>
        <v/>
      </c>
      <c r="BC160" t="str">
        <f>IF(CAPTURA!CH160="","",IFERROR(IF(INDEX(CODIFICACION!$E$2:$E$500,MATCH("D7.26|"&amp;CAPTURA!CH160,CODIFICACION!$F$2:$F$500,0))="sin dato","",INDEX(CODIFICACION!$E$2:$E$500,MATCH("D7.26|"&amp;CAPTURA!CH160,CODIFICACION!$F$2:$F$500,0))),"⚠"))</f>
        <v/>
      </c>
      <c r="BD160" t="str">
        <f>IF(CAPTURA!CI160="","",IFERROR(IF(INDEX(CODIFICACION!$E$2:$E$500,MATCH("D7.27|"&amp;CAPTURA!CI160,CODIFICACION!$F$2:$F$500,0))="sin dato","",INDEX(CODIFICACION!$E$2:$E$500,MATCH("D7.27|"&amp;CAPTURA!CI160,CODIFICACION!$F$2:$F$500,0))),"⚠"))</f>
        <v/>
      </c>
      <c r="BE160" t="str">
        <f>IF(CAPTURA!CJ160="","",IFERROR(IF(INDEX(CODIFICACION!$E$2:$E$500,MATCH("D7.28|"&amp;CAPTURA!CJ160,CODIFICACION!$F$2:$F$500,0))="sin dato","",INDEX(CODIFICACION!$E$2:$E$500,MATCH("D7.28|"&amp;CAPTURA!CJ160,CODIFICACION!$F$2:$F$500,0))),"⚠"))</f>
        <v/>
      </c>
      <c r="BF160" t="str">
        <f>IF(CAPTURA!CK160="","",IFERROR(IF(INDEX(CODIFICACION!$E$2:$E$500,MATCH("D7.28b|"&amp;CAPTURA!CK160,CODIFICACION!$F$2:$F$500,0))="sin dato","",INDEX(CODIFICACION!$E$2:$E$500,MATCH("D7.28b|"&amp;CAPTURA!CK160,CODIFICACION!$F$2:$F$500,0))),"⚠"))</f>
        <v/>
      </c>
      <c r="BG160" t="str">
        <f>IF(CAPTURA!CL160="","",MIN(100,ROUND((LEN(CAPTURA!CL160)-LEN(SUBSTITUTE(CAPTURA!CL160,";",""))+1)/8*100,1)))</f>
        <v/>
      </c>
      <c r="BH160" t="str">
        <f>IF(CAPTURA!CM160="","",IFERROR(IF(INDEX(CODIFICACION!$E$2:$E$500,MATCH("D7.26a|"&amp;CAPTURA!CM160,CODIFICACION!$F$2:$F$500,0))="sin dato","",INDEX(CODIFICACION!$E$2:$E$500,MATCH("D7.26a|"&amp;CAPTURA!CM160,CODIFICACION!$F$2:$F$500,0))),"⚠"))</f>
        <v/>
      </c>
      <c r="BI160" t="str">
        <f>IF(CAPTURA!CN160="","",IFERROR(IF(INDEX(CODIFICACION!$E$2:$E$500,MATCH("D7.26b|"&amp;CAPTURA!CN160,CODIFICACION!$F$2:$F$500,0))="sin dato","",INDEX(CODIFICACION!$E$2:$E$500,MATCH("D7.26b|"&amp;CAPTURA!CN160,CODIFICACION!$F$2:$F$500,0))),"⚠"))</f>
        <v/>
      </c>
      <c r="BJ160" t="str">
        <f>IF(CAPTURA!CO160="","",IF(AND(ISNUMBER(CAPTURA!CO160),CAPTURA!CO160&gt;=0,CAPTURA!CO160&lt;=4),CAPTURA!CO160*25,"⚠"))</f>
        <v/>
      </c>
      <c r="BK160" t="str">
        <f>IF(CAPTURA!CP160="","",IF(ISNUMBER(CAPTURA!CP160),MAX(0,MIN(100,CAPTURA!CP160)),"⚠"))</f>
        <v/>
      </c>
      <c r="BL160" t="str">
        <f>IF(CAPTURA!CQ160="","",IFERROR(IF(INDEX(CODIFICACION!$E$2:$E$500,MATCH("D8.31|"&amp;CAPTURA!CQ160,CODIFICACION!$F$2:$F$500,0))="sin dato","",INDEX(CODIFICACION!$E$2:$E$500,MATCH("D8.31|"&amp;CAPTURA!CQ160,CODIFICACION!$F$2:$F$500,0))),"⚠"))</f>
        <v/>
      </c>
      <c r="BM160" t="str">
        <f>IF(CAPTURA!CR160="","",IFERROR(IF(INDEX(CODIFICACION!$E$2:$E$500,MATCH("D8.32|"&amp;CAPTURA!CR160,CODIFICACION!$F$2:$F$500,0))="sin dato","",INDEX(CODIFICACION!$E$2:$E$500,MATCH("D8.32|"&amp;CAPTURA!CR160,CODIFICACION!$F$2:$F$500,0))),"⚠"))</f>
        <v/>
      </c>
      <c r="BN160" t="str">
        <f>IF(CAPTURA!CS160="","",IFERROR(IF(INDEX(CODIFICACION!$E$2:$E$500,MATCH("D9.33|"&amp;CAPTURA!CS160,CODIFICACION!$F$2:$F$500,0))="sin dato","",INDEX(CODIFICACION!$E$2:$E$500,MATCH("D9.33|"&amp;CAPTURA!CS160,CODIFICACION!$F$2:$F$500,0))),"⚠"))</f>
        <v/>
      </c>
      <c r="BO160" t="str">
        <f>IF(CAPTURA!CT160="","",IFERROR(IF(INDEX(CODIFICACION!$E$2:$E$500,MATCH("D9.34|"&amp;CAPTURA!CT160,CODIFICACION!$F$2:$F$500,0))="sin dato","",INDEX(CODIFICACION!$E$2:$E$500,MATCH("D9.34|"&amp;CAPTURA!CT160,CODIFICACION!$F$2:$F$500,0))),"⚠"))</f>
        <v/>
      </c>
      <c r="BP160" t="str">
        <f>IF(CAPTURA!CU160="","",IFERROR(IF(INDEX(CODIFICACION!$E$2:$E$500,MATCH("D9.35|"&amp;CAPTURA!CU160,CODIFICACION!$F$2:$F$500,0))="sin dato","",INDEX(CODIFICACION!$E$2:$E$500,MATCH("D9.35|"&amp;CAPTURA!CU160,CODIFICACION!$F$2:$F$500,0))),"⚠"))</f>
        <v/>
      </c>
      <c r="BQ160" t="str">
        <f>IF(CAPTURA!CV160="","",IFERROR(IF(INDEX(CODIFICACION!$E$2:$E$500,MATCH("D10.36|"&amp;CAPTURA!CV160,CODIFICACION!$F$2:$F$500,0))="sin dato","",INDEX(CODIFICACION!$E$2:$E$500,MATCH("D10.36|"&amp;CAPTURA!CV160,CODIFICACION!$F$2:$F$500,0))),"⚠"))</f>
        <v/>
      </c>
      <c r="BR160" t="str">
        <f>IF(CAPTURA!CW160="","",IFERROR(IF(INDEX(CODIFICACION!$E$2:$E$500,MATCH("D10.37|"&amp;CAPTURA!CW160,CODIFICACION!$F$2:$F$500,0))="sin dato","",INDEX(CODIFICACION!$E$2:$E$500,MATCH("D10.37|"&amp;CAPTURA!CW160,CODIFICACION!$F$2:$F$500,0))),"⚠"))</f>
        <v/>
      </c>
      <c r="BS160" t="str">
        <f>IF(CAPTURA!CX160="","",IFERROR(IF(INDEX(CODIFICACION!$E$2:$E$500,MATCH("D10.36a|"&amp;CAPTURA!CX160,CODIFICACION!$F$2:$F$500,0))="sin dato","",INDEX(CODIFICACION!$E$2:$E$500,MATCH("D10.36a|"&amp;CAPTURA!CX160,CODIFICACION!$F$2:$F$500,0))),"⚠"))</f>
        <v/>
      </c>
      <c r="BT160" t="str">
        <f>IF(CAPTURA!CY160="","",IF(ISNUMBER(SEARCH("Ninguno",CAPTURA!CY160)),0,MIN(100,ROUND((LEN(CAPTURA!CY160)-LEN(SUBSTITUTE(CAPTURA!CY160,";",""))+1)/6*100,1))))</f>
        <v/>
      </c>
      <c r="BU160" t="str">
        <f>IF(CAPTURA!DA160="","",IFERROR(IF(INDEX(CODIFICACION!$E$2:$E$500,MATCH("D11.39a|"&amp;CAPTURA!DA160,CODIFICACION!$F$2:$F$500,0))="sin dato","",INDEX(CODIFICACION!$E$2:$E$500,MATCH("D11.39a|"&amp;CAPTURA!DA160,CODIFICACION!$F$2:$F$500,0))),"⚠"))</f>
        <v/>
      </c>
      <c r="BV160" t="str">
        <f>IF(CAPTURA!DB160="","",IFERROR(IF(INDEX(CODIFICACION!$E$2:$E$500,MATCH("D12.42|"&amp;CAPTURA!DB160,CODIFICACION!$F$2:$F$500,0))="sin dato","",INDEX(CODIFICACION!$E$2:$E$500,MATCH("D12.42|"&amp;CAPTURA!DB160,CODIFICACION!$F$2:$F$500,0))),"⚠"))</f>
        <v/>
      </c>
      <c r="BW160" t="str">
        <f>IF(CAPTURA!DC160="","",IFERROR(IF(INDEX(CODIFICACION!$E$2:$E$500,MATCH("D13.45|"&amp;CAPTURA!DC160,CODIFICACION!$F$2:$F$500,0))="sin dato","",INDEX(CODIFICACION!$E$2:$E$500,MATCH("D13.45|"&amp;CAPTURA!DC160,CODIFICACION!$F$2:$F$500,0))),"⚠"))</f>
        <v/>
      </c>
      <c r="BX160" t="str">
        <f>IF(CAPTURA!DD160="","",IFERROR(IF(INDEX(CODIFICACION!$E$2:$E$500,MATCH("D14.51|"&amp;CAPTURA!DD160,CODIFICACION!$F$2:$F$500,0))="sin dato","",INDEX(CODIFICACION!$E$2:$E$500,MATCH("D14.51|"&amp;CAPTURA!DD160,CODIFICACION!$F$2:$F$500,0))),"⚠"))</f>
        <v/>
      </c>
      <c r="BY160" t="str">
        <f>IF(CAPTURA!DE160="","",IFERROR(IF(INDEX(CODIFICACION!$E$2:$E$500,MATCH("D15.58|"&amp;CAPTURA!DE160,CODIFICACION!$F$2:$F$500,0))="sin dato","",INDEX(CODIFICACION!$E$2:$E$500,MATCH("D15.58|"&amp;CAPTURA!DE160,CODIFICACION!$F$2:$F$500,0))),"⚠"))</f>
        <v/>
      </c>
      <c r="BZ160" t="str">
        <f>IF(CAPTURA!DF160="","",IFERROR(IF(INDEX(CODIFICACION!$E$2:$E$500,MATCH("PP1|"&amp;CAPTURA!DF160,CODIFICACION!$F$2:$F$500,0))="sin dato","",INDEX(CODIFICACION!$E$2:$E$500,MATCH("PP1|"&amp;CAPTURA!DF160,CODIFICACION!$F$2:$F$500,0))),"⚠"))</f>
        <v/>
      </c>
      <c r="CA160" t="str">
        <f>IF(CAPTURA!DG160="","",IFERROR(IF(INDEX(CODIFICACION!$E$2:$E$500,MATCH("PP2|"&amp;CAPTURA!DG160,CODIFICACION!$F$2:$F$500,0))="sin dato","",INDEX(CODIFICACION!$E$2:$E$500,MATCH("PP2|"&amp;CAPTURA!DG160,CODIFICACION!$F$2:$F$500,0))),"⚠"))</f>
        <v/>
      </c>
      <c r="CB160" t="str">
        <f t="shared" si="44"/>
        <v/>
      </c>
      <c r="CC160" t="str">
        <f t="shared" si="45"/>
        <v/>
      </c>
      <c r="CD160" t="str">
        <f t="shared" si="46"/>
        <v/>
      </c>
      <c r="CE160" t="str">
        <f t="shared" si="47"/>
        <v/>
      </c>
      <c r="CF160" t="str">
        <f t="shared" si="48"/>
        <v/>
      </c>
      <c r="CG160" t="str">
        <f t="shared" si="49"/>
        <v/>
      </c>
      <c r="CH160" t="str">
        <f t="shared" si="50"/>
        <v/>
      </c>
      <c r="CI160" t="str">
        <f t="shared" si="51"/>
        <v/>
      </c>
      <c r="CJ160" t="str">
        <f t="shared" si="52"/>
        <v/>
      </c>
      <c r="CK160" t="str">
        <f t="shared" si="53"/>
        <v/>
      </c>
      <c r="CL160" t="str">
        <f t="shared" si="54"/>
        <v/>
      </c>
    </row>
    <row r="161" spans="1:90" x14ac:dyDescent="0.3">
      <c r="A161">
        <f>CAPTURA!A161</f>
        <v>20607265624</v>
      </c>
      <c r="B161">
        <f>CAPTURA!C161</f>
        <v>0</v>
      </c>
      <c r="C161" t="str">
        <f>IF(CAPTURA!M161="","",ROUND((ISNUMBER(SEARCH("Alemania",CAPTURA!M161))+ISNUMBER(SEARCH("Bélgica",CAPTURA!M161))+ISNUMBER(SEARCH("Países Bajos",CAPTURA!M161))+ISNUMBER(SEARCH("Francia",CAPTURA!M161))+ISNUMBER(SEARCH("Italia",CAPTURA!M161))+ISNUMBER(SEARCH("España",CAPTURA!M161))+ISNUMBER(SEARCH("Suecia",CAPTURA!M161))+ISNUMBER(SEARCH("Dinamarca",CAPTURA!M161)))/((LEN(CAPTURA!M161)-LEN(SUBSTITUTE(CAPTURA!M161,";","")))+1)*100,1))</f>
        <v/>
      </c>
      <c r="D161" t="str">
        <f>IF(CAPTURA!AE161="","",IFERROR(IF(INDEX(CODIFICACION!$E$2:$E$500,MATCH("P8|"&amp;CAPTURA!AE161,CODIFICACION!$F$2:$F$500,0))="sin dato","",INDEX(CODIFICACION!$E$2:$E$500,MATCH("P8|"&amp;CAPTURA!AE161,CODIFICACION!$F$2:$F$500,0))),"⚠"))</f>
        <v/>
      </c>
      <c r="E161" t="str">
        <f>IF(CAPTURA!AG161="","",IFERROR(IF(INDEX(CODIFICACION!$E$2:$E$500,MATCH("P10|"&amp;CAPTURA!AG161,CODIFICACION!$F$2:$F$500,0))="sin dato","",INDEX(CODIFICACION!$E$2:$E$500,MATCH("P10|"&amp;CAPTURA!AG161,CODIFICACION!$F$2:$F$500,0))),"⚠"))</f>
        <v/>
      </c>
      <c r="F161" t="str">
        <f>IF(CAPTURA!AJ161="","",IFERROR(IF(INDEX(CODIFICACION!$E$2:$E$500,MATCH("P13|"&amp;CAPTURA!AJ161,CODIFICACION!$F$2:$F$500,0))="sin dato","",INDEX(CODIFICACION!$E$2:$E$500,MATCH("P13|"&amp;CAPTURA!AJ161,CODIFICACION!$F$2:$F$500,0))),"⚠"))</f>
        <v/>
      </c>
      <c r="G161" t="str">
        <f>IF(CAPTURA!AK161="","",IFERROR(IF(INDEX(CODIFICACION!$E$2:$E$500,MATCH("P14|"&amp;CAPTURA!AK161,CODIFICACION!$F$2:$F$500,0))="sin dato","",INDEX(CODIFICACION!$E$2:$E$500,MATCH("P14|"&amp;CAPTURA!AK161,CODIFICACION!$F$2:$F$500,0))),"⚠"))</f>
        <v/>
      </c>
      <c r="H161" t="str">
        <f>IF(CAPTURA!AL161="","",IFERROR(IF(INDEX(CODIFICACION!$E$2:$E$500,MATCH("D1.1|"&amp;CAPTURA!AL161,CODIFICACION!$F$2:$F$500,0))="sin dato","",INDEX(CODIFICACION!$E$2:$E$500,MATCH("D1.1|"&amp;CAPTURA!AL161,CODIFICACION!$F$2:$F$500,0))),"⚠"))</f>
        <v/>
      </c>
      <c r="I161" t="str">
        <f>IF(CAPTURA!AN161="","",IFERROR(IF(INDEX(CODIFICACION!$E$2:$E$500,MATCH("D1.3|"&amp;CAPTURA!AN161,CODIFICACION!$F$2:$F$500,0))="sin dato","",INDEX(CODIFICACION!$E$2:$E$500,MATCH("D1.3|"&amp;CAPTURA!AN161,CODIFICACION!$F$2:$F$500,0))),"⚠"))</f>
        <v/>
      </c>
      <c r="J161" t="str">
        <f>IF(CAPTURA!AO161="","",IFERROR(IF(INDEX(CODIFICACION!$E$2:$E$500,MATCH("D1.4|"&amp;CAPTURA!AO161,CODIFICACION!$F$2:$F$500,0))="sin dato","",INDEX(CODIFICACION!$E$2:$E$500,MATCH("D1.4|"&amp;CAPTURA!AO161,CODIFICACION!$F$2:$F$500,0))),"⚠"))</f>
        <v/>
      </c>
      <c r="K161" t="str">
        <f>IF(CAPTURA!AP161="","",IFERROR(IF(INDEX(CODIFICACION!$E$2:$E$500,MATCH("D1.3a|"&amp;CAPTURA!AP161,CODIFICACION!$F$2:$F$500,0))="sin dato","",INDEX(CODIFICACION!$E$2:$E$500,MATCH("D1.3a|"&amp;CAPTURA!AP161,CODIFICACION!$F$2:$F$500,0))),"⚠"))</f>
        <v/>
      </c>
      <c r="L161" t="str">
        <f>IF(CAPTURA!AQ161="","",IF(AND(ISNUMBER(CAPTURA!AQ161),CAPTURA!AQ161&gt;=0,CAPTURA!AQ161&lt;=4),CAPTURA!AQ161*25,"⚠"))</f>
        <v/>
      </c>
      <c r="M161" t="str">
        <f>IF(CAPTURA!AR161="","",IF(ISNUMBER(CAPTURA!AR161),MAX(0,MIN(100,CAPTURA!AR161)),"⚠"))</f>
        <v/>
      </c>
      <c r="N161" t="str">
        <f>IF(CAPTURA!AS161="","",IF(AND(ISNUMBER(CAPTURA!AS161),CAPTURA!AS161&gt;=0,CAPTURA!AS161&lt;=4),CAPTURA!AS161*25,"⚠"))</f>
        <v/>
      </c>
      <c r="O161" t="str">
        <f>IF(CAPTURA!AT161="","",IFERROR(IF(INDEX(CODIFICACION!$E$2:$E$500,MATCH("D2.8|"&amp;CAPTURA!AT161,CODIFICACION!$F$2:$F$500,0))="sin dato","",INDEX(CODIFICACION!$E$2:$E$500,MATCH("D2.8|"&amp;CAPTURA!AT161,CODIFICACION!$F$2:$F$500,0))),"⚠"))</f>
        <v/>
      </c>
      <c r="P161" t="str">
        <f>IF(CAPTURA!AU161="","",IFERROR(IF(INDEX(CODIFICACION!$E$2:$E$500,MATCH("D2.9|"&amp;CAPTURA!AU161,CODIFICACION!$F$2:$F$500,0))="sin dato","",INDEX(CODIFICACION!$E$2:$E$500,MATCH("D2.9|"&amp;CAPTURA!AU161,CODIFICACION!$F$2:$F$500,0))),"⚠"))</f>
        <v/>
      </c>
      <c r="Q161" t="str">
        <f>IF(CAPTURA!AV161="","",IFERROR(IF(INDEX(CODIFICACION!$E$2:$E$500,MATCH("D2.10|"&amp;CAPTURA!AV161,CODIFICACION!$F$2:$F$500,0))="sin dato","",INDEX(CODIFICACION!$E$2:$E$500,MATCH("D2.10|"&amp;CAPTURA!AV161,CODIFICACION!$F$2:$F$500,0))),"⚠"))</f>
        <v/>
      </c>
      <c r="R161" t="str">
        <f>IF(CAPTURA!AW161="","",IFERROR(IF(INDEX(CODIFICACION!$E$2:$E$500,MATCH("D2.5a|"&amp;CAPTURA!AW161,CODIFICACION!$F$2:$F$500,0))="sin dato","",INDEX(CODIFICACION!$E$2:$E$500,MATCH("D2.5a|"&amp;CAPTURA!AW161,CODIFICACION!$F$2:$F$500,0))),"⚠"))</f>
        <v/>
      </c>
      <c r="S161" t="str">
        <f>IF(CAPTURA!AX161="","",IFERROR(IF(INDEX(CODIFICACION!$E$2:$E$500,MATCH("D2.5b|"&amp;CAPTURA!AX161,CODIFICACION!$F$2:$F$500,0))="sin dato","",INDEX(CODIFICACION!$E$2:$E$500,MATCH("D2.5b|"&amp;CAPTURA!AX161,CODIFICACION!$F$2:$F$500,0))),"⚠"))</f>
        <v/>
      </c>
      <c r="T161" t="str">
        <f>IF(CAPTURA!AY161="","",IF(ISNUMBER(CAPTURA!AY161),MAX(0,MIN(100,CAPTURA!AY161)),"⚠"))</f>
        <v/>
      </c>
      <c r="U161" t="str">
        <f>IF(CAPTURA!AZ161="","",IFERROR(IF(INDEX(CODIFICACION!$E$2:$E$500,MATCH("D3.12|"&amp;CAPTURA!AZ161,CODIFICACION!$F$2:$F$500,0))="sin dato","",INDEX(CODIFICACION!$E$2:$E$500,MATCH("D3.12|"&amp;CAPTURA!AZ161,CODIFICACION!$F$2:$F$500,0))),"⚠"))</f>
        <v/>
      </c>
      <c r="V161" t="str">
        <f>IF(CAPTURA!BA161="","",IF(AND(ISNUMBER(CAPTURA!BA161),CAPTURA!BA161&gt;=0,CAPTURA!BA161&lt;=4),CAPTURA!BA161*25,"⚠"))</f>
        <v/>
      </c>
      <c r="W161" t="str">
        <f>IF(CAPTURA!BB161="","",IFERROR(IF(INDEX(CODIFICACION!$E$2:$E$500,MATCH("D3.14|"&amp;CAPTURA!BB161,CODIFICACION!$F$2:$F$500,0))="sin dato","",INDEX(CODIFICACION!$E$2:$E$500,MATCH("D3.14|"&amp;CAPTURA!BB161,CODIFICACION!$F$2:$F$500,0))),"⚠"))</f>
        <v/>
      </c>
      <c r="X161" t="str">
        <f>IF(CAPTURA!BC161="","",IFERROR(IF(INDEX(CODIFICACION!$E$2:$E$500,MATCH("D3.14a|"&amp;CAPTURA!BC161,CODIFICACION!$F$2:$F$500,0))="sin dato","",INDEX(CODIFICACION!$E$2:$E$500,MATCH("D3.14a|"&amp;CAPTURA!BC161,CODIFICACION!$F$2:$F$500,0))),"⚠"))</f>
        <v/>
      </c>
      <c r="Y161" t="str">
        <f>IF(CAPTURA!BD161="","",IFERROR(IF(INDEX(CODIFICACION!$E$2:$E$500,MATCH("D3.14b|"&amp;CAPTURA!BD161,CODIFICACION!$F$2:$F$500,0))="sin dato","",INDEX(CODIFICACION!$E$2:$E$500,MATCH("D3.14b|"&amp;CAPTURA!BD161,CODIFICACION!$F$2:$F$500,0))),"⚠"))</f>
        <v/>
      </c>
      <c r="Z161" t="str">
        <f>IF(CAPTURA!BE161="","",IFERROR(IF(INDEX(CODIFICACION!$E$2:$E$500,MATCH("D3.14c|"&amp;CAPTURA!BE161,CODIFICACION!$F$2:$F$500,0))="sin dato","",INDEX(CODIFICACION!$E$2:$E$500,MATCH("D3.14c|"&amp;CAPTURA!BE161,CODIFICACION!$F$2:$F$500,0))),"⚠"))</f>
        <v/>
      </c>
      <c r="AA161" t="str">
        <f>IF(CAPTURA!BF161="","",IFERROR(IF(INDEX(CODIFICACION!$E$2:$E$500,MATCH("D3.14d|"&amp;CAPTURA!BF161,CODIFICACION!$F$2:$F$500,0))="sin dato","",INDEX(CODIFICACION!$E$2:$E$500,MATCH("D3.14d|"&amp;CAPTURA!BF161,CODIFICACION!$F$2:$F$500,0))),"⚠"))</f>
        <v/>
      </c>
      <c r="AB161" t="str">
        <f>IF(CAPTURA!BG161="","",IFERROR(IF(INDEX(CODIFICACION!$E$2:$E$500,MATCH("D3.14e|"&amp;CAPTURA!BG161,CODIFICACION!$F$2:$F$500,0))="sin dato","",INDEX(CODIFICACION!$E$2:$E$500,MATCH("D3.14e|"&amp;CAPTURA!BG161,CODIFICACION!$F$2:$F$500,0))),"⚠"))</f>
        <v/>
      </c>
      <c r="AC161" t="str">
        <f>IF(CAPTURA!BH161="","",IFERROR(IF(INDEX(CODIFICACION!$E$2:$E$500,MATCH("D3.14f|"&amp;CAPTURA!BH161,CODIFICACION!$F$2:$F$500,0))="sin dato","",INDEX(CODIFICACION!$E$2:$E$500,MATCH("D3.14f|"&amp;CAPTURA!BH161,CODIFICACION!$F$2:$F$500,0))),"⚠"))</f>
        <v/>
      </c>
      <c r="AD161" t="str">
        <f>IF(CAPTURA!BI161="","",IFERROR(IF(INDEX(CODIFICACION!$E$2:$E$500,MATCH("D3.14g|"&amp;CAPTURA!BI161,CODIFICACION!$F$2:$F$500,0))="sin dato","",INDEX(CODIFICACION!$E$2:$E$500,MATCH("D3.14g|"&amp;CAPTURA!BI161,CODIFICACION!$F$2:$F$500,0))),"⚠"))</f>
        <v/>
      </c>
      <c r="AE161" t="str">
        <f>IF(CAPTURA!BJ161="","",IFERROR(IF(INDEX(CODIFICACION!$E$2:$E$500,MATCH("D3.14h|"&amp;CAPTURA!BJ161,CODIFICACION!$F$2:$F$500,0))="sin dato","",INDEX(CODIFICACION!$E$2:$E$500,MATCH("D3.14h|"&amp;CAPTURA!BJ161,CODIFICACION!$F$2:$F$500,0))),"⚠"))</f>
        <v/>
      </c>
      <c r="AF161" t="str">
        <f>IF(CAPTURA!BK161="","",IFERROR(IF(INDEX(CODIFICACION!$E$2:$E$500,MATCH("D3.14i|"&amp;CAPTURA!BK161,CODIFICACION!$F$2:$F$500,0))="sin dato","",INDEX(CODIFICACION!$E$2:$E$500,MATCH("D3.14i|"&amp;CAPTURA!BK161,CODIFICACION!$F$2:$F$500,0))),"⚠"))</f>
        <v/>
      </c>
      <c r="AG161" t="str">
        <f>IF(CAPTURA!BL161="","",IFERROR(IF(INDEX(CODIFICACION!$E$2:$E$500,MATCH("D4.15|"&amp;CAPTURA!BL161,CODIFICACION!$F$2:$F$500,0))="sin dato","",INDEX(CODIFICACION!$E$2:$E$500,MATCH("D4.15|"&amp;CAPTURA!BL161,CODIFICACION!$F$2:$F$500,0))),"⚠"))</f>
        <v/>
      </c>
      <c r="AH161" t="str">
        <f>IF(CAPTURA!BM161="","",IF(AND(ISNUMBER(CAPTURA!BM161),CAPTURA!BM161&gt;=0,CAPTURA!BM161&lt;=4),CAPTURA!BM161*25,"⚠"))</f>
        <v/>
      </c>
      <c r="AI161" t="str">
        <f>IF(CAPTURA!BN161="","",IFERROR(IF(INDEX(CODIFICACION!$E$2:$E$500,MATCH("D4.17|"&amp;CAPTURA!BN161,CODIFICACION!$F$2:$F$500,0))="sin dato","",INDEX(CODIFICACION!$E$2:$E$500,MATCH("D4.17|"&amp;CAPTURA!BN161,CODIFICACION!$F$2:$F$500,0))),"⚠"))</f>
        <v/>
      </c>
      <c r="AJ161" t="str">
        <f>IF(CAPTURA!BO161="","",IFERROR(IF(INDEX(CODIFICACION!$E$2:$E$500,MATCH("D4.15a|"&amp;CAPTURA!BO161,CODIFICACION!$F$2:$F$500,0))="sin dato","",INDEX(CODIFICACION!$E$2:$E$500,MATCH("D4.15a|"&amp;CAPTURA!BO161,CODIFICACION!$F$2:$F$500,0))),"⚠"))</f>
        <v/>
      </c>
      <c r="AK161" t="str">
        <f>IF(CAPTURA!BP161="","",IF(AND(ISNUMBER(CAPTURA!BP161),CAPTURA!BP161&gt;=0,CAPTURA!BP161&lt;=4),CAPTURA!BP161*25,"⚠"))</f>
        <v/>
      </c>
      <c r="AL161" t="str">
        <f>IF(CAPTURA!BQ161="","",IF(AND(ISNUMBER(CAPTURA!BQ161),CAPTURA!BQ161&gt;=0,CAPTURA!BQ161&lt;=4),CAPTURA!BQ161*25,"⚠"))</f>
        <v/>
      </c>
      <c r="AM161" t="str">
        <f>IF(CAPTURA!BR161="","",IFERROR(IF(INDEX(CODIFICACION!$E$2:$E$500,MATCH("D5.18b|"&amp;CAPTURA!BR161,CODIFICACION!$F$2:$F$500,0))="sin dato","",INDEX(CODIFICACION!$E$2:$E$500,MATCH("D5.18b|"&amp;CAPTURA!BR161,CODIFICACION!$F$2:$F$500,0))),"⚠"))</f>
        <v/>
      </c>
      <c r="AN161" t="str">
        <f>IF(CAPTURA!BS161="","",IFERROR(IF(INDEX(CODIFICACION!$E$2:$E$500,MATCH("D5.19|"&amp;CAPTURA!BS161,CODIFICACION!$F$2:$F$500,0))="sin dato","",INDEX(CODIFICACION!$E$2:$E$500,MATCH("D5.19|"&amp;CAPTURA!BS161,CODIFICACION!$F$2:$F$500,0))),"⚠"))</f>
        <v/>
      </c>
      <c r="AO161" t="str">
        <f>IF(CAPTURA!BT161="","",MIN(100,ROUND((LEN(CAPTURA!BT161)-LEN(SUBSTITUTE(CAPTURA!BT161,";",""))+1)/7*100,1)))</f>
        <v/>
      </c>
      <c r="AP161" t="str">
        <f>IF(CAPTURA!BU161="","",IFERROR(IF(INDEX(CODIFICACION!$E$2:$E$500,MATCH("D5.20|"&amp;CAPTURA!BU161,CODIFICACION!$F$2:$F$500,0))="sin dato","",INDEX(CODIFICACION!$E$2:$E$500,MATCH("D5.20|"&amp;CAPTURA!BU161,CODIFICACION!$F$2:$F$500,0))),"⚠"))</f>
        <v/>
      </c>
      <c r="AQ161" t="str">
        <f>IF(CAPTURA!BV161="","",IFERROR(IF(INDEX(CODIFICACION!$E$2:$E$500,MATCH("D5.21|"&amp;CAPTURA!BV161,CODIFICACION!$F$2:$F$500,0))="sin dato","",INDEX(CODIFICACION!$E$2:$E$500,MATCH("D5.21|"&amp;CAPTURA!BV161,CODIFICACION!$F$2:$F$500,0))),"⚠"))</f>
        <v/>
      </c>
      <c r="AR161" t="str">
        <f>IF(CAPTURA!BW161="","",IFERROR(IF(INDEX(CODIFICACION!$E$2:$E$500,MATCH("D5.21a|"&amp;CAPTURA!BW161,CODIFICACION!$F$2:$F$500,0))="sin dato","",INDEX(CODIFICACION!$E$2:$E$500,MATCH("D5.21a|"&amp;CAPTURA!BW161,CODIFICACION!$F$2:$F$500,0))),"⚠"))</f>
        <v/>
      </c>
      <c r="AS161" t="str">
        <f>IF(CAPTURA!BX161="","",IFERROR(IF(INDEX(CODIFICACION!$E$2:$E$500,MATCH("D5.21b|"&amp;CAPTURA!BX161,CODIFICACION!$F$2:$F$500,0))="sin dato","",INDEX(CODIFICACION!$E$2:$E$500,MATCH("D5.21b|"&amp;CAPTURA!BX161,CODIFICACION!$F$2:$F$500,0))),"⚠"))</f>
        <v/>
      </c>
      <c r="AT161" t="str">
        <f>IF(CAPTURA!BY161="","",IFERROR(IF(INDEX(CODIFICACION!$E$2:$E$500,MATCH("D6.22|"&amp;CAPTURA!BY161,CODIFICACION!$F$2:$F$500,0))="sin dato","",INDEX(CODIFICACION!$E$2:$E$500,MATCH("D6.22|"&amp;CAPTURA!BY161,CODIFICACION!$F$2:$F$500,0))),"⚠"))</f>
        <v/>
      </c>
      <c r="AU161" t="str">
        <f>IF(CAPTURA!BZ161="","",IFERROR(IF(INDEX(CODIFICACION!$E$2:$E$500,MATCH("D6.22a|"&amp;CAPTURA!BZ161,CODIFICACION!$F$2:$F$500,0))="sin dato","",INDEX(CODIFICACION!$E$2:$E$500,MATCH("D6.22a|"&amp;CAPTURA!BZ161,CODIFICACION!$F$2:$F$500,0))),"⚠"))</f>
        <v/>
      </c>
      <c r="AV161" t="str">
        <f>IF(CAPTURA!CA161="","",IFERROR(IF(INDEX(CODIFICACION!$E$2:$E$500,MATCH("D6.22b|"&amp;CAPTURA!CA161,CODIFICACION!$F$2:$F$500,0))="sin dato","",INDEX(CODIFICACION!$E$2:$E$500,MATCH("D6.22b|"&amp;CAPTURA!CA161,CODIFICACION!$F$2:$F$500,0))),"⚠"))</f>
        <v/>
      </c>
      <c r="AW161" t="str">
        <f>IF(CAPTURA!CB161="","",IFERROR(IF(INDEX(CODIFICACION!$E$2:$E$500,MATCH("D6.23|"&amp;CAPTURA!CB161,CODIFICACION!$F$2:$F$500,0))="sin dato","",INDEX(CODIFICACION!$E$2:$E$500,MATCH("D6.23|"&amp;CAPTURA!CB161,CODIFICACION!$F$2:$F$500,0))),"⚠"))</f>
        <v/>
      </c>
      <c r="AX161" t="str">
        <f>IF(CAPTURA!CC161="","",IFERROR(IF(INDEX(CODIFICACION!$E$2:$E$500,MATCH("D6.24|"&amp;CAPTURA!CC161,CODIFICACION!$F$2:$F$500,0))="sin dato","",INDEX(CODIFICACION!$E$2:$E$500,MATCH("D6.24|"&amp;CAPTURA!CC161,CODIFICACION!$F$2:$F$500,0))),"⚠"))</f>
        <v/>
      </c>
      <c r="AY161" t="str">
        <f>IF(CAPTURA!CD161="","",IFERROR(IF(INDEX(CODIFICACION!$E$2:$E$500,MATCH("D6.25|"&amp;CAPTURA!CD161,CODIFICACION!$F$2:$F$500,0))="sin dato","",INDEX(CODIFICACION!$E$2:$E$500,MATCH("D6.25|"&amp;CAPTURA!CD161,CODIFICACION!$F$2:$F$500,0))),"⚠"))</f>
        <v/>
      </c>
      <c r="AZ161" t="str">
        <f>IF(CAPTURA!CE161="","",IFERROR(IF(INDEX(CODIFICACION!$E$2:$E$500,MATCH("D6.25a|"&amp;CAPTURA!CE161,CODIFICACION!$F$2:$F$500,0))="sin dato","",INDEX(CODIFICACION!$E$2:$E$500,MATCH("D6.25a|"&amp;CAPTURA!CE161,CODIFICACION!$F$2:$F$500,0))),"⚠"))</f>
        <v/>
      </c>
      <c r="BA161" t="str">
        <f>IF(CAPTURA!CF161="","",IFERROR(IF(INDEX(CODIFICACION!$E$2:$E$500,MATCH("D6.25b|"&amp;CAPTURA!CF161,CODIFICACION!$F$2:$F$500,0))="sin dato","",INDEX(CODIFICACION!$E$2:$E$500,MATCH("D6.25b|"&amp;CAPTURA!CF161,CODIFICACION!$F$2:$F$500,0))),"⚠"))</f>
        <v/>
      </c>
      <c r="BB161" t="str">
        <f>IF(CAPTURA!CG161="","",IFERROR(IF(INDEX(CODIFICACION!$E$2:$E$500,MATCH("D6.22c|"&amp;CAPTURA!CG161,CODIFICACION!$F$2:$F$500,0))="sin dato","",INDEX(CODIFICACION!$E$2:$E$500,MATCH("D6.22c|"&amp;CAPTURA!CG161,CODIFICACION!$F$2:$F$500,0))),"⚠"))</f>
        <v/>
      </c>
      <c r="BC161" t="str">
        <f>IF(CAPTURA!CH161="","",IFERROR(IF(INDEX(CODIFICACION!$E$2:$E$500,MATCH("D7.26|"&amp;CAPTURA!CH161,CODIFICACION!$F$2:$F$500,0))="sin dato","",INDEX(CODIFICACION!$E$2:$E$500,MATCH("D7.26|"&amp;CAPTURA!CH161,CODIFICACION!$F$2:$F$500,0))),"⚠"))</f>
        <v/>
      </c>
      <c r="BD161" t="str">
        <f>IF(CAPTURA!CI161="","",IFERROR(IF(INDEX(CODIFICACION!$E$2:$E$500,MATCH("D7.27|"&amp;CAPTURA!CI161,CODIFICACION!$F$2:$F$500,0))="sin dato","",INDEX(CODIFICACION!$E$2:$E$500,MATCH("D7.27|"&amp;CAPTURA!CI161,CODIFICACION!$F$2:$F$500,0))),"⚠"))</f>
        <v/>
      </c>
      <c r="BE161" t="str">
        <f>IF(CAPTURA!CJ161="","",IFERROR(IF(INDEX(CODIFICACION!$E$2:$E$500,MATCH("D7.28|"&amp;CAPTURA!CJ161,CODIFICACION!$F$2:$F$500,0))="sin dato","",INDEX(CODIFICACION!$E$2:$E$500,MATCH("D7.28|"&amp;CAPTURA!CJ161,CODIFICACION!$F$2:$F$500,0))),"⚠"))</f>
        <v/>
      </c>
      <c r="BF161" t="str">
        <f>IF(CAPTURA!CK161="","",IFERROR(IF(INDEX(CODIFICACION!$E$2:$E$500,MATCH("D7.28b|"&amp;CAPTURA!CK161,CODIFICACION!$F$2:$F$500,0))="sin dato","",INDEX(CODIFICACION!$E$2:$E$500,MATCH("D7.28b|"&amp;CAPTURA!CK161,CODIFICACION!$F$2:$F$500,0))),"⚠"))</f>
        <v/>
      </c>
      <c r="BG161" t="str">
        <f>IF(CAPTURA!CL161="","",MIN(100,ROUND((LEN(CAPTURA!CL161)-LEN(SUBSTITUTE(CAPTURA!CL161,";",""))+1)/8*100,1)))</f>
        <v/>
      </c>
      <c r="BH161" t="str">
        <f>IF(CAPTURA!CM161="","",IFERROR(IF(INDEX(CODIFICACION!$E$2:$E$500,MATCH("D7.26a|"&amp;CAPTURA!CM161,CODIFICACION!$F$2:$F$500,0))="sin dato","",INDEX(CODIFICACION!$E$2:$E$500,MATCH("D7.26a|"&amp;CAPTURA!CM161,CODIFICACION!$F$2:$F$500,0))),"⚠"))</f>
        <v/>
      </c>
      <c r="BI161" t="str">
        <f>IF(CAPTURA!CN161="","",IFERROR(IF(INDEX(CODIFICACION!$E$2:$E$500,MATCH("D7.26b|"&amp;CAPTURA!CN161,CODIFICACION!$F$2:$F$500,0))="sin dato","",INDEX(CODIFICACION!$E$2:$E$500,MATCH("D7.26b|"&amp;CAPTURA!CN161,CODIFICACION!$F$2:$F$500,0))),"⚠"))</f>
        <v/>
      </c>
      <c r="BJ161" t="str">
        <f>IF(CAPTURA!CO161="","",IF(AND(ISNUMBER(CAPTURA!CO161),CAPTURA!CO161&gt;=0,CAPTURA!CO161&lt;=4),CAPTURA!CO161*25,"⚠"))</f>
        <v/>
      </c>
      <c r="BK161" t="str">
        <f>IF(CAPTURA!CP161="","",IF(ISNUMBER(CAPTURA!CP161),MAX(0,MIN(100,CAPTURA!CP161)),"⚠"))</f>
        <v/>
      </c>
      <c r="BL161" t="str">
        <f>IF(CAPTURA!CQ161="","",IFERROR(IF(INDEX(CODIFICACION!$E$2:$E$500,MATCH("D8.31|"&amp;CAPTURA!CQ161,CODIFICACION!$F$2:$F$500,0))="sin dato","",INDEX(CODIFICACION!$E$2:$E$500,MATCH("D8.31|"&amp;CAPTURA!CQ161,CODIFICACION!$F$2:$F$500,0))),"⚠"))</f>
        <v/>
      </c>
      <c r="BM161" t="str">
        <f>IF(CAPTURA!CR161="","",IFERROR(IF(INDEX(CODIFICACION!$E$2:$E$500,MATCH("D8.32|"&amp;CAPTURA!CR161,CODIFICACION!$F$2:$F$500,0))="sin dato","",INDEX(CODIFICACION!$E$2:$E$500,MATCH("D8.32|"&amp;CAPTURA!CR161,CODIFICACION!$F$2:$F$500,0))),"⚠"))</f>
        <v/>
      </c>
      <c r="BN161" t="str">
        <f>IF(CAPTURA!CS161="","",IFERROR(IF(INDEX(CODIFICACION!$E$2:$E$500,MATCH("D9.33|"&amp;CAPTURA!CS161,CODIFICACION!$F$2:$F$500,0))="sin dato","",INDEX(CODIFICACION!$E$2:$E$500,MATCH("D9.33|"&amp;CAPTURA!CS161,CODIFICACION!$F$2:$F$500,0))),"⚠"))</f>
        <v/>
      </c>
      <c r="BO161" t="str">
        <f>IF(CAPTURA!CT161="","",IFERROR(IF(INDEX(CODIFICACION!$E$2:$E$500,MATCH("D9.34|"&amp;CAPTURA!CT161,CODIFICACION!$F$2:$F$500,0))="sin dato","",INDEX(CODIFICACION!$E$2:$E$500,MATCH("D9.34|"&amp;CAPTURA!CT161,CODIFICACION!$F$2:$F$500,0))),"⚠"))</f>
        <v/>
      </c>
      <c r="BP161" t="str">
        <f>IF(CAPTURA!CU161="","",IFERROR(IF(INDEX(CODIFICACION!$E$2:$E$500,MATCH("D9.35|"&amp;CAPTURA!CU161,CODIFICACION!$F$2:$F$500,0))="sin dato","",INDEX(CODIFICACION!$E$2:$E$500,MATCH("D9.35|"&amp;CAPTURA!CU161,CODIFICACION!$F$2:$F$500,0))),"⚠"))</f>
        <v/>
      </c>
      <c r="BQ161" t="str">
        <f>IF(CAPTURA!CV161="","",IFERROR(IF(INDEX(CODIFICACION!$E$2:$E$500,MATCH("D10.36|"&amp;CAPTURA!CV161,CODIFICACION!$F$2:$F$500,0))="sin dato","",INDEX(CODIFICACION!$E$2:$E$500,MATCH("D10.36|"&amp;CAPTURA!CV161,CODIFICACION!$F$2:$F$500,0))),"⚠"))</f>
        <v/>
      </c>
      <c r="BR161" t="str">
        <f>IF(CAPTURA!CW161="","",IFERROR(IF(INDEX(CODIFICACION!$E$2:$E$500,MATCH("D10.37|"&amp;CAPTURA!CW161,CODIFICACION!$F$2:$F$500,0))="sin dato","",INDEX(CODIFICACION!$E$2:$E$500,MATCH("D10.37|"&amp;CAPTURA!CW161,CODIFICACION!$F$2:$F$500,0))),"⚠"))</f>
        <v/>
      </c>
      <c r="BS161" t="str">
        <f>IF(CAPTURA!CX161="","",IFERROR(IF(INDEX(CODIFICACION!$E$2:$E$500,MATCH("D10.36a|"&amp;CAPTURA!CX161,CODIFICACION!$F$2:$F$500,0))="sin dato","",INDEX(CODIFICACION!$E$2:$E$500,MATCH("D10.36a|"&amp;CAPTURA!CX161,CODIFICACION!$F$2:$F$500,0))),"⚠"))</f>
        <v/>
      </c>
      <c r="BT161" t="str">
        <f>IF(CAPTURA!CY161="","",IF(ISNUMBER(SEARCH("Ninguno",CAPTURA!CY161)),0,MIN(100,ROUND((LEN(CAPTURA!CY161)-LEN(SUBSTITUTE(CAPTURA!CY161,";",""))+1)/6*100,1))))</f>
        <v/>
      </c>
      <c r="BU161" t="str">
        <f>IF(CAPTURA!DA161="","",IFERROR(IF(INDEX(CODIFICACION!$E$2:$E$500,MATCH("D11.39a|"&amp;CAPTURA!DA161,CODIFICACION!$F$2:$F$500,0))="sin dato","",INDEX(CODIFICACION!$E$2:$E$500,MATCH("D11.39a|"&amp;CAPTURA!DA161,CODIFICACION!$F$2:$F$500,0))),"⚠"))</f>
        <v/>
      </c>
      <c r="BV161" t="str">
        <f>IF(CAPTURA!DB161="","",IFERROR(IF(INDEX(CODIFICACION!$E$2:$E$500,MATCH("D12.42|"&amp;CAPTURA!DB161,CODIFICACION!$F$2:$F$500,0))="sin dato","",INDEX(CODIFICACION!$E$2:$E$500,MATCH("D12.42|"&amp;CAPTURA!DB161,CODIFICACION!$F$2:$F$500,0))),"⚠"))</f>
        <v/>
      </c>
      <c r="BW161" t="str">
        <f>IF(CAPTURA!DC161="","",IFERROR(IF(INDEX(CODIFICACION!$E$2:$E$500,MATCH("D13.45|"&amp;CAPTURA!DC161,CODIFICACION!$F$2:$F$500,0))="sin dato","",INDEX(CODIFICACION!$E$2:$E$500,MATCH("D13.45|"&amp;CAPTURA!DC161,CODIFICACION!$F$2:$F$500,0))),"⚠"))</f>
        <v/>
      </c>
      <c r="BX161" t="str">
        <f>IF(CAPTURA!DD161="","",IFERROR(IF(INDEX(CODIFICACION!$E$2:$E$500,MATCH("D14.51|"&amp;CAPTURA!DD161,CODIFICACION!$F$2:$F$500,0))="sin dato","",INDEX(CODIFICACION!$E$2:$E$500,MATCH("D14.51|"&amp;CAPTURA!DD161,CODIFICACION!$F$2:$F$500,0))),"⚠"))</f>
        <v/>
      </c>
      <c r="BY161" t="str">
        <f>IF(CAPTURA!DE161="","",IFERROR(IF(INDEX(CODIFICACION!$E$2:$E$500,MATCH("D15.58|"&amp;CAPTURA!DE161,CODIFICACION!$F$2:$F$500,0))="sin dato","",INDEX(CODIFICACION!$E$2:$E$500,MATCH("D15.58|"&amp;CAPTURA!DE161,CODIFICACION!$F$2:$F$500,0))),"⚠"))</f>
        <v/>
      </c>
      <c r="BZ161" t="str">
        <f>IF(CAPTURA!DF161="","",IFERROR(IF(INDEX(CODIFICACION!$E$2:$E$500,MATCH("PP1|"&amp;CAPTURA!DF161,CODIFICACION!$F$2:$F$500,0))="sin dato","",INDEX(CODIFICACION!$E$2:$E$500,MATCH("PP1|"&amp;CAPTURA!DF161,CODIFICACION!$F$2:$F$500,0))),"⚠"))</f>
        <v/>
      </c>
      <c r="CA161" t="str">
        <f>IF(CAPTURA!DG161="","",IFERROR(IF(INDEX(CODIFICACION!$E$2:$E$500,MATCH("PP2|"&amp;CAPTURA!DG161,CODIFICACION!$F$2:$F$500,0))="sin dato","",INDEX(CODIFICACION!$E$2:$E$500,MATCH("PP2|"&amp;CAPTURA!DG161,CODIFICACION!$F$2:$F$500,0))),"⚠"))</f>
        <v/>
      </c>
      <c r="CB161" t="str">
        <f t="shared" si="44"/>
        <v/>
      </c>
      <c r="CC161" t="str">
        <f t="shared" si="45"/>
        <v/>
      </c>
      <c r="CD161" t="str">
        <f t="shared" si="46"/>
        <v/>
      </c>
      <c r="CE161" t="str">
        <f t="shared" si="47"/>
        <v/>
      </c>
      <c r="CF161" t="str">
        <f t="shared" si="48"/>
        <v/>
      </c>
      <c r="CG161" t="str">
        <f t="shared" si="49"/>
        <v/>
      </c>
      <c r="CH161" t="str">
        <f t="shared" si="50"/>
        <v/>
      </c>
      <c r="CI161" t="str">
        <f t="shared" si="51"/>
        <v/>
      </c>
      <c r="CJ161" t="str">
        <f t="shared" si="52"/>
        <v/>
      </c>
      <c r="CK161" t="str">
        <f t="shared" si="53"/>
        <v/>
      </c>
      <c r="CL161" t="str">
        <f t="shared" si="54"/>
        <v/>
      </c>
    </row>
    <row r="162" spans="1:90" x14ac:dyDescent="0.3">
      <c r="A162">
        <f>CAPTURA!A162</f>
        <v>20607382604</v>
      </c>
      <c r="B162">
        <f>CAPTURA!C162</f>
        <v>0</v>
      </c>
      <c r="C162" t="str">
        <f>IF(CAPTURA!M162="","",ROUND((ISNUMBER(SEARCH("Alemania",CAPTURA!M162))+ISNUMBER(SEARCH("Bélgica",CAPTURA!M162))+ISNUMBER(SEARCH("Países Bajos",CAPTURA!M162))+ISNUMBER(SEARCH("Francia",CAPTURA!M162))+ISNUMBER(SEARCH("Italia",CAPTURA!M162))+ISNUMBER(SEARCH("España",CAPTURA!M162))+ISNUMBER(SEARCH("Suecia",CAPTURA!M162))+ISNUMBER(SEARCH("Dinamarca",CAPTURA!M162)))/((LEN(CAPTURA!M162)-LEN(SUBSTITUTE(CAPTURA!M162,";","")))+1)*100,1))</f>
        <v/>
      </c>
      <c r="D162" t="str">
        <f>IF(CAPTURA!AE162="","",IFERROR(IF(INDEX(CODIFICACION!$E$2:$E$500,MATCH("P8|"&amp;CAPTURA!AE162,CODIFICACION!$F$2:$F$500,0))="sin dato","",INDEX(CODIFICACION!$E$2:$E$500,MATCH("P8|"&amp;CAPTURA!AE162,CODIFICACION!$F$2:$F$500,0))),"⚠"))</f>
        <v/>
      </c>
      <c r="E162" t="str">
        <f>IF(CAPTURA!AG162="","",IFERROR(IF(INDEX(CODIFICACION!$E$2:$E$500,MATCH("P10|"&amp;CAPTURA!AG162,CODIFICACION!$F$2:$F$500,0))="sin dato","",INDEX(CODIFICACION!$E$2:$E$500,MATCH("P10|"&amp;CAPTURA!AG162,CODIFICACION!$F$2:$F$500,0))),"⚠"))</f>
        <v/>
      </c>
      <c r="F162" t="str">
        <f>IF(CAPTURA!AJ162="","",IFERROR(IF(INDEX(CODIFICACION!$E$2:$E$500,MATCH("P13|"&amp;CAPTURA!AJ162,CODIFICACION!$F$2:$F$500,0))="sin dato","",INDEX(CODIFICACION!$E$2:$E$500,MATCH("P13|"&amp;CAPTURA!AJ162,CODIFICACION!$F$2:$F$500,0))),"⚠"))</f>
        <v/>
      </c>
      <c r="G162" t="str">
        <f>IF(CAPTURA!AK162="","",IFERROR(IF(INDEX(CODIFICACION!$E$2:$E$500,MATCH("P14|"&amp;CAPTURA!AK162,CODIFICACION!$F$2:$F$500,0))="sin dato","",INDEX(CODIFICACION!$E$2:$E$500,MATCH("P14|"&amp;CAPTURA!AK162,CODIFICACION!$F$2:$F$500,0))),"⚠"))</f>
        <v/>
      </c>
      <c r="H162" t="str">
        <f>IF(CAPTURA!AL162="","",IFERROR(IF(INDEX(CODIFICACION!$E$2:$E$500,MATCH("D1.1|"&amp;CAPTURA!AL162,CODIFICACION!$F$2:$F$500,0))="sin dato","",INDEX(CODIFICACION!$E$2:$E$500,MATCH("D1.1|"&amp;CAPTURA!AL162,CODIFICACION!$F$2:$F$500,0))),"⚠"))</f>
        <v/>
      </c>
      <c r="I162" t="str">
        <f>IF(CAPTURA!AN162="","",IFERROR(IF(INDEX(CODIFICACION!$E$2:$E$500,MATCH("D1.3|"&amp;CAPTURA!AN162,CODIFICACION!$F$2:$F$500,0))="sin dato","",INDEX(CODIFICACION!$E$2:$E$500,MATCH("D1.3|"&amp;CAPTURA!AN162,CODIFICACION!$F$2:$F$500,0))),"⚠"))</f>
        <v/>
      </c>
      <c r="J162" t="str">
        <f>IF(CAPTURA!AO162="","",IFERROR(IF(INDEX(CODIFICACION!$E$2:$E$500,MATCH("D1.4|"&amp;CAPTURA!AO162,CODIFICACION!$F$2:$F$500,0))="sin dato","",INDEX(CODIFICACION!$E$2:$E$500,MATCH("D1.4|"&amp;CAPTURA!AO162,CODIFICACION!$F$2:$F$500,0))),"⚠"))</f>
        <v/>
      </c>
      <c r="K162" t="str">
        <f>IF(CAPTURA!AP162="","",IFERROR(IF(INDEX(CODIFICACION!$E$2:$E$500,MATCH("D1.3a|"&amp;CAPTURA!AP162,CODIFICACION!$F$2:$F$500,0))="sin dato","",INDEX(CODIFICACION!$E$2:$E$500,MATCH("D1.3a|"&amp;CAPTURA!AP162,CODIFICACION!$F$2:$F$500,0))),"⚠"))</f>
        <v/>
      </c>
      <c r="L162" t="str">
        <f>IF(CAPTURA!AQ162="","",IF(AND(ISNUMBER(CAPTURA!AQ162),CAPTURA!AQ162&gt;=0,CAPTURA!AQ162&lt;=4),CAPTURA!AQ162*25,"⚠"))</f>
        <v/>
      </c>
      <c r="M162" t="str">
        <f>IF(CAPTURA!AR162="","",IF(ISNUMBER(CAPTURA!AR162),MAX(0,MIN(100,CAPTURA!AR162)),"⚠"))</f>
        <v/>
      </c>
      <c r="N162" t="str">
        <f>IF(CAPTURA!AS162="","",IF(AND(ISNUMBER(CAPTURA!AS162),CAPTURA!AS162&gt;=0,CAPTURA!AS162&lt;=4),CAPTURA!AS162*25,"⚠"))</f>
        <v/>
      </c>
      <c r="O162" t="str">
        <f>IF(CAPTURA!AT162="","",IFERROR(IF(INDEX(CODIFICACION!$E$2:$E$500,MATCH("D2.8|"&amp;CAPTURA!AT162,CODIFICACION!$F$2:$F$500,0))="sin dato","",INDEX(CODIFICACION!$E$2:$E$500,MATCH("D2.8|"&amp;CAPTURA!AT162,CODIFICACION!$F$2:$F$500,0))),"⚠"))</f>
        <v/>
      </c>
      <c r="P162" t="str">
        <f>IF(CAPTURA!AU162="","",IFERROR(IF(INDEX(CODIFICACION!$E$2:$E$500,MATCH("D2.9|"&amp;CAPTURA!AU162,CODIFICACION!$F$2:$F$500,0))="sin dato","",INDEX(CODIFICACION!$E$2:$E$500,MATCH("D2.9|"&amp;CAPTURA!AU162,CODIFICACION!$F$2:$F$500,0))),"⚠"))</f>
        <v/>
      </c>
      <c r="Q162" t="str">
        <f>IF(CAPTURA!AV162="","",IFERROR(IF(INDEX(CODIFICACION!$E$2:$E$500,MATCH("D2.10|"&amp;CAPTURA!AV162,CODIFICACION!$F$2:$F$500,0))="sin dato","",INDEX(CODIFICACION!$E$2:$E$500,MATCH("D2.10|"&amp;CAPTURA!AV162,CODIFICACION!$F$2:$F$500,0))),"⚠"))</f>
        <v/>
      </c>
      <c r="R162" t="str">
        <f>IF(CAPTURA!AW162="","",IFERROR(IF(INDEX(CODIFICACION!$E$2:$E$500,MATCH("D2.5a|"&amp;CAPTURA!AW162,CODIFICACION!$F$2:$F$500,0))="sin dato","",INDEX(CODIFICACION!$E$2:$E$500,MATCH("D2.5a|"&amp;CAPTURA!AW162,CODIFICACION!$F$2:$F$500,0))),"⚠"))</f>
        <v/>
      </c>
      <c r="S162" t="str">
        <f>IF(CAPTURA!AX162="","",IFERROR(IF(INDEX(CODIFICACION!$E$2:$E$500,MATCH("D2.5b|"&amp;CAPTURA!AX162,CODIFICACION!$F$2:$F$500,0))="sin dato","",INDEX(CODIFICACION!$E$2:$E$500,MATCH("D2.5b|"&amp;CAPTURA!AX162,CODIFICACION!$F$2:$F$500,0))),"⚠"))</f>
        <v/>
      </c>
      <c r="T162" t="str">
        <f>IF(CAPTURA!AY162="","",IF(ISNUMBER(CAPTURA!AY162),MAX(0,MIN(100,CAPTURA!AY162)),"⚠"))</f>
        <v/>
      </c>
      <c r="U162" t="str">
        <f>IF(CAPTURA!AZ162="","",IFERROR(IF(INDEX(CODIFICACION!$E$2:$E$500,MATCH("D3.12|"&amp;CAPTURA!AZ162,CODIFICACION!$F$2:$F$500,0))="sin dato","",INDEX(CODIFICACION!$E$2:$E$500,MATCH("D3.12|"&amp;CAPTURA!AZ162,CODIFICACION!$F$2:$F$500,0))),"⚠"))</f>
        <v/>
      </c>
      <c r="V162" t="str">
        <f>IF(CAPTURA!BA162="","",IF(AND(ISNUMBER(CAPTURA!BA162),CAPTURA!BA162&gt;=0,CAPTURA!BA162&lt;=4),CAPTURA!BA162*25,"⚠"))</f>
        <v/>
      </c>
      <c r="W162" t="str">
        <f>IF(CAPTURA!BB162="","",IFERROR(IF(INDEX(CODIFICACION!$E$2:$E$500,MATCH("D3.14|"&amp;CAPTURA!BB162,CODIFICACION!$F$2:$F$500,0))="sin dato","",INDEX(CODIFICACION!$E$2:$E$500,MATCH("D3.14|"&amp;CAPTURA!BB162,CODIFICACION!$F$2:$F$500,0))),"⚠"))</f>
        <v/>
      </c>
      <c r="X162" t="str">
        <f>IF(CAPTURA!BC162="","",IFERROR(IF(INDEX(CODIFICACION!$E$2:$E$500,MATCH("D3.14a|"&amp;CAPTURA!BC162,CODIFICACION!$F$2:$F$500,0))="sin dato","",INDEX(CODIFICACION!$E$2:$E$500,MATCH("D3.14a|"&amp;CAPTURA!BC162,CODIFICACION!$F$2:$F$500,0))),"⚠"))</f>
        <v/>
      </c>
      <c r="Y162" t="str">
        <f>IF(CAPTURA!BD162="","",IFERROR(IF(INDEX(CODIFICACION!$E$2:$E$500,MATCH("D3.14b|"&amp;CAPTURA!BD162,CODIFICACION!$F$2:$F$500,0))="sin dato","",INDEX(CODIFICACION!$E$2:$E$500,MATCH("D3.14b|"&amp;CAPTURA!BD162,CODIFICACION!$F$2:$F$500,0))),"⚠"))</f>
        <v/>
      </c>
      <c r="Z162" t="str">
        <f>IF(CAPTURA!BE162="","",IFERROR(IF(INDEX(CODIFICACION!$E$2:$E$500,MATCH("D3.14c|"&amp;CAPTURA!BE162,CODIFICACION!$F$2:$F$500,0))="sin dato","",INDEX(CODIFICACION!$E$2:$E$500,MATCH("D3.14c|"&amp;CAPTURA!BE162,CODIFICACION!$F$2:$F$500,0))),"⚠"))</f>
        <v/>
      </c>
      <c r="AA162" t="str">
        <f>IF(CAPTURA!BF162="","",IFERROR(IF(INDEX(CODIFICACION!$E$2:$E$500,MATCH("D3.14d|"&amp;CAPTURA!BF162,CODIFICACION!$F$2:$F$500,0))="sin dato","",INDEX(CODIFICACION!$E$2:$E$500,MATCH("D3.14d|"&amp;CAPTURA!BF162,CODIFICACION!$F$2:$F$500,0))),"⚠"))</f>
        <v/>
      </c>
      <c r="AB162" t="str">
        <f>IF(CAPTURA!BG162="","",IFERROR(IF(INDEX(CODIFICACION!$E$2:$E$500,MATCH("D3.14e|"&amp;CAPTURA!BG162,CODIFICACION!$F$2:$F$500,0))="sin dato","",INDEX(CODIFICACION!$E$2:$E$500,MATCH("D3.14e|"&amp;CAPTURA!BG162,CODIFICACION!$F$2:$F$500,0))),"⚠"))</f>
        <v/>
      </c>
      <c r="AC162" t="str">
        <f>IF(CAPTURA!BH162="","",IFERROR(IF(INDEX(CODIFICACION!$E$2:$E$500,MATCH("D3.14f|"&amp;CAPTURA!BH162,CODIFICACION!$F$2:$F$500,0))="sin dato","",INDEX(CODIFICACION!$E$2:$E$500,MATCH("D3.14f|"&amp;CAPTURA!BH162,CODIFICACION!$F$2:$F$500,0))),"⚠"))</f>
        <v/>
      </c>
      <c r="AD162" t="str">
        <f>IF(CAPTURA!BI162="","",IFERROR(IF(INDEX(CODIFICACION!$E$2:$E$500,MATCH("D3.14g|"&amp;CAPTURA!BI162,CODIFICACION!$F$2:$F$500,0))="sin dato","",INDEX(CODIFICACION!$E$2:$E$500,MATCH("D3.14g|"&amp;CAPTURA!BI162,CODIFICACION!$F$2:$F$500,0))),"⚠"))</f>
        <v/>
      </c>
      <c r="AE162" t="str">
        <f>IF(CAPTURA!BJ162="","",IFERROR(IF(INDEX(CODIFICACION!$E$2:$E$500,MATCH("D3.14h|"&amp;CAPTURA!BJ162,CODIFICACION!$F$2:$F$500,0))="sin dato","",INDEX(CODIFICACION!$E$2:$E$500,MATCH("D3.14h|"&amp;CAPTURA!BJ162,CODIFICACION!$F$2:$F$500,0))),"⚠"))</f>
        <v/>
      </c>
      <c r="AF162" t="str">
        <f>IF(CAPTURA!BK162="","",IFERROR(IF(INDEX(CODIFICACION!$E$2:$E$500,MATCH("D3.14i|"&amp;CAPTURA!BK162,CODIFICACION!$F$2:$F$500,0))="sin dato","",INDEX(CODIFICACION!$E$2:$E$500,MATCH("D3.14i|"&amp;CAPTURA!BK162,CODIFICACION!$F$2:$F$500,0))),"⚠"))</f>
        <v/>
      </c>
      <c r="AG162" t="str">
        <f>IF(CAPTURA!BL162="","",IFERROR(IF(INDEX(CODIFICACION!$E$2:$E$500,MATCH("D4.15|"&amp;CAPTURA!BL162,CODIFICACION!$F$2:$F$500,0))="sin dato","",INDEX(CODIFICACION!$E$2:$E$500,MATCH("D4.15|"&amp;CAPTURA!BL162,CODIFICACION!$F$2:$F$500,0))),"⚠"))</f>
        <v/>
      </c>
      <c r="AH162" t="str">
        <f>IF(CAPTURA!BM162="","",IF(AND(ISNUMBER(CAPTURA!BM162),CAPTURA!BM162&gt;=0,CAPTURA!BM162&lt;=4),CAPTURA!BM162*25,"⚠"))</f>
        <v/>
      </c>
      <c r="AI162" t="str">
        <f>IF(CAPTURA!BN162="","",IFERROR(IF(INDEX(CODIFICACION!$E$2:$E$500,MATCH("D4.17|"&amp;CAPTURA!BN162,CODIFICACION!$F$2:$F$500,0))="sin dato","",INDEX(CODIFICACION!$E$2:$E$500,MATCH("D4.17|"&amp;CAPTURA!BN162,CODIFICACION!$F$2:$F$500,0))),"⚠"))</f>
        <v/>
      </c>
      <c r="AJ162" t="str">
        <f>IF(CAPTURA!BO162="","",IFERROR(IF(INDEX(CODIFICACION!$E$2:$E$500,MATCH("D4.15a|"&amp;CAPTURA!BO162,CODIFICACION!$F$2:$F$500,0))="sin dato","",INDEX(CODIFICACION!$E$2:$E$500,MATCH("D4.15a|"&amp;CAPTURA!BO162,CODIFICACION!$F$2:$F$500,0))),"⚠"))</f>
        <v/>
      </c>
      <c r="AK162" t="str">
        <f>IF(CAPTURA!BP162="","",IF(AND(ISNUMBER(CAPTURA!BP162),CAPTURA!BP162&gt;=0,CAPTURA!BP162&lt;=4),CAPTURA!BP162*25,"⚠"))</f>
        <v/>
      </c>
      <c r="AL162" t="str">
        <f>IF(CAPTURA!BQ162="","",IF(AND(ISNUMBER(CAPTURA!BQ162),CAPTURA!BQ162&gt;=0,CAPTURA!BQ162&lt;=4),CAPTURA!BQ162*25,"⚠"))</f>
        <v/>
      </c>
      <c r="AM162" t="str">
        <f>IF(CAPTURA!BR162="","",IFERROR(IF(INDEX(CODIFICACION!$E$2:$E$500,MATCH("D5.18b|"&amp;CAPTURA!BR162,CODIFICACION!$F$2:$F$500,0))="sin dato","",INDEX(CODIFICACION!$E$2:$E$500,MATCH("D5.18b|"&amp;CAPTURA!BR162,CODIFICACION!$F$2:$F$500,0))),"⚠"))</f>
        <v/>
      </c>
      <c r="AN162" t="str">
        <f>IF(CAPTURA!BS162="","",IFERROR(IF(INDEX(CODIFICACION!$E$2:$E$500,MATCH("D5.19|"&amp;CAPTURA!BS162,CODIFICACION!$F$2:$F$500,0))="sin dato","",INDEX(CODIFICACION!$E$2:$E$500,MATCH("D5.19|"&amp;CAPTURA!BS162,CODIFICACION!$F$2:$F$500,0))),"⚠"))</f>
        <v/>
      </c>
      <c r="AO162" t="str">
        <f>IF(CAPTURA!BT162="","",MIN(100,ROUND((LEN(CAPTURA!BT162)-LEN(SUBSTITUTE(CAPTURA!BT162,";",""))+1)/7*100,1)))</f>
        <v/>
      </c>
      <c r="AP162" t="str">
        <f>IF(CAPTURA!BU162="","",IFERROR(IF(INDEX(CODIFICACION!$E$2:$E$500,MATCH("D5.20|"&amp;CAPTURA!BU162,CODIFICACION!$F$2:$F$500,0))="sin dato","",INDEX(CODIFICACION!$E$2:$E$500,MATCH("D5.20|"&amp;CAPTURA!BU162,CODIFICACION!$F$2:$F$500,0))),"⚠"))</f>
        <v/>
      </c>
      <c r="AQ162" t="str">
        <f>IF(CAPTURA!BV162="","",IFERROR(IF(INDEX(CODIFICACION!$E$2:$E$500,MATCH("D5.21|"&amp;CAPTURA!BV162,CODIFICACION!$F$2:$F$500,0))="sin dato","",INDEX(CODIFICACION!$E$2:$E$500,MATCH("D5.21|"&amp;CAPTURA!BV162,CODIFICACION!$F$2:$F$500,0))),"⚠"))</f>
        <v/>
      </c>
      <c r="AR162" t="str">
        <f>IF(CAPTURA!BW162="","",IFERROR(IF(INDEX(CODIFICACION!$E$2:$E$500,MATCH("D5.21a|"&amp;CAPTURA!BW162,CODIFICACION!$F$2:$F$500,0))="sin dato","",INDEX(CODIFICACION!$E$2:$E$500,MATCH("D5.21a|"&amp;CAPTURA!BW162,CODIFICACION!$F$2:$F$500,0))),"⚠"))</f>
        <v/>
      </c>
      <c r="AS162" t="str">
        <f>IF(CAPTURA!BX162="","",IFERROR(IF(INDEX(CODIFICACION!$E$2:$E$500,MATCH("D5.21b|"&amp;CAPTURA!BX162,CODIFICACION!$F$2:$F$500,0))="sin dato","",INDEX(CODIFICACION!$E$2:$E$500,MATCH("D5.21b|"&amp;CAPTURA!BX162,CODIFICACION!$F$2:$F$500,0))),"⚠"))</f>
        <v/>
      </c>
      <c r="AT162" t="str">
        <f>IF(CAPTURA!BY162="","",IFERROR(IF(INDEX(CODIFICACION!$E$2:$E$500,MATCH("D6.22|"&amp;CAPTURA!BY162,CODIFICACION!$F$2:$F$500,0))="sin dato","",INDEX(CODIFICACION!$E$2:$E$500,MATCH("D6.22|"&amp;CAPTURA!BY162,CODIFICACION!$F$2:$F$500,0))),"⚠"))</f>
        <v/>
      </c>
      <c r="AU162" t="str">
        <f>IF(CAPTURA!BZ162="","",IFERROR(IF(INDEX(CODIFICACION!$E$2:$E$500,MATCH("D6.22a|"&amp;CAPTURA!BZ162,CODIFICACION!$F$2:$F$500,0))="sin dato","",INDEX(CODIFICACION!$E$2:$E$500,MATCH("D6.22a|"&amp;CAPTURA!BZ162,CODIFICACION!$F$2:$F$500,0))),"⚠"))</f>
        <v/>
      </c>
      <c r="AV162" t="str">
        <f>IF(CAPTURA!CA162="","",IFERROR(IF(INDEX(CODIFICACION!$E$2:$E$500,MATCH("D6.22b|"&amp;CAPTURA!CA162,CODIFICACION!$F$2:$F$500,0))="sin dato","",INDEX(CODIFICACION!$E$2:$E$500,MATCH("D6.22b|"&amp;CAPTURA!CA162,CODIFICACION!$F$2:$F$500,0))),"⚠"))</f>
        <v/>
      </c>
      <c r="AW162" t="str">
        <f>IF(CAPTURA!CB162="","",IFERROR(IF(INDEX(CODIFICACION!$E$2:$E$500,MATCH("D6.23|"&amp;CAPTURA!CB162,CODIFICACION!$F$2:$F$500,0))="sin dato","",INDEX(CODIFICACION!$E$2:$E$500,MATCH("D6.23|"&amp;CAPTURA!CB162,CODIFICACION!$F$2:$F$500,0))),"⚠"))</f>
        <v/>
      </c>
      <c r="AX162" t="str">
        <f>IF(CAPTURA!CC162="","",IFERROR(IF(INDEX(CODIFICACION!$E$2:$E$500,MATCH("D6.24|"&amp;CAPTURA!CC162,CODIFICACION!$F$2:$F$500,0))="sin dato","",INDEX(CODIFICACION!$E$2:$E$500,MATCH("D6.24|"&amp;CAPTURA!CC162,CODIFICACION!$F$2:$F$500,0))),"⚠"))</f>
        <v/>
      </c>
      <c r="AY162" t="str">
        <f>IF(CAPTURA!CD162="","",IFERROR(IF(INDEX(CODIFICACION!$E$2:$E$500,MATCH("D6.25|"&amp;CAPTURA!CD162,CODIFICACION!$F$2:$F$500,0))="sin dato","",INDEX(CODIFICACION!$E$2:$E$500,MATCH("D6.25|"&amp;CAPTURA!CD162,CODIFICACION!$F$2:$F$500,0))),"⚠"))</f>
        <v/>
      </c>
      <c r="AZ162" t="str">
        <f>IF(CAPTURA!CE162="","",IFERROR(IF(INDEX(CODIFICACION!$E$2:$E$500,MATCH("D6.25a|"&amp;CAPTURA!CE162,CODIFICACION!$F$2:$F$500,0))="sin dato","",INDEX(CODIFICACION!$E$2:$E$500,MATCH("D6.25a|"&amp;CAPTURA!CE162,CODIFICACION!$F$2:$F$500,0))),"⚠"))</f>
        <v/>
      </c>
      <c r="BA162" t="str">
        <f>IF(CAPTURA!CF162="","",IFERROR(IF(INDEX(CODIFICACION!$E$2:$E$500,MATCH("D6.25b|"&amp;CAPTURA!CF162,CODIFICACION!$F$2:$F$500,0))="sin dato","",INDEX(CODIFICACION!$E$2:$E$500,MATCH("D6.25b|"&amp;CAPTURA!CF162,CODIFICACION!$F$2:$F$500,0))),"⚠"))</f>
        <v/>
      </c>
      <c r="BB162" t="str">
        <f>IF(CAPTURA!CG162="","",IFERROR(IF(INDEX(CODIFICACION!$E$2:$E$500,MATCH("D6.22c|"&amp;CAPTURA!CG162,CODIFICACION!$F$2:$F$500,0))="sin dato","",INDEX(CODIFICACION!$E$2:$E$500,MATCH("D6.22c|"&amp;CAPTURA!CG162,CODIFICACION!$F$2:$F$500,0))),"⚠"))</f>
        <v/>
      </c>
      <c r="BC162" t="str">
        <f>IF(CAPTURA!CH162="","",IFERROR(IF(INDEX(CODIFICACION!$E$2:$E$500,MATCH("D7.26|"&amp;CAPTURA!CH162,CODIFICACION!$F$2:$F$500,0))="sin dato","",INDEX(CODIFICACION!$E$2:$E$500,MATCH("D7.26|"&amp;CAPTURA!CH162,CODIFICACION!$F$2:$F$500,0))),"⚠"))</f>
        <v/>
      </c>
      <c r="BD162" t="str">
        <f>IF(CAPTURA!CI162="","",IFERROR(IF(INDEX(CODIFICACION!$E$2:$E$500,MATCH("D7.27|"&amp;CAPTURA!CI162,CODIFICACION!$F$2:$F$500,0))="sin dato","",INDEX(CODIFICACION!$E$2:$E$500,MATCH("D7.27|"&amp;CAPTURA!CI162,CODIFICACION!$F$2:$F$500,0))),"⚠"))</f>
        <v/>
      </c>
      <c r="BE162" t="str">
        <f>IF(CAPTURA!CJ162="","",IFERROR(IF(INDEX(CODIFICACION!$E$2:$E$500,MATCH("D7.28|"&amp;CAPTURA!CJ162,CODIFICACION!$F$2:$F$500,0))="sin dato","",INDEX(CODIFICACION!$E$2:$E$500,MATCH("D7.28|"&amp;CAPTURA!CJ162,CODIFICACION!$F$2:$F$500,0))),"⚠"))</f>
        <v/>
      </c>
      <c r="BF162" t="str">
        <f>IF(CAPTURA!CK162="","",IFERROR(IF(INDEX(CODIFICACION!$E$2:$E$500,MATCH("D7.28b|"&amp;CAPTURA!CK162,CODIFICACION!$F$2:$F$500,0))="sin dato","",INDEX(CODIFICACION!$E$2:$E$500,MATCH("D7.28b|"&amp;CAPTURA!CK162,CODIFICACION!$F$2:$F$500,0))),"⚠"))</f>
        <v/>
      </c>
      <c r="BG162" t="str">
        <f>IF(CAPTURA!CL162="","",MIN(100,ROUND((LEN(CAPTURA!CL162)-LEN(SUBSTITUTE(CAPTURA!CL162,";",""))+1)/8*100,1)))</f>
        <v/>
      </c>
      <c r="BH162" t="str">
        <f>IF(CAPTURA!CM162="","",IFERROR(IF(INDEX(CODIFICACION!$E$2:$E$500,MATCH("D7.26a|"&amp;CAPTURA!CM162,CODIFICACION!$F$2:$F$500,0))="sin dato","",INDEX(CODIFICACION!$E$2:$E$500,MATCH("D7.26a|"&amp;CAPTURA!CM162,CODIFICACION!$F$2:$F$500,0))),"⚠"))</f>
        <v/>
      </c>
      <c r="BI162" t="str">
        <f>IF(CAPTURA!CN162="","",IFERROR(IF(INDEX(CODIFICACION!$E$2:$E$500,MATCH("D7.26b|"&amp;CAPTURA!CN162,CODIFICACION!$F$2:$F$500,0))="sin dato","",INDEX(CODIFICACION!$E$2:$E$500,MATCH("D7.26b|"&amp;CAPTURA!CN162,CODIFICACION!$F$2:$F$500,0))),"⚠"))</f>
        <v/>
      </c>
      <c r="BJ162" t="str">
        <f>IF(CAPTURA!CO162="","",IF(AND(ISNUMBER(CAPTURA!CO162),CAPTURA!CO162&gt;=0,CAPTURA!CO162&lt;=4),CAPTURA!CO162*25,"⚠"))</f>
        <v/>
      </c>
      <c r="BK162" t="str">
        <f>IF(CAPTURA!CP162="","",IF(ISNUMBER(CAPTURA!CP162),MAX(0,MIN(100,CAPTURA!CP162)),"⚠"))</f>
        <v/>
      </c>
      <c r="BL162" t="str">
        <f>IF(CAPTURA!CQ162="","",IFERROR(IF(INDEX(CODIFICACION!$E$2:$E$500,MATCH("D8.31|"&amp;CAPTURA!CQ162,CODIFICACION!$F$2:$F$500,0))="sin dato","",INDEX(CODIFICACION!$E$2:$E$500,MATCH("D8.31|"&amp;CAPTURA!CQ162,CODIFICACION!$F$2:$F$500,0))),"⚠"))</f>
        <v/>
      </c>
      <c r="BM162" t="str">
        <f>IF(CAPTURA!CR162="","",IFERROR(IF(INDEX(CODIFICACION!$E$2:$E$500,MATCH("D8.32|"&amp;CAPTURA!CR162,CODIFICACION!$F$2:$F$500,0))="sin dato","",INDEX(CODIFICACION!$E$2:$E$500,MATCH("D8.32|"&amp;CAPTURA!CR162,CODIFICACION!$F$2:$F$500,0))),"⚠"))</f>
        <v/>
      </c>
      <c r="BN162" t="str">
        <f>IF(CAPTURA!CS162="","",IFERROR(IF(INDEX(CODIFICACION!$E$2:$E$500,MATCH("D9.33|"&amp;CAPTURA!CS162,CODIFICACION!$F$2:$F$500,0))="sin dato","",INDEX(CODIFICACION!$E$2:$E$500,MATCH("D9.33|"&amp;CAPTURA!CS162,CODIFICACION!$F$2:$F$500,0))),"⚠"))</f>
        <v/>
      </c>
      <c r="BO162" t="str">
        <f>IF(CAPTURA!CT162="","",IFERROR(IF(INDEX(CODIFICACION!$E$2:$E$500,MATCH("D9.34|"&amp;CAPTURA!CT162,CODIFICACION!$F$2:$F$500,0))="sin dato","",INDEX(CODIFICACION!$E$2:$E$500,MATCH("D9.34|"&amp;CAPTURA!CT162,CODIFICACION!$F$2:$F$500,0))),"⚠"))</f>
        <v/>
      </c>
      <c r="BP162" t="str">
        <f>IF(CAPTURA!CU162="","",IFERROR(IF(INDEX(CODIFICACION!$E$2:$E$500,MATCH("D9.35|"&amp;CAPTURA!CU162,CODIFICACION!$F$2:$F$500,0))="sin dato","",INDEX(CODIFICACION!$E$2:$E$500,MATCH("D9.35|"&amp;CAPTURA!CU162,CODIFICACION!$F$2:$F$500,0))),"⚠"))</f>
        <v/>
      </c>
      <c r="BQ162" t="str">
        <f>IF(CAPTURA!CV162="","",IFERROR(IF(INDEX(CODIFICACION!$E$2:$E$500,MATCH("D10.36|"&amp;CAPTURA!CV162,CODIFICACION!$F$2:$F$500,0))="sin dato","",INDEX(CODIFICACION!$E$2:$E$500,MATCH("D10.36|"&amp;CAPTURA!CV162,CODIFICACION!$F$2:$F$500,0))),"⚠"))</f>
        <v/>
      </c>
      <c r="BR162" t="str">
        <f>IF(CAPTURA!CW162="","",IFERROR(IF(INDEX(CODIFICACION!$E$2:$E$500,MATCH("D10.37|"&amp;CAPTURA!CW162,CODIFICACION!$F$2:$F$500,0))="sin dato","",INDEX(CODIFICACION!$E$2:$E$500,MATCH("D10.37|"&amp;CAPTURA!CW162,CODIFICACION!$F$2:$F$500,0))),"⚠"))</f>
        <v/>
      </c>
      <c r="BS162" t="str">
        <f>IF(CAPTURA!CX162="","",IFERROR(IF(INDEX(CODIFICACION!$E$2:$E$500,MATCH("D10.36a|"&amp;CAPTURA!CX162,CODIFICACION!$F$2:$F$500,0))="sin dato","",INDEX(CODIFICACION!$E$2:$E$500,MATCH("D10.36a|"&amp;CAPTURA!CX162,CODIFICACION!$F$2:$F$500,0))),"⚠"))</f>
        <v/>
      </c>
      <c r="BT162" t="str">
        <f>IF(CAPTURA!CY162="","",IF(ISNUMBER(SEARCH("Ninguno",CAPTURA!CY162)),0,MIN(100,ROUND((LEN(CAPTURA!CY162)-LEN(SUBSTITUTE(CAPTURA!CY162,";",""))+1)/6*100,1))))</f>
        <v/>
      </c>
      <c r="BU162" t="str">
        <f>IF(CAPTURA!DA162="","",IFERROR(IF(INDEX(CODIFICACION!$E$2:$E$500,MATCH("D11.39a|"&amp;CAPTURA!DA162,CODIFICACION!$F$2:$F$500,0))="sin dato","",INDEX(CODIFICACION!$E$2:$E$500,MATCH("D11.39a|"&amp;CAPTURA!DA162,CODIFICACION!$F$2:$F$500,0))),"⚠"))</f>
        <v/>
      </c>
      <c r="BV162" t="str">
        <f>IF(CAPTURA!DB162="","",IFERROR(IF(INDEX(CODIFICACION!$E$2:$E$500,MATCH("D12.42|"&amp;CAPTURA!DB162,CODIFICACION!$F$2:$F$500,0))="sin dato","",INDEX(CODIFICACION!$E$2:$E$500,MATCH("D12.42|"&amp;CAPTURA!DB162,CODIFICACION!$F$2:$F$500,0))),"⚠"))</f>
        <v/>
      </c>
      <c r="BW162" t="str">
        <f>IF(CAPTURA!DC162="","",IFERROR(IF(INDEX(CODIFICACION!$E$2:$E$500,MATCH("D13.45|"&amp;CAPTURA!DC162,CODIFICACION!$F$2:$F$500,0))="sin dato","",INDEX(CODIFICACION!$E$2:$E$500,MATCH("D13.45|"&amp;CAPTURA!DC162,CODIFICACION!$F$2:$F$500,0))),"⚠"))</f>
        <v/>
      </c>
      <c r="BX162" t="str">
        <f>IF(CAPTURA!DD162="","",IFERROR(IF(INDEX(CODIFICACION!$E$2:$E$500,MATCH("D14.51|"&amp;CAPTURA!DD162,CODIFICACION!$F$2:$F$500,0))="sin dato","",INDEX(CODIFICACION!$E$2:$E$500,MATCH("D14.51|"&amp;CAPTURA!DD162,CODIFICACION!$F$2:$F$500,0))),"⚠"))</f>
        <v/>
      </c>
      <c r="BY162" t="str">
        <f>IF(CAPTURA!DE162="","",IFERROR(IF(INDEX(CODIFICACION!$E$2:$E$500,MATCH("D15.58|"&amp;CAPTURA!DE162,CODIFICACION!$F$2:$F$500,0))="sin dato","",INDEX(CODIFICACION!$E$2:$E$500,MATCH("D15.58|"&amp;CAPTURA!DE162,CODIFICACION!$F$2:$F$500,0))),"⚠"))</f>
        <v/>
      </c>
      <c r="BZ162" t="str">
        <f>IF(CAPTURA!DF162="","",IFERROR(IF(INDEX(CODIFICACION!$E$2:$E$500,MATCH("PP1|"&amp;CAPTURA!DF162,CODIFICACION!$F$2:$F$500,0))="sin dato","",INDEX(CODIFICACION!$E$2:$E$500,MATCH("PP1|"&amp;CAPTURA!DF162,CODIFICACION!$F$2:$F$500,0))),"⚠"))</f>
        <v/>
      </c>
      <c r="CA162" t="str">
        <f>IF(CAPTURA!DG162="","",IFERROR(IF(INDEX(CODIFICACION!$E$2:$E$500,MATCH("PP2|"&amp;CAPTURA!DG162,CODIFICACION!$F$2:$F$500,0))="sin dato","",INDEX(CODIFICACION!$E$2:$E$500,MATCH("PP2|"&amp;CAPTURA!DG162,CODIFICACION!$F$2:$F$500,0))),"⚠"))</f>
        <v/>
      </c>
      <c r="CB162" t="str">
        <f t="shared" si="44"/>
        <v/>
      </c>
      <c r="CC162" t="str">
        <f t="shared" si="45"/>
        <v/>
      </c>
      <c r="CD162" t="str">
        <f t="shared" si="46"/>
        <v/>
      </c>
      <c r="CE162" t="str">
        <f t="shared" si="47"/>
        <v/>
      </c>
      <c r="CF162" t="str">
        <f t="shared" si="48"/>
        <v/>
      </c>
      <c r="CG162" t="str">
        <f t="shared" si="49"/>
        <v/>
      </c>
      <c r="CH162" t="str">
        <f t="shared" si="50"/>
        <v/>
      </c>
      <c r="CI162" t="str">
        <f t="shared" si="51"/>
        <v/>
      </c>
      <c r="CJ162" t="str">
        <f t="shared" si="52"/>
        <v/>
      </c>
      <c r="CK162" t="str">
        <f t="shared" si="53"/>
        <v/>
      </c>
      <c r="CL162" t="str">
        <f t="shared" si="54"/>
        <v/>
      </c>
    </row>
    <row r="163" spans="1:90" x14ac:dyDescent="0.3">
      <c r="A163">
        <f>CAPTURA!A163</f>
        <v>20607536016</v>
      </c>
      <c r="B163">
        <f>CAPTURA!C163</f>
        <v>0</v>
      </c>
      <c r="C163" t="str">
        <f>IF(CAPTURA!M163="","",ROUND((ISNUMBER(SEARCH("Alemania",CAPTURA!M163))+ISNUMBER(SEARCH("Bélgica",CAPTURA!M163))+ISNUMBER(SEARCH("Países Bajos",CAPTURA!M163))+ISNUMBER(SEARCH("Francia",CAPTURA!M163))+ISNUMBER(SEARCH("Italia",CAPTURA!M163))+ISNUMBER(SEARCH("España",CAPTURA!M163))+ISNUMBER(SEARCH("Suecia",CAPTURA!M163))+ISNUMBER(SEARCH("Dinamarca",CAPTURA!M163)))/((LEN(CAPTURA!M163)-LEN(SUBSTITUTE(CAPTURA!M163,";","")))+1)*100,1))</f>
        <v/>
      </c>
      <c r="D163" t="str">
        <f>IF(CAPTURA!AE163="","",IFERROR(IF(INDEX(CODIFICACION!$E$2:$E$500,MATCH("P8|"&amp;CAPTURA!AE163,CODIFICACION!$F$2:$F$500,0))="sin dato","",INDEX(CODIFICACION!$E$2:$E$500,MATCH("P8|"&amp;CAPTURA!AE163,CODIFICACION!$F$2:$F$500,0))),"⚠"))</f>
        <v/>
      </c>
      <c r="E163" t="str">
        <f>IF(CAPTURA!AG163="","",IFERROR(IF(INDEX(CODIFICACION!$E$2:$E$500,MATCH("P10|"&amp;CAPTURA!AG163,CODIFICACION!$F$2:$F$500,0))="sin dato","",INDEX(CODIFICACION!$E$2:$E$500,MATCH("P10|"&amp;CAPTURA!AG163,CODIFICACION!$F$2:$F$500,0))),"⚠"))</f>
        <v/>
      </c>
      <c r="F163" t="str">
        <f>IF(CAPTURA!AJ163="","",IFERROR(IF(INDEX(CODIFICACION!$E$2:$E$500,MATCH("P13|"&amp;CAPTURA!AJ163,CODIFICACION!$F$2:$F$500,0))="sin dato","",INDEX(CODIFICACION!$E$2:$E$500,MATCH("P13|"&amp;CAPTURA!AJ163,CODIFICACION!$F$2:$F$500,0))),"⚠"))</f>
        <v/>
      </c>
      <c r="G163" t="str">
        <f>IF(CAPTURA!AK163="","",IFERROR(IF(INDEX(CODIFICACION!$E$2:$E$500,MATCH("P14|"&amp;CAPTURA!AK163,CODIFICACION!$F$2:$F$500,0))="sin dato","",INDEX(CODIFICACION!$E$2:$E$500,MATCH("P14|"&amp;CAPTURA!AK163,CODIFICACION!$F$2:$F$500,0))),"⚠"))</f>
        <v/>
      </c>
      <c r="H163" t="str">
        <f>IF(CAPTURA!AL163="","",IFERROR(IF(INDEX(CODIFICACION!$E$2:$E$500,MATCH("D1.1|"&amp;CAPTURA!AL163,CODIFICACION!$F$2:$F$500,0))="sin dato","",INDEX(CODIFICACION!$E$2:$E$500,MATCH("D1.1|"&amp;CAPTURA!AL163,CODIFICACION!$F$2:$F$500,0))),"⚠"))</f>
        <v/>
      </c>
      <c r="I163" t="str">
        <f>IF(CAPTURA!AN163="","",IFERROR(IF(INDEX(CODIFICACION!$E$2:$E$500,MATCH("D1.3|"&amp;CAPTURA!AN163,CODIFICACION!$F$2:$F$500,0))="sin dato","",INDEX(CODIFICACION!$E$2:$E$500,MATCH("D1.3|"&amp;CAPTURA!AN163,CODIFICACION!$F$2:$F$500,0))),"⚠"))</f>
        <v/>
      </c>
      <c r="J163" t="str">
        <f>IF(CAPTURA!AO163="","",IFERROR(IF(INDEX(CODIFICACION!$E$2:$E$500,MATCH("D1.4|"&amp;CAPTURA!AO163,CODIFICACION!$F$2:$F$500,0))="sin dato","",INDEX(CODIFICACION!$E$2:$E$500,MATCH("D1.4|"&amp;CAPTURA!AO163,CODIFICACION!$F$2:$F$500,0))),"⚠"))</f>
        <v/>
      </c>
      <c r="K163" t="str">
        <f>IF(CAPTURA!AP163="","",IFERROR(IF(INDEX(CODIFICACION!$E$2:$E$500,MATCH("D1.3a|"&amp;CAPTURA!AP163,CODIFICACION!$F$2:$F$500,0))="sin dato","",INDEX(CODIFICACION!$E$2:$E$500,MATCH("D1.3a|"&amp;CAPTURA!AP163,CODIFICACION!$F$2:$F$500,0))),"⚠"))</f>
        <v/>
      </c>
      <c r="L163" t="str">
        <f>IF(CAPTURA!AQ163="","",IF(AND(ISNUMBER(CAPTURA!AQ163),CAPTURA!AQ163&gt;=0,CAPTURA!AQ163&lt;=4),CAPTURA!AQ163*25,"⚠"))</f>
        <v/>
      </c>
      <c r="M163" t="str">
        <f>IF(CAPTURA!AR163="","",IF(ISNUMBER(CAPTURA!AR163),MAX(0,MIN(100,CAPTURA!AR163)),"⚠"))</f>
        <v/>
      </c>
      <c r="N163" t="str">
        <f>IF(CAPTURA!AS163="","",IF(AND(ISNUMBER(CAPTURA!AS163),CAPTURA!AS163&gt;=0,CAPTURA!AS163&lt;=4),CAPTURA!AS163*25,"⚠"))</f>
        <v/>
      </c>
      <c r="O163" t="str">
        <f>IF(CAPTURA!AT163="","",IFERROR(IF(INDEX(CODIFICACION!$E$2:$E$500,MATCH("D2.8|"&amp;CAPTURA!AT163,CODIFICACION!$F$2:$F$500,0))="sin dato","",INDEX(CODIFICACION!$E$2:$E$500,MATCH("D2.8|"&amp;CAPTURA!AT163,CODIFICACION!$F$2:$F$500,0))),"⚠"))</f>
        <v/>
      </c>
      <c r="P163" t="str">
        <f>IF(CAPTURA!AU163="","",IFERROR(IF(INDEX(CODIFICACION!$E$2:$E$500,MATCH("D2.9|"&amp;CAPTURA!AU163,CODIFICACION!$F$2:$F$500,0))="sin dato","",INDEX(CODIFICACION!$E$2:$E$500,MATCH("D2.9|"&amp;CAPTURA!AU163,CODIFICACION!$F$2:$F$500,0))),"⚠"))</f>
        <v/>
      </c>
      <c r="Q163" t="str">
        <f>IF(CAPTURA!AV163="","",IFERROR(IF(INDEX(CODIFICACION!$E$2:$E$500,MATCH("D2.10|"&amp;CAPTURA!AV163,CODIFICACION!$F$2:$F$500,0))="sin dato","",INDEX(CODIFICACION!$E$2:$E$500,MATCH("D2.10|"&amp;CAPTURA!AV163,CODIFICACION!$F$2:$F$500,0))),"⚠"))</f>
        <v/>
      </c>
      <c r="R163" t="str">
        <f>IF(CAPTURA!AW163="","",IFERROR(IF(INDEX(CODIFICACION!$E$2:$E$500,MATCH("D2.5a|"&amp;CAPTURA!AW163,CODIFICACION!$F$2:$F$500,0))="sin dato","",INDEX(CODIFICACION!$E$2:$E$500,MATCH("D2.5a|"&amp;CAPTURA!AW163,CODIFICACION!$F$2:$F$500,0))),"⚠"))</f>
        <v/>
      </c>
      <c r="S163" t="str">
        <f>IF(CAPTURA!AX163="","",IFERROR(IF(INDEX(CODIFICACION!$E$2:$E$500,MATCH("D2.5b|"&amp;CAPTURA!AX163,CODIFICACION!$F$2:$F$500,0))="sin dato","",INDEX(CODIFICACION!$E$2:$E$500,MATCH("D2.5b|"&amp;CAPTURA!AX163,CODIFICACION!$F$2:$F$500,0))),"⚠"))</f>
        <v/>
      </c>
      <c r="T163" t="str">
        <f>IF(CAPTURA!AY163="","",IF(ISNUMBER(CAPTURA!AY163),MAX(0,MIN(100,CAPTURA!AY163)),"⚠"))</f>
        <v/>
      </c>
      <c r="U163" t="str">
        <f>IF(CAPTURA!AZ163="","",IFERROR(IF(INDEX(CODIFICACION!$E$2:$E$500,MATCH("D3.12|"&amp;CAPTURA!AZ163,CODIFICACION!$F$2:$F$500,0))="sin dato","",INDEX(CODIFICACION!$E$2:$E$500,MATCH("D3.12|"&amp;CAPTURA!AZ163,CODIFICACION!$F$2:$F$500,0))),"⚠"))</f>
        <v/>
      </c>
      <c r="V163" t="str">
        <f>IF(CAPTURA!BA163="","",IF(AND(ISNUMBER(CAPTURA!BA163),CAPTURA!BA163&gt;=0,CAPTURA!BA163&lt;=4),CAPTURA!BA163*25,"⚠"))</f>
        <v/>
      </c>
      <c r="W163" t="str">
        <f>IF(CAPTURA!BB163="","",IFERROR(IF(INDEX(CODIFICACION!$E$2:$E$500,MATCH("D3.14|"&amp;CAPTURA!BB163,CODIFICACION!$F$2:$F$500,0))="sin dato","",INDEX(CODIFICACION!$E$2:$E$500,MATCH("D3.14|"&amp;CAPTURA!BB163,CODIFICACION!$F$2:$F$500,0))),"⚠"))</f>
        <v/>
      </c>
      <c r="X163" t="str">
        <f>IF(CAPTURA!BC163="","",IFERROR(IF(INDEX(CODIFICACION!$E$2:$E$500,MATCH("D3.14a|"&amp;CAPTURA!BC163,CODIFICACION!$F$2:$F$500,0))="sin dato","",INDEX(CODIFICACION!$E$2:$E$500,MATCH("D3.14a|"&amp;CAPTURA!BC163,CODIFICACION!$F$2:$F$500,0))),"⚠"))</f>
        <v/>
      </c>
      <c r="Y163" t="str">
        <f>IF(CAPTURA!BD163="","",IFERROR(IF(INDEX(CODIFICACION!$E$2:$E$500,MATCH("D3.14b|"&amp;CAPTURA!BD163,CODIFICACION!$F$2:$F$500,0))="sin dato","",INDEX(CODIFICACION!$E$2:$E$500,MATCH("D3.14b|"&amp;CAPTURA!BD163,CODIFICACION!$F$2:$F$500,0))),"⚠"))</f>
        <v/>
      </c>
      <c r="Z163" t="str">
        <f>IF(CAPTURA!BE163="","",IFERROR(IF(INDEX(CODIFICACION!$E$2:$E$500,MATCH("D3.14c|"&amp;CAPTURA!BE163,CODIFICACION!$F$2:$F$500,0))="sin dato","",INDEX(CODIFICACION!$E$2:$E$500,MATCH("D3.14c|"&amp;CAPTURA!BE163,CODIFICACION!$F$2:$F$500,0))),"⚠"))</f>
        <v/>
      </c>
      <c r="AA163" t="str">
        <f>IF(CAPTURA!BF163="","",IFERROR(IF(INDEX(CODIFICACION!$E$2:$E$500,MATCH("D3.14d|"&amp;CAPTURA!BF163,CODIFICACION!$F$2:$F$500,0))="sin dato","",INDEX(CODIFICACION!$E$2:$E$500,MATCH("D3.14d|"&amp;CAPTURA!BF163,CODIFICACION!$F$2:$F$500,0))),"⚠"))</f>
        <v/>
      </c>
      <c r="AB163" t="str">
        <f>IF(CAPTURA!BG163="","",IFERROR(IF(INDEX(CODIFICACION!$E$2:$E$500,MATCH("D3.14e|"&amp;CAPTURA!BG163,CODIFICACION!$F$2:$F$500,0))="sin dato","",INDEX(CODIFICACION!$E$2:$E$500,MATCH("D3.14e|"&amp;CAPTURA!BG163,CODIFICACION!$F$2:$F$500,0))),"⚠"))</f>
        <v/>
      </c>
      <c r="AC163" t="str">
        <f>IF(CAPTURA!BH163="","",IFERROR(IF(INDEX(CODIFICACION!$E$2:$E$500,MATCH("D3.14f|"&amp;CAPTURA!BH163,CODIFICACION!$F$2:$F$500,0))="sin dato","",INDEX(CODIFICACION!$E$2:$E$500,MATCH("D3.14f|"&amp;CAPTURA!BH163,CODIFICACION!$F$2:$F$500,0))),"⚠"))</f>
        <v/>
      </c>
      <c r="AD163" t="str">
        <f>IF(CAPTURA!BI163="","",IFERROR(IF(INDEX(CODIFICACION!$E$2:$E$500,MATCH("D3.14g|"&amp;CAPTURA!BI163,CODIFICACION!$F$2:$F$500,0))="sin dato","",INDEX(CODIFICACION!$E$2:$E$500,MATCH("D3.14g|"&amp;CAPTURA!BI163,CODIFICACION!$F$2:$F$500,0))),"⚠"))</f>
        <v/>
      </c>
      <c r="AE163" t="str">
        <f>IF(CAPTURA!BJ163="","",IFERROR(IF(INDEX(CODIFICACION!$E$2:$E$500,MATCH("D3.14h|"&amp;CAPTURA!BJ163,CODIFICACION!$F$2:$F$500,0))="sin dato","",INDEX(CODIFICACION!$E$2:$E$500,MATCH("D3.14h|"&amp;CAPTURA!BJ163,CODIFICACION!$F$2:$F$500,0))),"⚠"))</f>
        <v/>
      </c>
      <c r="AF163" t="str">
        <f>IF(CAPTURA!BK163="","",IFERROR(IF(INDEX(CODIFICACION!$E$2:$E$500,MATCH("D3.14i|"&amp;CAPTURA!BK163,CODIFICACION!$F$2:$F$500,0))="sin dato","",INDEX(CODIFICACION!$E$2:$E$500,MATCH("D3.14i|"&amp;CAPTURA!BK163,CODIFICACION!$F$2:$F$500,0))),"⚠"))</f>
        <v/>
      </c>
      <c r="AG163" t="str">
        <f>IF(CAPTURA!BL163="","",IFERROR(IF(INDEX(CODIFICACION!$E$2:$E$500,MATCH("D4.15|"&amp;CAPTURA!BL163,CODIFICACION!$F$2:$F$500,0))="sin dato","",INDEX(CODIFICACION!$E$2:$E$500,MATCH("D4.15|"&amp;CAPTURA!BL163,CODIFICACION!$F$2:$F$500,0))),"⚠"))</f>
        <v/>
      </c>
      <c r="AH163" t="str">
        <f>IF(CAPTURA!BM163="","",IF(AND(ISNUMBER(CAPTURA!BM163),CAPTURA!BM163&gt;=0,CAPTURA!BM163&lt;=4),CAPTURA!BM163*25,"⚠"))</f>
        <v/>
      </c>
      <c r="AI163" t="str">
        <f>IF(CAPTURA!BN163="","",IFERROR(IF(INDEX(CODIFICACION!$E$2:$E$500,MATCH("D4.17|"&amp;CAPTURA!BN163,CODIFICACION!$F$2:$F$500,0))="sin dato","",INDEX(CODIFICACION!$E$2:$E$500,MATCH("D4.17|"&amp;CAPTURA!BN163,CODIFICACION!$F$2:$F$500,0))),"⚠"))</f>
        <v/>
      </c>
      <c r="AJ163" t="str">
        <f>IF(CAPTURA!BO163="","",IFERROR(IF(INDEX(CODIFICACION!$E$2:$E$500,MATCH("D4.15a|"&amp;CAPTURA!BO163,CODIFICACION!$F$2:$F$500,0))="sin dato","",INDEX(CODIFICACION!$E$2:$E$500,MATCH("D4.15a|"&amp;CAPTURA!BO163,CODIFICACION!$F$2:$F$500,0))),"⚠"))</f>
        <v/>
      </c>
      <c r="AK163" t="str">
        <f>IF(CAPTURA!BP163="","",IF(AND(ISNUMBER(CAPTURA!BP163),CAPTURA!BP163&gt;=0,CAPTURA!BP163&lt;=4),CAPTURA!BP163*25,"⚠"))</f>
        <v/>
      </c>
      <c r="AL163" t="str">
        <f>IF(CAPTURA!BQ163="","",IF(AND(ISNUMBER(CAPTURA!BQ163),CAPTURA!BQ163&gt;=0,CAPTURA!BQ163&lt;=4),CAPTURA!BQ163*25,"⚠"))</f>
        <v/>
      </c>
      <c r="AM163" t="str">
        <f>IF(CAPTURA!BR163="","",IFERROR(IF(INDEX(CODIFICACION!$E$2:$E$500,MATCH("D5.18b|"&amp;CAPTURA!BR163,CODIFICACION!$F$2:$F$500,0))="sin dato","",INDEX(CODIFICACION!$E$2:$E$500,MATCH("D5.18b|"&amp;CAPTURA!BR163,CODIFICACION!$F$2:$F$500,0))),"⚠"))</f>
        <v/>
      </c>
      <c r="AN163" t="str">
        <f>IF(CAPTURA!BS163="","",IFERROR(IF(INDEX(CODIFICACION!$E$2:$E$500,MATCH("D5.19|"&amp;CAPTURA!BS163,CODIFICACION!$F$2:$F$500,0))="sin dato","",INDEX(CODIFICACION!$E$2:$E$500,MATCH("D5.19|"&amp;CAPTURA!BS163,CODIFICACION!$F$2:$F$500,0))),"⚠"))</f>
        <v/>
      </c>
      <c r="AO163" t="str">
        <f>IF(CAPTURA!BT163="","",MIN(100,ROUND((LEN(CAPTURA!BT163)-LEN(SUBSTITUTE(CAPTURA!BT163,";",""))+1)/7*100,1)))</f>
        <v/>
      </c>
      <c r="AP163" t="str">
        <f>IF(CAPTURA!BU163="","",IFERROR(IF(INDEX(CODIFICACION!$E$2:$E$500,MATCH("D5.20|"&amp;CAPTURA!BU163,CODIFICACION!$F$2:$F$500,0))="sin dato","",INDEX(CODIFICACION!$E$2:$E$500,MATCH("D5.20|"&amp;CAPTURA!BU163,CODIFICACION!$F$2:$F$500,0))),"⚠"))</f>
        <v/>
      </c>
      <c r="AQ163" t="str">
        <f>IF(CAPTURA!BV163="","",IFERROR(IF(INDEX(CODIFICACION!$E$2:$E$500,MATCH("D5.21|"&amp;CAPTURA!BV163,CODIFICACION!$F$2:$F$500,0))="sin dato","",INDEX(CODIFICACION!$E$2:$E$500,MATCH("D5.21|"&amp;CAPTURA!BV163,CODIFICACION!$F$2:$F$500,0))),"⚠"))</f>
        <v/>
      </c>
      <c r="AR163" t="str">
        <f>IF(CAPTURA!BW163="","",IFERROR(IF(INDEX(CODIFICACION!$E$2:$E$500,MATCH("D5.21a|"&amp;CAPTURA!BW163,CODIFICACION!$F$2:$F$500,0))="sin dato","",INDEX(CODIFICACION!$E$2:$E$500,MATCH("D5.21a|"&amp;CAPTURA!BW163,CODIFICACION!$F$2:$F$500,0))),"⚠"))</f>
        <v/>
      </c>
      <c r="AS163" t="str">
        <f>IF(CAPTURA!BX163="","",IFERROR(IF(INDEX(CODIFICACION!$E$2:$E$500,MATCH("D5.21b|"&amp;CAPTURA!BX163,CODIFICACION!$F$2:$F$500,0))="sin dato","",INDEX(CODIFICACION!$E$2:$E$500,MATCH("D5.21b|"&amp;CAPTURA!BX163,CODIFICACION!$F$2:$F$500,0))),"⚠"))</f>
        <v/>
      </c>
      <c r="AT163" t="str">
        <f>IF(CAPTURA!BY163="","",IFERROR(IF(INDEX(CODIFICACION!$E$2:$E$500,MATCH("D6.22|"&amp;CAPTURA!BY163,CODIFICACION!$F$2:$F$500,0))="sin dato","",INDEX(CODIFICACION!$E$2:$E$500,MATCH("D6.22|"&amp;CAPTURA!BY163,CODIFICACION!$F$2:$F$500,0))),"⚠"))</f>
        <v/>
      </c>
      <c r="AU163" t="str">
        <f>IF(CAPTURA!BZ163="","",IFERROR(IF(INDEX(CODIFICACION!$E$2:$E$500,MATCH("D6.22a|"&amp;CAPTURA!BZ163,CODIFICACION!$F$2:$F$500,0))="sin dato","",INDEX(CODIFICACION!$E$2:$E$500,MATCH("D6.22a|"&amp;CAPTURA!BZ163,CODIFICACION!$F$2:$F$500,0))),"⚠"))</f>
        <v/>
      </c>
      <c r="AV163" t="str">
        <f>IF(CAPTURA!CA163="","",IFERROR(IF(INDEX(CODIFICACION!$E$2:$E$500,MATCH("D6.22b|"&amp;CAPTURA!CA163,CODIFICACION!$F$2:$F$500,0))="sin dato","",INDEX(CODIFICACION!$E$2:$E$500,MATCH("D6.22b|"&amp;CAPTURA!CA163,CODIFICACION!$F$2:$F$500,0))),"⚠"))</f>
        <v/>
      </c>
      <c r="AW163" t="str">
        <f>IF(CAPTURA!CB163="","",IFERROR(IF(INDEX(CODIFICACION!$E$2:$E$500,MATCH("D6.23|"&amp;CAPTURA!CB163,CODIFICACION!$F$2:$F$500,0))="sin dato","",INDEX(CODIFICACION!$E$2:$E$500,MATCH("D6.23|"&amp;CAPTURA!CB163,CODIFICACION!$F$2:$F$500,0))),"⚠"))</f>
        <v/>
      </c>
      <c r="AX163" t="str">
        <f>IF(CAPTURA!CC163="","",IFERROR(IF(INDEX(CODIFICACION!$E$2:$E$500,MATCH("D6.24|"&amp;CAPTURA!CC163,CODIFICACION!$F$2:$F$500,0))="sin dato","",INDEX(CODIFICACION!$E$2:$E$500,MATCH("D6.24|"&amp;CAPTURA!CC163,CODIFICACION!$F$2:$F$500,0))),"⚠"))</f>
        <v/>
      </c>
      <c r="AY163" t="str">
        <f>IF(CAPTURA!CD163="","",IFERROR(IF(INDEX(CODIFICACION!$E$2:$E$500,MATCH("D6.25|"&amp;CAPTURA!CD163,CODIFICACION!$F$2:$F$500,0))="sin dato","",INDEX(CODIFICACION!$E$2:$E$500,MATCH("D6.25|"&amp;CAPTURA!CD163,CODIFICACION!$F$2:$F$500,0))),"⚠"))</f>
        <v/>
      </c>
      <c r="AZ163" t="str">
        <f>IF(CAPTURA!CE163="","",IFERROR(IF(INDEX(CODIFICACION!$E$2:$E$500,MATCH("D6.25a|"&amp;CAPTURA!CE163,CODIFICACION!$F$2:$F$500,0))="sin dato","",INDEX(CODIFICACION!$E$2:$E$500,MATCH("D6.25a|"&amp;CAPTURA!CE163,CODIFICACION!$F$2:$F$500,0))),"⚠"))</f>
        <v/>
      </c>
      <c r="BA163" t="str">
        <f>IF(CAPTURA!CF163="","",IFERROR(IF(INDEX(CODIFICACION!$E$2:$E$500,MATCH("D6.25b|"&amp;CAPTURA!CF163,CODIFICACION!$F$2:$F$500,0))="sin dato","",INDEX(CODIFICACION!$E$2:$E$500,MATCH("D6.25b|"&amp;CAPTURA!CF163,CODIFICACION!$F$2:$F$500,0))),"⚠"))</f>
        <v/>
      </c>
      <c r="BB163" t="str">
        <f>IF(CAPTURA!CG163="","",IFERROR(IF(INDEX(CODIFICACION!$E$2:$E$500,MATCH("D6.22c|"&amp;CAPTURA!CG163,CODIFICACION!$F$2:$F$500,0))="sin dato","",INDEX(CODIFICACION!$E$2:$E$500,MATCH("D6.22c|"&amp;CAPTURA!CG163,CODIFICACION!$F$2:$F$500,0))),"⚠"))</f>
        <v/>
      </c>
      <c r="BC163" t="str">
        <f>IF(CAPTURA!CH163="","",IFERROR(IF(INDEX(CODIFICACION!$E$2:$E$500,MATCH("D7.26|"&amp;CAPTURA!CH163,CODIFICACION!$F$2:$F$500,0))="sin dato","",INDEX(CODIFICACION!$E$2:$E$500,MATCH("D7.26|"&amp;CAPTURA!CH163,CODIFICACION!$F$2:$F$500,0))),"⚠"))</f>
        <v/>
      </c>
      <c r="BD163" t="str">
        <f>IF(CAPTURA!CI163="","",IFERROR(IF(INDEX(CODIFICACION!$E$2:$E$500,MATCH("D7.27|"&amp;CAPTURA!CI163,CODIFICACION!$F$2:$F$500,0))="sin dato","",INDEX(CODIFICACION!$E$2:$E$500,MATCH("D7.27|"&amp;CAPTURA!CI163,CODIFICACION!$F$2:$F$500,0))),"⚠"))</f>
        <v/>
      </c>
      <c r="BE163" t="str">
        <f>IF(CAPTURA!CJ163="","",IFERROR(IF(INDEX(CODIFICACION!$E$2:$E$500,MATCH("D7.28|"&amp;CAPTURA!CJ163,CODIFICACION!$F$2:$F$500,0))="sin dato","",INDEX(CODIFICACION!$E$2:$E$500,MATCH("D7.28|"&amp;CAPTURA!CJ163,CODIFICACION!$F$2:$F$500,0))),"⚠"))</f>
        <v/>
      </c>
      <c r="BF163" t="str">
        <f>IF(CAPTURA!CK163="","",IFERROR(IF(INDEX(CODIFICACION!$E$2:$E$500,MATCH("D7.28b|"&amp;CAPTURA!CK163,CODIFICACION!$F$2:$F$500,0))="sin dato","",INDEX(CODIFICACION!$E$2:$E$500,MATCH("D7.28b|"&amp;CAPTURA!CK163,CODIFICACION!$F$2:$F$500,0))),"⚠"))</f>
        <v/>
      </c>
      <c r="BG163" t="str">
        <f>IF(CAPTURA!CL163="","",MIN(100,ROUND((LEN(CAPTURA!CL163)-LEN(SUBSTITUTE(CAPTURA!CL163,";",""))+1)/8*100,1)))</f>
        <v/>
      </c>
      <c r="BH163" t="str">
        <f>IF(CAPTURA!CM163="","",IFERROR(IF(INDEX(CODIFICACION!$E$2:$E$500,MATCH("D7.26a|"&amp;CAPTURA!CM163,CODIFICACION!$F$2:$F$500,0))="sin dato","",INDEX(CODIFICACION!$E$2:$E$500,MATCH("D7.26a|"&amp;CAPTURA!CM163,CODIFICACION!$F$2:$F$500,0))),"⚠"))</f>
        <v/>
      </c>
      <c r="BI163" t="str">
        <f>IF(CAPTURA!CN163="","",IFERROR(IF(INDEX(CODIFICACION!$E$2:$E$500,MATCH("D7.26b|"&amp;CAPTURA!CN163,CODIFICACION!$F$2:$F$500,0))="sin dato","",INDEX(CODIFICACION!$E$2:$E$500,MATCH("D7.26b|"&amp;CAPTURA!CN163,CODIFICACION!$F$2:$F$500,0))),"⚠"))</f>
        <v/>
      </c>
      <c r="BJ163" t="str">
        <f>IF(CAPTURA!CO163="","",IF(AND(ISNUMBER(CAPTURA!CO163),CAPTURA!CO163&gt;=0,CAPTURA!CO163&lt;=4),CAPTURA!CO163*25,"⚠"))</f>
        <v/>
      </c>
      <c r="BK163" t="str">
        <f>IF(CAPTURA!CP163="","",IF(ISNUMBER(CAPTURA!CP163),MAX(0,MIN(100,CAPTURA!CP163)),"⚠"))</f>
        <v/>
      </c>
      <c r="BL163" t="str">
        <f>IF(CAPTURA!CQ163="","",IFERROR(IF(INDEX(CODIFICACION!$E$2:$E$500,MATCH("D8.31|"&amp;CAPTURA!CQ163,CODIFICACION!$F$2:$F$500,0))="sin dato","",INDEX(CODIFICACION!$E$2:$E$500,MATCH("D8.31|"&amp;CAPTURA!CQ163,CODIFICACION!$F$2:$F$500,0))),"⚠"))</f>
        <v/>
      </c>
      <c r="BM163" t="str">
        <f>IF(CAPTURA!CR163="","",IFERROR(IF(INDEX(CODIFICACION!$E$2:$E$500,MATCH("D8.32|"&amp;CAPTURA!CR163,CODIFICACION!$F$2:$F$500,0))="sin dato","",INDEX(CODIFICACION!$E$2:$E$500,MATCH("D8.32|"&amp;CAPTURA!CR163,CODIFICACION!$F$2:$F$500,0))),"⚠"))</f>
        <v/>
      </c>
      <c r="BN163" t="str">
        <f>IF(CAPTURA!CS163="","",IFERROR(IF(INDEX(CODIFICACION!$E$2:$E$500,MATCH("D9.33|"&amp;CAPTURA!CS163,CODIFICACION!$F$2:$F$500,0))="sin dato","",INDEX(CODIFICACION!$E$2:$E$500,MATCH("D9.33|"&amp;CAPTURA!CS163,CODIFICACION!$F$2:$F$500,0))),"⚠"))</f>
        <v/>
      </c>
      <c r="BO163" t="str">
        <f>IF(CAPTURA!CT163="","",IFERROR(IF(INDEX(CODIFICACION!$E$2:$E$500,MATCH("D9.34|"&amp;CAPTURA!CT163,CODIFICACION!$F$2:$F$500,0))="sin dato","",INDEX(CODIFICACION!$E$2:$E$500,MATCH("D9.34|"&amp;CAPTURA!CT163,CODIFICACION!$F$2:$F$500,0))),"⚠"))</f>
        <v/>
      </c>
      <c r="BP163" t="str">
        <f>IF(CAPTURA!CU163="","",IFERROR(IF(INDEX(CODIFICACION!$E$2:$E$500,MATCH("D9.35|"&amp;CAPTURA!CU163,CODIFICACION!$F$2:$F$500,0))="sin dato","",INDEX(CODIFICACION!$E$2:$E$500,MATCH("D9.35|"&amp;CAPTURA!CU163,CODIFICACION!$F$2:$F$500,0))),"⚠"))</f>
        <v/>
      </c>
      <c r="BQ163" t="str">
        <f>IF(CAPTURA!CV163="","",IFERROR(IF(INDEX(CODIFICACION!$E$2:$E$500,MATCH("D10.36|"&amp;CAPTURA!CV163,CODIFICACION!$F$2:$F$500,0))="sin dato","",INDEX(CODIFICACION!$E$2:$E$500,MATCH("D10.36|"&amp;CAPTURA!CV163,CODIFICACION!$F$2:$F$500,0))),"⚠"))</f>
        <v/>
      </c>
      <c r="BR163" t="str">
        <f>IF(CAPTURA!CW163="","",IFERROR(IF(INDEX(CODIFICACION!$E$2:$E$500,MATCH("D10.37|"&amp;CAPTURA!CW163,CODIFICACION!$F$2:$F$500,0))="sin dato","",INDEX(CODIFICACION!$E$2:$E$500,MATCH("D10.37|"&amp;CAPTURA!CW163,CODIFICACION!$F$2:$F$500,0))),"⚠"))</f>
        <v/>
      </c>
      <c r="BS163" t="str">
        <f>IF(CAPTURA!CX163="","",IFERROR(IF(INDEX(CODIFICACION!$E$2:$E$500,MATCH("D10.36a|"&amp;CAPTURA!CX163,CODIFICACION!$F$2:$F$500,0))="sin dato","",INDEX(CODIFICACION!$E$2:$E$500,MATCH("D10.36a|"&amp;CAPTURA!CX163,CODIFICACION!$F$2:$F$500,0))),"⚠"))</f>
        <v/>
      </c>
      <c r="BT163" t="str">
        <f>IF(CAPTURA!CY163="","",IF(ISNUMBER(SEARCH("Ninguno",CAPTURA!CY163)),0,MIN(100,ROUND((LEN(CAPTURA!CY163)-LEN(SUBSTITUTE(CAPTURA!CY163,";",""))+1)/6*100,1))))</f>
        <v/>
      </c>
      <c r="BU163" t="str">
        <f>IF(CAPTURA!DA163="","",IFERROR(IF(INDEX(CODIFICACION!$E$2:$E$500,MATCH("D11.39a|"&amp;CAPTURA!DA163,CODIFICACION!$F$2:$F$500,0))="sin dato","",INDEX(CODIFICACION!$E$2:$E$500,MATCH("D11.39a|"&amp;CAPTURA!DA163,CODIFICACION!$F$2:$F$500,0))),"⚠"))</f>
        <v/>
      </c>
      <c r="BV163" t="str">
        <f>IF(CAPTURA!DB163="","",IFERROR(IF(INDEX(CODIFICACION!$E$2:$E$500,MATCH("D12.42|"&amp;CAPTURA!DB163,CODIFICACION!$F$2:$F$500,0))="sin dato","",INDEX(CODIFICACION!$E$2:$E$500,MATCH("D12.42|"&amp;CAPTURA!DB163,CODIFICACION!$F$2:$F$500,0))),"⚠"))</f>
        <v/>
      </c>
      <c r="BW163" t="str">
        <f>IF(CAPTURA!DC163="","",IFERROR(IF(INDEX(CODIFICACION!$E$2:$E$500,MATCH("D13.45|"&amp;CAPTURA!DC163,CODIFICACION!$F$2:$F$500,0))="sin dato","",INDEX(CODIFICACION!$E$2:$E$500,MATCH("D13.45|"&amp;CAPTURA!DC163,CODIFICACION!$F$2:$F$500,0))),"⚠"))</f>
        <v/>
      </c>
      <c r="BX163" t="str">
        <f>IF(CAPTURA!DD163="","",IFERROR(IF(INDEX(CODIFICACION!$E$2:$E$500,MATCH("D14.51|"&amp;CAPTURA!DD163,CODIFICACION!$F$2:$F$500,0))="sin dato","",INDEX(CODIFICACION!$E$2:$E$500,MATCH("D14.51|"&amp;CAPTURA!DD163,CODIFICACION!$F$2:$F$500,0))),"⚠"))</f>
        <v/>
      </c>
      <c r="BY163" t="str">
        <f>IF(CAPTURA!DE163="","",IFERROR(IF(INDEX(CODIFICACION!$E$2:$E$500,MATCH("D15.58|"&amp;CAPTURA!DE163,CODIFICACION!$F$2:$F$500,0))="sin dato","",INDEX(CODIFICACION!$E$2:$E$500,MATCH("D15.58|"&amp;CAPTURA!DE163,CODIFICACION!$F$2:$F$500,0))),"⚠"))</f>
        <v/>
      </c>
      <c r="BZ163" t="str">
        <f>IF(CAPTURA!DF163="","",IFERROR(IF(INDEX(CODIFICACION!$E$2:$E$500,MATCH("PP1|"&amp;CAPTURA!DF163,CODIFICACION!$F$2:$F$500,0))="sin dato","",INDEX(CODIFICACION!$E$2:$E$500,MATCH("PP1|"&amp;CAPTURA!DF163,CODIFICACION!$F$2:$F$500,0))),"⚠"))</f>
        <v/>
      </c>
      <c r="CA163" t="str">
        <f>IF(CAPTURA!DG163="","",IFERROR(IF(INDEX(CODIFICACION!$E$2:$E$500,MATCH("PP2|"&amp;CAPTURA!DG163,CODIFICACION!$F$2:$F$500,0))="sin dato","",INDEX(CODIFICACION!$E$2:$E$500,MATCH("PP2|"&amp;CAPTURA!DG163,CODIFICACION!$F$2:$F$500,0))),"⚠"))</f>
        <v/>
      </c>
      <c r="CB163" t="str">
        <f t="shared" ref="CB163:CB176" si="55">IFERROR(AVERAGE(H163,I163,J163,K163),"")</f>
        <v/>
      </c>
      <c r="CC163" t="str">
        <f t="shared" ref="CC163:CC176" si="56">IFERROR(AVERAGE(L163,M163,N163,O163,P163,Q163,R163,S163),"")</f>
        <v/>
      </c>
      <c r="CD163" t="str">
        <f t="shared" ref="CD163:CD176" si="57">IFERROR(AVERAGE(T163,U163,V163,W163,X163,Y163,Z163,AA163,AB163,AC163,AD163,AE163,AF163),"")</f>
        <v/>
      </c>
      <c r="CE163" t="str">
        <f t="shared" ref="CE163:CE176" si="58">IFERROR(AVERAGE(AG163,AH163,AI163,AJ163),"")</f>
        <v/>
      </c>
      <c r="CF163" t="str">
        <f t="shared" ref="CF163:CF176" si="59">IFERROR(AVERAGE(D163,AK163,AL163,AM163,AN163,AO163,AP163,AQ163,AR163,AS163),"")</f>
        <v/>
      </c>
      <c r="CG163" t="str">
        <f t="shared" ref="CG163:CG176" si="60">IFERROR(AVERAGE(AT163,AU163,AV163,BB163,AW163,AX163,AY163,AZ163,BA163),"")</f>
        <v/>
      </c>
      <c r="CH163" t="str">
        <f t="shared" ref="CH163:CH176" si="61">IFERROR(AVERAGE(C163,E163,F163,BC163,BH163,BI163,BD163,BE163,BF163,BG163),"")</f>
        <v/>
      </c>
      <c r="CI163" t="str">
        <f t="shared" ref="CI163:CI176" si="62">IFERROR(AVERAGE(BJ163,BK163,BL163,BM163),"")</f>
        <v/>
      </c>
      <c r="CJ163" t="str">
        <f t="shared" ref="CJ163:CJ176" si="63">IFERROR(AVERAGE(G163,BN163,BO163,BP163),"")</f>
        <v/>
      </c>
      <c r="CK163" t="str">
        <f t="shared" ref="CK163:CK176" si="64">IFERROR(AVERAGE(BQ163,BS163,BR163),"")</f>
        <v/>
      </c>
      <c r="CL163" t="str">
        <f t="shared" ref="CL163:CL176" si="65">IFERROR(AVERAGE(BT163,BU163),"")</f>
        <v/>
      </c>
    </row>
    <row r="164" spans="1:90" x14ac:dyDescent="0.3">
      <c r="A164">
        <f>CAPTURA!A164</f>
        <v>20607558559</v>
      </c>
      <c r="B164">
        <f>CAPTURA!C164</f>
        <v>0</v>
      </c>
      <c r="C164" t="str">
        <f>IF(CAPTURA!M164="","",ROUND((ISNUMBER(SEARCH("Alemania",CAPTURA!M164))+ISNUMBER(SEARCH("Bélgica",CAPTURA!M164))+ISNUMBER(SEARCH("Países Bajos",CAPTURA!M164))+ISNUMBER(SEARCH("Francia",CAPTURA!M164))+ISNUMBER(SEARCH("Italia",CAPTURA!M164))+ISNUMBER(SEARCH("España",CAPTURA!M164))+ISNUMBER(SEARCH("Suecia",CAPTURA!M164))+ISNUMBER(SEARCH("Dinamarca",CAPTURA!M164)))/((LEN(CAPTURA!M164)-LEN(SUBSTITUTE(CAPTURA!M164,";","")))+1)*100,1))</f>
        <v/>
      </c>
      <c r="D164" t="str">
        <f>IF(CAPTURA!AE164="","",IFERROR(IF(INDEX(CODIFICACION!$E$2:$E$500,MATCH("P8|"&amp;CAPTURA!AE164,CODIFICACION!$F$2:$F$500,0))="sin dato","",INDEX(CODIFICACION!$E$2:$E$500,MATCH("P8|"&amp;CAPTURA!AE164,CODIFICACION!$F$2:$F$500,0))),"⚠"))</f>
        <v/>
      </c>
      <c r="E164" t="str">
        <f>IF(CAPTURA!AG164="","",IFERROR(IF(INDEX(CODIFICACION!$E$2:$E$500,MATCH("P10|"&amp;CAPTURA!AG164,CODIFICACION!$F$2:$F$500,0))="sin dato","",INDEX(CODIFICACION!$E$2:$E$500,MATCH("P10|"&amp;CAPTURA!AG164,CODIFICACION!$F$2:$F$500,0))),"⚠"))</f>
        <v/>
      </c>
      <c r="F164" t="str">
        <f>IF(CAPTURA!AJ164="","",IFERROR(IF(INDEX(CODIFICACION!$E$2:$E$500,MATCH("P13|"&amp;CAPTURA!AJ164,CODIFICACION!$F$2:$F$500,0))="sin dato","",INDEX(CODIFICACION!$E$2:$E$500,MATCH("P13|"&amp;CAPTURA!AJ164,CODIFICACION!$F$2:$F$500,0))),"⚠"))</f>
        <v/>
      </c>
      <c r="G164" t="str">
        <f>IF(CAPTURA!AK164="","",IFERROR(IF(INDEX(CODIFICACION!$E$2:$E$500,MATCH("P14|"&amp;CAPTURA!AK164,CODIFICACION!$F$2:$F$500,0))="sin dato","",INDEX(CODIFICACION!$E$2:$E$500,MATCH("P14|"&amp;CAPTURA!AK164,CODIFICACION!$F$2:$F$500,0))),"⚠"))</f>
        <v/>
      </c>
      <c r="H164" t="str">
        <f>IF(CAPTURA!AL164="","",IFERROR(IF(INDEX(CODIFICACION!$E$2:$E$500,MATCH("D1.1|"&amp;CAPTURA!AL164,CODIFICACION!$F$2:$F$500,0))="sin dato","",INDEX(CODIFICACION!$E$2:$E$500,MATCH("D1.1|"&amp;CAPTURA!AL164,CODIFICACION!$F$2:$F$500,0))),"⚠"))</f>
        <v/>
      </c>
      <c r="I164" t="str">
        <f>IF(CAPTURA!AN164="","",IFERROR(IF(INDEX(CODIFICACION!$E$2:$E$500,MATCH("D1.3|"&amp;CAPTURA!AN164,CODIFICACION!$F$2:$F$500,0))="sin dato","",INDEX(CODIFICACION!$E$2:$E$500,MATCH("D1.3|"&amp;CAPTURA!AN164,CODIFICACION!$F$2:$F$500,0))),"⚠"))</f>
        <v/>
      </c>
      <c r="J164" t="str">
        <f>IF(CAPTURA!AO164="","",IFERROR(IF(INDEX(CODIFICACION!$E$2:$E$500,MATCH("D1.4|"&amp;CAPTURA!AO164,CODIFICACION!$F$2:$F$500,0))="sin dato","",INDEX(CODIFICACION!$E$2:$E$500,MATCH("D1.4|"&amp;CAPTURA!AO164,CODIFICACION!$F$2:$F$500,0))),"⚠"))</f>
        <v/>
      </c>
      <c r="K164" t="str">
        <f>IF(CAPTURA!AP164="","",IFERROR(IF(INDEX(CODIFICACION!$E$2:$E$500,MATCH("D1.3a|"&amp;CAPTURA!AP164,CODIFICACION!$F$2:$F$500,0))="sin dato","",INDEX(CODIFICACION!$E$2:$E$500,MATCH("D1.3a|"&amp;CAPTURA!AP164,CODIFICACION!$F$2:$F$500,0))),"⚠"))</f>
        <v/>
      </c>
      <c r="L164" t="str">
        <f>IF(CAPTURA!AQ164="","",IF(AND(ISNUMBER(CAPTURA!AQ164),CAPTURA!AQ164&gt;=0,CAPTURA!AQ164&lt;=4),CAPTURA!AQ164*25,"⚠"))</f>
        <v/>
      </c>
      <c r="M164" t="str">
        <f>IF(CAPTURA!AR164="","",IF(ISNUMBER(CAPTURA!AR164),MAX(0,MIN(100,CAPTURA!AR164)),"⚠"))</f>
        <v/>
      </c>
      <c r="N164" t="str">
        <f>IF(CAPTURA!AS164="","",IF(AND(ISNUMBER(CAPTURA!AS164),CAPTURA!AS164&gt;=0,CAPTURA!AS164&lt;=4),CAPTURA!AS164*25,"⚠"))</f>
        <v/>
      </c>
      <c r="O164" t="str">
        <f>IF(CAPTURA!AT164="","",IFERROR(IF(INDEX(CODIFICACION!$E$2:$E$500,MATCH("D2.8|"&amp;CAPTURA!AT164,CODIFICACION!$F$2:$F$500,0))="sin dato","",INDEX(CODIFICACION!$E$2:$E$500,MATCH("D2.8|"&amp;CAPTURA!AT164,CODIFICACION!$F$2:$F$500,0))),"⚠"))</f>
        <v/>
      </c>
      <c r="P164" t="str">
        <f>IF(CAPTURA!AU164="","",IFERROR(IF(INDEX(CODIFICACION!$E$2:$E$500,MATCH("D2.9|"&amp;CAPTURA!AU164,CODIFICACION!$F$2:$F$500,0))="sin dato","",INDEX(CODIFICACION!$E$2:$E$500,MATCH("D2.9|"&amp;CAPTURA!AU164,CODIFICACION!$F$2:$F$500,0))),"⚠"))</f>
        <v/>
      </c>
      <c r="Q164" t="str">
        <f>IF(CAPTURA!AV164="","",IFERROR(IF(INDEX(CODIFICACION!$E$2:$E$500,MATCH("D2.10|"&amp;CAPTURA!AV164,CODIFICACION!$F$2:$F$500,0))="sin dato","",INDEX(CODIFICACION!$E$2:$E$500,MATCH("D2.10|"&amp;CAPTURA!AV164,CODIFICACION!$F$2:$F$500,0))),"⚠"))</f>
        <v/>
      </c>
      <c r="R164" t="str">
        <f>IF(CAPTURA!AW164="","",IFERROR(IF(INDEX(CODIFICACION!$E$2:$E$500,MATCH("D2.5a|"&amp;CAPTURA!AW164,CODIFICACION!$F$2:$F$500,0))="sin dato","",INDEX(CODIFICACION!$E$2:$E$500,MATCH("D2.5a|"&amp;CAPTURA!AW164,CODIFICACION!$F$2:$F$500,0))),"⚠"))</f>
        <v/>
      </c>
      <c r="S164" t="str">
        <f>IF(CAPTURA!AX164="","",IFERROR(IF(INDEX(CODIFICACION!$E$2:$E$500,MATCH("D2.5b|"&amp;CAPTURA!AX164,CODIFICACION!$F$2:$F$500,0))="sin dato","",INDEX(CODIFICACION!$E$2:$E$500,MATCH("D2.5b|"&amp;CAPTURA!AX164,CODIFICACION!$F$2:$F$500,0))),"⚠"))</f>
        <v/>
      </c>
      <c r="T164" t="str">
        <f>IF(CAPTURA!AY164="","",IF(ISNUMBER(CAPTURA!AY164),MAX(0,MIN(100,CAPTURA!AY164)),"⚠"))</f>
        <v/>
      </c>
      <c r="U164" t="str">
        <f>IF(CAPTURA!AZ164="","",IFERROR(IF(INDEX(CODIFICACION!$E$2:$E$500,MATCH("D3.12|"&amp;CAPTURA!AZ164,CODIFICACION!$F$2:$F$500,0))="sin dato","",INDEX(CODIFICACION!$E$2:$E$500,MATCH("D3.12|"&amp;CAPTURA!AZ164,CODIFICACION!$F$2:$F$500,0))),"⚠"))</f>
        <v/>
      </c>
      <c r="V164" t="str">
        <f>IF(CAPTURA!BA164="","",IF(AND(ISNUMBER(CAPTURA!BA164),CAPTURA!BA164&gt;=0,CAPTURA!BA164&lt;=4),CAPTURA!BA164*25,"⚠"))</f>
        <v/>
      </c>
      <c r="W164" t="str">
        <f>IF(CAPTURA!BB164="","",IFERROR(IF(INDEX(CODIFICACION!$E$2:$E$500,MATCH("D3.14|"&amp;CAPTURA!BB164,CODIFICACION!$F$2:$F$500,0))="sin dato","",INDEX(CODIFICACION!$E$2:$E$500,MATCH("D3.14|"&amp;CAPTURA!BB164,CODIFICACION!$F$2:$F$500,0))),"⚠"))</f>
        <v/>
      </c>
      <c r="X164" t="str">
        <f>IF(CAPTURA!BC164="","",IFERROR(IF(INDEX(CODIFICACION!$E$2:$E$500,MATCH("D3.14a|"&amp;CAPTURA!BC164,CODIFICACION!$F$2:$F$500,0))="sin dato","",INDEX(CODIFICACION!$E$2:$E$500,MATCH("D3.14a|"&amp;CAPTURA!BC164,CODIFICACION!$F$2:$F$500,0))),"⚠"))</f>
        <v/>
      </c>
      <c r="Y164" t="str">
        <f>IF(CAPTURA!BD164="","",IFERROR(IF(INDEX(CODIFICACION!$E$2:$E$500,MATCH("D3.14b|"&amp;CAPTURA!BD164,CODIFICACION!$F$2:$F$500,0))="sin dato","",INDEX(CODIFICACION!$E$2:$E$500,MATCH("D3.14b|"&amp;CAPTURA!BD164,CODIFICACION!$F$2:$F$500,0))),"⚠"))</f>
        <v/>
      </c>
      <c r="Z164" t="str">
        <f>IF(CAPTURA!BE164="","",IFERROR(IF(INDEX(CODIFICACION!$E$2:$E$500,MATCH("D3.14c|"&amp;CAPTURA!BE164,CODIFICACION!$F$2:$F$500,0))="sin dato","",INDEX(CODIFICACION!$E$2:$E$500,MATCH("D3.14c|"&amp;CAPTURA!BE164,CODIFICACION!$F$2:$F$500,0))),"⚠"))</f>
        <v/>
      </c>
      <c r="AA164" t="str">
        <f>IF(CAPTURA!BF164="","",IFERROR(IF(INDEX(CODIFICACION!$E$2:$E$500,MATCH("D3.14d|"&amp;CAPTURA!BF164,CODIFICACION!$F$2:$F$500,0))="sin dato","",INDEX(CODIFICACION!$E$2:$E$500,MATCH("D3.14d|"&amp;CAPTURA!BF164,CODIFICACION!$F$2:$F$500,0))),"⚠"))</f>
        <v/>
      </c>
      <c r="AB164" t="str">
        <f>IF(CAPTURA!BG164="","",IFERROR(IF(INDEX(CODIFICACION!$E$2:$E$500,MATCH("D3.14e|"&amp;CAPTURA!BG164,CODIFICACION!$F$2:$F$500,0))="sin dato","",INDEX(CODIFICACION!$E$2:$E$500,MATCH("D3.14e|"&amp;CAPTURA!BG164,CODIFICACION!$F$2:$F$500,0))),"⚠"))</f>
        <v/>
      </c>
      <c r="AC164" t="str">
        <f>IF(CAPTURA!BH164="","",IFERROR(IF(INDEX(CODIFICACION!$E$2:$E$500,MATCH("D3.14f|"&amp;CAPTURA!BH164,CODIFICACION!$F$2:$F$500,0))="sin dato","",INDEX(CODIFICACION!$E$2:$E$500,MATCH("D3.14f|"&amp;CAPTURA!BH164,CODIFICACION!$F$2:$F$500,0))),"⚠"))</f>
        <v/>
      </c>
      <c r="AD164" t="str">
        <f>IF(CAPTURA!BI164="","",IFERROR(IF(INDEX(CODIFICACION!$E$2:$E$500,MATCH("D3.14g|"&amp;CAPTURA!BI164,CODIFICACION!$F$2:$F$500,0))="sin dato","",INDEX(CODIFICACION!$E$2:$E$500,MATCH("D3.14g|"&amp;CAPTURA!BI164,CODIFICACION!$F$2:$F$500,0))),"⚠"))</f>
        <v/>
      </c>
      <c r="AE164" t="str">
        <f>IF(CAPTURA!BJ164="","",IFERROR(IF(INDEX(CODIFICACION!$E$2:$E$500,MATCH("D3.14h|"&amp;CAPTURA!BJ164,CODIFICACION!$F$2:$F$500,0))="sin dato","",INDEX(CODIFICACION!$E$2:$E$500,MATCH("D3.14h|"&amp;CAPTURA!BJ164,CODIFICACION!$F$2:$F$500,0))),"⚠"))</f>
        <v/>
      </c>
      <c r="AF164" t="str">
        <f>IF(CAPTURA!BK164="","",IFERROR(IF(INDEX(CODIFICACION!$E$2:$E$500,MATCH("D3.14i|"&amp;CAPTURA!BK164,CODIFICACION!$F$2:$F$500,0))="sin dato","",INDEX(CODIFICACION!$E$2:$E$500,MATCH("D3.14i|"&amp;CAPTURA!BK164,CODIFICACION!$F$2:$F$500,0))),"⚠"))</f>
        <v/>
      </c>
      <c r="AG164" t="str">
        <f>IF(CAPTURA!BL164="","",IFERROR(IF(INDEX(CODIFICACION!$E$2:$E$500,MATCH("D4.15|"&amp;CAPTURA!BL164,CODIFICACION!$F$2:$F$500,0))="sin dato","",INDEX(CODIFICACION!$E$2:$E$500,MATCH("D4.15|"&amp;CAPTURA!BL164,CODIFICACION!$F$2:$F$500,0))),"⚠"))</f>
        <v/>
      </c>
      <c r="AH164" t="str">
        <f>IF(CAPTURA!BM164="","",IF(AND(ISNUMBER(CAPTURA!BM164),CAPTURA!BM164&gt;=0,CAPTURA!BM164&lt;=4),CAPTURA!BM164*25,"⚠"))</f>
        <v/>
      </c>
      <c r="AI164" t="str">
        <f>IF(CAPTURA!BN164="","",IFERROR(IF(INDEX(CODIFICACION!$E$2:$E$500,MATCH("D4.17|"&amp;CAPTURA!BN164,CODIFICACION!$F$2:$F$500,0))="sin dato","",INDEX(CODIFICACION!$E$2:$E$500,MATCH("D4.17|"&amp;CAPTURA!BN164,CODIFICACION!$F$2:$F$500,0))),"⚠"))</f>
        <v/>
      </c>
      <c r="AJ164" t="str">
        <f>IF(CAPTURA!BO164="","",IFERROR(IF(INDEX(CODIFICACION!$E$2:$E$500,MATCH("D4.15a|"&amp;CAPTURA!BO164,CODIFICACION!$F$2:$F$500,0))="sin dato","",INDEX(CODIFICACION!$E$2:$E$500,MATCH("D4.15a|"&amp;CAPTURA!BO164,CODIFICACION!$F$2:$F$500,0))),"⚠"))</f>
        <v/>
      </c>
      <c r="AK164" t="str">
        <f>IF(CAPTURA!BP164="","",IF(AND(ISNUMBER(CAPTURA!BP164),CAPTURA!BP164&gt;=0,CAPTURA!BP164&lt;=4),CAPTURA!BP164*25,"⚠"))</f>
        <v/>
      </c>
      <c r="AL164" t="str">
        <f>IF(CAPTURA!BQ164="","",IF(AND(ISNUMBER(CAPTURA!BQ164),CAPTURA!BQ164&gt;=0,CAPTURA!BQ164&lt;=4),CAPTURA!BQ164*25,"⚠"))</f>
        <v/>
      </c>
      <c r="AM164" t="str">
        <f>IF(CAPTURA!BR164="","",IFERROR(IF(INDEX(CODIFICACION!$E$2:$E$500,MATCH("D5.18b|"&amp;CAPTURA!BR164,CODIFICACION!$F$2:$F$500,0))="sin dato","",INDEX(CODIFICACION!$E$2:$E$500,MATCH("D5.18b|"&amp;CAPTURA!BR164,CODIFICACION!$F$2:$F$500,0))),"⚠"))</f>
        <v/>
      </c>
      <c r="AN164" t="str">
        <f>IF(CAPTURA!BS164="","",IFERROR(IF(INDEX(CODIFICACION!$E$2:$E$500,MATCH("D5.19|"&amp;CAPTURA!BS164,CODIFICACION!$F$2:$F$500,0))="sin dato","",INDEX(CODIFICACION!$E$2:$E$500,MATCH("D5.19|"&amp;CAPTURA!BS164,CODIFICACION!$F$2:$F$500,0))),"⚠"))</f>
        <v/>
      </c>
      <c r="AO164" t="str">
        <f>IF(CAPTURA!BT164="","",MIN(100,ROUND((LEN(CAPTURA!BT164)-LEN(SUBSTITUTE(CAPTURA!BT164,";",""))+1)/7*100,1)))</f>
        <v/>
      </c>
      <c r="AP164" t="str">
        <f>IF(CAPTURA!BU164="","",IFERROR(IF(INDEX(CODIFICACION!$E$2:$E$500,MATCH("D5.20|"&amp;CAPTURA!BU164,CODIFICACION!$F$2:$F$500,0))="sin dato","",INDEX(CODIFICACION!$E$2:$E$500,MATCH("D5.20|"&amp;CAPTURA!BU164,CODIFICACION!$F$2:$F$500,0))),"⚠"))</f>
        <v/>
      </c>
      <c r="AQ164" t="str">
        <f>IF(CAPTURA!BV164="","",IFERROR(IF(INDEX(CODIFICACION!$E$2:$E$500,MATCH("D5.21|"&amp;CAPTURA!BV164,CODIFICACION!$F$2:$F$500,0))="sin dato","",INDEX(CODIFICACION!$E$2:$E$500,MATCH("D5.21|"&amp;CAPTURA!BV164,CODIFICACION!$F$2:$F$500,0))),"⚠"))</f>
        <v/>
      </c>
      <c r="AR164" t="str">
        <f>IF(CAPTURA!BW164="","",IFERROR(IF(INDEX(CODIFICACION!$E$2:$E$500,MATCH("D5.21a|"&amp;CAPTURA!BW164,CODIFICACION!$F$2:$F$500,0))="sin dato","",INDEX(CODIFICACION!$E$2:$E$500,MATCH("D5.21a|"&amp;CAPTURA!BW164,CODIFICACION!$F$2:$F$500,0))),"⚠"))</f>
        <v/>
      </c>
      <c r="AS164" t="str">
        <f>IF(CAPTURA!BX164="","",IFERROR(IF(INDEX(CODIFICACION!$E$2:$E$500,MATCH("D5.21b|"&amp;CAPTURA!BX164,CODIFICACION!$F$2:$F$500,0))="sin dato","",INDEX(CODIFICACION!$E$2:$E$500,MATCH("D5.21b|"&amp;CAPTURA!BX164,CODIFICACION!$F$2:$F$500,0))),"⚠"))</f>
        <v/>
      </c>
      <c r="AT164" t="str">
        <f>IF(CAPTURA!BY164="","",IFERROR(IF(INDEX(CODIFICACION!$E$2:$E$500,MATCH("D6.22|"&amp;CAPTURA!BY164,CODIFICACION!$F$2:$F$500,0))="sin dato","",INDEX(CODIFICACION!$E$2:$E$500,MATCH("D6.22|"&amp;CAPTURA!BY164,CODIFICACION!$F$2:$F$500,0))),"⚠"))</f>
        <v/>
      </c>
      <c r="AU164" t="str">
        <f>IF(CAPTURA!BZ164="","",IFERROR(IF(INDEX(CODIFICACION!$E$2:$E$500,MATCH("D6.22a|"&amp;CAPTURA!BZ164,CODIFICACION!$F$2:$F$500,0))="sin dato","",INDEX(CODIFICACION!$E$2:$E$500,MATCH("D6.22a|"&amp;CAPTURA!BZ164,CODIFICACION!$F$2:$F$500,0))),"⚠"))</f>
        <v/>
      </c>
      <c r="AV164" t="str">
        <f>IF(CAPTURA!CA164="","",IFERROR(IF(INDEX(CODIFICACION!$E$2:$E$500,MATCH("D6.22b|"&amp;CAPTURA!CA164,CODIFICACION!$F$2:$F$500,0))="sin dato","",INDEX(CODIFICACION!$E$2:$E$500,MATCH("D6.22b|"&amp;CAPTURA!CA164,CODIFICACION!$F$2:$F$500,0))),"⚠"))</f>
        <v/>
      </c>
      <c r="AW164" t="str">
        <f>IF(CAPTURA!CB164="","",IFERROR(IF(INDEX(CODIFICACION!$E$2:$E$500,MATCH("D6.23|"&amp;CAPTURA!CB164,CODIFICACION!$F$2:$F$500,0))="sin dato","",INDEX(CODIFICACION!$E$2:$E$500,MATCH("D6.23|"&amp;CAPTURA!CB164,CODIFICACION!$F$2:$F$500,0))),"⚠"))</f>
        <v/>
      </c>
      <c r="AX164" t="str">
        <f>IF(CAPTURA!CC164="","",IFERROR(IF(INDEX(CODIFICACION!$E$2:$E$500,MATCH("D6.24|"&amp;CAPTURA!CC164,CODIFICACION!$F$2:$F$500,0))="sin dato","",INDEX(CODIFICACION!$E$2:$E$500,MATCH("D6.24|"&amp;CAPTURA!CC164,CODIFICACION!$F$2:$F$500,0))),"⚠"))</f>
        <v/>
      </c>
      <c r="AY164" t="str">
        <f>IF(CAPTURA!CD164="","",IFERROR(IF(INDEX(CODIFICACION!$E$2:$E$500,MATCH("D6.25|"&amp;CAPTURA!CD164,CODIFICACION!$F$2:$F$500,0))="sin dato","",INDEX(CODIFICACION!$E$2:$E$500,MATCH("D6.25|"&amp;CAPTURA!CD164,CODIFICACION!$F$2:$F$500,0))),"⚠"))</f>
        <v/>
      </c>
      <c r="AZ164" t="str">
        <f>IF(CAPTURA!CE164="","",IFERROR(IF(INDEX(CODIFICACION!$E$2:$E$500,MATCH("D6.25a|"&amp;CAPTURA!CE164,CODIFICACION!$F$2:$F$500,0))="sin dato","",INDEX(CODIFICACION!$E$2:$E$500,MATCH("D6.25a|"&amp;CAPTURA!CE164,CODIFICACION!$F$2:$F$500,0))),"⚠"))</f>
        <v/>
      </c>
      <c r="BA164" t="str">
        <f>IF(CAPTURA!CF164="","",IFERROR(IF(INDEX(CODIFICACION!$E$2:$E$500,MATCH("D6.25b|"&amp;CAPTURA!CF164,CODIFICACION!$F$2:$F$500,0))="sin dato","",INDEX(CODIFICACION!$E$2:$E$500,MATCH("D6.25b|"&amp;CAPTURA!CF164,CODIFICACION!$F$2:$F$500,0))),"⚠"))</f>
        <v/>
      </c>
      <c r="BB164" t="str">
        <f>IF(CAPTURA!CG164="","",IFERROR(IF(INDEX(CODIFICACION!$E$2:$E$500,MATCH("D6.22c|"&amp;CAPTURA!CG164,CODIFICACION!$F$2:$F$500,0))="sin dato","",INDEX(CODIFICACION!$E$2:$E$500,MATCH("D6.22c|"&amp;CAPTURA!CG164,CODIFICACION!$F$2:$F$500,0))),"⚠"))</f>
        <v/>
      </c>
      <c r="BC164" t="str">
        <f>IF(CAPTURA!CH164="","",IFERROR(IF(INDEX(CODIFICACION!$E$2:$E$500,MATCH("D7.26|"&amp;CAPTURA!CH164,CODIFICACION!$F$2:$F$500,0))="sin dato","",INDEX(CODIFICACION!$E$2:$E$500,MATCH("D7.26|"&amp;CAPTURA!CH164,CODIFICACION!$F$2:$F$500,0))),"⚠"))</f>
        <v/>
      </c>
      <c r="BD164" t="str">
        <f>IF(CAPTURA!CI164="","",IFERROR(IF(INDEX(CODIFICACION!$E$2:$E$500,MATCH("D7.27|"&amp;CAPTURA!CI164,CODIFICACION!$F$2:$F$500,0))="sin dato","",INDEX(CODIFICACION!$E$2:$E$500,MATCH("D7.27|"&amp;CAPTURA!CI164,CODIFICACION!$F$2:$F$500,0))),"⚠"))</f>
        <v/>
      </c>
      <c r="BE164" t="str">
        <f>IF(CAPTURA!CJ164="","",IFERROR(IF(INDEX(CODIFICACION!$E$2:$E$500,MATCH("D7.28|"&amp;CAPTURA!CJ164,CODIFICACION!$F$2:$F$500,0))="sin dato","",INDEX(CODIFICACION!$E$2:$E$500,MATCH("D7.28|"&amp;CAPTURA!CJ164,CODIFICACION!$F$2:$F$500,0))),"⚠"))</f>
        <v/>
      </c>
      <c r="BF164" t="str">
        <f>IF(CAPTURA!CK164="","",IFERROR(IF(INDEX(CODIFICACION!$E$2:$E$500,MATCH("D7.28b|"&amp;CAPTURA!CK164,CODIFICACION!$F$2:$F$500,0))="sin dato","",INDEX(CODIFICACION!$E$2:$E$500,MATCH("D7.28b|"&amp;CAPTURA!CK164,CODIFICACION!$F$2:$F$500,0))),"⚠"))</f>
        <v/>
      </c>
      <c r="BG164" t="str">
        <f>IF(CAPTURA!CL164="","",MIN(100,ROUND((LEN(CAPTURA!CL164)-LEN(SUBSTITUTE(CAPTURA!CL164,";",""))+1)/8*100,1)))</f>
        <v/>
      </c>
      <c r="BH164" t="str">
        <f>IF(CAPTURA!CM164="","",IFERROR(IF(INDEX(CODIFICACION!$E$2:$E$500,MATCH("D7.26a|"&amp;CAPTURA!CM164,CODIFICACION!$F$2:$F$500,0))="sin dato","",INDEX(CODIFICACION!$E$2:$E$500,MATCH("D7.26a|"&amp;CAPTURA!CM164,CODIFICACION!$F$2:$F$500,0))),"⚠"))</f>
        <v/>
      </c>
      <c r="BI164" t="str">
        <f>IF(CAPTURA!CN164="","",IFERROR(IF(INDEX(CODIFICACION!$E$2:$E$500,MATCH("D7.26b|"&amp;CAPTURA!CN164,CODIFICACION!$F$2:$F$500,0))="sin dato","",INDEX(CODIFICACION!$E$2:$E$500,MATCH("D7.26b|"&amp;CAPTURA!CN164,CODIFICACION!$F$2:$F$500,0))),"⚠"))</f>
        <v/>
      </c>
      <c r="BJ164" t="str">
        <f>IF(CAPTURA!CO164="","",IF(AND(ISNUMBER(CAPTURA!CO164),CAPTURA!CO164&gt;=0,CAPTURA!CO164&lt;=4),CAPTURA!CO164*25,"⚠"))</f>
        <v/>
      </c>
      <c r="BK164" t="str">
        <f>IF(CAPTURA!CP164="","",IF(ISNUMBER(CAPTURA!CP164),MAX(0,MIN(100,CAPTURA!CP164)),"⚠"))</f>
        <v/>
      </c>
      <c r="BL164" t="str">
        <f>IF(CAPTURA!CQ164="","",IFERROR(IF(INDEX(CODIFICACION!$E$2:$E$500,MATCH("D8.31|"&amp;CAPTURA!CQ164,CODIFICACION!$F$2:$F$500,0))="sin dato","",INDEX(CODIFICACION!$E$2:$E$500,MATCH("D8.31|"&amp;CAPTURA!CQ164,CODIFICACION!$F$2:$F$500,0))),"⚠"))</f>
        <v/>
      </c>
      <c r="BM164" t="str">
        <f>IF(CAPTURA!CR164="","",IFERROR(IF(INDEX(CODIFICACION!$E$2:$E$500,MATCH("D8.32|"&amp;CAPTURA!CR164,CODIFICACION!$F$2:$F$500,0))="sin dato","",INDEX(CODIFICACION!$E$2:$E$500,MATCH("D8.32|"&amp;CAPTURA!CR164,CODIFICACION!$F$2:$F$500,0))),"⚠"))</f>
        <v/>
      </c>
      <c r="BN164" t="str">
        <f>IF(CAPTURA!CS164="","",IFERROR(IF(INDEX(CODIFICACION!$E$2:$E$500,MATCH("D9.33|"&amp;CAPTURA!CS164,CODIFICACION!$F$2:$F$500,0))="sin dato","",INDEX(CODIFICACION!$E$2:$E$500,MATCH("D9.33|"&amp;CAPTURA!CS164,CODIFICACION!$F$2:$F$500,0))),"⚠"))</f>
        <v/>
      </c>
      <c r="BO164" t="str">
        <f>IF(CAPTURA!CT164="","",IFERROR(IF(INDEX(CODIFICACION!$E$2:$E$500,MATCH("D9.34|"&amp;CAPTURA!CT164,CODIFICACION!$F$2:$F$500,0))="sin dato","",INDEX(CODIFICACION!$E$2:$E$500,MATCH("D9.34|"&amp;CAPTURA!CT164,CODIFICACION!$F$2:$F$500,0))),"⚠"))</f>
        <v/>
      </c>
      <c r="BP164" t="str">
        <f>IF(CAPTURA!CU164="","",IFERROR(IF(INDEX(CODIFICACION!$E$2:$E$500,MATCH("D9.35|"&amp;CAPTURA!CU164,CODIFICACION!$F$2:$F$500,0))="sin dato","",INDEX(CODIFICACION!$E$2:$E$500,MATCH("D9.35|"&amp;CAPTURA!CU164,CODIFICACION!$F$2:$F$500,0))),"⚠"))</f>
        <v/>
      </c>
      <c r="BQ164" t="str">
        <f>IF(CAPTURA!CV164="","",IFERROR(IF(INDEX(CODIFICACION!$E$2:$E$500,MATCH("D10.36|"&amp;CAPTURA!CV164,CODIFICACION!$F$2:$F$500,0))="sin dato","",INDEX(CODIFICACION!$E$2:$E$500,MATCH("D10.36|"&amp;CAPTURA!CV164,CODIFICACION!$F$2:$F$500,0))),"⚠"))</f>
        <v/>
      </c>
      <c r="BR164" t="str">
        <f>IF(CAPTURA!CW164="","",IFERROR(IF(INDEX(CODIFICACION!$E$2:$E$500,MATCH("D10.37|"&amp;CAPTURA!CW164,CODIFICACION!$F$2:$F$500,0))="sin dato","",INDEX(CODIFICACION!$E$2:$E$500,MATCH("D10.37|"&amp;CAPTURA!CW164,CODIFICACION!$F$2:$F$500,0))),"⚠"))</f>
        <v/>
      </c>
      <c r="BS164" t="str">
        <f>IF(CAPTURA!CX164="","",IFERROR(IF(INDEX(CODIFICACION!$E$2:$E$500,MATCH("D10.36a|"&amp;CAPTURA!CX164,CODIFICACION!$F$2:$F$500,0))="sin dato","",INDEX(CODIFICACION!$E$2:$E$500,MATCH("D10.36a|"&amp;CAPTURA!CX164,CODIFICACION!$F$2:$F$500,0))),"⚠"))</f>
        <v/>
      </c>
      <c r="BT164" t="str">
        <f>IF(CAPTURA!CY164="","",IF(ISNUMBER(SEARCH("Ninguno",CAPTURA!CY164)),0,MIN(100,ROUND((LEN(CAPTURA!CY164)-LEN(SUBSTITUTE(CAPTURA!CY164,";",""))+1)/6*100,1))))</f>
        <v/>
      </c>
      <c r="BU164" t="str">
        <f>IF(CAPTURA!DA164="","",IFERROR(IF(INDEX(CODIFICACION!$E$2:$E$500,MATCH("D11.39a|"&amp;CAPTURA!DA164,CODIFICACION!$F$2:$F$500,0))="sin dato","",INDEX(CODIFICACION!$E$2:$E$500,MATCH("D11.39a|"&amp;CAPTURA!DA164,CODIFICACION!$F$2:$F$500,0))),"⚠"))</f>
        <v/>
      </c>
      <c r="BV164" t="str">
        <f>IF(CAPTURA!DB164="","",IFERROR(IF(INDEX(CODIFICACION!$E$2:$E$500,MATCH("D12.42|"&amp;CAPTURA!DB164,CODIFICACION!$F$2:$F$500,0))="sin dato","",INDEX(CODIFICACION!$E$2:$E$500,MATCH("D12.42|"&amp;CAPTURA!DB164,CODIFICACION!$F$2:$F$500,0))),"⚠"))</f>
        <v/>
      </c>
      <c r="BW164" t="str">
        <f>IF(CAPTURA!DC164="","",IFERROR(IF(INDEX(CODIFICACION!$E$2:$E$500,MATCH("D13.45|"&amp;CAPTURA!DC164,CODIFICACION!$F$2:$F$500,0))="sin dato","",INDEX(CODIFICACION!$E$2:$E$500,MATCH("D13.45|"&amp;CAPTURA!DC164,CODIFICACION!$F$2:$F$500,0))),"⚠"))</f>
        <v/>
      </c>
      <c r="BX164" t="str">
        <f>IF(CAPTURA!DD164="","",IFERROR(IF(INDEX(CODIFICACION!$E$2:$E$500,MATCH("D14.51|"&amp;CAPTURA!DD164,CODIFICACION!$F$2:$F$500,0))="sin dato","",INDEX(CODIFICACION!$E$2:$E$500,MATCH("D14.51|"&amp;CAPTURA!DD164,CODIFICACION!$F$2:$F$500,0))),"⚠"))</f>
        <v/>
      </c>
      <c r="BY164" t="str">
        <f>IF(CAPTURA!DE164="","",IFERROR(IF(INDEX(CODIFICACION!$E$2:$E$500,MATCH("D15.58|"&amp;CAPTURA!DE164,CODIFICACION!$F$2:$F$500,0))="sin dato","",INDEX(CODIFICACION!$E$2:$E$500,MATCH("D15.58|"&amp;CAPTURA!DE164,CODIFICACION!$F$2:$F$500,0))),"⚠"))</f>
        <v/>
      </c>
      <c r="BZ164" t="str">
        <f>IF(CAPTURA!DF164="","",IFERROR(IF(INDEX(CODIFICACION!$E$2:$E$500,MATCH("PP1|"&amp;CAPTURA!DF164,CODIFICACION!$F$2:$F$500,0))="sin dato","",INDEX(CODIFICACION!$E$2:$E$500,MATCH("PP1|"&amp;CAPTURA!DF164,CODIFICACION!$F$2:$F$500,0))),"⚠"))</f>
        <v/>
      </c>
      <c r="CA164" t="str">
        <f>IF(CAPTURA!DG164="","",IFERROR(IF(INDEX(CODIFICACION!$E$2:$E$500,MATCH("PP2|"&amp;CAPTURA!DG164,CODIFICACION!$F$2:$F$500,0))="sin dato","",INDEX(CODIFICACION!$E$2:$E$500,MATCH("PP2|"&amp;CAPTURA!DG164,CODIFICACION!$F$2:$F$500,0))),"⚠"))</f>
        <v/>
      </c>
      <c r="CB164" t="str">
        <f t="shared" si="55"/>
        <v/>
      </c>
      <c r="CC164" t="str">
        <f t="shared" si="56"/>
        <v/>
      </c>
      <c r="CD164" t="str">
        <f t="shared" si="57"/>
        <v/>
      </c>
      <c r="CE164" t="str">
        <f t="shared" si="58"/>
        <v/>
      </c>
      <c r="CF164" t="str">
        <f t="shared" si="59"/>
        <v/>
      </c>
      <c r="CG164" t="str">
        <f t="shared" si="60"/>
        <v/>
      </c>
      <c r="CH164" t="str">
        <f t="shared" si="61"/>
        <v/>
      </c>
      <c r="CI164" t="str">
        <f t="shared" si="62"/>
        <v/>
      </c>
      <c r="CJ164" t="str">
        <f t="shared" si="63"/>
        <v/>
      </c>
      <c r="CK164" t="str">
        <f t="shared" si="64"/>
        <v/>
      </c>
      <c r="CL164" t="str">
        <f t="shared" si="65"/>
        <v/>
      </c>
    </row>
    <row r="165" spans="1:90" x14ac:dyDescent="0.3">
      <c r="A165">
        <f>CAPTURA!A165</f>
        <v>20607775185</v>
      </c>
      <c r="B165">
        <f>CAPTURA!C165</f>
        <v>0</v>
      </c>
      <c r="C165" t="str">
        <f>IF(CAPTURA!M165="","",ROUND((ISNUMBER(SEARCH("Alemania",CAPTURA!M165))+ISNUMBER(SEARCH("Bélgica",CAPTURA!M165))+ISNUMBER(SEARCH("Países Bajos",CAPTURA!M165))+ISNUMBER(SEARCH("Francia",CAPTURA!M165))+ISNUMBER(SEARCH("Italia",CAPTURA!M165))+ISNUMBER(SEARCH("España",CAPTURA!M165))+ISNUMBER(SEARCH("Suecia",CAPTURA!M165))+ISNUMBER(SEARCH("Dinamarca",CAPTURA!M165)))/((LEN(CAPTURA!M165)-LEN(SUBSTITUTE(CAPTURA!M165,";","")))+1)*100,1))</f>
        <v/>
      </c>
      <c r="D165" t="str">
        <f>IF(CAPTURA!AE165="","",IFERROR(IF(INDEX(CODIFICACION!$E$2:$E$500,MATCH("P8|"&amp;CAPTURA!AE165,CODIFICACION!$F$2:$F$500,0))="sin dato","",INDEX(CODIFICACION!$E$2:$E$500,MATCH("P8|"&amp;CAPTURA!AE165,CODIFICACION!$F$2:$F$500,0))),"⚠"))</f>
        <v/>
      </c>
      <c r="E165" t="str">
        <f>IF(CAPTURA!AG165="","",IFERROR(IF(INDEX(CODIFICACION!$E$2:$E$500,MATCH("P10|"&amp;CAPTURA!AG165,CODIFICACION!$F$2:$F$500,0))="sin dato","",INDEX(CODIFICACION!$E$2:$E$500,MATCH("P10|"&amp;CAPTURA!AG165,CODIFICACION!$F$2:$F$500,0))),"⚠"))</f>
        <v/>
      </c>
      <c r="F165" t="str">
        <f>IF(CAPTURA!AJ165="","",IFERROR(IF(INDEX(CODIFICACION!$E$2:$E$500,MATCH("P13|"&amp;CAPTURA!AJ165,CODIFICACION!$F$2:$F$500,0))="sin dato","",INDEX(CODIFICACION!$E$2:$E$500,MATCH("P13|"&amp;CAPTURA!AJ165,CODIFICACION!$F$2:$F$500,0))),"⚠"))</f>
        <v/>
      </c>
      <c r="G165" t="str">
        <f>IF(CAPTURA!AK165="","",IFERROR(IF(INDEX(CODIFICACION!$E$2:$E$500,MATCH("P14|"&amp;CAPTURA!AK165,CODIFICACION!$F$2:$F$500,0))="sin dato","",INDEX(CODIFICACION!$E$2:$E$500,MATCH("P14|"&amp;CAPTURA!AK165,CODIFICACION!$F$2:$F$500,0))),"⚠"))</f>
        <v/>
      </c>
      <c r="H165" t="str">
        <f>IF(CAPTURA!AL165="","",IFERROR(IF(INDEX(CODIFICACION!$E$2:$E$500,MATCH("D1.1|"&amp;CAPTURA!AL165,CODIFICACION!$F$2:$F$500,0))="sin dato","",INDEX(CODIFICACION!$E$2:$E$500,MATCH("D1.1|"&amp;CAPTURA!AL165,CODIFICACION!$F$2:$F$500,0))),"⚠"))</f>
        <v/>
      </c>
      <c r="I165" t="str">
        <f>IF(CAPTURA!AN165="","",IFERROR(IF(INDEX(CODIFICACION!$E$2:$E$500,MATCH("D1.3|"&amp;CAPTURA!AN165,CODIFICACION!$F$2:$F$500,0))="sin dato","",INDEX(CODIFICACION!$E$2:$E$500,MATCH("D1.3|"&amp;CAPTURA!AN165,CODIFICACION!$F$2:$F$500,0))),"⚠"))</f>
        <v/>
      </c>
      <c r="J165" t="str">
        <f>IF(CAPTURA!AO165="","",IFERROR(IF(INDEX(CODIFICACION!$E$2:$E$500,MATCH("D1.4|"&amp;CAPTURA!AO165,CODIFICACION!$F$2:$F$500,0))="sin dato","",INDEX(CODIFICACION!$E$2:$E$500,MATCH("D1.4|"&amp;CAPTURA!AO165,CODIFICACION!$F$2:$F$500,0))),"⚠"))</f>
        <v/>
      </c>
      <c r="K165" t="str">
        <f>IF(CAPTURA!AP165="","",IFERROR(IF(INDEX(CODIFICACION!$E$2:$E$500,MATCH("D1.3a|"&amp;CAPTURA!AP165,CODIFICACION!$F$2:$F$500,0))="sin dato","",INDEX(CODIFICACION!$E$2:$E$500,MATCH("D1.3a|"&amp;CAPTURA!AP165,CODIFICACION!$F$2:$F$500,0))),"⚠"))</f>
        <v/>
      </c>
      <c r="L165" t="str">
        <f>IF(CAPTURA!AQ165="","",IF(AND(ISNUMBER(CAPTURA!AQ165),CAPTURA!AQ165&gt;=0,CAPTURA!AQ165&lt;=4),CAPTURA!AQ165*25,"⚠"))</f>
        <v/>
      </c>
      <c r="M165" t="str">
        <f>IF(CAPTURA!AR165="","",IF(ISNUMBER(CAPTURA!AR165),MAX(0,MIN(100,CAPTURA!AR165)),"⚠"))</f>
        <v/>
      </c>
      <c r="N165" t="str">
        <f>IF(CAPTURA!AS165="","",IF(AND(ISNUMBER(CAPTURA!AS165),CAPTURA!AS165&gt;=0,CAPTURA!AS165&lt;=4),CAPTURA!AS165*25,"⚠"))</f>
        <v/>
      </c>
      <c r="O165" t="str">
        <f>IF(CAPTURA!AT165="","",IFERROR(IF(INDEX(CODIFICACION!$E$2:$E$500,MATCH("D2.8|"&amp;CAPTURA!AT165,CODIFICACION!$F$2:$F$500,0))="sin dato","",INDEX(CODIFICACION!$E$2:$E$500,MATCH("D2.8|"&amp;CAPTURA!AT165,CODIFICACION!$F$2:$F$500,0))),"⚠"))</f>
        <v/>
      </c>
      <c r="P165" t="str">
        <f>IF(CAPTURA!AU165="","",IFERROR(IF(INDEX(CODIFICACION!$E$2:$E$500,MATCH("D2.9|"&amp;CAPTURA!AU165,CODIFICACION!$F$2:$F$500,0))="sin dato","",INDEX(CODIFICACION!$E$2:$E$500,MATCH("D2.9|"&amp;CAPTURA!AU165,CODIFICACION!$F$2:$F$500,0))),"⚠"))</f>
        <v/>
      </c>
      <c r="Q165" t="str">
        <f>IF(CAPTURA!AV165="","",IFERROR(IF(INDEX(CODIFICACION!$E$2:$E$500,MATCH("D2.10|"&amp;CAPTURA!AV165,CODIFICACION!$F$2:$F$500,0))="sin dato","",INDEX(CODIFICACION!$E$2:$E$500,MATCH("D2.10|"&amp;CAPTURA!AV165,CODIFICACION!$F$2:$F$500,0))),"⚠"))</f>
        <v/>
      </c>
      <c r="R165" t="str">
        <f>IF(CAPTURA!AW165="","",IFERROR(IF(INDEX(CODIFICACION!$E$2:$E$500,MATCH("D2.5a|"&amp;CAPTURA!AW165,CODIFICACION!$F$2:$F$500,0))="sin dato","",INDEX(CODIFICACION!$E$2:$E$500,MATCH("D2.5a|"&amp;CAPTURA!AW165,CODIFICACION!$F$2:$F$500,0))),"⚠"))</f>
        <v/>
      </c>
      <c r="S165" t="str">
        <f>IF(CAPTURA!AX165="","",IFERROR(IF(INDEX(CODIFICACION!$E$2:$E$500,MATCH("D2.5b|"&amp;CAPTURA!AX165,CODIFICACION!$F$2:$F$500,0))="sin dato","",INDEX(CODIFICACION!$E$2:$E$500,MATCH("D2.5b|"&amp;CAPTURA!AX165,CODIFICACION!$F$2:$F$500,0))),"⚠"))</f>
        <v/>
      </c>
      <c r="T165" t="str">
        <f>IF(CAPTURA!AY165="","",IF(ISNUMBER(CAPTURA!AY165),MAX(0,MIN(100,CAPTURA!AY165)),"⚠"))</f>
        <v/>
      </c>
      <c r="U165" t="str">
        <f>IF(CAPTURA!AZ165="","",IFERROR(IF(INDEX(CODIFICACION!$E$2:$E$500,MATCH("D3.12|"&amp;CAPTURA!AZ165,CODIFICACION!$F$2:$F$500,0))="sin dato","",INDEX(CODIFICACION!$E$2:$E$500,MATCH("D3.12|"&amp;CAPTURA!AZ165,CODIFICACION!$F$2:$F$500,0))),"⚠"))</f>
        <v/>
      </c>
      <c r="V165" t="str">
        <f>IF(CAPTURA!BA165="","",IF(AND(ISNUMBER(CAPTURA!BA165),CAPTURA!BA165&gt;=0,CAPTURA!BA165&lt;=4),CAPTURA!BA165*25,"⚠"))</f>
        <v/>
      </c>
      <c r="W165" t="str">
        <f>IF(CAPTURA!BB165="","",IFERROR(IF(INDEX(CODIFICACION!$E$2:$E$500,MATCH("D3.14|"&amp;CAPTURA!BB165,CODIFICACION!$F$2:$F$500,0))="sin dato","",INDEX(CODIFICACION!$E$2:$E$500,MATCH("D3.14|"&amp;CAPTURA!BB165,CODIFICACION!$F$2:$F$500,0))),"⚠"))</f>
        <v/>
      </c>
      <c r="X165" t="str">
        <f>IF(CAPTURA!BC165="","",IFERROR(IF(INDEX(CODIFICACION!$E$2:$E$500,MATCH("D3.14a|"&amp;CAPTURA!BC165,CODIFICACION!$F$2:$F$500,0))="sin dato","",INDEX(CODIFICACION!$E$2:$E$500,MATCH("D3.14a|"&amp;CAPTURA!BC165,CODIFICACION!$F$2:$F$500,0))),"⚠"))</f>
        <v/>
      </c>
      <c r="Y165" t="str">
        <f>IF(CAPTURA!BD165="","",IFERROR(IF(INDEX(CODIFICACION!$E$2:$E$500,MATCH("D3.14b|"&amp;CAPTURA!BD165,CODIFICACION!$F$2:$F$500,0))="sin dato","",INDEX(CODIFICACION!$E$2:$E$500,MATCH("D3.14b|"&amp;CAPTURA!BD165,CODIFICACION!$F$2:$F$500,0))),"⚠"))</f>
        <v/>
      </c>
      <c r="Z165" t="str">
        <f>IF(CAPTURA!BE165="","",IFERROR(IF(INDEX(CODIFICACION!$E$2:$E$500,MATCH("D3.14c|"&amp;CAPTURA!BE165,CODIFICACION!$F$2:$F$500,0))="sin dato","",INDEX(CODIFICACION!$E$2:$E$500,MATCH("D3.14c|"&amp;CAPTURA!BE165,CODIFICACION!$F$2:$F$500,0))),"⚠"))</f>
        <v/>
      </c>
      <c r="AA165" t="str">
        <f>IF(CAPTURA!BF165="","",IFERROR(IF(INDEX(CODIFICACION!$E$2:$E$500,MATCH("D3.14d|"&amp;CAPTURA!BF165,CODIFICACION!$F$2:$F$500,0))="sin dato","",INDEX(CODIFICACION!$E$2:$E$500,MATCH("D3.14d|"&amp;CAPTURA!BF165,CODIFICACION!$F$2:$F$500,0))),"⚠"))</f>
        <v/>
      </c>
      <c r="AB165" t="str">
        <f>IF(CAPTURA!BG165="","",IFERROR(IF(INDEX(CODIFICACION!$E$2:$E$500,MATCH("D3.14e|"&amp;CAPTURA!BG165,CODIFICACION!$F$2:$F$500,0))="sin dato","",INDEX(CODIFICACION!$E$2:$E$500,MATCH("D3.14e|"&amp;CAPTURA!BG165,CODIFICACION!$F$2:$F$500,0))),"⚠"))</f>
        <v/>
      </c>
      <c r="AC165" t="str">
        <f>IF(CAPTURA!BH165="","",IFERROR(IF(INDEX(CODIFICACION!$E$2:$E$500,MATCH("D3.14f|"&amp;CAPTURA!BH165,CODIFICACION!$F$2:$F$500,0))="sin dato","",INDEX(CODIFICACION!$E$2:$E$500,MATCH("D3.14f|"&amp;CAPTURA!BH165,CODIFICACION!$F$2:$F$500,0))),"⚠"))</f>
        <v/>
      </c>
      <c r="AD165" t="str">
        <f>IF(CAPTURA!BI165="","",IFERROR(IF(INDEX(CODIFICACION!$E$2:$E$500,MATCH("D3.14g|"&amp;CAPTURA!BI165,CODIFICACION!$F$2:$F$500,0))="sin dato","",INDEX(CODIFICACION!$E$2:$E$500,MATCH("D3.14g|"&amp;CAPTURA!BI165,CODIFICACION!$F$2:$F$500,0))),"⚠"))</f>
        <v/>
      </c>
      <c r="AE165" t="str">
        <f>IF(CAPTURA!BJ165="","",IFERROR(IF(INDEX(CODIFICACION!$E$2:$E$500,MATCH("D3.14h|"&amp;CAPTURA!BJ165,CODIFICACION!$F$2:$F$500,0))="sin dato","",INDEX(CODIFICACION!$E$2:$E$500,MATCH("D3.14h|"&amp;CAPTURA!BJ165,CODIFICACION!$F$2:$F$500,0))),"⚠"))</f>
        <v/>
      </c>
      <c r="AF165" t="str">
        <f>IF(CAPTURA!BK165="","",IFERROR(IF(INDEX(CODIFICACION!$E$2:$E$500,MATCH("D3.14i|"&amp;CAPTURA!BK165,CODIFICACION!$F$2:$F$500,0))="sin dato","",INDEX(CODIFICACION!$E$2:$E$500,MATCH("D3.14i|"&amp;CAPTURA!BK165,CODIFICACION!$F$2:$F$500,0))),"⚠"))</f>
        <v/>
      </c>
      <c r="AG165" t="str">
        <f>IF(CAPTURA!BL165="","",IFERROR(IF(INDEX(CODIFICACION!$E$2:$E$500,MATCH("D4.15|"&amp;CAPTURA!BL165,CODIFICACION!$F$2:$F$500,0))="sin dato","",INDEX(CODIFICACION!$E$2:$E$500,MATCH("D4.15|"&amp;CAPTURA!BL165,CODIFICACION!$F$2:$F$500,0))),"⚠"))</f>
        <v/>
      </c>
      <c r="AH165" t="str">
        <f>IF(CAPTURA!BM165="","",IF(AND(ISNUMBER(CAPTURA!BM165),CAPTURA!BM165&gt;=0,CAPTURA!BM165&lt;=4),CAPTURA!BM165*25,"⚠"))</f>
        <v/>
      </c>
      <c r="AI165" t="str">
        <f>IF(CAPTURA!BN165="","",IFERROR(IF(INDEX(CODIFICACION!$E$2:$E$500,MATCH("D4.17|"&amp;CAPTURA!BN165,CODIFICACION!$F$2:$F$500,0))="sin dato","",INDEX(CODIFICACION!$E$2:$E$500,MATCH("D4.17|"&amp;CAPTURA!BN165,CODIFICACION!$F$2:$F$500,0))),"⚠"))</f>
        <v/>
      </c>
      <c r="AJ165" t="str">
        <f>IF(CAPTURA!BO165="","",IFERROR(IF(INDEX(CODIFICACION!$E$2:$E$500,MATCH("D4.15a|"&amp;CAPTURA!BO165,CODIFICACION!$F$2:$F$500,0))="sin dato","",INDEX(CODIFICACION!$E$2:$E$500,MATCH("D4.15a|"&amp;CAPTURA!BO165,CODIFICACION!$F$2:$F$500,0))),"⚠"))</f>
        <v/>
      </c>
      <c r="AK165" t="str">
        <f>IF(CAPTURA!BP165="","",IF(AND(ISNUMBER(CAPTURA!BP165),CAPTURA!BP165&gt;=0,CAPTURA!BP165&lt;=4),CAPTURA!BP165*25,"⚠"))</f>
        <v/>
      </c>
      <c r="AL165" t="str">
        <f>IF(CAPTURA!BQ165="","",IF(AND(ISNUMBER(CAPTURA!BQ165),CAPTURA!BQ165&gt;=0,CAPTURA!BQ165&lt;=4),CAPTURA!BQ165*25,"⚠"))</f>
        <v/>
      </c>
      <c r="AM165" t="str">
        <f>IF(CAPTURA!BR165="","",IFERROR(IF(INDEX(CODIFICACION!$E$2:$E$500,MATCH("D5.18b|"&amp;CAPTURA!BR165,CODIFICACION!$F$2:$F$500,0))="sin dato","",INDEX(CODIFICACION!$E$2:$E$500,MATCH("D5.18b|"&amp;CAPTURA!BR165,CODIFICACION!$F$2:$F$500,0))),"⚠"))</f>
        <v/>
      </c>
      <c r="AN165" t="str">
        <f>IF(CAPTURA!BS165="","",IFERROR(IF(INDEX(CODIFICACION!$E$2:$E$500,MATCH("D5.19|"&amp;CAPTURA!BS165,CODIFICACION!$F$2:$F$500,0))="sin dato","",INDEX(CODIFICACION!$E$2:$E$500,MATCH("D5.19|"&amp;CAPTURA!BS165,CODIFICACION!$F$2:$F$500,0))),"⚠"))</f>
        <v/>
      </c>
      <c r="AO165" t="str">
        <f>IF(CAPTURA!BT165="","",MIN(100,ROUND((LEN(CAPTURA!BT165)-LEN(SUBSTITUTE(CAPTURA!BT165,";",""))+1)/7*100,1)))</f>
        <v/>
      </c>
      <c r="AP165" t="str">
        <f>IF(CAPTURA!BU165="","",IFERROR(IF(INDEX(CODIFICACION!$E$2:$E$500,MATCH("D5.20|"&amp;CAPTURA!BU165,CODIFICACION!$F$2:$F$500,0))="sin dato","",INDEX(CODIFICACION!$E$2:$E$500,MATCH("D5.20|"&amp;CAPTURA!BU165,CODIFICACION!$F$2:$F$500,0))),"⚠"))</f>
        <v/>
      </c>
      <c r="AQ165" t="str">
        <f>IF(CAPTURA!BV165="","",IFERROR(IF(INDEX(CODIFICACION!$E$2:$E$500,MATCH("D5.21|"&amp;CAPTURA!BV165,CODIFICACION!$F$2:$F$500,0))="sin dato","",INDEX(CODIFICACION!$E$2:$E$500,MATCH("D5.21|"&amp;CAPTURA!BV165,CODIFICACION!$F$2:$F$500,0))),"⚠"))</f>
        <v/>
      </c>
      <c r="AR165" t="str">
        <f>IF(CAPTURA!BW165="","",IFERROR(IF(INDEX(CODIFICACION!$E$2:$E$500,MATCH("D5.21a|"&amp;CAPTURA!BW165,CODIFICACION!$F$2:$F$500,0))="sin dato","",INDEX(CODIFICACION!$E$2:$E$500,MATCH("D5.21a|"&amp;CAPTURA!BW165,CODIFICACION!$F$2:$F$500,0))),"⚠"))</f>
        <v/>
      </c>
      <c r="AS165" t="str">
        <f>IF(CAPTURA!BX165="","",IFERROR(IF(INDEX(CODIFICACION!$E$2:$E$500,MATCH("D5.21b|"&amp;CAPTURA!BX165,CODIFICACION!$F$2:$F$500,0))="sin dato","",INDEX(CODIFICACION!$E$2:$E$500,MATCH("D5.21b|"&amp;CAPTURA!BX165,CODIFICACION!$F$2:$F$500,0))),"⚠"))</f>
        <v/>
      </c>
      <c r="AT165" t="str">
        <f>IF(CAPTURA!BY165="","",IFERROR(IF(INDEX(CODIFICACION!$E$2:$E$500,MATCH("D6.22|"&amp;CAPTURA!BY165,CODIFICACION!$F$2:$F$500,0))="sin dato","",INDEX(CODIFICACION!$E$2:$E$500,MATCH("D6.22|"&amp;CAPTURA!BY165,CODIFICACION!$F$2:$F$500,0))),"⚠"))</f>
        <v/>
      </c>
      <c r="AU165" t="str">
        <f>IF(CAPTURA!BZ165="","",IFERROR(IF(INDEX(CODIFICACION!$E$2:$E$500,MATCH("D6.22a|"&amp;CAPTURA!BZ165,CODIFICACION!$F$2:$F$500,0))="sin dato","",INDEX(CODIFICACION!$E$2:$E$500,MATCH("D6.22a|"&amp;CAPTURA!BZ165,CODIFICACION!$F$2:$F$500,0))),"⚠"))</f>
        <v/>
      </c>
      <c r="AV165" t="str">
        <f>IF(CAPTURA!CA165="","",IFERROR(IF(INDEX(CODIFICACION!$E$2:$E$500,MATCH("D6.22b|"&amp;CAPTURA!CA165,CODIFICACION!$F$2:$F$500,0))="sin dato","",INDEX(CODIFICACION!$E$2:$E$500,MATCH("D6.22b|"&amp;CAPTURA!CA165,CODIFICACION!$F$2:$F$500,0))),"⚠"))</f>
        <v/>
      </c>
      <c r="AW165" t="str">
        <f>IF(CAPTURA!CB165="","",IFERROR(IF(INDEX(CODIFICACION!$E$2:$E$500,MATCH("D6.23|"&amp;CAPTURA!CB165,CODIFICACION!$F$2:$F$500,0))="sin dato","",INDEX(CODIFICACION!$E$2:$E$500,MATCH("D6.23|"&amp;CAPTURA!CB165,CODIFICACION!$F$2:$F$500,0))),"⚠"))</f>
        <v/>
      </c>
      <c r="AX165" t="str">
        <f>IF(CAPTURA!CC165="","",IFERROR(IF(INDEX(CODIFICACION!$E$2:$E$500,MATCH("D6.24|"&amp;CAPTURA!CC165,CODIFICACION!$F$2:$F$500,0))="sin dato","",INDEX(CODIFICACION!$E$2:$E$500,MATCH("D6.24|"&amp;CAPTURA!CC165,CODIFICACION!$F$2:$F$500,0))),"⚠"))</f>
        <v/>
      </c>
      <c r="AY165" t="str">
        <f>IF(CAPTURA!CD165="","",IFERROR(IF(INDEX(CODIFICACION!$E$2:$E$500,MATCH("D6.25|"&amp;CAPTURA!CD165,CODIFICACION!$F$2:$F$500,0))="sin dato","",INDEX(CODIFICACION!$E$2:$E$500,MATCH("D6.25|"&amp;CAPTURA!CD165,CODIFICACION!$F$2:$F$500,0))),"⚠"))</f>
        <v/>
      </c>
      <c r="AZ165" t="str">
        <f>IF(CAPTURA!CE165="","",IFERROR(IF(INDEX(CODIFICACION!$E$2:$E$500,MATCH("D6.25a|"&amp;CAPTURA!CE165,CODIFICACION!$F$2:$F$500,0))="sin dato","",INDEX(CODIFICACION!$E$2:$E$500,MATCH("D6.25a|"&amp;CAPTURA!CE165,CODIFICACION!$F$2:$F$500,0))),"⚠"))</f>
        <v/>
      </c>
      <c r="BA165" t="str">
        <f>IF(CAPTURA!CF165="","",IFERROR(IF(INDEX(CODIFICACION!$E$2:$E$500,MATCH("D6.25b|"&amp;CAPTURA!CF165,CODIFICACION!$F$2:$F$500,0))="sin dato","",INDEX(CODIFICACION!$E$2:$E$500,MATCH("D6.25b|"&amp;CAPTURA!CF165,CODIFICACION!$F$2:$F$500,0))),"⚠"))</f>
        <v/>
      </c>
      <c r="BB165" t="str">
        <f>IF(CAPTURA!CG165="","",IFERROR(IF(INDEX(CODIFICACION!$E$2:$E$500,MATCH("D6.22c|"&amp;CAPTURA!CG165,CODIFICACION!$F$2:$F$500,0))="sin dato","",INDEX(CODIFICACION!$E$2:$E$500,MATCH("D6.22c|"&amp;CAPTURA!CG165,CODIFICACION!$F$2:$F$500,0))),"⚠"))</f>
        <v/>
      </c>
      <c r="BC165" t="str">
        <f>IF(CAPTURA!CH165="","",IFERROR(IF(INDEX(CODIFICACION!$E$2:$E$500,MATCH("D7.26|"&amp;CAPTURA!CH165,CODIFICACION!$F$2:$F$500,0))="sin dato","",INDEX(CODIFICACION!$E$2:$E$500,MATCH("D7.26|"&amp;CAPTURA!CH165,CODIFICACION!$F$2:$F$500,0))),"⚠"))</f>
        <v/>
      </c>
      <c r="BD165" t="str">
        <f>IF(CAPTURA!CI165="","",IFERROR(IF(INDEX(CODIFICACION!$E$2:$E$500,MATCH("D7.27|"&amp;CAPTURA!CI165,CODIFICACION!$F$2:$F$500,0))="sin dato","",INDEX(CODIFICACION!$E$2:$E$500,MATCH("D7.27|"&amp;CAPTURA!CI165,CODIFICACION!$F$2:$F$500,0))),"⚠"))</f>
        <v/>
      </c>
      <c r="BE165" t="str">
        <f>IF(CAPTURA!CJ165="","",IFERROR(IF(INDEX(CODIFICACION!$E$2:$E$500,MATCH("D7.28|"&amp;CAPTURA!CJ165,CODIFICACION!$F$2:$F$500,0))="sin dato","",INDEX(CODIFICACION!$E$2:$E$500,MATCH("D7.28|"&amp;CAPTURA!CJ165,CODIFICACION!$F$2:$F$500,0))),"⚠"))</f>
        <v/>
      </c>
      <c r="BF165" t="str">
        <f>IF(CAPTURA!CK165="","",IFERROR(IF(INDEX(CODIFICACION!$E$2:$E$500,MATCH("D7.28b|"&amp;CAPTURA!CK165,CODIFICACION!$F$2:$F$500,0))="sin dato","",INDEX(CODIFICACION!$E$2:$E$500,MATCH("D7.28b|"&amp;CAPTURA!CK165,CODIFICACION!$F$2:$F$500,0))),"⚠"))</f>
        <v/>
      </c>
      <c r="BG165" t="str">
        <f>IF(CAPTURA!CL165="","",MIN(100,ROUND((LEN(CAPTURA!CL165)-LEN(SUBSTITUTE(CAPTURA!CL165,";",""))+1)/8*100,1)))</f>
        <v/>
      </c>
      <c r="BH165" t="str">
        <f>IF(CAPTURA!CM165="","",IFERROR(IF(INDEX(CODIFICACION!$E$2:$E$500,MATCH("D7.26a|"&amp;CAPTURA!CM165,CODIFICACION!$F$2:$F$500,0))="sin dato","",INDEX(CODIFICACION!$E$2:$E$500,MATCH("D7.26a|"&amp;CAPTURA!CM165,CODIFICACION!$F$2:$F$500,0))),"⚠"))</f>
        <v/>
      </c>
      <c r="BI165" t="str">
        <f>IF(CAPTURA!CN165="","",IFERROR(IF(INDEX(CODIFICACION!$E$2:$E$500,MATCH("D7.26b|"&amp;CAPTURA!CN165,CODIFICACION!$F$2:$F$500,0))="sin dato","",INDEX(CODIFICACION!$E$2:$E$500,MATCH("D7.26b|"&amp;CAPTURA!CN165,CODIFICACION!$F$2:$F$500,0))),"⚠"))</f>
        <v/>
      </c>
      <c r="BJ165" t="str">
        <f>IF(CAPTURA!CO165="","",IF(AND(ISNUMBER(CAPTURA!CO165),CAPTURA!CO165&gt;=0,CAPTURA!CO165&lt;=4),CAPTURA!CO165*25,"⚠"))</f>
        <v/>
      </c>
      <c r="BK165" t="str">
        <f>IF(CAPTURA!CP165="","",IF(ISNUMBER(CAPTURA!CP165),MAX(0,MIN(100,CAPTURA!CP165)),"⚠"))</f>
        <v/>
      </c>
      <c r="BL165" t="str">
        <f>IF(CAPTURA!CQ165="","",IFERROR(IF(INDEX(CODIFICACION!$E$2:$E$500,MATCH("D8.31|"&amp;CAPTURA!CQ165,CODIFICACION!$F$2:$F$500,0))="sin dato","",INDEX(CODIFICACION!$E$2:$E$500,MATCH("D8.31|"&amp;CAPTURA!CQ165,CODIFICACION!$F$2:$F$500,0))),"⚠"))</f>
        <v/>
      </c>
      <c r="BM165" t="str">
        <f>IF(CAPTURA!CR165="","",IFERROR(IF(INDEX(CODIFICACION!$E$2:$E$500,MATCH("D8.32|"&amp;CAPTURA!CR165,CODIFICACION!$F$2:$F$500,0))="sin dato","",INDEX(CODIFICACION!$E$2:$E$500,MATCH("D8.32|"&amp;CAPTURA!CR165,CODIFICACION!$F$2:$F$500,0))),"⚠"))</f>
        <v/>
      </c>
      <c r="BN165" t="str">
        <f>IF(CAPTURA!CS165="","",IFERROR(IF(INDEX(CODIFICACION!$E$2:$E$500,MATCH("D9.33|"&amp;CAPTURA!CS165,CODIFICACION!$F$2:$F$500,0))="sin dato","",INDEX(CODIFICACION!$E$2:$E$500,MATCH("D9.33|"&amp;CAPTURA!CS165,CODIFICACION!$F$2:$F$500,0))),"⚠"))</f>
        <v/>
      </c>
      <c r="BO165" t="str">
        <f>IF(CAPTURA!CT165="","",IFERROR(IF(INDEX(CODIFICACION!$E$2:$E$500,MATCH("D9.34|"&amp;CAPTURA!CT165,CODIFICACION!$F$2:$F$500,0))="sin dato","",INDEX(CODIFICACION!$E$2:$E$500,MATCH("D9.34|"&amp;CAPTURA!CT165,CODIFICACION!$F$2:$F$500,0))),"⚠"))</f>
        <v/>
      </c>
      <c r="BP165" t="str">
        <f>IF(CAPTURA!CU165="","",IFERROR(IF(INDEX(CODIFICACION!$E$2:$E$500,MATCH("D9.35|"&amp;CAPTURA!CU165,CODIFICACION!$F$2:$F$500,0))="sin dato","",INDEX(CODIFICACION!$E$2:$E$500,MATCH("D9.35|"&amp;CAPTURA!CU165,CODIFICACION!$F$2:$F$500,0))),"⚠"))</f>
        <v/>
      </c>
      <c r="BQ165" t="str">
        <f>IF(CAPTURA!CV165="","",IFERROR(IF(INDEX(CODIFICACION!$E$2:$E$500,MATCH("D10.36|"&amp;CAPTURA!CV165,CODIFICACION!$F$2:$F$500,0))="sin dato","",INDEX(CODIFICACION!$E$2:$E$500,MATCH("D10.36|"&amp;CAPTURA!CV165,CODIFICACION!$F$2:$F$500,0))),"⚠"))</f>
        <v/>
      </c>
      <c r="BR165" t="str">
        <f>IF(CAPTURA!CW165="","",IFERROR(IF(INDEX(CODIFICACION!$E$2:$E$500,MATCH("D10.37|"&amp;CAPTURA!CW165,CODIFICACION!$F$2:$F$500,0))="sin dato","",INDEX(CODIFICACION!$E$2:$E$500,MATCH("D10.37|"&amp;CAPTURA!CW165,CODIFICACION!$F$2:$F$500,0))),"⚠"))</f>
        <v/>
      </c>
      <c r="BS165" t="str">
        <f>IF(CAPTURA!CX165="","",IFERROR(IF(INDEX(CODIFICACION!$E$2:$E$500,MATCH("D10.36a|"&amp;CAPTURA!CX165,CODIFICACION!$F$2:$F$500,0))="sin dato","",INDEX(CODIFICACION!$E$2:$E$500,MATCH("D10.36a|"&amp;CAPTURA!CX165,CODIFICACION!$F$2:$F$500,0))),"⚠"))</f>
        <v/>
      </c>
      <c r="BT165" t="str">
        <f>IF(CAPTURA!CY165="","",IF(ISNUMBER(SEARCH("Ninguno",CAPTURA!CY165)),0,MIN(100,ROUND((LEN(CAPTURA!CY165)-LEN(SUBSTITUTE(CAPTURA!CY165,";",""))+1)/6*100,1))))</f>
        <v/>
      </c>
      <c r="BU165" t="str">
        <f>IF(CAPTURA!DA165="","",IFERROR(IF(INDEX(CODIFICACION!$E$2:$E$500,MATCH("D11.39a|"&amp;CAPTURA!DA165,CODIFICACION!$F$2:$F$500,0))="sin dato","",INDEX(CODIFICACION!$E$2:$E$500,MATCH("D11.39a|"&amp;CAPTURA!DA165,CODIFICACION!$F$2:$F$500,0))),"⚠"))</f>
        <v/>
      </c>
      <c r="BV165" t="str">
        <f>IF(CAPTURA!DB165="","",IFERROR(IF(INDEX(CODIFICACION!$E$2:$E$500,MATCH("D12.42|"&amp;CAPTURA!DB165,CODIFICACION!$F$2:$F$500,0))="sin dato","",INDEX(CODIFICACION!$E$2:$E$500,MATCH("D12.42|"&amp;CAPTURA!DB165,CODIFICACION!$F$2:$F$500,0))),"⚠"))</f>
        <v/>
      </c>
      <c r="BW165" t="str">
        <f>IF(CAPTURA!DC165="","",IFERROR(IF(INDEX(CODIFICACION!$E$2:$E$500,MATCH("D13.45|"&amp;CAPTURA!DC165,CODIFICACION!$F$2:$F$500,0))="sin dato","",INDEX(CODIFICACION!$E$2:$E$500,MATCH("D13.45|"&amp;CAPTURA!DC165,CODIFICACION!$F$2:$F$500,0))),"⚠"))</f>
        <v/>
      </c>
      <c r="BX165" t="str">
        <f>IF(CAPTURA!DD165="","",IFERROR(IF(INDEX(CODIFICACION!$E$2:$E$500,MATCH("D14.51|"&amp;CAPTURA!DD165,CODIFICACION!$F$2:$F$500,0))="sin dato","",INDEX(CODIFICACION!$E$2:$E$500,MATCH("D14.51|"&amp;CAPTURA!DD165,CODIFICACION!$F$2:$F$500,0))),"⚠"))</f>
        <v/>
      </c>
      <c r="BY165" t="str">
        <f>IF(CAPTURA!DE165="","",IFERROR(IF(INDEX(CODIFICACION!$E$2:$E$500,MATCH("D15.58|"&amp;CAPTURA!DE165,CODIFICACION!$F$2:$F$500,0))="sin dato","",INDEX(CODIFICACION!$E$2:$E$500,MATCH("D15.58|"&amp;CAPTURA!DE165,CODIFICACION!$F$2:$F$500,0))),"⚠"))</f>
        <v/>
      </c>
      <c r="BZ165" t="str">
        <f>IF(CAPTURA!DF165="","",IFERROR(IF(INDEX(CODIFICACION!$E$2:$E$500,MATCH("PP1|"&amp;CAPTURA!DF165,CODIFICACION!$F$2:$F$500,0))="sin dato","",INDEX(CODIFICACION!$E$2:$E$500,MATCH("PP1|"&amp;CAPTURA!DF165,CODIFICACION!$F$2:$F$500,0))),"⚠"))</f>
        <v/>
      </c>
      <c r="CA165" t="str">
        <f>IF(CAPTURA!DG165="","",IFERROR(IF(INDEX(CODIFICACION!$E$2:$E$500,MATCH("PP2|"&amp;CAPTURA!DG165,CODIFICACION!$F$2:$F$500,0))="sin dato","",INDEX(CODIFICACION!$E$2:$E$500,MATCH("PP2|"&amp;CAPTURA!DG165,CODIFICACION!$F$2:$F$500,0))),"⚠"))</f>
        <v/>
      </c>
      <c r="CB165" t="str">
        <f t="shared" si="55"/>
        <v/>
      </c>
      <c r="CC165" t="str">
        <f t="shared" si="56"/>
        <v/>
      </c>
      <c r="CD165" t="str">
        <f t="shared" si="57"/>
        <v/>
      </c>
      <c r="CE165" t="str">
        <f t="shared" si="58"/>
        <v/>
      </c>
      <c r="CF165" t="str">
        <f t="shared" si="59"/>
        <v/>
      </c>
      <c r="CG165" t="str">
        <f t="shared" si="60"/>
        <v/>
      </c>
      <c r="CH165" t="str">
        <f t="shared" si="61"/>
        <v/>
      </c>
      <c r="CI165" t="str">
        <f t="shared" si="62"/>
        <v/>
      </c>
      <c r="CJ165" t="str">
        <f t="shared" si="63"/>
        <v/>
      </c>
      <c r="CK165" t="str">
        <f t="shared" si="64"/>
        <v/>
      </c>
      <c r="CL165" t="str">
        <f t="shared" si="65"/>
        <v/>
      </c>
    </row>
    <row r="166" spans="1:90" x14ac:dyDescent="0.3">
      <c r="A166">
        <f>CAPTURA!A166</f>
        <v>20608235648</v>
      </c>
      <c r="B166">
        <f>CAPTURA!C166</f>
        <v>0</v>
      </c>
      <c r="C166" t="str">
        <f>IF(CAPTURA!M166="","",ROUND((ISNUMBER(SEARCH("Alemania",CAPTURA!M166))+ISNUMBER(SEARCH("Bélgica",CAPTURA!M166))+ISNUMBER(SEARCH("Países Bajos",CAPTURA!M166))+ISNUMBER(SEARCH("Francia",CAPTURA!M166))+ISNUMBER(SEARCH("Italia",CAPTURA!M166))+ISNUMBER(SEARCH("España",CAPTURA!M166))+ISNUMBER(SEARCH("Suecia",CAPTURA!M166))+ISNUMBER(SEARCH("Dinamarca",CAPTURA!M166)))/((LEN(CAPTURA!M166)-LEN(SUBSTITUTE(CAPTURA!M166,";","")))+1)*100,1))</f>
        <v/>
      </c>
      <c r="D166" t="str">
        <f>IF(CAPTURA!AE166="","",IFERROR(IF(INDEX(CODIFICACION!$E$2:$E$500,MATCH("P8|"&amp;CAPTURA!AE166,CODIFICACION!$F$2:$F$500,0))="sin dato","",INDEX(CODIFICACION!$E$2:$E$500,MATCH("P8|"&amp;CAPTURA!AE166,CODIFICACION!$F$2:$F$500,0))),"⚠"))</f>
        <v/>
      </c>
      <c r="E166" t="str">
        <f>IF(CAPTURA!AG166="","",IFERROR(IF(INDEX(CODIFICACION!$E$2:$E$500,MATCH("P10|"&amp;CAPTURA!AG166,CODIFICACION!$F$2:$F$500,0))="sin dato","",INDEX(CODIFICACION!$E$2:$E$500,MATCH("P10|"&amp;CAPTURA!AG166,CODIFICACION!$F$2:$F$500,0))),"⚠"))</f>
        <v/>
      </c>
      <c r="F166" t="str">
        <f>IF(CAPTURA!AJ166="","",IFERROR(IF(INDEX(CODIFICACION!$E$2:$E$500,MATCH("P13|"&amp;CAPTURA!AJ166,CODIFICACION!$F$2:$F$500,0))="sin dato","",INDEX(CODIFICACION!$E$2:$E$500,MATCH("P13|"&amp;CAPTURA!AJ166,CODIFICACION!$F$2:$F$500,0))),"⚠"))</f>
        <v/>
      </c>
      <c r="G166" t="str">
        <f>IF(CAPTURA!AK166="","",IFERROR(IF(INDEX(CODIFICACION!$E$2:$E$500,MATCH("P14|"&amp;CAPTURA!AK166,CODIFICACION!$F$2:$F$500,0))="sin dato","",INDEX(CODIFICACION!$E$2:$E$500,MATCH("P14|"&amp;CAPTURA!AK166,CODIFICACION!$F$2:$F$500,0))),"⚠"))</f>
        <v/>
      </c>
      <c r="H166" t="str">
        <f>IF(CAPTURA!AL166="","",IFERROR(IF(INDEX(CODIFICACION!$E$2:$E$500,MATCH("D1.1|"&amp;CAPTURA!AL166,CODIFICACION!$F$2:$F$500,0))="sin dato","",INDEX(CODIFICACION!$E$2:$E$500,MATCH("D1.1|"&amp;CAPTURA!AL166,CODIFICACION!$F$2:$F$500,0))),"⚠"))</f>
        <v/>
      </c>
      <c r="I166" t="str">
        <f>IF(CAPTURA!AN166="","",IFERROR(IF(INDEX(CODIFICACION!$E$2:$E$500,MATCH("D1.3|"&amp;CAPTURA!AN166,CODIFICACION!$F$2:$F$500,0))="sin dato","",INDEX(CODIFICACION!$E$2:$E$500,MATCH("D1.3|"&amp;CAPTURA!AN166,CODIFICACION!$F$2:$F$500,0))),"⚠"))</f>
        <v/>
      </c>
      <c r="J166" t="str">
        <f>IF(CAPTURA!AO166="","",IFERROR(IF(INDEX(CODIFICACION!$E$2:$E$500,MATCH("D1.4|"&amp;CAPTURA!AO166,CODIFICACION!$F$2:$F$500,0))="sin dato","",INDEX(CODIFICACION!$E$2:$E$500,MATCH("D1.4|"&amp;CAPTURA!AO166,CODIFICACION!$F$2:$F$500,0))),"⚠"))</f>
        <v/>
      </c>
      <c r="K166" t="str">
        <f>IF(CAPTURA!AP166="","",IFERROR(IF(INDEX(CODIFICACION!$E$2:$E$500,MATCH("D1.3a|"&amp;CAPTURA!AP166,CODIFICACION!$F$2:$F$500,0))="sin dato","",INDEX(CODIFICACION!$E$2:$E$500,MATCH("D1.3a|"&amp;CAPTURA!AP166,CODIFICACION!$F$2:$F$500,0))),"⚠"))</f>
        <v/>
      </c>
      <c r="L166" t="str">
        <f>IF(CAPTURA!AQ166="","",IF(AND(ISNUMBER(CAPTURA!AQ166),CAPTURA!AQ166&gt;=0,CAPTURA!AQ166&lt;=4),CAPTURA!AQ166*25,"⚠"))</f>
        <v/>
      </c>
      <c r="M166" t="str">
        <f>IF(CAPTURA!AR166="","",IF(ISNUMBER(CAPTURA!AR166),MAX(0,MIN(100,CAPTURA!AR166)),"⚠"))</f>
        <v/>
      </c>
      <c r="N166" t="str">
        <f>IF(CAPTURA!AS166="","",IF(AND(ISNUMBER(CAPTURA!AS166),CAPTURA!AS166&gt;=0,CAPTURA!AS166&lt;=4),CAPTURA!AS166*25,"⚠"))</f>
        <v/>
      </c>
      <c r="O166" t="str">
        <f>IF(CAPTURA!AT166="","",IFERROR(IF(INDEX(CODIFICACION!$E$2:$E$500,MATCH("D2.8|"&amp;CAPTURA!AT166,CODIFICACION!$F$2:$F$500,0))="sin dato","",INDEX(CODIFICACION!$E$2:$E$500,MATCH("D2.8|"&amp;CAPTURA!AT166,CODIFICACION!$F$2:$F$500,0))),"⚠"))</f>
        <v/>
      </c>
      <c r="P166" t="str">
        <f>IF(CAPTURA!AU166="","",IFERROR(IF(INDEX(CODIFICACION!$E$2:$E$500,MATCH("D2.9|"&amp;CAPTURA!AU166,CODIFICACION!$F$2:$F$500,0))="sin dato","",INDEX(CODIFICACION!$E$2:$E$500,MATCH("D2.9|"&amp;CAPTURA!AU166,CODIFICACION!$F$2:$F$500,0))),"⚠"))</f>
        <v/>
      </c>
      <c r="Q166" t="str">
        <f>IF(CAPTURA!AV166="","",IFERROR(IF(INDEX(CODIFICACION!$E$2:$E$500,MATCH("D2.10|"&amp;CAPTURA!AV166,CODIFICACION!$F$2:$F$500,0))="sin dato","",INDEX(CODIFICACION!$E$2:$E$500,MATCH("D2.10|"&amp;CAPTURA!AV166,CODIFICACION!$F$2:$F$500,0))),"⚠"))</f>
        <v/>
      </c>
      <c r="R166" t="str">
        <f>IF(CAPTURA!AW166="","",IFERROR(IF(INDEX(CODIFICACION!$E$2:$E$500,MATCH("D2.5a|"&amp;CAPTURA!AW166,CODIFICACION!$F$2:$F$500,0))="sin dato","",INDEX(CODIFICACION!$E$2:$E$500,MATCH("D2.5a|"&amp;CAPTURA!AW166,CODIFICACION!$F$2:$F$500,0))),"⚠"))</f>
        <v/>
      </c>
      <c r="S166" t="str">
        <f>IF(CAPTURA!AX166="","",IFERROR(IF(INDEX(CODIFICACION!$E$2:$E$500,MATCH("D2.5b|"&amp;CAPTURA!AX166,CODIFICACION!$F$2:$F$500,0))="sin dato","",INDEX(CODIFICACION!$E$2:$E$500,MATCH("D2.5b|"&amp;CAPTURA!AX166,CODIFICACION!$F$2:$F$500,0))),"⚠"))</f>
        <v/>
      </c>
      <c r="T166" t="str">
        <f>IF(CAPTURA!AY166="","",IF(ISNUMBER(CAPTURA!AY166),MAX(0,MIN(100,CAPTURA!AY166)),"⚠"))</f>
        <v/>
      </c>
      <c r="U166" t="str">
        <f>IF(CAPTURA!AZ166="","",IFERROR(IF(INDEX(CODIFICACION!$E$2:$E$500,MATCH("D3.12|"&amp;CAPTURA!AZ166,CODIFICACION!$F$2:$F$500,0))="sin dato","",INDEX(CODIFICACION!$E$2:$E$500,MATCH("D3.12|"&amp;CAPTURA!AZ166,CODIFICACION!$F$2:$F$500,0))),"⚠"))</f>
        <v/>
      </c>
      <c r="V166" t="str">
        <f>IF(CAPTURA!BA166="","",IF(AND(ISNUMBER(CAPTURA!BA166),CAPTURA!BA166&gt;=0,CAPTURA!BA166&lt;=4),CAPTURA!BA166*25,"⚠"))</f>
        <v/>
      </c>
      <c r="W166" t="str">
        <f>IF(CAPTURA!BB166="","",IFERROR(IF(INDEX(CODIFICACION!$E$2:$E$500,MATCH("D3.14|"&amp;CAPTURA!BB166,CODIFICACION!$F$2:$F$500,0))="sin dato","",INDEX(CODIFICACION!$E$2:$E$500,MATCH("D3.14|"&amp;CAPTURA!BB166,CODIFICACION!$F$2:$F$500,0))),"⚠"))</f>
        <v/>
      </c>
      <c r="X166" t="str">
        <f>IF(CAPTURA!BC166="","",IFERROR(IF(INDEX(CODIFICACION!$E$2:$E$500,MATCH("D3.14a|"&amp;CAPTURA!BC166,CODIFICACION!$F$2:$F$500,0))="sin dato","",INDEX(CODIFICACION!$E$2:$E$500,MATCH("D3.14a|"&amp;CAPTURA!BC166,CODIFICACION!$F$2:$F$500,0))),"⚠"))</f>
        <v/>
      </c>
      <c r="Y166" t="str">
        <f>IF(CAPTURA!BD166="","",IFERROR(IF(INDEX(CODIFICACION!$E$2:$E$500,MATCH("D3.14b|"&amp;CAPTURA!BD166,CODIFICACION!$F$2:$F$500,0))="sin dato","",INDEX(CODIFICACION!$E$2:$E$500,MATCH("D3.14b|"&amp;CAPTURA!BD166,CODIFICACION!$F$2:$F$500,0))),"⚠"))</f>
        <v/>
      </c>
      <c r="Z166" t="str">
        <f>IF(CAPTURA!BE166="","",IFERROR(IF(INDEX(CODIFICACION!$E$2:$E$500,MATCH("D3.14c|"&amp;CAPTURA!BE166,CODIFICACION!$F$2:$F$500,0))="sin dato","",INDEX(CODIFICACION!$E$2:$E$500,MATCH("D3.14c|"&amp;CAPTURA!BE166,CODIFICACION!$F$2:$F$500,0))),"⚠"))</f>
        <v/>
      </c>
      <c r="AA166" t="str">
        <f>IF(CAPTURA!BF166="","",IFERROR(IF(INDEX(CODIFICACION!$E$2:$E$500,MATCH("D3.14d|"&amp;CAPTURA!BF166,CODIFICACION!$F$2:$F$500,0))="sin dato","",INDEX(CODIFICACION!$E$2:$E$500,MATCH("D3.14d|"&amp;CAPTURA!BF166,CODIFICACION!$F$2:$F$500,0))),"⚠"))</f>
        <v/>
      </c>
      <c r="AB166" t="str">
        <f>IF(CAPTURA!BG166="","",IFERROR(IF(INDEX(CODIFICACION!$E$2:$E$500,MATCH("D3.14e|"&amp;CAPTURA!BG166,CODIFICACION!$F$2:$F$500,0))="sin dato","",INDEX(CODIFICACION!$E$2:$E$500,MATCH("D3.14e|"&amp;CAPTURA!BG166,CODIFICACION!$F$2:$F$500,0))),"⚠"))</f>
        <v/>
      </c>
      <c r="AC166" t="str">
        <f>IF(CAPTURA!BH166="","",IFERROR(IF(INDEX(CODIFICACION!$E$2:$E$500,MATCH("D3.14f|"&amp;CAPTURA!BH166,CODIFICACION!$F$2:$F$500,0))="sin dato","",INDEX(CODIFICACION!$E$2:$E$500,MATCH("D3.14f|"&amp;CAPTURA!BH166,CODIFICACION!$F$2:$F$500,0))),"⚠"))</f>
        <v/>
      </c>
      <c r="AD166" t="str">
        <f>IF(CAPTURA!BI166="","",IFERROR(IF(INDEX(CODIFICACION!$E$2:$E$500,MATCH("D3.14g|"&amp;CAPTURA!BI166,CODIFICACION!$F$2:$F$500,0))="sin dato","",INDEX(CODIFICACION!$E$2:$E$500,MATCH("D3.14g|"&amp;CAPTURA!BI166,CODIFICACION!$F$2:$F$500,0))),"⚠"))</f>
        <v/>
      </c>
      <c r="AE166" t="str">
        <f>IF(CAPTURA!BJ166="","",IFERROR(IF(INDEX(CODIFICACION!$E$2:$E$500,MATCH("D3.14h|"&amp;CAPTURA!BJ166,CODIFICACION!$F$2:$F$500,0))="sin dato","",INDEX(CODIFICACION!$E$2:$E$500,MATCH("D3.14h|"&amp;CAPTURA!BJ166,CODIFICACION!$F$2:$F$500,0))),"⚠"))</f>
        <v/>
      </c>
      <c r="AF166" t="str">
        <f>IF(CAPTURA!BK166="","",IFERROR(IF(INDEX(CODIFICACION!$E$2:$E$500,MATCH("D3.14i|"&amp;CAPTURA!BK166,CODIFICACION!$F$2:$F$500,0))="sin dato","",INDEX(CODIFICACION!$E$2:$E$500,MATCH("D3.14i|"&amp;CAPTURA!BK166,CODIFICACION!$F$2:$F$500,0))),"⚠"))</f>
        <v/>
      </c>
      <c r="AG166" t="str">
        <f>IF(CAPTURA!BL166="","",IFERROR(IF(INDEX(CODIFICACION!$E$2:$E$500,MATCH("D4.15|"&amp;CAPTURA!BL166,CODIFICACION!$F$2:$F$500,0))="sin dato","",INDEX(CODIFICACION!$E$2:$E$500,MATCH("D4.15|"&amp;CAPTURA!BL166,CODIFICACION!$F$2:$F$500,0))),"⚠"))</f>
        <v/>
      </c>
      <c r="AH166" t="str">
        <f>IF(CAPTURA!BM166="","",IF(AND(ISNUMBER(CAPTURA!BM166),CAPTURA!BM166&gt;=0,CAPTURA!BM166&lt;=4),CAPTURA!BM166*25,"⚠"))</f>
        <v/>
      </c>
      <c r="AI166" t="str">
        <f>IF(CAPTURA!BN166="","",IFERROR(IF(INDEX(CODIFICACION!$E$2:$E$500,MATCH("D4.17|"&amp;CAPTURA!BN166,CODIFICACION!$F$2:$F$500,0))="sin dato","",INDEX(CODIFICACION!$E$2:$E$500,MATCH("D4.17|"&amp;CAPTURA!BN166,CODIFICACION!$F$2:$F$500,0))),"⚠"))</f>
        <v/>
      </c>
      <c r="AJ166" t="str">
        <f>IF(CAPTURA!BO166="","",IFERROR(IF(INDEX(CODIFICACION!$E$2:$E$500,MATCH("D4.15a|"&amp;CAPTURA!BO166,CODIFICACION!$F$2:$F$500,0))="sin dato","",INDEX(CODIFICACION!$E$2:$E$500,MATCH("D4.15a|"&amp;CAPTURA!BO166,CODIFICACION!$F$2:$F$500,0))),"⚠"))</f>
        <v/>
      </c>
      <c r="AK166" t="str">
        <f>IF(CAPTURA!BP166="","",IF(AND(ISNUMBER(CAPTURA!BP166),CAPTURA!BP166&gt;=0,CAPTURA!BP166&lt;=4),CAPTURA!BP166*25,"⚠"))</f>
        <v/>
      </c>
      <c r="AL166" t="str">
        <f>IF(CAPTURA!BQ166="","",IF(AND(ISNUMBER(CAPTURA!BQ166),CAPTURA!BQ166&gt;=0,CAPTURA!BQ166&lt;=4),CAPTURA!BQ166*25,"⚠"))</f>
        <v/>
      </c>
      <c r="AM166" t="str">
        <f>IF(CAPTURA!BR166="","",IFERROR(IF(INDEX(CODIFICACION!$E$2:$E$500,MATCH("D5.18b|"&amp;CAPTURA!BR166,CODIFICACION!$F$2:$F$500,0))="sin dato","",INDEX(CODIFICACION!$E$2:$E$500,MATCH("D5.18b|"&amp;CAPTURA!BR166,CODIFICACION!$F$2:$F$500,0))),"⚠"))</f>
        <v/>
      </c>
      <c r="AN166" t="str">
        <f>IF(CAPTURA!BS166="","",IFERROR(IF(INDEX(CODIFICACION!$E$2:$E$500,MATCH("D5.19|"&amp;CAPTURA!BS166,CODIFICACION!$F$2:$F$500,0))="sin dato","",INDEX(CODIFICACION!$E$2:$E$500,MATCH("D5.19|"&amp;CAPTURA!BS166,CODIFICACION!$F$2:$F$500,0))),"⚠"))</f>
        <v/>
      </c>
      <c r="AO166" t="str">
        <f>IF(CAPTURA!BT166="","",MIN(100,ROUND((LEN(CAPTURA!BT166)-LEN(SUBSTITUTE(CAPTURA!BT166,";",""))+1)/7*100,1)))</f>
        <v/>
      </c>
      <c r="AP166" t="str">
        <f>IF(CAPTURA!BU166="","",IFERROR(IF(INDEX(CODIFICACION!$E$2:$E$500,MATCH("D5.20|"&amp;CAPTURA!BU166,CODIFICACION!$F$2:$F$500,0))="sin dato","",INDEX(CODIFICACION!$E$2:$E$500,MATCH("D5.20|"&amp;CAPTURA!BU166,CODIFICACION!$F$2:$F$500,0))),"⚠"))</f>
        <v/>
      </c>
      <c r="AQ166" t="str">
        <f>IF(CAPTURA!BV166="","",IFERROR(IF(INDEX(CODIFICACION!$E$2:$E$500,MATCH("D5.21|"&amp;CAPTURA!BV166,CODIFICACION!$F$2:$F$500,0))="sin dato","",INDEX(CODIFICACION!$E$2:$E$500,MATCH("D5.21|"&amp;CAPTURA!BV166,CODIFICACION!$F$2:$F$500,0))),"⚠"))</f>
        <v/>
      </c>
      <c r="AR166" t="str">
        <f>IF(CAPTURA!BW166="","",IFERROR(IF(INDEX(CODIFICACION!$E$2:$E$500,MATCH("D5.21a|"&amp;CAPTURA!BW166,CODIFICACION!$F$2:$F$500,0))="sin dato","",INDEX(CODIFICACION!$E$2:$E$500,MATCH("D5.21a|"&amp;CAPTURA!BW166,CODIFICACION!$F$2:$F$500,0))),"⚠"))</f>
        <v/>
      </c>
      <c r="AS166" t="str">
        <f>IF(CAPTURA!BX166="","",IFERROR(IF(INDEX(CODIFICACION!$E$2:$E$500,MATCH("D5.21b|"&amp;CAPTURA!BX166,CODIFICACION!$F$2:$F$500,0))="sin dato","",INDEX(CODIFICACION!$E$2:$E$500,MATCH("D5.21b|"&amp;CAPTURA!BX166,CODIFICACION!$F$2:$F$500,0))),"⚠"))</f>
        <v/>
      </c>
      <c r="AT166" t="str">
        <f>IF(CAPTURA!BY166="","",IFERROR(IF(INDEX(CODIFICACION!$E$2:$E$500,MATCH("D6.22|"&amp;CAPTURA!BY166,CODIFICACION!$F$2:$F$500,0))="sin dato","",INDEX(CODIFICACION!$E$2:$E$500,MATCH("D6.22|"&amp;CAPTURA!BY166,CODIFICACION!$F$2:$F$500,0))),"⚠"))</f>
        <v/>
      </c>
      <c r="AU166" t="str">
        <f>IF(CAPTURA!BZ166="","",IFERROR(IF(INDEX(CODIFICACION!$E$2:$E$500,MATCH("D6.22a|"&amp;CAPTURA!BZ166,CODIFICACION!$F$2:$F$500,0))="sin dato","",INDEX(CODIFICACION!$E$2:$E$500,MATCH("D6.22a|"&amp;CAPTURA!BZ166,CODIFICACION!$F$2:$F$500,0))),"⚠"))</f>
        <v/>
      </c>
      <c r="AV166" t="str">
        <f>IF(CAPTURA!CA166="","",IFERROR(IF(INDEX(CODIFICACION!$E$2:$E$500,MATCH("D6.22b|"&amp;CAPTURA!CA166,CODIFICACION!$F$2:$F$500,0))="sin dato","",INDEX(CODIFICACION!$E$2:$E$500,MATCH("D6.22b|"&amp;CAPTURA!CA166,CODIFICACION!$F$2:$F$500,0))),"⚠"))</f>
        <v/>
      </c>
      <c r="AW166" t="str">
        <f>IF(CAPTURA!CB166="","",IFERROR(IF(INDEX(CODIFICACION!$E$2:$E$500,MATCH("D6.23|"&amp;CAPTURA!CB166,CODIFICACION!$F$2:$F$500,0))="sin dato","",INDEX(CODIFICACION!$E$2:$E$500,MATCH("D6.23|"&amp;CAPTURA!CB166,CODIFICACION!$F$2:$F$500,0))),"⚠"))</f>
        <v/>
      </c>
      <c r="AX166" t="str">
        <f>IF(CAPTURA!CC166="","",IFERROR(IF(INDEX(CODIFICACION!$E$2:$E$500,MATCH("D6.24|"&amp;CAPTURA!CC166,CODIFICACION!$F$2:$F$500,0))="sin dato","",INDEX(CODIFICACION!$E$2:$E$500,MATCH("D6.24|"&amp;CAPTURA!CC166,CODIFICACION!$F$2:$F$500,0))),"⚠"))</f>
        <v/>
      </c>
      <c r="AY166" t="str">
        <f>IF(CAPTURA!CD166="","",IFERROR(IF(INDEX(CODIFICACION!$E$2:$E$500,MATCH("D6.25|"&amp;CAPTURA!CD166,CODIFICACION!$F$2:$F$500,0))="sin dato","",INDEX(CODIFICACION!$E$2:$E$500,MATCH("D6.25|"&amp;CAPTURA!CD166,CODIFICACION!$F$2:$F$500,0))),"⚠"))</f>
        <v/>
      </c>
      <c r="AZ166" t="str">
        <f>IF(CAPTURA!CE166="","",IFERROR(IF(INDEX(CODIFICACION!$E$2:$E$500,MATCH("D6.25a|"&amp;CAPTURA!CE166,CODIFICACION!$F$2:$F$500,0))="sin dato","",INDEX(CODIFICACION!$E$2:$E$500,MATCH("D6.25a|"&amp;CAPTURA!CE166,CODIFICACION!$F$2:$F$500,0))),"⚠"))</f>
        <v/>
      </c>
      <c r="BA166" t="str">
        <f>IF(CAPTURA!CF166="","",IFERROR(IF(INDEX(CODIFICACION!$E$2:$E$500,MATCH("D6.25b|"&amp;CAPTURA!CF166,CODIFICACION!$F$2:$F$500,0))="sin dato","",INDEX(CODIFICACION!$E$2:$E$500,MATCH("D6.25b|"&amp;CAPTURA!CF166,CODIFICACION!$F$2:$F$500,0))),"⚠"))</f>
        <v/>
      </c>
      <c r="BB166" t="str">
        <f>IF(CAPTURA!CG166="","",IFERROR(IF(INDEX(CODIFICACION!$E$2:$E$500,MATCH("D6.22c|"&amp;CAPTURA!CG166,CODIFICACION!$F$2:$F$500,0))="sin dato","",INDEX(CODIFICACION!$E$2:$E$500,MATCH("D6.22c|"&amp;CAPTURA!CG166,CODIFICACION!$F$2:$F$500,0))),"⚠"))</f>
        <v/>
      </c>
      <c r="BC166" t="str">
        <f>IF(CAPTURA!CH166="","",IFERROR(IF(INDEX(CODIFICACION!$E$2:$E$500,MATCH("D7.26|"&amp;CAPTURA!CH166,CODIFICACION!$F$2:$F$500,0))="sin dato","",INDEX(CODIFICACION!$E$2:$E$500,MATCH("D7.26|"&amp;CAPTURA!CH166,CODIFICACION!$F$2:$F$500,0))),"⚠"))</f>
        <v/>
      </c>
      <c r="BD166" t="str">
        <f>IF(CAPTURA!CI166="","",IFERROR(IF(INDEX(CODIFICACION!$E$2:$E$500,MATCH("D7.27|"&amp;CAPTURA!CI166,CODIFICACION!$F$2:$F$500,0))="sin dato","",INDEX(CODIFICACION!$E$2:$E$500,MATCH("D7.27|"&amp;CAPTURA!CI166,CODIFICACION!$F$2:$F$500,0))),"⚠"))</f>
        <v/>
      </c>
      <c r="BE166" t="str">
        <f>IF(CAPTURA!CJ166="","",IFERROR(IF(INDEX(CODIFICACION!$E$2:$E$500,MATCH("D7.28|"&amp;CAPTURA!CJ166,CODIFICACION!$F$2:$F$500,0))="sin dato","",INDEX(CODIFICACION!$E$2:$E$500,MATCH("D7.28|"&amp;CAPTURA!CJ166,CODIFICACION!$F$2:$F$500,0))),"⚠"))</f>
        <v/>
      </c>
      <c r="BF166" t="str">
        <f>IF(CAPTURA!CK166="","",IFERROR(IF(INDEX(CODIFICACION!$E$2:$E$500,MATCH("D7.28b|"&amp;CAPTURA!CK166,CODIFICACION!$F$2:$F$500,0))="sin dato","",INDEX(CODIFICACION!$E$2:$E$500,MATCH("D7.28b|"&amp;CAPTURA!CK166,CODIFICACION!$F$2:$F$500,0))),"⚠"))</f>
        <v/>
      </c>
      <c r="BG166" t="str">
        <f>IF(CAPTURA!CL166="","",MIN(100,ROUND((LEN(CAPTURA!CL166)-LEN(SUBSTITUTE(CAPTURA!CL166,";",""))+1)/8*100,1)))</f>
        <v/>
      </c>
      <c r="BH166" t="str">
        <f>IF(CAPTURA!CM166="","",IFERROR(IF(INDEX(CODIFICACION!$E$2:$E$500,MATCH("D7.26a|"&amp;CAPTURA!CM166,CODIFICACION!$F$2:$F$500,0))="sin dato","",INDEX(CODIFICACION!$E$2:$E$500,MATCH("D7.26a|"&amp;CAPTURA!CM166,CODIFICACION!$F$2:$F$500,0))),"⚠"))</f>
        <v/>
      </c>
      <c r="BI166" t="str">
        <f>IF(CAPTURA!CN166="","",IFERROR(IF(INDEX(CODIFICACION!$E$2:$E$500,MATCH("D7.26b|"&amp;CAPTURA!CN166,CODIFICACION!$F$2:$F$500,0))="sin dato","",INDEX(CODIFICACION!$E$2:$E$500,MATCH("D7.26b|"&amp;CAPTURA!CN166,CODIFICACION!$F$2:$F$500,0))),"⚠"))</f>
        <v/>
      </c>
      <c r="BJ166" t="str">
        <f>IF(CAPTURA!CO166="","",IF(AND(ISNUMBER(CAPTURA!CO166),CAPTURA!CO166&gt;=0,CAPTURA!CO166&lt;=4),CAPTURA!CO166*25,"⚠"))</f>
        <v/>
      </c>
      <c r="BK166" t="str">
        <f>IF(CAPTURA!CP166="","",IF(ISNUMBER(CAPTURA!CP166),MAX(0,MIN(100,CAPTURA!CP166)),"⚠"))</f>
        <v/>
      </c>
      <c r="BL166" t="str">
        <f>IF(CAPTURA!CQ166="","",IFERROR(IF(INDEX(CODIFICACION!$E$2:$E$500,MATCH("D8.31|"&amp;CAPTURA!CQ166,CODIFICACION!$F$2:$F$500,0))="sin dato","",INDEX(CODIFICACION!$E$2:$E$500,MATCH("D8.31|"&amp;CAPTURA!CQ166,CODIFICACION!$F$2:$F$500,0))),"⚠"))</f>
        <v/>
      </c>
      <c r="BM166" t="str">
        <f>IF(CAPTURA!CR166="","",IFERROR(IF(INDEX(CODIFICACION!$E$2:$E$500,MATCH("D8.32|"&amp;CAPTURA!CR166,CODIFICACION!$F$2:$F$500,0))="sin dato","",INDEX(CODIFICACION!$E$2:$E$500,MATCH("D8.32|"&amp;CAPTURA!CR166,CODIFICACION!$F$2:$F$500,0))),"⚠"))</f>
        <v/>
      </c>
      <c r="BN166" t="str">
        <f>IF(CAPTURA!CS166="","",IFERROR(IF(INDEX(CODIFICACION!$E$2:$E$500,MATCH("D9.33|"&amp;CAPTURA!CS166,CODIFICACION!$F$2:$F$500,0))="sin dato","",INDEX(CODIFICACION!$E$2:$E$500,MATCH("D9.33|"&amp;CAPTURA!CS166,CODIFICACION!$F$2:$F$500,0))),"⚠"))</f>
        <v/>
      </c>
      <c r="BO166" t="str">
        <f>IF(CAPTURA!CT166="","",IFERROR(IF(INDEX(CODIFICACION!$E$2:$E$500,MATCH("D9.34|"&amp;CAPTURA!CT166,CODIFICACION!$F$2:$F$500,0))="sin dato","",INDEX(CODIFICACION!$E$2:$E$500,MATCH("D9.34|"&amp;CAPTURA!CT166,CODIFICACION!$F$2:$F$500,0))),"⚠"))</f>
        <v/>
      </c>
      <c r="BP166" t="str">
        <f>IF(CAPTURA!CU166="","",IFERROR(IF(INDEX(CODIFICACION!$E$2:$E$500,MATCH("D9.35|"&amp;CAPTURA!CU166,CODIFICACION!$F$2:$F$500,0))="sin dato","",INDEX(CODIFICACION!$E$2:$E$500,MATCH("D9.35|"&amp;CAPTURA!CU166,CODIFICACION!$F$2:$F$500,0))),"⚠"))</f>
        <v/>
      </c>
      <c r="BQ166" t="str">
        <f>IF(CAPTURA!CV166="","",IFERROR(IF(INDEX(CODIFICACION!$E$2:$E$500,MATCH("D10.36|"&amp;CAPTURA!CV166,CODIFICACION!$F$2:$F$500,0))="sin dato","",INDEX(CODIFICACION!$E$2:$E$500,MATCH("D10.36|"&amp;CAPTURA!CV166,CODIFICACION!$F$2:$F$500,0))),"⚠"))</f>
        <v/>
      </c>
      <c r="BR166" t="str">
        <f>IF(CAPTURA!CW166="","",IFERROR(IF(INDEX(CODIFICACION!$E$2:$E$500,MATCH("D10.37|"&amp;CAPTURA!CW166,CODIFICACION!$F$2:$F$500,0))="sin dato","",INDEX(CODIFICACION!$E$2:$E$500,MATCH("D10.37|"&amp;CAPTURA!CW166,CODIFICACION!$F$2:$F$500,0))),"⚠"))</f>
        <v/>
      </c>
      <c r="BS166" t="str">
        <f>IF(CAPTURA!CX166="","",IFERROR(IF(INDEX(CODIFICACION!$E$2:$E$500,MATCH("D10.36a|"&amp;CAPTURA!CX166,CODIFICACION!$F$2:$F$500,0))="sin dato","",INDEX(CODIFICACION!$E$2:$E$500,MATCH("D10.36a|"&amp;CAPTURA!CX166,CODIFICACION!$F$2:$F$500,0))),"⚠"))</f>
        <v/>
      </c>
      <c r="BT166" t="str">
        <f>IF(CAPTURA!CY166="","",IF(ISNUMBER(SEARCH("Ninguno",CAPTURA!CY166)),0,MIN(100,ROUND((LEN(CAPTURA!CY166)-LEN(SUBSTITUTE(CAPTURA!CY166,";",""))+1)/6*100,1))))</f>
        <v/>
      </c>
      <c r="BU166" t="str">
        <f>IF(CAPTURA!DA166="","",IFERROR(IF(INDEX(CODIFICACION!$E$2:$E$500,MATCH("D11.39a|"&amp;CAPTURA!DA166,CODIFICACION!$F$2:$F$500,0))="sin dato","",INDEX(CODIFICACION!$E$2:$E$500,MATCH("D11.39a|"&amp;CAPTURA!DA166,CODIFICACION!$F$2:$F$500,0))),"⚠"))</f>
        <v/>
      </c>
      <c r="BV166" t="str">
        <f>IF(CAPTURA!DB166="","",IFERROR(IF(INDEX(CODIFICACION!$E$2:$E$500,MATCH("D12.42|"&amp;CAPTURA!DB166,CODIFICACION!$F$2:$F$500,0))="sin dato","",INDEX(CODIFICACION!$E$2:$E$500,MATCH("D12.42|"&amp;CAPTURA!DB166,CODIFICACION!$F$2:$F$500,0))),"⚠"))</f>
        <v/>
      </c>
      <c r="BW166" t="str">
        <f>IF(CAPTURA!DC166="","",IFERROR(IF(INDEX(CODIFICACION!$E$2:$E$500,MATCH("D13.45|"&amp;CAPTURA!DC166,CODIFICACION!$F$2:$F$500,0))="sin dato","",INDEX(CODIFICACION!$E$2:$E$500,MATCH("D13.45|"&amp;CAPTURA!DC166,CODIFICACION!$F$2:$F$500,0))),"⚠"))</f>
        <v/>
      </c>
      <c r="BX166" t="str">
        <f>IF(CAPTURA!DD166="","",IFERROR(IF(INDEX(CODIFICACION!$E$2:$E$500,MATCH("D14.51|"&amp;CAPTURA!DD166,CODIFICACION!$F$2:$F$500,0))="sin dato","",INDEX(CODIFICACION!$E$2:$E$500,MATCH("D14.51|"&amp;CAPTURA!DD166,CODIFICACION!$F$2:$F$500,0))),"⚠"))</f>
        <v/>
      </c>
      <c r="BY166" t="str">
        <f>IF(CAPTURA!DE166="","",IFERROR(IF(INDEX(CODIFICACION!$E$2:$E$500,MATCH("D15.58|"&amp;CAPTURA!DE166,CODIFICACION!$F$2:$F$500,0))="sin dato","",INDEX(CODIFICACION!$E$2:$E$500,MATCH("D15.58|"&amp;CAPTURA!DE166,CODIFICACION!$F$2:$F$500,0))),"⚠"))</f>
        <v/>
      </c>
      <c r="BZ166" t="str">
        <f>IF(CAPTURA!DF166="","",IFERROR(IF(INDEX(CODIFICACION!$E$2:$E$500,MATCH("PP1|"&amp;CAPTURA!DF166,CODIFICACION!$F$2:$F$500,0))="sin dato","",INDEX(CODIFICACION!$E$2:$E$500,MATCH("PP1|"&amp;CAPTURA!DF166,CODIFICACION!$F$2:$F$500,0))),"⚠"))</f>
        <v/>
      </c>
      <c r="CA166" t="str">
        <f>IF(CAPTURA!DG166="","",IFERROR(IF(INDEX(CODIFICACION!$E$2:$E$500,MATCH("PP2|"&amp;CAPTURA!DG166,CODIFICACION!$F$2:$F$500,0))="sin dato","",INDEX(CODIFICACION!$E$2:$E$500,MATCH("PP2|"&amp;CAPTURA!DG166,CODIFICACION!$F$2:$F$500,0))),"⚠"))</f>
        <v/>
      </c>
      <c r="CB166" t="str">
        <f t="shared" si="55"/>
        <v/>
      </c>
      <c r="CC166" t="str">
        <f t="shared" si="56"/>
        <v/>
      </c>
      <c r="CD166" t="str">
        <f t="shared" si="57"/>
        <v/>
      </c>
      <c r="CE166" t="str">
        <f t="shared" si="58"/>
        <v/>
      </c>
      <c r="CF166" t="str">
        <f t="shared" si="59"/>
        <v/>
      </c>
      <c r="CG166" t="str">
        <f t="shared" si="60"/>
        <v/>
      </c>
      <c r="CH166" t="str">
        <f t="shared" si="61"/>
        <v/>
      </c>
      <c r="CI166" t="str">
        <f t="shared" si="62"/>
        <v/>
      </c>
      <c r="CJ166" t="str">
        <f t="shared" si="63"/>
        <v/>
      </c>
      <c r="CK166" t="str">
        <f t="shared" si="64"/>
        <v/>
      </c>
      <c r="CL166" t="str">
        <f t="shared" si="65"/>
        <v/>
      </c>
    </row>
    <row r="167" spans="1:90" x14ac:dyDescent="0.3">
      <c r="A167">
        <f>CAPTURA!A167</f>
        <v>20608294512</v>
      </c>
      <c r="B167">
        <f>CAPTURA!C167</f>
        <v>0</v>
      </c>
      <c r="C167" t="str">
        <f>IF(CAPTURA!M167="","",ROUND((ISNUMBER(SEARCH("Alemania",CAPTURA!M167))+ISNUMBER(SEARCH("Bélgica",CAPTURA!M167))+ISNUMBER(SEARCH("Países Bajos",CAPTURA!M167))+ISNUMBER(SEARCH("Francia",CAPTURA!M167))+ISNUMBER(SEARCH("Italia",CAPTURA!M167))+ISNUMBER(SEARCH("España",CAPTURA!M167))+ISNUMBER(SEARCH("Suecia",CAPTURA!M167))+ISNUMBER(SEARCH("Dinamarca",CAPTURA!M167)))/((LEN(CAPTURA!M167)-LEN(SUBSTITUTE(CAPTURA!M167,";","")))+1)*100,1))</f>
        <v/>
      </c>
      <c r="D167" t="str">
        <f>IF(CAPTURA!AE167="","",IFERROR(IF(INDEX(CODIFICACION!$E$2:$E$500,MATCH("P8|"&amp;CAPTURA!AE167,CODIFICACION!$F$2:$F$500,0))="sin dato","",INDEX(CODIFICACION!$E$2:$E$500,MATCH("P8|"&amp;CAPTURA!AE167,CODIFICACION!$F$2:$F$500,0))),"⚠"))</f>
        <v/>
      </c>
      <c r="E167" t="str">
        <f>IF(CAPTURA!AG167="","",IFERROR(IF(INDEX(CODIFICACION!$E$2:$E$500,MATCH("P10|"&amp;CAPTURA!AG167,CODIFICACION!$F$2:$F$500,0))="sin dato","",INDEX(CODIFICACION!$E$2:$E$500,MATCH("P10|"&amp;CAPTURA!AG167,CODIFICACION!$F$2:$F$500,0))),"⚠"))</f>
        <v/>
      </c>
      <c r="F167" t="str">
        <f>IF(CAPTURA!AJ167="","",IFERROR(IF(INDEX(CODIFICACION!$E$2:$E$500,MATCH("P13|"&amp;CAPTURA!AJ167,CODIFICACION!$F$2:$F$500,0))="sin dato","",INDEX(CODIFICACION!$E$2:$E$500,MATCH("P13|"&amp;CAPTURA!AJ167,CODIFICACION!$F$2:$F$500,0))),"⚠"))</f>
        <v/>
      </c>
      <c r="G167" t="str">
        <f>IF(CAPTURA!AK167="","",IFERROR(IF(INDEX(CODIFICACION!$E$2:$E$500,MATCH("P14|"&amp;CAPTURA!AK167,CODIFICACION!$F$2:$F$500,0))="sin dato","",INDEX(CODIFICACION!$E$2:$E$500,MATCH("P14|"&amp;CAPTURA!AK167,CODIFICACION!$F$2:$F$500,0))),"⚠"))</f>
        <v/>
      </c>
      <c r="H167" t="str">
        <f>IF(CAPTURA!AL167="","",IFERROR(IF(INDEX(CODIFICACION!$E$2:$E$500,MATCH("D1.1|"&amp;CAPTURA!AL167,CODIFICACION!$F$2:$F$500,0))="sin dato","",INDEX(CODIFICACION!$E$2:$E$500,MATCH("D1.1|"&amp;CAPTURA!AL167,CODIFICACION!$F$2:$F$500,0))),"⚠"))</f>
        <v/>
      </c>
      <c r="I167" t="str">
        <f>IF(CAPTURA!AN167="","",IFERROR(IF(INDEX(CODIFICACION!$E$2:$E$500,MATCH("D1.3|"&amp;CAPTURA!AN167,CODIFICACION!$F$2:$F$500,0))="sin dato","",INDEX(CODIFICACION!$E$2:$E$500,MATCH("D1.3|"&amp;CAPTURA!AN167,CODIFICACION!$F$2:$F$500,0))),"⚠"))</f>
        <v/>
      </c>
      <c r="J167" t="str">
        <f>IF(CAPTURA!AO167="","",IFERROR(IF(INDEX(CODIFICACION!$E$2:$E$500,MATCH("D1.4|"&amp;CAPTURA!AO167,CODIFICACION!$F$2:$F$500,0))="sin dato","",INDEX(CODIFICACION!$E$2:$E$500,MATCH("D1.4|"&amp;CAPTURA!AO167,CODIFICACION!$F$2:$F$500,0))),"⚠"))</f>
        <v/>
      </c>
      <c r="K167" t="str">
        <f>IF(CAPTURA!AP167="","",IFERROR(IF(INDEX(CODIFICACION!$E$2:$E$500,MATCH("D1.3a|"&amp;CAPTURA!AP167,CODIFICACION!$F$2:$F$500,0))="sin dato","",INDEX(CODIFICACION!$E$2:$E$500,MATCH("D1.3a|"&amp;CAPTURA!AP167,CODIFICACION!$F$2:$F$500,0))),"⚠"))</f>
        <v/>
      </c>
      <c r="L167" t="str">
        <f>IF(CAPTURA!AQ167="","",IF(AND(ISNUMBER(CAPTURA!AQ167),CAPTURA!AQ167&gt;=0,CAPTURA!AQ167&lt;=4),CAPTURA!AQ167*25,"⚠"))</f>
        <v/>
      </c>
      <c r="M167" t="str">
        <f>IF(CAPTURA!AR167="","",IF(ISNUMBER(CAPTURA!AR167),MAX(0,MIN(100,CAPTURA!AR167)),"⚠"))</f>
        <v/>
      </c>
      <c r="N167" t="str">
        <f>IF(CAPTURA!AS167="","",IF(AND(ISNUMBER(CAPTURA!AS167),CAPTURA!AS167&gt;=0,CAPTURA!AS167&lt;=4),CAPTURA!AS167*25,"⚠"))</f>
        <v/>
      </c>
      <c r="O167" t="str">
        <f>IF(CAPTURA!AT167="","",IFERROR(IF(INDEX(CODIFICACION!$E$2:$E$500,MATCH("D2.8|"&amp;CAPTURA!AT167,CODIFICACION!$F$2:$F$500,0))="sin dato","",INDEX(CODIFICACION!$E$2:$E$500,MATCH("D2.8|"&amp;CAPTURA!AT167,CODIFICACION!$F$2:$F$500,0))),"⚠"))</f>
        <v/>
      </c>
      <c r="P167" t="str">
        <f>IF(CAPTURA!AU167="","",IFERROR(IF(INDEX(CODIFICACION!$E$2:$E$500,MATCH("D2.9|"&amp;CAPTURA!AU167,CODIFICACION!$F$2:$F$500,0))="sin dato","",INDEX(CODIFICACION!$E$2:$E$500,MATCH("D2.9|"&amp;CAPTURA!AU167,CODIFICACION!$F$2:$F$500,0))),"⚠"))</f>
        <v/>
      </c>
      <c r="Q167" t="str">
        <f>IF(CAPTURA!AV167="","",IFERROR(IF(INDEX(CODIFICACION!$E$2:$E$500,MATCH("D2.10|"&amp;CAPTURA!AV167,CODIFICACION!$F$2:$F$500,0))="sin dato","",INDEX(CODIFICACION!$E$2:$E$500,MATCH("D2.10|"&amp;CAPTURA!AV167,CODIFICACION!$F$2:$F$500,0))),"⚠"))</f>
        <v/>
      </c>
      <c r="R167" t="str">
        <f>IF(CAPTURA!AW167="","",IFERROR(IF(INDEX(CODIFICACION!$E$2:$E$500,MATCH("D2.5a|"&amp;CAPTURA!AW167,CODIFICACION!$F$2:$F$500,0))="sin dato","",INDEX(CODIFICACION!$E$2:$E$500,MATCH("D2.5a|"&amp;CAPTURA!AW167,CODIFICACION!$F$2:$F$500,0))),"⚠"))</f>
        <v/>
      </c>
      <c r="S167" t="str">
        <f>IF(CAPTURA!AX167="","",IFERROR(IF(INDEX(CODIFICACION!$E$2:$E$500,MATCH("D2.5b|"&amp;CAPTURA!AX167,CODIFICACION!$F$2:$F$500,0))="sin dato","",INDEX(CODIFICACION!$E$2:$E$500,MATCH("D2.5b|"&amp;CAPTURA!AX167,CODIFICACION!$F$2:$F$500,0))),"⚠"))</f>
        <v/>
      </c>
      <c r="T167" t="str">
        <f>IF(CAPTURA!AY167="","",IF(ISNUMBER(CAPTURA!AY167),MAX(0,MIN(100,CAPTURA!AY167)),"⚠"))</f>
        <v/>
      </c>
      <c r="U167" t="str">
        <f>IF(CAPTURA!AZ167="","",IFERROR(IF(INDEX(CODIFICACION!$E$2:$E$500,MATCH("D3.12|"&amp;CAPTURA!AZ167,CODIFICACION!$F$2:$F$500,0))="sin dato","",INDEX(CODIFICACION!$E$2:$E$500,MATCH("D3.12|"&amp;CAPTURA!AZ167,CODIFICACION!$F$2:$F$500,0))),"⚠"))</f>
        <v/>
      </c>
      <c r="V167" t="str">
        <f>IF(CAPTURA!BA167="","",IF(AND(ISNUMBER(CAPTURA!BA167),CAPTURA!BA167&gt;=0,CAPTURA!BA167&lt;=4),CAPTURA!BA167*25,"⚠"))</f>
        <v/>
      </c>
      <c r="W167" t="str">
        <f>IF(CAPTURA!BB167="","",IFERROR(IF(INDEX(CODIFICACION!$E$2:$E$500,MATCH("D3.14|"&amp;CAPTURA!BB167,CODIFICACION!$F$2:$F$500,0))="sin dato","",INDEX(CODIFICACION!$E$2:$E$500,MATCH("D3.14|"&amp;CAPTURA!BB167,CODIFICACION!$F$2:$F$500,0))),"⚠"))</f>
        <v/>
      </c>
      <c r="X167" t="str">
        <f>IF(CAPTURA!BC167="","",IFERROR(IF(INDEX(CODIFICACION!$E$2:$E$500,MATCH("D3.14a|"&amp;CAPTURA!BC167,CODIFICACION!$F$2:$F$500,0))="sin dato","",INDEX(CODIFICACION!$E$2:$E$500,MATCH("D3.14a|"&amp;CAPTURA!BC167,CODIFICACION!$F$2:$F$500,0))),"⚠"))</f>
        <v/>
      </c>
      <c r="Y167" t="str">
        <f>IF(CAPTURA!BD167="","",IFERROR(IF(INDEX(CODIFICACION!$E$2:$E$500,MATCH("D3.14b|"&amp;CAPTURA!BD167,CODIFICACION!$F$2:$F$500,0))="sin dato","",INDEX(CODIFICACION!$E$2:$E$500,MATCH("D3.14b|"&amp;CAPTURA!BD167,CODIFICACION!$F$2:$F$500,0))),"⚠"))</f>
        <v/>
      </c>
      <c r="Z167" t="str">
        <f>IF(CAPTURA!BE167="","",IFERROR(IF(INDEX(CODIFICACION!$E$2:$E$500,MATCH("D3.14c|"&amp;CAPTURA!BE167,CODIFICACION!$F$2:$F$500,0))="sin dato","",INDEX(CODIFICACION!$E$2:$E$500,MATCH("D3.14c|"&amp;CAPTURA!BE167,CODIFICACION!$F$2:$F$500,0))),"⚠"))</f>
        <v/>
      </c>
      <c r="AA167" t="str">
        <f>IF(CAPTURA!BF167="","",IFERROR(IF(INDEX(CODIFICACION!$E$2:$E$500,MATCH("D3.14d|"&amp;CAPTURA!BF167,CODIFICACION!$F$2:$F$500,0))="sin dato","",INDEX(CODIFICACION!$E$2:$E$500,MATCH("D3.14d|"&amp;CAPTURA!BF167,CODIFICACION!$F$2:$F$500,0))),"⚠"))</f>
        <v/>
      </c>
      <c r="AB167" t="str">
        <f>IF(CAPTURA!BG167="","",IFERROR(IF(INDEX(CODIFICACION!$E$2:$E$500,MATCH("D3.14e|"&amp;CAPTURA!BG167,CODIFICACION!$F$2:$F$500,0))="sin dato","",INDEX(CODIFICACION!$E$2:$E$500,MATCH("D3.14e|"&amp;CAPTURA!BG167,CODIFICACION!$F$2:$F$500,0))),"⚠"))</f>
        <v/>
      </c>
      <c r="AC167" t="str">
        <f>IF(CAPTURA!BH167="","",IFERROR(IF(INDEX(CODIFICACION!$E$2:$E$500,MATCH("D3.14f|"&amp;CAPTURA!BH167,CODIFICACION!$F$2:$F$500,0))="sin dato","",INDEX(CODIFICACION!$E$2:$E$500,MATCH("D3.14f|"&amp;CAPTURA!BH167,CODIFICACION!$F$2:$F$500,0))),"⚠"))</f>
        <v/>
      </c>
      <c r="AD167" t="str">
        <f>IF(CAPTURA!BI167="","",IFERROR(IF(INDEX(CODIFICACION!$E$2:$E$500,MATCH("D3.14g|"&amp;CAPTURA!BI167,CODIFICACION!$F$2:$F$500,0))="sin dato","",INDEX(CODIFICACION!$E$2:$E$500,MATCH("D3.14g|"&amp;CAPTURA!BI167,CODIFICACION!$F$2:$F$500,0))),"⚠"))</f>
        <v/>
      </c>
      <c r="AE167" t="str">
        <f>IF(CAPTURA!BJ167="","",IFERROR(IF(INDEX(CODIFICACION!$E$2:$E$500,MATCH("D3.14h|"&amp;CAPTURA!BJ167,CODIFICACION!$F$2:$F$500,0))="sin dato","",INDEX(CODIFICACION!$E$2:$E$500,MATCH("D3.14h|"&amp;CAPTURA!BJ167,CODIFICACION!$F$2:$F$500,0))),"⚠"))</f>
        <v/>
      </c>
      <c r="AF167" t="str">
        <f>IF(CAPTURA!BK167="","",IFERROR(IF(INDEX(CODIFICACION!$E$2:$E$500,MATCH("D3.14i|"&amp;CAPTURA!BK167,CODIFICACION!$F$2:$F$500,0))="sin dato","",INDEX(CODIFICACION!$E$2:$E$500,MATCH("D3.14i|"&amp;CAPTURA!BK167,CODIFICACION!$F$2:$F$500,0))),"⚠"))</f>
        <v/>
      </c>
      <c r="AG167" t="str">
        <f>IF(CAPTURA!BL167="","",IFERROR(IF(INDEX(CODIFICACION!$E$2:$E$500,MATCH("D4.15|"&amp;CAPTURA!BL167,CODIFICACION!$F$2:$F$500,0))="sin dato","",INDEX(CODIFICACION!$E$2:$E$500,MATCH("D4.15|"&amp;CAPTURA!BL167,CODIFICACION!$F$2:$F$500,0))),"⚠"))</f>
        <v/>
      </c>
      <c r="AH167" t="str">
        <f>IF(CAPTURA!BM167="","",IF(AND(ISNUMBER(CAPTURA!BM167),CAPTURA!BM167&gt;=0,CAPTURA!BM167&lt;=4),CAPTURA!BM167*25,"⚠"))</f>
        <v/>
      </c>
      <c r="AI167" t="str">
        <f>IF(CAPTURA!BN167="","",IFERROR(IF(INDEX(CODIFICACION!$E$2:$E$500,MATCH("D4.17|"&amp;CAPTURA!BN167,CODIFICACION!$F$2:$F$500,0))="sin dato","",INDEX(CODIFICACION!$E$2:$E$500,MATCH("D4.17|"&amp;CAPTURA!BN167,CODIFICACION!$F$2:$F$500,0))),"⚠"))</f>
        <v/>
      </c>
      <c r="AJ167" t="str">
        <f>IF(CAPTURA!BO167="","",IFERROR(IF(INDEX(CODIFICACION!$E$2:$E$500,MATCH("D4.15a|"&amp;CAPTURA!BO167,CODIFICACION!$F$2:$F$500,0))="sin dato","",INDEX(CODIFICACION!$E$2:$E$500,MATCH("D4.15a|"&amp;CAPTURA!BO167,CODIFICACION!$F$2:$F$500,0))),"⚠"))</f>
        <v/>
      </c>
      <c r="AK167" t="str">
        <f>IF(CAPTURA!BP167="","",IF(AND(ISNUMBER(CAPTURA!BP167),CAPTURA!BP167&gt;=0,CAPTURA!BP167&lt;=4),CAPTURA!BP167*25,"⚠"))</f>
        <v/>
      </c>
      <c r="AL167" t="str">
        <f>IF(CAPTURA!BQ167="","",IF(AND(ISNUMBER(CAPTURA!BQ167),CAPTURA!BQ167&gt;=0,CAPTURA!BQ167&lt;=4),CAPTURA!BQ167*25,"⚠"))</f>
        <v/>
      </c>
      <c r="AM167" t="str">
        <f>IF(CAPTURA!BR167="","",IFERROR(IF(INDEX(CODIFICACION!$E$2:$E$500,MATCH("D5.18b|"&amp;CAPTURA!BR167,CODIFICACION!$F$2:$F$500,0))="sin dato","",INDEX(CODIFICACION!$E$2:$E$500,MATCH("D5.18b|"&amp;CAPTURA!BR167,CODIFICACION!$F$2:$F$500,0))),"⚠"))</f>
        <v/>
      </c>
      <c r="AN167" t="str">
        <f>IF(CAPTURA!BS167="","",IFERROR(IF(INDEX(CODIFICACION!$E$2:$E$500,MATCH("D5.19|"&amp;CAPTURA!BS167,CODIFICACION!$F$2:$F$500,0))="sin dato","",INDEX(CODIFICACION!$E$2:$E$500,MATCH("D5.19|"&amp;CAPTURA!BS167,CODIFICACION!$F$2:$F$500,0))),"⚠"))</f>
        <v/>
      </c>
      <c r="AO167" t="str">
        <f>IF(CAPTURA!BT167="","",MIN(100,ROUND((LEN(CAPTURA!BT167)-LEN(SUBSTITUTE(CAPTURA!BT167,";",""))+1)/7*100,1)))</f>
        <v/>
      </c>
      <c r="AP167" t="str">
        <f>IF(CAPTURA!BU167="","",IFERROR(IF(INDEX(CODIFICACION!$E$2:$E$500,MATCH("D5.20|"&amp;CAPTURA!BU167,CODIFICACION!$F$2:$F$500,0))="sin dato","",INDEX(CODIFICACION!$E$2:$E$500,MATCH("D5.20|"&amp;CAPTURA!BU167,CODIFICACION!$F$2:$F$500,0))),"⚠"))</f>
        <v/>
      </c>
      <c r="AQ167" t="str">
        <f>IF(CAPTURA!BV167="","",IFERROR(IF(INDEX(CODIFICACION!$E$2:$E$500,MATCH("D5.21|"&amp;CAPTURA!BV167,CODIFICACION!$F$2:$F$500,0))="sin dato","",INDEX(CODIFICACION!$E$2:$E$500,MATCH("D5.21|"&amp;CAPTURA!BV167,CODIFICACION!$F$2:$F$500,0))),"⚠"))</f>
        <v/>
      </c>
      <c r="AR167" t="str">
        <f>IF(CAPTURA!BW167="","",IFERROR(IF(INDEX(CODIFICACION!$E$2:$E$500,MATCH("D5.21a|"&amp;CAPTURA!BW167,CODIFICACION!$F$2:$F$500,0))="sin dato","",INDEX(CODIFICACION!$E$2:$E$500,MATCH("D5.21a|"&amp;CAPTURA!BW167,CODIFICACION!$F$2:$F$500,0))),"⚠"))</f>
        <v/>
      </c>
      <c r="AS167" t="str">
        <f>IF(CAPTURA!BX167="","",IFERROR(IF(INDEX(CODIFICACION!$E$2:$E$500,MATCH("D5.21b|"&amp;CAPTURA!BX167,CODIFICACION!$F$2:$F$500,0))="sin dato","",INDEX(CODIFICACION!$E$2:$E$500,MATCH("D5.21b|"&amp;CAPTURA!BX167,CODIFICACION!$F$2:$F$500,0))),"⚠"))</f>
        <v/>
      </c>
      <c r="AT167" t="str">
        <f>IF(CAPTURA!BY167="","",IFERROR(IF(INDEX(CODIFICACION!$E$2:$E$500,MATCH("D6.22|"&amp;CAPTURA!BY167,CODIFICACION!$F$2:$F$500,0))="sin dato","",INDEX(CODIFICACION!$E$2:$E$500,MATCH("D6.22|"&amp;CAPTURA!BY167,CODIFICACION!$F$2:$F$500,0))),"⚠"))</f>
        <v/>
      </c>
      <c r="AU167" t="str">
        <f>IF(CAPTURA!BZ167="","",IFERROR(IF(INDEX(CODIFICACION!$E$2:$E$500,MATCH("D6.22a|"&amp;CAPTURA!BZ167,CODIFICACION!$F$2:$F$500,0))="sin dato","",INDEX(CODIFICACION!$E$2:$E$500,MATCH("D6.22a|"&amp;CAPTURA!BZ167,CODIFICACION!$F$2:$F$500,0))),"⚠"))</f>
        <v/>
      </c>
      <c r="AV167" t="str">
        <f>IF(CAPTURA!CA167="","",IFERROR(IF(INDEX(CODIFICACION!$E$2:$E$500,MATCH("D6.22b|"&amp;CAPTURA!CA167,CODIFICACION!$F$2:$F$500,0))="sin dato","",INDEX(CODIFICACION!$E$2:$E$500,MATCH("D6.22b|"&amp;CAPTURA!CA167,CODIFICACION!$F$2:$F$500,0))),"⚠"))</f>
        <v/>
      </c>
      <c r="AW167" t="str">
        <f>IF(CAPTURA!CB167="","",IFERROR(IF(INDEX(CODIFICACION!$E$2:$E$500,MATCH("D6.23|"&amp;CAPTURA!CB167,CODIFICACION!$F$2:$F$500,0))="sin dato","",INDEX(CODIFICACION!$E$2:$E$500,MATCH("D6.23|"&amp;CAPTURA!CB167,CODIFICACION!$F$2:$F$500,0))),"⚠"))</f>
        <v/>
      </c>
      <c r="AX167" t="str">
        <f>IF(CAPTURA!CC167="","",IFERROR(IF(INDEX(CODIFICACION!$E$2:$E$500,MATCH("D6.24|"&amp;CAPTURA!CC167,CODIFICACION!$F$2:$F$500,0))="sin dato","",INDEX(CODIFICACION!$E$2:$E$500,MATCH("D6.24|"&amp;CAPTURA!CC167,CODIFICACION!$F$2:$F$500,0))),"⚠"))</f>
        <v/>
      </c>
      <c r="AY167" t="str">
        <f>IF(CAPTURA!CD167="","",IFERROR(IF(INDEX(CODIFICACION!$E$2:$E$500,MATCH("D6.25|"&amp;CAPTURA!CD167,CODIFICACION!$F$2:$F$500,0))="sin dato","",INDEX(CODIFICACION!$E$2:$E$500,MATCH("D6.25|"&amp;CAPTURA!CD167,CODIFICACION!$F$2:$F$500,0))),"⚠"))</f>
        <v/>
      </c>
      <c r="AZ167" t="str">
        <f>IF(CAPTURA!CE167="","",IFERROR(IF(INDEX(CODIFICACION!$E$2:$E$500,MATCH("D6.25a|"&amp;CAPTURA!CE167,CODIFICACION!$F$2:$F$500,0))="sin dato","",INDEX(CODIFICACION!$E$2:$E$500,MATCH("D6.25a|"&amp;CAPTURA!CE167,CODIFICACION!$F$2:$F$500,0))),"⚠"))</f>
        <v/>
      </c>
      <c r="BA167" t="str">
        <f>IF(CAPTURA!CF167="","",IFERROR(IF(INDEX(CODIFICACION!$E$2:$E$500,MATCH("D6.25b|"&amp;CAPTURA!CF167,CODIFICACION!$F$2:$F$500,0))="sin dato","",INDEX(CODIFICACION!$E$2:$E$500,MATCH("D6.25b|"&amp;CAPTURA!CF167,CODIFICACION!$F$2:$F$500,0))),"⚠"))</f>
        <v/>
      </c>
      <c r="BB167" t="str">
        <f>IF(CAPTURA!CG167="","",IFERROR(IF(INDEX(CODIFICACION!$E$2:$E$500,MATCH("D6.22c|"&amp;CAPTURA!CG167,CODIFICACION!$F$2:$F$500,0))="sin dato","",INDEX(CODIFICACION!$E$2:$E$500,MATCH("D6.22c|"&amp;CAPTURA!CG167,CODIFICACION!$F$2:$F$500,0))),"⚠"))</f>
        <v/>
      </c>
      <c r="BC167" t="str">
        <f>IF(CAPTURA!CH167="","",IFERROR(IF(INDEX(CODIFICACION!$E$2:$E$500,MATCH("D7.26|"&amp;CAPTURA!CH167,CODIFICACION!$F$2:$F$500,0))="sin dato","",INDEX(CODIFICACION!$E$2:$E$500,MATCH("D7.26|"&amp;CAPTURA!CH167,CODIFICACION!$F$2:$F$500,0))),"⚠"))</f>
        <v/>
      </c>
      <c r="BD167" t="str">
        <f>IF(CAPTURA!CI167="","",IFERROR(IF(INDEX(CODIFICACION!$E$2:$E$500,MATCH("D7.27|"&amp;CAPTURA!CI167,CODIFICACION!$F$2:$F$500,0))="sin dato","",INDEX(CODIFICACION!$E$2:$E$500,MATCH("D7.27|"&amp;CAPTURA!CI167,CODIFICACION!$F$2:$F$500,0))),"⚠"))</f>
        <v/>
      </c>
      <c r="BE167" t="str">
        <f>IF(CAPTURA!CJ167="","",IFERROR(IF(INDEX(CODIFICACION!$E$2:$E$500,MATCH("D7.28|"&amp;CAPTURA!CJ167,CODIFICACION!$F$2:$F$500,0))="sin dato","",INDEX(CODIFICACION!$E$2:$E$500,MATCH("D7.28|"&amp;CAPTURA!CJ167,CODIFICACION!$F$2:$F$500,0))),"⚠"))</f>
        <v/>
      </c>
      <c r="BF167" t="str">
        <f>IF(CAPTURA!CK167="","",IFERROR(IF(INDEX(CODIFICACION!$E$2:$E$500,MATCH("D7.28b|"&amp;CAPTURA!CK167,CODIFICACION!$F$2:$F$500,0))="sin dato","",INDEX(CODIFICACION!$E$2:$E$500,MATCH("D7.28b|"&amp;CAPTURA!CK167,CODIFICACION!$F$2:$F$500,0))),"⚠"))</f>
        <v/>
      </c>
      <c r="BG167" t="str">
        <f>IF(CAPTURA!CL167="","",MIN(100,ROUND((LEN(CAPTURA!CL167)-LEN(SUBSTITUTE(CAPTURA!CL167,";",""))+1)/8*100,1)))</f>
        <v/>
      </c>
      <c r="BH167" t="str">
        <f>IF(CAPTURA!CM167="","",IFERROR(IF(INDEX(CODIFICACION!$E$2:$E$500,MATCH("D7.26a|"&amp;CAPTURA!CM167,CODIFICACION!$F$2:$F$500,0))="sin dato","",INDEX(CODIFICACION!$E$2:$E$500,MATCH("D7.26a|"&amp;CAPTURA!CM167,CODIFICACION!$F$2:$F$500,0))),"⚠"))</f>
        <v/>
      </c>
      <c r="BI167" t="str">
        <f>IF(CAPTURA!CN167="","",IFERROR(IF(INDEX(CODIFICACION!$E$2:$E$500,MATCH("D7.26b|"&amp;CAPTURA!CN167,CODIFICACION!$F$2:$F$500,0))="sin dato","",INDEX(CODIFICACION!$E$2:$E$500,MATCH("D7.26b|"&amp;CAPTURA!CN167,CODIFICACION!$F$2:$F$500,0))),"⚠"))</f>
        <v/>
      </c>
      <c r="BJ167" t="str">
        <f>IF(CAPTURA!CO167="","",IF(AND(ISNUMBER(CAPTURA!CO167),CAPTURA!CO167&gt;=0,CAPTURA!CO167&lt;=4),CAPTURA!CO167*25,"⚠"))</f>
        <v/>
      </c>
      <c r="BK167" t="str">
        <f>IF(CAPTURA!CP167="","",IF(ISNUMBER(CAPTURA!CP167),MAX(0,MIN(100,CAPTURA!CP167)),"⚠"))</f>
        <v/>
      </c>
      <c r="BL167" t="str">
        <f>IF(CAPTURA!CQ167="","",IFERROR(IF(INDEX(CODIFICACION!$E$2:$E$500,MATCH("D8.31|"&amp;CAPTURA!CQ167,CODIFICACION!$F$2:$F$500,0))="sin dato","",INDEX(CODIFICACION!$E$2:$E$500,MATCH("D8.31|"&amp;CAPTURA!CQ167,CODIFICACION!$F$2:$F$500,0))),"⚠"))</f>
        <v/>
      </c>
      <c r="BM167" t="str">
        <f>IF(CAPTURA!CR167="","",IFERROR(IF(INDEX(CODIFICACION!$E$2:$E$500,MATCH("D8.32|"&amp;CAPTURA!CR167,CODIFICACION!$F$2:$F$500,0))="sin dato","",INDEX(CODIFICACION!$E$2:$E$500,MATCH("D8.32|"&amp;CAPTURA!CR167,CODIFICACION!$F$2:$F$500,0))),"⚠"))</f>
        <v/>
      </c>
      <c r="BN167" t="str">
        <f>IF(CAPTURA!CS167="","",IFERROR(IF(INDEX(CODIFICACION!$E$2:$E$500,MATCH("D9.33|"&amp;CAPTURA!CS167,CODIFICACION!$F$2:$F$500,0))="sin dato","",INDEX(CODIFICACION!$E$2:$E$500,MATCH("D9.33|"&amp;CAPTURA!CS167,CODIFICACION!$F$2:$F$500,0))),"⚠"))</f>
        <v/>
      </c>
      <c r="BO167" t="str">
        <f>IF(CAPTURA!CT167="","",IFERROR(IF(INDEX(CODIFICACION!$E$2:$E$500,MATCH("D9.34|"&amp;CAPTURA!CT167,CODIFICACION!$F$2:$F$500,0))="sin dato","",INDEX(CODIFICACION!$E$2:$E$500,MATCH("D9.34|"&amp;CAPTURA!CT167,CODIFICACION!$F$2:$F$500,0))),"⚠"))</f>
        <v/>
      </c>
      <c r="BP167" t="str">
        <f>IF(CAPTURA!CU167="","",IFERROR(IF(INDEX(CODIFICACION!$E$2:$E$500,MATCH("D9.35|"&amp;CAPTURA!CU167,CODIFICACION!$F$2:$F$500,0))="sin dato","",INDEX(CODIFICACION!$E$2:$E$500,MATCH("D9.35|"&amp;CAPTURA!CU167,CODIFICACION!$F$2:$F$500,0))),"⚠"))</f>
        <v/>
      </c>
      <c r="BQ167" t="str">
        <f>IF(CAPTURA!CV167="","",IFERROR(IF(INDEX(CODIFICACION!$E$2:$E$500,MATCH("D10.36|"&amp;CAPTURA!CV167,CODIFICACION!$F$2:$F$500,0))="sin dato","",INDEX(CODIFICACION!$E$2:$E$500,MATCH("D10.36|"&amp;CAPTURA!CV167,CODIFICACION!$F$2:$F$500,0))),"⚠"))</f>
        <v/>
      </c>
      <c r="BR167" t="str">
        <f>IF(CAPTURA!CW167="","",IFERROR(IF(INDEX(CODIFICACION!$E$2:$E$500,MATCH("D10.37|"&amp;CAPTURA!CW167,CODIFICACION!$F$2:$F$500,0))="sin dato","",INDEX(CODIFICACION!$E$2:$E$500,MATCH("D10.37|"&amp;CAPTURA!CW167,CODIFICACION!$F$2:$F$500,0))),"⚠"))</f>
        <v/>
      </c>
      <c r="BS167" t="str">
        <f>IF(CAPTURA!CX167="","",IFERROR(IF(INDEX(CODIFICACION!$E$2:$E$500,MATCH("D10.36a|"&amp;CAPTURA!CX167,CODIFICACION!$F$2:$F$500,0))="sin dato","",INDEX(CODIFICACION!$E$2:$E$500,MATCH("D10.36a|"&amp;CAPTURA!CX167,CODIFICACION!$F$2:$F$500,0))),"⚠"))</f>
        <v/>
      </c>
      <c r="BT167" t="str">
        <f>IF(CAPTURA!CY167="","",IF(ISNUMBER(SEARCH("Ninguno",CAPTURA!CY167)),0,MIN(100,ROUND((LEN(CAPTURA!CY167)-LEN(SUBSTITUTE(CAPTURA!CY167,";",""))+1)/6*100,1))))</f>
        <v/>
      </c>
      <c r="BU167" t="str">
        <f>IF(CAPTURA!DA167="","",IFERROR(IF(INDEX(CODIFICACION!$E$2:$E$500,MATCH("D11.39a|"&amp;CAPTURA!DA167,CODIFICACION!$F$2:$F$500,0))="sin dato","",INDEX(CODIFICACION!$E$2:$E$500,MATCH("D11.39a|"&amp;CAPTURA!DA167,CODIFICACION!$F$2:$F$500,0))),"⚠"))</f>
        <v/>
      </c>
      <c r="BV167" t="str">
        <f>IF(CAPTURA!DB167="","",IFERROR(IF(INDEX(CODIFICACION!$E$2:$E$500,MATCH("D12.42|"&amp;CAPTURA!DB167,CODIFICACION!$F$2:$F$500,0))="sin dato","",INDEX(CODIFICACION!$E$2:$E$500,MATCH("D12.42|"&amp;CAPTURA!DB167,CODIFICACION!$F$2:$F$500,0))),"⚠"))</f>
        <v/>
      </c>
      <c r="BW167" t="str">
        <f>IF(CAPTURA!DC167="","",IFERROR(IF(INDEX(CODIFICACION!$E$2:$E$500,MATCH("D13.45|"&amp;CAPTURA!DC167,CODIFICACION!$F$2:$F$500,0))="sin dato","",INDEX(CODIFICACION!$E$2:$E$500,MATCH("D13.45|"&amp;CAPTURA!DC167,CODIFICACION!$F$2:$F$500,0))),"⚠"))</f>
        <v/>
      </c>
      <c r="BX167" t="str">
        <f>IF(CAPTURA!DD167="","",IFERROR(IF(INDEX(CODIFICACION!$E$2:$E$500,MATCH("D14.51|"&amp;CAPTURA!DD167,CODIFICACION!$F$2:$F$500,0))="sin dato","",INDEX(CODIFICACION!$E$2:$E$500,MATCH("D14.51|"&amp;CAPTURA!DD167,CODIFICACION!$F$2:$F$500,0))),"⚠"))</f>
        <v/>
      </c>
      <c r="BY167" t="str">
        <f>IF(CAPTURA!DE167="","",IFERROR(IF(INDEX(CODIFICACION!$E$2:$E$500,MATCH("D15.58|"&amp;CAPTURA!DE167,CODIFICACION!$F$2:$F$500,0))="sin dato","",INDEX(CODIFICACION!$E$2:$E$500,MATCH("D15.58|"&amp;CAPTURA!DE167,CODIFICACION!$F$2:$F$500,0))),"⚠"))</f>
        <v/>
      </c>
      <c r="BZ167" t="str">
        <f>IF(CAPTURA!DF167="","",IFERROR(IF(INDEX(CODIFICACION!$E$2:$E$500,MATCH("PP1|"&amp;CAPTURA!DF167,CODIFICACION!$F$2:$F$500,0))="sin dato","",INDEX(CODIFICACION!$E$2:$E$500,MATCH("PP1|"&amp;CAPTURA!DF167,CODIFICACION!$F$2:$F$500,0))),"⚠"))</f>
        <v/>
      </c>
      <c r="CA167" t="str">
        <f>IF(CAPTURA!DG167="","",IFERROR(IF(INDEX(CODIFICACION!$E$2:$E$500,MATCH("PP2|"&amp;CAPTURA!DG167,CODIFICACION!$F$2:$F$500,0))="sin dato","",INDEX(CODIFICACION!$E$2:$E$500,MATCH("PP2|"&amp;CAPTURA!DG167,CODIFICACION!$F$2:$F$500,0))),"⚠"))</f>
        <v/>
      </c>
      <c r="CB167" t="str">
        <f t="shared" si="55"/>
        <v/>
      </c>
      <c r="CC167" t="str">
        <f t="shared" si="56"/>
        <v/>
      </c>
      <c r="CD167" t="str">
        <f t="shared" si="57"/>
        <v/>
      </c>
      <c r="CE167" t="str">
        <f t="shared" si="58"/>
        <v/>
      </c>
      <c r="CF167" t="str">
        <f t="shared" si="59"/>
        <v/>
      </c>
      <c r="CG167" t="str">
        <f t="shared" si="60"/>
        <v/>
      </c>
      <c r="CH167" t="str">
        <f t="shared" si="61"/>
        <v/>
      </c>
      <c r="CI167" t="str">
        <f t="shared" si="62"/>
        <v/>
      </c>
      <c r="CJ167" t="str">
        <f t="shared" si="63"/>
        <v/>
      </c>
      <c r="CK167" t="str">
        <f t="shared" si="64"/>
        <v/>
      </c>
      <c r="CL167" t="str">
        <f t="shared" si="65"/>
        <v/>
      </c>
    </row>
    <row r="168" spans="1:90" x14ac:dyDescent="0.3">
      <c r="A168">
        <f>CAPTURA!A168</f>
        <v>20608478311</v>
      </c>
      <c r="B168">
        <f>CAPTURA!C168</f>
        <v>0</v>
      </c>
      <c r="C168" t="str">
        <f>IF(CAPTURA!M168="","",ROUND((ISNUMBER(SEARCH("Alemania",CAPTURA!M168))+ISNUMBER(SEARCH("Bélgica",CAPTURA!M168))+ISNUMBER(SEARCH("Países Bajos",CAPTURA!M168))+ISNUMBER(SEARCH("Francia",CAPTURA!M168))+ISNUMBER(SEARCH("Italia",CAPTURA!M168))+ISNUMBER(SEARCH("España",CAPTURA!M168))+ISNUMBER(SEARCH("Suecia",CAPTURA!M168))+ISNUMBER(SEARCH("Dinamarca",CAPTURA!M168)))/((LEN(CAPTURA!M168)-LEN(SUBSTITUTE(CAPTURA!M168,";","")))+1)*100,1))</f>
        <v/>
      </c>
      <c r="D168" t="str">
        <f>IF(CAPTURA!AE168="","",IFERROR(IF(INDEX(CODIFICACION!$E$2:$E$500,MATCH("P8|"&amp;CAPTURA!AE168,CODIFICACION!$F$2:$F$500,0))="sin dato","",INDEX(CODIFICACION!$E$2:$E$500,MATCH("P8|"&amp;CAPTURA!AE168,CODIFICACION!$F$2:$F$500,0))),"⚠"))</f>
        <v/>
      </c>
      <c r="E168" t="str">
        <f>IF(CAPTURA!AG168="","",IFERROR(IF(INDEX(CODIFICACION!$E$2:$E$500,MATCH("P10|"&amp;CAPTURA!AG168,CODIFICACION!$F$2:$F$500,0))="sin dato","",INDEX(CODIFICACION!$E$2:$E$500,MATCH("P10|"&amp;CAPTURA!AG168,CODIFICACION!$F$2:$F$500,0))),"⚠"))</f>
        <v/>
      </c>
      <c r="F168" t="str">
        <f>IF(CAPTURA!AJ168="","",IFERROR(IF(INDEX(CODIFICACION!$E$2:$E$500,MATCH("P13|"&amp;CAPTURA!AJ168,CODIFICACION!$F$2:$F$500,0))="sin dato","",INDEX(CODIFICACION!$E$2:$E$500,MATCH("P13|"&amp;CAPTURA!AJ168,CODIFICACION!$F$2:$F$500,0))),"⚠"))</f>
        <v/>
      </c>
      <c r="G168" t="str">
        <f>IF(CAPTURA!AK168="","",IFERROR(IF(INDEX(CODIFICACION!$E$2:$E$500,MATCH("P14|"&amp;CAPTURA!AK168,CODIFICACION!$F$2:$F$500,0))="sin dato","",INDEX(CODIFICACION!$E$2:$E$500,MATCH("P14|"&amp;CAPTURA!AK168,CODIFICACION!$F$2:$F$500,0))),"⚠"))</f>
        <v/>
      </c>
      <c r="H168" t="str">
        <f>IF(CAPTURA!AL168="","",IFERROR(IF(INDEX(CODIFICACION!$E$2:$E$500,MATCH("D1.1|"&amp;CAPTURA!AL168,CODIFICACION!$F$2:$F$500,0))="sin dato","",INDEX(CODIFICACION!$E$2:$E$500,MATCH("D1.1|"&amp;CAPTURA!AL168,CODIFICACION!$F$2:$F$500,0))),"⚠"))</f>
        <v/>
      </c>
      <c r="I168" t="str">
        <f>IF(CAPTURA!AN168="","",IFERROR(IF(INDEX(CODIFICACION!$E$2:$E$500,MATCH("D1.3|"&amp;CAPTURA!AN168,CODIFICACION!$F$2:$F$500,0))="sin dato","",INDEX(CODIFICACION!$E$2:$E$500,MATCH("D1.3|"&amp;CAPTURA!AN168,CODIFICACION!$F$2:$F$500,0))),"⚠"))</f>
        <v/>
      </c>
      <c r="J168" t="str">
        <f>IF(CAPTURA!AO168="","",IFERROR(IF(INDEX(CODIFICACION!$E$2:$E$500,MATCH("D1.4|"&amp;CAPTURA!AO168,CODIFICACION!$F$2:$F$500,0))="sin dato","",INDEX(CODIFICACION!$E$2:$E$500,MATCH("D1.4|"&amp;CAPTURA!AO168,CODIFICACION!$F$2:$F$500,0))),"⚠"))</f>
        <v/>
      </c>
      <c r="K168" t="str">
        <f>IF(CAPTURA!AP168="","",IFERROR(IF(INDEX(CODIFICACION!$E$2:$E$500,MATCH("D1.3a|"&amp;CAPTURA!AP168,CODIFICACION!$F$2:$F$500,0))="sin dato","",INDEX(CODIFICACION!$E$2:$E$500,MATCH("D1.3a|"&amp;CAPTURA!AP168,CODIFICACION!$F$2:$F$500,0))),"⚠"))</f>
        <v/>
      </c>
      <c r="L168" t="str">
        <f>IF(CAPTURA!AQ168="","",IF(AND(ISNUMBER(CAPTURA!AQ168),CAPTURA!AQ168&gt;=0,CAPTURA!AQ168&lt;=4),CAPTURA!AQ168*25,"⚠"))</f>
        <v/>
      </c>
      <c r="M168" t="str">
        <f>IF(CAPTURA!AR168="","",IF(ISNUMBER(CAPTURA!AR168),MAX(0,MIN(100,CAPTURA!AR168)),"⚠"))</f>
        <v/>
      </c>
      <c r="N168" t="str">
        <f>IF(CAPTURA!AS168="","",IF(AND(ISNUMBER(CAPTURA!AS168),CAPTURA!AS168&gt;=0,CAPTURA!AS168&lt;=4),CAPTURA!AS168*25,"⚠"))</f>
        <v/>
      </c>
      <c r="O168" t="str">
        <f>IF(CAPTURA!AT168="","",IFERROR(IF(INDEX(CODIFICACION!$E$2:$E$500,MATCH("D2.8|"&amp;CAPTURA!AT168,CODIFICACION!$F$2:$F$500,0))="sin dato","",INDEX(CODIFICACION!$E$2:$E$500,MATCH("D2.8|"&amp;CAPTURA!AT168,CODIFICACION!$F$2:$F$500,0))),"⚠"))</f>
        <v/>
      </c>
      <c r="P168" t="str">
        <f>IF(CAPTURA!AU168="","",IFERROR(IF(INDEX(CODIFICACION!$E$2:$E$500,MATCH("D2.9|"&amp;CAPTURA!AU168,CODIFICACION!$F$2:$F$500,0))="sin dato","",INDEX(CODIFICACION!$E$2:$E$500,MATCH("D2.9|"&amp;CAPTURA!AU168,CODIFICACION!$F$2:$F$500,0))),"⚠"))</f>
        <v/>
      </c>
      <c r="Q168" t="str">
        <f>IF(CAPTURA!AV168="","",IFERROR(IF(INDEX(CODIFICACION!$E$2:$E$500,MATCH("D2.10|"&amp;CAPTURA!AV168,CODIFICACION!$F$2:$F$500,0))="sin dato","",INDEX(CODIFICACION!$E$2:$E$500,MATCH("D2.10|"&amp;CAPTURA!AV168,CODIFICACION!$F$2:$F$500,0))),"⚠"))</f>
        <v/>
      </c>
      <c r="R168" t="str">
        <f>IF(CAPTURA!AW168="","",IFERROR(IF(INDEX(CODIFICACION!$E$2:$E$500,MATCH("D2.5a|"&amp;CAPTURA!AW168,CODIFICACION!$F$2:$F$500,0))="sin dato","",INDEX(CODIFICACION!$E$2:$E$500,MATCH("D2.5a|"&amp;CAPTURA!AW168,CODIFICACION!$F$2:$F$500,0))),"⚠"))</f>
        <v/>
      </c>
      <c r="S168" t="str">
        <f>IF(CAPTURA!AX168="","",IFERROR(IF(INDEX(CODIFICACION!$E$2:$E$500,MATCH("D2.5b|"&amp;CAPTURA!AX168,CODIFICACION!$F$2:$F$500,0))="sin dato","",INDEX(CODIFICACION!$E$2:$E$500,MATCH("D2.5b|"&amp;CAPTURA!AX168,CODIFICACION!$F$2:$F$500,0))),"⚠"))</f>
        <v/>
      </c>
      <c r="T168" t="str">
        <f>IF(CAPTURA!AY168="","",IF(ISNUMBER(CAPTURA!AY168),MAX(0,MIN(100,CAPTURA!AY168)),"⚠"))</f>
        <v/>
      </c>
      <c r="U168" t="str">
        <f>IF(CAPTURA!AZ168="","",IFERROR(IF(INDEX(CODIFICACION!$E$2:$E$500,MATCH("D3.12|"&amp;CAPTURA!AZ168,CODIFICACION!$F$2:$F$500,0))="sin dato","",INDEX(CODIFICACION!$E$2:$E$500,MATCH("D3.12|"&amp;CAPTURA!AZ168,CODIFICACION!$F$2:$F$500,0))),"⚠"))</f>
        <v/>
      </c>
      <c r="V168" t="str">
        <f>IF(CAPTURA!BA168="","",IF(AND(ISNUMBER(CAPTURA!BA168),CAPTURA!BA168&gt;=0,CAPTURA!BA168&lt;=4),CAPTURA!BA168*25,"⚠"))</f>
        <v/>
      </c>
      <c r="W168" t="str">
        <f>IF(CAPTURA!BB168="","",IFERROR(IF(INDEX(CODIFICACION!$E$2:$E$500,MATCH("D3.14|"&amp;CAPTURA!BB168,CODIFICACION!$F$2:$F$500,0))="sin dato","",INDEX(CODIFICACION!$E$2:$E$500,MATCH("D3.14|"&amp;CAPTURA!BB168,CODIFICACION!$F$2:$F$500,0))),"⚠"))</f>
        <v/>
      </c>
      <c r="X168" t="str">
        <f>IF(CAPTURA!BC168="","",IFERROR(IF(INDEX(CODIFICACION!$E$2:$E$500,MATCH("D3.14a|"&amp;CAPTURA!BC168,CODIFICACION!$F$2:$F$500,0))="sin dato","",INDEX(CODIFICACION!$E$2:$E$500,MATCH("D3.14a|"&amp;CAPTURA!BC168,CODIFICACION!$F$2:$F$500,0))),"⚠"))</f>
        <v/>
      </c>
      <c r="Y168" t="str">
        <f>IF(CAPTURA!BD168="","",IFERROR(IF(INDEX(CODIFICACION!$E$2:$E$500,MATCH("D3.14b|"&amp;CAPTURA!BD168,CODIFICACION!$F$2:$F$500,0))="sin dato","",INDEX(CODIFICACION!$E$2:$E$500,MATCH("D3.14b|"&amp;CAPTURA!BD168,CODIFICACION!$F$2:$F$500,0))),"⚠"))</f>
        <v/>
      </c>
      <c r="Z168" t="str">
        <f>IF(CAPTURA!BE168="","",IFERROR(IF(INDEX(CODIFICACION!$E$2:$E$500,MATCH("D3.14c|"&amp;CAPTURA!BE168,CODIFICACION!$F$2:$F$500,0))="sin dato","",INDEX(CODIFICACION!$E$2:$E$500,MATCH("D3.14c|"&amp;CAPTURA!BE168,CODIFICACION!$F$2:$F$500,0))),"⚠"))</f>
        <v/>
      </c>
      <c r="AA168" t="str">
        <f>IF(CAPTURA!BF168="","",IFERROR(IF(INDEX(CODIFICACION!$E$2:$E$500,MATCH("D3.14d|"&amp;CAPTURA!BF168,CODIFICACION!$F$2:$F$500,0))="sin dato","",INDEX(CODIFICACION!$E$2:$E$500,MATCH("D3.14d|"&amp;CAPTURA!BF168,CODIFICACION!$F$2:$F$500,0))),"⚠"))</f>
        <v/>
      </c>
      <c r="AB168" t="str">
        <f>IF(CAPTURA!BG168="","",IFERROR(IF(INDEX(CODIFICACION!$E$2:$E$500,MATCH("D3.14e|"&amp;CAPTURA!BG168,CODIFICACION!$F$2:$F$500,0))="sin dato","",INDEX(CODIFICACION!$E$2:$E$500,MATCH("D3.14e|"&amp;CAPTURA!BG168,CODIFICACION!$F$2:$F$500,0))),"⚠"))</f>
        <v/>
      </c>
      <c r="AC168" t="str">
        <f>IF(CAPTURA!BH168="","",IFERROR(IF(INDEX(CODIFICACION!$E$2:$E$500,MATCH("D3.14f|"&amp;CAPTURA!BH168,CODIFICACION!$F$2:$F$500,0))="sin dato","",INDEX(CODIFICACION!$E$2:$E$500,MATCH("D3.14f|"&amp;CAPTURA!BH168,CODIFICACION!$F$2:$F$500,0))),"⚠"))</f>
        <v/>
      </c>
      <c r="AD168" t="str">
        <f>IF(CAPTURA!BI168="","",IFERROR(IF(INDEX(CODIFICACION!$E$2:$E$500,MATCH("D3.14g|"&amp;CAPTURA!BI168,CODIFICACION!$F$2:$F$500,0))="sin dato","",INDEX(CODIFICACION!$E$2:$E$500,MATCH("D3.14g|"&amp;CAPTURA!BI168,CODIFICACION!$F$2:$F$500,0))),"⚠"))</f>
        <v/>
      </c>
      <c r="AE168" t="str">
        <f>IF(CAPTURA!BJ168="","",IFERROR(IF(INDEX(CODIFICACION!$E$2:$E$500,MATCH("D3.14h|"&amp;CAPTURA!BJ168,CODIFICACION!$F$2:$F$500,0))="sin dato","",INDEX(CODIFICACION!$E$2:$E$500,MATCH("D3.14h|"&amp;CAPTURA!BJ168,CODIFICACION!$F$2:$F$500,0))),"⚠"))</f>
        <v/>
      </c>
      <c r="AF168" t="str">
        <f>IF(CAPTURA!BK168="","",IFERROR(IF(INDEX(CODIFICACION!$E$2:$E$500,MATCH("D3.14i|"&amp;CAPTURA!BK168,CODIFICACION!$F$2:$F$500,0))="sin dato","",INDEX(CODIFICACION!$E$2:$E$500,MATCH("D3.14i|"&amp;CAPTURA!BK168,CODIFICACION!$F$2:$F$500,0))),"⚠"))</f>
        <v/>
      </c>
      <c r="AG168" t="str">
        <f>IF(CAPTURA!BL168="","",IFERROR(IF(INDEX(CODIFICACION!$E$2:$E$500,MATCH("D4.15|"&amp;CAPTURA!BL168,CODIFICACION!$F$2:$F$500,0))="sin dato","",INDEX(CODIFICACION!$E$2:$E$500,MATCH("D4.15|"&amp;CAPTURA!BL168,CODIFICACION!$F$2:$F$500,0))),"⚠"))</f>
        <v/>
      </c>
      <c r="AH168" t="str">
        <f>IF(CAPTURA!BM168="","",IF(AND(ISNUMBER(CAPTURA!BM168),CAPTURA!BM168&gt;=0,CAPTURA!BM168&lt;=4),CAPTURA!BM168*25,"⚠"))</f>
        <v/>
      </c>
      <c r="AI168" t="str">
        <f>IF(CAPTURA!BN168="","",IFERROR(IF(INDEX(CODIFICACION!$E$2:$E$500,MATCH("D4.17|"&amp;CAPTURA!BN168,CODIFICACION!$F$2:$F$500,0))="sin dato","",INDEX(CODIFICACION!$E$2:$E$500,MATCH("D4.17|"&amp;CAPTURA!BN168,CODIFICACION!$F$2:$F$500,0))),"⚠"))</f>
        <v/>
      </c>
      <c r="AJ168" t="str">
        <f>IF(CAPTURA!BO168="","",IFERROR(IF(INDEX(CODIFICACION!$E$2:$E$500,MATCH("D4.15a|"&amp;CAPTURA!BO168,CODIFICACION!$F$2:$F$500,0))="sin dato","",INDEX(CODIFICACION!$E$2:$E$500,MATCH("D4.15a|"&amp;CAPTURA!BO168,CODIFICACION!$F$2:$F$500,0))),"⚠"))</f>
        <v/>
      </c>
      <c r="AK168" t="str">
        <f>IF(CAPTURA!BP168="","",IF(AND(ISNUMBER(CAPTURA!BP168),CAPTURA!BP168&gt;=0,CAPTURA!BP168&lt;=4),CAPTURA!BP168*25,"⚠"))</f>
        <v/>
      </c>
      <c r="AL168" t="str">
        <f>IF(CAPTURA!BQ168="","",IF(AND(ISNUMBER(CAPTURA!BQ168),CAPTURA!BQ168&gt;=0,CAPTURA!BQ168&lt;=4),CAPTURA!BQ168*25,"⚠"))</f>
        <v/>
      </c>
      <c r="AM168" t="str">
        <f>IF(CAPTURA!BR168="","",IFERROR(IF(INDEX(CODIFICACION!$E$2:$E$500,MATCH("D5.18b|"&amp;CAPTURA!BR168,CODIFICACION!$F$2:$F$500,0))="sin dato","",INDEX(CODIFICACION!$E$2:$E$500,MATCH("D5.18b|"&amp;CAPTURA!BR168,CODIFICACION!$F$2:$F$500,0))),"⚠"))</f>
        <v/>
      </c>
      <c r="AN168" t="str">
        <f>IF(CAPTURA!BS168="","",IFERROR(IF(INDEX(CODIFICACION!$E$2:$E$500,MATCH("D5.19|"&amp;CAPTURA!BS168,CODIFICACION!$F$2:$F$500,0))="sin dato","",INDEX(CODIFICACION!$E$2:$E$500,MATCH("D5.19|"&amp;CAPTURA!BS168,CODIFICACION!$F$2:$F$500,0))),"⚠"))</f>
        <v/>
      </c>
      <c r="AO168" t="str">
        <f>IF(CAPTURA!BT168="","",MIN(100,ROUND((LEN(CAPTURA!BT168)-LEN(SUBSTITUTE(CAPTURA!BT168,";",""))+1)/7*100,1)))</f>
        <v/>
      </c>
      <c r="AP168" t="str">
        <f>IF(CAPTURA!BU168="","",IFERROR(IF(INDEX(CODIFICACION!$E$2:$E$500,MATCH("D5.20|"&amp;CAPTURA!BU168,CODIFICACION!$F$2:$F$500,0))="sin dato","",INDEX(CODIFICACION!$E$2:$E$500,MATCH("D5.20|"&amp;CAPTURA!BU168,CODIFICACION!$F$2:$F$500,0))),"⚠"))</f>
        <v/>
      </c>
      <c r="AQ168" t="str">
        <f>IF(CAPTURA!BV168="","",IFERROR(IF(INDEX(CODIFICACION!$E$2:$E$500,MATCH("D5.21|"&amp;CAPTURA!BV168,CODIFICACION!$F$2:$F$500,0))="sin dato","",INDEX(CODIFICACION!$E$2:$E$500,MATCH("D5.21|"&amp;CAPTURA!BV168,CODIFICACION!$F$2:$F$500,0))),"⚠"))</f>
        <v/>
      </c>
      <c r="AR168" t="str">
        <f>IF(CAPTURA!BW168="","",IFERROR(IF(INDEX(CODIFICACION!$E$2:$E$500,MATCH("D5.21a|"&amp;CAPTURA!BW168,CODIFICACION!$F$2:$F$500,0))="sin dato","",INDEX(CODIFICACION!$E$2:$E$500,MATCH("D5.21a|"&amp;CAPTURA!BW168,CODIFICACION!$F$2:$F$500,0))),"⚠"))</f>
        <v/>
      </c>
      <c r="AS168" t="str">
        <f>IF(CAPTURA!BX168="","",IFERROR(IF(INDEX(CODIFICACION!$E$2:$E$500,MATCH("D5.21b|"&amp;CAPTURA!BX168,CODIFICACION!$F$2:$F$500,0))="sin dato","",INDEX(CODIFICACION!$E$2:$E$500,MATCH("D5.21b|"&amp;CAPTURA!BX168,CODIFICACION!$F$2:$F$500,0))),"⚠"))</f>
        <v/>
      </c>
      <c r="AT168" t="str">
        <f>IF(CAPTURA!BY168="","",IFERROR(IF(INDEX(CODIFICACION!$E$2:$E$500,MATCH("D6.22|"&amp;CAPTURA!BY168,CODIFICACION!$F$2:$F$500,0))="sin dato","",INDEX(CODIFICACION!$E$2:$E$500,MATCH("D6.22|"&amp;CAPTURA!BY168,CODIFICACION!$F$2:$F$500,0))),"⚠"))</f>
        <v/>
      </c>
      <c r="AU168" t="str">
        <f>IF(CAPTURA!BZ168="","",IFERROR(IF(INDEX(CODIFICACION!$E$2:$E$500,MATCH("D6.22a|"&amp;CAPTURA!BZ168,CODIFICACION!$F$2:$F$500,0))="sin dato","",INDEX(CODIFICACION!$E$2:$E$500,MATCH("D6.22a|"&amp;CAPTURA!BZ168,CODIFICACION!$F$2:$F$500,0))),"⚠"))</f>
        <v/>
      </c>
      <c r="AV168" t="str">
        <f>IF(CAPTURA!CA168="","",IFERROR(IF(INDEX(CODIFICACION!$E$2:$E$500,MATCH("D6.22b|"&amp;CAPTURA!CA168,CODIFICACION!$F$2:$F$500,0))="sin dato","",INDEX(CODIFICACION!$E$2:$E$500,MATCH("D6.22b|"&amp;CAPTURA!CA168,CODIFICACION!$F$2:$F$500,0))),"⚠"))</f>
        <v/>
      </c>
      <c r="AW168" t="str">
        <f>IF(CAPTURA!CB168="","",IFERROR(IF(INDEX(CODIFICACION!$E$2:$E$500,MATCH("D6.23|"&amp;CAPTURA!CB168,CODIFICACION!$F$2:$F$500,0))="sin dato","",INDEX(CODIFICACION!$E$2:$E$500,MATCH("D6.23|"&amp;CAPTURA!CB168,CODIFICACION!$F$2:$F$500,0))),"⚠"))</f>
        <v/>
      </c>
      <c r="AX168" t="str">
        <f>IF(CAPTURA!CC168="","",IFERROR(IF(INDEX(CODIFICACION!$E$2:$E$500,MATCH("D6.24|"&amp;CAPTURA!CC168,CODIFICACION!$F$2:$F$500,0))="sin dato","",INDEX(CODIFICACION!$E$2:$E$500,MATCH("D6.24|"&amp;CAPTURA!CC168,CODIFICACION!$F$2:$F$500,0))),"⚠"))</f>
        <v/>
      </c>
      <c r="AY168" t="str">
        <f>IF(CAPTURA!CD168="","",IFERROR(IF(INDEX(CODIFICACION!$E$2:$E$500,MATCH("D6.25|"&amp;CAPTURA!CD168,CODIFICACION!$F$2:$F$500,0))="sin dato","",INDEX(CODIFICACION!$E$2:$E$500,MATCH("D6.25|"&amp;CAPTURA!CD168,CODIFICACION!$F$2:$F$500,0))),"⚠"))</f>
        <v/>
      </c>
      <c r="AZ168" t="str">
        <f>IF(CAPTURA!CE168="","",IFERROR(IF(INDEX(CODIFICACION!$E$2:$E$500,MATCH("D6.25a|"&amp;CAPTURA!CE168,CODIFICACION!$F$2:$F$500,0))="sin dato","",INDEX(CODIFICACION!$E$2:$E$500,MATCH("D6.25a|"&amp;CAPTURA!CE168,CODIFICACION!$F$2:$F$500,0))),"⚠"))</f>
        <v/>
      </c>
      <c r="BA168" t="str">
        <f>IF(CAPTURA!CF168="","",IFERROR(IF(INDEX(CODIFICACION!$E$2:$E$500,MATCH("D6.25b|"&amp;CAPTURA!CF168,CODIFICACION!$F$2:$F$500,0))="sin dato","",INDEX(CODIFICACION!$E$2:$E$500,MATCH("D6.25b|"&amp;CAPTURA!CF168,CODIFICACION!$F$2:$F$500,0))),"⚠"))</f>
        <v/>
      </c>
      <c r="BB168" t="str">
        <f>IF(CAPTURA!CG168="","",IFERROR(IF(INDEX(CODIFICACION!$E$2:$E$500,MATCH("D6.22c|"&amp;CAPTURA!CG168,CODIFICACION!$F$2:$F$500,0))="sin dato","",INDEX(CODIFICACION!$E$2:$E$500,MATCH("D6.22c|"&amp;CAPTURA!CG168,CODIFICACION!$F$2:$F$500,0))),"⚠"))</f>
        <v/>
      </c>
      <c r="BC168" t="str">
        <f>IF(CAPTURA!CH168="","",IFERROR(IF(INDEX(CODIFICACION!$E$2:$E$500,MATCH("D7.26|"&amp;CAPTURA!CH168,CODIFICACION!$F$2:$F$500,0))="sin dato","",INDEX(CODIFICACION!$E$2:$E$500,MATCH("D7.26|"&amp;CAPTURA!CH168,CODIFICACION!$F$2:$F$500,0))),"⚠"))</f>
        <v/>
      </c>
      <c r="BD168" t="str">
        <f>IF(CAPTURA!CI168="","",IFERROR(IF(INDEX(CODIFICACION!$E$2:$E$500,MATCH("D7.27|"&amp;CAPTURA!CI168,CODIFICACION!$F$2:$F$500,0))="sin dato","",INDEX(CODIFICACION!$E$2:$E$500,MATCH("D7.27|"&amp;CAPTURA!CI168,CODIFICACION!$F$2:$F$500,0))),"⚠"))</f>
        <v/>
      </c>
      <c r="BE168" t="str">
        <f>IF(CAPTURA!CJ168="","",IFERROR(IF(INDEX(CODIFICACION!$E$2:$E$500,MATCH("D7.28|"&amp;CAPTURA!CJ168,CODIFICACION!$F$2:$F$500,0))="sin dato","",INDEX(CODIFICACION!$E$2:$E$500,MATCH("D7.28|"&amp;CAPTURA!CJ168,CODIFICACION!$F$2:$F$500,0))),"⚠"))</f>
        <v/>
      </c>
      <c r="BF168" t="str">
        <f>IF(CAPTURA!CK168="","",IFERROR(IF(INDEX(CODIFICACION!$E$2:$E$500,MATCH("D7.28b|"&amp;CAPTURA!CK168,CODIFICACION!$F$2:$F$500,0))="sin dato","",INDEX(CODIFICACION!$E$2:$E$500,MATCH("D7.28b|"&amp;CAPTURA!CK168,CODIFICACION!$F$2:$F$500,0))),"⚠"))</f>
        <v/>
      </c>
      <c r="BG168" t="str">
        <f>IF(CAPTURA!CL168="","",MIN(100,ROUND((LEN(CAPTURA!CL168)-LEN(SUBSTITUTE(CAPTURA!CL168,";",""))+1)/8*100,1)))</f>
        <v/>
      </c>
      <c r="BH168" t="str">
        <f>IF(CAPTURA!CM168="","",IFERROR(IF(INDEX(CODIFICACION!$E$2:$E$500,MATCH("D7.26a|"&amp;CAPTURA!CM168,CODIFICACION!$F$2:$F$500,0))="sin dato","",INDEX(CODIFICACION!$E$2:$E$500,MATCH("D7.26a|"&amp;CAPTURA!CM168,CODIFICACION!$F$2:$F$500,0))),"⚠"))</f>
        <v/>
      </c>
      <c r="BI168" t="str">
        <f>IF(CAPTURA!CN168="","",IFERROR(IF(INDEX(CODIFICACION!$E$2:$E$500,MATCH("D7.26b|"&amp;CAPTURA!CN168,CODIFICACION!$F$2:$F$500,0))="sin dato","",INDEX(CODIFICACION!$E$2:$E$500,MATCH("D7.26b|"&amp;CAPTURA!CN168,CODIFICACION!$F$2:$F$500,0))),"⚠"))</f>
        <v/>
      </c>
      <c r="BJ168" t="str">
        <f>IF(CAPTURA!CO168="","",IF(AND(ISNUMBER(CAPTURA!CO168),CAPTURA!CO168&gt;=0,CAPTURA!CO168&lt;=4),CAPTURA!CO168*25,"⚠"))</f>
        <v/>
      </c>
      <c r="BK168" t="str">
        <f>IF(CAPTURA!CP168="","",IF(ISNUMBER(CAPTURA!CP168),MAX(0,MIN(100,CAPTURA!CP168)),"⚠"))</f>
        <v/>
      </c>
      <c r="BL168" t="str">
        <f>IF(CAPTURA!CQ168="","",IFERROR(IF(INDEX(CODIFICACION!$E$2:$E$500,MATCH("D8.31|"&amp;CAPTURA!CQ168,CODIFICACION!$F$2:$F$500,0))="sin dato","",INDEX(CODIFICACION!$E$2:$E$500,MATCH("D8.31|"&amp;CAPTURA!CQ168,CODIFICACION!$F$2:$F$500,0))),"⚠"))</f>
        <v/>
      </c>
      <c r="BM168" t="str">
        <f>IF(CAPTURA!CR168="","",IFERROR(IF(INDEX(CODIFICACION!$E$2:$E$500,MATCH("D8.32|"&amp;CAPTURA!CR168,CODIFICACION!$F$2:$F$500,0))="sin dato","",INDEX(CODIFICACION!$E$2:$E$500,MATCH("D8.32|"&amp;CAPTURA!CR168,CODIFICACION!$F$2:$F$500,0))),"⚠"))</f>
        <v/>
      </c>
      <c r="BN168" t="str">
        <f>IF(CAPTURA!CS168="","",IFERROR(IF(INDEX(CODIFICACION!$E$2:$E$500,MATCH("D9.33|"&amp;CAPTURA!CS168,CODIFICACION!$F$2:$F$500,0))="sin dato","",INDEX(CODIFICACION!$E$2:$E$500,MATCH("D9.33|"&amp;CAPTURA!CS168,CODIFICACION!$F$2:$F$500,0))),"⚠"))</f>
        <v/>
      </c>
      <c r="BO168" t="str">
        <f>IF(CAPTURA!CT168="","",IFERROR(IF(INDEX(CODIFICACION!$E$2:$E$500,MATCH("D9.34|"&amp;CAPTURA!CT168,CODIFICACION!$F$2:$F$500,0))="sin dato","",INDEX(CODIFICACION!$E$2:$E$500,MATCH("D9.34|"&amp;CAPTURA!CT168,CODIFICACION!$F$2:$F$500,0))),"⚠"))</f>
        <v/>
      </c>
      <c r="BP168" t="str">
        <f>IF(CAPTURA!CU168="","",IFERROR(IF(INDEX(CODIFICACION!$E$2:$E$500,MATCH("D9.35|"&amp;CAPTURA!CU168,CODIFICACION!$F$2:$F$500,0))="sin dato","",INDEX(CODIFICACION!$E$2:$E$500,MATCH("D9.35|"&amp;CAPTURA!CU168,CODIFICACION!$F$2:$F$500,0))),"⚠"))</f>
        <v/>
      </c>
      <c r="BQ168" t="str">
        <f>IF(CAPTURA!CV168="","",IFERROR(IF(INDEX(CODIFICACION!$E$2:$E$500,MATCH("D10.36|"&amp;CAPTURA!CV168,CODIFICACION!$F$2:$F$500,0))="sin dato","",INDEX(CODIFICACION!$E$2:$E$500,MATCH("D10.36|"&amp;CAPTURA!CV168,CODIFICACION!$F$2:$F$500,0))),"⚠"))</f>
        <v/>
      </c>
      <c r="BR168" t="str">
        <f>IF(CAPTURA!CW168="","",IFERROR(IF(INDEX(CODIFICACION!$E$2:$E$500,MATCH("D10.37|"&amp;CAPTURA!CW168,CODIFICACION!$F$2:$F$500,0))="sin dato","",INDEX(CODIFICACION!$E$2:$E$500,MATCH("D10.37|"&amp;CAPTURA!CW168,CODIFICACION!$F$2:$F$500,0))),"⚠"))</f>
        <v/>
      </c>
      <c r="BS168" t="str">
        <f>IF(CAPTURA!CX168="","",IFERROR(IF(INDEX(CODIFICACION!$E$2:$E$500,MATCH("D10.36a|"&amp;CAPTURA!CX168,CODIFICACION!$F$2:$F$500,0))="sin dato","",INDEX(CODIFICACION!$E$2:$E$500,MATCH("D10.36a|"&amp;CAPTURA!CX168,CODIFICACION!$F$2:$F$500,0))),"⚠"))</f>
        <v/>
      </c>
      <c r="BT168" t="str">
        <f>IF(CAPTURA!CY168="","",IF(ISNUMBER(SEARCH("Ninguno",CAPTURA!CY168)),0,MIN(100,ROUND((LEN(CAPTURA!CY168)-LEN(SUBSTITUTE(CAPTURA!CY168,";",""))+1)/6*100,1))))</f>
        <v/>
      </c>
      <c r="BU168" t="str">
        <f>IF(CAPTURA!DA168="","",IFERROR(IF(INDEX(CODIFICACION!$E$2:$E$500,MATCH("D11.39a|"&amp;CAPTURA!DA168,CODIFICACION!$F$2:$F$500,0))="sin dato","",INDEX(CODIFICACION!$E$2:$E$500,MATCH("D11.39a|"&amp;CAPTURA!DA168,CODIFICACION!$F$2:$F$500,0))),"⚠"))</f>
        <v/>
      </c>
      <c r="BV168" t="str">
        <f>IF(CAPTURA!DB168="","",IFERROR(IF(INDEX(CODIFICACION!$E$2:$E$500,MATCH("D12.42|"&amp;CAPTURA!DB168,CODIFICACION!$F$2:$F$500,0))="sin dato","",INDEX(CODIFICACION!$E$2:$E$500,MATCH("D12.42|"&amp;CAPTURA!DB168,CODIFICACION!$F$2:$F$500,0))),"⚠"))</f>
        <v/>
      </c>
      <c r="BW168" t="str">
        <f>IF(CAPTURA!DC168="","",IFERROR(IF(INDEX(CODIFICACION!$E$2:$E$500,MATCH("D13.45|"&amp;CAPTURA!DC168,CODIFICACION!$F$2:$F$500,0))="sin dato","",INDEX(CODIFICACION!$E$2:$E$500,MATCH("D13.45|"&amp;CAPTURA!DC168,CODIFICACION!$F$2:$F$500,0))),"⚠"))</f>
        <v/>
      </c>
      <c r="BX168" t="str">
        <f>IF(CAPTURA!DD168="","",IFERROR(IF(INDEX(CODIFICACION!$E$2:$E$500,MATCH("D14.51|"&amp;CAPTURA!DD168,CODIFICACION!$F$2:$F$500,0))="sin dato","",INDEX(CODIFICACION!$E$2:$E$500,MATCH("D14.51|"&amp;CAPTURA!DD168,CODIFICACION!$F$2:$F$500,0))),"⚠"))</f>
        <v/>
      </c>
      <c r="BY168" t="str">
        <f>IF(CAPTURA!DE168="","",IFERROR(IF(INDEX(CODIFICACION!$E$2:$E$500,MATCH("D15.58|"&amp;CAPTURA!DE168,CODIFICACION!$F$2:$F$500,0))="sin dato","",INDEX(CODIFICACION!$E$2:$E$500,MATCH("D15.58|"&amp;CAPTURA!DE168,CODIFICACION!$F$2:$F$500,0))),"⚠"))</f>
        <v/>
      </c>
      <c r="BZ168" t="str">
        <f>IF(CAPTURA!DF168="","",IFERROR(IF(INDEX(CODIFICACION!$E$2:$E$500,MATCH("PP1|"&amp;CAPTURA!DF168,CODIFICACION!$F$2:$F$500,0))="sin dato","",INDEX(CODIFICACION!$E$2:$E$500,MATCH("PP1|"&amp;CAPTURA!DF168,CODIFICACION!$F$2:$F$500,0))),"⚠"))</f>
        <v/>
      </c>
      <c r="CA168" t="str">
        <f>IF(CAPTURA!DG168="","",IFERROR(IF(INDEX(CODIFICACION!$E$2:$E$500,MATCH("PP2|"&amp;CAPTURA!DG168,CODIFICACION!$F$2:$F$500,0))="sin dato","",INDEX(CODIFICACION!$E$2:$E$500,MATCH("PP2|"&amp;CAPTURA!DG168,CODIFICACION!$F$2:$F$500,0))),"⚠"))</f>
        <v/>
      </c>
      <c r="CB168" t="str">
        <f t="shared" si="55"/>
        <v/>
      </c>
      <c r="CC168" t="str">
        <f t="shared" si="56"/>
        <v/>
      </c>
      <c r="CD168" t="str">
        <f t="shared" si="57"/>
        <v/>
      </c>
      <c r="CE168" t="str">
        <f t="shared" si="58"/>
        <v/>
      </c>
      <c r="CF168" t="str">
        <f t="shared" si="59"/>
        <v/>
      </c>
      <c r="CG168" t="str">
        <f t="shared" si="60"/>
        <v/>
      </c>
      <c r="CH168" t="str">
        <f t="shared" si="61"/>
        <v/>
      </c>
      <c r="CI168" t="str">
        <f t="shared" si="62"/>
        <v/>
      </c>
      <c r="CJ168" t="str">
        <f t="shared" si="63"/>
        <v/>
      </c>
      <c r="CK168" t="str">
        <f t="shared" si="64"/>
        <v/>
      </c>
      <c r="CL168" t="str">
        <f t="shared" si="65"/>
        <v/>
      </c>
    </row>
    <row r="169" spans="1:90" x14ac:dyDescent="0.3">
      <c r="A169">
        <f>CAPTURA!A169</f>
        <v>20609025353</v>
      </c>
      <c r="B169">
        <f>CAPTURA!C169</f>
        <v>0</v>
      </c>
      <c r="C169" t="str">
        <f>IF(CAPTURA!M169="","",ROUND((ISNUMBER(SEARCH("Alemania",CAPTURA!M169))+ISNUMBER(SEARCH("Bélgica",CAPTURA!M169))+ISNUMBER(SEARCH("Países Bajos",CAPTURA!M169))+ISNUMBER(SEARCH("Francia",CAPTURA!M169))+ISNUMBER(SEARCH("Italia",CAPTURA!M169))+ISNUMBER(SEARCH("España",CAPTURA!M169))+ISNUMBER(SEARCH("Suecia",CAPTURA!M169))+ISNUMBER(SEARCH("Dinamarca",CAPTURA!M169)))/((LEN(CAPTURA!M169)-LEN(SUBSTITUTE(CAPTURA!M169,";","")))+1)*100,1))</f>
        <v/>
      </c>
      <c r="D169" t="str">
        <f>IF(CAPTURA!AE169="","",IFERROR(IF(INDEX(CODIFICACION!$E$2:$E$500,MATCH("P8|"&amp;CAPTURA!AE169,CODIFICACION!$F$2:$F$500,0))="sin dato","",INDEX(CODIFICACION!$E$2:$E$500,MATCH("P8|"&amp;CAPTURA!AE169,CODIFICACION!$F$2:$F$500,0))),"⚠"))</f>
        <v/>
      </c>
      <c r="E169" t="str">
        <f>IF(CAPTURA!AG169="","",IFERROR(IF(INDEX(CODIFICACION!$E$2:$E$500,MATCH("P10|"&amp;CAPTURA!AG169,CODIFICACION!$F$2:$F$500,0))="sin dato","",INDEX(CODIFICACION!$E$2:$E$500,MATCH("P10|"&amp;CAPTURA!AG169,CODIFICACION!$F$2:$F$500,0))),"⚠"))</f>
        <v/>
      </c>
      <c r="F169" t="str">
        <f>IF(CAPTURA!AJ169="","",IFERROR(IF(INDEX(CODIFICACION!$E$2:$E$500,MATCH("P13|"&amp;CAPTURA!AJ169,CODIFICACION!$F$2:$F$500,0))="sin dato","",INDEX(CODIFICACION!$E$2:$E$500,MATCH("P13|"&amp;CAPTURA!AJ169,CODIFICACION!$F$2:$F$500,0))),"⚠"))</f>
        <v/>
      </c>
      <c r="G169" t="str">
        <f>IF(CAPTURA!AK169="","",IFERROR(IF(INDEX(CODIFICACION!$E$2:$E$500,MATCH("P14|"&amp;CAPTURA!AK169,CODIFICACION!$F$2:$F$500,0))="sin dato","",INDEX(CODIFICACION!$E$2:$E$500,MATCH("P14|"&amp;CAPTURA!AK169,CODIFICACION!$F$2:$F$500,0))),"⚠"))</f>
        <v/>
      </c>
      <c r="H169" t="str">
        <f>IF(CAPTURA!AL169="","",IFERROR(IF(INDEX(CODIFICACION!$E$2:$E$500,MATCH("D1.1|"&amp;CAPTURA!AL169,CODIFICACION!$F$2:$F$500,0))="sin dato","",INDEX(CODIFICACION!$E$2:$E$500,MATCH("D1.1|"&amp;CAPTURA!AL169,CODIFICACION!$F$2:$F$500,0))),"⚠"))</f>
        <v/>
      </c>
      <c r="I169" t="str">
        <f>IF(CAPTURA!AN169="","",IFERROR(IF(INDEX(CODIFICACION!$E$2:$E$500,MATCH("D1.3|"&amp;CAPTURA!AN169,CODIFICACION!$F$2:$F$500,0))="sin dato","",INDEX(CODIFICACION!$E$2:$E$500,MATCH("D1.3|"&amp;CAPTURA!AN169,CODIFICACION!$F$2:$F$500,0))),"⚠"))</f>
        <v/>
      </c>
      <c r="J169" t="str">
        <f>IF(CAPTURA!AO169="","",IFERROR(IF(INDEX(CODIFICACION!$E$2:$E$500,MATCH("D1.4|"&amp;CAPTURA!AO169,CODIFICACION!$F$2:$F$500,0))="sin dato","",INDEX(CODIFICACION!$E$2:$E$500,MATCH("D1.4|"&amp;CAPTURA!AO169,CODIFICACION!$F$2:$F$500,0))),"⚠"))</f>
        <v/>
      </c>
      <c r="K169" t="str">
        <f>IF(CAPTURA!AP169="","",IFERROR(IF(INDEX(CODIFICACION!$E$2:$E$500,MATCH("D1.3a|"&amp;CAPTURA!AP169,CODIFICACION!$F$2:$F$500,0))="sin dato","",INDEX(CODIFICACION!$E$2:$E$500,MATCH("D1.3a|"&amp;CAPTURA!AP169,CODIFICACION!$F$2:$F$500,0))),"⚠"))</f>
        <v/>
      </c>
      <c r="L169" t="str">
        <f>IF(CAPTURA!AQ169="","",IF(AND(ISNUMBER(CAPTURA!AQ169),CAPTURA!AQ169&gt;=0,CAPTURA!AQ169&lt;=4),CAPTURA!AQ169*25,"⚠"))</f>
        <v/>
      </c>
      <c r="M169" t="str">
        <f>IF(CAPTURA!AR169="","",IF(ISNUMBER(CAPTURA!AR169),MAX(0,MIN(100,CAPTURA!AR169)),"⚠"))</f>
        <v/>
      </c>
      <c r="N169" t="str">
        <f>IF(CAPTURA!AS169="","",IF(AND(ISNUMBER(CAPTURA!AS169),CAPTURA!AS169&gt;=0,CAPTURA!AS169&lt;=4),CAPTURA!AS169*25,"⚠"))</f>
        <v/>
      </c>
      <c r="O169" t="str">
        <f>IF(CAPTURA!AT169="","",IFERROR(IF(INDEX(CODIFICACION!$E$2:$E$500,MATCH("D2.8|"&amp;CAPTURA!AT169,CODIFICACION!$F$2:$F$500,0))="sin dato","",INDEX(CODIFICACION!$E$2:$E$500,MATCH("D2.8|"&amp;CAPTURA!AT169,CODIFICACION!$F$2:$F$500,0))),"⚠"))</f>
        <v/>
      </c>
      <c r="P169" t="str">
        <f>IF(CAPTURA!AU169="","",IFERROR(IF(INDEX(CODIFICACION!$E$2:$E$500,MATCH("D2.9|"&amp;CAPTURA!AU169,CODIFICACION!$F$2:$F$500,0))="sin dato","",INDEX(CODIFICACION!$E$2:$E$500,MATCH("D2.9|"&amp;CAPTURA!AU169,CODIFICACION!$F$2:$F$500,0))),"⚠"))</f>
        <v/>
      </c>
      <c r="Q169" t="str">
        <f>IF(CAPTURA!AV169="","",IFERROR(IF(INDEX(CODIFICACION!$E$2:$E$500,MATCH("D2.10|"&amp;CAPTURA!AV169,CODIFICACION!$F$2:$F$500,0))="sin dato","",INDEX(CODIFICACION!$E$2:$E$500,MATCH("D2.10|"&amp;CAPTURA!AV169,CODIFICACION!$F$2:$F$500,0))),"⚠"))</f>
        <v/>
      </c>
      <c r="R169" t="str">
        <f>IF(CAPTURA!AW169="","",IFERROR(IF(INDEX(CODIFICACION!$E$2:$E$500,MATCH("D2.5a|"&amp;CAPTURA!AW169,CODIFICACION!$F$2:$F$500,0))="sin dato","",INDEX(CODIFICACION!$E$2:$E$500,MATCH("D2.5a|"&amp;CAPTURA!AW169,CODIFICACION!$F$2:$F$500,0))),"⚠"))</f>
        <v/>
      </c>
      <c r="S169" t="str">
        <f>IF(CAPTURA!AX169="","",IFERROR(IF(INDEX(CODIFICACION!$E$2:$E$500,MATCH("D2.5b|"&amp;CAPTURA!AX169,CODIFICACION!$F$2:$F$500,0))="sin dato","",INDEX(CODIFICACION!$E$2:$E$500,MATCH("D2.5b|"&amp;CAPTURA!AX169,CODIFICACION!$F$2:$F$500,0))),"⚠"))</f>
        <v/>
      </c>
      <c r="T169" t="str">
        <f>IF(CAPTURA!AY169="","",IF(ISNUMBER(CAPTURA!AY169),MAX(0,MIN(100,CAPTURA!AY169)),"⚠"))</f>
        <v/>
      </c>
      <c r="U169" t="str">
        <f>IF(CAPTURA!AZ169="","",IFERROR(IF(INDEX(CODIFICACION!$E$2:$E$500,MATCH("D3.12|"&amp;CAPTURA!AZ169,CODIFICACION!$F$2:$F$500,0))="sin dato","",INDEX(CODIFICACION!$E$2:$E$500,MATCH("D3.12|"&amp;CAPTURA!AZ169,CODIFICACION!$F$2:$F$500,0))),"⚠"))</f>
        <v/>
      </c>
      <c r="V169" t="str">
        <f>IF(CAPTURA!BA169="","",IF(AND(ISNUMBER(CAPTURA!BA169),CAPTURA!BA169&gt;=0,CAPTURA!BA169&lt;=4),CAPTURA!BA169*25,"⚠"))</f>
        <v/>
      </c>
      <c r="W169" t="str">
        <f>IF(CAPTURA!BB169="","",IFERROR(IF(INDEX(CODIFICACION!$E$2:$E$500,MATCH("D3.14|"&amp;CAPTURA!BB169,CODIFICACION!$F$2:$F$500,0))="sin dato","",INDEX(CODIFICACION!$E$2:$E$500,MATCH("D3.14|"&amp;CAPTURA!BB169,CODIFICACION!$F$2:$F$500,0))),"⚠"))</f>
        <v/>
      </c>
      <c r="X169" t="str">
        <f>IF(CAPTURA!BC169="","",IFERROR(IF(INDEX(CODIFICACION!$E$2:$E$500,MATCH("D3.14a|"&amp;CAPTURA!BC169,CODIFICACION!$F$2:$F$500,0))="sin dato","",INDEX(CODIFICACION!$E$2:$E$500,MATCH("D3.14a|"&amp;CAPTURA!BC169,CODIFICACION!$F$2:$F$500,0))),"⚠"))</f>
        <v/>
      </c>
      <c r="Y169" t="str">
        <f>IF(CAPTURA!BD169="","",IFERROR(IF(INDEX(CODIFICACION!$E$2:$E$500,MATCH("D3.14b|"&amp;CAPTURA!BD169,CODIFICACION!$F$2:$F$500,0))="sin dato","",INDEX(CODIFICACION!$E$2:$E$500,MATCH("D3.14b|"&amp;CAPTURA!BD169,CODIFICACION!$F$2:$F$500,0))),"⚠"))</f>
        <v/>
      </c>
      <c r="Z169" t="str">
        <f>IF(CAPTURA!BE169="","",IFERROR(IF(INDEX(CODIFICACION!$E$2:$E$500,MATCH("D3.14c|"&amp;CAPTURA!BE169,CODIFICACION!$F$2:$F$500,0))="sin dato","",INDEX(CODIFICACION!$E$2:$E$500,MATCH("D3.14c|"&amp;CAPTURA!BE169,CODIFICACION!$F$2:$F$500,0))),"⚠"))</f>
        <v/>
      </c>
      <c r="AA169" t="str">
        <f>IF(CAPTURA!BF169="","",IFERROR(IF(INDEX(CODIFICACION!$E$2:$E$500,MATCH("D3.14d|"&amp;CAPTURA!BF169,CODIFICACION!$F$2:$F$500,0))="sin dato","",INDEX(CODIFICACION!$E$2:$E$500,MATCH("D3.14d|"&amp;CAPTURA!BF169,CODIFICACION!$F$2:$F$500,0))),"⚠"))</f>
        <v/>
      </c>
      <c r="AB169" t="str">
        <f>IF(CAPTURA!BG169="","",IFERROR(IF(INDEX(CODIFICACION!$E$2:$E$500,MATCH("D3.14e|"&amp;CAPTURA!BG169,CODIFICACION!$F$2:$F$500,0))="sin dato","",INDEX(CODIFICACION!$E$2:$E$500,MATCH("D3.14e|"&amp;CAPTURA!BG169,CODIFICACION!$F$2:$F$500,0))),"⚠"))</f>
        <v/>
      </c>
      <c r="AC169" t="str">
        <f>IF(CAPTURA!BH169="","",IFERROR(IF(INDEX(CODIFICACION!$E$2:$E$500,MATCH("D3.14f|"&amp;CAPTURA!BH169,CODIFICACION!$F$2:$F$500,0))="sin dato","",INDEX(CODIFICACION!$E$2:$E$500,MATCH("D3.14f|"&amp;CAPTURA!BH169,CODIFICACION!$F$2:$F$500,0))),"⚠"))</f>
        <v/>
      </c>
      <c r="AD169" t="str">
        <f>IF(CAPTURA!BI169="","",IFERROR(IF(INDEX(CODIFICACION!$E$2:$E$500,MATCH("D3.14g|"&amp;CAPTURA!BI169,CODIFICACION!$F$2:$F$500,0))="sin dato","",INDEX(CODIFICACION!$E$2:$E$500,MATCH("D3.14g|"&amp;CAPTURA!BI169,CODIFICACION!$F$2:$F$500,0))),"⚠"))</f>
        <v/>
      </c>
      <c r="AE169" t="str">
        <f>IF(CAPTURA!BJ169="","",IFERROR(IF(INDEX(CODIFICACION!$E$2:$E$500,MATCH("D3.14h|"&amp;CAPTURA!BJ169,CODIFICACION!$F$2:$F$500,0))="sin dato","",INDEX(CODIFICACION!$E$2:$E$500,MATCH("D3.14h|"&amp;CAPTURA!BJ169,CODIFICACION!$F$2:$F$500,0))),"⚠"))</f>
        <v/>
      </c>
      <c r="AF169" t="str">
        <f>IF(CAPTURA!BK169="","",IFERROR(IF(INDEX(CODIFICACION!$E$2:$E$500,MATCH("D3.14i|"&amp;CAPTURA!BK169,CODIFICACION!$F$2:$F$500,0))="sin dato","",INDEX(CODIFICACION!$E$2:$E$500,MATCH("D3.14i|"&amp;CAPTURA!BK169,CODIFICACION!$F$2:$F$500,0))),"⚠"))</f>
        <v/>
      </c>
      <c r="AG169" t="str">
        <f>IF(CAPTURA!BL169="","",IFERROR(IF(INDEX(CODIFICACION!$E$2:$E$500,MATCH("D4.15|"&amp;CAPTURA!BL169,CODIFICACION!$F$2:$F$500,0))="sin dato","",INDEX(CODIFICACION!$E$2:$E$500,MATCH("D4.15|"&amp;CAPTURA!BL169,CODIFICACION!$F$2:$F$500,0))),"⚠"))</f>
        <v/>
      </c>
      <c r="AH169" t="str">
        <f>IF(CAPTURA!BM169="","",IF(AND(ISNUMBER(CAPTURA!BM169),CAPTURA!BM169&gt;=0,CAPTURA!BM169&lt;=4),CAPTURA!BM169*25,"⚠"))</f>
        <v/>
      </c>
      <c r="AI169" t="str">
        <f>IF(CAPTURA!BN169="","",IFERROR(IF(INDEX(CODIFICACION!$E$2:$E$500,MATCH("D4.17|"&amp;CAPTURA!BN169,CODIFICACION!$F$2:$F$500,0))="sin dato","",INDEX(CODIFICACION!$E$2:$E$500,MATCH("D4.17|"&amp;CAPTURA!BN169,CODIFICACION!$F$2:$F$500,0))),"⚠"))</f>
        <v/>
      </c>
      <c r="AJ169" t="str">
        <f>IF(CAPTURA!BO169="","",IFERROR(IF(INDEX(CODIFICACION!$E$2:$E$500,MATCH("D4.15a|"&amp;CAPTURA!BO169,CODIFICACION!$F$2:$F$500,0))="sin dato","",INDEX(CODIFICACION!$E$2:$E$500,MATCH("D4.15a|"&amp;CAPTURA!BO169,CODIFICACION!$F$2:$F$500,0))),"⚠"))</f>
        <v/>
      </c>
      <c r="AK169" t="str">
        <f>IF(CAPTURA!BP169="","",IF(AND(ISNUMBER(CAPTURA!BP169),CAPTURA!BP169&gt;=0,CAPTURA!BP169&lt;=4),CAPTURA!BP169*25,"⚠"))</f>
        <v/>
      </c>
      <c r="AL169" t="str">
        <f>IF(CAPTURA!BQ169="","",IF(AND(ISNUMBER(CAPTURA!BQ169),CAPTURA!BQ169&gt;=0,CAPTURA!BQ169&lt;=4),CAPTURA!BQ169*25,"⚠"))</f>
        <v/>
      </c>
      <c r="AM169" t="str">
        <f>IF(CAPTURA!BR169="","",IFERROR(IF(INDEX(CODIFICACION!$E$2:$E$500,MATCH("D5.18b|"&amp;CAPTURA!BR169,CODIFICACION!$F$2:$F$500,0))="sin dato","",INDEX(CODIFICACION!$E$2:$E$500,MATCH("D5.18b|"&amp;CAPTURA!BR169,CODIFICACION!$F$2:$F$500,0))),"⚠"))</f>
        <v/>
      </c>
      <c r="AN169" t="str">
        <f>IF(CAPTURA!BS169="","",IFERROR(IF(INDEX(CODIFICACION!$E$2:$E$500,MATCH("D5.19|"&amp;CAPTURA!BS169,CODIFICACION!$F$2:$F$500,0))="sin dato","",INDEX(CODIFICACION!$E$2:$E$500,MATCH("D5.19|"&amp;CAPTURA!BS169,CODIFICACION!$F$2:$F$500,0))),"⚠"))</f>
        <v/>
      </c>
      <c r="AO169" t="str">
        <f>IF(CAPTURA!BT169="","",MIN(100,ROUND((LEN(CAPTURA!BT169)-LEN(SUBSTITUTE(CAPTURA!BT169,";",""))+1)/7*100,1)))</f>
        <v/>
      </c>
      <c r="AP169" t="str">
        <f>IF(CAPTURA!BU169="","",IFERROR(IF(INDEX(CODIFICACION!$E$2:$E$500,MATCH("D5.20|"&amp;CAPTURA!BU169,CODIFICACION!$F$2:$F$500,0))="sin dato","",INDEX(CODIFICACION!$E$2:$E$500,MATCH("D5.20|"&amp;CAPTURA!BU169,CODIFICACION!$F$2:$F$500,0))),"⚠"))</f>
        <v/>
      </c>
      <c r="AQ169" t="str">
        <f>IF(CAPTURA!BV169="","",IFERROR(IF(INDEX(CODIFICACION!$E$2:$E$500,MATCH("D5.21|"&amp;CAPTURA!BV169,CODIFICACION!$F$2:$F$500,0))="sin dato","",INDEX(CODIFICACION!$E$2:$E$500,MATCH("D5.21|"&amp;CAPTURA!BV169,CODIFICACION!$F$2:$F$500,0))),"⚠"))</f>
        <v/>
      </c>
      <c r="AR169" t="str">
        <f>IF(CAPTURA!BW169="","",IFERROR(IF(INDEX(CODIFICACION!$E$2:$E$500,MATCH("D5.21a|"&amp;CAPTURA!BW169,CODIFICACION!$F$2:$F$500,0))="sin dato","",INDEX(CODIFICACION!$E$2:$E$500,MATCH("D5.21a|"&amp;CAPTURA!BW169,CODIFICACION!$F$2:$F$500,0))),"⚠"))</f>
        <v/>
      </c>
      <c r="AS169" t="str">
        <f>IF(CAPTURA!BX169="","",IFERROR(IF(INDEX(CODIFICACION!$E$2:$E$500,MATCH("D5.21b|"&amp;CAPTURA!BX169,CODIFICACION!$F$2:$F$500,0))="sin dato","",INDEX(CODIFICACION!$E$2:$E$500,MATCH("D5.21b|"&amp;CAPTURA!BX169,CODIFICACION!$F$2:$F$500,0))),"⚠"))</f>
        <v/>
      </c>
      <c r="AT169" t="str">
        <f>IF(CAPTURA!BY169="","",IFERROR(IF(INDEX(CODIFICACION!$E$2:$E$500,MATCH("D6.22|"&amp;CAPTURA!BY169,CODIFICACION!$F$2:$F$500,0))="sin dato","",INDEX(CODIFICACION!$E$2:$E$500,MATCH("D6.22|"&amp;CAPTURA!BY169,CODIFICACION!$F$2:$F$500,0))),"⚠"))</f>
        <v/>
      </c>
      <c r="AU169" t="str">
        <f>IF(CAPTURA!BZ169="","",IFERROR(IF(INDEX(CODIFICACION!$E$2:$E$500,MATCH("D6.22a|"&amp;CAPTURA!BZ169,CODIFICACION!$F$2:$F$500,0))="sin dato","",INDEX(CODIFICACION!$E$2:$E$500,MATCH("D6.22a|"&amp;CAPTURA!BZ169,CODIFICACION!$F$2:$F$500,0))),"⚠"))</f>
        <v/>
      </c>
      <c r="AV169" t="str">
        <f>IF(CAPTURA!CA169="","",IFERROR(IF(INDEX(CODIFICACION!$E$2:$E$500,MATCH("D6.22b|"&amp;CAPTURA!CA169,CODIFICACION!$F$2:$F$500,0))="sin dato","",INDEX(CODIFICACION!$E$2:$E$500,MATCH("D6.22b|"&amp;CAPTURA!CA169,CODIFICACION!$F$2:$F$500,0))),"⚠"))</f>
        <v/>
      </c>
      <c r="AW169" t="str">
        <f>IF(CAPTURA!CB169="","",IFERROR(IF(INDEX(CODIFICACION!$E$2:$E$500,MATCH("D6.23|"&amp;CAPTURA!CB169,CODIFICACION!$F$2:$F$500,0))="sin dato","",INDEX(CODIFICACION!$E$2:$E$500,MATCH("D6.23|"&amp;CAPTURA!CB169,CODIFICACION!$F$2:$F$500,0))),"⚠"))</f>
        <v/>
      </c>
      <c r="AX169" t="str">
        <f>IF(CAPTURA!CC169="","",IFERROR(IF(INDEX(CODIFICACION!$E$2:$E$500,MATCH("D6.24|"&amp;CAPTURA!CC169,CODIFICACION!$F$2:$F$500,0))="sin dato","",INDEX(CODIFICACION!$E$2:$E$500,MATCH("D6.24|"&amp;CAPTURA!CC169,CODIFICACION!$F$2:$F$500,0))),"⚠"))</f>
        <v/>
      </c>
      <c r="AY169" t="str">
        <f>IF(CAPTURA!CD169="","",IFERROR(IF(INDEX(CODIFICACION!$E$2:$E$500,MATCH("D6.25|"&amp;CAPTURA!CD169,CODIFICACION!$F$2:$F$500,0))="sin dato","",INDEX(CODIFICACION!$E$2:$E$500,MATCH("D6.25|"&amp;CAPTURA!CD169,CODIFICACION!$F$2:$F$500,0))),"⚠"))</f>
        <v/>
      </c>
      <c r="AZ169" t="str">
        <f>IF(CAPTURA!CE169="","",IFERROR(IF(INDEX(CODIFICACION!$E$2:$E$500,MATCH("D6.25a|"&amp;CAPTURA!CE169,CODIFICACION!$F$2:$F$500,0))="sin dato","",INDEX(CODIFICACION!$E$2:$E$500,MATCH("D6.25a|"&amp;CAPTURA!CE169,CODIFICACION!$F$2:$F$500,0))),"⚠"))</f>
        <v/>
      </c>
      <c r="BA169" t="str">
        <f>IF(CAPTURA!CF169="","",IFERROR(IF(INDEX(CODIFICACION!$E$2:$E$500,MATCH("D6.25b|"&amp;CAPTURA!CF169,CODIFICACION!$F$2:$F$500,0))="sin dato","",INDEX(CODIFICACION!$E$2:$E$500,MATCH("D6.25b|"&amp;CAPTURA!CF169,CODIFICACION!$F$2:$F$500,0))),"⚠"))</f>
        <v/>
      </c>
      <c r="BB169" t="str">
        <f>IF(CAPTURA!CG169="","",IFERROR(IF(INDEX(CODIFICACION!$E$2:$E$500,MATCH("D6.22c|"&amp;CAPTURA!CG169,CODIFICACION!$F$2:$F$500,0))="sin dato","",INDEX(CODIFICACION!$E$2:$E$500,MATCH("D6.22c|"&amp;CAPTURA!CG169,CODIFICACION!$F$2:$F$500,0))),"⚠"))</f>
        <v/>
      </c>
      <c r="BC169" t="str">
        <f>IF(CAPTURA!CH169="","",IFERROR(IF(INDEX(CODIFICACION!$E$2:$E$500,MATCH("D7.26|"&amp;CAPTURA!CH169,CODIFICACION!$F$2:$F$500,0))="sin dato","",INDEX(CODIFICACION!$E$2:$E$500,MATCH("D7.26|"&amp;CAPTURA!CH169,CODIFICACION!$F$2:$F$500,0))),"⚠"))</f>
        <v/>
      </c>
      <c r="BD169" t="str">
        <f>IF(CAPTURA!CI169="","",IFERROR(IF(INDEX(CODIFICACION!$E$2:$E$500,MATCH("D7.27|"&amp;CAPTURA!CI169,CODIFICACION!$F$2:$F$500,0))="sin dato","",INDEX(CODIFICACION!$E$2:$E$500,MATCH("D7.27|"&amp;CAPTURA!CI169,CODIFICACION!$F$2:$F$500,0))),"⚠"))</f>
        <v/>
      </c>
      <c r="BE169" t="str">
        <f>IF(CAPTURA!CJ169="","",IFERROR(IF(INDEX(CODIFICACION!$E$2:$E$500,MATCH("D7.28|"&amp;CAPTURA!CJ169,CODIFICACION!$F$2:$F$500,0))="sin dato","",INDEX(CODIFICACION!$E$2:$E$500,MATCH("D7.28|"&amp;CAPTURA!CJ169,CODIFICACION!$F$2:$F$500,0))),"⚠"))</f>
        <v/>
      </c>
      <c r="BF169" t="str">
        <f>IF(CAPTURA!CK169="","",IFERROR(IF(INDEX(CODIFICACION!$E$2:$E$500,MATCH("D7.28b|"&amp;CAPTURA!CK169,CODIFICACION!$F$2:$F$500,0))="sin dato","",INDEX(CODIFICACION!$E$2:$E$500,MATCH("D7.28b|"&amp;CAPTURA!CK169,CODIFICACION!$F$2:$F$500,0))),"⚠"))</f>
        <v/>
      </c>
      <c r="BG169" t="str">
        <f>IF(CAPTURA!CL169="","",MIN(100,ROUND((LEN(CAPTURA!CL169)-LEN(SUBSTITUTE(CAPTURA!CL169,";",""))+1)/8*100,1)))</f>
        <v/>
      </c>
      <c r="BH169" t="str">
        <f>IF(CAPTURA!CM169="","",IFERROR(IF(INDEX(CODIFICACION!$E$2:$E$500,MATCH("D7.26a|"&amp;CAPTURA!CM169,CODIFICACION!$F$2:$F$500,0))="sin dato","",INDEX(CODIFICACION!$E$2:$E$500,MATCH("D7.26a|"&amp;CAPTURA!CM169,CODIFICACION!$F$2:$F$500,0))),"⚠"))</f>
        <v/>
      </c>
      <c r="BI169" t="str">
        <f>IF(CAPTURA!CN169="","",IFERROR(IF(INDEX(CODIFICACION!$E$2:$E$500,MATCH("D7.26b|"&amp;CAPTURA!CN169,CODIFICACION!$F$2:$F$500,0))="sin dato","",INDEX(CODIFICACION!$E$2:$E$500,MATCH("D7.26b|"&amp;CAPTURA!CN169,CODIFICACION!$F$2:$F$500,0))),"⚠"))</f>
        <v/>
      </c>
      <c r="BJ169" t="str">
        <f>IF(CAPTURA!CO169="","",IF(AND(ISNUMBER(CAPTURA!CO169),CAPTURA!CO169&gt;=0,CAPTURA!CO169&lt;=4),CAPTURA!CO169*25,"⚠"))</f>
        <v/>
      </c>
      <c r="BK169" t="str">
        <f>IF(CAPTURA!CP169="","",IF(ISNUMBER(CAPTURA!CP169),MAX(0,MIN(100,CAPTURA!CP169)),"⚠"))</f>
        <v/>
      </c>
      <c r="BL169" t="str">
        <f>IF(CAPTURA!CQ169="","",IFERROR(IF(INDEX(CODIFICACION!$E$2:$E$500,MATCH("D8.31|"&amp;CAPTURA!CQ169,CODIFICACION!$F$2:$F$500,0))="sin dato","",INDEX(CODIFICACION!$E$2:$E$500,MATCH("D8.31|"&amp;CAPTURA!CQ169,CODIFICACION!$F$2:$F$500,0))),"⚠"))</f>
        <v/>
      </c>
      <c r="BM169" t="str">
        <f>IF(CAPTURA!CR169="","",IFERROR(IF(INDEX(CODIFICACION!$E$2:$E$500,MATCH("D8.32|"&amp;CAPTURA!CR169,CODIFICACION!$F$2:$F$500,0))="sin dato","",INDEX(CODIFICACION!$E$2:$E$500,MATCH("D8.32|"&amp;CAPTURA!CR169,CODIFICACION!$F$2:$F$500,0))),"⚠"))</f>
        <v/>
      </c>
      <c r="BN169" t="str">
        <f>IF(CAPTURA!CS169="","",IFERROR(IF(INDEX(CODIFICACION!$E$2:$E$500,MATCH("D9.33|"&amp;CAPTURA!CS169,CODIFICACION!$F$2:$F$500,0))="sin dato","",INDEX(CODIFICACION!$E$2:$E$500,MATCH("D9.33|"&amp;CAPTURA!CS169,CODIFICACION!$F$2:$F$500,0))),"⚠"))</f>
        <v/>
      </c>
      <c r="BO169" t="str">
        <f>IF(CAPTURA!CT169="","",IFERROR(IF(INDEX(CODIFICACION!$E$2:$E$500,MATCH("D9.34|"&amp;CAPTURA!CT169,CODIFICACION!$F$2:$F$500,0))="sin dato","",INDEX(CODIFICACION!$E$2:$E$500,MATCH("D9.34|"&amp;CAPTURA!CT169,CODIFICACION!$F$2:$F$500,0))),"⚠"))</f>
        <v/>
      </c>
      <c r="BP169" t="str">
        <f>IF(CAPTURA!CU169="","",IFERROR(IF(INDEX(CODIFICACION!$E$2:$E$500,MATCH("D9.35|"&amp;CAPTURA!CU169,CODIFICACION!$F$2:$F$500,0))="sin dato","",INDEX(CODIFICACION!$E$2:$E$500,MATCH("D9.35|"&amp;CAPTURA!CU169,CODIFICACION!$F$2:$F$500,0))),"⚠"))</f>
        <v/>
      </c>
      <c r="BQ169" t="str">
        <f>IF(CAPTURA!CV169="","",IFERROR(IF(INDEX(CODIFICACION!$E$2:$E$500,MATCH("D10.36|"&amp;CAPTURA!CV169,CODIFICACION!$F$2:$F$500,0))="sin dato","",INDEX(CODIFICACION!$E$2:$E$500,MATCH("D10.36|"&amp;CAPTURA!CV169,CODIFICACION!$F$2:$F$500,0))),"⚠"))</f>
        <v/>
      </c>
      <c r="BR169" t="str">
        <f>IF(CAPTURA!CW169="","",IFERROR(IF(INDEX(CODIFICACION!$E$2:$E$500,MATCH("D10.37|"&amp;CAPTURA!CW169,CODIFICACION!$F$2:$F$500,0))="sin dato","",INDEX(CODIFICACION!$E$2:$E$500,MATCH("D10.37|"&amp;CAPTURA!CW169,CODIFICACION!$F$2:$F$500,0))),"⚠"))</f>
        <v/>
      </c>
      <c r="BS169" t="str">
        <f>IF(CAPTURA!CX169="","",IFERROR(IF(INDEX(CODIFICACION!$E$2:$E$500,MATCH("D10.36a|"&amp;CAPTURA!CX169,CODIFICACION!$F$2:$F$500,0))="sin dato","",INDEX(CODIFICACION!$E$2:$E$500,MATCH("D10.36a|"&amp;CAPTURA!CX169,CODIFICACION!$F$2:$F$500,0))),"⚠"))</f>
        <v/>
      </c>
      <c r="BT169" t="str">
        <f>IF(CAPTURA!CY169="","",IF(ISNUMBER(SEARCH("Ninguno",CAPTURA!CY169)),0,MIN(100,ROUND((LEN(CAPTURA!CY169)-LEN(SUBSTITUTE(CAPTURA!CY169,";",""))+1)/6*100,1))))</f>
        <v/>
      </c>
      <c r="BU169" t="str">
        <f>IF(CAPTURA!DA169="","",IFERROR(IF(INDEX(CODIFICACION!$E$2:$E$500,MATCH("D11.39a|"&amp;CAPTURA!DA169,CODIFICACION!$F$2:$F$500,0))="sin dato","",INDEX(CODIFICACION!$E$2:$E$500,MATCH("D11.39a|"&amp;CAPTURA!DA169,CODIFICACION!$F$2:$F$500,0))),"⚠"))</f>
        <v/>
      </c>
      <c r="BV169" t="str">
        <f>IF(CAPTURA!DB169="","",IFERROR(IF(INDEX(CODIFICACION!$E$2:$E$500,MATCH("D12.42|"&amp;CAPTURA!DB169,CODIFICACION!$F$2:$F$500,0))="sin dato","",INDEX(CODIFICACION!$E$2:$E$500,MATCH("D12.42|"&amp;CAPTURA!DB169,CODIFICACION!$F$2:$F$500,0))),"⚠"))</f>
        <v/>
      </c>
      <c r="BW169" t="str">
        <f>IF(CAPTURA!DC169="","",IFERROR(IF(INDEX(CODIFICACION!$E$2:$E$500,MATCH("D13.45|"&amp;CAPTURA!DC169,CODIFICACION!$F$2:$F$500,0))="sin dato","",INDEX(CODIFICACION!$E$2:$E$500,MATCH("D13.45|"&amp;CAPTURA!DC169,CODIFICACION!$F$2:$F$500,0))),"⚠"))</f>
        <v/>
      </c>
      <c r="BX169" t="str">
        <f>IF(CAPTURA!DD169="","",IFERROR(IF(INDEX(CODIFICACION!$E$2:$E$500,MATCH("D14.51|"&amp;CAPTURA!DD169,CODIFICACION!$F$2:$F$500,0))="sin dato","",INDEX(CODIFICACION!$E$2:$E$500,MATCH("D14.51|"&amp;CAPTURA!DD169,CODIFICACION!$F$2:$F$500,0))),"⚠"))</f>
        <v/>
      </c>
      <c r="BY169" t="str">
        <f>IF(CAPTURA!DE169="","",IFERROR(IF(INDEX(CODIFICACION!$E$2:$E$500,MATCH("D15.58|"&amp;CAPTURA!DE169,CODIFICACION!$F$2:$F$500,0))="sin dato","",INDEX(CODIFICACION!$E$2:$E$500,MATCH("D15.58|"&amp;CAPTURA!DE169,CODIFICACION!$F$2:$F$500,0))),"⚠"))</f>
        <v/>
      </c>
      <c r="BZ169" t="str">
        <f>IF(CAPTURA!DF169="","",IFERROR(IF(INDEX(CODIFICACION!$E$2:$E$500,MATCH("PP1|"&amp;CAPTURA!DF169,CODIFICACION!$F$2:$F$500,0))="sin dato","",INDEX(CODIFICACION!$E$2:$E$500,MATCH("PP1|"&amp;CAPTURA!DF169,CODIFICACION!$F$2:$F$500,0))),"⚠"))</f>
        <v/>
      </c>
      <c r="CA169" t="str">
        <f>IF(CAPTURA!DG169="","",IFERROR(IF(INDEX(CODIFICACION!$E$2:$E$500,MATCH("PP2|"&amp;CAPTURA!DG169,CODIFICACION!$F$2:$F$500,0))="sin dato","",INDEX(CODIFICACION!$E$2:$E$500,MATCH("PP2|"&amp;CAPTURA!DG169,CODIFICACION!$F$2:$F$500,0))),"⚠"))</f>
        <v/>
      </c>
      <c r="CB169" t="str">
        <f t="shared" si="55"/>
        <v/>
      </c>
      <c r="CC169" t="str">
        <f t="shared" si="56"/>
        <v/>
      </c>
      <c r="CD169" t="str">
        <f t="shared" si="57"/>
        <v/>
      </c>
      <c r="CE169" t="str">
        <f t="shared" si="58"/>
        <v/>
      </c>
      <c r="CF169" t="str">
        <f t="shared" si="59"/>
        <v/>
      </c>
      <c r="CG169" t="str">
        <f t="shared" si="60"/>
        <v/>
      </c>
      <c r="CH169" t="str">
        <f t="shared" si="61"/>
        <v/>
      </c>
      <c r="CI169" t="str">
        <f t="shared" si="62"/>
        <v/>
      </c>
      <c r="CJ169" t="str">
        <f t="shared" si="63"/>
        <v/>
      </c>
      <c r="CK169" t="str">
        <f t="shared" si="64"/>
        <v/>
      </c>
      <c r="CL169" t="str">
        <f t="shared" si="65"/>
        <v/>
      </c>
    </row>
    <row r="170" spans="1:90" x14ac:dyDescent="0.3">
      <c r="A170">
        <f>CAPTURA!A170</f>
        <v>20609555395</v>
      </c>
      <c r="B170">
        <f>CAPTURA!C170</f>
        <v>0</v>
      </c>
      <c r="C170" t="str">
        <f>IF(CAPTURA!M170="","",ROUND((ISNUMBER(SEARCH("Alemania",CAPTURA!M170))+ISNUMBER(SEARCH("Bélgica",CAPTURA!M170))+ISNUMBER(SEARCH("Países Bajos",CAPTURA!M170))+ISNUMBER(SEARCH("Francia",CAPTURA!M170))+ISNUMBER(SEARCH("Italia",CAPTURA!M170))+ISNUMBER(SEARCH("España",CAPTURA!M170))+ISNUMBER(SEARCH("Suecia",CAPTURA!M170))+ISNUMBER(SEARCH("Dinamarca",CAPTURA!M170)))/((LEN(CAPTURA!M170)-LEN(SUBSTITUTE(CAPTURA!M170,";","")))+1)*100,1))</f>
        <v/>
      </c>
      <c r="D170" t="str">
        <f>IF(CAPTURA!AE170="","",IFERROR(IF(INDEX(CODIFICACION!$E$2:$E$500,MATCH("P8|"&amp;CAPTURA!AE170,CODIFICACION!$F$2:$F$500,0))="sin dato","",INDEX(CODIFICACION!$E$2:$E$500,MATCH("P8|"&amp;CAPTURA!AE170,CODIFICACION!$F$2:$F$500,0))),"⚠"))</f>
        <v/>
      </c>
      <c r="E170" t="str">
        <f>IF(CAPTURA!AG170="","",IFERROR(IF(INDEX(CODIFICACION!$E$2:$E$500,MATCH("P10|"&amp;CAPTURA!AG170,CODIFICACION!$F$2:$F$500,0))="sin dato","",INDEX(CODIFICACION!$E$2:$E$500,MATCH("P10|"&amp;CAPTURA!AG170,CODIFICACION!$F$2:$F$500,0))),"⚠"))</f>
        <v/>
      </c>
      <c r="F170" t="str">
        <f>IF(CAPTURA!AJ170="","",IFERROR(IF(INDEX(CODIFICACION!$E$2:$E$500,MATCH("P13|"&amp;CAPTURA!AJ170,CODIFICACION!$F$2:$F$500,0))="sin dato","",INDEX(CODIFICACION!$E$2:$E$500,MATCH("P13|"&amp;CAPTURA!AJ170,CODIFICACION!$F$2:$F$500,0))),"⚠"))</f>
        <v/>
      </c>
      <c r="G170" t="str">
        <f>IF(CAPTURA!AK170="","",IFERROR(IF(INDEX(CODIFICACION!$E$2:$E$500,MATCH("P14|"&amp;CAPTURA!AK170,CODIFICACION!$F$2:$F$500,0))="sin dato","",INDEX(CODIFICACION!$E$2:$E$500,MATCH("P14|"&amp;CAPTURA!AK170,CODIFICACION!$F$2:$F$500,0))),"⚠"))</f>
        <v/>
      </c>
      <c r="H170" t="str">
        <f>IF(CAPTURA!AL170="","",IFERROR(IF(INDEX(CODIFICACION!$E$2:$E$500,MATCH("D1.1|"&amp;CAPTURA!AL170,CODIFICACION!$F$2:$F$500,0))="sin dato","",INDEX(CODIFICACION!$E$2:$E$500,MATCH("D1.1|"&amp;CAPTURA!AL170,CODIFICACION!$F$2:$F$500,0))),"⚠"))</f>
        <v/>
      </c>
      <c r="I170" t="str">
        <f>IF(CAPTURA!AN170="","",IFERROR(IF(INDEX(CODIFICACION!$E$2:$E$500,MATCH("D1.3|"&amp;CAPTURA!AN170,CODIFICACION!$F$2:$F$500,0))="sin dato","",INDEX(CODIFICACION!$E$2:$E$500,MATCH("D1.3|"&amp;CAPTURA!AN170,CODIFICACION!$F$2:$F$500,0))),"⚠"))</f>
        <v/>
      </c>
      <c r="J170" t="str">
        <f>IF(CAPTURA!AO170="","",IFERROR(IF(INDEX(CODIFICACION!$E$2:$E$500,MATCH("D1.4|"&amp;CAPTURA!AO170,CODIFICACION!$F$2:$F$500,0))="sin dato","",INDEX(CODIFICACION!$E$2:$E$500,MATCH("D1.4|"&amp;CAPTURA!AO170,CODIFICACION!$F$2:$F$500,0))),"⚠"))</f>
        <v/>
      </c>
      <c r="K170" t="str">
        <f>IF(CAPTURA!AP170="","",IFERROR(IF(INDEX(CODIFICACION!$E$2:$E$500,MATCH("D1.3a|"&amp;CAPTURA!AP170,CODIFICACION!$F$2:$F$500,0))="sin dato","",INDEX(CODIFICACION!$E$2:$E$500,MATCH("D1.3a|"&amp;CAPTURA!AP170,CODIFICACION!$F$2:$F$500,0))),"⚠"))</f>
        <v/>
      </c>
      <c r="L170" t="str">
        <f>IF(CAPTURA!AQ170="","",IF(AND(ISNUMBER(CAPTURA!AQ170),CAPTURA!AQ170&gt;=0,CAPTURA!AQ170&lt;=4),CAPTURA!AQ170*25,"⚠"))</f>
        <v/>
      </c>
      <c r="M170" t="str">
        <f>IF(CAPTURA!AR170="","",IF(ISNUMBER(CAPTURA!AR170),MAX(0,MIN(100,CAPTURA!AR170)),"⚠"))</f>
        <v/>
      </c>
      <c r="N170" t="str">
        <f>IF(CAPTURA!AS170="","",IF(AND(ISNUMBER(CAPTURA!AS170),CAPTURA!AS170&gt;=0,CAPTURA!AS170&lt;=4),CAPTURA!AS170*25,"⚠"))</f>
        <v/>
      </c>
      <c r="O170" t="str">
        <f>IF(CAPTURA!AT170="","",IFERROR(IF(INDEX(CODIFICACION!$E$2:$E$500,MATCH("D2.8|"&amp;CAPTURA!AT170,CODIFICACION!$F$2:$F$500,0))="sin dato","",INDEX(CODIFICACION!$E$2:$E$500,MATCH("D2.8|"&amp;CAPTURA!AT170,CODIFICACION!$F$2:$F$500,0))),"⚠"))</f>
        <v/>
      </c>
      <c r="P170" t="str">
        <f>IF(CAPTURA!AU170="","",IFERROR(IF(INDEX(CODIFICACION!$E$2:$E$500,MATCH("D2.9|"&amp;CAPTURA!AU170,CODIFICACION!$F$2:$F$500,0))="sin dato","",INDEX(CODIFICACION!$E$2:$E$500,MATCH("D2.9|"&amp;CAPTURA!AU170,CODIFICACION!$F$2:$F$500,0))),"⚠"))</f>
        <v/>
      </c>
      <c r="Q170" t="str">
        <f>IF(CAPTURA!AV170="","",IFERROR(IF(INDEX(CODIFICACION!$E$2:$E$500,MATCH("D2.10|"&amp;CAPTURA!AV170,CODIFICACION!$F$2:$F$500,0))="sin dato","",INDEX(CODIFICACION!$E$2:$E$500,MATCH("D2.10|"&amp;CAPTURA!AV170,CODIFICACION!$F$2:$F$500,0))),"⚠"))</f>
        <v/>
      </c>
      <c r="R170" t="str">
        <f>IF(CAPTURA!AW170="","",IFERROR(IF(INDEX(CODIFICACION!$E$2:$E$500,MATCH("D2.5a|"&amp;CAPTURA!AW170,CODIFICACION!$F$2:$F$500,0))="sin dato","",INDEX(CODIFICACION!$E$2:$E$500,MATCH("D2.5a|"&amp;CAPTURA!AW170,CODIFICACION!$F$2:$F$500,0))),"⚠"))</f>
        <v/>
      </c>
      <c r="S170" t="str">
        <f>IF(CAPTURA!AX170="","",IFERROR(IF(INDEX(CODIFICACION!$E$2:$E$500,MATCH("D2.5b|"&amp;CAPTURA!AX170,CODIFICACION!$F$2:$F$500,0))="sin dato","",INDEX(CODIFICACION!$E$2:$E$500,MATCH("D2.5b|"&amp;CAPTURA!AX170,CODIFICACION!$F$2:$F$500,0))),"⚠"))</f>
        <v/>
      </c>
      <c r="T170" t="str">
        <f>IF(CAPTURA!AY170="","",IF(ISNUMBER(CAPTURA!AY170),MAX(0,MIN(100,CAPTURA!AY170)),"⚠"))</f>
        <v/>
      </c>
      <c r="U170" t="str">
        <f>IF(CAPTURA!AZ170="","",IFERROR(IF(INDEX(CODIFICACION!$E$2:$E$500,MATCH("D3.12|"&amp;CAPTURA!AZ170,CODIFICACION!$F$2:$F$500,0))="sin dato","",INDEX(CODIFICACION!$E$2:$E$500,MATCH("D3.12|"&amp;CAPTURA!AZ170,CODIFICACION!$F$2:$F$500,0))),"⚠"))</f>
        <v/>
      </c>
      <c r="V170" t="str">
        <f>IF(CAPTURA!BA170="","",IF(AND(ISNUMBER(CAPTURA!BA170),CAPTURA!BA170&gt;=0,CAPTURA!BA170&lt;=4),CAPTURA!BA170*25,"⚠"))</f>
        <v/>
      </c>
      <c r="W170" t="str">
        <f>IF(CAPTURA!BB170="","",IFERROR(IF(INDEX(CODIFICACION!$E$2:$E$500,MATCH("D3.14|"&amp;CAPTURA!BB170,CODIFICACION!$F$2:$F$500,0))="sin dato","",INDEX(CODIFICACION!$E$2:$E$500,MATCH("D3.14|"&amp;CAPTURA!BB170,CODIFICACION!$F$2:$F$500,0))),"⚠"))</f>
        <v/>
      </c>
      <c r="X170" t="str">
        <f>IF(CAPTURA!BC170="","",IFERROR(IF(INDEX(CODIFICACION!$E$2:$E$500,MATCH("D3.14a|"&amp;CAPTURA!BC170,CODIFICACION!$F$2:$F$500,0))="sin dato","",INDEX(CODIFICACION!$E$2:$E$500,MATCH("D3.14a|"&amp;CAPTURA!BC170,CODIFICACION!$F$2:$F$500,0))),"⚠"))</f>
        <v/>
      </c>
      <c r="Y170" t="str">
        <f>IF(CAPTURA!BD170="","",IFERROR(IF(INDEX(CODIFICACION!$E$2:$E$500,MATCH("D3.14b|"&amp;CAPTURA!BD170,CODIFICACION!$F$2:$F$500,0))="sin dato","",INDEX(CODIFICACION!$E$2:$E$500,MATCH("D3.14b|"&amp;CAPTURA!BD170,CODIFICACION!$F$2:$F$500,0))),"⚠"))</f>
        <v/>
      </c>
      <c r="Z170" t="str">
        <f>IF(CAPTURA!BE170="","",IFERROR(IF(INDEX(CODIFICACION!$E$2:$E$500,MATCH("D3.14c|"&amp;CAPTURA!BE170,CODIFICACION!$F$2:$F$500,0))="sin dato","",INDEX(CODIFICACION!$E$2:$E$500,MATCH("D3.14c|"&amp;CAPTURA!BE170,CODIFICACION!$F$2:$F$500,0))),"⚠"))</f>
        <v/>
      </c>
      <c r="AA170" t="str">
        <f>IF(CAPTURA!BF170="","",IFERROR(IF(INDEX(CODIFICACION!$E$2:$E$500,MATCH("D3.14d|"&amp;CAPTURA!BF170,CODIFICACION!$F$2:$F$500,0))="sin dato","",INDEX(CODIFICACION!$E$2:$E$500,MATCH("D3.14d|"&amp;CAPTURA!BF170,CODIFICACION!$F$2:$F$500,0))),"⚠"))</f>
        <v/>
      </c>
      <c r="AB170" t="str">
        <f>IF(CAPTURA!BG170="","",IFERROR(IF(INDEX(CODIFICACION!$E$2:$E$500,MATCH("D3.14e|"&amp;CAPTURA!BG170,CODIFICACION!$F$2:$F$500,0))="sin dato","",INDEX(CODIFICACION!$E$2:$E$500,MATCH("D3.14e|"&amp;CAPTURA!BG170,CODIFICACION!$F$2:$F$500,0))),"⚠"))</f>
        <v/>
      </c>
      <c r="AC170" t="str">
        <f>IF(CAPTURA!BH170="","",IFERROR(IF(INDEX(CODIFICACION!$E$2:$E$500,MATCH("D3.14f|"&amp;CAPTURA!BH170,CODIFICACION!$F$2:$F$500,0))="sin dato","",INDEX(CODIFICACION!$E$2:$E$500,MATCH("D3.14f|"&amp;CAPTURA!BH170,CODIFICACION!$F$2:$F$500,0))),"⚠"))</f>
        <v/>
      </c>
      <c r="AD170" t="str">
        <f>IF(CAPTURA!BI170="","",IFERROR(IF(INDEX(CODIFICACION!$E$2:$E$500,MATCH("D3.14g|"&amp;CAPTURA!BI170,CODIFICACION!$F$2:$F$500,0))="sin dato","",INDEX(CODIFICACION!$E$2:$E$500,MATCH("D3.14g|"&amp;CAPTURA!BI170,CODIFICACION!$F$2:$F$500,0))),"⚠"))</f>
        <v/>
      </c>
      <c r="AE170" t="str">
        <f>IF(CAPTURA!BJ170="","",IFERROR(IF(INDEX(CODIFICACION!$E$2:$E$500,MATCH("D3.14h|"&amp;CAPTURA!BJ170,CODIFICACION!$F$2:$F$500,0))="sin dato","",INDEX(CODIFICACION!$E$2:$E$500,MATCH("D3.14h|"&amp;CAPTURA!BJ170,CODIFICACION!$F$2:$F$500,0))),"⚠"))</f>
        <v/>
      </c>
      <c r="AF170" t="str">
        <f>IF(CAPTURA!BK170="","",IFERROR(IF(INDEX(CODIFICACION!$E$2:$E$500,MATCH("D3.14i|"&amp;CAPTURA!BK170,CODIFICACION!$F$2:$F$500,0))="sin dato","",INDEX(CODIFICACION!$E$2:$E$500,MATCH("D3.14i|"&amp;CAPTURA!BK170,CODIFICACION!$F$2:$F$500,0))),"⚠"))</f>
        <v/>
      </c>
      <c r="AG170" t="str">
        <f>IF(CAPTURA!BL170="","",IFERROR(IF(INDEX(CODIFICACION!$E$2:$E$500,MATCH("D4.15|"&amp;CAPTURA!BL170,CODIFICACION!$F$2:$F$500,0))="sin dato","",INDEX(CODIFICACION!$E$2:$E$500,MATCH("D4.15|"&amp;CAPTURA!BL170,CODIFICACION!$F$2:$F$500,0))),"⚠"))</f>
        <v/>
      </c>
      <c r="AH170" t="str">
        <f>IF(CAPTURA!BM170="","",IF(AND(ISNUMBER(CAPTURA!BM170),CAPTURA!BM170&gt;=0,CAPTURA!BM170&lt;=4),CAPTURA!BM170*25,"⚠"))</f>
        <v/>
      </c>
      <c r="AI170" t="str">
        <f>IF(CAPTURA!BN170="","",IFERROR(IF(INDEX(CODIFICACION!$E$2:$E$500,MATCH("D4.17|"&amp;CAPTURA!BN170,CODIFICACION!$F$2:$F$500,0))="sin dato","",INDEX(CODIFICACION!$E$2:$E$500,MATCH("D4.17|"&amp;CAPTURA!BN170,CODIFICACION!$F$2:$F$500,0))),"⚠"))</f>
        <v/>
      </c>
      <c r="AJ170" t="str">
        <f>IF(CAPTURA!BO170="","",IFERROR(IF(INDEX(CODIFICACION!$E$2:$E$500,MATCH("D4.15a|"&amp;CAPTURA!BO170,CODIFICACION!$F$2:$F$500,0))="sin dato","",INDEX(CODIFICACION!$E$2:$E$500,MATCH("D4.15a|"&amp;CAPTURA!BO170,CODIFICACION!$F$2:$F$500,0))),"⚠"))</f>
        <v/>
      </c>
      <c r="AK170" t="str">
        <f>IF(CAPTURA!BP170="","",IF(AND(ISNUMBER(CAPTURA!BP170),CAPTURA!BP170&gt;=0,CAPTURA!BP170&lt;=4),CAPTURA!BP170*25,"⚠"))</f>
        <v/>
      </c>
      <c r="AL170" t="str">
        <f>IF(CAPTURA!BQ170="","",IF(AND(ISNUMBER(CAPTURA!BQ170),CAPTURA!BQ170&gt;=0,CAPTURA!BQ170&lt;=4),CAPTURA!BQ170*25,"⚠"))</f>
        <v/>
      </c>
      <c r="AM170" t="str">
        <f>IF(CAPTURA!BR170="","",IFERROR(IF(INDEX(CODIFICACION!$E$2:$E$500,MATCH("D5.18b|"&amp;CAPTURA!BR170,CODIFICACION!$F$2:$F$500,0))="sin dato","",INDEX(CODIFICACION!$E$2:$E$500,MATCH("D5.18b|"&amp;CAPTURA!BR170,CODIFICACION!$F$2:$F$500,0))),"⚠"))</f>
        <v/>
      </c>
      <c r="AN170" t="str">
        <f>IF(CAPTURA!BS170="","",IFERROR(IF(INDEX(CODIFICACION!$E$2:$E$500,MATCH("D5.19|"&amp;CAPTURA!BS170,CODIFICACION!$F$2:$F$500,0))="sin dato","",INDEX(CODIFICACION!$E$2:$E$500,MATCH("D5.19|"&amp;CAPTURA!BS170,CODIFICACION!$F$2:$F$500,0))),"⚠"))</f>
        <v/>
      </c>
      <c r="AO170" t="str">
        <f>IF(CAPTURA!BT170="","",MIN(100,ROUND((LEN(CAPTURA!BT170)-LEN(SUBSTITUTE(CAPTURA!BT170,";",""))+1)/7*100,1)))</f>
        <v/>
      </c>
      <c r="AP170" t="str">
        <f>IF(CAPTURA!BU170="","",IFERROR(IF(INDEX(CODIFICACION!$E$2:$E$500,MATCH("D5.20|"&amp;CAPTURA!BU170,CODIFICACION!$F$2:$F$500,0))="sin dato","",INDEX(CODIFICACION!$E$2:$E$500,MATCH("D5.20|"&amp;CAPTURA!BU170,CODIFICACION!$F$2:$F$500,0))),"⚠"))</f>
        <v/>
      </c>
      <c r="AQ170" t="str">
        <f>IF(CAPTURA!BV170="","",IFERROR(IF(INDEX(CODIFICACION!$E$2:$E$500,MATCH("D5.21|"&amp;CAPTURA!BV170,CODIFICACION!$F$2:$F$500,0))="sin dato","",INDEX(CODIFICACION!$E$2:$E$500,MATCH("D5.21|"&amp;CAPTURA!BV170,CODIFICACION!$F$2:$F$500,0))),"⚠"))</f>
        <v/>
      </c>
      <c r="AR170" t="str">
        <f>IF(CAPTURA!BW170="","",IFERROR(IF(INDEX(CODIFICACION!$E$2:$E$500,MATCH("D5.21a|"&amp;CAPTURA!BW170,CODIFICACION!$F$2:$F$500,0))="sin dato","",INDEX(CODIFICACION!$E$2:$E$500,MATCH("D5.21a|"&amp;CAPTURA!BW170,CODIFICACION!$F$2:$F$500,0))),"⚠"))</f>
        <v/>
      </c>
      <c r="AS170" t="str">
        <f>IF(CAPTURA!BX170="","",IFERROR(IF(INDEX(CODIFICACION!$E$2:$E$500,MATCH("D5.21b|"&amp;CAPTURA!BX170,CODIFICACION!$F$2:$F$500,0))="sin dato","",INDEX(CODIFICACION!$E$2:$E$500,MATCH("D5.21b|"&amp;CAPTURA!BX170,CODIFICACION!$F$2:$F$500,0))),"⚠"))</f>
        <v/>
      </c>
      <c r="AT170" t="str">
        <f>IF(CAPTURA!BY170="","",IFERROR(IF(INDEX(CODIFICACION!$E$2:$E$500,MATCH("D6.22|"&amp;CAPTURA!BY170,CODIFICACION!$F$2:$F$500,0))="sin dato","",INDEX(CODIFICACION!$E$2:$E$500,MATCH("D6.22|"&amp;CAPTURA!BY170,CODIFICACION!$F$2:$F$500,0))),"⚠"))</f>
        <v/>
      </c>
      <c r="AU170" t="str">
        <f>IF(CAPTURA!BZ170="","",IFERROR(IF(INDEX(CODIFICACION!$E$2:$E$500,MATCH("D6.22a|"&amp;CAPTURA!BZ170,CODIFICACION!$F$2:$F$500,0))="sin dato","",INDEX(CODIFICACION!$E$2:$E$500,MATCH("D6.22a|"&amp;CAPTURA!BZ170,CODIFICACION!$F$2:$F$500,0))),"⚠"))</f>
        <v/>
      </c>
      <c r="AV170" t="str">
        <f>IF(CAPTURA!CA170="","",IFERROR(IF(INDEX(CODIFICACION!$E$2:$E$500,MATCH("D6.22b|"&amp;CAPTURA!CA170,CODIFICACION!$F$2:$F$500,0))="sin dato","",INDEX(CODIFICACION!$E$2:$E$500,MATCH("D6.22b|"&amp;CAPTURA!CA170,CODIFICACION!$F$2:$F$500,0))),"⚠"))</f>
        <v/>
      </c>
      <c r="AW170" t="str">
        <f>IF(CAPTURA!CB170="","",IFERROR(IF(INDEX(CODIFICACION!$E$2:$E$500,MATCH("D6.23|"&amp;CAPTURA!CB170,CODIFICACION!$F$2:$F$500,0))="sin dato","",INDEX(CODIFICACION!$E$2:$E$500,MATCH("D6.23|"&amp;CAPTURA!CB170,CODIFICACION!$F$2:$F$500,0))),"⚠"))</f>
        <v/>
      </c>
      <c r="AX170" t="str">
        <f>IF(CAPTURA!CC170="","",IFERROR(IF(INDEX(CODIFICACION!$E$2:$E$500,MATCH("D6.24|"&amp;CAPTURA!CC170,CODIFICACION!$F$2:$F$500,0))="sin dato","",INDEX(CODIFICACION!$E$2:$E$500,MATCH("D6.24|"&amp;CAPTURA!CC170,CODIFICACION!$F$2:$F$500,0))),"⚠"))</f>
        <v/>
      </c>
      <c r="AY170" t="str">
        <f>IF(CAPTURA!CD170="","",IFERROR(IF(INDEX(CODIFICACION!$E$2:$E$500,MATCH("D6.25|"&amp;CAPTURA!CD170,CODIFICACION!$F$2:$F$500,0))="sin dato","",INDEX(CODIFICACION!$E$2:$E$500,MATCH("D6.25|"&amp;CAPTURA!CD170,CODIFICACION!$F$2:$F$500,0))),"⚠"))</f>
        <v/>
      </c>
      <c r="AZ170" t="str">
        <f>IF(CAPTURA!CE170="","",IFERROR(IF(INDEX(CODIFICACION!$E$2:$E$500,MATCH("D6.25a|"&amp;CAPTURA!CE170,CODIFICACION!$F$2:$F$500,0))="sin dato","",INDEX(CODIFICACION!$E$2:$E$500,MATCH("D6.25a|"&amp;CAPTURA!CE170,CODIFICACION!$F$2:$F$500,0))),"⚠"))</f>
        <v/>
      </c>
      <c r="BA170" t="str">
        <f>IF(CAPTURA!CF170="","",IFERROR(IF(INDEX(CODIFICACION!$E$2:$E$500,MATCH("D6.25b|"&amp;CAPTURA!CF170,CODIFICACION!$F$2:$F$500,0))="sin dato","",INDEX(CODIFICACION!$E$2:$E$500,MATCH("D6.25b|"&amp;CAPTURA!CF170,CODIFICACION!$F$2:$F$500,0))),"⚠"))</f>
        <v/>
      </c>
      <c r="BB170" t="str">
        <f>IF(CAPTURA!CG170="","",IFERROR(IF(INDEX(CODIFICACION!$E$2:$E$500,MATCH("D6.22c|"&amp;CAPTURA!CG170,CODIFICACION!$F$2:$F$500,0))="sin dato","",INDEX(CODIFICACION!$E$2:$E$500,MATCH("D6.22c|"&amp;CAPTURA!CG170,CODIFICACION!$F$2:$F$500,0))),"⚠"))</f>
        <v/>
      </c>
      <c r="BC170" t="str">
        <f>IF(CAPTURA!CH170="","",IFERROR(IF(INDEX(CODIFICACION!$E$2:$E$500,MATCH("D7.26|"&amp;CAPTURA!CH170,CODIFICACION!$F$2:$F$500,0))="sin dato","",INDEX(CODIFICACION!$E$2:$E$500,MATCH("D7.26|"&amp;CAPTURA!CH170,CODIFICACION!$F$2:$F$500,0))),"⚠"))</f>
        <v/>
      </c>
      <c r="BD170" t="str">
        <f>IF(CAPTURA!CI170="","",IFERROR(IF(INDEX(CODIFICACION!$E$2:$E$500,MATCH("D7.27|"&amp;CAPTURA!CI170,CODIFICACION!$F$2:$F$500,0))="sin dato","",INDEX(CODIFICACION!$E$2:$E$500,MATCH("D7.27|"&amp;CAPTURA!CI170,CODIFICACION!$F$2:$F$500,0))),"⚠"))</f>
        <v/>
      </c>
      <c r="BE170" t="str">
        <f>IF(CAPTURA!CJ170="","",IFERROR(IF(INDEX(CODIFICACION!$E$2:$E$500,MATCH("D7.28|"&amp;CAPTURA!CJ170,CODIFICACION!$F$2:$F$500,0))="sin dato","",INDEX(CODIFICACION!$E$2:$E$500,MATCH("D7.28|"&amp;CAPTURA!CJ170,CODIFICACION!$F$2:$F$500,0))),"⚠"))</f>
        <v/>
      </c>
      <c r="BF170" t="str">
        <f>IF(CAPTURA!CK170="","",IFERROR(IF(INDEX(CODIFICACION!$E$2:$E$500,MATCH("D7.28b|"&amp;CAPTURA!CK170,CODIFICACION!$F$2:$F$500,0))="sin dato","",INDEX(CODIFICACION!$E$2:$E$500,MATCH("D7.28b|"&amp;CAPTURA!CK170,CODIFICACION!$F$2:$F$500,0))),"⚠"))</f>
        <v/>
      </c>
      <c r="BG170" t="str">
        <f>IF(CAPTURA!CL170="","",MIN(100,ROUND((LEN(CAPTURA!CL170)-LEN(SUBSTITUTE(CAPTURA!CL170,";",""))+1)/8*100,1)))</f>
        <v/>
      </c>
      <c r="BH170" t="str">
        <f>IF(CAPTURA!CM170="","",IFERROR(IF(INDEX(CODIFICACION!$E$2:$E$500,MATCH("D7.26a|"&amp;CAPTURA!CM170,CODIFICACION!$F$2:$F$500,0))="sin dato","",INDEX(CODIFICACION!$E$2:$E$500,MATCH("D7.26a|"&amp;CAPTURA!CM170,CODIFICACION!$F$2:$F$500,0))),"⚠"))</f>
        <v/>
      </c>
      <c r="BI170" t="str">
        <f>IF(CAPTURA!CN170="","",IFERROR(IF(INDEX(CODIFICACION!$E$2:$E$500,MATCH("D7.26b|"&amp;CAPTURA!CN170,CODIFICACION!$F$2:$F$500,0))="sin dato","",INDEX(CODIFICACION!$E$2:$E$500,MATCH("D7.26b|"&amp;CAPTURA!CN170,CODIFICACION!$F$2:$F$500,0))),"⚠"))</f>
        <v/>
      </c>
      <c r="BJ170" t="str">
        <f>IF(CAPTURA!CO170="","",IF(AND(ISNUMBER(CAPTURA!CO170),CAPTURA!CO170&gt;=0,CAPTURA!CO170&lt;=4),CAPTURA!CO170*25,"⚠"))</f>
        <v/>
      </c>
      <c r="BK170" t="str">
        <f>IF(CAPTURA!CP170="","",IF(ISNUMBER(CAPTURA!CP170),MAX(0,MIN(100,CAPTURA!CP170)),"⚠"))</f>
        <v/>
      </c>
      <c r="BL170" t="str">
        <f>IF(CAPTURA!CQ170="","",IFERROR(IF(INDEX(CODIFICACION!$E$2:$E$500,MATCH("D8.31|"&amp;CAPTURA!CQ170,CODIFICACION!$F$2:$F$500,0))="sin dato","",INDEX(CODIFICACION!$E$2:$E$500,MATCH("D8.31|"&amp;CAPTURA!CQ170,CODIFICACION!$F$2:$F$500,0))),"⚠"))</f>
        <v/>
      </c>
      <c r="BM170" t="str">
        <f>IF(CAPTURA!CR170="","",IFERROR(IF(INDEX(CODIFICACION!$E$2:$E$500,MATCH("D8.32|"&amp;CAPTURA!CR170,CODIFICACION!$F$2:$F$500,0))="sin dato","",INDEX(CODIFICACION!$E$2:$E$500,MATCH("D8.32|"&amp;CAPTURA!CR170,CODIFICACION!$F$2:$F$500,0))),"⚠"))</f>
        <v/>
      </c>
      <c r="BN170" t="str">
        <f>IF(CAPTURA!CS170="","",IFERROR(IF(INDEX(CODIFICACION!$E$2:$E$500,MATCH("D9.33|"&amp;CAPTURA!CS170,CODIFICACION!$F$2:$F$500,0))="sin dato","",INDEX(CODIFICACION!$E$2:$E$500,MATCH("D9.33|"&amp;CAPTURA!CS170,CODIFICACION!$F$2:$F$500,0))),"⚠"))</f>
        <v/>
      </c>
      <c r="BO170" t="str">
        <f>IF(CAPTURA!CT170="","",IFERROR(IF(INDEX(CODIFICACION!$E$2:$E$500,MATCH("D9.34|"&amp;CAPTURA!CT170,CODIFICACION!$F$2:$F$500,0))="sin dato","",INDEX(CODIFICACION!$E$2:$E$500,MATCH("D9.34|"&amp;CAPTURA!CT170,CODIFICACION!$F$2:$F$500,0))),"⚠"))</f>
        <v/>
      </c>
      <c r="BP170" t="str">
        <f>IF(CAPTURA!CU170="","",IFERROR(IF(INDEX(CODIFICACION!$E$2:$E$500,MATCH("D9.35|"&amp;CAPTURA!CU170,CODIFICACION!$F$2:$F$500,0))="sin dato","",INDEX(CODIFICACION!$E$2:$E$500,MATCH("D9.35|"&amp;CAPTURA!CU170,CODIFICACION!$F$2:$F$500,0))),"⚠"))</f>
        <v/>
      </c>
      <c r="BQ170" t="str">
        <f>IF(CAPTURA!CV170="","",IFERROR(IF(INDEX(CODIFICACION!$E$2:$E$500,MATCH("D10.36|"&amp;CAPTURA!CV170,CODIFICACION!$F$2:$F$500,0))="sin dato","",INDEX(CODIFICACION!$E$2:$E$500,MATCH("D10.36|"&amp;CAPTURA!CV170,CODIFICACION!$F$2:$F$500,0))),"⚠"))</f>
        <v/>
      </c>
      <c r="BR170" t="str">
        <f>IF(CAPTURA!CW170="","",IFERROR(IF(INDEX(CODIFICACION!$E$2:$E$500,MATCH("D10.37|"&amp;CAPTURA!CW170,CODIFICACION!$F$2:$F$500,0))="sin dato","",INDEX(CODIFICACION!$E$2:$E$500,MATCH("D10.37|"&amp;CAPTURA!CW170,CODIFICACION!$F$2:$F$500,0))),"⚠"))</f>
        <v/>
      </c>
      <c r="BS170" t="str">
        <f>IF(CAPTURA!CX170="","",IFERROR(IF(INDEX(CODIFICACION!$E$2:$E$500,MATCH("D10.36a|"&amp;CAPTURA!CX170,CODIFICACION!$F$2:$F$500,0))="sin dato","",INDEX(CODIFICACION!$E$2:$E$500,MATCH("D10.36a|"&amp;CAPTURA!CX170,CODIFICACION!$F$2:$F$500,0))),"⚠"))</f>
        <v/>
      </c>
      <c r="BT170" t="str">
        <f>IF(CAPTURA!CY170="","",IF(ISNUMBER(SEARCH("Ninguno",CAPTURA!CY170)),0,MIN(100,ROUND((LEN(CAPTURA!CY170)-LEN(SUBSTITUTE(CAPTURA!CY170,";",""))+1)/6*100,1))))</f>
        <v/>
      </c>
      <c r="BU170" t="str">
        <f>IF(CAPTURA!DA170="","",IFERROR(IF(INDEX(CODIFICACION!$E$2:$E$500,MATCH("D11.39a|"&amp;CAPTURA!DA170,CODIFICACION!$F$2:$F$500,0))="sin dato","",INDEX(CODIFICACION!$E$2:$E$500,MATCH("D11.39a|"&amp;CAPTURA!DA170,CODIFICACION!$F$2:$F$500,0))),"⚠"))</f>
        <v/>
      </c>
      <c r="BV170" t="str">
        <f>IF(CAPTURA!DB170="","",IFERROR(IF(INDEX(CODIFICACION!$E$2:$E$500,MATCH("D12.42|"&amp;CAPTURA!DB170,CODIFICACION!$F$2:$F$500,0))="sin dato","",INDEX(CODIFICACION!$E$2:$E$500,MATCH("D12.42|"&amp;CAPTURA!DB170,CODIFICACION!$F$2:$F$500,0))),"⚠"))</f>
        <v/>
      </c>
      <c r="BW170" t="str">
        <f>IF(CAPTURA!DC170="","",IFERROR(IF(INDEX(CODIFICACION!$E$2:$E$500,MATCH("D13.45|"&amp;CAPTURA!DC170,CODIFICACION!$F$2:$F$500,0))="sin dato","",INDEX(CODIFICACION!$E$2:$E$500,MATCH("D13.45|"&amp;CAPTURA!DC170,CODIFICACION!$F$2:$F$500,0))),"⚠"))</f>
        <v/>
      </c>
      <c r="BX170" t="str">
        <f>IF(CAPTURA!DD170="","",IFERROR(IF(INDEX(CODIFICACION!$E$2:$E$500,MATCH("D14.51|"&amp;CAPTURA!DD170,CODIFICACION!$F$2:$F$500,0))="sin dato","",INDEX(CODIFICACION!$E$2:$E$500,MATCH("D14.51|"&amp;CAPTURA!DD170,CODIFICACION!$F$2:$F$500,0))),"⚠"))</f>
        <v/>
      </c>
      <c r="BY170" t="str">
        <f>IF(CAPTURA!DE170="","",IFERROR(IF(INDEX(CODIFICACION!$E$2:$E$500,MATCH("D15.58|"&amp;CAPTURA!DE170,CODIFICACION!$F$2:$F$500,0))="sin dato","",INDEX(CODIFICACION!$E$2:$E$500,MATCH("D15.58|"&amp;CAPTURA!DE170,CODIFICACION!$F$2:$F$500,0))),"⚠"))</f>
        <v/>
      </c>
      <c r="BZ170" t="str">
        <f>IF(CAPTURA!DF170="","",IFERROR(IF(INDEX(CODIFICACION!$E$2:$E$500,MATCH("PP1|"&amp;CAPTURA!DF170,CODIFICACION!$F$2:$F$500,0))="sin dato","",INDEX(CODIFICACION!$E$2:$E$500,MATCH("PP1|"&amp;CAPTURA!DF170,CODIFICACION!$F$2:$F$500,0))),"⚠"))</f>
        <v/>
      </c>
      <c r="CA170" t="str">
        <f>IF(CAPTURA!DG170="","",IFERROR(IF(INDEX(CODIFICACION!$E$2:$E$500,MATCH("PP2|"&amp;CAPTURA!DG170,CODIFICACION!$F$2:$F$500,0))="sin dato","",INDEX(CODIFICACION!$E$2:$E$500,MATCH("PP2|"&amp;CAPTURA!DG170,CODIFICACION!$F$2:$F$500,0))),"⚠"))</f>
        <v/>
      </c>
      <c r="CB170" t="str">
        <f t="shared" si="55"/>
        <v/>
      </c>
      <c r="CC170" t="str">
        <f t="shared" si="56"/>
        <v/>
      </c>
      <c r="CD170" t="str">
        <f t="shared" si="57"/>
        <v/>
      </c>
      <c r="CE170" t="str">
        <f t="shared" si="58"/>
        <v/>
      </c>
      <c r="CF170" t="str">
        <f t="shared" si="59"/>
        <v/>
      </c>
      <c r="CG170" t="str">
        <f t="shared" si="60"/>
        <v/>
      </c>
      <c r="CH170" t="str">
        <f t="shared" si="61"/>
        <v/>
      </c>
      <c r="CI170" t="str">
        <f t="shared" si="62"/>
        <v/>
      </c>
      <c r="CJ170" t="str">
        <f t="shared" si="63"/>
        <v/>
      </c>
      <c r="CK170" t="str">
        <f t="shared" si="64"/>
        <v/>
      </c>
      <c r="CL170" t="str">
        <f t="shared" si="65"/>
        <v/>
      </c>
    </row>
    <row r="171" spans="1:90" x14ac:dyDescent="0.3">
      <c r="A171">
        <f>CAPTURA!A171</f>
        <v>20609846314</v>
      </c>
      <c r="B171">
        <f>CAPTURA!C171</f>
        <v>0</v>
      </c>
      <c r="C171" t="str">
        <f>IF(CAPTURA!M171="","",ROUND((ISNUMBER(SEARCH("Alemania",CAPTURA!M171))+ISNUMBER(SEARCH("Bélgica",CAPTURA!M171))+ISNUMBER(SEARCH("Países Bajos",CAPTURA!M171))+ISNUMBER(SEARCH("Francia",CAPTURA!M171))+ISNUMBER(SEARCH("Italia",CAPTURA!M171))+ISNUMBER(SEARCH("España",CAPTURA!M171))+ISNUMBER(SEARCH("Suecia",CAPTURA!M171))+ISNUMBER(SEARCH("Dinamarca",CAPTURA!M171)))/((LEN(CAPTURA!M171)-LEN(SUBSTITUTE(CAPTURA!M171,";","")))+1)*100,1))</f>
        <v/>
      </c>
      <c r="D171" t="str">
        <f>IF(CAPTURA!AE171="","",IFERROR(IF(INDEX(CODIFICACION!$E$2:$E$500,MATCH("P8|"&amp;CAPTURA!AE171,CODIFICACION!$F$2:$F$500,0))="sin dato","",INDEX(CODIFICACION!$E$2:$E$500,MATCH("P8|"&amp;CAPTURA!AE171,CODIFICACION!$F$2:$F$500,0))),"⚠"))</f>
        <v/>
      </c>
      <c r="E171" t="str">
        <f>IF(CAPTURA!AG171="","",IFERROR(IF(INDEX(CODIFICACION!$E$2:$E$500,MATCH("P10|"&amp;CAPTURA!AG171,CODIFICACION!$F$2:$F$500,0))="sin dato","",INDEX(CODIFICACION!$E$2:$E$500,MATCH("P10|"&amp;CAPTURA!AG171,CODIFICACION!$F$2:$F$500,0))),"⚠"))</f>
        <v/>
      </c>
      <c r="F171" t="str">
        <f>IF(CAPTURA!AJ171="","",IFERROR(IF(INDEX(CODIFICACION!$E$2:$E$500,MATCH("P13|"&amp;CAPTURA!AJ171,CODIFICACION!$F$2:$F$500,0))="sin dato","",INDEX(CODIFICACION!$E$2:$E$500,MATCH("P13|"&amp;CAPTURA!AJ171,CODIFICACION!$F$2:$F$500,0))),"⚠"))</f>
        <v/>
      </c>
      <c r="G171" t="str">
        <f>IF(CAPTURA!AK171="","",IFERROR(IF(INDEX(CODIFICACION!$E$2:$E$500,MATCH("P14|"&amp;CAPTURA!AK171,CODIFICACION!$F$2:$F$500,0))="sin dato","",INDEX(CODIFICACION!$E$2:$E$500,MATCH("P14|"&amp;CAPTURA!AK171,CODIFICACION!$F$2:$F$500,0))),"⚠"))</f>
        <v/>
      </c>
      <c r="H171" t="str">
        <f>IF(CAPTURA!AL171="","",IFERROR(IF(INDEX(CODIFICACION!$E$2:$E$500,MATCH("D1.1|"&amp;CAPTURA!AL171,CODIFICACION!$F$2:$F$500,0))="sin dato","",INDEX(CODIFICACION!$E$2:$E$500,MATCH("D1.1|"&amp;CAPTURA!AL171,CODIFICACION!$F$2:$F$500,0))),"⚠"))</f>
        <v/>
      </c>
      <c r="I171" t="str">
        <f>IF(CAPTURA!AN171="","",IFERROR(IF(INDEX(CODIFICACION!$E$2:$E$500,MATCH("D1.3|"&amp;CAPTURA!AN171,CODIFICACION!$F$2:$F$500,0))="sin dato","",INDEX(CODIFICACION!$E$2:$E$500,MATCH("D1.3|"&amp;CAPTURA!AN171,CODIFICACION!$F$2:$F$500,0))),"⚠"))</f>
        <v/>
      </c>
      <c r="J171" t="str">
        <f>IF(CAPTURA!AO171="","",IFERROR(IF(INDEX(CODIFICACION!$E$2:$E$500,MATCH("D1.4|"&amp;CAPTURA!AO171,CODIFICACION!$F$2:$F$500,0))="sin dato","",INDEX(CODIFICACION!$E$2:$E$500,MATCH("D1.4|"&amp;CAPTURA!AO171,CODIFICACION!$F$2:$F$500,0))),"⚠"))</f>
        <v/>
      </c>
      <c r="K171" t="str">
        <f>IF(CAPTURA!AP171="","",IFERROR(IF(INDEX(CODIFICACION!$E$2:$E$500,MATCH("D1.3a|"&amp;CAPTURA!AP171,CODIFICACION!$F$2:$F$500,0))="sin dato","",INDEX(CODIFICACION!$E$2:$E$500,MATCH("D1.3a|"&amp;CAPTURA!AP171,CODIFICACION!$F$2:$F$500,0))),"⚠"))</f>
        <v/>
      </c>
      <c r="L171" t="str">
        <f>IF(CAPTURA!AQ171="","",IF(AND(ISNUMBER(CAPTURA!AQ171),CAPTURA!AQ171&gt;=0,CAPTURA!AQ171&lt;=4),CAPTURA!AQ171*25,"⚠"))</f>
        <v/>
      </c>
      <c r="M171" t="str">
        <f>IF(CAPTURA!AR171="","",IF(ISNUMBER(CAPTURA!AR171),MAX(0,MIN(100,CAPTURA!AR171)),"⚠"))</f>
        <v/>
      </c>
      <c r="N171" t="str">
        <f>IF(CAPTURA!AS171="","",IF(AND(ISNUMBER(CAPTURA!AS171),CAPTURA!AS171&gt;=0,CAPTURA!AS171&lt;=4),CAPTURA!AS171*25,"⚠"))</f>
        <v/>
      </c>
      <c r="O171" t="str">
        <f>IF(CAPTURA!AT171="","",IFERROR(IF(INDEX(CODIFICACION!$E$2:$E$500,MATCH("D2.8|"&amp;CAPTURA!AT171,CODIFICACION!$F$2:$F$500,0))="sin dato","",INDEX(CODIFICACION!$E$2:$E$500,MATCH("D2.8|"&amp;CAPTURA!AT171,CODIFICACION!$F$2:$F$500,0))),"⚠"))</f>
        <v/>
      </c>
      <c r="P171" t="str">
        <f>IF(CAPTURA!AU171="","",IFERROR(IF(INDEX(CODIFICACION!$E$2:$E$500,MATCH("D2.9|"&amp;CAPTURA!AU171,CODIFICACION!$F$2:$F$500,0))="sin dato","",INDEX(CODIFICACION!$E$2:$E$500,MATCH("D2.9|"&amp;CAPTURA!AU171,CODIFICACION!$F$2:$F$500,0))),"⚠"))</f>
        <v/>
      </c>
      <c r="Q171" t="str">
        <f>IF(CAPTURA!AV171="","",IFERROR(IF(INDEX(CODIFICACION!$E$2:$E$500,MATCH("D2.10|"&amp;CAPTURA!AV171,CODIFICACION!$F$2:$F$500,0))="sin dato","",INDEX(CODIFICACION!$E$2:$E$500,MATCH("D2.10|"&amp;CAPTURA!AV171,CODIFICACION!$F$2:$F$500,0))),"⚠"))</f>
        <v/>
      </c>
      <c r="R171" t="str">
        <f>IF(CAPTURA!AW171="","",IFERROR(IF(INDEX(CODIFICACION!$E$2:$E$500,MATCH("D2.5a|"&amp;CAPTURA!AW171,CODIFICACION!$F$2:$F$500,0))="sin dato","",INDEX(CODIFICACION!$E$2:$E$500,MATCH("D2.5a|"&amp;CAPTURA!AW171,CODIFICACION!$F$2:$F$500,0))),"⚠"))</f>
        <v/>
      </c>
      <c r="S171" t="str">
        <f>IF(CAPTURA!AX171="","",IFERROR(IF(INDEX(CODIFICACION!$E$2:$E$500,MATCH("D2.5b|"&amp;CAPTURA!AX171,CODIFICACION!$F$2:$F$500,0))="sin dato","",INDEX(CODIFICACION!$E$2:$E$500,MATCH("D2.5b|"&amp;CAPTURA!AX171,CODIFICACION!$F$2:$F$500,0))),"⚠"))</f>
        <v/>
      </c>
      <c r="T171" t="str">
        <f>IF(CAPTURA!AY171="","",IF(ISNUMBER(CAPTURA!AY171),MAX(0,MIN(100,CAPTURA!AY171)),"⚠"))</f>
        <v/>
      </c>
      <c r="U171" t="str">
        <f>IF(CAPTURA!AZ171="","",IFERROR(IF(INDEX(CODIFICACION!$E$2:$E$500,MATCH("D3.12|"&amp;CAPTURA!AZ171,CODIFICACION!$F$2:$F$500,0))="sin dato","",INDEX(CODIFICACION!$E$2:$E$500,MATCH("D3.12|"&amp;CAPTURA!AZ171,CODIFICACION!$F$2:$F$500,0))),"⚠"))</f>
        <v/>
      </c>
      <c r="V171" t="str">
        <f>IF(CAPTURA!BA171="","",IF(AND(ISNUMBER(CAPTURA!BA171),CAPTURA!BA171&gt;=0,CAPTURA!BA171&lt;=4),CAPTURA!BA171*25,"⚠"))</f>
        <v/>
      </c>
      <c r="W171" t="str">
        <f>IF(CAPTURA!BB171="","",IFERROR(IF(INDEX(CODIFICACION!$E$2:$E$500,MATCH("D3.14|"&amp;CAPTURA!BB171,CODIFICACION!$F$2:$F$500,0))="sin dato","",INDEX(CODIFICACION!$E$2:$E$500,MATCH("D3.14|"&amp;CAPTURA!BB171,CODIFICACION!$F$2:$F$500,0))),"⚠"))</f>
        <v/>
      </c>
      <c r="X171" t="str">
        <f>IF(CAPTURA!BC171="","",IFERROR(IF(INDEX(CODIFICACION!$E$2:$E$500,MATCH("D3.14a|"&amp;CAPTURA!BC171,CODIFICACION!$F$2:$F$500,0))="sin dato","",INDEX(CODIFICACION!$E$2:$E$500,MATCH("D3.14a|"&amp;CAPTURA!BC171,CODIFICACION!$F$2:$F$500,0))),"⚠"))</f>
        <v/>
      </c>
      <c r="Y171" t="str">
        <f>IF(CAPTURA!BD171="","",IFERROR(IF(INDEX(CODIFICACION!$E$2:$E$500,MATCH("D3.14b|"&amp;CAPTURA!BD171,CODIFICACION!$F$2:$F$500,0))="sin dato","",INDEX(CODIFICACION!$E$2:$E$500,MATCH("D3.14b|"&amp;CAPTURA!BD171,CODIFICACION!$F$2:$F$500,0))),"⚠"))</f>
        <v/>
      </c>
      <c r="Z171" t="str">
        <f>IF(CAPTURA!BE171="","",IFERROR(IF(INDEX(CODIFICACION!$E$2:$E$500,MATCH("D3.14c|"&amp;CAPTURA!BE171,CODIFICACION!$F$2:$F$500,0))="sin dato","",INDEX(CODIFICACION!$E$2:$E$500,MATCH("D3.14c|"&amp;CAPTURA!BE171,CODIFICACION!$F$2:$F$500,0))),"⚠"))</f>
        <v/>
      </c>
      <c r="AA171" t="str">
        <f>IF(CAPTURA!BF171="","",IFERROR(IF(INDEX(CODIFICACION!$E$2:$E$500,MATCH("D3.14d|"&amp;CAPTURA!BF171,CODIFICACION!$F$2:$F$500,0))="sin dato","",INDEX(CODIFICACION!$E$2:$E$500,MATCH("D3.14d|"&amp;CAPTURA!BF171,CODIFICACION!$F$2:$F$500,0))),"⚠"))</f>
        <v/>
      </c>
      <c r="AB171" t="str">
        <f>IF(CAPTURA!BG171="","",IFERROR(IF(INDEX(CODIFICACION!$E$2:$E$500,MATCH("D3.14e|"&amp;CAPTURA!BG171,CODIFICACION!$F$2:$F$500,0))="sin dato","",INDEX(CODIFICACION!$E$2:$E$500,MATCH("D3.14e|"&amp;CAPTURA!BG171,CODIFICACION!$F$2:$F$500,0))),"⚠"))</f>
        <v/>
      </c>
      <c r="AC171" t="str">
        <f>IF(CAPTURA!BH171="","",IFERROR(IF(INDEX(CODIFICACION!$E$2:$E$500,MATCH("D3.14f|"&amp;CAPTURA!BH171,CODIFICACION!$F$2:$F$500,0))="sin dato","",INDEX(CODIFICACION!$E$2:$E$500,MATCH("D3.14f|"&amp;CAPTURA!BH171,CODIFICACION!$F$2:$F$500,0))),"⚠"))</f>
        <v/>
      </c>
      <c r="AD171" t="str">
        <f>IF(CAPTURA!BI171="","",IFERROR(IF(INDEX(CODIFICACION!$E$2:$E$500,MATCH("D3.14g|"&amp;CAPTURA!BI171,CODIFICACION!$F$2:$F$500,0))="sin dato","",INDEX(CODIFICACION!$E$2:$E$500,MATCH("D3.14g|"&amp;CAPTURA!BI171,CODIFICACION!$F$2:$F$500,0))),"⚠"))</f>
        <v/>
      </c>
      <c r="AE171" t="str">
        <f>IF(CAPTURA!BJ171="","",IFERROR(IF(INDEX(CODIFICACION!$E$2:$E$500,MATCH("D3.14h|"&amp;CAPTURA!BJ171,CODIFICACION!$F$2:$F$500,0))="sin dato","",INDEX(CODIFICACION!$E$2:$E$500,MATCH("D3.14h|"&amp;CAPTURA!BJ171,CODIFICACION!$F$2:$F$500,0))),"⚠"))</f>
        <v/>
      </c>
      <c r="AF171" t="str">
        <f>IF(CAPTURA!BK171="","",IFERROR(IF(INDEX(CODIFICACION!$E$2:$E$500,MATCH("D3.14i|"&amp;CAPTURA!BK171,CODIFICACION!$F$2:$F$500,0))="sin dato","",INDEX(CODIFICACION!$E$2:$E$500,MATCH("D3.14i|"&amp;CAPTURA!BK171,CODIFICACION!$F$2:$F$500,0))),"⚠"))</f>
        <v/>
      </c>
      <c r="AG171" t="str">
        <f>IF(CAPTURA!BL171="","",IFERROR(IF(INDEX(CODIFICACION!$E$2:$E$500,MATCH("D4.15|"&amp;CAPTURA!BL171,CODIFICACION!$F$2:$F$500,0))="sin dato","",INDEX(CODIFICACION!$E$2:$E$500,MATCH("D4.15|"&amp;CAPTURA!BL171,CODIFICACION!$F$2:$F$500,0))),"⚠"))</f>
        <v/>
      </c>
      <c r="AH171" t="str">
        <f>IF(CAPTURA!BM171="","",IF(AND(ISNUMBER(CAPTURA!BM171),CAPTURA!BM171&gt;=0,CAPTURA!BM171&lt;=4),CAPTURA!BM171*25,"⚠"))</f>
        <v/>
      </c>
      <c r="AI171" t="str">
        <f>IF(CAPTURA!BN171="","",IFERROR(IF(INDEX(CODIFICACION!$E$2:$E$500,MATCH("D4.17|"&amp;CAPTURA!BN171,CODIFICACION!$F$2:$F$500,0))="sin dato","",INDEX(CODIFICACION!$E$2:$E$500,MATCH("D4.17|"&amp;CAPTURA!BN171,CODIFICACION!$F$2:$F$500,0))),"⚠"))</f>
        <v/>
      </c>
      <c r="AJ171" t="str">
        <f>IF(CAPTURA!BO171="","",IFERROR(IF(INDEX(CODIFICACION!$E$2:$E$500,MATCH("D4.15a|"&amp;CAPTURA!BO171,CODIFICACION!$F$2:$F$500,0))="sin dato","",INDEX(CODIFICACION!$E$2:$E$500,MATCH("D4.15a|"&amp;CAPTURA!BO171,CODIFICACION!$F$2:$F$500,0))),"⚠"))</f>
        <v/>
      </c>
      <c r="AK171" t="str">
        <f>IF(CAPTURA!BP171="","",IF(AND(ISNUMBER(CAPTURA!BP171),CAPTURA!BP171&gt;=0,CAPTURA!BP171&lt;=4),CAPTURA!BP171*25,"⚠"))</f>
        <v/>
      </c>
      <c r="AL171" t="str">
        <f>IF(CAPTURA!BQ171="","",IF(AND(ISNUMBER(CAPTURA!BQ171),CAPTURA!BQ171&gt;=0,CAPTURA!BQ171&lt;=4),CAPTURA!BQ171*25,"⚠"))</f>
        <v/>
      </c>
      <c r="AM171" t="str">
        <f>IF(CAPTURA!BR171="","",IFERROR(IF(INDEX(CODIFICACION!$E$2:$E$500,MATCH("D5.18b|"&amp;CAPTURA!BR171,CODIFICACION!$F$2:$F$500,0))="sin dato","",INDEX(CODIFICACION!$E$2:$E$500,MATCH("D5.18b|"&amp;CAPTURA!BR171,CODIFICACION!$F$2:$F$500,0))),"⚠"))</f>
        <v/>
      </c>
      <c r="AN171" t="str">
        <f>IF(CAPTURA!BS171="","",IFERROR(IF(INDEX(CODIFICACION!$E$2:$E$500,MATCH("D5.19|"&amp;CAPTURA!BS171,CODIFICACION!$F$2:$F$500,0))="sin dato","",INDEX(CODIFICACION!$E$2:$E$500,MATCH("D5.19|"&amp;CAPTURA!BS171,CODIFICACION!$F$2:$F$500,0))),"⚠"))</f>
        <v/>
      </c>
      <c r="AO171" t="str">
        <f>IF(CAPTURA!BT171="","",MIN(100,ROUND((LEN(CAPTURA!BT171)-LEN(SUBSTITUTE(CAPTURA!BT171,";",""))+1)/7*100,1)))</f>
        <v/>
      </c>
      <c r="AP171" t="str">
        <f>IF(CAPTURA!BU171="","",IFERROR(IF(INDEX(CODIFICACION!$E$2:$E$500,MATCH("D5.20|"&amp;CAPTURA!BU171,CODIFICACION!$F$2:$F$500,0))="sin dato","",INDEX(CODIFICACION!$E$2:$E$500,MATCH("D5.20|"&amp;CAPTURA!BU171,CODIFICACION!$F$2:$F$500,0))),"⚠"))</f>
        <v/>
      </c>
      <c r="AQ171" t="str">
        <f>IF(CAPTURA!BV171="","",IFERROR(IF(INDEX(CODIFICACION!$E$2:$E$500,MATCH("D5.21|"&amp;CAPTURA!BV171,CODIFICACION!$F$2:$F$500,0))="sin dato","",INDEX(CODIFICACION!$E$2:$E$500,MATCH("D5.21|"&amp;CAPTURA!BV171,CODIFICACION!$F$2:$F$500,0))),"⚠"))</f>
        <v/>
      </c>
      <c r="AR171" t="str">
        <f>IF(CAPTURA!BW171="","",IFERROR(IF(INDEX(CODIFICACION!$E$2:$E$500,MATCH("D5.21a|"&amp;CAPTURA!BW171,CODIFICACION!$F$2:$F$500,0))="sin dato","",INDEX(CODIFICACION!$E$2:$E$500,MATCH("D5.21a|"&amp;CAPTURA!BW171,CODIFICACION!$F$2:$F$500,0))),"⚠"))</f>
        <v/>
      </c>
      <c r="AS171" t="str">
        <f>IF(CAPTURA!BX171="","",IFERROR(IF(INDEX(CODIFICACION!$E$2:$E$500,MATCH("D5.21b|"&amp;CAPTURA!BX171,CODIFICACION!$F$2:$F$500,0))="sin dato","",INDEX(CODIFICACION!$E$2:$E$500,MATCH("D5.21b|"&amp;CAPTURA!BX171,CODIFICACION!$F$2:$F$500,0))),"⚠"))</f>
        <v/>
      </c>
      <c r="AT171" t="str">
        <f>IF(CAPTURA!BY171="","",IFERROR(IF(INDEX(CODIFICACION!$E$2:$E$500,MATCH("D6.22|"&amp;CAPTURA!BY171,CODIFICACION!$F$2:$F$500,0))="sin dato","",INDEX(CODIFICACION!$E$2:$E$500,MATCH("D6.22|"&amp;CAPTURA!BY171,CODIFICACION!$F$2:$F$500,0))),"⚠"))</f>
        <v/>
      </c>
      <c r="AU171" t="str">
        <f>IF(CAPTURA!BZ171="","",IFERROR(IF(INDEX(CODIFICACION!$E$2:$E$500,MATCH("D6.22a|"&amp;CAPTURA!BZ171,CODIFICACION!$F$2:$F$500,0))="sin dato","",INDEX(CODIFICACION!$E$2:$E$500,MATCH("D6.22a|"&amp;CAPTURA!BZ171,CODIFICACION!$F$2:$F$500,0))),"⚠"))</f>
        <v/>
      </c>
      <c r="AV171" t="str">
        <f>IF(CAPTURA!CA171="","",IFERROR(IF(INDEX(CODIFICACION!$E$2:$E$500,MATCH("D6.22b|"&amp;CAPTURA!CA171,CODIFICACION!$F$2:$F$500,0))="sin dato","",INDEX(CODIFICACION!$E$2:$E$500,MATCH("D6.22b|"&amp;CAPTURA!CA171,CODIFICACION!$F$2:$F$500,0))),"⚠"))</f>
        <v/>
      </c>
      <c r="AW171" t="str">
        <f>IF(CAPTURA!CB171="","",IFERROR(IF(INDEX(CODIFICACION!$E$2:$E$500,MATCH("D6.23|"&amp;CAPTURA!CB171,CODIFICACION!$F$2:$F$500,0))="sin dato","",INDEX(CODIFICACION!$E$2:$E$500,MATCH("D6.23|"&amp;CAPTURA!CB171,CODIFICACION!$F$2:$F$500,0))),"⚠"))</f>
        <v/>
      </c>
      <c r="AX171" t="str">
        <f>IF(CAPTURA!CC171="","",IFERROR(IF(INDEX(CODIFICACION!$E$2:$E$500,MATCH("D6.24|"&amp;CAPTURA!CC171,CODIFICACION!$F$2:$F$500,0))="sin dato","",INDEX(CODIFICACION!$E$2:$E$500,MATCH("D6.24|"&amp;CAPTURA!CC171,CODIFICACION!$F$2:$F$500,0))),"⚠"))</f>
        <v/>
      </c>
      <c r="AY171" t="str">
        <f>IF(CAPTURA!CD171="","",IFERROR(IF(INDEX(CODIFICACION!$E$2:$E$500,MATCH("D6.25|"&amp;CAPTURA!CD171,CODIFICACION!$F$2:$F$500,0))="sin dato","",INDEX(CODIFICACION!$E$2:$E$500,MATCH("D6.25|"&amp;CAPTURA!CD171,CODIFICACION!$F$2:$F$500,0))),"⚠"))</f>
        <v/>
      </c>
      <c r="AZ171" t="str">
        <f>IF(CAPTURA!CE171="","",IFERROR(IF(INDEX(CODIFICACION!$E$2:$E$500,MATCH("D6.25a|"&amp;CAPTURA!CE171,CODIFICACION!$F$2:$F$500,0))="sin dato","",INDEX(CODIFICACION!$E$2:$E$500,MATCH("D6.25a|"&amp;CAPTURA!CE171,CODIFICACION!$F$2:$F$500,0))),"⚠"))</f>
        <v/>
      </c>
      <c r="BA171" t="str">
        <f>IF(CAPTURA!CF171="","",IFERROR(IF(INDEX(CODIFICACION!$E$2:$E$500,MATCH("D6.25b|"&amp;CAPTURA!CF171,CODIFICACION!$F$2:$F$500,0))="sin dato","",INDEX(CODIFICACION!$E$2:$E$500,MATCH("D6.25b|"&amp;CAPTURA!CF171,CODIFICACION!$F$2:$F$500,0))),"⚠"))</f>
        <v/>
      </c>
      <c r="BB171" t="str">
        <f>IF(CAPTURA!CG171="","",IFERROR(IF(INDEX(CODIFICACION!$E$2:$E$500,MATCH("D6.22c|"&amp;CAPTURA!CG171,CODIFICACION!$F$2:$F$500,0))="sin dato","",INDEX(CODIFICACION!$E$2:$E$500,MATCH("D6.22c|"&amp;CAPTURA!CG171,CODIFICACION!$F$2:$F$500,0))),"⚠"))</f>
        <v/>
      </c>
      <c r="BC171" t="str">
        <f>IF(CAPTURA!CH171="","",IFERROR(IF(INDEX(CODIFICACION!$E$2:$E$500,MATCH("D7.26|"&amp;CAPTURA!CH171,CODIFICACION!$F$2:$F$500,0))="sin dato","",INDEX(CODIFICACION!$E$2:$E$500,MATCH("D7.26|"&amp;CAPTURA!CH171,CODIFICACION!$F$2:$F$500,0))),"⚠"))</f>
        <v/>
      </c>
      <c r="BD171" t="str">
        <f>IF(CAPTURA!CI171="","",IFERROR(IF(INDEX(CODIFICACION!$E$2:$E$500,MATCH("D7.27|"&amp;CAPTURA!CI171,CODIFICACION!$F$2:$F$500,0))="sin dato","",INDEX(CODIFICACION!$E$2:$E$500,MATCH("D7.27|"&amp;CAPTURA!CI171,CODIFICACION!$F$2:$F$500,0))),"⚠"))</f>
        <v/>
      </c>
      <c r="BE171" t="str">
        <f>IF(CAPTURA!CJ171="","",IFERROR(IF(INDEX(CODIFICACION!$E$2:$E$500,MATCH("D7.28|"&amp;CAPTURA!CJ171,CODIFICACION!$F$2:$F$500,0))="sin dato","",INDEX(CODIFICACION!$E$2:$E$500,MATCH("D7.28|"&amp;CAPTURA!CJ171,CODIFICACION!$F$2:$F$500,0))),"⚠"))</f>
        <v/>
      </c>
      <c r="BF171" t="str">
        <f>IF(CAPTURA!CK171="","",IFERROR(IF(INDEX(CODIFICACION!$E$2:$E$500,MATCH("D7.28b|"&amp;CAPTURA!CK171,CODIFICACION!$F$2:$F$500,0))="sin dato","",INDEX(CODIFICACION!$E$2:$E$500,MATCH("D7.28b|"&amp;CAPTURA!CK171,CODIFICACION!$F$2:$F$500,0))),"⚠"))</f>
        <v/>
      </c>
      <c r="BG171" t="str">
        <f>IF(CAPTURA!CL171="","",MIN(100,ROUND((LEN(CAPTURA!CL171)-LEN(SUBSTITUTE(CAPTURA!CL171,";",""))+1)/8*100,1)))</f>
        <v/>
      </c>
      <c r="BH171" t="str">
        <f>IF(CAPTURA!CM171="","",IFERROR(IF(INDEX(CODIFICACION!$E$2:$E$500,MATCH("D7.26a|"&amp;CAPTURA!CM171,CODIFICACION!$F$2:$F$500,0))="sin dato","",INDEX(CODIFICACION!$E$2:$E$500,MATCH("D7.26a|"&amp;CAPTURA!CM171,CODIFICACION!$F$2:$F$500,0))),"⚠"))</f>
        <v/>
      </c>
      <c r="BI171" t="str">
        <f>IF(CAPTURA!CN171="","",IFERROR(IF(INDEX(CODIFICACION!$E$2:$E$500,MATCH("D7.26b|"&amp;CAPTURA!CN171,CODIFICACION!$F$2:$F$500,0))="sin dato","",INDEX(CODIFICACION!$E$2:$E$500,MATCH("D7.26b|"&amp;CAPTURA!CN171,CODIFICACION!$F$2:$F$500,0))),"⚠"))</f>
        <v/>
      </c>
      <c r="BJ171" t="str">
        <f>IF(CAPTURA!CO171="","",IF(AND(ISNUMBER(CAPTURA!CO171),CAPTURA!CO171&gt;=0,CAPTURA!CO171&lt;=4),CAPTURA!CO171*25,"⚠"))</f>
        <v/>
      </c>
      <c r="BK171" t="str">
        <f>IF(CAPTURA!CP171="","",IF(ISNUMBER(CAPTURA!CP171),MAX(0,MIN(100,CAPTURA!CP171)),"⚠"))</f>
        <v/>
      </c>
      <c r="BL171" t="str">
        <f>IF(CAPTURA!CQ171="","",IFERROR(IF(INDEX(CODIFICACION!$E$2:$E$500,MATCH("D8.31|"&amp;CAPTURA!CQ171,CODIFICACION!$F$2:$F$500,0))="sin dato","",INDEX(CODIFICACION!$E$2:$E$500,MATCH("D8.31|"&amp;CAPTURA!CQ171,CODIFICACION!$F$2:$F$500,0))),"⚠"))</f>
        <v/>
      </c>
      <c r="BM171" t="str">
        <f>IF(CAPTURA!CR171="","",IFERROR(IF(INDEX(CODIFICACION!$E$2:$E$500,MATCH("D8.32|"&amp;CAPTURA!CR171,CODIFICACION!$F$2:$F$500,0))="sin dato","",INDEX(CODIFICACION!$E$2:$E$500,MATCH("D8.32|"&amp;CAPTURA!CR171,CODIFICACION!$F$2:$F$500,0))),"⚠"))</f>
        <v/>
      </c>
      <c r="BN171" t="str">
        <f>IF(CAPTURA!CS171="","",IFERROR(IF(INDEX(CODIFICACION!$E$2:$E$500,MATCH("D9.33|"&amp;CAPTURA!CS171,CODIFICACION!$F$2:$F$500,0))="sin dato","",INDEX(CODIFICACION!$E$2:$E$500,MATCH("D9.33|"&amp;CAPTURA!CS171,CODIFICACION!$F$2:$F$500,0))),"⚠"))</f>
        <v/>
      </c>
      <c r="BO171" t="str">
        <f>IF(CAPTURA!CT171="","",IFERROR(IF(INDEX(CODIFICACION!$E$2:$E$500,MATCH("D9.34|"&amp;CAPTURA!CT171,CODIFICACION!$F$2:$F$500,0))="sin dato","",INDEX(CODIFICACION!$E$2:$E$500,MATCH("D9.34|"&amp;CAPTURA!CT171,CODIFICACION!$F$2:$F$500,0))),"⚠"))</f>
        <v/>
      </c>
      <c r="BP171" t="str">
        <f>IF(CAPTURA!CU171="","",IFERROR(IF(INDEX(CODIFICACION!$E$2:$E$500,MATCH("D9.35|"&amp;CAPTURA!CU171,CODIFICACION!$F$2:$F$500,0))="sin dato","",INDEX(CODIFICACION!$E$2:$E$500,MATCH("D9.35|"&amp;CAPTURA!CU171,CODIFICACION!$F$2:$F$500,0))),"⚠"))</f>
        <v/>
      </c>
      <c r="BQ171" t="str">
        <f>IF(CAPTURA!CV171="","",IFERROR(IF(INDEX(CODIFICACION!$E$2:$E$500,MATCH("D10.36|"&amp;CAPTURA!CV171,CODIFICACION!$F$2:$F$500,0))="sin dato","",INDEX(CODIFICACION!$E$2:$E$500,MATCH("D10.36|"&amp;CAPTURA!CV171,CODIFICACION!$F$2:$F$500,0))),"⚠"))</f>
        <v/>
      </c>
      <c r="BR171" t="str">
        <f>IF(CAPTURA!CW171="","",IFERROR(IF(INDEX(CODIFICACION!$E$2:$E$500,MATCH("D10.37|"&amp;CAPTURA!CW171,CODIFICACION!$F$2:$F$500,0))="sin dato","",INDEX(CODIFICACION!$E$2:$E$500,MATCH("D10.37|"&amp;CAPTURA!CW171,CODIFICACION!$F$2:$F$500,0))),"⚠"))</f>
        <v/>
      </c>
      <c r="BS171" t="str">
        <f>IF(CAPTURA!CX171="","",IFERROR(IF(INDEX(CODIFICACION!$E$2:$E$500,MATCH("D10.36a|"&amp;CAPTURA!CX171,CODIFICACION!$F$2:$F$500,0))="sin dato","",INDEX(CODIFICACION!$E$2:$E$500,MATCH("D10.36a|"&amp;CAPTURA!CX171,CODIFICACION!$F$2:$F$500,0))),"⚠"))</f>
        <v/>
      </c>
      <c r="BT171" t="str">
        <f>IF(CAPTURA!CY171="","",IF(ISNUMBER(SEARCH("Ninguno",CAPTURA!CY171)),0,MIN(100,ROUND((LEN(CAPTURA!CY171)-LEN(SUBSTITUTE(CAPTURA!CY171,";",""))+1)/6*100,1))))</f>
        <v/>
      </c>
      <c r="BU171" t="str">
        <f>IF(CAPTURA!DA171="","",IFERROR(IF(INDEX(CODIFICACION!$E$2:$E$500,MATCH("D11.39a|"&amp;CAPTURA!DA171,CODIFICACION!$F$2:$F$500,0))="sin dato","",INDEX(CODIFICACION!$E$2:$E$500,MATCH("D11.39a|"&amp;CAPTURA!DA171,CODIFICACION!$F$2:$F$500,0))),"⚠"))</f>
        <v/>
      </c>
      <c r="BV171" t="str">
        <f>IF(CAPTURA!DB171="","",IFERROR(IF(INDEX(CODIFICACION!$E$2:$E$500,MATCH("D12.42|"&amp;CAPTURA!DB171,CODIFICACION!$F$2:$F$500,0))="sin dato","",INDEX(CODIFICACION!$E$2:$E$500,MATCH("D12.42|"&amp;CAPTURA!DB171,CODIFICACION!$F$2:$F$500,0))),"⚠"))</f>
        <v/>
      </c>
      <c r="BW171" t="str">
        <f>IF(CAPTURA!DC171="","",IFERROR(IF(INDEX(CODIFICACION!$E$2:$E$500,MATCH("D13.45|"&amp;CAPTURA!DC171,CODIFICACION!$F$2:$F$500,0))="sin dato","",INDEX(CODIFICACION!$E$2:$E$500,MATCH("D13.45|"&amp;CAPTURA!DC171,CODIFICACION!$F$2:$F$500,0))),"⚠"))</f>
        <v/>
      </c>
      <c r="BX171" t="str">
        <f>IF(CAPTURA!DD171="","",IFERROR(IF(INDEX(CODIFICACION!$E$2:$E$500,MATCH("D14.51|"&amp;CAPTURA!DD171,CODIFICACION!$F$2:$F$500,0))="sin dato","",INDEX(CODIFICACION!$E$2:$E$500,MATCH("D14.51|"&amp;CAPTURA!DD171,CODIFICACION!$F$2:$F$500,0))),"⚠"))</f>
        <v/>
      </c>
      <c r="BY171" t="str">
        <f>IF(CAPTURA!DE171="","",IFERROR(IF(INDEX(CODIFICACION!$E$2:$E$500,MATCH("D15.58|"&amp;CAPTURA!DE171,CODIFICACION!$F$2:$F$500,0))="sin dato","",INDEX(CODIFICACION!$E$2:$E$500,MATCH("D15.58|"&amp;CAPTURA!DE171,CODIFICACION!$F$2:$F$500,0))),"⚠"))</f>
        <v/>
      </c>
      <c r="BZ171" t="str">
        <f>IF(CAPTURA!DF171="","",IFERROR(IF(INDEX(CODIFICACION!$E$2:$E$500,MATCH("PP1|"&amp;CAPTURA!DF171,CODIFICACION!$F$2:$F$500,0))="sin dato","",INDEX(CODIFICACION!$E$2:$E$500,MATCH("PP1|"&amp;CAPTURA!DF171,CODIFICACION!$F$2:$F$500,0))),"⚠"))</f>
        <v/>
      </c>
      <c r="CA171" t="str">
        <f>IF(CAPTURA!DG171="","",IFERROR(IF(INDEX(CODIFICACION!$E$2:$E$500,MATCH("PP2|"&amp;CAPTURA!DG171,CODIFICACION!$F$2:$F$500,0))="sin dato","",INDEX(CODIFICACION!$E$2:$E$500,MATCH("PP2|"&amp;CAPTURA!DG171,CODIFICACION!$F$2:$F$500,0))),"⚠"))</f>
        <v/>
      </c>
      <c r="CB171" t="str">
        <f t="shared" si="55"/>
        <v/>
      </c>
      <c r="CC171" t="str">
        <f t="shared" si="56"/>
        <v/>
      </c>
      <c r="CD171" t="str">
        <f t="shared" si="57"/>
        <v/>
      </c>
      <c r="CE171" t="str">
        <f t="shared" si="58"/>
        <v/>
      </c>
      <c r="CF171" t="str">
        <f t="shared" si="59"/>
        <v/>
      </c>
      <c r="CG171" t="str">
        <f t="shared" si="60"/>
        <v/>
      </c>
      <c r="CH171" t="str">
        <f t="shared" si="61"/>
        <v/>
      </c>
      <c r="CI171" t="str">
        <f t="shared" si="62"/>
        <v/>
      </c>
      <c r="CJ171" t="str">
        <f t="shared" si="63"/>
        <v/>
      </c>
      <c r="CK171" t="str">
        <f t="shared" si="64"/>
        <v/>
      </c>
      <c r="CL171" t="str">
        <f t="shared" si="65"/>
        <v/>
      </c>
    </row>
    <row r="172" spans="1:90" x14ac:dyDescent="0.3">
      <c r="A172">
        <f>CAPTURA!A172</f>
        <v>20610739491</v>
      </c>
      <c r="B172">
        <f>CAPTURA!C172</f>
        <v>0</v>
      </c>
      <c r="C172" t="str">
        <f>IF(CAPTURA!M172="","",ROUND((ISNUMBER(SEARCH("Alemania",CAPTURA!M172))+ISNUMBER(SEARCH("Bélgica",CAPTURA!M172))+ISNUMBER(SEARCH("Países Bajos",CAPTURA!M172))+ISNUMBER(SEARCH("Francia",CAPTURA!M172))+ISNUMBER(SEARCH("Italia",CAPTURA!M172))+ISNUMBER(SEARCH("España",CAPTURA!M172))+ISNUMBER(SEARCH("Suecia",CAPTURA!M172))+ISNUMBER(SEARCH("Dinamarca",CAPTURA!M172)))/((LEN(CAPTURA!M172)-LEN(SUBSTITUTE(CAPTURA!M172,";","")))+1)*100,1))</f>
        <v/>
      </c>
      <c r="D172" t="str">
        <f>IF(CAPTURA!AE172="","",IFERROR(IF(INDEX(CODIFICACION!$E$2:$E$500,MATCH("P8|"&amp;CAPTURA!AE172,CODIFICACION!$F$2:$F$500,0))="sin dato","",INDEX(CODIFICACION!$E$2:$E$500,MATCH("P8|"&amp;CAPTURA!AE172,CODIFICACION!$F$2:$F$500,0))),"⚠"))</f>
        <v/>
      </c>
      <c r="E172" t="str">
        <f>IF(CAPTURA!AG172="","",IFERROR(IF(INDEX(CODIFICACION!$E$2:$E$500,MATCH("P10|"&amp;CAPTURA!AG172,CODIFICACION!$F$2:$F$500,0))="sin dato","",INDEX(CODIFICACION!$E$2:$E$500,MATCH("P10|"&amp;CAPTURA!AG172,CODIFICACION!$F$2:$F$500,0))),"⚠"))</f>
        <v/>
      </c>
      <c r="F172" t="str">
        <f>IF(CAPTURA!AJ172="","",IFERROR(IF(INDEX(CODIFICACION!$E$2:$E$500,MATCH("P13|"&amp;CAPTURA!AJ172,CODIFICACION!$F$2:$F$500,0))="sin dato","",INDEX(CODIFICACION!$E$2:$E$500,MATCH("P13|"&amp;CAPTURA!AJ172,CODIFICACION!$F$2:$F$500,0))),"⚠"))</f>
        <v/>
      </c>
      <c r="G172" t="str">
        <f>IF(CAPTURA!AK172="","",IFERROR(IF(INDEX(CODIFICACION!$E$2:$E$500,MATCH("P14|"&amp;CAPTURA!AK172,CODIFICACION!$F$2:$F$500,0))="sin dato","",INDEX(CODIFICACION!$E$2:$E$500,MATCH("P14|"&amp;CAPTURA!AK172,CODIFICACION!$F$2:$F$500,0))),"⚠"))</f>
        <v/>
      </c>
      <c r="H172" t="str">
        <f>IF(CAPTURA!AL172="","",IFERROR(IF(INDEX(CODIFICACION!$E$2:$E$500,MATCH("D1.1|"&amp;CAPTURA!AL172,CODIFICACION!$F$2:$F$500,0))="sin dato","",INDEX(CODIFICACION!$E$2:$E$500,MATCH("D1.1|"&amp;CAPTURA!AL172,CODIFICACION!$F$2:$F$500,0))),"⚠"))</f>
        <v/>
      </c>
      <c r="I172" t="str">
        <f>IF(CAPTURA!AN172="","",IFERROR(IF(INDEX(CODIFICACION!$E$2:$E$500,MATCH("D1.3|"&amp;CAPTURA!AN172,CODIFICACION!$F$2:$F$500,0))="sin dato","",INDEX(CODIFICACION!$E$2:$E$500,MATCH("D1.3|"&amp;CAPTURA!AN172,CODIFICACION!$F$2:$F$500,0))),"⚠"))</f>
        <v/>
      </c>
      <c r="J172" t="str">
        <f>IF(CAPTURA!AO172="","",IFERROR(IF(INDEX(CODIFICACION!$E$2:$E$500,MATCH("D1.4|"&amp;CAPTURA!AO172,CODIFICACION!$F$2:$F$500,0))="sin dato","",INDEX(CODIFICACION!$E$2:$E$500,MATCH("D1.4|"&amp;CAPTURA!AO172,CODIFICACION!$F$2:$F$500,0))),"⚠"))</f>
        <v/>
      </c>
      <c r="K172" t="str">
        <f>IF(CAPTURA!AP172="","",IFERROR(IF(INDEX(CODIFICACION!$E$2:$E$500,MATCH("D1.3a|"&amp;CAPTURA!AP172,CODIFICACION!$F$2:$F$500,0))="sin dato","",INDEX(CODIFICACION!$E$2:$E$500,MATCH("D1.3a|"&amp;CAPTURA!AP172,CODIFICACION!$F$2:$F$500,0))),"⚠"))</f>
        <v/>
      </c>
      <c r="L172" t="str">
        <f>IF(CAPTURA!AQ172="","",IF(AND(ISNUMBER(CAPTURA!AQ172),CAPTURA!AQ172&gt;=0,CAPTURA!AQ172&lt;=4),CAPTURA!AQ172*25,"⚠"))</f>
        <v/>
      </c>
      <c r="M172" t="str">
        <f>IF(CAPTURA!AR172="","",IF(ISNUMBER(CAPTURA!AR172),MAX(0,MIN(100,CAPTURA!AR172)),"⚠"))</f>
        <v/>
      </c>
      <c r="N172" t="str">
        <f>IF(CAPTURA!AS172="","",IF(AND(ISNUMBER(CAPTURA!AS172),CAPTURA!AS172&gt;=0,CAPTURA!AS172&lt;=4),CAPTURA!AS172*25,"⚠"))</f>
        <v/>
      </c>
      <c r="O172" t="str">
        <f>IF(CAPTURA!AT172="","",IFERROR(IF(INDEX(CODIFICACION!$E$2:$E$500,MATCH("D2.8|"&amp;CAPTURA!AT172,CODIFICACION!$F$2:$F$500,0))="sin dato","",INDEX(CODIFICACION!$E$2:$E$500,MATCH("D2.8|"&amp;CAPTURA!AT172,CODIFICACION!$F$2:$F$500,0))),"⚠"))</f>
        <v/>
      </c>
      <c r="P172" t="str">
        <f>IF(CAPTURA!AU172="","",IFERROR(IF(INDEX(CODIFICACION!$E$2:$E$500,MATCH("D2.9|"&amp;CAPTURA!AU172,CODIFICACION!$F$2:$F$500,0))="sin dato","",INDEX(CODIFICACION!$E$2:$E$500,MATCH("D2.9|"&amp;CAPTURA!AU172,CODIFICACION!$F$2:$F$500,0))),"⚠"))</f>
        <v/>
      </c>
      <c r="Q172" t="str">
        <f>IF(CAPTURA!AV172="","",IFERROR(IF(INDEX(CODIFICACION!$E$2:$E$500,MATCH("D2.10|"&amp;CAPTURA!AV172,CODIFICACION!$F$2:$F$500,0))="sin dato","",INDEX(CODIFICACION!$E$2:$E$500,MATCH("D2.10|"&amp;CAPTURA!AV172,CODIFICACION!$F$2:$F$500,0))),"⚠"))</f>
        <v/>
      </c>
      <c r="R172" t="str">
        <f>IF(CAPTURA!AW172="","",IFERROR(IF(INDEX(CODIFICACION!$E$2:$E$500,MATCH("D2.5a|"&amp;CAPTURA!AW172,CODIFICACION!$F$2:$F$500,0))="sin dato","",INDEX(CODIFICACION!$E$2:$E$500,MATCH("D2.5a|"&amp;CAPTURA!AW172,CODIFICACION!$F$2:$F$500,0))),"⚠"))</f>
        <v/>
      </c>
      <c r="S172" t="str">
        <f>IF(CAPTURA!AX172="","",IFERROR(IF(INDEX(CODIFICACION!$E$2:$E$500,MATCH("D2.5b|"&amp;CAPTURA!AX172,CODIFICACION!$F$2:$F$500,0))="sin dato","",INDEX(CODIFICACION!$E$2:$E$500,MATCH("D2.5b|"&amp;CAPTURA!AX172,CODIFICACION!$F$2:$F$500,0))),"⚠"))</f>
        <v/>
      </c>
      <c r="T172" t="str">
        <f>IF(CAPTURA!AY172="","",IF(ISNUMBER(CAPTURA!AY172),MAX(0,MIN(100,CAPTURA!AY172)),"⚠"))</f>
        <v/>
      </c>
      <c r="U172" t="str">
        <f>IF(CAPTURA!AZ172="","",IFERROR(IF(INDEX(CODIFICACION!$E$2:$E$500,MATCH("D3.12|"&amp;CAPTURA!AZ172,CODIFICACION!$F$2:$F$500,0))="sin dato","",INDEX(CODIFICACION!$E$2:$E$500,MATCH("D3.12|"&amp;CAPTURA!AZ172,CODIFICACION!$F$2:$F$500,0))),"⚠"))</f>
        <v/>
      </c>
      <c r="V172" t="str">
        <f>IF(CAPTURA!BA172="","",IF(AND(ISNUMBER(CAPTURA!BA172),CAPTURA!BA172&gt;=0,CAPTURA!BA172&lt;=4),CAPTURA!BA172*25,"⚠"))</f>
        <v/>
      </c>
      <c r="W172" t="str">
        <f>IF(CAPTURA!BB172="","",IFERROR(IF(INDEX(CODIFICACION!$E$2:$E$500,MATCH("D3.14|"&amp;CAPTURA!BB172,CODIFICACION!$F$2:$F$500,0))="sin dato","",INDEX(CODIFICACION!$E$2:$E$500,MATCH("D3.14|"&amp;CAPTURA!BB172,CODIFICACION!$F$2:$F$500,0))),"⚠"))</f>
        <v/>
      </c>
      <c r="X172" t="str">
        <f>IF(CAPTURA!BC172="","",IFERROR(IF(INDEX(CODIFICACION!$E$2:$E$500,MATCH("D3.14a|"&amp;CAPTURA!BC172,CODIFICACION!$F$2:$F$500,0))="sin dato","",INDEX(CODIFICACION!$E$2:$E$500,MATCH("D3.14a|"&amp;CAPTURA!BC172,CODIFICACION!$F$2:$F$500,0))),"⚠"))</f>
        <v/>
      </c>
      <c r="Y172" t="str">
        <f>IF(CAPTURA!BD172="","",IFERROR(IF(INDEX(CODIFICACION!$E$2:$E$500,MATCH("D3.14b|"&amp;CAPTURA!BD172,CODIFICACION!$F$2:$F$500,0))="sin dato","",INDEX(CODIFICACION!$E$2:$E$500,MATCH("D3.14b|"&amp;CAPTURA!BD172,CODIFICACION!$F$2:$F$500,0))),"⚠"))</f>
        <v/>
      </c>
      <c r="Z172" t="str">
        <f>IF(CAPTURA!BE172="","",IFERROR(IF(INDEX(CODIFICACION!$E$2:$E$500,MATCH("D3.14c|"&amp;CAPTURA!BE172,CODIFICACION!$F$2:$F$500,0))="sin dato","",INDEX(CODIFICACION!$E$2:$E$500,MATCH("D3.14c|"&amp;CAPTURA!BE172,CODIFICACION!$F$2:$F$500,0))),"⚠"))</f>
        <v/>
      </c>
      <c r="AA172" t="str">
        <f>IF(CAPTURA!BF172="","",IFERROR(IF(INDEX(CODIFICACION!$E$2:$E$500,MATCH("D3.14d|"&amp;CAPTURA!BF172,CODIFICACION!$F$2:$F$500,0))="sin dato","",INDEX(CODIFICACION!$E$2:$E$500,MATCH("D3.14d|"&amp;CAPTURA!BF172,CODIFICACION!$F$2:$F$500,0))),"⚠"))</f>
        <v/>
      </c>
      <c r="AB172" t="str">
        <f>IF(CAPTURA!BG172="","",IFERROR(IF(INDEX(CODIFICACION!$E$2:$E$500,MATCH("D3.14e|"&amp;CAPTURA!BG172,CODIFICACION!$F$2:$F$500,0))="sin dato","",INDEX(CODIFICACION!$E$2:$E$500,MATCH("D3.14e|"&amp;CAPTURA!BG172,CODIFICACION!$F$2:$F$500,0))),"⚠"))</f>
        <v/>
      </c>
      <c r="AC172" t="str">
        <f>IF(CAPTURA!BH172="","",IFERROR(IF(INDEX(CODIFICACION!$E$2:$E$500,MATCH("D3.14f|"&amp;CAPTURA!BH172,CODIFICACION!$F$2:$F$500,0))="sin dato","",INDEX(CODIFICACION!$E$2:$E$500,MATCH("D3.14f|"&amp;CAPTURA!BH172,CODIFICACION!$F$2:$F$500,0))),"⚠"))</f>
        <v/>
      </c>
      <c r="AD172" t="str">
        <f>IF(CAPTURA!BI172="","",IFERROR(IF(INDEX(CODIFICACION!$E$2:$E$500,MATCH("D3.14g|"&amp;CAPTURA!BI172,CODIFICACION!$F$2:$F$500,0))="sin dato","",INDEX(CODIFICACION!$E$2:$E$500,MATCH("D3.14g|"&amp;CAPTURA!BI172,CODIFICACION!$F$2:$F$500,0))),"⚠"))</f>
        <v/>
      </c>
      <c r="AE172" t="str">
        <f>IF(CAPTURA!BJ172="","",IFERROR(IF(INDEX(CODIFICACION!$E$2:$E$500,MATCH("D3.14h|"&amp;CAPTURA!BJ172,CODIFICACION!$F$2:$F$500,0))="sin dato","",INDEX(CODIFICACION!$E$2:$E$500,MATCH("D3.14h|"&amp;CAPTURA!BJ172,CODIFICACION!$F$2:$F$500,0))),"⚠"))</f>
        <v/>
      </c>
      <c r="AF172" t="str">
        <f>IF(CAPTURA!BK172="","",IFERROR(IF(INDEX(CODIFICACION!$E$2:$E$500,MATCH("D3.14i|"&amp;CAPTURA!BK172,CODIFICACION!$F$2:$F$500,0))="sin dato","",INDEX(CODIFICACION!$E$2:$E$500,MATCH("D3.14i|"&amp;CAPTURA!BK172,CODIFICACION!$F$2:$F$500,0))),"⚠"))</f>
        <v/>
      </c>
      <c r="AG172" t="str">
        <f>IF(CAPTURA!BL172="","",IFERROR(IF(INDEX(CODIFICACION!$E$2:$E$500,MATCH("D4.15|"&amp;CAPTURA!BL172,CODIFICACION!$F$2:$F$500,0))="sin dato","",INDEX(CODIFICACION!$E$2:$E$500,MATCH("D4.15|"&amp;CAPTURA!BL172,CODIFICACION!$F$2:$F$500,0))),"⚠"))</f>
        <v/>
      </c>
      <c r="AH172" t="str">
        <f>IF(CAPTURA!BM172="","",IF(AND(ISNUMBER(CAPTURA!BM172),CAPTURA!BM172&gt;=0,CAPTURA!BM172&lt;=4),CAPTURA!BM172*25,"⚠"))</f>
        <v/>
      </c>
      <c r="AI172" t="str">
        <f>IF(CAPTURA!BN172="","",IFERROR(IF(INDEX(CODIFICACION!$E$2:$E$500,MATCH("D4.17|"&amp;CAPTURA!BN172,CODIFICACION!$F$2:$F$500,0))="sin dato","",INDEX(CODIFICACION!$E$2:$E$500,MATCH("D4.17|"&amp;CAPTURA!BN172,CODIFICACION!$F$2:$F$500,0))),"⚠"))</f>
        <v/>
      </c>
      <c r="AJ172" t="str">
        <f>IF(CAPTURA!BO172="","",IFERROR(IF(INDEX(CODIFICACION!$E$2:$E$500,MATCH("D4.15a|"&amp;CAPTURA!BO172,CODIFICACION!$F$2:$F$500,0))="sin dato","",INDEX(CODIFICACION!$E$2:$E$500,MATCH("D4.15a|"&amp;CAPTURA!BO172,CODIFICACION!$F$2:$F$500,0))),"⚠"))</f>
        <v/>
      </c>
      <c r="AK172" t="str">
        <f>IF(CAPTURA!BP172="","",IF(AND(ISNUMBER(CAPTURA!BP172),CAPTURA!BP172&gt;=0,CAPTURA!BP172&lt;=4),CAPTURA!BP172*25,"⚠"))</f>
        <v/>
      </c>
      <c r="AL172" t="str">
        <f>IF(CAPTURA!BQ172="","",IF(AND(ISNUMBER(CAPTURA!BQ172),CAPTURA!BQ172&gt;=0,CAPTURA!BQ172&lt;=4),CAPTURA!BQ172*25,"⚠"))</f>
        <v/>
      </c>
      <c r="AM172" t="str">
        <f>IF(CAPTURA!BR172="","",IFERROR(IF(INDEX(CODIFICACION!$E$2:$E$500,MATCH("D5.18b|"&amp;CAPTURA!BR172,CODIFICACION!$F$2:$F$500,0))="sin dato","",INDEX(CODIFICACION!$E$2:$E$500,MATCH("D5.18b|"&amp;CAPTURA!BR172,CODIFICACION!$F$2:$F$500,0))),"⚠"))</f>
        <v/>
      </c>
      <c r="AN172" t="str">
        <f>IF(CAPTURA!BS172="","",IFERROR(IF(INDEX(CODIFICACION!$E$2:$E$500,MATCH("D5.19|"&amp;CAPTURA!BS172,CODIFICACION!$F$2:$F$500,0))="sin dato","",INDEX(CODIFICACION!$E$2:$E$500,MATCH("D5.19|"&amp;CAPTURA!BS172,CODIFICACION!$F$2:$F$500,0))),"⚠"))</f>
        <v/>
      </c>
      <c r="AO172" t="str">
        <f>IF(CAPTURA!BT172="","",MIN(100,ROUND((LEN(CAPTURA!BT172)-LEN(SUBSTITUTE(CAPTURA!BT172,";",""))+1)/7*100,1)))</f>
        <v/>
      </c>
      <c r="AP172" t="str">
        <f>IF(CAPTURA!BU172="","",IFERROR(IF(INDEX(CODIFICACION!$E$2:$E$500,MATCH("D5.20|"&amp;CAPTURA!BU172,CODIFICACION!$F$2:$F$500,0))="sin dato","",INDEX(CODIFICACION!$E$2:$E$500,MATCH("D5.20|"&amp;CAPTURA!BU172,CODIFICACION!$F$2:$F$500,0))),"⚠"))</f>
        <v/>
      </c>
      <c r="AQ172" t="str">
        <f>IF(CAPTURA!BV172="","",IFERROR(IF(INDEX(CODIFICACION!$E$2:$E$500,MATCH("D5.21|"&amp;CAPTURA!BV172,CODIFICACION!$F$2:$F$500,0))="sin dato","",INDEX(CODIFICACION!$E$2:$E$500,MATCH("D5.21|"&amp;CAPTURA!BV172,CODIFICACION!$F$2:$F$500,0))),"⚠"))</f>
        <v/>
      </c>
      <c r="AR172" t="str">
        <f>IF(CAPTURA!BW172="","",IFERROR(IF(INDEX(CODIFICACION!$E$2:$E$500,MATCH("D5.21a|"&amp;CAPTURA!BW172,CODIFICACION!$F$2:$F$500,0))="sin dato","",INDEX(CODIFICACION!$E$2:$E$500,MATCH("D5.21a|"&amp;CAPTURA!BW172,CODIFICACION!$F$2:$F$500,0))),"⚠"))</f>
        <v/>
      </c>
      <c r="AS172" t="str">
        <f>IF(CAPTURA!BX172="","",IFERROR(IF(INDEX(CODIFICACION!$E$2:$E$500,MATCH("D5.21b|"&amp;CAPTURA!BX172,CODIFICACION!$F$2:$F$500,0))="sin dato","",INDEX(CODIFICACION!$E$2:$E$500,MATCH("D5.21b|"&amp;CAPTURA!BX172,CODIFICACION!$F$2:$F$500,0))),"⚠"))</f>
        <v/>
      </c>
      <c r="AT172" t="str">
        <f>IF(CAPTURA!BY172="","",IFERROR(IF(INDEX(CODIFICACION!$E$2:$E$500,MATCH("D6.22|"&amp;CAPTURA!BY172,CODIFICACION!$F$2:$F$500,0))="sin dato","",INDEX(CODIFICACION!$E$2:$E$500,MATCH("D6.22|"&amp;CAPTURA!BY172,CODIFICACION!$F$2:$F$500,0))),"⚠"))</f>
        <v/>
      </c>
      <c r="AU172" t="str">
        <f>IF(CAPTURA!BZ172="","",IFERROR(IF(INDEX(CODIFICACION!$E$2:$E$500,MATCH("D6.22a|"&amp;CAPTURA!BZ172,CODIFICACION!$F$2:$F$500,0))="sin dato","",INDEX(CODIFICACION!$E$2:$E$500,MATCH("D6.22a|"&amp;CAPTURA!BZ172,CODIFICACION!$F$2:$F$500,0))),"⚠"))</f>
        <v/>
      </c>
      <c r="AV172" t="str">
        <f>IF(CAPTURA!CA172="","",IFERROR(IF(INDEX(CODIFICACION!$E$2:$E$500,MATCH("D6.22b|"&amp;CAPTURA!CA172,CODIFICACION!$F$2:$F$500,0))="sin dato","",INDEX(CODIFICACION!$E$2:$E$500,MATCH("D6.22b|"&amp;CAPTURA!CA172,CODIFICACION!$F$2:$F$500,0))),"⚠"))</f>
        <v/>
      </c>
      <c r="AW172" t="str">
        <f>IF(CAPTURA!CB172="","",IFERROR(IF(INDEX(CODIFICACION!$E$2:$E$500,MATCH("D6.23|"&amp;CAPTURA!CB172,CODIFICACION!$F$2:$F$500,0))="sin dato","",INDEX(CODIFICACION!$E$2:$E$500,MATCH("D6.23|"&amp;CAPTURA!CB172,CODIFICACION!$F$2:$F$500,0))),"⚠"))</f>
        <v/>
      </c>
      <c r="AX172" t="str">
        <f>IF(CAPTURA!CC172="","",IFERROR(IF(INDEX(CODIFICACION!$E$2:$E$500,MATCH("D6.24|"&amp;CAPTURA!CC172,CODIFICACION!$F$2:$F$500,0))="sin dato","",INDEX(CODIFICACION!$E$2:$E$500,MATCH("D6.24|"&amp;CAPTURA!CC172,CODIFICACION!$F$2:$F$500,0))),"⚠"))</f>
        <v/>
      </c>
      <c r="AY172" t="str">
        <f>IF(CAPTURA!CD172="","",IFERROR(IF(INDEX(CODIFICACION!$E$2:$E$500,MATCH("D6.25|"&amp;CAPTURA!CD172,CODIFICACION!$F$2:$F$500,0))="sin dato","",INDEX(CODIFICACION!$E$2:$E$500,MATCH("D6.25|"&amp;CAPTURA!CD172,CODIFICACION!$F$2:$F$500,0))),"⚠"))</f>
        <v/>
      </c>
      <c r="AZ172" t="str">
        <f>IF(CAPTURA!CE172="","",IFERROR(IF(INDEX(CODIFICACION!$E$2:$E$500,MATCH("D6.25a|"&amp;CAPTURA!CE172,CODIFICACION!$F$2:$F$500,0))="sin dato","",INDEX(CODIFICACION!$E$2:$E$500,MATCH("D6.25a|"&amp;CAPTURA!CE172,CODIFICACION!$F$2:$F$500,0))),"⚠"))</f>
        <v/>
      </c>
      <c r="BA172" t="str">
        <f>IF(CAPTURA!CF172="","",IFERROR(IF(INDEX(CODIFICACION!$E$2:$E$500,MATCH("D6.25b|"&amp;CAPTURA!CF172,CODIFICACION!$F$2:$F$500,0))="sin dato","",INDEX(CODIFICACION!$E$2:$E$500,MATCH("D6.25b|"&amp;CAPTURA!CF172,CODIFICACION!$F$2:$F$500,0))),"⚠"))</f>
        <v/>
      </c>
      <c r="BB172" t="str">
        <f>IF(CAPTURA!CG172="","",IFERROR(IF(INDEX(CODIFICACION!$E$2:$E$500,MATCH("D6.22c|"&amp;CAPTURA!CG172,CODIFICACION!$F$2:$F$500,0))="sin dato","",INDEX(CODIFICACION!$E$2:$E$500,MATCH("D6.22c|"&amp;CAPTURA!CG172,CODIFICACION!$F$2:$F$500,0))),"⚠"))</f>
        <v/>
      </c>
      <c r="BC172" t="str">
        <f>IF(CAPTURA!CH172="","",IFERROR(IF(INDEX(CODIFICACION!$E$2:$E$500,MATCH("D7.26|"&amp;CAPTURA!CH172,CODIFICACION!$F$2:$F$500,0))="sin dato","",INDEX(CODIFICACION!$E$2:$E$500,MATCH("D7.26|"&amp;CAPTURA!CH172,CODIFICACION!$F$2:$F$500,0))),"⚠"))</f>
        <v/>
      </c>
      <c r="BD172" t="str">
        <f>IF(CAPTURA!CI172="","",IFERROR(IF(INDEX(CODIFICACION!$E$2:$E$500,MATCH("D7.27|"&amp;CAPTURA!CI172,CODIFICACION!$F$2:$F$500,0))="sin dato","",INDEX(CODIFICACION!$E$2:$E$500,MATCH("D7.27|"&amp;CAPTURA!CI172,CODIFICACION!$F$2:$F$500,0))),"⚠"))</f>
        <v/>
      </c>
      <c r="BE172" t="str">
        <f>IF(CAPTURA!CJ172="","",IFERROR(IF(INDEX(CODIFICACION!$E$2:$E$500,MATCH("D7.28|"&amp;CAPTURA!CJ172,CODIFICACION!$F$2:$F$500,0))="sin dato","",INDEX(CODIFICACION!$E$2:$E$500,MATCH("D7.28|"&amp;CAPTURA!CJ172,CODIFICACION!$F$2:$F$500,0))),"⚠"))</f>
        <v/>
      </c>
      <c r="BF172" t="str">
        <f>IF(CAPTURA!CK172="","",IFERROR(IF(INDEX(CODIFICACION!$E$2:$E$500,MATCH("D7.28b|"&amp;CAPTURA!CK172,CODIFICACION!$F$2:$F$500,0))="sin dato","",INDEX(CODIFICACION!$E$2:$E$500,MATCH("D7.28b|"&amp;CAPTURA!CK172,CODIFICACION!$F$2:$F$500,0))),"⚠"))</f>
        <v/>
      </c>
      <c r="BG172" t="str">
        <f>IF(CAPTURA!CL172="","",MIN(100,ROUND((LEN(CAPTURA!CL172)-LEN(SUBSTITUTE(CAPTURA!CL172,";",""))+1)/8*100,1)))</f>
        <v/>
      </c>
      <c r="BH172" t="str">
        <f>IF(CAPTURA!CM172="","",IFERROR(IF(INDEX(CODIFICACION!$E$2:$E$500,MATCH("D7.26a|"&amp;CAPTURA!CM172,CODIFICACION!$F$2:$F$500,0))="sin dato","",INDEX(CODIFICACION!$E$2:$E$500,MATCH("D7.26a|"&amp;CAPTURA!CM172,CODIFICACION!$F$2:$F$500,0))),"⚠"))</f>
        <v/>
      </c>
      <c r="BI172" t="str">
        <f>IF(CAPTURA!CN172="","",IFERROR(IF(INDEX(CODIFICACION!$E$2:$E$500,MATCH("D7.26b|"&amp;CAPTURA!CN172,CODIFICACION!$F$2:$F$500,0))="sin dato","",INDEX(CODIFICACION!$E$2:$E$500,MATCH("D7.26b|"&amp;CAPTURA!CN172,CODIFICACION!$F$2:$F$500,0))),"⚠"))</f>
        <v/>
      </c>
      <c r="BJ172" t="str">
        <f>IF(CAPTURA!CO172="","",IF(AND(ISNUMBER(CAPTURA!CO172),CAPTURA!CO172&gt;=0,CAPTURA!CO172&lt;=4),CAPTURA!CO172*25,"⚠"))</f>
        <v/>
      </c>
      <c r="BK172" t="str">
        <f>IF(CAPTURA!CP172="","",IF(ISNUMBER(CAPTURA!CP172),MAX(0,MIN(100,CAPTURA!CP172)),"⚠"))</f>
        <v/>
      </c>
      <c r="BL172" t="str">
        <f>IF(CAPTURA!CQ172="","",IFERROR(IF(INDEX(CODIFICACION!$E$2:$E$500,MATCH("D8.31|"&amp;CAPTURA!CQ172,CODIFICACION!$F$2:$F$500,0))="sin dato","",INDEX(CODIFICACION!$E$2:$E$500,MATCH("D8.31|"&amp;CAPTURA!CQ172,CODIFICACION!$F$2:$F$500,0))),"⚠"))</f>
        <v/>
      </c>
      <c r="BM172" t="str">
        <f>IF(CAPTURA!CR172="","",IFERROR(IF(INDEX(CODIFICACION!$E$2:$E$500,MATCH("D8.32|"&amp;CAPTURA!CR172,CODIFICACION!$F$2:$F$500,0))="sin dato","",INDEX(CODIFICACION!$E$2:$E$500,MATCH("D8.32|"&amp;CAPTURA!CR172,CODIFICACION!$F$2:$F$500,0))),"⚠"))</f>
        <v/>
      </c>
      <c r="BN172" t="str">
        <f>IF(CAPTURA!CS172="","",IFERROR(IF(INDEX(CODIFICACION!$E$2:$E$500,MATCH("D9.33|"&amp;CAPTURA!CS172,CODIFICACION!$F$2:$F$500,0))="sin dato","",INDEX(CODIFICACION!$E$2:$E$500,MATCH("D9.33|"&amp;CAPTURA!CS172,CODIFICACION!$F$2:$F$500,0))),"⚠"))</f>
        <v/>
      </c>
      <c r="BO172" t="str">
        <f>IF(CAPTURA!CT172="","",IFERROR(IF(INDEX(CODIFICACION!$E$2:$E$500,MATCH("D9.34|"&amp;CAPTURA!CT172,CODIFICACION!$F$2:$F$500,0))="sin dato","",INDEX(CODIFICACION!$E$2:$E$500,MATCH("D9.34|"&amp;CAPTURA!CT172,CODIFICACION!$F$2:$F$500,0))),"⚠"))</f>
        <v/>
      </c>
      <c r="BP172" t="str">
        <f>IF(CAPTURA!CU172="","",IFERROR(IF(INDEX(CODIFICACION!$E$2:$E$500,MATCH("D9.35|"&amp;CAPTURA!CU172,CODIFICACION!$F$2:$F$500,0))="sin dato","",INDEX(CODIFICACION!$E$2:$E$500,MATCH("D9.35|"&amp;CAPTURA!CU172,CODIFICACION!$F$2:$F$500,0))),"⚠"))</f>
        <v/>
      </c>
      <c r="BQ172" t="str">
        <f>IF(CAPTURA!CV172="","",IFERROR(IF(INDEX(CODIFICACION!$E$2:$E$500,MATCH("D10.36|"&amp;CAPTURA!CV172,CODIFICACION!$F$2:$F$500,0))="sin dato","",INDEX(CODIFICACION!$E$2:$E$500,MATCH("D10.36|"&amp;CAPTURA!CV172,CODIFICACION!$F$2:$F$500,0))),"⚠"))</f>
        <v/>
      </c>
      <c r="BR172" t="str">
        <f>IF(CAPTURA!CW172="","",IFERROR(IF(INDEX(CODIFICACION!$E$2:$E$500,MATCH("D10.37|"&amp;CAPTURA!CW172,CODIFICACION!$F$2:$F$500,0))="sin dato","",INDEX(CODIFICACION!$E$2:$E$500,MATCH("D10.37|"&amp;CAPTURA!CW172,CODIFICACION!$F$2:$F$500,0))),"⚠"))</f>
        <v/>
      </c>
      <c r="BS172" t="str">
        <f>IF(CAPTURA!CX172="","",IFERROR(IF(INDEX(CODIFICACION!$E$2:$E$500,MATCH("D10.36a|"&amp;CAPTURA!CX172,CODIFICACION!$F$2:$F$500,0))="sin dato","",INDEX(CODIFICACION!$E$2:$E$500,MATCH("D10.36a|"&amp;CAPTURA!CX172,CODIFICACION!$F$2:$F$500,0))),"⚠"))</f>
        <v/>
      </c>
      <c r="BT172" t="str">
        <f>IF(CAPTURA!CY172="","",IF(ISNUMBER(SEARCH("Ninguno",CAPTURA!CY172)),0,MIN(100,ROUND((LEN(CAPTURA!CY172)-LEN(SUBSTITUTE(CAPTURA!CY172,";",""))+1)/6*100,1))))</f>
        <v/>
      </c>
      <c r="BU172" t="str">
        <f>IF(CAPTURA!DA172="","",IFERROR(IF(INDEX(CODIFICACION!$E$2:$E$500,MATCH("D11.39a|"&amp;CAPTURA!DA172,CODIFICACION!$F$2:$F$500,0))="sin dato","",INDEX(CODIFICACION!$E$2:$E$500,MATCH("D11.39a|"&amp;CAPTURA!DA172,CODIFICACION!$F$2:$F$500,0))),"⚠"))</f>
        <v/>
      </c>
      <c r="BV172" t="str">
        <f>IF(CAPTURA!DB172="","",IFERROR(IF(INDEX(CODIFICACION!$E$2:$E$500,MATCH("D12.42|"&amp;CAPTURA!DB172,CODIFICACION!$F$2:$F$500,0))="sin dato","",INDEX(CODIFICACION!$E$2:$E$500,MATCH("D12.42|"&amp;CAPTURA!DB172,CODIFICACION!$F$2:$F$500,0))),"⚠"))</f>
        <v/>
      </c>
      <c r="BW172" t="str">
        <f>IF(CAPTURA!DC172="","",IFERROR(IF(INDEX(CODIFICACION!$E$2:$E$500,MATCH("D13.45|"&amp;CAPTURA!DC172,CODIFICACION!$F$2:$F$500,0))="sin dato","",INDEX(CODIFICACION!$E$2:$E$500,MATCH("D13.45|"&amp;CAPTURA!DC172,CODIFICACION!$F$2:$F$500,0))),"⚠"))</f>
        <v/>
      </c>
      <c r="BX172" t="str">
        <f>IF(CAPTURA!DD172="","",IFERROR(IF(INDEX(CODIFICACION!$E$2:$E$500,MATCH("D14.51|"&amp;CAPTURA!DD172,CODIFICACION!$F$2:$F$500,0))="sin dato","",INDEX(CODIFICACION!$E$2:$E$500,MATCH("D14.51|"&amp;CAPTURA!DD172,CODIFICACION!$F$2:$F$500,0))),"⚠"))</f>
        <v/>
      </c>
      <c r="BY172" t="str">
        <f>IF(CAPTURA!DE172="","",IFERROR(IF(INDEX(CODIFICACION!$E$2:$E$500,MATCH("D15.58|"&amp;CAPTURA!DE172,CODIFICACION!$F$2:$F$500,0))="sin dato","",INDEX(CODIFICACION!$E$2:$E$500,MATCH("D15.58|"&amp;CAPTURA!DE172,CODIFICACION!$F$2:$F$500,0))),"⚠"))</f>
        <v/>
      </c>
      <c r="BZ172" t="str">
        <f>IF(CAPTURA!DF172="","",IFERROR(IF(INDEX(CODIFICACION!$E$2:$E$500,MATCH("PP1|"&amp;CAPTURA!DF172,CODIFICACION!$F$2:$F$500,0))="sin dato","",INDEX(CODIFICACION!$E$2:$E$500,MATCH("PP1|"&amp;CAPTURA!DF172,CODIFICACION!$F$2:$F$500,0))),"⚠"))</f>
        <v/>
      </c>
      <c r="CA172" t="str">
        <f>IF(CAPTURA!DG172="","",IFERROR(IF(INDEX(CODIFICACION!$E$2:$E$500,MATCH("PP2|"&amp;CAPTURA!DG172,CODIFICACION!$F$2:$F$500,0))="sin dato","",INDEX(CODIFICACION!$E$2:$E$500,MATCH("PP2|"&amp;CAPTURA!DG172,CODIFICACION!$F$2:$F$500,0))),"⚠"))</f>
        <v/>
      </c>
      <c r="CB172" t="str">
        <f t="shared" si="55"/>
        <v/>
      </c>
      <c r="CC172" t="str">
        <f t="shared" si="56"/>
        <v/>
      </c>
      <c r="CD172" t="str">
        <f t="shared" si="57"/>
        <v/>
      </c>
      <c r="CE172" t="str">
        <f t="shared" si="58"/>
        <v/>
      </c>
      <c r="CF172" t="str">
        <f t="shared" si="59"/>
        <v/>
      </c>
      <c r="CG172" t="str">
        <f t="shared" si="60"/>
        <v/>
      </c>
      <c r="CH172" t="str">
        <f t="shared" si="61"/>
        <v/>
      </c>
      <c r="CI172" t="str">
        <f t="shared" si="62"/>
        <v/>
      </c>
      <c r="CJ172" t="str">
        <f t="shared" si="63"/>
        <v/>
      </c>
      <c r="CK172" t="str">
        <f t="shared" si="64"/>
        <v/>
      </c>
      <c r="CL172" t="str">
        <f t="shared" si="65"/>
        <v/>
      </c>
    </row>
    <row r="173" spans="1:90" x14ac:dyDescent="0.3">
      <c r="A173">
        <f>CAPTURA!A173</f>
        <v>20610772553</v>
      </c>
      <c r="B173">
        <f>CAPTURA!C173</f>
        <v>0</v>
      </c>
      <c r="C173" t="str">
        <f>IF(CAPTURA!M173="","",ROUND((ISNUMBER(SEARCH("Alemania",CAPTURA!M173))+ISNUMBER(SEARCH("Bélgica",CAPTURA!M173))+ISNUMBER(SEARCH("Países Bajos",CAPTURA!M173))+ISNUMBER(SEARCH("Francia",CAPTURA!M173))+ISNUMBER(SEARCH("Italia",CAPTURA!M173))+ISNUMBER(SEARCH("España",CAPTURA!M173))+ISNUMBER(SEARCH("Suecia",CAPTURA!M173))+ISNUMBER(SEARCH("Dinamarca",CAPTURA!M173)))/((LEN(CAPTURA!M173)-LEN(SUBSTITUTE(CAPTURA!M173,";","")))+1)*100,1))</f>
        <v/>
      </c>
      <c r="D173" t="str">
        <f>IF(CAPTURA!AE173="","",IFERROR(IF(INDEX(CODIFICACION!$E$2:$E$500,MATCH("P8|"&amp;CAPTURA!AE173,CODIFICACION!$F$2:$F$500,0))="sin dato","",INDEX(CODIFICACION!$E$2:$E$500,MATCH("P8|"&amp;CAPTURA!AE173,CODIFICACION!$F$2:$F$500,0))),"⚠"))</f>
        <v/>
      </c>
      <c r="E173" t="str">
        <f>IF(CAPTURA!AG173="","",IFERROR(IF(INDEX(CODIFICACION!$E$2:$E$500,MATCH("P10|"&amp;CAPTURA!AG173,CODIFICACION!$F$2:$F$500,0))="sin dato","",INDEX(CODIFICACION!$E$2:$E$500,MATCH("P10|"&amp;CAPTURA!AG173,CODIFICACION!$F$2:$F$500,0))),"⚠"))</f>
        <v/>
      </c>
      <c r="F173" t="str">
        <f>IF(CAPTURA!AJ173="","",IFERROR(IF(INDEX(CODIFICACION!$E$2:$E$500,MATCH("P13|"&amp;CAPTURA!AJ173,CODIFICACION!$F$2:$F$500,0))="sin dato","",INDEX(CODIFICACION!$E$2:$E$500,MATCH("P13|"&amp;CAPTURA!AJ173,CODIFICACION!$F$2:$F$500,0))),"⚠"))</f>
        <v/>
      </c>
      <c r="G173" t="str">
        <f>IF(CAPTURA!AK173="","",IFERROR(IF(INDEX(CODIFICACION!$E$2:$E$500,MATCH("P14|"&amp;CAPTURA!AK173,CODIFICACION!$F$2:$F$500,0))="sin dato","",INDEX(CODIFICACION!$E$2:$E$500,MATCH("P14|"&amp;CAPTURA!AK173,CODIFICACION!$F$2:$F$500,0))),"⚠"))</f>
        <v/>
      </c>
      <c r="H173" t="str">
        <f>IF(CAPTURA!AL173="","",IFERROR(IF(INDEX(CODIFICACION!$E$2:$E$500,MATCH("D1.1|"&amp;CAPTURA!AL173,CODIFICACION!$F$2:$F$500,0))="sin dato","",INDEX(CODIFICACION!$E$2:$E$500,MATCH("D1.1|"&amp;CAPTURA!AL173,CODIFICACION!$F$2:$F$500,0))),"⚠"))</f>
        <v/>
      </c>
      <c r="I173" t="str">
        <f>IF(CAPTURA!AN173="","",IFERROR(IF(INDEX(CODIFICACION!$E$2:$E$500,MATCH("D1.3|"&amp;CAPTURA!AN173,CODIFICACION!$F$2:$F$500,0))="sin dato","",INDEX(CODIFICACION!$E$2:$E$500,MATCH("D1.3|"&amp;CAPTURA!AN173,CODIFICACION!$F$2:$F$500,0))),"⚠"))</f>
        <v/>
      </c>
      <c r="J173" t="str">
        <f>IF(CAPTURA!AO173="","",IFERROR(IF(INDEX(CODIFICACION!$E$2:$E$500,MATCH("D1.4|"&amp;CAPTURA!AO173,CODIFICACION!$F$2:$F$500,0))="sin dato","",INDEX(CODIFICACION!$E$2:$E$500,MATCH("D1.4|"&amp;CAPTURA!AO173,CODIFICACION!$F$2:$F$500,0))),"⚠"))</f>
        <v/>
      </c>
      <c r="K173" t="str">
        <f>IF(CAPTURA!AP173="","",IFERROR(IF(INDEX(CODIFICACION!$E$2:$E$500,MATCH("D1.3a|"&amp;CAPTURA!AP173,CODIFICACION!$F$2:$F$500,0))="sin dato","",INDEX(CODIFICACION!$E$2:$E$500,MATCH("D1.3a|"&amp;CAPTURA!AP173,CODIFICACION!$F$2:$F$500,0))),"⚠"))</f>
        <v/>
      </c>
      <c r="L173" t="str">
        <f>IF(CAPTURA!AQ173="","",IF(AND(ISNUMBER(CAPTURA!AQ173),CAPTURA!AQ173&gt;=0,CAPTURA!AQ173&lt;=4),CAPTURA!AQ173*25,"⚠"))</f>
        <v/>
      </c>
      <c r="M173" t="str">
        <f>IF(CAPTURA!AR173="","",IF(ISNUMBER(CAPTURA!AR173),MAX(0,MIN(100,CAPTURA!AR173)),"⚠"))</f>
        <v/>
      </c>
      <c r="N173" t="str">
        <f>IF(CAPTURA!AS173="","",IF(AND(ISNUMBER(CAPTURA!AS173),CAPTURA!AS173&gt;=0,CAPTURA!AS173&lt;=4),CAPTURA!AS173*25,"⚠"))</f>
        <v/>
      </c>
      <c r="O173" t="str">
        <f>IF(CAPTURA!AT173="","",IFERROR(IF(INDEX(CODIFICACION!$E$2:$E$500,MATCH("D2.8|"&amp;CAPTURA!AT173,CODIFICACION!$F$2:$F$500,0))="sin dato","",INDEX(CODIFICACION!$E$2:$E$500,MATCH("D2.8|"&amp;CAPTURA!AT173,CODIFICACION!$F$2:$F$500,0))),"⚠"))</f>
        <v/>
      </c>
      <c r="P173" t="str">
        <f>IF(CAPTURA!AU173="","",IFERROR(IF(INDEX(CODIFICACION!$E$2:$E$500,MATCH("D2.9|"&amp;CAPTURA!AU173,CODIFICACION!$F$2:$F$500,0))="sin dato","",INDEX(CODIFICACION!$E$2:$E$500,MATCH("D2.9|"&amp;CAPTURA!AU173,CODIFICACION!$F$2:$F$500,0))),"⚠"))</f>
        <v/>
      </c>
      <c r="Q173" t="str">
        <f>IF(CAPTURA!AV173="","",IFERROR(IF(INDEX(CODIFICACION!$E$2:$E$500,MATCH("D2.10|"&amp;CAPTURA!AV173,CODIFICACION!$F$2:$F$500,0))="sin dato","",INDEX(CODIFICACION!$E$2:$E$500,MATCH("D2.10|"&amp;CAPTURA!AV173,CODIFICACION!$F$2:$F$500,0))),"⚠"))</f>
        <v/>
      </c>
      <c r="R173" t="str">
        <f>IF(CAPTURA!AW173="","",IFERROR(IF(INDEX(CODIFICACION!$E$2:$E$500,MATCH("D2.5a|"&amp;CAPTURA!AW173,CODIFICACION!$F$2:$F$500,0))="sin dato","",INDEX(CODIFICACION!$E$2:$E$500,MATCH("D2.5a|"&amp;CAPTURA!AW173,CODIFICACION!$F$2:$F$500,0))),"⚠"))</f>
        <v/>
      </c>
      <c r="S173" t="str">
        <f>IF(CAPTURA!AX173="","",IFERROR(IF(INDEX(CODIFICACION!$E$2:$E$500,MATCH("D2.5b|"&amp;CAPTURA!AX173,CODIFICACION!$F$2:$F$500,0))="sin dato","",INDEX(CODIFICACION!$E$2:$E$500,MATCH("D2.5b|"&amp;CAPTURA!AX173,CODIFICACION!$F$2:$F$500,0))),"⚠"))</f>
        <v/>
      </c>
      <c r="T173" t="str">
        <f>IF(CAPTURA!AY173="","",IF(ISNUMBER(CAPTURA!AY173),MAX(0,MIN(100,CAPTURA!AY173)),"⚠"))</f>
        <v/>
      </c>
      <c r="U173" t="str">
        <f>IF(CAPTURA!AZ173="","",IFERROR(IF(INDEX(CODIFICACION!$E$2:$E$500,MATCH("D3.12|"&amp;CAPTURA!AZ173,CODIFICACION!$F$2:$F$500,0))="sin dato","",INDEX(CODIFICACION!$E$2:$E$500,MATCH("D3.12|"&amp;CAPTURA!AZ173,CODIFICACION!$F$2:$F$500,0))),"⚠"))</f>
        <v/>
      </c>
      <c r="V173" t="str">
        <f>IF(CAPTURA!BA173="","",IF(AND(ISNUMBER(CAPTURA!BA173),CAPTURA!BA173&gt;=0,CAPTURA!BA173&lt;=4),CAPTURA!BA173*25,"⚠"))</f>
        <v/>
      </c>
      <c r="W173" t="str">
        <f>IF(CAPTURA!BB173="","",IFERROR(IF(INDEX(CODIFICACION!$E$2:$E$500,MATCH("D3.14|"&amp;CAPTURA!BB173,CODIFICACION!$F$2:$F$500,0))="sin dato","",INDEX(CODIFICACION!$E$2:$E$500,MATCH("D3.14|"&amp;CAPTURA!BB173,CODIFICACION!$F$2:$F$500,0))),"⚠"))</f>
        <v/>
      </c>
      <c r="X173" t="str">
        <f>IF(CAPTURA!BC173="","",IFERROR(IF(INDEX(CODIFICACION!$E$2:$E$500,MATCH("D3.14a|"&amp;CAPTURA!BC173,CODIFICACION!$F$2:$F$500,0))="sin dato","",INDEX(CODIFICACION!$E$2:$E$500,MATCH("D3.14a|"&amp;CAPTURA!BC173,CODIFICACION!$F$2:$F$500,0))),"⚠"))</f>
        <v/>
      </c>
      <c r="Y173" t="str">
        <f>IF(CAPTURA!BD173="","",IFERROR(IF(INDEX(CODIFICACION!$E$2:$E$500,MATCH("D3.14b|"&amp;CAPTURA!BD173,CODIFICACION!$F$2:$F$500,0))="sin dato","",INDEX(CODIFICACION!$E$2:$E$500,MATCH("D3.14b|"&amp;CAPTURA!BD173,CODIFICACION!$F$2:$F$500,0))),"⚠"))</f>
        <v/>
      </c>
      <c r="Z173" t="str">
        <f>IF(CAPTURA!BE173="","",IFERROR(IF(INDEX(CODIFICACION!$E$2:$E$500,MATCH("D3.14c|"&amp;CAPTURA!BE173,CODIFICACION!$F$2:$F$500,0))="sin dato","",INDEX(CODIFICACION!$E$2:$E$500,MATCH("D3.14c|"&amp;CAPTURA!BE173,CODIFICACION!$F$2:$F$500,0))),"⚠"))</f>
        <v/>
      </c>
      <c r="AA173" t="str">
        <f>IF(CAPTURA!BF173="","",IFERROR(IF(INDEX(CODIFICACION!$E$2:$E$500,MATCH("D3.14d|"&amp;CAPTURA!BF173,CODIFICACION!$F$2:$F$500,0))="sin dato","",INDEX(CODIFICACION!$E$2:$E$500,MATCH("D3.14d|"&amp;CAPTURA!BF173,CODIFICACION!$F$2:$F$500,0))),"⚠"))</f>
        <v/>
      </c>
      <c r="AB173" t="str">
        <f>IF(CAPTURA!BG173="","",IFERROR(IF(INDEX(CODIFICACION!$E$2:$E$500,MATCH("D3.14e|"&amp;CAPTURA!BG173,CODIFICACION!$F$2:$F$500,0))="sin dato","",INDEX(CODIFICACION!$E$2:$E$500,MATCH("D3.14e|"&amp;CAPTURA!BG173,CODIFICACION!$F$2:$F$500,0))),"⚠"))</f>
        <v/>
      </c>
      <c r="AC173" t="str">
        <f>IF(CAPTURA!BH173="","",IFERROR(IF(INDEX(CODIFICACION!$E$2:$E$500,MATCH("D3.14f|"&amp;CAPTURA!BH173,CODIFICACION!$F$2:$F$500,0))="sin dato","",INDEX(CODIFICACION!$E$2:$E$500,MATCH("D3.14f|"&amp;CAPTURA!BH173,CODIFICACION!$F$2:$F$500,0))),"⚠"))</f>
        <v/>
      </c>
      <c r="AD173" t="str">
        <f>IF(CAPTURA!BI173="","",IFERROR(IF(INDEX(CODIFICACION!$E$2:$E$500,MATCH("D3.14g|"&amp;CAPTURA!BI173,CODIFICACION!$F$2:$F$500,0))="sin dato","",INDEX(CODIFICACION!$E$2:$E$500,MATCH("D3.14g|"&amp;CAPTURA!BI173,CODIFICACION!$F$2:$F$500,0))),"⚠"))</f>
        <v/>
      </c>
      <c r="AE173" t="str">
        <f>IF(CAPTURA!BJ173="","",IFERROR(IF(INDEX(CODIFICACION!$E$2:$E$500,MATCH("D3.14h|"&amp;CAPTURA!BJ173,CODIFICACION!$F$2:$F$500,0))="sin dato","",INDEX(CODIFICACION!$E$2:$E$500,MATCH("D3.14h|"&amp;CAPTURA!BJ173,CODIFICACION!$F$2:$F$500,0))),"⚠"))</f>
        <v/>
      </c>
      <c r="AF173" t="str">
        <f>IF(CAPTURA!BK173="","",IFERROR(IF(INDEX(CODIFICACION!$E$2:$E$500,MATCH("D3.14i|"&amp;CAPTURA!BK173,CODIFICACION!$F$2:$F$500,0))="sin dato","",INDEX(CODIFICACION!$E$2:$E$500,MATCH("D3.14i|"&amp;CAPTURA!BK173,CODIFICACION!$F$2:$F$500,0))),"⚠"))</f>
        <v/>
      </c>
      <c r="AG173" t="str">
        <f>IF(CAPTURA!BL173="","",IFERROR(IF(INDEX(CODIFICACION!$E$2:$E$500,MATCH("D4.15|"&amp;CAPTURA!BL173,CODIFICACION!$F$2:$F$500,0))="sin dato","",INDEX(CODIFICACION!$E$2:$E$500,MATCH("D4.15|"&amp;CAPTURA!BL173,CODIFICACION!$F$2:$F$500,0))),"⚠"))</f>
        <v/>
      </c>
      <c r="AH173" t="str">
        <f>IF(CAPTURA!BM173="","",IF(AND(ISNUMBER(CAPTURA!BM173),CAPTURA!BM173&gt;=0,CAPTURA!BM173&lt;=4),CAPTURA!BM173*25,"⚠"))</f>
        <v/>
      </c>
      <c r="AI173" t="str">
        <f>IF(CAPTURA!BN173="","",IFERROR(IF(INDEX(CODIFICACION!$E$2:$E$500,MATCH("D4.17|"&amp;CAPTURA!BN173,CODIFICACION!$F$2:$F$500,0))="sin dato","",INDEX(CODIFICACION!$E$2:$E$500,MATCH("D4.17|"&amp;CAPTURA!BN173,CODIFICACION!$F$2:$F$500,0))),"⚠"))</f>
        <v/>
      </c>
      <c r="AJ173" t="str">
        <f>IF(CAPTURA!BO173="","",IFERROR(IF(INDEX(CODIFICACION!$E$2:$E$500,MATCH("D4.15a|"&amp;CAPTURA!BO173,CODIFICACION!$F$2:$F$500,0))="sin dato","",INDEX(CODIFICACION!$E$2:$E$500,MATCH("D4.15a|"&amp;CAPTURA!BO173,CODIFICACION!$F$2:$F$500,0))),"⚠"))</f>
        <v/>
      </c>
      <c r="AK173" t="str">
        <f>IF(CAPTURA!BP173="","",IF(AND(ISNUMBER(CAPTURA!BP173),CAPTURA!BP173&gt;=0,CAPTURA!BP173&lt;=4),CAPTURA!BP173*25,"⚠"))</f>
        <v/>
      </c>
      <c r="AL173" t="str">
        <f>IF(CAPTURA!BQ173="","",IF(AND(ISNUMBER(CAPTURA!BQ173),CAPTURA!BQ173&gt;=0,CAPTURA!BQ173&lt;=4),CAPTURA!BQ173*25,"⚠"))</f>
        <v/>
      </c>
      <c r="AM173" t="str">
        <f>IF(CAPTURA!BR173="","",IFERROR(IF(INDEX(CODIFICACION!$E$2:$E$500,MATCH("D5.18b|"&amp;CAPTURA!BR173,CODIFICACION!$F$2:$F$500,0))="sin dato","",INDEX(CODIFICACION!$E$2:$E$500,MATCH("D5.18b|"&amp;CAPTURA!BR173,CODIFICACION!$F$2:$F$500,0))),"⚠"))</f>
        <v/>
      </c>
      <c r="AN173" t="str">
        <f>IF(CAPTURA!BS173="","",IFERROR(IF(INDEX(CODIFICACION!$E$2:$E$500,MATCH("D5.19|"&amp;CAPTURA!BS173,CODIFICACION!$F$2:$F$500,0))="sin dato","",INDEX(CODIFICACION!$E$2:$E$500,MATCH("D5.19|"&amp;CAPTURA!BS173,CODIFICACION!$F$2:$F$500,0))),"⚠"))</f>
        <v/>
      </c>
      <c r="AO173" t="str">
        <f>IF(CAPTURA!BT173="","",MIN(100,ROUND((LEN(CAPTURA!BT173)-LEN(SUBSTITUTE(CAPTURA!BT173,";",""))+1)/7*100,1)))</f>
        <v/>
      </c>
      <c r="AP173" t="str">
        <f>IF(CAPTURA!BU173="","",IFERROR(IF(INDEX(CODIFICACION!$E$2:$E$500,MATCH("D5.20|"&amp;CAPTURA!BU173,CODIFICACION!$F$2:$F$500,0))="sin dato","",INDEX(CODIFICACION!$E$2:$E$500,MATCH("D5.20|"&amp;CAPTURA!BU173,CODIFICACION!$F$2:$F$500,0))),"⚠"))</f>
        <v/>
      </c>
      <c r="AQ173" t="str">
        <f>IF(CAPTURA!BV173="","",IFERROR(IF(INDEX(CODIFICACION!$E$2:$E$500,MATCH("D5.21|"&amp;CAPTURA!BV173,CODIFICACION!$F$2:$F$500,0))="sin dato","",INDEX(CODIFICACION!$E$2:$E$500,MATCH("D5.21|"&amp;CAPTURA!BV173,CODIFICACION!$F$2:$F$500,0))),"⚠"))</f>
        <v/>
      </c>
      <c r="AR173" t="str">
        <f>IF(CAPTURA!BW173="","",IFERROR(IF(INDEX(CODIFICACION!$E$2:$E$500,MATCH("D5.21a|"&amp;CAPTURA!BW173,CODIFICACION!$F$2:$F$500,0))="sin dato","",INDEX(CODIFICACION!$E$2:$E$500,MATCH("D5.21a|"&amp;CAPTURA!BW173,CODIFICACION!$F$2:$F$500,0))),"⚠"))</f>
        <v/>
      </c>
      <c r="AS173" t="str">
        <f>IF(CAPTURA!BX173="","",IFERROR(IF(INDEX(CODIFICACION!$E$2:$E$500,MATCH("D5.21b|"&amp;CAPTURA!BX173,CODIFICACION!$F$2:$F$500,0))="sin dato","",INDEX(CODIFICACION!$E$2:$E$500,MATCH("D5.21b|"&amp;CAPTURA!BX173,CODIFICACION!$F$2:$F$500,0))),"⚠"))</f>
        <v/>
      </c>
      <c r="AT173" t="str">
        <f>IF(CAPTURA!BY173="","",IFERROR(IF(INDEX(CODIFICACION!$E$2:$E$500,MATCH("D6.22|"&amp;CAPTURA!BY173,CODIFICACION!$F$2:$F$500,0))="sin dato","",INDEX(CODIFICACION!$E$2:$E$500,MATCH("D6.22|"&amp;CAPTURA!BY173,CODIFICACION!$F$2:$F$500,0))),"⚠"))</f>
        <v/>
      </c>
      <c r="AU173" t="str">
        <f>IF(CAPTURA!BZ173="","",IFERROR(IF(INDEX(CODIFICACION!$E$2:$E$500,MATCH("D6.22a|"&amp;CAPTURA!BZ173,CODIFICACION!$F$2:$F$500,0))="sin dato","",INDEX(CODIFICACION!$E$2:$E$500,MATCH("D6.22a|"&amp;CAPTURA!BZ173,CODIFICACION!$F$2:$F$500,0))),"⚠"))</f>
        <v/>
      </c>
      <c r="AV173" t="str">
        <f>IF(CAPTURA!CA173="","",IFERROR(IF(INDEX(CODIFICACION!$E$2:$E$500,MATCH("D6.22b|"&amp;CAPTURA!CA173,CODIFICACION!$F$2:$F$500,0))="sin dato","",INDEX(CODIFICACION!$E$2:$E$500,MATCH("D6.22b|"&amp;CAPTURA!CA173,CODIFICACION!$F$2:$F$500,0))),"⚠"))</f>
        <v/>
      </c>
      <c r="AW173" t="str">
        <f>IF(CAPTURA!CB173="","",IFERROR(IF(INDEX(CODIFICACION!$E$2:$E$500,MATCH("D6.23|"&amp;CAPTURA!CB173,CODIFICACION!$F$2:$F$500,0))="sin dato","",INDEX(CODIFICACION!$E$2:$E$500,MATCH("D6.23|"&amp;CAPTURA!CB173,CODIFICACION!$F$2:$F$500,0))),"⚠"))</f>
        <v/>
      </c>
      <c r="AX173" t="str">
        <f>IF(CAPTURA!CC173="","",IFERROR(IF(INDEX(CODIFICACION!$E$2:$E$500,MATCH("D6.24|"&amp;CAPTURA!CC173,CODIFICACION!$F$2:$F$500,0))="sin dato","",INDEX(CODIFICACION!$E$2:$E$500,MATCH("D6.24|"&amp;CAPTURA!CC173,CODIFICACION!$F$2:$F$500,0))),"⚠"))</f>
        <v/>
      </c>
      <c r="AY173" t="str">
        <f>IF(CAPTURA!CD173="","",IFERROR(IF(INDEX(CODIFICACION!$E$2:$E$500,MATCH("D6.25|"&amp;CAPTURA!CD173,CODIFICACION!$F$2:$F$500,0))="sin dato","",INDEX(CODIFICACION!$E$2:$E$500,MATCH("D6.25|"&amp;CAPTURA!CD173,CODIFICACION!$F$2:$F$500,0))),"⚠"))</f>
        <v/>
      </c>
      <c r="AZ173" t="str">
        <f>IF(CAPTURA!CE173="","",IFERROR(IF(INDEX(CODIFICACION!$E$2:$E$500,MATCH("D6.25a|"&amp;CAPTURA!CE173,CODIFICACION!$F$2:$F$500,0))="sin dato","",INDEX(CODIFICACION!$E$2:$E$500,MATCH("D6.25a|"&amp;CAPTURA!CE173,CODIFICACION!$F$2:$F$500,0))),"⚠"))</f>
        <v/>
      </c>
      <c r="BA173" t="str">
        <f>IF(CAPTURA!CF173="","",IFERROR(IF(INDEX(CODIFICACION!$E$2:$E$500,MATCH("D6.25b|"&amp;CAPTURA!CF173,CODIFICACION!$F$2:$F$500,0))="sin dato","",INDEX(CODIFICACION!$E$2:$E$500,MATCH("D6.25b|"&amp;CAPTURA!CF173,CODIFICACION!$F$2:$F$500,0))),"⚠"))</f>
        <v/>
      </c>
      <c r="BB173" t="str">
        <f>IF(CAPTURA!CG173="","",IFERROR(IF(INDEX(CODIFICACION!$E$2:$E$500,MATCH("D6.22c|"&amp;CAPTURA!CG173,CODIFICACION!$F$2:$F$500,0))="sin dato","",INDEX(CODIFICACION!$E$2:$E$500,MATCH("D6.22c|"&amp;CAPTURA!CG173,CODIFICACION!$F$2:$F$500,0))),"⚠"))</f>
        <v/>
      </c>
      <c r="BC173" t="str">
        <f>IF(CAPTURA!CH173="","",IFERROR(IF(INDEX(CODIFICACION!$E$2:$E$500,MATCH("D7.26|"&amp;CAPTURA!CH173,CODIFICACION!$F$2:$F$500,0))="sin dato","",INDEX(CODIFICACION!$E$2:$E$500,MATCH("D7.26|"&amp;CAPTURA!CH173,CODIFICACION!$F$2:$F$500,0))),"⚠"))</f>
        <v/>
      </c>
      <c r="BD173" t="str">
        <f>IF(CAPTURA!CI173="","",IFERROR(IF(INDEX(CODIFICACION!$E$2:$E$500,MATCH("D7.27|"&amp;CAPTURA!CI173,CODIFICACION!$F$2:$F$500,0))="sin dato","",INDEX(CODIFICACION!$E$2:$E$500,MATCH("D7.27|"&amp;CAPTURA!CI173,CODIFICACION!$F$2:$F$500,0))),"⚠"))</f>
        <v/>
      </c>
      <c r="BE173" t="str">
        <f>IF(CAPTURA!CJ173="","",IFERROR(IF(INDEX(CODIFICACION!$E$2:$E$500,MATCH("D7.28|"&amp;CAPTURA!CJ173,CODIFICACION!$F$2:$F$500,0))="sin dato","",INDEX(CODIFICACION!$E$2:$E$500,MATCH("D7.28|"&amp;CAPTURA!CJ173,CODIFICACION!$F$2:$F$500,0))),"⚠"))</f>
        <v/>
      </c>
      <c r="BF173" t="str">
        <f>IF(CAPTURA!CK173="","",IFERROR(IF(INDEX(CODIFICACION!$E$2:$E$500,MATCH("D7.28b|"&amp;CAPTURA!CK173,CODIFICACION!$F$2:$F$500,0))="sin dato","",INDEX(CODIFICACION!$E$2:$E$500,MATCH("D7.28b|"&amp;CAPTURA!CK173,CODIFICACION!$F$2:$F$500,0))),"⚠"))</f>
        <v/>
      </c>
      <c r="BG173" t="str">
        <f>IF(CAPTURA!CL173="","",MIN(100,ROUND((LEN(CAPTURA!CL173)-LEN(SUBSTITUTE(CAPTURA!CL173,";",""))+1)/8*100,1)))</f>
        <v/>
      </c>
      <c r="BH173" t="str">
        <f>IF(CAPTURA!CM173="","",IFERROR(IF(INDEX(CODIFICACION!$E$2:$E$500,MATCH("D7.26a|"&amp;CAPTURA!CM173,CODIFICACION!$F$2:$F$500,0))="sin dato","",INDEX(CODIFICACION!$E$2:$E$500,MATCH("D7.26a|"&amp;CAPTURA!CM173,CODIFICACION!$F$2:$F$500,0))),"⚠"))</f>
        <v/>
      </c>
      <c r="BI173" t="str">
        <f>IF(CAPTURA!CN173="","",IFERROR(IF(INDEX(CODIFICACION!$E$2:$E$500,MATCH("D7.26b|"&amp;CAPTURA!CN173,CODIFICACION!$F$2:$F$500,0))="sin dato","",INDEX(CODIFICACION!$E$2:$E$500,MATCH("D7.26b|"&amp;CAPTURA!CN173,CODIFICACION!$F$2:$F$500,0))),"⚠"))</f>
        <v/>
      </c>
      <c r="BJ173" t="str">
        <f>IF(CAPTURA!CO173="","",IF(AND(ISNUMBER(CAPTURA!CO173),CAPTURA!CO173&gt;=0,CAPTURA!CO173&lt;=4),CAPTURA!CO173*25,"⚠"))</f>
        <v/>
      </c>
      <c r="BK173" t="str">
        <f>IF(CAPTURA!CP173="","",IF(ISNUMBER(CAPTURA!CP173),MAX(0,MIN(100,CAPTURA!CP173)),"⚠"))</f>
        <v/>
      </c>
      <c r="BL173" t="str">
        <f>IF(CAPTURA!CQ173="","",IFERROR(IF(INDEX(CODIFICACION!$E$2:$E$500,MATCH("D8.31|"&amp;CAPTURA!CQ173,CODIFICACION!$F$2:$F$500,0))="sin dato","",INDEX(CODIFICACION!$E$2:$E$500,MATCH("D8.31|"&amp;CAPTURA!CQ173,CODIFICACION!$F$2:$F$500,0))),"⚠"))</f>
        <v/>
      </c>
      <c r="BM173" t="str">
        <f>IF(CAPTURA!CR173="","",IFERROR(IF(INDEX(CODIFICACION!$E$2:$E$500,MATCH("D8.32|"&amp;CAPTURA!CR173,CODIFICACION!$F$2:$F$500,0))="sin dato","",INDEX(CODIFICACION!$E$2:$E$500,MATCH("D8.32|"&amp;CAPTURA!CR173,CODIFICACION!$F$2:$F$500,0))),"⚠"))</f>
        <v/>
      </c>
      <c r="BN173" t="str">
        <f>IF(CAPTURA!CS173="","",IFERROR(IF(INDEX(CODIFICACION!$E$2:$E$500,MATCH("D9.33|"&amp;CAPTURA!CS173,CODIFICACION!$F$2:$F$500,0))="sin dato","",INDEX(CODIFICACION!$E$2:$E$500,MATCH("D9.33|"&amp;CAPTURA!CS173,CODIFICACION!$F$2:$F$500,0))),"⚠"))</f>
        <v/>
      </c>
      <c r="BO173" t="str">
        <f>IF(CAPTURA!CT173="","",IFERROR(IF(INDEX(CODIFICACION!$E$2:$E$500,MATCH("D9.34|"&amp;CAPTURA!CT173,CODIFICACION!$F$2:$F$500,0))="sin dato","",INDEX(CODIFICACION!$E$2:$E$500,MATCH("D9.34|"&amp;CAPTURA!CT173,CODIFICACION!$F$2:$F$500,0))),"⚠"))</f>
        <v/>
      </c>
      <c r="BP173" t="str">
        <f>IF(CAPTURA!CU173="","",IFERROR(IF(INDEX(CODIFICACION!$E$2:$E$500,MATCH("D9.35|"&amp;CAPTURA!CU173,CODIFICACION!$F$2:$F$500,0))="sin dato","",INDEX(CODIFICACION!$E$2:$E$500,MATCH("D9.35|"&amp;CAPTURA!CU173,CODIFICACION!$F$2:$F$500,0))),"⚠"))</f>
        <v/>
      </c>
      <c r="BQ173" t="str">
        <f>IF(CAPTURA!CV173="","",IFERROR(IF(INDEX(CODIFICACION!$E$2:$E$500,MATCH("D10.36|"&amp;CAPTURA!CV173,CODIFICACION!$F$2:$F$500,0))="sin dato","",INDEX(CODIFICACION!$E$2:$E$500,MATCH("D10.36|"&amp;CAPTURA!CV173,CODIFICACION!$F$2:$F$500,0))),"⚠"))</f>
        <v/>
      </c>
      <c r="BR173" t="str">
        <f>IF(CAPTURA!CW173="","",IFERROR(IF(INDEX(CODIFICACION!$E$2:$E$500,MATCH("D10.37|"&amp;CAPTURA!CW173,CODIFICACION!$F$2:$F$500,0))="sin dato","",INDEX(CODIFICACION!$E$2:$E$500,MATCH("D10.37|"&amp;CAPTURA!CW173,CODIFICACION!$F$2:$F$500,0))),"⚠"))</f>
        <v/>
      </c>
      <c r="BS173" t="str">
        <f>IF(CAPTURA!CX173="","",IFERROR(IF(INDEX(CODIFICACION!$E$2:$E$500,MATCH("D10.36a|"&amp;CAPTURA!CX173,CODIFICACION!$F$2:$F$500,0))="sin dato","",INDEX(CODIFICACION!$E$2:$E$500,MATCH("D10.36a|"&amp;CAPTURA!CX173,CODIFICACION!$F$2:$F$500,0))),"⚠"))</f>
        <v/>
      </c>
      <c r="BT173" t="str">
        <f>IF(CAPTURA!CY173="","",IF(ISNUMBER(SEARCH("Ninguno",CAPTURA!CY173)),0,MIN(100,ROUND((LEN(CAPTURA!CY173)-LEN(SUBSTITUTE(CAPTURA!CY173,";",""))+1)/6*100,1))))</f>
        <v/>
      </c>
      <c r="BU173" t="str">
        <f>IF(CAPTURA!DA173="","",IFERROR(IF(INDEX(CODIFICACION!$E$2:$E$500,MATCH("D11.39a|"&amp;CAPTURA!DA173,CODIFICACION!$F$2:$F$500,0))="sin dato","",INDEX(CODIFICACION!$E$2:$E$500,MATCH("D11.39a|"&amp;CAPTURA!DA173,CODIFICACION!$F$2:$F$500,0))),"⚠"))</f>
        <v/>
      </c>
      <c r="BV173" t="str">
        <f>IF(CAPTURA!DB173="","",IFERROR(IF(INDEX(CODIFICACION!$E$2:$E$500,MATCH("D12.42|"&amp;CAPTURA!DB173,CODIFICACION!$F$2:$F$500,0))="sin dato","",INDEX(CODIFICACION!$E$2:$E$500,MATCH("D12.42|"&amp;CAPTURA!DB173,CODIFICACION!$F$2:$F$500,0))),"⚠"))</f>
        <v/>
      </c>
      <c r="BW173" t="str">
        <f>IF(CAPTURA!DC173="","",IFERROR(IF(INDEX(CODIFICACION!$E$2:$E$500,MATCH("D13.45|"&amp;CAPTURA!DC173,CODIFICACION!$F$2:$F$500,0))="sin dato","",INDEX(CODIFICACION!$E$2:$E$500,MATCH("D13.45|"&amp;CAPTURA!DC173,CODIFICACION!$F$2:$F$500,0))),"⚠"))</f>
        <v/>
      </c>
      <c r="BX173" t="str">
        <f>IF(CAPTURA!DD173="","",IFERROR(IF(INDEX(CODIFICACION!$E$2:$E$500,MATCH("D14.51|"&amp;CAPTURA!DD173,CODIFICACION!$F$2:$F$500,0))="sin dato","",INDEX(CODIFICACION!$E$2:$E$500,MATCH("D14.51|"&amp;CAPTURA!DD173,CODIFICACION!$F$2:$F$500,0))),"⚠"))</f>
        <v/>
      </c>
      <c r="BY173" t="str">
        <f>IF(CAPTURA!DE173="","",IFERROR(IF(INDEX(CODIFICACION!$E$2:$E$500,MATCH("D15.58|"&amp;CAPTURA!DE173,CODIFICACION!$F$2:$F$500,0))="sin dato","",INDEX(CODIFICACION!$E$2:$E$500,MATCH("D15.58|"&amp;CAPTURA!DE173,CODIFICACION!$F$2:$F$500,0))),"⚠"))</f>
        <v/>
      </c>
      <c r="BZ173" t="str">
        <f>IF(CAPTURA!DF173="","",IFERROR(IF(INDEX(CODIFICACION!$E$2:$E$500,MATCH("PP1|"&amp;CAPTURA!DF173,CODIFICACION!$F$2:$F$500,0))="sin dato","",INDEX(CODIFICACION!$E$2:$E$500,MATCH("PP1|"&amp;CAPTURA!DF173,CODIFICACION!$F$2:$F$500,0))),"⚠"))</f>
        <v/>
      </c>
      <c r="CA173" t="str">
        <f>IF(CAPTURA!DG173="","",IFERROR(IF(INDEX(CODIFICACION!$E$2:$E$500,MATCH("PP2|"&amp;CAPTURA!DG173,CODIFICACION!$F$2:$F$500,0))="sin dato","",INDEX(CODIFICACION!$E$2:$E$500,MATCH("PP2|"&amp;CAPTURA!DG173,CODIFICACION!$F$2:$F$500,0))),"⚠"))</f>
        <v/>
      </c>
      <c r="CB173" t="str">
        <f t="shared" si="55"/>
        <v/>
      </c>
      <c r="CC173" t="str">
        <f t="shared" si="56"/>
        <v/>
      </c>
      <c r="CD173" t="str">
        <f t="shared" si="57"/>
        <v/>
      </c>
      <c r="CE173" t="str">
        <f t="shared" si="58"/>
        <v/>
      </c>
      <c r="CF173" t="str">
        <f t="shared" si="59"/>
        <v/>
      </c>
      <c r="CG173" t="str">
        <f t="shared" si="60"/>
        <v/>
      </c>
      <c r="CH173" t="str">
        <f t="shared" si="61"/>
        <v/>
      </c>
      <c r="CI173" t="str">
        <f t="shared" si="62"/>
        <v/>
      </c>
      <c r="CJ173" t="str">
        <f t="shared" si="63"/>
        <v/>
      </c>
      <c r="CK173" t="str">
        <f t="shared" si="64"/>
        <v/>
      </c>
      <c r="CL173" t="str">
        <f t="shared" si="65"/>
        <v/>
      </c>
    </row>
    <row r="174" spans="1:90" x14ac:dyDescent="0.3">
      <c r="A174">
        <f>CAPTURA!A174</f>
        <v>20611316616</v>
      </c>
      <c r="B174">
        <f>CAPTURA!C174</f>
        <v>0</v>
      </c>
      <c r="C174" t="str">
        <f>IF(CAPTURA!M174="","",ROUND((ISNUMBER(SEARCH("Alemania",CAPTURA!M174))+ISNUMBER(SEARCH("Bélgica",CAPTURA!M174))+ISNUMBER(SEARCH("Países Bajos",CAPTURA!M174))+ISNUMBER(SEARCH("Francia",CAPTURA!M174))+ISNUMBER(SEARCH("Italia",CAPTURA!M174))+ISNUMBER(SEARCH("España",CAPTURA!M174))+ISNUMBER(SEARCH("Suecia",CAPTURA!M174))+ISNUMBER(SEARCH("Dinamarca",CAPTURA!M174)))/((LEN(CAPTURA!M174)-LEN(SUBSTITUTE(CAPTURA!M174,";","")))+1)*100,1))</f>
        <v/>
      </c>
      <c r="D174" t="str">
        <f>IF(CAPTURA!AE174="","",IFERROR(IF(INDEX(CODIFICACION!$E$2:$E$500,MATCH("P8|"&amp;CAPTURA!AE174,CODIFICACION!$F$2:$F$500,0))="sin dato","",INDEX(CODIFICACION!$E$2:$E$500,MATCH("P8|"&amp;CAPTURA!AE174,CODIFICACION!$F$2:$F$500,0))),"⚠"))</f>
        <v/>
      </c>
      <c r="E174" t="str">
        <f>IF(CAPTURA!AG174="","",IFERROR(IF(INDEX(CODIFICACION!$E$2:$E$500,MATCH("P10|"&amp;CAPTURA!AG174,CODIFICACION!$F$2:$F$500,0))="sin dato","",INDEX(CODIFICACION!$E$2:$E$500,MATCH("P10|"&amp;CAPTURA!AG174,CODIFICACION!$F$2:$F$500,0))),"⚠"))</f>
        <v/>
      </c>
      <c r="F174" t="str">
        <f>IF(CAPTURA!AJ174="","",IFERROR(IF(INDEX(CODIFICACION!$E$2:$E$500,MATCH("P13|"&amp;CAPTURA!AJ174,CODIFICACION!$F$2:$F$500,0))="sin dato","",INDEX(CODIFICACION!$E$2:$E$500,MATCH("P13|"&amp;CAPTURA!AJ174,CODIFICACION!$F$2:$F$500,0))),"⚠"))</f>
        <v/>
      </c>
      <c r="G174" t="str">
        <f>IF(CAPTURA!AK174="","",IFERROR(IF(INDEX(CODIFICACION!$E$2:$E$500,MATCH("P14|"&amp;CAPTURA!AK174,CODIFICACION!$F$2:$F$500,0))="sin dato","",INDEX(CODIFICACION!$E$2:$E$500,MATCH("P14|"&amp;CAPTURA!AK174,CODIFICACION!$F$2:$F$500,0))),"⚠"))</f>
        <v/>
      </c>
      <c r="H174" t="str">
        <f>IF(CAPTURA!AL174="","",IFERROR(IF(INDEX(CODIFICACION!$E$2:$E$500,MATCH("D1.1|"&amp;CAPTURA!AL174,CODIFICACION!$F$2:$F$500,0))="sin dato","",INDEX(CODIFICACION!$E$2:$E$500,MATCH("D1.1|"&amp;CAPTURA!AL174,CODIFICACION!$F$2:$F$500,0))),"⚠"))</f>
        <v/>
      </c>
      <c r="I174" t="str">
        <f>IF(CAPTURA!AN174="","",IFERROR(IF(INDEX(CODIFICACION!$E$2:$E$500,MATCH("D1.3|"&amp;CAPTURA!AN174,CODIFICACION!$F$2:$F$500,0))="sin dato","",INDEX(CODIFICACION!$E$2:$E$500,MATCH("D1.3|"&amp;CAPTURA!AN174,CODIFICACION!$F$2:$F$500,0))),"⚠"))</f>
        <v/>
      </c>
      <c r="J174" t="str">
        <f>IF(CAPTURA!AO174="","",IFERROR(IF(INDEX(CODIFICACION!$E$2:$E$500,MATCH("D1.4|"&amp;CAPTURA!AO174,CODIFICACION!$F$2:$F$500,0))="sin dato","",INDEX(CODIFICACION!$E$2:$E$500,MATCH("D1.4|"&amp;CAPTURA!AO174,CODIFICACION!$F$2:$F$500,0))),"⚠"))</f>
        <v/>
      </c>
      <c r="K174" t="str">
        <f>IF(CAPTURA!AP174="","",IFERROR(IF(INDEX(CODIFICACION!$E$2:$E$500,MATCH("D1.3a|"&amp;CAPTURA!AP174,CODIFICACION!$F$2:$F$500,0))="sin dato","",INDEX(CODIFICACION!$E$2:$E$500,MATCH("D1.3a|"&amp;CAPTURA!AP174,CODIFICACION!$F$2:$F$500,0))),"⚠"))</f>
        <v/>
      </c>
      <c r="L174" t="str">
        <f>IF(CAPTURA!AQ174="","",IF(AND(ISNUMBER(CAPTURA!AQ174),CAPTURA!AQ174&gt;=0,CAPTURA!AQ174&lt;=4),CAPTURA!AQ174*25,"⚠"))</f>
        <v/>
      </c>
      <c r="M174" t="str">
        <f>IF(CAPTURA!AR174="","",IF(ISNUMBER(CAPTURA!AR174),MAX(0,MIN(100,CAPTURA!AR174)),"⚠"))</f>
        <v/>
      </c>
      <c r="N174" t="str">
        <f>IF(CAPTURA!AS174="","",IF(AND(ISNUMBER(CAPTURA!AS174),CAPTURA!AS174&gt;=0,CAPTURA!AS174&lt;=4),CAPTURA!AS174*25,"⚠"))</f>
        <v/>
      </c>
      <c r="O174" t="str">
        <f>IF(CAPTURA!AT174="","",IFERROR(IF(INDEX(CODIFICACION!$E$2:$E$500,MATCH("D2.8|"&amp;CAPTURA!AT174,CODIFICACION!$F$2:$F$500,0))="sin dato","",INDEX(CODIFICACION!$E$2:$E$500,MATCH("D2.8|"&amp;CAPTURA!AT174,CODIFICACION!$F$2:$F$500,0))),"⚠"))</f>
        <v/>
      </c>
      <c r="P174" t="str">
        <f>IF(CAPTURA!AU174="","",IFERROR(IF(INDEX(CODIFICACION!$E$2:$E$500,MATCH("D2.9|"&amp;CAPTURA!AU174,CODIFICACION!$F$2:$F$500,0))="sin dato","",INDEX(CODIFICACION!$E$2:$E$500,MATCH("D2.9|"&amp;CAPTURA!AU174,CODIFICACION!$F$2:$F$500,0))),"⚠"))</f>
        <v/>
      </c>
      <c r="Q174" t="str">
        <f>IF(CAPTURA!AV174="","",IFERROR(IF(INDEX(CODIFICACION!$E$2:$E$500,MATCH("D2.10|"&amp;CAPTURA!AV174,CODIFICACION!$F$2:$F$500,0))="sin dato","",INDEX(CODIFICACION!$E$2:$E$500,MATCH("D2.10|"&amp;CAPTURA!AV174,CODIFICACION!$F$2:$F$500,0))),"⚠"))</f>
        <v/>
      </c>
      <c r="R174" t="str">
        <f>IF(CAPTURA!AW174="","",IFERROR(IF(INDEX(CODIFICACION!$E$2:$E$500,MATCH("D2.5a|"&amp;CAPTURA!AW174,CODIFICACION!$F$2:$F$500,0))="sin dato","",INDEX(CODIFICACION!$E$2:$E$500,MATCH("D2.5a|"&amp;CAPTURA!AW174,CODIFICACION!$F$2:$F$500,0))),"⚠"))</f>
        <v/>
      </c>
      <c r="S174" t="str">
        <f>IF(CAPTURA!AX174="","",IFERROR(IF(INDEX(CODIFICACION!$E$2:$E$500,MATCH("D2.5b|"&amp;CAPTURA!AX174,CODIFICACION!$F$2:$F$500,0))="sin dato","",INDEX(CODIFICACION!$E$2:$E$500,MATCH("D2.5b|"&amp;CAPTURA!AX174,CODIFICACION!$F$2:$F$500,0))),"⚠"))</f>
        <v/>
      </c>
      <c r="T174" t="str">
        <f>IF(CAPTURA!AY174="","",IF(ISNUMBER(CAPTURA!AY174),MAX(0,MIN(100,CAPTURA!AY174)),"⚠"))</f>
        <v/>
      </c>
      <c r="U174" t="str">
        <f>IF(CAPTURA!AZ174="","",IFERROR(IF(INDEX(CODIFICACION!$E$2:$E$500,MATCH("D3.12|"&amp;CAPTURA!AZ174,CODIFICACION!$F$2:$F$500,0))="sin dato","",INDEX(CODIFICACION!$E$2:$E$500,MATCH("D3.12|"&amp;CAPTURA!AZ174,CODIFICACION!$F$2:$F$500,0))),"⚠"))</f>
        <v/>
      </c>
      <c r="V174" t="str">
        <f>IF(CAPTURA!BA174="","",IF(AND(ISNUMBER(CAPTURA!BA174),CAPTURA!BA174&gt;=0,CAPTURA!BA174&lt;=4),CAPTURA!BA174*25,"⚠"))</f>
        <v/>
      </c>
      <c r="W174" t="str">
        <f>IF(CAPTURA!BB174="","",IFERROR(IF(INDEX(CODIFICACION!$E$2:$E$500,MATCH("D3.14|"&amp;CAPTURA!BB174,CODIFICACION!$F$2:$F$500,0))="sin dato","",INDEX(CODIFICACION!$E$2:$E$500,MATCH("D3.14|"&amp;CAPTURA!BB174,CODIFICACION!$F$2:$F$500,0))),"⚠"))</f>
        <v/>
      </c>
      <c r="X174" t="str">
        <f>IF(CAPTURA!BC174="","",IFERROR(IF(INDEX(CODIFICACION!$E$2:$E$500,MATCH("D3.14a|"&amp;CAPTURA!BC174,CODIFICACION!$F$2:$F$500,0))="sin dato","",INDEX(CODIFICACION!$E$2:$E$500,MATCH("D3.14a|"&amp;CAPTURA!BC174,CODIFICACION!$F$2:$F$500,0))),"⚠"))</f>
        <v/>
      </c>
      <c r="Y174" t="str">
        <f>IF(CAPTURA!BD174="","",IFERROR(IF(INDEX(CODIFICACION!$E$2:$E$500,MATCH("D3.14b|"&amp;CAPTURA!BD174,CODIFICACION!$F$2:$F$500,0))="sin dato","",INDEX(CODIFICACION!$E$2:$E$500,MATCH("D3.14b|"&amp;CAPTURA!BD174,CODIFICACION!$F$2:$F$500,0))),"⚠"))</f>
        <v/>
      </c>
      <c r="Z174" t="str">
        <f>IF(CAPTURA!BE174="","",IFERROR(IF(INDEX(CODIFICACION!$E$2:$E$500,MATCH("D3.14c|"&amp;CAPTURA!BE174,CODIFICACION!$F$2:$F$500,0))="sin dato","",INDEX(CODIFICACION!$E$2:$E$500,MATCH("D3.14c|"&amp;CAPTURA!BE174,CODIFICACION!$F$2:$F$500,0))),"⚠"))</f>
        <v/>
      </c>
      <c r="AA174" t="str">
        <f>IF(CAPTURA!BF174="","",IFERROR(IF(INDEX(CODIFICACION!$E$2:$E$500,MATCH("D3.14d|"&amp;CAPTURA!BF174,CODIFICACION!$F$2:$F$500,0))="sin dato","",INDEX(CODIFICACION!$E$2:$E$500,MATCH("D3.14d|"&amp;CAPTURA!BF174,CODIFICACION!$F$2:$F$500,0))),"⚠"))</f>
        <v/>
      </c>
      <c r="AB174" t="str">
        <f>IF(CAPTURA!BG174="","",IFERROR(IF(INDEX(CODIFICACION!$E$2:$E$500,MATCH("D3.14e|"&amp;CAPTURA!BG174,CODIFICACION!$F$2:$F$500,0))="sin dato","",INDEX(CODIFICACION!$E$2:$E$500,MATCH("D3.14e|"&amp;CAPTURA!BG174,CODIFICACION!$F$2:$F$500,0))),"⚠"))</f>
        <v/>
      </c>
      <c r="AC174" t="str">
        <f>IF(CAPTURA!BH174="","",IFERROR(IF(INDEX(CODIFICACION!$E$2:$E$500,MATCH("D3.14f|"&amp;CAPTURA!BH174,CODIFICACION!$F$2:$F$500,0))="sin dato","",INDEX(CODIFICACION!$E$2:$E$500,MATCH("D3.14f|"&amp;CAPTURA!BH174,CODIFICACION!$F$2:$F$500,0))),"⚠"))</f>
        <v/>
      </c>
      <c r="AD174" t="str">
        <f>IF(CAPTURA!BI174="","",IFERROR(IF(INDEX(CODIFICACION!$E$2:$E$500,MATCH("D3.14g|"&amp;CAPTURA!BI174,CODIFICACION!$F$2:$F$500,0))="sin dato","",INDEX(CODIFICACION!$E$2:$E$500,MATCH("D3.14g|"&amp;CAPTURA!BI174,CODIFICACION!$F$2:$F$500,0))),"⚠"))</f>
        <v/>
      </c>
      <c r="AE174" t="str">
        <f>IF(CAPTURA!BJ174="","",IFERROR(IF(INDEX(CODIFICACION!$E$2:$E$500,MATCH("D3.14h|"&amp;CAPTURA!BJ174,CODIFICACION!$F$2:$F$500,0))="sin dato","",INDEX(CODIFICACION!$E$2:$E$500,MATCH("D3.14h|"&amp;CAPTURA!BJ174,CODIFICACION!$F$2:$F$500,0))),"⚠"))</f>
        <v/>
      </c>
      <c r="AF174" t="str">
        <f>IF(CAPTURA!BK174="","",IFERROR(IF(INDEX(CODIFICACION!$E$2:$E$500,MATCH("D3.14i|"&amp;CAPTURA!BK174,CODIFICACION!$F$2:$F$500,0))="sin dato","",INDEX(CODIFICACION!$E$2:$E$500,MATCH("D3.14i|"&amp;CAPTURA!BK174,CODIFICACION!$F$2:$F$500,0))),"⚠"))</f>
        <v/>
      </c>
      <c r="AG174" t="str">
        <f>IF(CAPTURA!BL174="","",IFERROR(IF(INDEX(CODIFICACION!$E$2:$E$500,MATCH("D4.15|"&amp;CAPTURA!BL174,CODIFICACION!$F$2:$F$500,0))="sin dato","",INDEX(CODIFICACION!$E$2:$E$500,MATCH("D4.15|"&amp;CAPTURA!BL174,CODIFICACION!$F$2:$F$500,0))),"⚠"))</f>
        <v/>
      </c>
      <c r="AH174" t="str">
        <f>IF(CAPTURA!BM174="","",IF(AND(ISNUMBER(CAPTURA!BM174),CAPTURA!BM174&gt;=0,CAPTURA!BM174&lt;=4),CAPTURA!BM174*25,"⚠"))</f>
        <v/>
      </c>
      <c r="AI174" t="str">
        <f>IF(CAPTURA!BN174="","",IFERROR(IF(INDEX(CODIFICACION!$E$2:$E$500,MATCH("D4.17|"&amp;CAPTURA!BN174,CODIFICACION!$F$2:$F$500,0))="sin dato","",INDEX(CODIFICACION!$E$2:$E$500,MATCH("D4.17|"&amp;CAPTURA!BN174,CODIFICACION!$F$2:$F$500,0))),"⚠"))</f>
        <v/>
      </c>
      <c r="AJ174" t="str">
        <f>IF(CAPTURA!BO174="","",IFERROR(IF(INDEX(CODIFICACION!$E$2:$E$500,MATCH("D4.15a|"&amp;CAPTURA!BO174,CODIFICACION!$F$2:$F$500,0))="sin dato","",INDEX(CODIFICACION!$E$2:$E$500,MATCH("D4.15a|"&amp;CAPTURA!BO174,CODIFICACION!$F$2:$F$500,0))),"⚠"))</f>
        <v/>
      </c>
      <c r="AK174" t="str">
        <f>IF(CAPTURA!BP174="","",IF(AND(ISNUMBER(CAPTURA!BP174),CAPTURA!BP174&gt;=0,CAPTURA!BP174&lt;=4),CAPTURA!BP174*25,"⚠"))</f>
        <v/>
      </c>
      <c r="AL174" t="str">
        <f>IF(CAPTURA!BQ174="","",IF(AND(ISNUMBER(CAPTURA!BQ174),CAPTURA!BQ174&gt;=0,CAPTURA!BQ174&lt;=4),CAPTURA!BQ174*25,"⚠"))</f>
        <v/>
      </c>
      <c r="AM174" t="str">
        <f>IF(CAPTURA!BR174="","",IFERROR(IF(INDEX(CODIFICACION!$E$2:$E$500,MATCH("D5.18b|"&amp;CAPTURA!BR174,CODIFICACION!$F$2:$F$500,0))="sin dato","",INDEX(CODIFICACION!$E$2:$E$500,MATCH("D5.18b|"&amp;CAPTURA!BR174,CODIFICACION!$F$2:$F$500,0))),"⚠"))</f>
        <v/>
      </c>
      <c r="AN174" t="str">
        <f>IF(CAPTURA!BS174="","",IFERROR(IF(INDEX(CODIFICACION!$E$2:$E$500,MATCH("D5.19|"&amp;CAPTURA!BS174,CODIFICACION!$F$2:$F$500,0))="sin dato","",INDEX(CODIFICACION!$E$2:$E$500,MATCH("D5.19|"&amp;CAPTURA!BS174,CODIFICACION!$F$2:$F$500,0))),"⚠"))</f>
        <v/>
      </c>
      <c r="AO174" t="str">
        <f>IF(CAPTURA!BT174="","",MIN(100,ROUND((LEN(CAPTURA!BT174)-LEN(SUBSTITUTE(CAPTURA!BT174,";",""))+1)/7*100,1)))</f>
        <v/>
      </c>
      <c r="AP174" t="str">
        <f>IF(CAPTURA!BU174="","",IFERROR(IF(INDEX(CODIFICACION!$E$2:$E$500,MATCH("D5.20|"&amp;CAPTURA!BU174,CODIFICACION!$F$2:$F$500,0))="sin dato","",INDEX(CODIFICACION!$E$2:$E$500,MATCH("D5.20|"&amp;CAPTURA!BU174,CODIFICACION!$F$2:$F$500,0))),"⚠"))</f>
        <v/>
      </c>
      <c r="AQ174" t="str">
        <f>IF(CAPTURA!BV174="","",IFERROR(IF(INDEX(CODIFICACION!$E$2:$E$500,MATCH("D5.21|"&amp;CAPTURA!BV174,CODIFICACION!$F$2:$F$500,0))="sin dato","",INDEX(CODIFICACION!$E$2:$E$500,MATCH("D5.21|"&amp;CAPTURA!BV174,CODIFICACION!$F$2:$F$500,0))),"⚠"))</f>
        <v/>
      </c>
      <c r="AR174" t="str">
        <f>IF(CAPTURA!BW174="","",IFERROR(IF(INDEX(CODIFICACION!$E$2:$E$500,MATCH("D5.21a|"&amp;CAPTURA!BW174,CODIFICACION!$F$2:$F$500,0))="sin dato","",INDEX(CODIFICACION!$E$2:$E$500,MATCH("D5.21a|"&amp;CAPTURA!BW174,CODIFICACION!$F$2:$F$500,0))),"⚠"))</f>
        <v/>
      </c>
      <c r="AS174" t="str">
        <f>IF(CAPTURA!BX174="","",IFERROR(IF(INDEX(CODIFICACION!$E$2:$E$500,MATCH("D5.21b|"&amp;CAPTURA!BX174,CODIFICACION!$F$2:$F$500,0))="sin dato","",INDEX(CODIFICACION!$E$2:$E$500,MATCH("D5.21b|"&amp;CAPTURA!BX174,CODIFICACION!$F$2:$F$500,0))),"⚠"))</f>
        <v/>
      </c>
      <c r="AT174" t="str">
        <f>IF(CAPTURA!BY174="","",IFERROR(IF(INDEX(CODIFICACION!$E$2:$E$500,MATCH("D6.22|"&amp;CAPTURA!BY174,CODIFICACION!$F$2:$F$500,0))="sin dato","",INDEX(CODIFICACION!$E$2:$E$500,MATCH("D6.22|"&amp;CAPTURA!BY174,CODIFICACION!$F$2:$F$500,0))),"⚠"))</f>
        <v/>
      </c>
      <c r="AU174" t="str">
        <f>IF(CAPTURA!BZ174="","",IFERROR(IF(INDEX(CODIFICACION!$E$2:$E$500,MATCH("D6.22a|"&amp;CAPTURA!BZ174,CODIFICACION!$F$2:$F$500,0))="sin dato","",INDEX(CODIFICACION!$E$2:$E$500,MATCH("D6.22a|"&amp;CAPTURA!BZ174,CODIFICACION!$F$2:$F$500,0))),"⚠"))</f>
        <v/>
      </c>
      <c r="AV174" t="str">
        <f>IF(CAPTURA!CA174="","",IFERROR(IF(INDEX(CODIFICACION!$E$2:$E$500,MATCH("D6.22b|"&amp;CAPTURA!CA174,CODIFICACION!$F$2:$F$500,0))="sin dato","",INDEX(CODIFICACION!$E$2:$E$500,MATCH("D6.22b|"&amp;CAPTURA!CA174,CODIFICACION!$F$2:$F$500,0))),"⚠"))</f>
        <v/>
      </c>
      <c r="AW174" t="str">
        <f>IF(CAPTURA!CB174="","",IFERROR(IF(INDEX(CODIFICACION!$E$2:$E$500,MATCH("D6.23|"&amp;CAPTURA!CB174,CODIFICACION!$F$2:$F$500,0))="sin dato","",INDEX(CODIFICACION!$E$2:$E$500,MATCH("D6.23|"&amp;CAPTURA!CB174,CODIFICACION!$F$2:$F$500,0))),"⚠"))</f>
        <v/>
      </c>
      <c r="AX174" t="str">
        <f>IF(CAPTURA!CC174="","",IFERROR(IF(INDEX(CODIFICACION!$E$2:$E$500,MATCH("D6.24|"&amp;CAPTURA!CC174,CODIFICACION!$F$2:$F$500,0))="sin dato","",INDEX(CODIFICACION!$E$2:$E$500,MATCH("D6.24|"&amp;CAPTURA!CC174,CODIFICACION!$F$2:$F$500,0))),"⚠"))</f>
        <v/>
      </c>
      <c r="AY174" t="str">
        <f>IF(CAPTURA!CD174="","",IFERROR(IF(INDEX(CODIFICACION!$E$2:$E$500,MATCH("D6.25|"&amp;CAPTURA!CD174,CODIFICACION!$F$2:$F$500,0))="sin dato","",INDEX(CODIFICACION!$E$2:$E$500,MATCH("D6.25|"&amp;CAPTURA!CD174,CODIFICACION!$F$2:$F$500,0))),"⚠"))</f>
        <v/>
      </c>
      <c r="AZ174" t="str">
        <f>IF(CAPTURA!CE174="","",IFERROR(IF(INDEX(CODIFICACION!$E$2:$E$500,MATCH("D6.25a|"&amp;CAPTURA!CE174,CODIFICACION!$F$2:$F$500,0))="sin dato","",INDEX(CODIFICACION!$E$2:$E$500,MATCH("D6.25a|"&amp;CAPTURA!CE174,CODIFICACION!$F$2:$F$500,0))),"⚠"))</f>
        <v/>
      </c>
      <c r="BA174" t="str">
        <f>IF(CAPTURA!CF174="","",IFERROR(IF(INDEX(CODIFICACION!$E$2:$E$500,MATCH("D6.25b|"&amp;CAPTURA!CF174,CODIFICACION!$F$2:$F$500,0))="sin dato","",INDEX(CODIFICACION!$E$2:$E$500,MATCH("D6.25b|"&amp;CAPTURA!CF174,CODIFICACION!$F$2:$F$500,0))),"⚠"))</f>
        <v/>
      </c>
      <c r="BB174" t="str">
        <f>IF(CAPTURA!CG174="","",IFERROR(IF(INDEX(CODIFICACION!$E$2:$E$500,MATCH("D6.22c|"&amp;CAPTURA!CG174,CODIFICACION!$F$2:$F$500,0))="sin dato","",INDEX(CODIFICACION!$E$2:$E$500,MATCH("D6.22c|"&amp;CAPTURA!CG174,CODIFICACION!$F$2:$F$500,0))),"⚠"))</f>
        <v/>
      </c>
      <c r="BC174" t="str">
        <f>IF(CAPTURA!CH174="","",IFERROR(IF(INDEX(CODIFICACION!$E$2:$E$500,MATCH("D7.26|"&amp;CAPTURA!CH174,CODIFICACION!$F$2:$F$500,0))="sin dato","",INDEX(CODIFICACION!$E$2:$E$500,MATCH("D7.26|"&amp;CAPTURA!CH174,CODIFICACION!$F$2:$F$500,0))),"⚠"))</f>
        <v/>
      </c>
      <c r="BD174" t="str">
        <f>IF(CAPTURA!CI174="","",IFERROR(IF(INDEX(CODIFICACION!$E$2:$E$500,MATCH("D7.27|"&amp;CAPTURA!CI174,CODIFICACION!$F$2:$F$500,0))="sin dato","",INDEX(CODIFICACION!$E$2:$E$500,MATCH("D7.27|"&amp;CAPTURA!CI174,CODIFICACION!$F$2:$F$500,0))),"⚠"))</f>
        <v/>
      </c>
      <c r="BE174" t="str">
        <f>IF(CAPTURA!CJ174="","",IFERROR(IF(INDEX(CODIFICACION!$E$2:$E$500,MATCH("D7.28|"&amp;CAPTURA!CJ174,CODIFICACION!$F$2:$F$500,0))="sin dato","",INDEX(CODIFICACION!$E$2:$E$500,MATCH("D7.28|"&amp;CAPTURA!CJ174,CODIFICACION!$F$2:$F$500,0))),"⚠"))</f>
        <v/>
      </c>
      <c r="BF174" t="str">
        <f>IF(CAPTURA!CK174="","",IFERROR(IF(INDEX(CODIFICACION!$E$2:$E$500,MATCH("D7.28b|"&amp;CAPTURA!CK174,CODIFICACION!$F$2:$F$500,0))="sin dato","",INDEX(CODIFICACION!$E$2:$E$500,MATCH("D7.28b|"&amp;CAPTURA!CK174,CODIFICACION!$F$2:$F$500,0))),"⚠"))</f>
        <v/>
      </c>
      <c r="BG174" t="str">
        <f>IF(CAPTURA!CL174="","",MIN(100,ROUND((LEN(CAPTURA!CL174)-LEN(SUBSTITUTE(CAPTURA!CL174,";",""))+1)/8*100,1)))</f>
        <v/>
      </c>
      <c r="BH174" t="str">
        <f>IF(CAPTURA!CM174="","",IFERROR(IF(INDEX(CODIFICACION!$E$2:$E$500,MATCH("D7.26a|"&amp;CAPTURA!CM174,CODIFICACION!$F$2:$F$500,0))="sin dato","",INDEX(CODIFICACION!$E$2:$E$500,MATCH("D7.26a|"&amp;CAPTURA!CM174,CODIFICACION!$F$2:$F$500,0))),"⚠"))</f>
        <v/>
      </c>
      <c r="BI174" t="str">
        <f>IF(CAPTURA!CN174="","",IFERROR(IF(INDEX(CODIFICACION!$E$2:$E$500,MATCH("D7.26b|"&amp;CAPTURA!CN174,CODIFICACION!$F$2:$F$500,0))="sin dato","",INDEX(CODIFICACION!$E$2:$E$500,MATCH("D7.26b|"&amp;CAPTURA!CN174,CODIFICACION!$F$2:$F$500,0))),"⚠"))</f>
        <v/>
      </c>
      <c r="BJ174" t="str">
        <f>IF(CAPTURA!CO174="","",IF(AND(ISNUMBER(CAPTURA!CO174),CAPTURA!CO174&gt;=0,CAPTURA!CO174&lt;=4),CAPTURA!CO174*25,"⚠"))</f>
        <v/>
      </c>
      <c r="BK174" t="str">
        <f>IF(CAPTURA!CP174="","",IF(ISNUMBER(CAPTURA!CP174),MAX(0,MIN(100,CAPTURA!CP174)),"⚠"))</f>
        <v/>
      </c>
      <c r="BL174" t="str">
        <f>IF(CAPTURA!CQ174="","",IFERROR(IF(INDEX(CODIFICACION!$E$2:$E$500,MATCH("D8.31|"&amp;CAPTURA!CQ174,CODIFICACION!$F$2:$F$500,0))="sin dato","",INDEX(CODIFICACION!$E$2:$E$500,MATCH("D8.31|"&amp;CAPTURA!CQ174,CODIFICACION!$F$2:$F$500,0))),"⚠"))</f>
        <v/>
      </c>
      <c r="BM174" t="str">
        <f>IF(CAPTURA!CR174="","",IFERROR(IF(INDEX(CODIFICACION!$E$2:$E$500,MATCH("D8.32|"&amp;CAPTURA!CR174,CODIFICACION!$F$2:$F$500,0))="sin dato","",INDEX(CODIFICACION!$E$2:$E$500,MATCH("D8.32|"&amp;CAPTURA!CR174,CODIFICACION!$F$2:$F$500,0))),"⚠"))</f>
        <v/>
      </c>
      <c r="BN174" t="str">
        <f>IF(CAPTURA!CS174="","",IFERROR(IF(INDEX(CODIFICACION!$E$2:$E$500,MATCH("D9.33|"&amp;CAPTURA!CS174,CODIFICACION!$F$2:$F$500,0))="sin dato","",INDEX(CODIFICACION!$E$2:$E$500,MATCH("D9.33|"&amp;CAPTURA!CS174,CODIFICACION!$F$2:$F$500,0))),"⚠"))</f>
        <v/>
      </c>
      <c r="BO174" t="str">
        <f>IF(CAPTURA!CT174="","",IFERROR(IF(INDEX(CODIFICACION!$E$2:$E$500,MATCH("D9.34|"&amp;CAPTURA!CT174,CODIFICACION!$F$2:$F$500,0))="sin dato","",INDEX(CODIFICACION!$E$2:$E$500,MATCH("D9.34|"&amp;CAPTURA!CT174,CODIFICACION!$F$2:$F$500,0))),"⚠"))</f>
        <v/>
      </c>
      <c r="BP174" t="str">
        <f>IF(CAPTURA!CU174="","",IFERROR(IF(INDEX(CODIFICACION!$E$2:$E$500,MATCH("D9.35|"&amp;CAPTURA!CU174,CODIFICACION!$F$2:$F$500,0))="sin dato","",INDEX(CODIFICACION!$E$2:$E$500,MATCH("D9.35|"&amp;CAPTURA!CU174,CODIFICACION!$F$2:$F$500,0))),"⚠"))</f>
        <v/>
      </c>
      <c r="BQ174" t="str">
        <f>IF(CAPTURA!CV174="","",IFERROR(IF(INDEX(CODIFICACION!$E$2:$E$500,MATCH("D10.36|"&amp;CAPTURA!CV174,CODIFICACION!$F$2:$F$500,0))="sin dato","",INDEX(CODIFICACION!$E$2:$E$500,MATCH("D10.36|"&amp;CAPTURA!CV174,CODIFICACION!$F$2:$F$500,0))),"⚠"))</f>
        <v/>
      </c>
      <c r="BR174" t="str">
        <f>IF(CAPTURA!CW174="","",IFERROR(IF(INDEX(CODIFICACION!$E$2:$E$500,MATCH("D10.37|"&amp;CAPTURA!CW174,CODIFICACION!$F$2:$F$500,0))="sin dato","",INDEX(CODIFICACION!$E$2:$E$500,MATCH("D10.37|"&amp;CAPTURA!CW174,CODIFICACION!$F$2:$F$500,0))),"⚠"))</f>
        <v/>
      </c>
      <c r="BS174" t="str">
        <f>IF(CAPTURA!CX174="","",IFERROR(IF(INDEX(CODIFICACION!$E$2:$E$500,MATCH("D10.36a|"&amp;CAPTURA!CX174,CODIFICACION!$F$2:$F$500,0))="sin dato","",INDEX(CODIFICACION!$E$2:$E$500,MATCH("D10.36a|"&amp;CAPTURA!CX174,CODIFICACION!$F$2:$F$500,0))),"⚠"))</f>
        <v/>
      </c>
      <c r="BT174" t="str">
        <f>IF(CAPTURA!CY174="","",IF(ISNUMBER(SEARCH("Ninguno",CAPTURA!CY174)),0,MIN(100,ROUND((LEN(CAPTURA!CY174)-LEN(SUBSTITUTE(CAPTURA!CY174,";",""))+1)/6*100,1))))</f>
        <v/>
      </c>
      <c r="BU174" t="str">
        <f>IF(CAPTURA!DA174="","",IFERROR(IF(INDEX(CODIFICACION!$E$2:$E$500,MATCH("D11.39a|"&amp;CAPTURA!DA174,CODIFICACION!$F$2:$F$500,0))="sin dato","",INDEX(CODIFICACION!$E$2:$E$500,MATCH("D11.39a|"&amp;CAPTURA!DA174,CODIFICACION!$F$2:$F$500,0))),"⚠"))</f>
        <v/>
      </c>
      <c r="BV174" t="str">
        <f>IF(CAPTURA!DB174="","",IFERROR(IF(INDEX(CODIFICACION!$E$2:$E$500,MATCH("D12.42|"&amp;CAPTURA!DB174,CODIFICACION!$F$2:$F$500,0))="sin dato","",INDEX(CODIFICACION!$E$2:$E$500,MATCH("D12.42|"&amp;CAPTURA!DB174,CODIFICACION!$F$2:$F$500,0))),"⚠"))</f>
        <v/>
      </c>
      <c r="BW174" t="str">
        <f>IF(CAPTURA!DC174="","",IFERROR(IF(INDEX(CODIFICACION!$E$2:$E$500,MATCH("D13.45|"&amp;CAPTURA!DC174,CODIFICACION!$F$2:$F$500,0))="sin dato","",INDEX(CODIFICACION!$E$2:$E$500,MATCH("D13.45|"&amp;CAPTURA!DC174,CODIFICACION!$F$2:$F$500,0))),"⚠"))</f>
        <v/>
      </c>
      <c r="BX174" t="str">
        <f>IF(CAPTURA!DD174="","",IFERROR(IF(INDEX(CODIFICACION!$E$2:$E$500,MATCH("D14.51|"&amp;CAPTURA!DD174,CODIFICACION!$F$2:$F$500,0))="sin dato","",INDEX(CODIFICACION!$E$2:$E$500,MATCH("D14.51|"&amp;CAPTURA!DD174,CODIFICACION!$F$2:$F$500,0))),"⚠"))</f>
        <v/>
      </c>
      <c r="BY174" t="str">
        <f>IF(CAPTURA!DE174="","",IFERROR(IF(INDEX(CODIFICACION!$E$2:$E$500,MATCH("D15.58|"&amp;CAPTURA!DE174,CODIFICACION!$F$2:$F$500,0))="sin dato","",INDEX(CODIFICACION!$E$2:$E$500,MATCH("D15.58|"&amp;CAPTURA!DE174,CODIFICACION!$F$2:$F$500,0))),"⚠"))</f>
        <v/>
      </c>
      <c r="BZ174" t="str">
        <f>IF(CAPTURA!DF174="","",IFERROR(IF(INDEX(CODIFICACION!$E$2:$E$500,MATCH("PP1|"&amp;CAPTURA!DF174,CODIFICACION!$F$2:$F$500,0))="sin dato","",INDEX(CODIFICACION!$E$2:$E$500,MATCH("PP1|"&amp;CAPTURA!DF174,CODIFICACION!$F$2:$F$500,0))),"⚠"))</f>
        <v/>
      </c>
      <c r="CA174" t="str">
        <f>IF(CAPTURA!DG174="","",IFERROR(IF(INDEX(CODIFICACION!$E$2:$E$500,MATCH("PP2|"&amp;CAPTURA!DG174,CODIFICACION!$F$2:$F$500,0))="sin dato","",INDEX(CODIFICACION!$E$2:$E$500,MATCH("PP2|"&amp;CAPTURA!DG174,CODIFICACION!$F$2:$F$500,0))),"⚠"))</f>
        <v/>
      </c>
      <c r="CB174" t="str">
        <f t="shared" si="55"/>
        <v/>
      </c>
      <c r="CC174" t="str">
        <f t="shared" si="56"/>
        <v/>
      </c>
      <c r="CD174" t="str">
        <f t="shared" si="57"/>
        <v/>
      </c>
      <c r="CE174" t="str">
        <f t="shared" si="58"/>
        <v/>
      </c>
      <c r="CF174" t="str">
        <f t="shared" si="59"/>
        <v/>
      </c>
      <c r="CG174" t="str">
        <f t="shared" si="60"/>
        <v/>
      </c>
      <c r="CH174" t="str">
        <f t="shared" si="61"/>
        <v/>
      </c>
      <c r="CI174" t="str">
        <f t="shared" si="62"/>
        <v/>
      </c>
      <c r="CJ174" t="str">
        <f t="shared" si="63"/>
        <v/>
      </c>
      <c r="CK174" t="str">
        <f t="shared" si="64"/>
        <v/>
      </c>
      <c r="CL174" t="str">
        <f t="shared" si="65"/>
        <v/>
      </c>
    </row>
    <row r="175" spans="1:90" x14ac:dyDescent="0.3">
      <c r="A175">
        <f>CAPTURA!A175</f>
        <v>20611935243</v>
      </c>
      <c r="B175">
        <f>CAPTURA!C175</f>
        <v>0</v>
      </c>
      <c r="C175" t="str">
        <f>IF(CAPTURA!M175="","",ROUND((ISNUMBER(SEARCH("Alemania",CAPTURA!M175))+ISNUMBER(SEARCH("Bélgica",CAPTURA!M175))+ISNUMBER(SEARCH("Países Bajos",CAPTURA!M175))+ISNUMBER(SEARCH("Francia",CAPTURA!M175))+ISNUMBER(SEARCH("Italia",CAPTURA!M175))+ISNUMBER(SEARCH("España",CAPTURA!M175))+ISNUMBER(SEARCH("Suecia",CAPTURA!M175))+ISNUMBER(SEARCH("Dinamarca",CAPTURA!M175)))/((LEN(CAPTURA!M175)-LEN(SUBSTITUTE(CAPTURA!M175,";","")))+1)*100,1))</f>
        <v/>
      </c>
      <c r="D175" t="str">
        <f>IF(CAPTURA!AE175="","",IFERROR(IF(INDEX(CODIFICACION!$E$2:$E$500,MATCH("P8|"&amp;CAPTURA!AE175,CODIFICACION!$F$2:$F$500,0))="sin dato","",INDEX(CODIFICACION!$E$2:$E$500,MATCH("P8|"&amp;CAPTURA!AE175,CODIFICACION!$F$2:$F$500,0))),"⚠"))</f>
        <v/>
      </c>
      <c r="E175" t="str">
        <f>IF(CAPTURA!AG175="","",IFERROR(IF(INDEX(CODIFICACION!$E$2:$E$500,MATCH("P10|"&amp;CAPTURA!AG175,CODIFICACION!$F$2:$F$500,0))="sin dato","",INDEX(CODIFICACION!$E$2:$E$500,MATCH("P10|"&amp;CAPTURA!AG175,CODIFICACION!$F$2:$F$500,0))),"⚠"))</f>
        <v/>
      </c>
      <c r="F175" t="str">
        <f>IF(CAPTURA!AJ175="","",IFERROR(IF(INDEX(CODIFICACION!$E$2:$E$500,MATCH("P13|"&amp;CAPTURA!AJ175,CODIFICACION!$F$2:$F$500,0))="sin dato","",INDEX(CODIFICACION!$E$2:$E$500,MATCH("P13|"&amp;CAPTURA!AJ175,CODIFICACION!$F$2:$F$500,0))),"⚠"))</f>
        <v/>
      </c>
      <c r="G175" t="str">
        <f>IF(CAPTURA!AK175="","",IFERROR(IF(INDEX(CODIFICACION!$E$2:$E$500,MATCH("P14|"&amp;CAPTURA!AK175,CODIFICACION!$F$2:$F$500,0))="sin dato","",INDEX(CODIFICACION!$E$2:$E$500,MATCH("P14|"&amp;CAPTURA!AK175,CODIFICACION!$F$2:$F$500,0))),"⚠"))</f>
        <v/>
      </c>
      <c r="H175" t="str">
        <f>IF(CAPTURA!AL175="","",IFERROR(IF(INDEX(CODIFICACION!$E$2:$E$500,MATCH("D1.1|"&amp;CAPTURA!AL175,CODIFICACION!$F$2:$F$500,0))="sin dato","",INDEX(CODIFICACION!$E$2:$E$500,MATCH("D1.1|"&amp;CAPTURA!AL175,CODIFICACION!$F$2:$F$500,0))),"⚠"))</f>
        <v/>
      </c>
      <c r="I175" t="str">
        <f>IF(CAPTURA!AN175="","",IFERROR(IF(INDEX(CODIFICACION!$E$2:$E$500,MATCH("D1.3|"&amp;CAPTURA!AN175,CODIFICACION!$F$2:$F$500,0))="sin dato","",INDEX(CODIFICACION!$E$2:$E$500,MATCH("D1.3|"&amp;CAPTURA!AN175,CODIFICACION!$F$2:$F$500,0))),"⚠"))</f>
        <v/>
      </c>
      <c r="J175" t="str">
        <f>IF(CAPTURA!AO175="","",IFERROR(IF(INDEX(CODIFICACION!$E$2:$E$500,MATCH("D1.4|"&amp;CAPTURA!AO175,CODIFICACION!$F$2:$F$500,0))="sin dato","",INDEX(CODIFICACION!$E$2:$E$500,MATCH("D1.4|"&amp;CAPTURA!AO175,CODIFICACION!$F$2:$F$500,0))),"⚠"))</f>
        <v/>
      </c>
      <c r="K175" t="str">
        <f>IF(CAPTURA!AP175="","",IFERROR(IF(INDEX(CODIFICACION!$E$2:$E$500,MATCH("D1.3a|"&amp;CAPTURA!AP175,CODIFICACION!$F$2:$F$500,0))="sin dato","",INDEX(CODIFICACION!$E$2:$E$500,MATCH("D1.3a|"&amp;CAPTURA!AP175,CODIFICACION!$F$2:$F$500,0))),"⚠"))</f>
        <v/>
      </c>
      <c r="L175" t="str">
        <f>IF(CAPTURA!AQ175="","",IF(AND(ISNUMBER(CAPTURA!AQ175),CAPTURA!AQ175&gt;=0,CAPTURA!AQ175&lt;=4),CAPTURA!AQ175*25,"⚠"))</f>
        <v/>
      </c>
      <c r="M175" t="str">
        <f>IF(CAPTURA!AR175="","",IF(ISNUMBER(CAPTURA!AR175),MAX(0,MIN(100,CAPTURA!AR175)),"⚠"))</f>
        <v/>
      </c>
      <c r="N175" t="str">
        <f>IF(CAPTURA!AS175="","",IF(AND(ISNUMBER(CAPTURA!AS175),CAPTURA!AS175&gt;=0,CAPTURA!AS175&lt;=4),CAPTURA!AS175*25,"⚠"))</f>
        <v/>
      </c>
      <c r="O175" t="str">
        <f>IF(CAPTURA!AT175="","",IFERROR(IF(INDEX(CODIFICACION!$E$2:$E$500,MATCH("D2.8|"&amp;CAPTURA!AT175,CODIFICACION!$F$2:$F$500,0))="sin dato","",INDEX(CODIFICACION!$E$2:$E$500,MATCH("D2.8|"&amp;CAPTURA!AT175,CODIFICACION!$F$2:$F$500,0))),"⚠"))</f>
        <v/>
      </c>
      <c r="P175" t="str">
        <f>IF(CAPTURA!AU175="","",IFERROR(IF(INDEX(CODIFICACION!$E$2:$E$500,MATCH("D2.9|"&amp;CAPTURA!AU175,CODIFICACION!$F$2:$F$500,0))="sin dato","",INDEX(CODIFICACION!$E$2:$E$500,MATCH("D2.9|"&amp;CAPTURA!AU175,CODIFICACION!$F$2:$F$500,0))),"⚠"))</f>
        <v/>
      </c>
      <c r="Q175" t="str">
        <f>IF(CAPTURA!AV175="","",IFERROR(IF(INDEX(CODIFICACION!$E$2:$E$500,MATCH("D2.10|"&amp;CAPTURA!AV175,CODIFICACION!$F$2:$F$500,0))="sin dato","",INDEX(CODIFICACION!$E$2:$E$500,MATCH("D2.10|"&amp;CAPTURA!AV175,CODIFICACION!$F$2:$F$500,0))),"⚠"))</f>
        <v/>
      </c>
      <c r="R175" t="str">
        <f>IF(CAPTURA!AW175="","",IFERROR(IF(INDEX(CODIFICACION!$E$2:$E$500,MATCH("D2.5a|"&amp;CAPTURA!AW175,CODIFICACION!$F$2:$F$500,0))="sin dato","",INDEX(CODIFICACION!$E$2:$E$500,MATCH("D2.5a|"&amp;CAPTURA!AW175,CODIFICACION!$F$2:$F$500,0))),"⚠"))</f>
        <v/>
      </c>
      <c r="S175" t="str">
        <f>IF(CAPTURA!AX175="","",IFERROR(IF(INDEX(CODIFICACION!$E$2:$E$500,MATCH("D2.5b|"&amp;CAPTURA!AX175,CODIFICACION!$F$2:$F$500,0))="sin dato","",INDEX(CODIFICACION!$E$2:$E$500,MATCH("D2.5b|"&amp;CAPTURA!AX175,CODIFICACION!$F$2:$F$500,0))),"⚠"))</f>
        <v/>
      </c>
      <c r="T175" t="str">
        <f>IF(CAPTURA!AY175="","",IF(ISNUMBER(CAPTURA!AY175),MAX(0,MIN(100,CAPTURA!AY175)),"⚠"))</f>
        <v/>
      </c>
      <c r="U175" t="str">
        <f>IF(CAPTURA!AZ175="","",IFERROR(IF(INDEX(CODIFICACION!$E$2:$E$500,MATCH("D3.12|"&amp;CAPTURA!AZ175,CODIFICACION!$F$2:$F$500,0))="sin dato","",INDEX(CODIFICACION!$E$2:$E$500,MATCH("D3.12|"&amp;CAPTURA!AZ175,CODIFICACION!$F$2:$F$500,0))),"⚠"))</f>
        <v/>
      </c>
      <c r="V175" t="str">
        <f>IF(CAPTURA!BA175="","",IF(AND(ISNUMBER(CAPTURA!BA175),CAPTURA!BA175&gt;=0,CAPTURA!BA175&lt;=4),CAPTURA!BA175*25,"⚠"))</f>
        <v/>
      </c>
      <c r="W175" t="str">
        <f>IF(CAPTURA!BB175="","",IFERROR(IF(INDEX(CODIFICACION!$E$2:$E$500,MATCH("D3.14|"&amp;CAPTURA!BB175,CODIFICACION!$F$2:$F$500,0))="sin dato","",INDEX(CODIFICACION!$E$2:$E$500,MATCH("D3.14|"&amp;CAPTURA!BB175,CODIFICACION!$F$2:$F$500,0))),"⚠"))</f>
        <v/>
      </c>
      <c r="X175" t="str">
        <f>IF(CAPTURA!BC175="","",IFERROR(IF(INDEX(CODIFICACION!$E$2:$E$500,MATCH("D3.14a|"&amp;CAPTURA!BC175,CODIFICACION!$F$2:$F$500,0))="sin dato","",INDEX(CODIFICACION!$E$2:$E$500,MATCH("D3.14a|"&amp;CAPTURA!BC175,CODIFICACION!$F$2:$F$500,0))),"⚠"))</f>
        <v/>
      </c>
      <c r="Y175" t="str">
        <f>IF(CAPTURA!BD175="","",IFERROR(IF(INDEX(CODIFICACION!$E$2:$E$500,MATCH("D3.14b|"&amp;CAPTURA!BD175,CODIFICACION!$F$2:$F$500,0))="sin dato","",INDEX(CODIFICACION!$E$2:$E$500,MATCH("D3.14b|"&amp;CAPTURA!BD175,CODIFICACION!$F$2:$F$500,0))),"⚠"))</f>
        <v/>
      </c>
      <c r="Z175" t="str">
        <f>IF(CAPTURA!BE175="","",IFERROR(IF(INDEX(CODIFICACION!$E$2:$E$500,MATCH("D3.14c|"&amp;CAPTURA!BE175,CODIFICACION!$F$2:$F$500,0))="sin dato","",INDEX(CODIFICACION!$E$2:$E$500,MATCH("D3.14c|"&amp;CAPTURA!BE175,CODIFICACION!$F$2:$F$500,0))),"⚠"))</f>
        <v/>
      </c>
      <c r="AA175" t="str">
        <f>IF(CAPTURA!BF175="","",IFERROR(IF(INDEX(CODIFICACION!$E$2:$E$500,MATCH("D3.14d|"&amp;CAPTURA!BF175,CODIFICACION!$F$2:$F$500,0))="sin dato","",INDEX(CODIFICACION!$E$2:$E$500,MATCH("D3.14d|"&amp;CAPTURA!BF175,CODIFICACION!$F$2:$F$500,0))),"⚠"))</f>
        <v/>
      </c>
      <c r="AB175" t="str">
        <f>IF(CAPTURA!BG175="","",IFERROR(IF(INDEX(CODIFICACION!$E$2:$E$500,MATCH("D3.14e|"&amp;CAPTURA!BG175,CODIFICACION!$F$2:$F$500,0))="sin dato","",INDEX(CODIFICACION!$E$2:$E$500,MATCH("D3.14e|"&amp;CAPTURA!BG175,CODIFICACION!$F$2:$F$500,0))),"⚠"))</f>
        <v/>
      </c>
      <c r="AC175" t="str">
        <f>IF(CAPTURA!BH175="","",IFERROR(IF(INDEX(CODIFICACION!$E$2:$E$500,MATCH("D3.14f|"&amp;CAPTURA!BH175,CODIFICACION!$F$2:$F$500,0))="sin dato","",INDEX(CODIFICACION!$E$2:$E$500,MATCH("D3.14f|"&amp;CAPTURA!BH175,CODIFICACION!$F$2:$F$500,0))),"⚠"))</f>
        <v/>
      </c>
      <c r="AD175" t="str">
        <f>IF(CAPTURA!BI175="","",IFERROR(IF(INDEX(CODIFICACION!$E$2:$E$500,MATCH("D3.14g|"&amp;CAPTURA!BI175,CODIFICACION!$F$2:$F$500,0))="sin dato","",INDEX(CODIFICACION!$E$2:$E$500,MATCH("D3.14g|"&amp;CAPTURA!BI175,CODIFICACION!$F$2:$F$500,0))),"⚠"))</f>
        <v/>
      </c>
      <c r="AE175" t="str">
        <f>IF(CAPTURA!BJ175="","",IFERROR(IF(INDEX(CODIFICACION!$E$2:$E$500,MATCH("D3.14h|"&amp;CAPTURA!BJ175,CODIFICACION!$F$2:$F$500,0))="sin dato","",INDEX(CODIFICACION!$E$2:$E$500,MATCH("D3.14h|"&amp;CAPTURA!BJ175,CODIFICACION!$F$2:$F$500,0))),"⚠"))</f>
        <v/>
      </c>
      <c r="AF175" t="str">
        <f>IF(CAPTURA!BK175="","",IFERROR(IF(INDEX(CODIFICACION!$E$2:$E$500,MATCH("D3.14i|"&amp;CAPTURA!BK175,CODIFICACION!$F$2:$F$500,0))="sin dato","",INDEX(CODIFICACION!$E$2:$E$500,MATCH("D3.14i|"&amp;CAPTURA!BK175,CODIFICACION!$F$2:$F$500,0))),"⚠"))</f>
        <v/>
      </c>
      <c r="AG175" t="str">
        <f>IF(CAPTURA!BL175="","",IFERROR(IF(INDEX(CODIFICACION!$E$2:$E$500,MATCH("D4.15|"&amp;CAPTURA!BL175,CODIFICACION!$F$2:$F$500,0))="sin dato","",INDEX(CODIFICACION!$E$2:$E$500,MATCH("D4.15|"&amp;CAPTURA!BL175,CODIFICACION!$F$2:$F$500,0))),"⚠"))</f>
        <v/>
      </c>
      <c r="AH175" t="str">
        <f>IF(CAPTURA!BM175="","",IF(AND(ISNUMBER(CAPTURA!BM175),CAPTURA!BM175&gt;=0,CAPTURA!BM175&lt;=4),CAPTURA!BM175*25,"⚠"))</f>
        <v/>
      </c>
      <c r="AI175" t="str">
        <f>IF(CAPTURA!BN175="","",IFERROR(IF(INDEX(CODIFICACION!$E$2:$E$500,MATCH("D4.17|"&amp;CAPTURA!BN175,CODIFICACION!$F$2:$F$500,0))="sin dato","",INDEX(CODIFICACION!$E$2:$E$500,MATCH("D4.17|"&amp;CAPTURA!BN175,CODIFICACION!$F$2:$F$500,0))),"⚠"))</f>
        <v/>
      </c>
      <c r="AJ175" t="str">
        <f>IF(CAPTURA!BO175="","",IFERROR(IF(INDEX(CODIFICACION!$E$2:$E$500,MATCH("D4.15a|"&amp;CAPTURA!BO175,CODIFICACION!$F$2:$F$500,0))="sin dato","",INDEX(CODIFICACION!$E$2:$E$500,MATCH("D4.15a|"&amp;CAPTURA!BO175,CODIFICACION!$F$2:$F$500,0))),"⚠"))</f>
        <v/>
      </c>
      <c r="AK175" t="str">
        <f>IF(CAPTURA!BP175="","",IF(AND(ISNUMBER(CAPTURA!BP175),CAPTURA!BP175&gt;=0,CAPTURA!BP175&lt;=4),CAPTURA!BP175*25,"⚠"))</f>
        <v/>
      </c>
      <c r="AL175" t="str">
        <f>IF(CAPTURA!BQ175="","",IF(AND(ISNUMBER(CAPTURA!BQ175),CAPTURA!BQ175&gt;=0,CAPTURA!BQ175&lt;=4),CAPTURA!BQ175*25,"⚠"))</f>
        <v/>
      </c>
      <c r="AM175" t="str">
        <f>IF(CAPTURA!BR175="","",IFERROR(IF(INDEX(CODIFICACION!$E$2:$E$500,MATCH("D5.18b|"&amp;CAPTURA!BR175,CODIFICACION!$F$2:$F$500,0))="sin dato","",INDEX(CODIFICACION!$E$2:$E$500,MATCH("D5.18b|"&amp;CAPTURA!BR175,CODIFICACION!$F$2:$F$500,0))),"⚠"))</f>
        <v/>
      </c>
      <c r="AN175" t="str">
        <f>IF(CAPTURA!BS175="","",IFERROR(IF(INDEX(CODIFICACION!$E$2:$E$500,MATCH("D5.19|"&amp;CAPTURA!BS175,CODIFICACION!$F$2:$F$500,0))="sin dato","",INDEX(CODIFICACION!$E$2:$E$500,MATCH("D5.19|"&amp;CAPTURA!BS175,CODIFICACION!$F$2:$F$500,0))),"⚠"))</f>
        <v/>
      </c>
      <c r="AO175" t="str">
        <f>IF(CAPTURA!BT175="","",MIN(100,ROUND((LEN(CAPTURA!BT175)-LEN(SUBSTITUTE(CAPTURA!BT175,";",""))+1)/7*100,1)))</f>
        <v/>
      </c>
      <c r="AP175" t="str">
        <f>IF(CAPTURA!BU175="","",IFERROR(IF(INDEX(CODIFICACION!$E$2:$E$500,MATCH("D5.20|"&amp;CAPTURA!BU175,CODIFICACION!$F$2:$F$500,0))="sin dato","",INDEX(CODIFICACION!$E$2:$E$500,MATCH("D5.20|"&amp;CAPTURA!BU175,CODIFICACION!$F$2:$F$500,0))),"⚠"))</f>
        <v/>
      </c>
      <c r="AQ175" t="str">
        <f>IF(CAPTURA!BV175="","",IFERROR(IF(INDEX(CODIFICACION!$E$2:$E$500,MATCH("D5.21|"&amp;CAPTURA!BV175,CODIFICACION!$F$2:$F$500,0))="sin dato","",INDEX(CODIFICACION!$E$2:$E$500,MATCH("D5.21|"&amp;CAPTURA!BV175,CODIFICACION!$F$2:$F$500,0))),"⚠"))</f>
        <v/>
      </c>
      <c r="AR175" t="str">
        <f>IF(CAPTURA!BW175="","",IFERROR(IF(INDEX(CODIFICACION!$E$2:$E$500,MATCH("D5.21a|"&amp;CAPTURA!BW175,CODIFICACION!$F$2:$F$500,0))="sin dato","",INDEX(CODIFICACION!$E$2:$E$500,MATCH("D5.21a|"&amp;CAPTURA!BW175,CODIFICACION!$F$2:$F$500,0))),"⚠"))</f>
        <v/>
      </c>
      <c r="AS175" t="str">
        <f>IF(CAPTURA!BX175="","",IFERROR(IF(INDEX(CODIFICACION!$E$2:$E$500,MATCH("D5.21b|"&amp;CAPTURA!BX175,CODIFICACION!$F$2:$F$500,0))="sin dato","",INDEX(CODIFICACION!$E$2:$E$500,MATCH("D5.21b|"&amp;CAPTURA!BX175,CODIFICACION!$F$2:$F$500,0))),"⚠"))</f>
        <v/>
      </c>
      <c r="AT175" t="str">
        <f>IF(CAPTURA!BY175="","",IFERROR(IF(INDEX(CODIFICACION!$E$2:$E$500,MATCH("D6.22|"&amp;CAPTURA!BY175,CODIFICACION!$F$2:$F$500,0))="sin dato","",INDEX(CODIFICACION!$E$2:$E$500,MATCH("D6.22|"&amp;CAPTURA!BY175,CODIFICACION!$F$2:$F$500,0))),"⚠"))</f>
        <v/>
      </c>
      <c r="AU175" t="str">
        <f>IF(CAPTURA!BZ175="","",IFERROR(IF(INDEX(CODIFICACION!$E$2:$E$500,MATCH("D6.22a|"&amp;CAPTURA!BZ175,CODIFICACION!$F$2:$F$500,0))="sin dato","",INDEX(CODIFICACION!$E$2:$E$500,MATCH("D6.22a|"&amp;CAPTURA!BZ175,CODIFICACION!$F$2:$F$500,0))),"⚠"))</f>
        <v/>
      </c>
      <c r="AV175" t="str">
        <f>IF(CAPTURA!CA175="","",IFERROR(IF(INDEX(CODIFICACION!$E$2:$E$500,MATCH("D6.22b|"&amp;CAPTURA!CA175,CODIFICACION!$F$2:$F$500,0))="sin dato","",INDEX(CODIFICACION!$E$2:$E$500,MATCH("D6.22b|"&amp;CAPTURA!CA175,CODIFICACION!$F$2:$F$500,0))),"⚠"))</f>
        <v/>
      </c>
      <c r="AW175" t="str">
        <f>IF(CAPTURA!CB175="","",IFERROR(IF(INDEX(CODIFICACION!$E$2:$E$500,MATCH("D6.23|"&amp;CAPTURA!CB175,CODIFICACION!$F$2:$F$500,0))="sin dato","",INDEX(CODIFICACION!$E$2:$E$500,MATCH("D6.23|"&amp;CAPTURA!CB175,CODIFICACION!$F$2:$F$500,0))),"⚠"))</f>
        <v/>
      </c>
      <c r="AX175" t="str">
        <f>IF(CAPTURA!CC175="","",IFERROR(IF(INDEX(CODIFICACION!$E$2:$E$500,MATCH("D6.24|"&amp;CAPTURA!CC175,CODIFICACION!$F$2:$F$500,0))="sin dato","",INDEX(CODIFICACION!$E$2:$E$500,MATCH("D6.24|"&amp;CAPTURA!CC175,CODIFICACION!$F$2:$F$500,0))),"⚠"))</f>
        <v/>
      </c>
      <c r="AY175" t="str">
        <f>IF(CAPTURA!CD175="","",IFERROR(IF(INDEX(CODIFICACION!$E$2:$E$500,MATCH("D6.25|"&amp;CAPTURA!CD175,CODIFICACION!$F$2:$F$500,0))="sin dato","",INDEX(CODIFICACION!$E$2:$E$500,MATCH("D6.25|"&amp;CAPTURA!CD175,CODIFICACION!$F$2:$F$500,0))),"⚠"))</f>
        <v/>
      </c>
      <c r="AZ175" t="str">
        <f>IF(CAPTURA!CE175="","",IFERROR(IF(INDEX(CODIFICACION!$E$2:$E$500,MATCH("D6.25a|"&amp;CAPTURA!CE175,CODIFICACION!$F$2:$F$500,0))="sin dato","",INDEX(CODIFICACION!$E$2:$E$500,MATCH("D6.25a|"&amp;CAPTURA!CE175,CODIFICACION!$F$2:$F$500,0))),"⚠"))</f>
        <v/>
      </c>
      <c r="BA175" t="str">
        <f>IF(CAPTURA!CF175="","",IFERROR(IF(INDEX(CODIFICACION!$E$2:$E$500,MATCH("D6.25b|"&amp;CAPTURA!CF175,CODIFICACION!$F$2:$F$500,0))="sin dato","",INDEX(CODIFICACION!$E$2:$E$500,MATCH("D6.25b|"&amp;CAPTURA!CF175,CODIFICACION!$F$2:$F$500,0))),"⚠"))</f>
        <v/>
      </c>
      <c r="BB175" t="str">
        <f>IF(CAPTURA!CG175="","",IFERROR(IF(INDEX(CODIFICACION!$E$2:$E$500,MATCH("D6.22c|"&amp;CAPTURA!CG175,CODIFICACION!$F$2:$F$500,0))="sin dato","",INDEX(CODIFICACION!$E$2:$E$500,MATCH("D6.22c|"&amp;CAPTURA!CG175,CODIFICACION!$F$2:$F$500,0))),"⚠"))</f>
        <v/>
      </c>
      <c r="BC175" t="str">
        <f>IF(CAPTURA!CH175="","",IFERROR(IF(INDEX(CODIFICACION!$E$2:$E$500,MATCH("D7.26|"&amp;CAPTURA!CH175,CODIFICACION!$F$2:$F$500,0))="sin dato","",INDEX(CODIFICACION!$E$2:$E$500,MATCH("D7.26|"&amp;CAPTURA!CH175,CODIFICACION!$F$2:$F$500,0))),"⚠"))</f>
        <v/>
      </c>
      <c r="BD175" t="str">
        <f>IF(CAPTURA!CI175="","",IFERROR(IF(INDEX(CODIFICACION!$E$2:$E$500,MATCH("D7.27|"&amp;CAPTURA!CI175,CODIFICACION!$F$2:$F$500,0))="sin dato","",INDEX(CODIFICACION!$E$2:$E$500,MATCH("D7.27|"&amp;CAPTURA!CI175,CODIFICACION!$F$2:$F$500,0))),"⚠"))</f>
        <v/>
      </c>
      <c r="BE175" t="str">
        <f>IF(CAPTURA!CJ175="","",IFERROR(IF(INDEX(CODIFICACION!$E$2:$E$500,MATCH("D7.28|"&amp;CAPTURA!CJ175,CODIFICACION!$F$2:$F$500,0))="sin dato","",INDEX(CODIFICACION!$E$2:$E$500,MATCH("D7.28|"&amp;CAPTURA!CJ175,CODIFICACION!$F$2:$F$500,0))),"⚠"))</f>
        <v/>
      </c>
      <c r="BF175" t="str">
        <f>IF(CAPTURA!CK175="","",IFERROR(IF(INDEX(CODIFICACION!$E$2:$E$500,MATCH("D7.28b|"&amp;CAPTURA!CK175,CODIFICACION!$F$2:$F$500,0))="sin dato","",INDEX(CODIFICACION!$E$2:$E$500,MATCH("D7.28b|"&amp;CAPTURA!CK175,CODIFICACION!$F$2:$F$500,0))),"⚠"))</f>
        <v/>
      </c>
      <c r="BG175" t="str">
        <f>IF(CAPTURA!CL175="","",MIN(100,ROUND((LEN(CAPTURA!CL175)-LEN(SUBSTITUTE(CAPTURA!CL175,";",""))+1)/8*100,1)))</f>
        <v/>
      </c>
      <c r="BH175" t="str">
        <f>IF(CAPTURA!CM175="","",IFERROR(IF(INDEX(CODIFICACION!$E$2:$E$500,MATCH("D7.26a|"&amp;CAPTURA!CM175,CODIFICACION!$F$2:$F$500,0))="sin dato","",INDEX(CODIFICACION!$E$2:$E$500,MATCH("D7.26a|"&amp;CAPTURA!CM175,CODIFICACION!$F$2:$F$500,0))),"⚠"))</f>
        <v/>
      </c>
      <c r="BI175" t="str">
        <f>IF(CAPTURA!CN175="","",IFERROR(IF(INDEX(CODIFICACION!$E$2:$E$500,MATCH("D7.26b|"&amp;CAPTURA!CN175,CODIFICACION!$F$2:$F$500,0))="sin dato","",INDEX(CODIFICACION!$E$2:$E$500,MATCH("D7.26b|"&amp;CAPTURA!CN175,CODIFICACION!$F$2:$F$500,0))),"⚠"))</f>
        <v/>
      </c>
      <c r="BJ175" t="str">
        <f>IF(CAPTURA!CO175="","",IF(AND(ISNUMBER(CAPTURA!CO175),CAPTURA!CO175&gt;=0,CAPTURA!CO175&lt;=4),CAPTURA!CO175*25,"⚠"))</f>
        <v/>
      </c>
      <c r="BK175" t="str">
        <f>IF(CAPTURA!CP175="","",IF(ISNUMBER(CAPTURA!CP175),MAX(0,MIN(100,CAPTURA!CP175)),"⚠"))</f>
        <v/>
      </c>
      <c r="BL175" t="str">
        <f>IF(CAPTURA!CQ175="","",IFERROR(IF(INDEX(CODIFICACION!$E$2:$E$500,MATCH("D8.31|"&amp;CAPTURA!CQ175,CODIFICACION!$F$2:$F$500,0))="sin dato","",INDEX(CODIFICACION!$E$2:$E$500,MATCH("D8.31|"&amp;CAPTURA!CQ175,CODIFICACION!$F$2:$F$500,0))),"⚠"))</f>
        <v/>
      </c>
      <c r="BM175" t="str">
        <f>IF(CAPTURA!CR175="","",IFERROR(IF(INDEX(CODIFICACION!$E$2:$E$500,MATCH("D8.32|"&amp;CAPTURA!CR175,CODIFICACION!$F$2:$F$500,0))="sin dato","",INDEX(CODIFICACION!$E$2:$E$500,MATCH("D8.32|"&amp;CAPTURA!CR175,CODIFICACION!$F$2:$F$500,0))),"⚠"))</f>
        <v/>
      </c>
      <c r="BN175" t="str">
        <f>IF(CAPTURA!CS175="","",IFERROR(IF(INDEX(CODIFICACION!$E$2:$E$500,MATCH("D9.33|"&amp;CAPTURA!CS175,CODIFICACION!$F$2:$F$500,0))="sin dato","",INDEX(CODIFICACION!$E$2:$E$500,MATCH("D9.33|"&amp;CAPTURA!CS175,CODIFICACION!$F$2:$F$500,0))),"⚠"))</f>
        <v/>
      </c>
      <c r="BO175" t="str">
        <f>IF(CAPTURA!CT175="","",IFERROR(IF(INDEX(CODIFICACION!$E$2:$E$500,MATCH("D9.34|"&amp;CAPTURA!CT175,CODIFICACION!$F$2:$F$500,0))="sin dato","",INDEX(CODIFICACION!$E$2:$E$500,MATCH("D9.34|"&amp;CAPTURA!CT175,CODIFICACION!$F$2:$F$500,0))),"⚠"))</f>
        <v/>
      </c>
      <c r="BP175" t="str">
        <f>IF(CAPTURA!CU175="","",IFERROR(IF(INDEX(CODIFICACION!$E$2:$E$500,MATCH("D9.35|"&amp;CAPTURA!CU175,CODIFICACION!$F$2:$F$500,0))="sin dato","",INDEX(CODIFICACION!$E$2:$E$500,MATCH("D9.35|"&amp;CAPTURA!CU175,CODIFICACION!$F$2:$F$500,0))),"⚠"))</f>
        <v/>
      </c>
      <c r="BQ175" t="str">
        <f>IF(CAPTURA!CV175="","",IFERROR(IF(INDEX(CODIFICACION!$E$2:$E$500,MATCH("D10.36|"&amp;CAPTURA!CV175,CODIFICACION!$F$2:$F$500,0))="sin dato","",INDEX(CODIFICACION!$E$2:$E$500,MATCH("D10.36|"&amp;CAPTURA!CV175,CODIFICACION!$F$2:$F$500,0))),"⚠"))</f>
        <v/>
      </c>
      <c r="BR175" t="str">
        <f>IF(CAPTURA!CW175="","",IFERROR(IF(INDEX(CODIFICACION!$E$2:$E$500,MATCH("D10.37|"&amp;CAPTURA!CW175,CODIFICACION!$F$2:$F$500,0))="sin dato","",INDEX(CODIFICACION!$E$2:$E$500,MATCH("D10.37|"&amp;CAPTURA!CW175,CODIFICACION!$F$2:$F$500,0))),"⚠"))</f>
        <v/>
      </c>
      <c r="BS175" t="str">
        <f>IF(CAPTURA!CX175="","",IFERROR(IF(INDEX(CODIFICACION!$E$2:$E$500,MATCH("D10.36a|"&amp;CAPTURA!CX175,CODIFICACION!$F$2:$F$500,0))="sin dato","",INDEX(CODIFICACION!$E$2:$E$500,MATCH("D10.36a|"&amp;CAPTURA!CX175,CODIFICACION!$F$2:$F$500,0))),"⚠"))</f>
        <v/>
      </c>
      <c r="BT175" t="str">
        <f>IF(CAPTURA!CY175="","",IF(ISNUMBER(SEARCH("Ninguno",CAPTURA!CY175)),0,MIN(100,ROUND((LEN(CAPTURA!CY175)-LEN(SUBSTITUTE(CAPTURA!CY175,";",""))+1)/6*100,1))))</f>
        <v/>
      </c>
      <c r="BU175" t="str">
        <f>IF(CAPTURA!DA175="","",IFERROR(IF(INDEX(CODIFICACION!$E$2:$E$500,MATCH("D11.39a|"&amp;CAPTURA!DA175,CODIFICACION!$F$2:$F$500,0))="sin dato","",INDEX(CODIFICACION!$E$2:$E$500,MATCH("D11.39a|"&amp;CAPTURA!DA175,CODIFICACION!$F$2:$F$500,0))),"⚠"))</f>
        <v/>
      </c>
      <c r="BV175" t="str">
        <f>IF(CAPTURA!DB175="","",IFERROR(IF(INDEX(CODIFICACION!$E$2:$E$500,MATCH("D12.42|"&amp;CAPTURA!DB175,CODIFICACION!$F$2:$F$500,0))="sin dato","",INDEX(CODIFICACION!$E$2:$E$500,MATCH("D12.42|"&amp;CAPTURA!DB175,CODIFICACION!$F$2:$F$500,0))),"⚠"))</f>
        <v/>
      </c>
      <c r="BW175" t="str">
        <f>IF(CAPTURA!DC175="","",IFERROR(IF(INDEX(CODIFICACION!$E$2:$E$500,MATCH("D13.45|"&amp;CAPTURA!DC175,CODIFICACION!$F$2:$F$500,0))="sin dato","",INDEX(CODIFICACION!$E$2:$E$500,MATCH("D13.45|"&amp;CAPTURA!DC175,CODIFICACION!$F$2:$F$500,0))),"⚠"))</f>
        <v/>
      </c>
      <c r="BX175" t="str">
        <f>IF(CAPTURA!DD175="","",IFERROR(IF(INDEX(CODIFICACION!$E$2:$E$500,MATCH("D14.51|"&amp;CAPTURA!DD175,CODIFICACION!$F$2:$F$500,0))="sin dato","",INDEX(CODIFICACION!$E$2:$E$500,MATCH("D14.51|"&amp;CAPTURA!DD175,CODIFICACION!$F$2:$F$500,0))),"⚠"))</f>
        <v/>
      </c>
      <c r="BY175" t="str">
        <f>IF(CAPTURA!DE175="","",IFERROR(IF(INDEX(CODIFICACION!$E$2:$E$500,MATCH("D15.58|"&amp;CAPTURA!DE175,CODIFICACION!$F$2:$F$500,0))="sin dato","",INDEX(CODIFICACION!$E$2:$E$500,MATCH("D15.58|"&amp;CAPTURA!DE175,CODIFICACION!$F$2:$F$500,0))),"⚠"))</f>
        <v/>
      </c>
      <c r="BZ175" t="str">
        <f>IF(CAPTURA!DF175="","",IFERROR(IF(INDEX(CODIFICACION!$E$2:$E$500,MATCH("PP1|"&amp;CAPTURA!DF175,CODIFICACION!$F$2:$F$500,0))="sin dato","",INDEX(CODIFICACION!$E$2:$E$500,MATCH("PP1|"&amp;CAPTURA!DF175,CODIFICACION!$F$2:$F$500,0))),"⚠"))</f>
        <v/>
      </c>
      <c r="CA175" t="str">
        <f>IF(CAPTURA!DG175="","",IFERROR(IF(INDEX(CODIFICACION!$E$2:$E$500,MATCH("PP2|"&amp;CAPTURA!DG175,CODIFICACION!$F$2:$F$500,0))="sin dato","",INDEX(CODIFICACION!$E$2:$E$500,MATCH("PP2|"&amp;CAPTURA!DG175,CODIFICACION!$F$2:$F$500,0))),"⚠"))</f>
        <v/>
      </c>
      <c r="CB175" t="str">
        <f t="shared" si="55"/>
        <v/>
      </c>
      <c r="CC175" t="str">
        <f t="shared" si="56"/>
        <v/>
      </c>
      <c r="CD175" t="str">
        <f t="shared" si="57"/>
        <v/>
      </c>
      <c r="CE175" t="str">
        <f t="shared" si="58"/>
        <v/>
      </c>
      <c r="CF175" t="str">
        <f t="shared" si="59"/>
        <v/>
      </c>
      <c r="CG175" t="str">
        <f t="shared" si="60"/>
        <v/>
      </c>
      <c r="CH175" t="str">
        <f t="shared" si="61"/>
        <v/>
      </c>
      <c r="CI175" t="str">
        <f t="shared" si="62"/>
        <v/>
      </c>
      <c r="CJ175" t="str">
        <f t="shared" si="63"/>
        <v/>
      </c>
      <c r="CK175" t="str">
        <f t="shared" si="64"/>
        <v/>
      </c>
      <c r="CL175" t="str">
        <f t="shared" si="65"/>
        <v/>
      </c>
    </row>
    <row r="176" spans="1:90" x14ac:dyDescent="0.3">
      <c r="A176">
        <f>CAPTURA!A176</f>
        <v>20612331821</v>
      </c>
      <c r="B176">
        <f>CAPTURA!C176</f>
        <v>0</v>
      </c>
      <c r="C176" t="str">
        <f>IF(CAPTURA!M176="","",ROUND((ISNUMBER(SEARCH("Alemania",CAPTURA!M176))+ISNUMBER(SEARCH("Bélgica",CAPTURA!M176))+ISNUMBER(SEARCH("Países Bajos",CAPTURA!M176))+ISNUMBER(SEARCH("Francia",CAPTURA!M176))+ISNUMBER(SEARCH("Italia",CAPTURA!M176))+ISNUMBER(SEARCH("España",CAPTURA!M176))+ISNUMBER(SEARCH("Suecia",CAPTURA!M176))+ISNUMBER(SEARCH("Dinamarca",CAPTURA!M176)))/((LEN(CAPTURA!M176)-LEN(SUBSTITUTE(CAPTURA!M176,";","")))+1)*100,1))</f>
        <v/>
      </c>
      <c r="D176" t="str">
        <f>IF(CAPTURA!AE176="","",IFERROR(IF(INDEX(CODIFICACION!$E$2:$E$500,MATCH("P8|"&amp;CAPTURA!AE176,CODIFICACION!$F$2:$F$500,0))="sin dato","",INDEX(CODIFICACION!$E$2:$E$500,MATCH("P8|"&amp;CAPTURA!AE176,CODIFICACION!$F$2:$F$500,0))),"⚠"))</f>
        <v/>
      </c>
      <c r="E176" t="str">
        <f>IF(CAPTURA!AG176="","",IFERROR(IF(INDEX(CODIFICACION!$E$2:$E$500,MATCH("P10|"&amp;CAPTURA!AG176,CODIFICACION!$F$2:$F$500,0))="sin dato","",INDEX(CODIFICACION!$E$2:$E$500,MATCH("P10|"&amp;CAPTURA!AG176,CODIFICACION!$F$2:$F$500,0))),"⚠"))</f>
        <v/>
      </c>
      <c r="F176" t="str">
        <f>IF(CAPTURA!AJ176="","",IFERROR(IF(INDEX(CODIFICACION!$E$2:$E$500,MATCH("P13|"&amp;CAPTURA!AJ176,CODIFICACION!$F$2:$F$500,0))="sin dato","",INDEX(CODIFICACION!$E$2:$E$500,MATCH("P13|"&amp;CAPTURA!AJ176,CODIFICACION!$F$2:$F$500,0))),"⚠"))</f>
        <v/>
      </c>
      <c r="G176" t="str">
        <f>IF(CAPTURA!AK176="","",IFERROR(IF(INDEX(CODIFICACION!$E$2:$E$500,MATCH("P14|"&amp;CAPTURA!AK176,CODIFICACION!$F$2:$F$500,0))="sin dato","",INDEX(CODIFICACION!$E$2:$E$500,MATCH("P14|"&amp;CAPTURA!AK176,CODIFICACION!$F$2:$F$500,0))),"⚠"))</f>
        <v/>
      </c>
      <c r="H176" t="str">
        <f>IF(CAPTURA!AL176="","",IFERROR(IF(INDEX(CODIFICACION!$E$2:$E$500,MATCH("D1.1|"&amp;CAPTURA!AL176,CODIFICACION!$F$2:$F$500,0))="sin dato","",INDEX(CODIFICACION!$E$2:$E$500,MATCH("D1.1|"&amp;CAPTURA!AL176,CODIFICACION!$F$2:$F$500,0))),"⚠"))</f>
        <v/>
      </c>
      <c r="I176" t="str">
        <f>IF(CAPTURA!AN176="","",IFERROR(IF(INDEX(CODIFICACION!$E$2:$E$500,MATCH("D1.3|"&amp;CAPTURA!AN176,CODIFICACION!$F$2:$F$500,0))="sin dato","",INDEX(CODIFICACION!$E$2:$E$500,MATCH("D1.3|"&amp;CAPTURA!AN176,CODIFICACION!$F$2:$F$500,0))),"⚠"))</f>
        <v/>
      </c>
      <c r="J176" t="str">
        <f>IF(CAPTURA!AO176="","",IFERROR(IF(INDEX(CODIFICACION!$E$2:$E$500,MATCH("D1.4|"&amp;CAPTURA!AO176,CODIFICACION!$F$2:$F$500,0))="sin dato","",INDEX(CODIFICACION!$E$2:$E$500,MATCH("D1.4|"&amp;CAPTURA!AO176,CODIFICACION!$F$2:$F$500,0))),"⚠"))</f>
        <v/>
      </c>
      <c r="K176" t="str">
        <f>IF(CAPTURA!AP176="","",IFERROR(IF(INDEX(CODIFICACION!$E$2:$E$500,MATCH("D1.3a|"&amp;CAPTURA!AP176,CODIFICACION!$F$2:$F$500,0))="sin dato","",INDEX(CODIFICACION!$E$2:$E$500,MATCH("D1.3a|"&amp;CAPTURA!AP176,CODIFICACION!$F$2:$F$500,0))),"⚠"))</f>
        <v/>
      </c>
      <c r="L176" t="str">
        <f>IF(CAPTURA!AQ176="","",IF(AND(ISNUMBER(CAPTURA!AQ176),CAPTURA!AQ176&gt;=0,CAPTURA!AQ176&lt;=4),CAPTURA!AQ176*25,"⚠"))</f>
        <v/>
      </c>
      <c r="M176" t="str">
        <f>IF(CAPTURA!AR176="","",IF(ISNUMBER(CAPTURA!AR176),MAX(0,MIN(100,CAPTURA!AR176)),"⚠"))</f>
        <v/>
      </c>
      <c r="N176" t="str">
        <f>IF(CAPTURA!AS176="","",IF(AND(ISNUMBER(CAPTURA!AS176),CAPTURA!AS176&gt;=0,CAPTURA!AS176&lt;=4),CAPTURA!AS176*25,"⚠"))</f>
        <v/>
      </c>
      <c r="O176" t="str">
        <f>IF(CAPTURA!AT176="","",IFERROR(IF(INDEX(CODIFICACION!$E$2:$E$500,MATCH("D2.8|"&amp;CAPTURA!AT176,CODIFICACION!$F$2:$F$500,0))="sin dato","",INDEX(CODIFICACION!$E$2:$E$500,MATCH("D2.8|"&amp;CAPTURA!AT176,CODIFICACION!$F$2:$F$500,0))),"⚠"))</f>
        <v/>
      </c>
      <c r="P176" t="str">
        <f>IF(CAPTURA!AU176="","",IFERROR(IF(INDEX(CODIFICACION!$E$2:$E$500,MATCH("D2.9|"&amp;CAPTURA!AU176,CODIFICACION!$F$2:$F$500,0))="sin dato","",INDEX(CODIFICACION!$E$2:$E$500,MATCH("D2.9|"&amp;CAPTURA!AU176,CODIFICACION!$F$2:$F$500,0))),"⚠"))</f>
        <v/>
      </c>
      <c r="Q176" t="str">
        <f>IF(CAPTURA!AV176="","",IFERROR(IF(INDEX(CODIFICACION!$E$2:$E$500,MATCH("D2.10|"&amp;CAPTURA!AV176,CODIFICACION!$F$2:$F$500,0))="sin dato","",INDEX(CODIFICACION!$E$2:$E$500,MATCH("D2.10|"&amp;CAPTURA!AV176,CODIFICACION!$F$2:$F$500,0))),"⚠"))</f>
        <v/>
      </c>
      <c r="R176" t="str">
        <f>IF(CAPTURA!AW176="","",IFERROR(IF(INDEX(CODIFICACION!$E$2:$E$500,MATCH("D2.5a|"&amp;CAPTURA!AW176,CODIFICACION!$F$2:$F$500,0))="sin dato","",INDEX(CODIFICACION!$E$2:$E$500,MATCH("D2.5a|"&amp;CAPTURA!AW176,CODIFICACION!$F$2:$F$500,0))),"⚠"))</f>
        <v/>
      </c>
      <c r="S176" t="str">
        <f>IF(CAPTURA!AX176="","",IFERROR(IF(INDEX(CODIFICACION!$E$2:$E$500,MATCH("D2.5b|"&amp;CAPTURA!AX176,CODIFICACION!$F$2:$F$500,0))="sin dato","",INDEX(CODIFICACION!$E$2:$E$500,MATCH("D2.5b|"&amp;CAPTURA!AX176,CODIFICACION!$F$2:$F$500,0))),"⚠"))</f>
        <v/>
      </c>
      <c r="T176" t="str">
        <f>IF(CAPTURA!AY176="","",IF(ISNUMBER(CAPTURA!AY176),MAX(0,MIN(100,CAPTURA!AY176)),"⚠"))</f>
        <v/>
      </c>
      <c r="U176" t="str">
        <f>IF(CAPTURA!AZ176="","",IFERROR(IF(INDEX(CODIFICACION!$E$2:$E$500,MATCH("D3.12|"&amp;CAPTURA!AZ176,CODIFICACION!$F$2:$F$500,0))="sin dato","",INDEX(CODIFICACION!$E$2:$E$500,MATCH("D3.12|"&amp;CAPTURA!AZ176,CODIFICACION!$F$2:$F$500,0))),"⚠"))</f>
        <v/>
      </c>
      <c r="V176" t="str">
        <f>IF(CAPTURA!BA176="","",IF(AND(ISNUMBER(CAPTURA!BA176),CAPTURA!BA176&gt;=0,CAPTURA!BA176&lt;=4),CAPTURA!BA176*25,"⚠"))</f>
        <v/>
      </c>
      <c r="W176" t="str">
        <f>IF(CAPTURA!BB176="","",IFERROR(IF(INDEX(CODIFICACION!$E$2:$E$500,MATCH("D3.14|"&amp;CAPTURA!BB176,CODIFICACION!$F$2:$F$500,0))="sin dato","",INDEX(CODIFICACION!$E$2:$E$500,MATCH("D3.14|"&amp;CAPTURA!BB176,CODIFICACION!$F$2:$F$500,0))),"⚠"))</f>
        <v/>
      </c>
      <c r="X176" t="str">
        <f>IF(CAPTURA!BC176="","",IFERROR(IF(INDEX(CODIFICACION!$E$2:$E$500,MATCH("D3.14a|"&amp;CAPTURA!BC176,CODIFICACION!$F$2:$F$500,0))="sin dato","",INDEX(CODIFICACION!$E$2:$E$500,MATCH("D3.14a|"&amp;CAPTURA!BC176,CODIFICACION!$F$2:$F$500,0))),"⚠"))</f>
        <v/>
      </c>
      <c r="Y176" t="str">
        <f>IF(CAPTURA!BD176="","",IFERROR(IF(INDEX(CODIFICACION!$E$2:$E$500,MATCH("D3.14b|"&amp;CAPTURA!BD176,CODIFICACION!$F$2:$F$500,0))="sin dato","",INDEX(CODIFICACION!$E$2:$E$500,MATCH("D3.14b|"&amp;CAPTURA!BD176,CODIFICACION!$F$2:$F$500,0))),"⚠"))</f>
        <v/>
      </c>
      <c r="Z176" t="str">
        <f>IF(CAPTURA!BE176="","",IFERROR(IF(INDEX(CODIFICACION!$E$2:$E$500,MATCH("D3.14c|"&amp;CAPTURA!BE176,CODIFICACION!$F$2:$F$500,0))="sin dato","",INDEX(CODIFICACION!$E$2:$E$500,MATCH("D3.14c|"&amp;CAPTURA!BE176,CODIFICACION!$F$2:$F$500,0))),"⚠"))</f>
        <v/>
      </c>
      <c r="AA176" t="str">
        <f>IF(CAPTURA!BF176="","",IFERROR(IF(INDEX(CODIFICACION!$E$2:$E$500,MATCH("D3.14d|"&amp;CAPTURA!BF176,CODIFICACION!$F$2:$F$500,0))="sin dato","",INDEX(CODIFICACION!$E$2:$E$500,MATCH("D3.14d|"&amp;CAPTURA!BF176,CODIFICACION!$F$2:$F$500,0))),"⚠"))</f>
        <v/>
      </c>
      <c r="AB176" t="str">
        <f>IF(CAPTURA!BG176="","",IFERROR(IF(INDEX(CODIFICACION!$E$2:$E$500,MATCH("D3.14e|"&amp;CAPTURA!BG176,CODIFICACION!$F$2:$F$500,0))="sin dato","",INDEX(CODIFICACION!$E$2:$E$500,MATCH("D3.14e|"&amp;CAPTURA!BG176,CODIFICACION!$F$2:$F$500,0))),"⚠"))</f>
        <v/>
      </c>
      <c r="AC176" t="str">
        <f>IF(CAPTURA!BH176="","",IFERROR(IF(INDEX(CODIFICACION!$E$2:$E$500,MATCH("D3.14f|"&amp;CAPTURA!BH176,CODIFICACION!$F$2:$F$500,0))="sin dato","",INDEX(CODIFICACION!$E$2:$E$500,MATCH("D3.14f|"&amp;CAPTURA!BH176,CODIFICACION!$F$2:$F$500,0))),"⚠"))</f>
        <v/>
      </c>
      <c r="AD176" t="str">
        <f>IF(CAPTURA!BI176="","",IFERROR(IF(INDEX(CODIFICACION!$E$2:$E$500,MATCH("D3.14g|"&amp;CAPTURA!BI176,CODIFICACION!$F$2:$F$500,0))="sin dato","",INDEX(CODIFICACION!$E$2:$E$500,MATCH("D3.14g|"&amp;CAPTURA!BI176,CODIFICACION!$F$2:$F$500,0))),"⚠"))</f>
        <v/>
      </c>
      <c r="AE176" t="str">
        <f>IF(CAPTURA!BJ176="","",IFERROR(IF(INDEX(CODIFICACION!$E$2:$E$500,MATCH("D3.14h|"&amp;CAPTURA!BJ176,CODIFICACION!$F$2:$F$500,0))="sin dato","",INDEX(CODIFICACION!$E$2:$E$500,MATCH("D3.14h|"&amp;CAPTURA!BJ176,CODIFICACION!$F$2:$F$500,0))),"⚠"))</f>
        <v/>
      </c>
      <c r="AF176" t="str">
        <f>IF(CAPTURA!BK176="","",IFERROR(IF(INDEX(CODIFICACION!$E$2:$E$500,MATCH("D3.14i|"&amp;CAPTURA!BK176,CODIFICACION!$F$2:$F$500,0))="sin dato","",INDEX(CODIFICACION!$E$2:$E$500,MATCH("D3.14i|"&amp;CAPTURA!BK176,CODIFICACION!$F$2:$F$500,0))),"⚠"))</f>
        <v/>
      </c>
      <c r="AG176" t="str">
        <f>IF(CAPTURA!BL176="","",IFERROR(IF(INDEX(CODIFICACION!$E$2:$E$500,MATCH("D4.15|"&amp;CAPTURA!BL176,CODIFICACION!$F$2:$F$500,0))="sin dato","",INDEX(CODIFICACION!$E$2:$E$500,MATCH("D4.15|"&amp;CAPTURA!BL176,CODIFICACION!$F$2:$F$500,0))),"⚠"))</f>
        <v/>
      </c>
      <c r="AH176" t="str">
        <f>IF(CAPTURA!BM176="","",IF(AND(ISNUMBER(CAPTURA!BM176),CAPTURA!BM176&gt;=0,CAPTURA!BM176&lt;=4),CAPTURA!BM176*25,"⚠"))</f>
        <v/>
      </c>
      <c r="AI176" t="str">
        <f>IF(CAPTURA!BN176="","",IFERROR(IF(INDEX(CODIFICACION!$E$2:$E$500,MATCH("D4.17|"&amp;CAPTURA!BN176,CODIFICACION!$F$2:$F$500,0))="sin dato","",INDEX(CODIFICACION!$E$2:$E$500,MATCH("D4.17|"&amp;CAPTURA!BN176,CODIFICACION!$F$2:$F$500,0))),"⚠"))</f>
        <v/>
      </c>
      <c r="AJ176" t="str">
        <f>IF(CAPTURA!BO176="","",IFERROR(IF(INDEX(CODIFICACION!$E$2:$E$500,MATCH("D4.15a|"&amp;CAPTURA!BO176,CODIFICACION!$F$2:$F$500,0))="sin dato","",INDEX(CODIFICACION!$E$2:$E$500,MATCH("D4.15a|"&amp;CAPTURA!BO176,CODIFICACION!$F$2:$F$500,0))),"⚠"))</f>
        <v/>
      </c>
      <c r="AK176" t="str">
        <f>IF(CAPTURA!BP176="","",IF(AND(ISNUMBER(CAPTURA!BP176),CAPTURA!BP176&gt;=0,CAPTURA!BP176&lt;=4),CAPTURA!BP176*25,"⚠"))</f>
        <v/>
      </c>
      <c r="AL176" t="str">
        <f>IF(CAPTURA!BQ176="","",IF(AND(ISNUMBER(CAPTURA!BQ176),CAPTURA!BQ176&gt;=0,CAPTURA!BQ176&lt;=4),CAPTURA!BQ176*25,"⚠"))</f>
        <v/>
      </c>
      <c r="AM176" t="str">
        <f>IF(CAPTURA!BR176="","",IFERROR(IF(INDEX(CODIFICACION!$E$2:$E$500,MATCH("D5.18b|"&amp;CAPTURA!BR176,CODIFICACION!$F$2:$F$500,0))="sin dato","",INDEX(CODIFICACION!$E$2:$E$500,MATCH("D5.18b|"&amp;CAPTURA!BR176,CODIFICACION!$F$2:$F$500,0))),"⚠"))</f>
        <v/>
      </c>
      <c r="AN176" t="str">
        <f>IF(CAPTURA!BS176="","",IFERROR(IF(INDEX(CODIFICACION!$E$2:$E$500,MATCH("D5.19|"&amp;CAPTURA!BS176,CODIFICACION!$F$2:$F$500,0))="sin dato","",INDEX(CODIFICACION!$E$2:$E$500,MATCH("D5.19|"&amp;CAPTURA!BS176,CODIFICACION!$F$2:$F$500,0))),"⚠"))</f>
        <v/>
      </c>
      <c r="AO176" t="str">
        <f>IF(CAPTURA!BT176="","",MIN(100,ROUND((LEN(CAPTURA!BT176)-LEN(SUBSTITUTE(CAPTURA!BT176,";",""))+1)/7*100,1)))</f>
        <v/>
      </c>
      <c r="AP176" t="str">
        <f>IF(CAPTURA!BU176="","",IFERROR(IF(INDEX(CODIFICACION!$E$2:$E$500,MATCH("D5.20|"&amp;CAPTURA!BU176,CODIFICACION!$F$2:$F$500,0))="sin dato","",INDEX(CODIFICACION!$E$2:$E$500,MATCH("D5.20|"&amp;CAPTURA!BU176,CODIFICACION!$F$2:$F$500,0))),"⚠"))</f>
        <v/>
      </c>
      <c r="AQ176" t="str">
        <f>IF(CAPTURA!BV176="","",IFERROR(IF(INDEX(CODIFICACION!$E$2:$E$500,MATCH("D5.21|"&amp;CAPTURA!BV176,CODIFICACION!$F$2:$F$500,0))="sin dato","",INDEX(CODIFICACION!$E$2:$E$500,MATCH("D5.21|"&amp;CAPTURA!BV176,CODIFICACION!$F$2:$F$500,0))),"⚠"))</f>
        <v/>
      </c>
      <c r="AR176" t="str">
        <f>IF(CAPTURA!BW176="","",IFERROR(IF(INDEX(CODIFICACION!$E$2:$E$500,MATCH("D5.21a|"&amp;CAPTURA!BW176,CODIFICACION!$F$2:$F$500,0))="sin dato","",INDEX(CODIFICACION!$E$2:$E$500,MATCH("D5.21a|"&amp;CAPTURA!BW176,CODIFICACION!$F$2:$F$500,0))),"⚠"))</f>
        <v/>
      </c>
      <c r="AS176" t="str">
        <f>IF(CAPTURA!BX176="","",IFERROR(IF(INDEX(CODIFICACION!$E$2:$E$500,MATCH("D5.21b|"&amp;CAPTURA!BX176,CODIFICACION!$F$2:$F$500,0))="sin dato","",INDEX(CODIFICACION!$E$2:$E$500,MATCH("D5.21b|"&amp;CAPTURA!BX176,CODIFICACION!$F$2:$F$500,0))),"⚠"))</f>
        <v/>
      </c>
      <c r="AT176" t="str">
        <f>IF(CAPTURA!BY176="","",IFERROR(IF(INDEX(CODIFICACION!$E$2:$E$500,MATCH("D6.22|"&amp;CAPTURA!BY176,CODIFICACION!$F$2:$F$500,0))="sin dato","",INDEX(CODIFICACION!$E$2:$E$500,MATCH("D6.22|"&amp;CAPTURA!BY176,CODIFICACION!$F$2:$F$500,0))),"⚠"))</f>
        <v/>
      </c>
      <c r="AU176" t="str">
        <f>IF(CAPTURA!BZ176="","",IFERROR(IF(INDEX(CODIFICACION!$E$2:$E$500,MATCH("D6.22a|"&amp;CAPTURA!BZ176,CODIFICACION!$F$2:$F$500,0))="sin dato","",INDEX(CODIFICACION!$E$2:$E$500,MATCH("D6.22a|"&amp;CAPTURA!BZ176,CODIFICACION!$F$2:$F$500,0))),"⚠"))</f>
        <v/>
      </c>
      <c r="AV176" t="str">
        <f>IF(CAPTURA!CA176="","",IFERROR(IF(INDEX(CODIFICACION!$E$2:$E$500,MATCH("D6.22b|"&amp;CAPTURA!CA176,CODIFICACION!$F$2:$F$500,0))="sin dato","",INDEX(CODIFICACION!$E$2:$E$500,MATCH("D6.22b|"&amp;CAPTURA!CA176,CODIFICACION!$F$2:$F$500,0))),"⚠"))</f>
        <v/>
      </c>
      <c r="AW176" t="str">
        <f>IF(CAPTURA!CB176="","",IFERROR(IF(INDEX(CODIFICACION!$E$2:$E$500,MATCH("D6.23|"&amp;CAPTURA!CB176,CODIFICACION!$F$2:$F$500,0))="sin dato","",INDEX(CODIFICACION!$E$2:$E$500,MATCH("D6.23|"&amp;CAPTURA!CB176,CODIFICACION!$F$2:$F$500,0))),"⚠"))</f>
        <v/>
      </c>
      <c r="AX176" t="str">
        <f>IF(CAPTURA!CC176="","",IFERROR(IF(INDEX(CODIFICACION!$E$2:$E$500,MATCH("D6.24|"&amp;CAPTURA!CC176,CODIFICACION!$F$2:$F$500,0))="sin dato","",INDEX(CODIFICACION!$E$2:$E$500,MATCH("D6.24|"&amp;CAPTURA!CC176,CODIFICACION!$F$2:$F$500,0))),"⚠"))</f>
        <v/>
      </c>
      <c r="AY176" t="str">
        <f>IF(CAPTURA!CD176="","",IFERROR(IF(INDEX(CODIFICACION!$E$2:$E$500,MATCH("D6.25|"&amp;CAPTURA!CD176,CODIFICACION!$F$2:$F$500,0))="sin dato","",INDEX(CODIFICACION!$E$2:$E$500,MATCH("D6.25|"&amp;CAPTURA!CD176,CODIFICACION!$F$2:$F$500,0))),"⚠"))</f>
        <v/>
      </c>
      <c r="AZ176" t="str">
        <f>IF(CAPTURA!CE176="","",IFERROR(IF(INDEX(CODIFICACION!$E$2:$E$500,MATCH("D6.25a|"&amp;CAPTURA!CE176,CODIFICACION!$F$2:$F$500,0))="sin dato","",INDEX(CODIFICACION!$E$2:$E$500,MATCH("D6.25a|"&amp;CAPTURA!CE176,CODIFICACION!$F$2:$F$500,0))),"⚠"))</f>
        <v/>
      </c>
      <c r="BA176" t="str">
        <f>IF(CAPTURA!CF176="","",IFERROR(IF(INDEX(CODIFICACION!$E$2:$E$500,MATCH("D6.25b|"&amp;CAPTURA!CF176,CODIFICACION!$F$2:$F$500,0))="sin dato","",INDEX(CODIFICACION!$E$2:$E$500,MATCH("D6.25b|"&amp;CAPTURA!CF176,CODIFICACION!$F$2:$F$500,0))),"⚠"))</f>
        <v/>
      </c>
      <c r="BB176" t="str">
        <f>IF(CAPTURA!CG176="","",IFERROR(IF(INDEX(CODIFICACION!$E$2:$E$500,MATCH("D6.22c|"&amp;CAPTURA!CG176,CODIFICACION!$F$2:$F$500,0))="sin dato","",INDEX(CODIFICACION!$E$2:$E$500,MATCH("D6.22c|"&amp;CAPTURA!CG176,CODIFICACION!$F$2:$F$500,0))),"⚠"))</f>
        <v/>
      </c>
      <c r="BC176" t="str">
        <f>IF(CAPTURA!CH176="","",IFERROR(IF(INDEX(CODIFICACION!$E$2:$E$500,MATCH("D7.26|"&amp;CAPTURA!CH176,CODIFICACION!$F$2:$F$500,0))="sin dato","",INDEX(CODIFICACION!$E$2:$E$500,MATCH("D7.26|"&amp;CAPTURA!CH176,CODIFICACION!$F$2:$F$500,0))),"⚠"))</f>
        <v/>
      </c>
      <c r="BD176" t="str">
        <f>IF(CAPTURA!CI176="","",IFERROR(IF(INDEX(CODIFICACION!$E$2:$E$500,MATCH("D7.27|"&amp;CAPTURA!CI176,CODIFICACION!$F$2:$F$500,0))="sin dato","",INDEX(CODIFICACION!$E$2:$E$500,MATCH("D7.27|"&amp;CAPTURA!CI176,CODIFICACION!$F$2:$F$500,0))),"⚠"))</f>
        <v/>
      </c>
      <c r="BE176" t="str">
        <f>IF(CAPTURA!CJ176="","",IFERROR(IF(INDEX(CODIFICACION!$E$2:$E$500,MATCH("D7.28|"&amp;CAPTURA!CJ176,CODIFICACION!$F$2:$F$500,0))="sin dato","",INDEX(CODIFICACION!$E$2:$E$500,MATCH("D7.28|"&amp;CAPTURA!CJ176,CODIFICACION!$F$2:$F$500,0))),"⚠"))</f>
        <v/>
      </c>
      <c r="BF176" t="str">
        <f>IF(CAPTURA!CK176="","",IFERROR(IF(INDEX(CODIFICACION!$E$2:$E$500,MATCH("D7.28b|"&amp;CAPTURA!CK176,CODIFICACION!$F$2:$F$500,0))="sin dato","",INDEX(CODIFICACION!$E$2:$E$500,MATCH("D7.28b|"&amp;CAPTURA!CK176,CODIFICACION!$F$2:$F$500,0))),"⚠"))</f>
        <v/>
      </c>
      <c r="BG176" t="str">
        <f>IF(CAPTURA!CL176="","",MIN(100,ROUND((LEN(CAPTURA!CL176)-LEN(SUBSTITUTE(CAPTURA!CL176,";",""))+1)/8*100,1)))</f>
        <v/>
      </c>
      <c r="BH176" t="str">
        <f>IF(CAPTURA!CM176="","",IFERROR(IF(INDEX(CODIFICACION!$E$2:$E$500,MATCH("D7.26a|"&amp;CAPTURA!CM176,CODIFICACION!$F$2:$F$500,0))="sin dato","",INDEX(CODIFICACION!$E$2:$E$500,MATCH("D7.26a|"&amp;CAPTURA!CM176,CODIFICACION!$F$2:$F$500,0))),"⚠"))</f>
        <v/>
      </c>
      <c r="BI176" t="str">
        <f>IF(CAPTURA!CN176="","",IFERROR(IF(INDEX(CODIFICACION!$E$2:$E$500,MATCH("D7.26b|"&amp;CAPTURA!CN176,CODIFICACION!$F$2:$F$500,0))="sin dato","",INDEX(CODIFICACION!$E$2:$E$500,MATCH("D7.26b|"&amp;CAPTURA!CN176,CODIFICACION!$F$2:$F$500,0))),"⚠"))</f>
        <v/>
      </c>
      <c r="BJ176" t="str">
        <f>IF(CAPTURA!CO176="","",IF(AND(ISNUMBER(CAPTURA!CO176),CAPTURA!CO176&gt;=0,CAPTURA!CO176&lt;=4),CAPTURA!CO176*25,"⚠"))</f>
        <v/>
      </c>
      <c r="BK176" t="str">
        <f>IF(CAPTURA!CP176="","",IF(ISNUMBER(CAPTURA!CP176),MAX(0,MIN(100,CAPTURA!CP176)),"⚠"))</f>
        <v/>
      </c>
      <c r="BL176" t="str">
        <f>IF(CAPTURA!CQ176="","",IFERROR(IF(INDEX(CODIFICACION!$E$2:$E$500,MATCH("D8.31|"&amp;CAPTURA!CQ176,CODIFICACION!$F$2:$F$500,0))="sin dato","",INDEX(CODIFICACION!$E$2:$E$500,MATCH("D8.31|"&amp;CAPTURA!CQ176,CODIFICACION!$F$2:$F$500,0))),"⚠"))</f>
        <v/>
      </c>
      <c r="BM176" t="str">
        <f>IF(CAPTURA!CR176="","",IFERROR(IF(INDEX(CODIFICACION!$E$2:$E$500,MATCH("D8.32|"&amp;CAPTURA!CR176,CODIFICACION!$F$2:$F$500,0))="sin dato","",INDEX(CODIFICACION!$E$2:$E$500,MATCH("D8.32|"&amp;CAPTURA!CR176,CODIFICACION!$F$2:$F$500,0))),"⚠"))</f>
        <v/>
      </c>
      <c r="BN176" t="str">
        <f>IF(CAPTURA!CS176="","",IFERROR(IF(INDEX(CODIFICACION!$E$2:$E$500,MATCH("D9.33|"&amp;CAPTURA!CS176,CODIFICACION!$F$2:$F$500,0))="sin dato","",INDEX(CODIFICACION!$E$2:$E$500,MATCH("D9.33|"&amp;CAPTURA!CS176,CODIFICACION!$F$2:$F$500,0))),"⚠"))</f>
        <v/>
      </c>
      <c r="BO176" t="str">
        <f>IF(CAPTURA!CT176="","",IFERROR(IF(INDEX(CODIFICACION!$E$2:$E$500,MATCH("D9.34|"&amp;CAPTURA!CT176,CODIFICACION!$F$2:$F$500,0))="sin dato","",INDEX(CODIFICACION!$E$2:$E$500,MATCH("D9.34|"&amp;CAPTURA!CT176,CODIFICACION!$F$2:$F$500,0))),"⚠"))</f>
        <v/>
      </c>
      <c r="BP176" t="str">
        <f>IF(CAPTURA!CU176="","",IFERROR(IF(INDEX(CODIFICACION!$E$2:$E$500,MATCH("D9.35|"&amp;CAPTURA!CU176,CODIFICACION!$F$2:$F$500,0))="sin dato","",INDEX(CODIFICACION!$E$2:$E$500,MATCH("D9.35|"&amp;CAPTURA!CU176,CODIFICACION!$F$2:$F$500,0))),"⚠"))</f>
        <v/>
      </c>
      <c r="BQ176" t="str">
        <f>IF(CAPTURA!CV176="","",IFERROR(IF(INDEX(CODIFICACION!$E$2:$E$500,MATCH("D10.36|"&amp;CAPTURA!CV176,CODIFICACION!$F$2:$F$500,0))="sin dato","",INDEX(CODIFICACION!$E$2:$E$500,MATCH("D10.36|"&amp;CAPTURA!CV176,CODIFICACION!$F$2:$F$500,0))),"⚠"))</f>
        <v/>
      </c>
      <c r="BR176" t="str">
        <f>IF(CAPTURA!CW176="","",IFERROR(IF(INDEX(CODIFICACION!$E$2:$E$500,MATCH("D10.37|"&amp;CAPTURA!CW176,CODIFICACION!$F$2:$F$500,0))="sin dato","",INDEX(CODIFICACION!$E$2:$E$500,MATCH("D10.37|"&amp;CAPTURA!CW176,CODIFICACION!$F$2:$F$500,0))),"⚠"))</f>
        <v/>
      </c>
      <c r="BS176" t="str">
        <f>IF(CAPTURA!CX176="","",IFERROR(IF(INDEX(CODIFICACION!$E$2:$E$500,MATCH("D10.36a|"&amp;CAPTURA!CX176,CODIFICACION!$F$2:$F$500,0))="sin dato","",INDEX(CODIFICACION!$E$2:$E$500,MATCH("D10.36a|"&amp;CAPTURA!CX176,CODIFICACION!$F$2:$F$500,0))),"⚠"))</f>
        <v/>
      </c>
      <c r="BT176" t="str">
        <f>IF(CAPTURA!CY176="","",IF(ISNUMBER(SEARCH("Ninguno",CAPTURA!CY176)),0,MIN(100,ROUND((LEN(CAPTURA!CY176)-LEN(SUBSTITUTE(CAPTURA!CY176,";",""))+1)/6*100,1))))</f>
        <v/>
      </c>
      <c r="BU176" t="str">
        <f>IF(CAPTURA!DA176="","",IFERROR(IF(INDEX(CODIFICACION!$E$2:$E$500,MATCH("D11.39a|"&amp;CAPTURA!DA176,CODIFICACION!$F$2:$F$500,0))="sin dato","",INDEX(CODIFICACION!$E$2:$E$500,MATCH("D11.39a|"&amp;CAPTURA!DA176,CODIFICACION!$F$2:$F$500,0))),"⚠"))</f>
        <v/>
      </c>
      <c r="BV176" t="str">
        <f>IF(CAPTURA!DB176="","",IFERROR(IF(INDEX(CODIFICACION!$E$2:$E$500,MATCH("D12.42|"&amp;CAPTURA!DB176,CODIFICACION!$F$2:$F$500,0))="sin dato","",INDEX(CODIFICACION!$E$2:$E$500,MATCH("D12.42|"&amp;CAPTURA!DB176,CODIFICACION!$F$2:$F$500,0))),"⚠"))</f>
        <v/>
      </c>
      <c r="BW176" t="str">
        <f>IF(CAPTURA!DC176="","",IFERROR(IF(INDEX(CODIFICACION!$E$2:$E$500,MATCH("D13.45|"&amp;CAPTURA!DC176,CODIFICACION!$F$2:$F$500,0))="sin dato","",INDEX(CODIFICACION!$E$2:$E$500,MATCH("D13.45|"&amp;CAPTURA!DC176,CODIFICACION!$F$2:$F$500,0))),"⚠"))</f>
        <v/>
      </c>
      <c r="BX176" t="str">
        <f>IF(CAPTURA!DD176="","",IFERROR(IF(INDEX(CODIFICACION!$E$2:$E$500,MATCH("D14.51|"&amp;CAPTURA!DD176,CODIFICACION!$F$2:$F$500,0))="sin dato","",INDEX(CODIFICACION!$E$2:$E$500,MATCH("D14.51|"&amp;CAPTURA!DD176,CODIFICACION!$F$2:$F$500,0))),"⚠"))</f>
        <v/>
      </c>
      <c r="BY176" t="str">
        <f>IF(CAPTURA!DE176="","",IFERROR(IF(INDEX(CODIFICACION!$E$2:$E$500,MATCH("D15.58|"&amp;CAPTURA!DE176,CODIFICACION!$F$2:$F$500,0))="sin dato","",INDEX(CODIFICACION!$E$2:$E$500,MATCH("D15.58|"&amp;CAPTURA!DE176,CODIFICACION!$F$2:$F$500,0))),"⚠"))</f>
        <v/>
      </c>
      <c r="BZ176" t="str">
        <f>IF(CAPTURA!DF176="","",IFERROR(IF(INDEX(CODIFICACION!$E$2:$E$500,MATCH("PP1|"&amp;CAPTURA!DF176,CODIFICACION!$F$2:$F$500,0))="sin dato","",INDEX(CODIFICACION!$E$2:$E$500,MATCH("PP1|"&amp;CAPTURA!DF176,CODIFICACION!$F$2:$F$500,0))),"⚠"))</f>
        <v/>
      </c>
      <c r="CA176" t="str">
        <f>IF(CAPTURA!DG176="","",IFERROR(IF(INDEX(CODIFICACION!$E$2:$E$500,MATCH("PP2|"&amp;CAPTURA!DG176,CODIFICACION!$F$2:$F$500,0))="sin dato","",INDEX(CODIFICACION!$E$2:$E$500,MATCH("PP2|"&amp;CAPTURA!DG176,CODIFICACION!$F$2:$F$500,0))),"⚠"))</f>
        <v/>
      </c>
      <c r="CB176" t="str">
        <f t="shared" si="55"/>
        <v/>
      </c>
      <c r="CC176" t="str">
        <f t="shared" si="56"/>
        <v/>
      </c>
      <c r="CD176" t="str">
        <f t="shared" si="57"/>
        <v/>
      </c>
      <c r="CE176" t="str">
        <f t="shared" si="58"/>
        <v/>
      </c>
      <c r="CF176" t="str">
        <f t="shared" si="59"/>
        <v/>
      </c>
      <c r="CG176" t="str">
        <f t="shared" si="60"/>
        <v/>
      </c>
      <c r="CH176" t="str">
        <f t="shared" si="61"/>
        <v/>
      </c>
      <c r="CI176" t="str">
        <f t="shared" si="62"/>
        <v/>
      </c>
      <c r="CJ176" t="str">
        <f t="shared" si="63"/>
        <v/>
      </c>
      <c r="CK176" t="str">
        <f t="shared" si="64"/>
        <v/>
      </c>
      <c r="CL176" t="str">
        <f t="shared" si="65"/>
        <v/>
      </c>
    </row>
  </sheetData>
  <mergeCells count="1">
    <mergeCell ref="A1:CL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L201"/>
  <sheetViews>
    <sheetView workbookViewId="0">
      <pane xSplit="4" ySplit="3" topLeftCell="E4" activePane="bottomRight" state="frozen"/>
      <selection pane="topRight"/>
      <selection pane="bottomLeft"/>
      <selection pane="bottomRight" activeCell="E4" sqref="E4"/>
    </sheetView>
  </sheetViews>
  <sheetFormatPr baseColWidth="10" defaultColWidth="8.88671875" defaultRowHeight="14.4" x14ac:dyDescent="0.3"/>
  <cols>
    <col min="1" max="1" width="14" customWidth="1"/>
    <col min="2" max="2" width="30" customWidth="1"/>
    <col min="3" max="3" width="12" customWidth="1"/>
    <col min="4" max="4" width="16" customWidth="1"/>
    <col min="5" max="25" width="13" customWidth="1"/>
    <col min="26" max="28" width="17" customWidth="1"/>
    <col min="29" max="29" width="22" customWidth="1"/>
    <col min="30" max="30" width="20" customWidth="1"/>
    <col min="31" max="38" width="13" customWidth="1"/>
  </cols>
  <sheetData>
    <row r="1" spans="1:38" ht="30" customHeight="1" x14ac:dyDescent="0.3">
      <c r="A1" s="71" t="s">
        <v>900</v>
      </c>
      <c r="B1" s="65"/>
      <c r="C1" s="65"/>
      <c r="D1" s="65"/>
      <c r="E1" s="65"/>
      <c r="F1" s="65"/>
      <c r="G1" s="65"/>
      <c r="H1" s="65"/>
      <c r="I1" s="65"/>
      <c r="J1" s="65"/>
      <c r="K1" s="65"/>
      <c r="L1" s="65"/>
      <c r="M1" s="65"/>
      <c r="N1" s="65"/>
      <c r="O1" s="65"/>
      <c r="P1" s="65"/>
      <c r="Q1" s="65"/>
      <c r="R1" s="65"/>
      <c r="S1" s="65"/>
      <c r="T1" s="65"/>
      <c r="U1" s="65"/>
      <c r="V1" s="65"/>
      <c r="W1" s="65"/>
      <c r="X1" s="65"/>
      <c r="Y1" s="65"/>
      <c r="Z1" s="65"/>
      <c r="AA1" s="65"/>
      <c r="AB1" s="65"/>
      <c r="AC1" s="65"/>
      <c r="AD1" s="65"/>
      <c r="AE1" s="65"/>
      <c r="AF1" s="65"/>
      <c r="AG1" s="65"/>
      <c r="AH1" s="65"/>
      <c r="AI1" s="65"/>
      <c r="AJ1" s="65"/>
      <c r="AK1" s="65"/>
      <c r="AL1" s="65"/>
    </row>
    <row r="2" spans="1:38" ht="22.05" customHeight="1" x14ac:dyDescent="0.3">
      <c r="A2" s="76" t="s">
        <v>1069</v>
      </c>
      <c r="B2" s="65"/>
      <c r="C2" s="65"/>
      <c r="D2" s="65"/>
      <c r="E2" s="65"/>
      <c r="F2" s="65"/>
      <c r="G2" s="65"/>
      <c r="H2" s="65"/>
      <c r="I2" s="65"/>
      <c r="J2" s="65"/>
      <c r="K2" s="65"/>
      <c r="L2" s="65"/>
      <c r="M2" s="65"/>
      <c r="N2" s="65"/>
      <c r="O2" s="65"/>
      <c r="P2" s="65"/>
      <c r="Q2" s="65"/>
      <c r="R2" s="65"/>
      <c r="S2" s="65"/>
      <c r="T2" s="65"/>
      <c r="U2" s="65"/>
      <c r="V2" s="65"/>
      <c r="W2" s="65"/>
      <c r="X2" s="65"/>
      <c r="Y2" s="65"/>
      <c r="Z2" s="65"/>
      <c r="AA2" s="65"/>
      <c r="AB2" s="65"/>
      <c r="AC2" s="65"/>
      <c r="AD2" s="65"/>
      <c r="AE2" s="65"/>
      <c r="AF2" s="65"/>
      <c r="AG2" s="65"/>
      <c r="AH2" s="65"/>
      <c r="AI2" s="65"/>
      <c r="AJ2" s="65"/>
      <c r="AK2" s="65"/>
      <c r="AL2" s="65"/>
    </row>
    <row r="3" spans="1:38" ht="54" customHeight="1" x14ac:dyDescent="0.3">
      <c r="A3" s="1" t="s">
        <v>21</v>
      </c>
      <c r="B3" s="1" t="s">
        <v>901</v>
      </c>
      <c r="C3" s="1" t="s">
        <v>23</v>
      </c>
      <c r="D3" s="1" t="s">
        <v>32</v>
      </c>
      <c r="E3" s="2" t="s">
        <v>902</v>
      </c>
      <c r="F3" s="3" t="s">
        <v>903</v>
      </c>
      <c r="G3" s="3" t="s">
        <v>904</v>
      </c>
      <c r="H3" s="2" t="s">
        <v>905</v>
      </c>
      <c r="I3" s="3" t="s">
        <v>906</v>
      </c>
      <c r="J3" s="3" t="s">
        <v>907</v>
      </c>
      <c r="K3" s="2" t="s">
        <v>908</v>
      </c>
      <c r="L3" s="2" t="s">
        <v>909</v>
      </c>
      <c r="M3" s="2" t="s">
        <v>910</v>
      </c>
      <c r="N3" s="2" t="s">
        <v>911</v>
      </c>
      <c r="O3" s="2" t="s">
        <v>912</v>
      </c>
      <c r="P3" s="4" t="s">
        <v>913</v>
      </c>
      <c r="Q3" s="4" t="s">
        <v>914</v>
      </c>
      <c r="R3" s="4" t="s">
        <v>915</v>
      </c>
      <c r="S3" s="4" t="s">
        <v>916</v>
      </c>
      <c r="T3" s="4" t="s">
        <v>917</v>
      </c>
      <c r="U3" s="5" t="s">
        <v>918</v>
      </c>
      <c r="V3" s="5" t="s">
        <v>919</v>
      </c>
      <c r="W3" s="5" t="s">
        <v>920</v>
      </c>
      <c r="X3" s="5" t="s">
        <v>921</v>
      </c>
      <c r="Y3" s="5" t="s">
        <v>922</v>
      </c>
      <c r="Z3" s="6" t="s">
        <v>923</v>
      </c>
      <c r="AA3" s="7" t="s">
        <v>924</v>
      </c>
      <c r="AB3" s="8" t="s">
        <v>925</v>
      </c>
      <c r="AC3" s="9" t="s">
        <v>926</v>
      </c>
      <c r="AD3" s="8" t="s">
        <v>927</v>
      </c>
      <c r="AE3" s="10" t="s">
        <v>928</v>
      </c>
      <c r="AF3" s="10" t="s">
        <v>929</v>
      </c>
      <c r="AG3" s="10" t="s">
        <v>930</v>
      </c>
      <c r="AH3" s="10" t="s">
        <v>931</v>
      </c>
      <c r="AI3" s="11" t="s">
        <v>1070</v>
      </c>
      <c r="AJ3" s="12" t="s">
        <v>932</v>
      </c>
      <c r="AK3" s="4" t="s">
        <v>933</v>
      </c>
      <c r="AL3" s="6" t="s">
        <v>934</v>
      </c>
    </row>
    <row r="4" spans="1:38" ht="16.05" customHeight="1" x14ac:dyDescent="0.3">
      <c r="A4" s="13" t="s">
        <v>62</v>
      </c>
      <c r="B4" s="14" t="s">
        <v>63</v>
      </c>
      <c r="C4" s="13" t="s">
        <v>64</v>
      </c>
      <c r="D4" s="15">
        <v>2553623.31</v>
      </c>
      <c r="E4" s="16" t="str">
        <f>IF(NORMALIZADO!CB3="","",NORMALIZADO!CB3)</f>
        <v/>
      </c>
      <c r="F4" s="17" t="str">
        <f>IF(NORMALIZADO!CC3="","",NORMALIZADO!CC3)</f>
        <v/>
      </c>
      <c r="G4" s="17">
        <f>IF(NORMALIZADO!CD3="",IFERROR(MATRIZ_174!U3*100,""),NORMALIZADO!CD3)</f>
        <v>100</v>
      </c>
      <c r="H4" s="16" t="str">
        <f>IF(NORMALIZADO!CE3="","",NORMALIZADO!CE3)</f>
        <v/>
      </c>
      <c r="I4" s="17" t="str">
        <f>IF(NORMALIZADO!CF3="","",NORMALIZADO!CF3)</f>
        <v/>
      </c>
      <c r="J4" s="17" t="str">
        <f>IF(NORMALIZADO!CG3="","",NORMALIZADO!CG3)</f>
        <v/>
      </c>
      <c r="K4" s="16" t="str">
        <f>IF(NORMALIZADO!CH3="","",NORMALIZADO!CH3)</f>
        <v/>
      </c>
      <c r="L4" s="16" t="str">
        <f>IF(NORMALIZADO!CI3="","",NORMALIZADO!CI3)</f>
        <v/>
      </c>
      <c r="M4" s="16" t="str">
        <f>IF(NORMALIZADO!CJ3="","",NORMALIZADO!CJ3)</f>
        <v/>
      </c>
      <c r="N4" s="16" t="str">
        <f>IF(NORMALIZADO!CK3="","",NORMALIZADO!CK3)</f>
        <v/>
      </c>
      <c r="O4" s="16" t="str">
        <f>IF(NORMALIZADO!CL3="","",NORMALIZADO!CL3)</f>
        <v/>
      </c>
      <c r="P4" s="17" t="str">
        <f t="shared" ref="P4:P35" si="0">IFERROR(F4,0)</f>
        <v/>
      </c>
      <c r="Q4" s="17">
        <f t="shared" ref="Q4:Q35" si="1">IFERROR(SQRT(G4*H4),0)</f>
        <v>0</v>
      </c>
      <c r="R4" s="17">
        <f t="shared" ref="R4:R35" si="2">IFERROR((I4+J4+L4)/3,0)</f>
        <v>0</v>
      </c>
      <c r="S4" s="17">
        <f t="shared" ref="S4:S35" si="3">IFERROR((J4+F4)/2,0)</f>
        <v>0</v>
      </c>
      <c r="T4" s="17" t="str">
        <f>IF(ISNUMBER(MATRIZ_174!O3),IFERROR((K4+M4+MATRIZ_174!O3)/3,0),"")</f>
        <v/>
      </c>
      <c r="U4" s="18">
        <f>IF(ISNUMBER(MATRIZ_174!M3),MIN(100,ROUND(MATRIZ_174!M3,1)),"")</f>
        <v>50</v>
      </c>
      <c r="V4" s="18">
        <f t="shared" ref="V4:V35" si="4">IF(OR(NOT(ISNUMBER(F4)),F4=0),50,F4)</f>
        <v>50</v>
      </c>
      <c r="W4" s="18">
        <f>IFERROR(IF(MATRIZ_174!R3=0,65,IF(MATRIZ_174!R3/MATRIZ_174!Q3&gt;=2,35,IF(MATRIZ_174!R3/MATRIZ_174!Q3&gt;=0.5,50,65))),65)</f>
        <v>65</v>
      </c>
      <c r="X4" s="18" t="str">
        <f>IF(ISNUMBER(MATRIZ_174!O3),MIN(100,IF(MATRIZ_174!O3=0,70,30)+IF(MATRIZ_174!U3="",0,0.3*(100-MATRIZ_174!U3*100))),"")</f>
        <v/>
      </c>
      <c r="Y4" s="18">
        <f>IF(OR(MATRIZ_174!P3="ASOCIACION",MATRIZ_174!P3="PENDIENTE"),65,40)</f>
        <v>65</v>
      </c>
      <c r="Z4" s="19" t="str">
        <f t="shared" ref="Z4:Z35" si="5">IF(COUNT(F4:M4)&lt;8,"—",IFERROR(ROUND(AVERAGE(P4:T4),1),"—"))</f>
        <v>—</v>
      </c>
      <c r="AA4" s="20">
        <f t="shared" ref="AA4:AA35" si="6">IFERROR(ROUND(AVERAGE(U4,V4,W4,X4,Y4),1),0)</f>
        <v>57.5</v>
      </c>
      <c r="AB4" s="21" t="str">
        <f t="shared" ref="AB4:AB35" si="7">IF(NOT(ISNUMBER(Z4)),"—",IFERROR(ROUND(AA4*(1-Z4/100),1),"—"))</f>
        <v>—</v>
      </c>
      <c r="AC4" s="13" t="str">
        <f t="shared" ref="AC4:AC35" si="8">IF(OR(NOT(ISNUMBER(Z4)),NOT(ISNUMBER(AA4))),"⬜  Pendiente de instrumento",IF(AND(Z4&gt;=50,AA4&lt;50),"🟢  Resilientes",IF(AND(Z4&gt;=50,AA4&gt;=50),"🟠  Expuestas Adaptables",IF(AND(Z4&lt;50,AA4&lt;50),"⬜  Riesgo Latente","🔴  Riesgo Crítico"))))</f>
        <v>⬜  Pendiente de instrumento</v>
      </c>
      <c r="AD4" s="13" t="str">
        <f>IF(MATRIZ_174!U3="","",IF(MATRIZ_174!U3=0,"🚫  Inh. vigente OSCE",""))</f>
        <v/>
      </c>
      <c r="AE4" s="22">
        <f>IFERROR(MATRIZ_174!W3,0)</f>
        <v>1</v>
      </c>
      <c r="AF4" s="22">
        <f>IFERROR(MATRIZ_174!X3,0)</f>
        <v>0</v>
      </c>
      <c r="AG4" s="22">
        <f>IFERROR(MATRIZ_174!Y3,0)</f>
        <v>0</v>
      </c>
      <c r="AH4" s="22">
        <f>IFERROR(MATRIZ_174!Z3,0)</f>
        <v>0</v>
      </c>
      <c r="AI4" s="17">
        <f>IFERROR(MATRIZ_174!AP3,"N/A")</f>
        <v>0.3125</v>
      </c>
      <c r="AJ4" s="17" t="str">
        <f>IFERROR(MATRIZ_174!AO3,"N/A")</f>
        <v>N/A</v>
      </c>
      <c r="AK4" s="23" t="str">
        <f t="shared" ref="AK4:AK35" si="9">IF(COUNT(E4:M4)&lt;7,"N/A",IFERROR(ROUND((POWER(PRODUCT(E4:K4),1/MAX(1,COUNT(E4:K4)))*IF(COUNT(E4:K4)&gt;0,0.875,0)+IFERROR(AVERAGE(L4:M4),0)*IF(COUNT(L4:M4)&gt;0,0.125,0))/(IF(COUNT(E4:K4)&gt;0,0.875,0)+IF(COUNT(L4:M4)&gt;0,0.125,0)),1),"N/A"))</f>
        <v>N/A</v>
      </c>
      <c r="AL4" s="24" t="str">
        <f t="shared" ref="AL4:AL35" si="10">IF(OR(NOT(ISNUMBER(AK4)),NOT(ISNUMBER(AI4))),"—",ROUND(0.7*AK4+0.3*AI4*100,1))</f>
        <v>—</v>
      </c>
    </row>
    <row r="5" spans="1:38" ht="16.05" customHeight="1" x14ac:dyDescent="0.3">
      <c r="A5" s="13" t="s">
        <v>70</v>
      </c>
      <c r="B5" s="14" t="s">
        <v>71</v>
      </c>
      <c r="C5" s="13" t="s">
        <v>72</v>
      </c>
      <c r="D5" s="15">
        <v>0</v>
      </c>
      <c r="E5" s="16" t="str">
        <f>IF(NORMALIZADO!CB4="","",NORMALIZADO!CB4)</f>
        <v/>
      </c>
      <c r="F5" s="17" t="str">
        <f>IF(NORMALIZADO!CC4="","",NORMALIZADO!CC4)</f>
        <v/>
      </c>
      <c r="G5" s="17">
        <f>IF(NORMALIZADO!CD4="",IFERROR(MATRIZ_174!U4*100,""),NORMALIZADO!CD4)</f>
        <v>100</v>
      </c>
      <c r="H5" s="16" t="str">
        <f>IF(NORMALIZADO!CE4="","",NORMALIZADO!CE4)</f>
        <v/>
      </c>
      <c r="I5" s="17" t="str">
        <f>IF(NORMALIZADO!CF4="","",NORMALIZADO!CF4)</f>
        <v/>
      </c>
      <c r="J5" s="17" t="str">
        <f>IF(NORMALIZADO!CG4="","",NORMALIZADO!CG4)</f>
        <v/>
      </c>
      <c r="K5" s="16" t="str">
        <f>IF(NORMALIZADO!CH4="","",NORMALIZADO!CH4)</f>
        <v/>
      </c>
      <c r="L5" s="16" t="str">
        <f>IF(NORMALIZADO!CI4="","",NORMALIZADO!CI4)</f>
        <v/>
      </c>
      <c r="M5" s="16" t="str">
        <f>IF(NORMALIZADO!CJ4="","",NORMALIZADO!CJ4)</f>
        <v/>
      </c>
      <c r="N5" s="16" t="str">
        <f>IF(NORMALIZADO!CK4="","",NORMALIZADO!CK4)</f>
        <v/>
      </c>
      <c r="O5" s="16" t="str">
        <f>IF(NORMALIZADO!CL4="","",NORMALIZADO!CL4)</f>
        <v/>
      </c>
      <c r="P5" s="17" t="str">
        <f t="shared" si="0"/>
        <v/>
      </c>
      <c r="Q5" s="17">
        <f t="shared" si="1"/>
        <v>0</v>
      </c>
      <c r="R5" s="17">
        <f t="shared" si="2"/>
        <v>0</v>
      </c>
      <c r="S5" s="17">
        <f t="shared" si="3"/>
        <v>0</v>
      </c>
      <c r="T5" s="17" t="str">
        <f>IF(ISNUMBER(MATRIZ_174!O4),IFERROR((K5+M5+MATRIZ_174!O4)/3,0),"")</f>
        <v/>
      </c>
      <c r="U5" s="18" t="str">
        <f>IF(ISNUMBER(MATRIZ_174!M4),MIN(100,ROUND(MATRIZ_174!M4,1)),"")</f>
        <v/>
      </c>
      <c r="V5" s="18">
        <f t="shared" si="4"/>
        <v>50</v>
      </c>
      <c r="W5" s="18">
        <f>IFERROR(IF(MATRIZ_174!R4=0,65,IF(MATRIZ_174!R4/MATRIZ_174!Q4&gt;=2,35,IF(MATRIZ_174!R4/MATRIZ_174!Q4&gt;=0.5,50,65))),65)</f>
        <v>65</v>
      </c>
      <c r="X5" s="18" t="str">
        <f>IF(ISNUMBER(MATRIZ_174!O4),MIN(100,IF(MATRIZ_174!O4=0,70,30)+IF(MATRIZ_174!U4="",0,0.3*(100-MATRIZ_174!U4*100))),"")</f>
        <v/>
      </c>
      <c r="Y5" s="18">
        <f>IF(OR(MATRIZ_174!P4="ASOCIACION",MATRIZ_174!P4="PENDIENTE"),65,40)</f>
        <v>65</v>
      </c>
      <c r="Z5" s="19" t="str">
        <f t="shared" si="5"/>
        <v>—</v>
      </c>
      <c r="AA5" s="20">
        <f t="shared" si="6"/>
        <v>60</v>
      </c>
      <c r="AB5" s="21" t="str">
        <f t="shared" si="7"/>
        <v>—</v>
      </c>
      <c r="AC5" s="13" t="str">
        <f t="shared" si="8"/>
        <v>⬜  Pendiente de instrumento</v>
      </c>
      <c r="AD5" s="13" t="str">
        <f>IF(MATRIZ_174!U4="","",IF(MATRIZ_174!U4=0,"🚫  Inh. vigente OSCE",""))</f>
        <v/>
      </c>
      <c r="AE5" s="22">
        <f>IFERROR(MATRIZ_174!W4,0)</f>
        <v>0</v>
      </c>
      <c r="AF5" s="22">
        <f>IFERROR(MATRIZ_174!X4,0)</f>
        <v>0</v>
      </c>
      <c r="AG5" s="22">
        <f>IFERROR(MATRIZ_174!Y4,0)</f>
        <v>0</v>
      </c>
      <c r="AH5" s="22">
        <f>IFERROR(MATRIZ_174!Z4,0)</f>
        <v>0</v>
      </c>
      <c r="AI5" s="17">
        <f>IFERROR(MATRIZ_174!AP4,"N/A")</f>
        <v>0</v>
      </c>
      <c r="AJ5" s="17" t="str">
        <f>IFERROR(MATRIZ_174!AO4,"N/A")</f>
        <v>N/A</v>
      </c>
      <c r="AK5" s="23" t="str">
        <f t="shared" si="9"/>
        <v>N/A</v>
      </c>
      <c r="AL5" s="24" t="str">
        <f t="shared" si="10"/>
        <v>—</v>
      </c>
    </row>
    <row r="6" spans="1:38" ht="16.05" customHeight="1" x14ac:dyDescent="0.3">
      <c r="A6" s="13" t="s">
        <v>75</v>
      </c>
      <c r="B6" s="14" t="s">
        <v>76</v>
      </c>
      <c r="C6" s="13" t="s">
        <v>77</v>
      </c>
      <c r="D6" s="15">
        <v>4801984.0599999996</v>
      </c>
      <c r="E6" s="16" t="str">
        <f>IF(NORMALIZADO!CB5="","",NORMALIZADO!CB5)</f>
        <v/>
      </c>
      <c r="F6" s="17" t="str">
        <f>IF(NORMALIZADO!CC5="","",NORMALIZADO!CC5)</f>
        <v/>
      </c>
      <c r="G6" s="17">
        <f>IF(NORMALIZADO!CD5="",IFERROR(MATRIZ_174!U5*100,""),NORMALIZADO!CD5)</f>
        <v>100</v>
      </c>
      <c r="H6" s="16" t="str">
        <f>IF(NORMALIZADO!CE5="","",NORMALIZADO!CE5)</f>
        <v/>
      </c>
      <c r="I6" s="17" t="str">
        <f>IF(NORMALIZADO!CF5="","",NORMALIZADO!CF5)</f>
        <v/>
      </c>
      <c r="J6" s="17" t="str">
        <f>IF(NORMALIZADO!CG5="","",NORMALIZADO!CG5)</f>
        <v/>
      </c>
      <c r="K6" s="16" t="str">
        <f>IF(NORMALIZADO!CH5="","",NORMALIZADO!CH5)</f>
        <v/>
      </c>
      <c r="L6" s="16" t="str">
        <f>IF(NORMALIZADO!CI5="","",NORMALIZADO!CI5)</f>
        <v/>
      </c>
      <c r="M6" s="16" t="str">
        <f>IF(NORMALIZADO!CJ5="","",NORMALIZADO!CJ5)</f>
        <v/>
      </c>
      <c r="N6" s="16" t="str">
        <f>IF(NORMALIZADO!CK5="","",NORMALIZADO!CK5)</f>
        <v/>
      </c>
      <c r="O6" s="16" t="str">
        <f>IF(NORMALIZADO!CL5="","",NORMALIZADO!CL5)</f>
        <v/>
      </c>
      <c r="P6" s="17" t="str">
        <f t="shared" si="0"/>
        <v/>
      </c>
      <c r="Q6" s="17">
        <f t="shared" si="1"/>
        <v>0</v>
      </c>
      <c r="R6" s="17">
        <f t="shared" si="2"/>
        <v>0</v>
      </c>
      <c r="S6" s="17">
        <f t="shared" si="3"/>
        <v>0</v>
      </c>
      <c r="T6" s="17" t="str">
        <f>IF(ISNUMBER(MATRIZ_174!O5),IFERROR((K6+M6+MATRIZ_174!O5)/3,0),"")</f>
        <v/>
      </c>
      <c r="U6" s="18">
        <f>IF(ISNUMBER(MATRIZ_174!M5),MIN(100,ROUND(MATRIZ_174!M5,1)),"")</f>
        <v>50</v>
      </c>
      <c r="V6" s="18">
        <f t="shared" si="4"/>
        <v>50</v>
      </c>
      <c r="W6" s="18">
        <f>IFERROR(IF(MATRIZ_174!R5=0,65,IF(MATRIZ_174!R5/MATRIZ_174!Q5&gt;=2,35,IF(MATRIZ_174!R5/MATRIZ_174!Q5&gt;=0.5,50,65))),65)</f>
        <v>65</v>
      </c>
      <c r="X6" s="18" t="str">
        <f>IF(ISNUMBER(MATRIZ_174!O5),MIN(100,IF(MATRIZ_174!O5=0,70,30)+IF(MATRIZ_174!U5="",0,0.3*(100-MATRIZ_174!U5*100))),"")</f>
        <v/>
      </c>
      <c r="Y6" s="18">
        <f>IF(OR(MATRIZ_174!P5="ASOCIACION",MATRIZ_174!P5="PENDIENTE"),65,40)</f>
        <v>65</v>
      </c>
      <c r="Z6" s="19" t="str">
        <f t="shared" si="5"/>
        <v>—</v>
      </c>
      <c r="AA6" s="20">
        <f t="shared" si="6"/>
        <v>57.5</v>
      </c>
      <c r="AB6" s="21" t="str">
        <f t="shared" si="7"/>
        <v>—</v>
      </c>
      <c r="AC6" s="13" t="str">
        <f t="shared" si="8"/>
        <v>⬜  Pendiente de instrumento</v>
      </c>
      <c r="AD6" s="13" t="str">
        <f>IF(MATRIZ_174!U5="","",IF(MATRIZ_174!U5=0,"🚫  Inh. vigente OSCE",""))</f>
        <v/>
      </c>
      <c r="AE6" s="22">
        <f>IFERROR(MATRIZ_174!W5,0)</f>
        <v>1</v>
      </c>
      <c r="AF6" s="22">
        <f>IFERROR(MATRIZ_174!X5,0)</f>
        <v>0</v>
      </c>
      <c r="AG6" s="22">
        <f>IFERROR(MATRIZ_174!Y5,0)</f>
        <v>0</v>
      </c>
      <c r="AH6" s="22">
        <f>IFERROR(MATRIZ_174!Z5,0)</f>
        <v>0</v>
      </c>
      <c r="AI6" s="17">
        <f>IFERROR(MATRIZ_174!AP5,"N/A")</f>
        <v>0.3125</v>
      </c>
      <c r="AJ6" s="17" t="str">
        <f>IFERROR(MATRIZ_174!AO5,"N/A")</f>
        <v>N/A</v>
      </c>
      <c r="AK6" s="23" t="str">
        <f t="shared" si="9"/>
        <v>N/A</v>
      </c>
      <c r="AL6" s="24" t="str">
        <f t="shared" si="10"/>
        <v>—</v>
      </c>
    </row>
    <row r="7" spans="1:38" ht="16.05" customHeight="1" x14ac:dyDescent="0.3">
      <c r="A7" s="13" t="s">
        <v>78</v>
      </c>
      <c r="B7" s="14" t="s">
        <v>79</v>
      </c>
      <c r="C7" s="13" t="s">
        <v>80</v>
      </c>
      <c r="D7" s="15">
        <v>0</v>
      </c>
      <c r="E7" s="16" t="str">
        <f>IF(NORMALIZADO!CB6="","",NORMALIZADO!CB6)</f>
        <v/>
      </c>
      <c r="F7" s="17" t="str">
        <f>IF(NORMALIZADO!CC6="","",NORMALIZADO!CC6)</f>
        <v/>
      </c>
      <c r="G7" s="17">
        <f>IF(NORMALIZADO!CD6="",IFERROR(MATRIZ_174!U6*100,""),NORMALIZADO!CD6)</f>
        <v>100</v>
      </c>
      <c r="H7" s="16" t="str">
        <f>IF(NORMALIZADO!CE6="","",NORMALIZADO!CE6)</f>
        <v/>
      </c>
      <c r="I7" s="17" t="str">
        <f>IF(NORMALIZADO!CF6="","",NORMALIZADO!CF6)</f>
        <v/>
      </c>
      <c r="J7" s="17" t="str">
        <f>IF(NORMALIZADO!CG6="","",NORMALIZADO!CG6)</f>
        <v/>
      </c>
      <c r="K7" s="16" t="str">
        <f>IF(NORMALIZADO!CH6="","",NORMALIZADO!CH6)</f>
        <v/>
      </c>
      <c r="L7" s="16" t="str">
        <f>IF(NORMALIZADO!CI6="","",NORMALIZADO!CI6)</f>
        <v/>
      </c>
      <c r="M7" s="16" t="str">
        <f>IF(NORMALIZADO!CJ6="","",NORMALIZADO!CJ6)</f>
        <v/>
      </c>
      <c r="N7" s="16" t="str">
        <f>IF(NORMALIZADO!CK6="","",NORMALIZADO!CK6)</f>
        <v/>
      </c>
      <c r="O7" s="16" t="str">
        <f>IF(NORMALIZADO!CL6="","",NORMALIZADO!CL6)</f>
        <v/>
      </c>
      <c r="P7" s="17" t="str">
        <f t="shared" si="0"/>
        <v/>
      </c>
      <c r="Q7" s="17">
        <f t="shared" si="1"/>
        <v>0</v>
      </c>
      <c r="R7" s="17">
        <f t="shared" si="2"/>
        <v>0</v>
      </c>
      <c r="S7" s="17">
        <f t="shared" si="3"/>
        <v>0</v>
      </c>
      <c r="T7" s="17">
        <f>IF(ISNUMBER(MATRIZ_174!O6),IFERROR((K7+M7+MATRIZ_174!O6)/3,0),"")</f>
        <v>0</v>
      </c>
      <c r="U7" s="18" t="str">
        <f>IF(ISNUMBER(MATRIZ_174!M6),MIN(100,ROUND(MATRIZ_174!M6,1)),"")</f>
        <v/>
      </c>
      <c r="V7" s="18">
        <f t="shared" si="4"/>
        <v>50</v>
      </c>
      <c r="W7" s="18">
        <f>IFERROR(IF(MATRIZ_174!R6=0,65,IF(MATRIZ_174!R6/MATRIZ_174!Q6&gt;=2,35,IF(MATRIZ_174!R6/MATRIZ_174!Q6&gt;=0.5,50,65))),65)</f>
        <v>50</v>
      </c>
      <c r="X7" s="18">
        <f>IF(ISNUMBER(MATRIZ_174!O6),MIN(100,IF(MATRIZ_174!O6=0,70,30)+IF(MATRIZ_174!U6="",0,0.3*(100-MATRIZ_174!U6*100))),"")</f>
        <v>30</v>
      </c>
      <c r="Y7" s="18">
        <f>IF(OR(MATRIZ_174!P6="ASOCIACION",MATRIZ_174!P6="PENDIENTE"),65,40)</f>
        <v>65</v>
      </c>
      <c r="Z7" s="19" t="str">
        <f t="shared" si="5"/>
        <v>—</v>
      </c>
      <c r="AA7" s="20">
        <f t="shared" si="6"/>
        <v>48.8</v>
      </c>
      <c r="AB7" s="21" t="str">
        <f t="shared" si="7"/>
        <v>—</v>
      </c>
      <c r="AC7" s="13" t="str">
        <f t="shared" si="8"/>
        <v>⬜  Pendiente de instrumento</v>
      </c>
      <c r="AD7" s="13" t="str">
        <f>IF(MATRIZ_174!U6="","",IF(MATRIZ_174!U6=0,"🚫  Inh. vigente OSCE",""))</f>
        <v/>
      </c>
      <c r="AE7" s="22">
        <f>IFERROR(MATRIZ_174!W6,0)</f>
        <v>1</v>
      </c>
      <c r="AF7" s="22">
        <f>IFERROR(MATRIZ_174!X6,0)</f>
        <v>0</v>
      </c>
      <c r="AG7" s="22">
        <f>IFERROR(MATRIZ_174!Y6,0)</f>
        <v>0</v>
      </c>
      <c r="AH7" s="22">
        <f>IFERROR(MATRIZ_174!Z6,0)</f>
        <v>0</v>
      </c>
      <c r="AI7" s="17">
        <f>IFERROR(MATRIZ_174!AP6,"N/A")</f>
        <v>0.26071428571428573</v>
      </c>
      <c r="AJ7" s="17" t="str">
        <f>IFERROR(MATRIZ_174!AO6,"N/A")</f>
        <v>N/A</v>
      </c>
      <c r="AK7" s="23" t="str">
        <f t="shared" si="9"/>
        <v>N/A</v>
      </c>
      <c r="AL7" s="24" t="str">
        <f t="shared" si="10"/>
        <v>—</v>
      </c>
    </row>
    <row r="8" spans="1:38" ht="16.05" customHeight="1" x14ac:dyDescent="0.3">
      <c r="A8" s="13" t="s">
        <v>81</v>
      </c>
      <c r="B8" s="14" t="s">
        <v>82</v>
      </c>
      <c r="C8" s="13" t="s">
        <v>80</v>
      </c>
      <c r="D8" s="15">
        <v>0</v>
      </c>
      <c r="E8" s="16" t="str">
        <f>IF(NORMALIZADO!CB7="","",NORMALIZADO!CB7)</f>
        <v/>
      </c>
      <c r="F8" s="17" t="str">
        <f>IF(NORMALIZADO!CC7="","",NORMALIZADO!CC7)</f>
        <v/>
      </c>
      <c r="G8" s="17">
        <f>IF(NORMALIZADO!CD7="",IFERROR(MATRIZ_174!U7*100,""),NORMALIZADO!CD7)</f>
        <v>100</v>
      </c>
      <c r="H8" s="16" t="str">
        <f>IF(NORMALIZADO!CE7="","",NORMALIZADO!CE7)</f>
        <v/>
      </c>
      <c r="I8" s="17" t="str">
        <f>IF(NORMALIZADO!CF7="","",NORMALIZADO!CF7)</f>
        <v/>
      </c>
      <c r="J8" s="17" t="str">
        <f>IF(NORMALIZADO!CG7="","",NORMALIZADO!CG7)</f>
        <v/>
      </c>
      <c r="K8" s="16" t="str">
        <f>IF(NORMALIZADO!CH7="","",NORMALIZADO!CH7)</f>
        <v/>
      </c>
      <c r="L8" s="16" t="str">
        <f>IF(NORMALIZADO!CI7="","",NORMALIZADO!CI7)</f>
        <v/>
      </c>
      <c r="M8" s="16" t="str">
        <f>IF(NORMALIZADO!CJ7="","",NORMALIZADO!CJ7)</f>
        <v/>
      </c>
      <c r="N8" s="16" t="str">
        <f>IF(NORMALIZADO!CK7="","",NORMALIZADO!CK7)</f>
        <v/>
      </c>
      <c r="O8" s="16" t="str">
        <f>IF(NORMALIZADO!CL7="","",NORMALIZADO!CL7)</f>
        <v/>
      </c>
      <c r="P8" s="17" t="str">
        <f t="shared" si="0"/>
        <v/>
      </c>
      <c r="Q8" s="17">
        <f t="shared" si="1"/>
        <v>0</v>
      </c>
      <c r="R8" s="17">
        <f t="shared" si="2"/>
        <v>0</v>
      </c>
      <c r="S8" s="17">
        <f t="shared" si="3"/>
        <v>0</v>
      </c>
      <c r="T8" s="17">
        <f>IF(ISNUMBER(MATRIZ_174!O7),IFERROR((K8+M8+MATRIZ_174!O7)/3,0),"")</f>
        <v>0</v>
      </c>
      <c r="U8" s="18" t="str">
        <f>IF(ISNUMBER(MATRIZ_174!M7),MIN(100,ROUND(MATRIZ_174!M7,1)),"")</f>
        <v/>
      </c>
      <c r="V8" s="18">
        <f t="shared" si="4"/>
        <v>50</v>
      </c>
      <c r="W8" s="18">
        <f>IFERROR(IF(MATRIZ_174!R7=0,65,IF(MATRIZ_174!R7/MATRIZ_174!Q7&gt;=2,35,IF(MATRIZ_174!R7/MATRIZ_174!Q7&gt;=0.5,50,65))),65)</f>
        <v>35</v>
      </c>
      <c r="X8" s="18">
        <f>IF(ISNUMBER(MATRIZ_174!O7),MIN(100,IF(MATRIZ_174!O7=0,70,30)+IF(MATRIZ_174!U7="",0,0.3*(100-MATRIZ_174!U7*100))),"")</f>
        <v>30</v>
      </c>
      <c r="Y8" s="18">
        <f>IF(OR(MATRIZ_174!P7="ASOCIACION",MATRIZ_174!P7="PENDIENTE"),65,40)</f>
        <v>65</v>
      </c>
      <c r="Z8" s="19" t="str">
        <f t="shared" si="5"/>
        <v>—</v>
      </c>
      <c r="AA8" s="20">
        <f t="shared" si="6"/>
        <v>45</v>
      </c>
      <c r="AB8" s="21" t="str">
        <f t="shared" si="7"/>
        <v>—</v>
      </c>
      <c r="AC8" s="13" t="str">
        <f t="shared" si="8"/>
        <v>⬜  Pendiente de instrumento</v>
      </c>
      <c r="AD8" s="13" t="str">
        <f>IF(MATRIZ_174!U7="","",IF(MATRIZ_174!U7=0,"🚫  Inh. vigente OSCE",""))</f>
        <v/>
      </c>
      <c r="AE8" s="22">
        <f>IFERROR(MATRIZ_174!W7,0)</f>
        <v>1</v>
      </c>
      <c r="AF8" s="22">
        <f>IFERROR(MATRIZ_174!X7,0)</f>
        <v>0</v>
      </c>
      <c r="AG8" s="22">
        <f>IFERROR(MATRIZ_174!Y7,0)</f>
        <v>0</v>
      </c>
      <c r="AH8" s="22">
        <f>IFERROR(MATRIZ_174!Z7,0)</f>
        <v>0</v>
      </c>
      <c r="AI8" s="17">
        <f>IFERROR(MATRIZ_174!AP7,"N/A")</f>
        <v>0.26071428571428573</v>
      </c>
      <c r="AJ8" s="17" t="str">
        <f>IFERROR(MATRIZ_174!AO7,"N/A")</f>
        <v>N/A</v>
      </c>
      <c r="AK8" s="23" t="str">
        <f t="shared" si="9"/>
        <v>N/A</v>
      </c>
      <c r="AL8" s="24" t="str">
        <f t="shared" si="10"/>
        <v>—</v>
      </c>
    </row>
    <row r="9" spans="1:38" ht="16.05" customHeight="1" x14ac:dyDescent="0.3">
      <c r="A9" s="13" t="s">
        <v>84</v>
      </c>
      <c r="B9" s="14" t="s">
        <v>85</v>
      </c>
      <c r="C9" s="13" t="s">
        <v>80</v>
      </c>
      <c r="D9" s="15">
        <v>1238541.75</v>
      </c>
      <c r="E9" s="16" t="str">
        <f>IF(NORMALIZADO!CB8="","",NORMALIZADO!CB8)</f>
        <v/>
      </c>
      <c r="F9" s="17" t="str">
        <f>IF(NORMALIZADO!CC8="","",NORMALIZADO!CC8)</f>
        <v/>
      </c>
      <c r="G9" s="17">
        <f>IF(NORMALIZADO!CD8="",IFERROR(MATRIZ_174!U8*100,""),NORMALIZADO!CD8)</f>
        <v>100</v>
      </c>
      <c r="H9" s="16" t="str">
        <f>IF(NORMALIZADO!CE8="","",NORMALIZADO!CE8)</f>
        <v/>
      </c>
      <c r="I9" s="17" t="str">
        <f>IF(NORMALIZADO!CF8="","",NORMALIZADO!CF8)</f>
        <v/>
      </c>
      <c r="J9" s="17" t="str">
        <f>IF(NORMALIZADO!CG8="","",NORMALIZADO!CG8)</f>
        <v/>
      </c>
      <c r="K9" s="16" t="str">
        <f>IF(NORMALIZADO!CH8="","",NORMALIZADO!CH8)</f>
        <v/>
      </c>
      <c r="L9" s="16" t="str">
        <f>IF(NORMALIZADO!CI8="","",NORMALIZADO!CI8)</f>
        <v/>
      </c>
      <c r="M9" s="16" t="str">
        <f>IF(NORMALIZADO!CJ8="","",NORMALIZADO!CJ8)</f>
        <v/>
      </c>
      <c r="N9" s="16" t="str">
        <f>IF(NORMALIZADO!CK8="","",NORMALIZADO!CK8)</f>
        <v/>
      </c>
      <c r="O9" s="16" t="str">
        <f>IF(NORMALIZADO!CL8="","",NORMALIZADO!CL8)</f>
        <v/>
      </c>
      <c r="P9" s="17" t="str">
        <f t="shared" si="0"/>
        <v/>
      </c>
      <c r="Q9" s="17">
        <f t="shared" si="1"/>
        <v>0</v>
      </c>
      <c r="R9" s="17">
        <f t="shared" si="2"/>
        <v>0</v>
      </c>
      <c r="S9" s="17">
        <f t="shared" si="3"/>
        <v>0</v>
      </c>
      <c r="T9" s="17" t="str">
        <f>IF(ISNUMBER(MATRIZ_174!O8),IFERROR((K9+M9+MATRIZ_174!O8)/3,0),"")</f>
        <v/>
      </c>
      <c r="U9" s="18">
        <f>IF(ISNUMBER(MATRIZ_174!M8),MIN(100,ROUND(MATRIZ_174!M8,1)),"")</f>
        <v>50</v>
      </c>
      <c r="V9" s="18">
        <f t="shared" si="4"/>
        <v>50</v>
      </c>
      <c r="W9" s="18">
        <f>IFERROR(IF(MATRIZ_174!R8=0,65,IF(MATRIZ_174!R8/MATRIZ_174!Q8&gt;=2,35,IF(MATRIZ_174!R8/MATRIZ_174!Q8&gt;=0.5,50,65))),65)</f>
        <v>65</v>
      </c>
      <c r="X9" s="18" t="str">
        <f>IF(ISNUMBER(MATRIZ_174!O8),MIN(100,IF(MATRIZ_174!O8=0,70,30)+IF(MATRIZ_174!U8="",0,0.3*(100-MATRIZ_174!U8*100))),"")</f>
        <v/>
      </c>
      <c r="Y9" s="18">
        <f>IF(OR(MATRIZ_174!P8="ASOCIACION",MATRIZ_174!P8="PENDIENTE"),65,40)</f>
        <v>65</v>
      </c>
      <c r="Z9" s="19" t="str">
        <f t="shared" si="5"/>
        <v>—</v>
      </c>
      <c r="AA9" s="20">
        <f t="shared" si="6"/>
        <v>57.5</v>
      </c>
      <c r="AB9" s="21" t="str">
        <f t="shared" si="7"/>
        <v>—</v>
      </c>
      <c r="AC9" s="13" t="str">
        <f t="shared" si="8"/>
        <v>⬜  Pendiente de instrumento</v>
      </c>
      <c r="AD9" s="13" t="str">
        <f>IF(MATRIZ_174!U8="","",IF(MATRIZ_174!U8=0,"🚫  Inh. vigente OSCE",""))</f>
        <v/>
      </c>
      <c r="AE9" s="22">
        <f>IFERROR(MATRIZ_174!W8,0)</f>
        <v>1</v>
      </c>
      <c r="AF9" s="22">
        <f>IFERROR(MATRIZ_174!X8,0)</f>
        <v>0</v>
      </c>
      <c r="AG9" s="22">
        <f>IFERROR(MATRIZ_174!Y8,0)</f>
        <v>0</v>
      </c>
      <c r="AH9" s="22">
        <f>IFERROR(MATRIZ_174!Z8,0)</f>
        <v>0</v>
      </c>
      <c r="AI9" s="17">
        <f>IFERROR(MATRIZ_174!AP8,"N/A")</f>
        <v>0.3125</v>
      </c>
      <c r="AJ9" s="17" t="str">
        <f>IFERROR(MATRIZ_174!AO8,"N/A")</f>
        <v>N/A</v>
      </c>
      <c r="AK9" s="23" t="str">
        <f t="shared" si="9"/>
        <v>N/A</v>
      </c>
      <c r="AL9" s="24" t="str">
        <f t="shared" si="10"/>
        <v>—</v>
      </c>
    </row>
    <row r="10" spans="1:38" ht="16.05" customHeight="1" x14ac:dyDescent="0.3">
      <c r="A10" s="13" t="s">
        <v>86</v>
      </c>
      <c r="B10" s="14" t="s">
        <v>87</v>
      </c>
      <c r="C10" s="13" t="s">
        <v>80</v>
      </c>
      <c r="D10" s="15">
        <v>0</v>
      </c>
      <c r="E10" s="16" t="str">
        <f>IF(NORMALIZADO!CB9="","",NORMALIZADO!CB9)</f>
        <v/>
      </c>
      <c r="F10" s="17" t="str">
        <f>IF(NORMALIZADO!CC9="","",NORMALIZADO!CC9)</f>
        <v/>
      </c>
      <c r="G10" s="17">
        <f>IF(NORMALIZADO!CD9="",IFERROR(MATRIZ_174!U9*100,""),NORMALIZADO!CD9)</f>
        <v>100</v>
      </c>
      <c r="H10" s="16" t="str">
        <f>IF(NORMALIZADO!CE9="","",NORMALIZADO!CE9)</f>
        <v/>
      </c>
      <c r="I10" s="17" t="str">
        <f>IF(NORMALIZADO!CF9="","",NORMALIZADO!CF9)</f>
        <v/>
      </c>
      <c r="J10" s="17" t="str">
        <f>IF(NORMALIZADO!CG9="","",NORMALIZADO!CG9)</f>
        <v/>
      </c>
      <c r="K10" s="16" t="str">
        <f>IF(NORMALIZADO!CH9="","",NORMALIZADO!CH9)</f>
        <v/>
      </c>
      <c r="L10" s="16" t="str">
        <f>IF(NORMALIZADO!CI9="","",NORMALIZADO!CI9)</f>
        <v/>
      </c>
      <c r="M10" s="16" t="str">
        <f>IF(NORMALIZADO!CJ9="","",NORMALIZADO!CJ9)</f>
        <v/>
      </c>
      <c r="N10" s="16" t="str">
        <f>IF(NORMALIZADO!CK9="","",NORMALIZADO!CK9)</f>
        <v/>
      </c>
      <c r="O10" s="16" t="str">
        <f>IF(NORMALIZADO!CL9="","",NORMALIZADO!CL9)</f>
        <v/>
      </c>
      <c r="P10" s="17" t="str">
        <f t="shared" si="0"/>
        <v/>
      </c>
      <c r="Q10" s="17">
        <f t="shared" si="1"/>
        <v>0</v>
      </c>
      <c r="R10" s="17">
        <f t="shared" si="2"/>
        <v>0</v>
      </c>
      <c r="S10" s="17">
        <f t="shared" si="3"/>
        <v>0</v>
      </c>
      <c r="T10" s="17" t="str">
        <f>IF(ISNUMBER(MATRIZ_174!O9),IFERROR((K10+M10+MATRIZ_174!O9)/3,0),"")</f>
        <v/>
      </c>
      <c r="U10" s="18">
        <f>IF(ISNUMBER(MATRIZ_174!M9),MIN(100,ROUND(MATRIZ_174!M9,1)),"")</f>
        <v>0</v>
      </c>
      <c r="V10" s="18">
        <f t="shared" si="4"/>
        <v>50</v>
      </c>
      <c r="W10" s="18">
        <f>IFERROR(IF(MATRIZ_174!R9=0,65,IF(MATRIZ_174!R9/MATRIZ_174!Q9&gt;=2,35,IF(MATRIZ_174!R9/MATRIZ_174!Q9&gt;=0.5,50,65))),65)</f>
        <v>65</v>
      </c>
      <c r="X10" s="18" t="str">
        <f>IF(ISNUMBER(MATRIZ_174!O9),MIN(100,IF(MATRIZ_174!O9=0,70,30)+IF(MATRIZ_174!U9="",0,0.3*(100-MATRIZ_174!U9*100))),"")</f>
        <v/>
      </c>
      <c r="Y10" s="18">
        <f>IF(OR(MATRIZ_174!P9="ASOCIACION",MATRIZ_174!P9="PENDIENTE"),65,40)</f>
        <v>65</v>
      </c>
      <c r="Z10" s="19" t="str">
        <f t="shared" si="5"/>
        <v>—</v>
      </c>
      <c r="AA10" s="20">
        <f t="shared" si="6"/>
        <v>45</v>
      </c>
      <c r="AB10" s="21" t="str">
        <f t="shared" si="7"/>
        <v>—</v>
      </c>
      <c r="AC10" s="13" t="str">
        <f t="shared" si="8"/>
        <v>⬜  Pendiente de instrumento</v>
      </c>
      <c r="AD10" s="13" t="str">
        <f>IF(MATRIZ_174!U9="","",IF(MATRIZ_174!U9=0,"🚫  Inh. vigente OSCE",""))</f>
        <v/>
      </c>
      <c r="AE10" s="22">
        <f>IFERROR(MATRIZ_174!W9,0)</f>
        <v>0</v>
      </c>
      <c r="AF10" s="22">
        <f>IFERROR(MATRIZ_174!X9,0)</f>
        <v>0</v>
      </c>
      <c r="AG10" s="22">
        <f>IFERROR(MATRIZ_174!Y9,0)</f>
        <v>0</v>
      </c>
      <c r="AH10" s="22">
        <f>IFERROR(MATRIZ_174!Z9,0)</f>
        <v>0</v>
      </c>
      <c r="AI10" s="17">
        <f>IFERROR(MATRIZ_174!AP9,"N/A")</f>
        <v>0</v>
      </c>
      <c r="AJ10" s="17" t="str">
        <f>IFERROR(MATRIZ_174!AO9,"N/A")</f>
        <v>N/A</v>
      </c>
      <c r="AK10" s="23" t="str">
        <f t="shared" si="9"/>
        <v>N/A</v>
      </c>
      <c r="AL10" s="24" t="str">
        <f t="shared" si="10"/>
        <v>—</v>
      </c>
    </row>
    <row r="11" spans="1:38" ht="16.05" customHeight="1" x14ac:dyDescent="0.3">
      <c r="A11" s="13" t="s">
        <v>88</v>
      </c>
      <c r="B11" s="14" t="s">
        <v>89</v>
      </c>
      <c r="C11" s="13" t="s">
        <v>80</v>
      </c>
      <c r="D11" s="15">
        <v>0</v>
      </c>
      <c r="E11" s="16" t="str">
        <f>IF(NORMALIZADO!CB10="","",NORMALIZADO!CB10)</f>
        <v/>
      </c>
      <c r="F11" s="17" t="str">
        <f>IF(NORMALIZADO!CC10="","",NORMALIZADO!CC10)</f>
        <v/>
      </c>
      <c r="G11" s="17">
        <f>IF(NORMALIZADO!CD10="",IFERROR(MATRIZ_174!U10*100,""),NORMALIZADO!CD10)</f>
        <v>100</v>
      </c>
      <c r="H11" s="16" t="str">
        <f>IF(NORMALIZADO!CE10="","",NORMALIZADO!CE10)</f>
        <v/>
      </c>
      <c r="I11" s="17" t="str">
        <f>IF(NORMALIZADO!CF10="","",NORMALIZADO!CF10)</f>
        <v/>
      </c>
      <c r="J11" s="17" t="str">
        <f>IF(NORMALIZADO!CG10="","",NORMALIZADO!CG10)</f>
        <v/>
      </c>
      <c r="K11" s="16" t="str">
        <f>IF(NORMALIZADO!CH10="","",NORMALIZADO!CH10)</f>
        <v/>
      </c>
      <c r="L11" s="16" t="str">
        <f>IF(NORMALIZADO!CI10="","",NORMALIZADO!CI10)</f>
        <v/>
      </c>
      <c r="M11" s="16" t="str">
        <f>IF(NORMALIZADO!CJ10="","",NORMALIZADO!CJ10)</f>
        <v/>
      </c>
      <c r="N11" s="16" t="str">
        <f>IF(NORMALIZADO!CK10="","",NORMALIZADO!CK10)</f>
        <v/>
      </c>
      <c r="O11" s="16" t="str">
        <f>IF(NORMALIZADO!CL10="","",NORMALIZADO!CL10)</f>
        <v/>
      </c>
      <c r="P11" s="17" t="str">
        <f t="shared" si="0"/>
        <v/>
      </c>
      <c r="Q11" s="17">
        <f t="shared" si="1"/>
        <v>0</v>
      </c>
      <c r="R11" s="17">
        <f t="shared" si="2"/>
        <v>0</v>
      </c>
      <c r="S11" s="17">
        <f t="shared" si="3"/>
        <v>0</v>
      </c>
      <c r="T11" s="17">
        <f>IF(ISNUMBER(MATRIZ_174!O10),IFERROR((K11+M11+MATRIZ_174!O10)/3,0),"")</f>
        <v>0</v>
      </c>
      <c r="U11" s="18" t="str">
        <f>IF(ISNUMBER(MATRIZ_174!M10),MIN(100,ROUND(MATRIZ_174!M10,1)),"")</f>
        <v/>
      </c>
      <c r="V11" s="18">
        <f t="shared" si="4"/>
        <v>50</v>
      </c>
      <c r="W11" s="18">
        <f>IFERROR(IF(MATRIZ_174!R10=0,65,IF(MATRIZ_174!R10/MATRIZ_174!Q10&gt;=2,35,IF(MATRIZ_174!R10/MATRIZ_174!Q10&gt;=0.5,50,65))),65)</f>
        <v>35</v>
      </c>
      <c r="X11" s="18">
        <f>IF(ISNUMBER(MATRIZ_174!O10),MIN(100,IF(MATRIZ_174!O10=0,70,30)+IF(MATRIZ_174!U10="",0,0.3*(100-MATRIZ_174!U10*100))),"")</f>
        <v>30</v>
      </c>
      <c r="Y11" s="18">
        <f>IF(OR(MATRIZ_174!P10="ASOCIACION",MATRIZ_174!P10="PENDIENTE"),65,40)</f>
        <v>65</v>
      </c>
      <c r="Z11" s="19" t="str">
        <f t="shared" si="5"/>
        <v>—</v>
      </c>
      <c r="AA11" s="20">
        <f t="shared" si="6"/>
        <v>45</v>
      </c>
      <c r="AB11" s="21" t="str">
        <f t="shared" si="7"/>
        <v>—</v>
      </c>
      <c r="AC11" s="13" t="str">
        <f t="shared" si="8"/>
        <v>⬜  Pendiente de instrumento</v>
      </c>
      <c r="AD11" s="13" t="str">
        <f>IF(MATRIZ_174!U10="","",IF(MATRIZ_174!U10=0,"🚫  Inh. vigente OSCE",""))</f>
        <v/>
      </c>
      <c r="AE11" s="22">
        <f>IFERROR(MATRIZ_174!W10,0)</f>
        <v>1</v>
      </c>
      <c r="AF11" s="22">
        <f>IFERROR(MATRIZ_174!X10,0)</f>
        <v>0</v>
      </c>
      <c r="AG11" s="22">
        <f>IFERROR(MATRIZ_174!Y10,0)</f>
        <v>0</v>
      </c>
      <c r="AH11" s="22">
        <f>IFERROR(MATRIZ_174!Z10,0)</f>
        <v>0</v>
      </c>
      <c r="AI11" s="17">
        <f>IFERROR(MATRIZ_174!AP10,"N/A")</f>
        <v>0.375</v>
      </c>
      <c r="AJ11" s="17" t="str">
        <f>IFERROR(MATRIZ_174!AO10,"N/A")</f>
        <v>N/A</v>
      </c>
      <c r="AK11" s="23" t="str">
        <f t="shared" si="9"/>
        <v>N/A</v>
      </c>
      <c r="AL11" s="24" t="str">
        <f t="shared" si="10"/>
        <v>—</v>
      </c>
    </row>
    <row r="12" spans="1:38" ht="16.05" customHeight="1" x14ac:dyDescent="0.3">
      <c r="A12" s="13" t="s">
        <v>90</v>
      </c>
      <c r="B12" s="14" t="s">
        <v>91</v>
      </c>
      <c r="C12" s="13" t="s">
        <v>80</v>
      </c>
      <c r="D12" s="15">
        <v>0</v>
      </c>
      <c r="E12" s="16" t="str">
        <f>IF(NORMALIZADO!CB11="","",NORMALIZADO!CB11)</f>
        <v/>
      </c>
      <c r="F12" s="17" t="str">
        <f>IF(NORMALIZADO!CC11="","",NORMALIZADO!CC11)</f>
        <v/>
      </c>
      <c r="G12" s="17">
        <f>IF(NORMALIZADO!CD11="",IFERROR(MATRIZ_174!U11*100,""),NORMALIZADO!CD11)</f>
        <v>100</v>
      </c>
      <c r="H12" s="16" t="str">
        <f>IF(NORMALIZADO!CE11="","",NORMALIZADO!CE11)</f>
        <v/>
      </c>
      <c r="I12" s="17" t="str">
        <f>IF(NORMALIZADO!CF11="","",NORMALIZADO!CF11)</f>
        <v/>
      </c>
      <c r="J12" s="17" t="str">
        <f>IF(NORMALIZADO!CG11="","",NORMALIZADO!CG11)</f>
        <v/>
      </c>
      <c r="K12" s="16" t="str">
        <f>IF(NORMALIZADO!CH11="","",NORMALIZADO!CH11)</f>
        <v/>
      </c>
      <c r="L12" s="16" t="str">
        <f>IF(NORMALIZADO!CI11="","",NORMALIZADO!CI11)</f>
        <v/>
      </c>
      <c r="M12" s="16" t="str">
        <f>IF(NORMALIZADO!CJ11="","",NORMALIZADO!CJ11)</f>
        <v/>
      </c>
      <c r="N12" s="16" t="str">
        <f>IF(NORMALIZADO!CK11="","",NORMALIZADO!CK11)</f>
        <v/>
      </c>
      <c r="O12" s="16" t="str">
        <f>IF(NORMALIZADO!CL11="","",NORMALIZADO!CL11)</f>
        <v/>
      </c>
      <c r="P12" s="17" t="str">
        <f t="shared" si="0"/>
        <v/>
      </c>
      <c r="Q12" s="17">
        <f t="shared" si="1"/>
        <v>0</v>
      </c>
      <c r="R12" s="17">
        <f t="shared" si="2"/>
        <v>0</v>
      </c>
      <c r="S12" s="17">
        <f t="shared" si="3"/>
        <v>0</v>
      </c>
      <c r="T12" s="17" t="str">
        <f>IF(ISNUMBER(MATRIZ_174!O11),IFERROR((K12+M12+MATRIZ_174!O11)/3,0),"")</f>
        <v/>
      </c>
      <c r="U12" s="18">
        <f>IF(ISNUMBER(MATRIZ_174!M11),MIN(100,ROUND(MATRIZ_174!M11,1)),"")</f>
        <v>0</v>
      </c>
      <c r="V12" s="18">
        <f t="shared" si="4"/>
        <v>50</v>
      </c>
      <c r="W12" s="18">
        <f>IFERROR(IF(MATRIZ_174!R11=0,65,IF(MATRIZ_174!R11/MATRIZ_174!Q11&gt;=2,35,IF(MATRIZ_174!R11/MATRIZ_174!Q11&gt;=0.5,50,65))),65)</f>
        <v>65</v>
      </c>
      <c r="X12" s="18" t="str">
        <f>IF(ISNUMBER(MATRIZ_174!O11),MIN(100,IF(MATRIZ_174!O11=0,70,30)+IF(MATRIZ_174!U11="",0,0.3*(100-MATRIZ_174!U11*100))),"")</f>
        <v/>
      </c>
      <c r="Y12" s="18">
        <f>IF(OR(MATRIZ_174!P11="ASOCIACION",MATRIZ_174!P11="PENDIENTE"),65,40)</f>
        <v>65</v>
      </c>
      <c r="Z12" s="19" t="str">
        <f t="shared" si="5"/>
        <v>—</v>
      </c>
      <c r="AA12" s="20">
        <f t="shared" si="6"/>
        <v>45</v>
      </c>
      <c r="AB12" s="21" t="str">
        <f t="shared" si="7"/>
        <v>—</v>
      </c>
      <c r="AC12" s="13" t="str">
        <f t="shared" si="8"/>
        <v>⬜  Pendiente de instrumento</v>
      </c>
      <c r="AD12" s="13" t="str">
        <f>IF(MATRIZ_174!U11="","",IF(MATRIZ_174!U11=0,"🚫  Inh. vigente OSCE",""))</f>
        <v/>
      </c>
      <c r="AE12" s="22">
        <f>IFERROR(MATRIZ_174!W11,0)</f>
        <v>0</v>
      </c>
      <c r="AF12" s="22">
        <f>IFERROR(MATRIZ_174!X11,0)</f>
        <v>0</v>
      </c>
      <c r="AG12" s="22">
        <f>IFERROR(MATRIZ_174!Y11,0)</f>
        <v>0</v>
      </c>
      <c r="AH12" s="22">
        <f>IFERROR(MATRIZ_174!Z11,0)</f>
        <v>0</v>
      </c>
      <c r="AI12" s="17">
        <f>IFERROR(MATRIZ_174!AP11,"N/A")</f>
        <v>0</v>
      </c>
      <c r="AJ12" s="17" t="str">
        <f>IFERROR(MATRIZ_174!AO11,"N/A")</f>
        <v>N/A</v>
      </c>
      <c r="AK12" s="23" t="str">
        <f t="shared" si="9"/>
        <v>N/A</v>
      </c>
      <c r="AL12" s="24" t="str">
        <f t="shared" si="10"/>
        <v>—</v>
      </c>
    </row>
    <row r="13" spans="1:38" ht="16.05" customHeight="1" x14ac:dyDescent="0.3">
      <c r="A13" s="13" t="s">
        <v>92</v>
      </c>
      <c r="B13" s="14" t="s">
        <v>93</v>
      </c>
      <c r="C13" s="13" t="s">
        <v>80</v>
      </c>
      <c r="D13" s="15">
        <v>894391.27</v>
      </c>
      <c r="E13" s="16" t="str">
        <f>IF(NORMALIZADO!CB12="","",NORMALIZADO!CB12)</f>
        <v/>
      </c>
      <c r="F13" s="17" t="str">
        <f>IF(NORMALIZADO!CC12="","",NORMALIZADO!CC12)</f>
        <v/>
      </c>
      <c r="G13" s="17">
        <f>IF(NORMALIZADO!CD12="",IFERROR(MATRIZ_174!U12*100,""),NORMALIZADO!CD12)</f>
        <v>75</v>
      </c>
      <c r="H13" s="16" t="str">
        <f>IF(NORMALIZADO!CE12="","",NORMALIZADO!CE12)</f>
        <v/>
      </c>
      <c r="I13" s="17" t="str">
        <f>IF(NORMALIZADO!CF12="","",NORMALIZADO!CF12)</f>
        <v/>
      </c>
      <c r="J13" s="17" t="str">
        <f>IF(NORMALIZADO!CG12="","",NORMALIZADO!CG12)</f>
        <v/>
      </c>
      <c r="K13" s="16" t="str">
        <f>IF(NORMALIZADO!CH12="","",NORMALIZADO!CH12)</f>
        <v/>
      </c>
      <c r="L13" s="16" t="str">
        <f>IF(NORMALIZADO!CI12="","",NORMALIZADO!CI12)</f>
        <v/>
      </c>
      <c r="M13" s="16" t="str">
        <f>IF(NORMALIZADO!CJ12="","",NORMALIZADO!CJ12)</f>
        <v/>
      </c>
      <c r="N13" s="16" t="str">
        <f>IF(NORMALIZADO!CK12="","",NORMALIZADO!CK12)</f>
        <v/>
      </c>
      <c r="O13" s="16" t="str">
        <f>IF(NORMALIZADO!CL12="","",NORMALIZADO!CL12)</f>
        <v/>
      </c>
      <c r="P13" s="17" t="str">
        <f t="shared" si="0"/>
        <v/>
      </c>
      <c r="Q13" s="17">
        <f t="shared" si="1"/>
        <v>0</v>
      </c>
      <c r="R13" s="17">
        <f t="shared" si="2"/>
        <v>0</v>
      </c>
      <c r="S13" s="17">
        <f t="shared" si="3"/>
        <v>0</v>
      </c>
      <c r="T13" s="17">
        <f>IF(ISNUMBER(MATRIZ_174!O12),IFERROR((K13+M13+MATRIZ_174!O12)/3,0),"")</f>
        <v>0</v>
      </c>
      <c r="U13" s="18">
        <f>IF(ISNUMBER(MATRIZ_174!M12),MIN(100,ROUND(MATRIZ_174!M12,1)),"")</f>
        <v>20.100000000000001</v>
      </c>
      <c r="V13" s="18">
        <f t="shared" si="4"/>
        <v>50</v>
      </c>
      <c r="W13" s="18">
        <f>IFERROR(IF(MATRIZ_174!R12=0,65,IF(MATRIZ_174!R12/MATRIZ_174!Q12&gt;=2,35,IF(MATRIZ_174!R12/MATRIZ_174!Q12&gt;=0.5,50,65))),65)</f>
        <v>35</v>
      </c>
      <c r="X13" s="18">
        <f>IF(ISNUMBER(MATRIZ_174!O12),MIN(100,IF(MATRIZ_174!O12=0,70,30)+IF(MATRIZ_174!U12="",0,0.3*(100-MATRIZ_174!U12*100))),"")</f>
        <v>37.5</v>
      </c>
      <c r="Y13" s="18">
        <f>IF(OR(MATRIZ_174!P12="ASOCIACION",MATRIZ_174!P12="PENDIENTE"),65,40)</f>
        <v>65</v>
      </c>
      <c r="Z13" s="19" t="str">
        <f t="shared" si="5"/>
        <v>—</v>
      </c>
      <c r="AA13" s="20">
        <f t="shared" si="6"/>
        <v>41.5</v>
      </c>
      <c r="AB13" s="21" t="str">
        <f t="shared" si="7"/>
        <v>—</v>
      </c>
      <c r="AC13" s="13" t="str">
        <f t="shared" si="8"/>
        <v>⬜  Pendiente de instrumento</v>
      </c>
      <c r="AD13" s="13" t="str">
        <f>IF(MATRIZ_174!U12="","",IF(MATRIZ_174!U12=0,"🚫  Inh. vigente OSCE",""))</f>
        <v/>
      </c>
      <c r="AE13" s="22">
        <f>IFERROR(MATRIZ_174!W12,0)</f>
        <v>1</v>
      </c>
      <c r="AF13" s="22">
        <f>IFERROR(MATRIZ_174!X12,0)</f>
        <v>0</v>
      </c>
      <c r="AG13" s="22">
        <f>IFERROR(MATRIZ_174!Y12,0)</f>
        <v>0</v>
      </c>
      <c r="AH13" s="22">
        <f>IFERROR(MATRIZ_174!Z12,0)</f>
        <v>0</v>
      </c>
      <c r="AI13" s="17">
        <f>IFERROR(MATRIZ_174!AP12,"N/A")</f>
        <v>0.30249999999999999</v>
      </c>
      <c r="AJ13" s="17" t="str">
        <f>IFERROR(MATRIZ_174!AO12,"N/A")</f>
        <v>N/A</v>
      </c>
      <c r="AK13" s="23" t="str">
        <f t="shared" si="9"/>
        <v>N/A</v>
      </c>
      <c r="AL13" s="24" t="str">
        <f t="shared" si="10"/>
        <v>—</v>
      </c>
    </row>
    <row r="14" spans="1:38" ht="16.05" customHeight="1" x14ac:dyDescent="0.3">
      <c r="A14" s="13" t="s">
        <v>95</v>
      </c>
      <c r="B14" s="14" t="s">
        <v>96</v>
      </c>
      <c r="C14" s="13" t="s">
        <v>80</v>
      </c>
      <c r="D14" s="15">
        <v>0</v>
      </c>
      <c r="E14" s="16" t="str">
        <f>IF(NORMALIZADO!CB13="","",NORMALIZADO!CB13)</f>
        <v/>
      </c>
      <c r="F14" s="17" t="str">
        <f>IF(NORMALIZADO!CC13="","",NORMALIZADO!CC13)</f>
        <v/>
      </c>
      <c r="G14" s="17">
        <f>IF(NORMALIZADO!CD13="",IFERROR(MATRIZ_174!U13*100,""),NORMALIZADO!CD13)</f>
        <v>100</v>
      </c>
      <c r="H14" s="16" t="str">
        <f>IF(NORMALIZADO!CE13="","",NORMALIZADO!CE13)</f>
        <v/>
      </c>
      <c r="I14" s="17" t="str">
        <f>IF(NORMALIZADO!CF13="","",NORMALIZADO!CF13)</f>
        <v/>
      </c>
      <c r="J14" s="17" t="str">
        <f>IF(NORMALIZADO!CG13="","",NORMALIZADO!CG13)</f>
        <v/>
      </c>
      <c r="K14" s="16" t="str">
        <f>IF(NORMALIZADO!CH13="","",NORMALIZADO!CH13)</f>
        <v/>
      </c>
      <c r="L14" s="16" t="str">
        <f>IF(NORMALIZADO!CI13="","",NORMALIZADO!CI13)</f>
        <v/>
      </c>
      <c r="M14" s="16" t="str">
        <f>IF(NORMALIZADO!CJ13="","",NORMALIZADO!CJ13)</f>
        <v/>
      </c>
      <c r="N14" s="16" t="str">
        <f>IF(NORMALIZADO!CK13="","",NORMALIZADO!CK13)</f>
        <v/>
      </c>
      <c r="O14" s="16" t="str">
        <f>IF(NORMALIZADO!CL13="","",NORMALIZADO!CL13)</f>
        <v/>
      </c>
      <c r="P14" s="17" t="str">
        <f t="shared" si="0"/>
        <v/>
      </c>
      <c r="Q14" s="17">
        <f t="shared" si="1"/>
        <v>0</v>
      </c>
      <c r="R14" s="17">
        <f t="shared" si="2"/>
        <v>0</v>
      </c>
      <c r="S14" s="17">
        <f t="shared" si="3"/>
        <v>0</v>
      </c>
      <c r="T14" s="17">
        <f>IF(ISNUMBER(MATRIZ_174!O13),IFERROR((K14+M14+MATRIZ_174!O13)/3,0),"")</f>
        <v>0</v>
      </c>
      <c r="U14" s="18" t="str">
        <f>IF(ISNUMBER(MATRIZ_174!M13),MIN(100,ROUND(MATRIZ_174!M13,1)),"")</f>
        <v/>
      </c>
      <c r="V14" s="18">
        <f t="shared" si="4"/>
        <v>50</v>
      </c>
      <c r="W14" s="18">
        <f>IFERROR(IF(MATRIZ_174!R13=0,65,IF(MATRIZ_174!R13/MATRIZ_174!Q13&gt;=2,35,IF(MATRIZ_174!R13/MATRIZ_174!Q13&gt;=0.5,50,65))),65)</f>
        <v>35</v>
      </c>
      <c r="X14" s="18">
        <f>IF(ISNUMBER(MATRIZ_174!O13),MIN(100,IF(MATRIZ_174!O13=0,70,30)+IF(MATRIZ_174!U13="",0,0.3*(100-MATRIZ_174!U13*100))),"")</f>
        <v>30</v>
      </c>
      <c r="Y14" s="18">
        <f>IF(OR(MATRIZ_174!P13="ASOCIACION",MATRIZ_174!P13="PENDIENTE"),65,40)</f>
        <v>65</v>
      </c>
      <c r="Z14" s="19" t="str">
        <f t="shared" si="5"/>
        <v>—</v>
      </c>
      <c r="AA14" s="20">
        <f t="shared" si="6"/>
        <v>45</v>
      </c>
      <c r="AB14" s="21" t="str">
        <f t="shared" si="7"/>
        <v>—</v>
      </c>
      <c r="AC14" s="13" t="str">
        <f t="shared" si="8"/>
        <v>⬜  Pendiente de instrumento</v>
      </c>
      <c r="AD14" s="13" t="str">
        <f>IF(MATRIZ_174!U13="","",IF(MATRIZ_174!U13=0,"🚫  Inh. vigente OSCE",""))</f>
        <v/>
      </c>
      <c r="AE14" s="22">
        <f>IFERROR(MATRIZ_174!W13,0)</f>
        <v>1</v>
      </c>
      <c r="AF14" s="22">
        <f>IFERROR(MATRIZ_174!X13,0)</f>
        <v>0</v>
      </c>
      <c r="AG14" s="22">
        <f>IFERROR(MATRIZ_174!Y13,0)</f>
        <v>0</v>
      </c>
      <c r="AH14" s="22">
        <f>IFERROR(MATRIZ_174!Z13,0)</f>
        <v>0</v>
      </c>
      <c r="AI14" s="17">
        <f>IFERROR(MATRIZ_174!AP13,"N/A")</f>
        <v>0.26071428571428573</v>
      </c>
      <c r="AJ14" s="17" t="str">
        <f>IFERROR(MATRIZ_174!AO13,"N/A")</f>
        <v>N/A</v>
      </c>
      <c r="AK14" s="23" t="str">
        <f t="shared" si="9"/>
        <v>N/A</v>
      </c>
      <c r="AL14" s="24" t="str">
        <f t="shared" si="10"/>
        <v>—</v>
      </c>
    </row>
    <row r="15" spans="1:38" ht="16.05" customHeight="1" x14ac:dyDescent="0.3">
      <c r="A15" s="13" t="s">
        <v>97</v>
      </c>
      <c r="B15" s="14" t="s">
        <v>98</v>
      </c>
      <c r="C15" s="13" t="s">
        <v>72</v>
      </c>
      <c r="D15" s="15">
        <v>2015347.33</v>
      </c>
      <c r="E15" s="16" t="str">
        <f>IF(NORMALIZADO!CB14="","",NORMALIZADO!CB14)</f>
        <v/>
      </c>
      <c r="F15" s="17" t="str">
        <f>IF(NORMALIZADO!CC14="","",NORMALIZADO!CC14)</f>
        <v/>
      </c>
      <c r="G15" s="17">
        <f>IF(NORMALIZADO!CD14="",IFERROR(MATRIZ_174!U14*100,""),NORMALIZADO!CD14)</f>
        <v>100</v>
      </c>
      <c r="H15" s="16" t="str">
        <f>IF(NORMALIZADO!CE14="","",NORMALIZADO!CE14)</f>
        <v/>
      </c>
      <c r="I15" s="17" t="str">
        <f>IF(NORMALIZADO!CF14="","",NORMALIZADO!CF14)</f>
        <v/>
      </c>
      <c r="J15" s="17" t="str">
        <f>IF(NORMALIZADO!CG14="","",NORMALIZADO!CG14)</f>
        <v/>
      </c>
      <c r="K15" s="16" t="str">
        <f>IF(NORMALIZADO!CH14="","",NORMALIZADO!CH14)</f>
        <v/>
      </c>
      <c r="L15" s="16" t="str">
        <f>IF(NORMALIZADO!CI14="","",NORMALIZADO!CI14)</f>
        <v/>
      </c>
      <c r="M15" s="16" t="str">
        <f>IF(NORMALIZADO!CJ14="","",NORMALIZADO!CJ14)</f>
        <v/>
      </c>
      <c r="N15" s="16" t="str">
        <f>IF(NORMALIZADO!CK14="","",NORMALIZADO!CK14)</f>
        <v/>
      </c>
      <c r="O15" s="16" t="str">
        <f>IF(NORMALIZADO!CL14="","",NORMALIZADO!CL14)</f>
        <v/>
      </c>
      <c r="P15" s="17" t="str">
        <f t="shared" si="0"/>
        <v/>
      </c>
      <c r="Q15" s="17">
        <f t="shared" si="1"/>
        <v>0</v>
      </c>
      <c r="R15" s="17">
        <f t="shared" si="2"/>
        <v>0</v>
      </c>
      <c r="S15" s="17">
        <f t="shared" si="3"/>
        <v>0</v>
      </c>
      <c r="T15" s="17" t="str">
        <f>IF(ISNUMBER(MATRIZ_174!O14),IFERROR((K15+M15+MATRIZ_174!O14)/3,0),"")</f>
        <v/>
      </c>
      <c r="U15" s="18">
        <f>IF(ISNUMBER(MATRIZ_174!M14),MIN(100,ROUND(MATRIZ_174!M14,1)),"")</f>
        <v>50</v>
      </c>
      <c r="V15" s="18">
        <f t="shared" si="4"/>
        <v>50</v>
      </c>
      <c r="W15" s="18">
        <f>IFERROR(IF(MATRIZ_174!R14=0,65,IF(MATRIZ_174!R14/MATRIZ_174!Q14&gt;=2,35,IF(MATRIZ_174!R14/MATRIZ_174!Q14&gt;=0.5,50,65))),65)</f>
        <v>65</v>
      </c>
      <c r="X15" s="18" t="str">
        <f>IF(ISNUMBER(MATRIZ_174!O14),MIN(100,IF(MATRIZ_174!O14=0,70,30)+IF(MATRIZ_174!U14="",0,0.3*(100-MATRIZ_174!U14*100))),"")</f>
        <v/>
      </c>
      <c r="Y15" s="18">
        <f>IF(OR(MATRIZ_174!P14="ASOCIACION",MATRIZ_174!P14="PENDIENTE"),65,40)</f>
        <v>65</v>
      </c>
      <c r="Z15" s="19" t="str">
        <f t="shared" si="5"/>
        <v>—</v>
      </c>
      <c r="AA15" s="20">
        <f t="shared" si="6"/>
        <v>57.5</v>
      </c>
      <c r="AB15" s="21" t="str">
        <f t="shared" si="7"/>
        <v>—</v>
      </c>
      <c r="AC15" s="13" t="str">
        <f t="shared" si="8"/>
        <v>⬜  Pendiente de instrumento</v>
      </c>
      <c r="AD15" s="13" t="str">
        <f>IF(MATRIZ_174!U14="","",IF(MATRIZ_174!U14=0,"🚫  Inh. vigente OSCE",""))</f>
        <v/>
      </c>
      <c r="AE15" s="22">
        <f>IFERROR(MATRIZ_174!W14,0)</f>
        <v>1</v>
      </c>
      <c r="AF15" s="22">
        <f>IFERROR(MATRIZ_174!X14,0)</f>
        <v>0</v>
      </c>
      <c r="AG15" s="22">
        <f>IFERROR(MATRIZ_174!Y14,0)</f>
        <v>0</v>
      </c>
      <c r="AH15" s="22">
        <f>IFERROR(MATRIZ_174!Z14,0)</f>
        <v>0</v>
      </c>
      <c r="AI15" s="17">
        <f>IFERROR(MATRIZ_174!AP14,"N/A")</f>
        <v>0.3125</v>
      </c>
      <c r="AJ15" s="17" t="str">
        <f>IFERROR(MATRIZ_174!AO14,"N/A")</f>
        <v>N/A</v>
      </c>
      <c r="AK15" s="23" t="str">
        <f t="shared" si="9"/>
        <v>N/A</v>
      </c>
      <c r="AL15" s="24" t="str">
        <f t="shared" si="10"/>
        <v>—</v>
      </c>
    </row>
    <row r="16" spans="1:38" ht="16.05" customHeight="1" x14ac:dyDescent="0.3">
      <c r="A16" s="13" t="s">
        <v>99</v>
      </c>
      <c r="B16" s="14" t="s">
        <v>100</v>
      </c>
      <c r="C16" s="13" t="s">
        <v>64</v>
      </c>
      <c r="D16" s="15">
        <v>0</v>
      </c>
      <c r="E16" s="16" t="str">
        <f>IF(NORMALIZADO!CB15="","",NORMALIZADO!CB15)</f>
        <v/>
      </c>
      <c r="F16" s="17" t="str">
        <f>IF(NORMALIZADO!CC15="","",NORMALIZADO!CC15)</f>
        <v/>
      </c>
      <c r="G16" s="17">
        <f>IF(NORMALIZADO!CD15="",IFERROR(MATRIZ_174!U15*100,""),NORMALIZADO!CD15)</f>
        <v>100</v>
      </c>
      <c r="H16" s="16" t="str">
        <f>IF(NORMALIZADO!CE15="","",NORMALIZADO!CE15)</f>
        <v/>
      </c>
      <c r="I16" s="17" t="str">
        <f>IF(NORMALIZADO!CF15="","",NORMALIZADO!CF15)</f>
        <v/>
      </c>
      <c r="J16" s="17" t="str">
        <f>IF(NORMALIZADO!CG15="","",NORMALIZADO!CG15)</f>
        <v/>
      </c>
      <c r="K16" s="16" t="str">
        <f>IF(NORMALIZADO!CH15="","",NORMALIZADO!CH15)</f>
        <v/>
      </c>
      <c r="L16" s="16" t="str">
        <f>IF(NORMALIZADO!CI15="","",NORMALIZADO!CI15)</f>
        <v/>
      </c>
      <c r="M16" s="16" t="str">
        <f>IF(NORMALIZADO!CJ15="","",NORMALIZADO!CJ15)</f>
        <v/>
      </c>
      <c r="N16" s="16" t="str">
        <f>IF(NORMALIZADO!CK15="","",NORMALIZADO!CK15)</f>
        <v/>
      </c>
      <c r="O16" s="16" t="str">
        <f>IF(NORMALIZADO!CL15="","",NORMALIZADO!CL15)</f>
        <v/>
      </c>
      <c r="P16" s="17" t="str">
        <f t="shared" si="0"/>
        <v/>
      </c>
      <c r="Q16" s="17">
        <f t="shared" si="1"/>
        <v>0</v>
      </c>
      <c r="R16" s="17">
        <f t="shared" si="2"/>
        <v>0</v>
      </c>
      <c r="S16" s="17">
        <f t="shared" si="3"/>
        <v>0</v>
      </c>
      <c r="T16" s="17" t="str">
        <f>IF(ISNUMBER(MATRIZ_174!O15),IFERROR((K16+M16+MATRIZ_174!O15)/3,0),"")</f>
        <v/>
      </c>
      <c r="U16" s="18" t="str">
        <f>IF(ISNUMBER(MATRIZ_174!M15),MIN(100,ROUND(MATRIZ_174!M15,1)),"")</f>
        <v/>
      </c>
      <c r="V16" s="18">
        <f t="shared" si="4"/>
        <v>50</v>
      </c>
      <c r="W16" s="18">
        <f>IFERROR(IF(MATRIZ_174!R15=0,65,IF(MATRIZ_174!R15/MATRIZ_174!Q15&gt;=2,35,IF(MATRIZ_174!R15/MATRIZ_174!Q15&gt;=0.5,50,65))),65)</f>
        <v>65</v>
      </c>
      <c r="X16" s="18" t="str">
        <f>IF(ISNUMBER(MATRIZ_174!O15),MIN(100,IF(MATRIZ_174!O15=0,70,30)+IF(MATRIZ_174!U15="",0,0.3*(100-MATRIZ_174!U15*100))),"")</f>
        <v/>
      </c>
      <c r="Y16" s="18">
        <f>IF(OR(MATRIZ_174!P15="ASOCIACION",MATRIZ_174!P15="PENDIENTE"),65,40)</f>
        <v>65</v>
      </c>
      <c r="Z16" s="19" t="str">
        <f t="shared" si="5"/>
        <v>—</v>
      </c>
      <c r="AA16" s="20">
        <f t="shared" si="6"/>
        <v>60</v>
      </c>
      <c r="AB16" s="21" t="str">
        <f t="shared" si="7"/>
        <v>—</v>
      </c>
      <c r="AC16" s="13" t="str">
        <f t="shared" si="8"/>
        <v>⬜  Pendiente de instrumento</v>
      </c>
      <c r="AD16" s="13" t="str">
        <f>IF(MATRIZ_174!U15="","",IF(MATRIZ_174!U15=0,"🚫  Inh. vigente OSCE",""))</f>
        <v/>
      </c>
      <c r="AE16" s="22">
        <f>IFERROR(MATRIZ_174!W15,0)</f>
        <v>0</v>
      </c>
      <c r="AF16" s="22">
        <f>IFERROR(MATRIZ_174!X15,0)</f>
        <v>0</v>
      </c>
      <c r="AG16" s="22">
        <f>IFERROR(MATRIZ_174!Y15,0)</f>
        <v>0</v>
      </c>
      <c r="AH16" s="22">
        <f>IFERROR(MATRIZ_174!Z15,0)</f>
        <v>0</v>
      </c>
      <c r="AI16" s="17">
        <f>IFERROR(MATRIZ_174!AP15,"N/A")</f>
        <v>0</v>
      </c>
      <c r="AJ16" s="17" t="str">
        <f>IFERROR(MATRIZ_174!AO15,"N/A")</f>
        <v>N/A</v>
      </c>
      <c r="AK16" s="23" t="str">
        <f t="shared" si="9"/>
        <v>N/A</v>
      </c>
      <c r="AL16" s="24" t="str">
        <f t="shared" si="10"/>
        <v>—</v>
      </c>
    </row>
    <row r="17" spans="1:38" ht="16.05" customHeight="1" x14ac:dyDescent="0.3">
      <c r="A17" s="13" t="s">
        <v>101</v>
      </c>
      <c r="B17" s="14" t="s">
        <v>102</v>
      </c>
      <c r="C17" s="13" t="s">
        <v>103</v>
      </c>
      <c r="D17" s="15">
        <v>0</v>
      </c>
      <c r="E17" s="16" t="str">
        <f>IF(NORMALIZADO!CB16="","",NORMALIZADO!CB16)</f>
        <v/>
      </c>
      <c r="F17" s="17" t="str">
        <f>IF(NORMALIZADO!CC16="","",NORMALIZADO!CC16)</f>
        <v/>
      </c>
      <c r="G17" s="17">
        <f>IF(NORMALIZADO!CD16="",IFERROR(MATRIZ_174!U16*100,""),NORMALIZADO!CD16)</f>
        <v>100</v>
      </c>
      <c r="H17" s="16" t="str">
        <f>IF(NORMALIZADO!CE16="","",NORMALIZADO!CE16)</f>
        <v/>
      </c>
      <c r="I17" s="17" t="str">
        <f>IF(NORMALIZADO!CF16="","",NORMALIZADO!CF16)</f>
        <v/>
      </c>
      <c r="J17" s="17" t="str">
        <f>IF(NORMALIZADO!CG16="","",NORMALIZADO!CG16)</f>
        <v/>
      </c>
      <c r="K17" s="16" t="str">
        <f>IF(NORMALIZADO!CH16="","",NORMALIZADO!CH16)</f>
        <v/>
      </c>
      <c r="L17" s="16" t="str">
        <f>IF(NORMALIZADO!CI16="","",NORMALIZADO!CI16)</f>
        <v/>
      </c>
      <c r="M17" s="16" t="str">
        <f>IF(NORMALIZADO!CJ16="","",NORMALIZADO!CJ16)</f>
        <v/>
      </c>
      <c r="N17" s="16" t="str">
        <f>IF(NORMALIZADO!CK16="","",NORMALIZADO!CK16)</f>
        <v/>
      </c>
      <c r="O17" s="16" t="str">
        <f>IF(NORMALIZADO!CL16="","",NORMALIZADO!CL16)</f>
        <v/>
      </c>
      <c r="P17" s="17" t="str">
        <f t="shared" si="0"/>
        <v/>
      </c>
      <c r="Q17" s="17">
        <f t="shared" si="1"/>
        <v>0</v>
      </c>
      <c r="R17" s="17">
        <f t="shared" si="2"/>
        <v>0</v>
      </c>
      <c r="S17" s="17">
        <f t="shared" si="3"/>
        <v>0</v>
      </c>
      <c r="T17" s="17" t="str">
        <f>IF(ISNUMBER(MATRIZ_174!O16),IFERROR((K17+M17+MATRIZ_174!O16)/3,0),"")</f>
        <v/>
      </c>
      <c r="U17" s="18" t="str">
        <f>IF(ISNUMBER(MATRIZ_174!M16),MIN(100,ROUND(MATRIZ_174!M16,1)),"")</f>
        <v/>
      </c>
      <c r="V17" s="18">
        <f t="shared" si="4"/>
        <v>50</v>
      </c>
      <c r="W17" s="18">
        <f>IFERROR(IF(MATRIZ_174!R16=0,65,IF(MATRIZ_174!R16/MATRIZ_174!Q16&gt;=2,35,IF(MATRIZ_174!R16/MATRIZ_174!Q16&gt;=0.5,50,65))),65)</f>
        <v>65</v>
      </c>
      <c r="X17" s="18" t="str">
        <f>IF(ISNUMBER(MATRIZ_174!O16),MIN(100,IF(MATRIZ_174!O16=0,70,30)+IF(MATRIZ_174!U16="",0,0.3*(100-MATRIZ_174!U16*100))),"")</f>
        <v/>
      </c>
      <c r="Y17" s="18">
        <f>IF(OR(MATRIZ_174!P16="ASOCIACION",MATRIZ_174!P16="PENDIENTE"),65,40)</f>
        <v>65</v>
      </c>
      <c r="Z17" s="19" t="str">
        <f t="shared" si="5"/>
        <v>—</v>
      </c>
      <c r="AA17" s="20">
        <f t="shared" si="6"/>
        <v>60</v>
      </c>
      <c r="AB17" s="21" t="str">
        <f t="shared" si="7"/>
        <v>—</v>
      </c>
      <c r="AC17" s="13" t="str">
        <f t="shared" si="8"/>
        <v>⬜  Pendiente de instrumento</v>
      </c>
      <c r="AD17" s="13" t="str">
        <f>IF(MATRIZ_174!U16="","",IF(MATRIZ_174!U16=0,"🚫  Inh. vigente OSCE",""))</f>
        <v/>
      </c>
      <c r="AE17" s="22">
        <f>IFERROR(MATRIZ_174!W16,0)</f>
        <v>0</v>
      </c>
      <c r="AF17" s="22">
        <f>IFERROR(MATRIZ_174!X16,0)</f>
        <v>0</v>
      </c>
      <c r="AG17" s="22">
        <f>IFERROR(MATRIZ_174!Y16,0)</f>
        <v>0</v>
      </c>
      <c r="AH17" s="22">
        <f>IFERROR(MATRIZ_174!Z16,0)</f>
        <v>0</v>
      </c>
      <c r="AI17" s="17">
        <f>IFERROR(MATRIZ_174!AP16,"N/A")</f>
        <v>0</v>
      </c>
      <c r="AJ17" s="17" t="str">
        <f>IFERROR(MATRIZ_174!AO16,"N/A")</f>
        <v>N/A</v>
      </c>
      <c r="AK17" s="23" t="str">
        <f t="shared" si="9"/>
        <v>N/A</v>
      </c>
      <c r="AL17" s="24" t="str">
        <f t="shared" si="10"/>
        <v>—</v>
      </c>
    </row>
    <row r="18" spans="1:38" ht="16.05" customHeight="1" x14ac:dyDescent="0.3">
      <c r="A18" s="13" t="s">
        <v>104</v>
      </c>
      <c r="B18" s="14" t="s">
        <v>105</v>
      </c>
      <c r="C18" s="13" t="s">
        <v>80</v>
      </c>
      <c r="D18" s="15">
        <v>0</v>
      </c>
      <c r="E18" s="16" t="str">
        <f>IF(NORMALIZADO!CB17="","",NORMALIZADO!CB17)</f>
        <v/>
      </c>
      <c r="F18" s="17" t="str">
        <f>IF(NORMALIZADO!CC17="","",NORMALIZADO!CC17)</f>
        <v/>
      </c>
      <c r="G18" s="17">
        <f>IF(NORMALIZADO!CD17="",IFERROR(MATRIZ_174!U17*100,""),NORMALIZADO!CD17)</f>
        <v>100</v>
      </c>
      <c r="H18" s="16" t="str">
        <f>IF(NORMALIZADO!CE17="","",NORMALIZADO!CE17)</f>
        <v/>
      </c>
      <c r="I18" s="17" t="str">
        <f>IF(NORMALIZADO!CF17="","",NORMALIZADO!CF17)</f>
        <v/>
      </c>
      <c r="J18" s="17" t="str">
        <f>IF(NORMALIZADO!CG17="","",NORMALIZADO!CG17)</f>
        <v/>
      </c>
      <c r="K18" s="16" t="str">
        <f>IF(NORMALIZADO!CH17="","",NORMALIZADO!CH17)</f>
        <v/>
      </c>
      <c r="L18" s="16" t="str">
        <f>IF(NORMALIZADO!CI17="","",NORMALIZADO!CI17)</f>
        <v/>
      </c>
      <c r="M18" s="16" t="str">
        <f>IF(NORMALIZADO!CJ17="","",NORMALIZADO!CJ17)</f>
        <v/>
      </c>
      <c r="N18" s="16" t="str">
        <f>IF(NORMALIZADO!CK17="","",NORMALIZADO!CK17)</f>
        <v/>
      </c>
      <c r="O18" s="16" t="str">
        <f>IF(NORMALIZADO!CL17="","",NORMALIZADO!CL17)</f>
        <v/>
      </c>
      <c r="P18" s="17" t="str">
        <f t="shared" si="0"/>
        <v/>
      </c>
      <c r="Q18" s="17">
        <f t="shared" si="1"/>
        <v>0</v>
      </c>
      <c r="R18" s="17">
        <f t="shared" si="2"/>
        <v>0</v>
      </c>
      <c r="S18" s="17">
        <f t="shared" si="3"/>
        <v>0</v>
      </c>
      <c r="T18" s="17">
        <f>IF(ISNUMBER(MATRIZ_174!O17),IFERROR((K18+M18+MATRIZ_174!O17)/3,0),"")</f>
        <v>0</v>
      </c>
      <c r="U18" s="18" t="str">
        <f>IF(ISNUMBER(MATRIZ_174!M17),MIN(100,ROUND(MATRIZ_174!M17,1)),"")</f>
        <v/>
      </c>
      <c r="V18" s="18">
        <f t="shared" si="4"/>
        <v>50</v>
      </c>
      <c r="W18" s="18">
        <f>IFERROR(IF(MATRIZ_174!R17=0,65,IF(MATRIZ_174!R17/MATRIZ_174!Q17&gt;=2,35,IF(MATRIZ_174!R17/MATRIZ_174!Q17&gt;=0.5,50,65))),65)</f>
        <v>35</v>
      </c>
      <c r="X18" s="18">
        <f>IF(ISNUMBER(MATRIZ_174!O17),MIN(100,IF(MATRIZ_174!O17=0,70,30)+IF(MATRIZ_174!U17="",0,0.3*(100-MATRIZ_174!U17*100))),"")</f>
        <v>30</v>
      </c>
      <c r="Y18" s="18">
        <f>IF(OR(MATRIZ_174!P17="ASOCIACION",MATRIZ_174!P17="PENDIENTE"),65,40)</f>
        <v>65</v>
      </c>
      <c r="Z18" s="19" t="str">
        <f t="shared" si="5"/>
        <v>—</v>
      </c>
      <c r="AA18" s="20">
        <f t="shared" si="6"/>
        <v>45</v>
      </c>
      <c r="AB18" s="21" t="str">
        <f t="shared" si="7"/>
        <v>—</v>
      </c>
      <c r="AC18" s="13" t="str">
        <f t="shared" si="8"/>
        <v>⬜  Pendiente de instrumento</v>
      </c>
      <c r="AD18" s="13" t="str">
        <f>IF(MATRIZ_174!U17="","",IF(MATRIZ_174!U17=0,"🚫  Inh. vigente OSCE",""))</f>
        <v/>
      </c>
      <c r="AE18" s="22">
        <f>IFERROR(MATRIZ_174!W17,0)</f>
        <v>1</v>
      </c>
      <c r="AF18" s="22">
        <f>IFERROR(MATRIZ_174!X17,0)</f>
        <v>0</v>
      </c>
      <c r="AG18" s="22">
        <f>IFERROR(MATRIZ_174!Y17,0)</f>
        <v>0</v>
      </c>
      <c r="AH18" s="22">
        <f>IFERROR(MATRIZ_174!Z17,0)</f>
        <v>0</v>
      </c>
      <c r="AI18" s="17">
        <f>IFERROR(MATRIZ_174!AP17,"N/A")</f>
        <v>0.26071428571428573</v>
      </c>
      <c r="AJ18" s="17" t="str">
        <f>IFERROR(MATRIZ_174!AO17,"N/A")</f>
        <v>N/A</v>
      </c>
      <c r="AK18" s="23" t="str">
        <f t="shared" si="9"/>
        <v>N/A</v>
      </c>
      <c r="AL18" s="24" t="str">
        <f t="shared" si="10"/>
        <v>—</v>
      </c>
    </row>
    <row r="19" spans="1:38" ht="16.05" customHeight="1" x14ac:dyDescent="0.3">
      <c r="A19" s="13" t="s">
        <v>107</v>
      </c>
      <c r="B19" s="14" t="s">
        <v>108</v>
      </c>
      <c r="C19" s="13" t="s">
        <v>109</v>
      </c>
      <c r="D19" s="15">
        <v>0</v>
      </c>
      <c r="E19" s="16" t="str">
        <f>IF(NORMALIZADO!CB18="","",NORMALIZADO!CB18)</f>
        <v/>
      </c>
      <c r="F19" s="17" t="str">
        <f>IF(NORMALIZADO!CC18="","",NORMALIZADO!CC18)</f>
        <v/>
      </c>
      <c r="G19" s="17">
        <f>IF(NORMALIZADO!CD18="",IFERROR(MATRIZ_174!U18*100,""),NORMALIZADO!CD18)</f>
        <v>100</v>
      </c>
      <c r="H19" s="16" t="str">
        <f>IF(NORMALIZADO!CE18="","",NORMALIZADO!CE18)</f>
        <v/>
      </c>
      <c r="I19" s="17" t="str">
        <f>IF(NORMALIZADO!CF18="","",NORMALIZADO!CF18)</f>
        <v/>
      </c>
      <c r="J19" s="17" t="str">
        <f>IF(NORMALIZADO!CG18="","",NORMALIZADO!CG18)</f>
        <v/>
      </c>
      <c r="K19" s="16" t="str">
        <f>IF(NORMALIZADO!CH18="","",NORMALIZADO!CH18)</f>
        <v/>
      </c>
      <c r="L19" s="16" t="str">
        <f>IF(NORMALIZADO!CI18="","",NORMALIZADO!CI18)</f>
        <v/>
      </c>
      <c r="M19" s="16" t="str">
        <f>IF(NORMALIZADO!CJ18="","",NORMALIZADO!CJ18)</f>
        <v/>
      </c>
      <c r="N19" s="16" t="str">
        <f>IF(NORMALIZADO!CK18="","",NORMALIZADO!CK18)</f>
        <v/>
      </c>
      <c r="O19" s="16" t="str">
        <f>IF(NORMALIZADO!CL18="","",NORMALIZADO!CL18)</f>
        <v/>
      </c>
      <c r="P19" s="17" t="str">
        <f t="shared" si="0"/>
        <v/>
      </c>
      <c r="Q19" s="17">
        <f t="shared" si="1"/>
        <v>0</v>
      </c>
      <c r="R19" s="17">
        <f t="shared" si="2"/>
        <v>0</v>
      </c>
      <c r="S19" s="17">
        <f t="shared" si="3"/>
        <v>0</v>
      </c>
      <c r="T19" s="17" t="str">
        <f>IF(ISNUMBER(MATRIZ_174!O18),IFERROR((K19+M19+MATRIZ_174!O18)/3,0),"")</f>
        <v/>
      </c>
      <c r="U19" s="18" t="str">
        <f>IF(ISNUMBER(MATRIZ_174!M18),MIN(100,ROUND(MATRIZ_174!M18,1)),"")</f>
        <v/>
      </c>
      <c r="V19" s="18">
        <f t="shared" si="4"/>
        <v>50</v>
      </c>
      <c r="W19" s="18">
        <f>IFERROR(IF(MATRIZ_174!R18=0,65,IF(MATRIZ_174!R18/MATRIZ_174!Q18&gt;=2,35,IF(MATRIZ_174!R18/MATRIZ_174!Q18&gt;=0.5,50,65))),65)</f>
        <v>65</v>
      </c>
      <c r="X19" s="18" t="str">
        <f>IF(ISNUMBER(MATRIZ_174!O18),MIN(100,IF(MATRIZ_174!O18=0,70,30)+IF(MATRIZ_174!U18="",0,0.3*(100-MATRIZ_174!U18*100))),"")</f>
        <v/>
      </c>
      <c r="Y19" s="18">
        <f>IF(OR(MATRIZ_174!P18="ASOCIACION",MATRIZ_174!P18="PENDIENTE"),65,40)</f>
        <v>65</v>
      </c>
      <c r="Z19" s="19" t="str">
        <f t="shared" si="5"/>
        <v>—</v>
      </c>
      <c r="AA19" s="20">
        <f t="shared" si="6"/>
        <v>60</v>
      </c>
      <c r="AB19" s="21" t="str">
        <f t="shared" si="7"/>
        <v>—</v>
      </c>
      <c r="AC19" s="13" t="str">
        <f t="shared" si="8"/>
        <v>⬜  Pendiente de instrumento</v>
      </c>
      <c r="AD19" s="13" t="str">
        <f>IF(MATRIZ_174!U18="","",IF(MATRIZ_174!U18=0,"🚫  Inh. vigente OSCE",""))</f>
        <v/>
      </c>
      <c r="AE19" s="22">
        <f>IFERROR(MATRIZ_174!W18,0)</f>
        <v>0</v>
      </c>
      <c r="AF19" s="22">
        <f>IFERROR(MATRIZ_174!X18,0)</f>
        <v>0</v>
      </c>
      <c r="AG19" s="22">
        <f>IFERROR(MATRIZ_174!Y18,0)</f>
        <v>0</v>
      </c>
      <c r="AH19" s="22">
        <f>IFERROR(MATRIZ_174!Z18,0)</f>
        <v>0</v>
      </c>
      <c r="AI19" s="17">
        <f>IFERROR(MATRIZ_174!AP18,"N/A")</f>
        <v>0</v>
      </c>
      <c r="AJ19" s="17" t="str">
        <f>IFERROR(MATRIZ_174!AO18,"N/A")</f>
        <v>N/A</v>
      </c>
      <c r="AK19" s="23" t="str">
        <f t="shared" si="9"/>
        <v>N/A</v>
      </c>
      <c r="AL19" s="24" t="str">
        <f t="shared" si="10"/>
        <v>—</v>
      </c>
    </row>
    <row r="20" spans="1:38" ht="16.05" customHeight="1" x14ac:dyDescent="0.3">
      <c r="A20" s="13" t="s">
        <v>110</v>
      </c>
      <c r="B20" s="14" t="s">
        <v>111</v>
      </c>
      <c r="C20" s="13" t="s">
        <v>112</v>
      </c>
      <c r="D20" s="15">
        <v>4535378.4400000004</v>
      </c>
      <c r="E20" s="16" t="str">
        <f>IF(NORMALIZADO!CB19="","",NORMALIZADO!CB19)</f>
        <v/>
      </c>
      <c r="F20" s="17" t="str">
        <f>IF(NORMALIZADO!CC19="","",NORMALIZADO!CC19)</f>
        <v/>
      </c>
      <c r="G20" s="17">
        <f>IF(NORMALIZADO!CD19="",IFERROR(MATRIZ_174!U19*100,""),NORMALIZADO!CD19)</f>
        <v>100</v>
      </c>
      <c r="H20" s="16" t="str">
        <f>IF(NORMALIZADO!CE19="","",NORMALIZADO!CE19)</f>
        <v/>
      </c>
      <c r="I20" s="17" t="str">
        <f>IF(NORMALIZADO!CF19="","",NORMALIZADO!CF19)</f>
        <v/>
      </c>
      <c r="J20" s="17" t="str">
        <f>IF(NORMALIZADO!CG19="","",NORMALIZADO!CG19)</f>
        <v/>
      </c>
      <c r="K20" s="16" t="str">
        <f>IF(NORMALIZADO!CH19="","",NORMALIZADO!CH19)</f>
        <v/>
      </c>
      <c r="L20" s="16" t="str">
        <f>IF(NORMALIZADO!CI19="","",NORMALIZADO!CI19)</f>
        <v/>
      </c>
      <c r="M20" s="16" t="str">
        <f>IF(NORMALIZADO!CJ19="","",NORMALIZADO!CJ19)</f>
        <v/>
      </c>
      <c r="N20" s="16" t="str">
        <f>IF(NORMALIZADO!CK19="","",NORMALIZADO!CK19)</f>
        <v/>
      </c>
      <c r="O20" s="16" t="str">
        <f>IF(NORMALIZADO!CL19="","",NORMALIZADO!CL19)</f>
        <v/>
      </c>
      <c r="P20" s="17" t="str">
        <f t="shared" si="0"/>
        <v/>
      </c>
      <c r="Q20" s="17">
        <f t="shared" si="1"/>
        <v>0</v>
      </c>
      <c r="R20" s="17">
        <f t="shared" si="2"/>
        <v>0</v>
      </c>
      <c r="S20" s="17">
        <f t="shared" si="3"/>
        <v>0</v>
      </c>
      <c r="T20" s="17" t="str">
        <f>IF(ISNUMBER(MATRIZ_174!O19),IFERROR((K20+M20+MATRIZ_174!O19)/3,0),"")</f>
        <v/>
      </c>
      <c r="U20" s="18">
        <f>IF(ISNUMBER(MATRIZ_174!M19),MIN(100,ROUND(MATRIZ_174!M19,1)),"")</f>
        <v>50</v>
      </c>
      <c r="V20" s="18">
        <f t="shared" si="4"/>
        <v>50</v>
      </c>
      <c r="W20" s="18">
        <f>IFERROR(IF(MATRIZ_174!R19=0,65,IF(MATRIZ_174!R19/MATRIZ_174!Q19&gt;=2,35,IF(MATRIZ_174!R19/MATRIZ_174!Q19&gt;=0.5,50,65))),65)</f>
        <v>65</v>
      </c>
      <c r="X20" s="18" t="str">
        <f>IF(ISNUMBER(MATRIZ_174!O19),MIN(100,IF(MATRIZ_174!O19=0,70,30)+IF(MATRIZ_174!U19="",0,0.3*(100-MATRIZ_174!U19*100))),"")</f>
        <v/>
      </c>
      <c r="Y20" s="18">
        <f>IF(OR(MATRIZ_174!P19="ASOCIACION",MATRIZ_174!P19="PENDIENTE"),65,40)</f>
        <v>65</v>
      </c>
      <c r="Z20" s="19" t="str">
        <f t="shared" si="5"/>
        <v>—</v>
      </c>
      <c r="AA20" s="20">
        <f t="shared" si="6"/>
        <v>57.5</v>
      </c>
      <c r="AB20" s="21" t="str">
        <f t="shared" si="7"/>
        <v>—</v>
      </c>
      <c r="AC20" s="13" t="str">
        <f t="shared" si="8"/>
        <v>⬜  Pendiente de instrumento</v>
      </c>
      <c r="AD20" s="13" t="str">
        <f>IF(MATRIZ_174!U19="","",IF(MATRIZ_174!U19=0,"🚫  Inh. vigente OSCE",""))</f>
        <v/>
      </c>
      <c r="AE20" s="22">
        <f>IFERROR(MATRIZ_174!W19,0)</f>
        <v>1</v>
      </c>
      <c r="AF20" s="22">
        <f>IFERROR(MATRIZ_174!X19,0)</f>
        <v>0</v>
      </c>
      <c r="AG20" s="22">
        <f>IFERROR(MATRIZ_174!Y19,0)</f>
        <v>0</v>
      </c>
      <c r="AH20" s="22">
        <f>IFERROR(MATRIZ_174!Z19,0)</f>
        <v>0</v>
      </c>
      <c r="AI20" s="17">
        <f>IFERROR(MATRIZ_174!AP19,"N/A")</f>
        <v>0.3125</v>
      </c>
      <c r="AJ20" s="17" t="str">
        <f>IFERROR(MATRIZ_174!AO19,"N/A")</f>
        <v>N/A</v>
      </c>
      <c r="AK20" s="23" t="str">
        <f t="shared" si="9"/>
        <v>N/A</v>
      </c>
      <c r="AL20" s="24" t="str">
        <f t="shared" si="10"/>
        <v>—</v>
      </c>
    </row>
    <row r="21" spans="1:38" ht="16.05" customHeight="1" x14ac:dyDescent="0.3">
      <c r="A21" s="13" t="s">
        <v>113</v>
      </c>
      <c r="B21" s="14" t="s">
        <v>114</v>
      </c>
      <c r="C21" s="13" t="s">
        <v>80</v>
      </c>
      <c r="D21" s="15">
        <v>0</v>
      </c>
      <c r="E21" s="16" t="str">
        <f>IF(NORMALIZADO!CB20="","",NORMALIZADO!CB20)</f>
        <v/>
      </c>
      <c r="F21" s="17" t="str">
        <f>IF(NORMALIZADO!CC20="","",NORMALIZADO!CC20)</f>
        <v/>
      </c>
      <c r="G21" s="17">
        <f>IF(NORMALIZADO!CD20="",IFERROR(MATRIZ_174!U20*100,""),NORMALIZADO!CD20)</f>
        <v>100</v>
      </c>
      <c r="H21" s="16" t="str">
        <f>IF(NORMALIZADO!CE20="","",NORMALIZADO!CE20)</f>
        <v/>
      </c>
      <c r="I21" s="17" t="str">
        <f>IF(NORMALIZADO!CF20="","",NORMALIZADO!CF20)</f>
        <v/>
      </c>
      <c r="J21" s="17" t="str">
        <f>IF(NORMALIZADO!CG20="","",NORMALIZADO!CG20)</f>
        <v/>
      </c>
      <c r="K21" s="16" t="str">
        <f>IF(NORMALIZADO!CH20="","",NORMALIZADO!CH20)</f>
        <v/>
      </c>
      <c r="L21" s="16" t="str">
        <f>IF(NORMALIZADO!CI20="","",NORMALIZADO!CI20)</f>
        <v/>
      </c>
      <c r="M21" s="16" t="str">
        <f>IF(NORMALIZADO!CJ20="","",NORMALIZADO!CJ20)</f>
        <v/>
      </c>
      <c r="N21" s="16" t="str">
        <f>IF(NORMALIZADO!CK20="","",NORMALIZADO!CK20)</f>
        <v/>
      </c>
      <c r="O21" s="16" t="str">
        <f>IF(NORMALIZADO!CL20="","",NORMALIZADO!CL20)</f>
        <v/>
      </c>
      <c r="P21" s="17" t="str">
        <f t="shared" si="0"/>
        <v/>
      </c>
      <c r="Q21" s="17">
        <f t="shared" si="1"/>
        <v>0</v>
      </c>
      <c r="R21" s="17">
        <f t="shared" si="2"/>
        <v>0</v>
      </c>
      <c r="S21" s="17">
        <f t="shared" si="3"/>
        <v>0</v>
      </c>
      <c r="T21" s="17">
        <f>IF(ISNUMBER(MATRIZ_174!O20),IFERROR((K21+M21+MATRIZ_174!O20)/3,0),"")</f>
        <v>0</v>
      </c>
      <c r="U21" s="18" t="str">
        <f>IF(ISNUMBER(MATRIZ_174!M20),MIN(100,ROUND(MATRIZ_174!M20,1)),"")</f>
        <v/>
      </c>
      <c r="V21" s="18">
        <f t="shared" si="4"/>
        <v>50</v>
      </c>
      <c r="W21" s="18">
        <f>IFERROR(IF(MATRIZ_174!R20=0,65,IF(MATRIZ_174!R20/MATRIZ_174!Q20&gt;=2,35,IF(MATRIZ_174!R20/MATRIZ_174!Q20&gt;=0.5,50,65))),65)</f>
        <v>50</v>
      </c>
      <c r="X21" s="18">
        <f>IF(ISNUMBER(MATRIZ_174!O20),MIN(100,IF(MATRIZ_174!O20=0,70,30)+IF(MATRIZ_174!U20="",0,0.3*(100-MATRIZ_174!U20*100))),"")</f>
        <v>30</v>
      </c>
      <c r="Y21" s="18">
        <f>IF(OR(MATRIZ_174!P20="ASOCIACION",MATRIZ_174!P20="PENDIENTE"),65,40)</f>
        <v>65</v>
      </c>
      <c r="Z21" s="19" t="str">
        <f t="shared" si="5"/>
        <v>—</v>
      </c>
      <c r="AA21" s="20">
        <f t="shared" si="6"/>
        <v>48.8</v>
      </c>
      <c r="AB21" s="21" t="str">
        <f t="shared" si="7"/>
        <v>—</v>
      </c>
      <c r="AC21" s="13" t="str">
        <f t="shared" si="8"/>
        <v>⬜  Pendiente de instrumento</v>
      </c>
      <c r="AD21" s="13" t="str">
        <f>IF(MATRIZ_174!U20="","",IF(MATRIZ_174!U20=0,"🚫  Inh. vigente OSCE",""))</f>
        <v/>
      </c>
      <c r="AE21" s="22">
        <f>IFERROR(MATRIZ_174!W20,0)</f>
        <v>1</v>
      </c>
      <c r="AF21" s="22">
        <f>IFERROR(MATRIZ_174!X20,0)</f>
        <v>0</v>
      </c>
      <c r="AG21" s="22">
        <f>IFERROR(MATRIZ_174!Y20,0)</f>
        <v>0</v>
      </c>
      <c r="AH21" s="22">
        <f>IFERROR(MATRIZ_174!Z20,0)</f>
        <v>0</v>
      </c>
      <c r="AI21" s="17">
        <f>IFERROR(MATRIZ_174!AP20,"N/A")</f>
        <v>0.26071428571428573</v>
      </c>
      <c r="AJ21" s="17" t="str">
        <f>IFERROR(MATRIZ_174!AO20,"N/A")</f>
        <v>N/A</v>
      </c>
      <c r="AK21" s="23" t="str">
        <f t="shared" si="9"/>
        <v>N/A</v>
      </c>
      <c r="AL21" s="24" t="str">
        <f t="shared" si="10"/>
        <v>—</v>
      </c>
    </row>
    <row r="22" spans="1:38" ht="16.05" customHeight="1" x14ac:dyDescent="0.3">
      <c r="A22" s="13" t="s">
        <v>115</v>
      </c>
      <c r="B22" s="14" t="s">
        <v>116</v>
      </c>
      <c r="C22" s="13" t="s">
        <v>109</v>
      </c>
      <c r="D22" s="15">
        <v>0</v>
      </c>
      <c r="E22" s="16" t="str">
        <f>IF(NORMALIZADO!CB21="","",NORMALIZADO!CB21)</f>
        <v/>
      </c>
      <c r="F22" s="17" t="str">
        <f>IF(NORMALIZADO!CC21="","",NORMALIZADO!CC21)</f>
        <v/>
      </c>
      <c r="G22" s="17">
        <f>IF(NORMALIZADO!CD21="",IFERROR(MATRIZ_174!U21*100,""),NORMALIZADO!CD21)</f>
        <v>100</v>
      </c>
      <c r="H22" s="16" t="str">
        <f>IF(NORMALIZADO!CE21="","",NORMALIZADO!CE21)</f>
        <v/>
      </c>
      <c r="I22" s="17" t="str">
        <f>IF(NORMALIZADO!CF21="","",NORMALIZADO!CF21)</f>
        <v/>
      </c>
      <c r="J22" s="17" t="str">
        <f>IF(NORMALIZADO!CG21="","",NORMALIZADO!CG21)</f>
        <v/>
      </c>
      <c r="K22" s="16" t="str">
        <f>IF(NORMALIZADO!CH21="","",NORMALIZADO!CH21)</f>
        <v/>
      </c>
      <c r="L22" s="16" t="str">
        <f>IF(NORMALIZADO!CI21="","",NORMALIZADO!CI21)</f>
        <v/>
      </c>
      <c r="M22" s="16" t="str">
        <f>IF(NORMALIZADO!CJ21="","",NORMALIZADO!CJ21)</f>
        <v/>
      </c>
      <c r="N22" s="16" t="str">
        <f>IF(NORMALIZADO!CK21="","",NORMALIZADO!CK21)</f>
        <v/>
      </c>
      <c r="O22" s="16" t="str">
        <f>IF(NORMALIZADO!CL21="","",NORMALIZADO!CL21)</f>
        <v/>
      </c>
      <c r="P22" s="17" t="str">
        <f t="shared" si="0"/>
        <v/>
      </c>
      <c r="Q22" s="17">
        <f t="shared" si="1"/>
        <v>0</v>
      </c>
      <c r="R22" s="17">
        <f t="shared" si="2"/>
        <v>0</v>
      </c>
      <c r="S22" s="17">
        <f t="shared" si="3"/>
        <v>0</v>
      </c>
      <c r="T22" s="17" t="str">
        <f>IF(ISNUMBER(MATRIZ_174!O21),IFERROR((K22+M22+MATRIZ_174!O21)/3,0),"")</f>
        <v/>
      </c>
      <c r="U22" s="18" t="str">
        <f>IF(ISNUMBER(MATRIZ_174!M21),MIN(100,ROUND(MATRIZ_174!M21,1)),"")</f>
        <v/>
      </c>
      <c r="V22" s="18">
        <f t="shared" si="4"/>
        <v>50</v>
      </c>
      <c r="W22" s="18">
        <f>IFERROR(IF(MATRIZ_174!R21=0,65,IF(MATRIZ_174!R21/MATRIZ_174!Q21&gt;=2,35,IF(MATRIZ_174!R21/MATRIZ_174!Q21&gt;=0.5,50,65))),65)</f>
        <v>65</v>
      </c>
      <c r="X22" s="18" t="str">
        <f>IF(ISNUMBER(MATRIZ_174!O21),MIN(100,IF(MATRIZ_174!O21=0,70,30)+IF(MATRIZ_174!U21="",0,0.3*(100-MATRIZ_174!U21*100))),"")</f>
        <v/>
      </c>
      <c r="Y22" s="18">
        <f>IF(OR(MATRIZ_174!P21="ASOCIACION",MATRIZ_174!P21="PENDIENTE"),65,40)</f>
        <v>65</v>
      </c>
      <c r="Z22" s="19" t="str">
        <f t="shared" si="5"/>
        <v>—</v>
      </c>
      <c r="AA22" s="20">
        <f t="shared" si="6"/>
        <v>60</v>
      </c>
      <c r="AB22" s="21" t="str">
        <f t="shared" si="7"/>
        <v>—</v>
      </c>
      <c r="AC22" s="13" t="str">
        <f t="shared" si="8"/>
        <v>⬜  Pendiente de instrumento</v>
      </c>
      <c r="AD22" s="13" t="str">
        <f>IF(MATRIZ_174!U21="","",IF(MATRIZ_174!U21=0,"🚫  Inh. vigente OSCE",""))</f>
        <v/>
      </c>
      <c r="AE22" s="22">
        <f>IFERROR(MATRIZ_174!W21,0)</f>
        <v>0</v>
      </c>
      <c r="AF22" s="22">
        <f>IFERROR(MATRIZ_174!X21,0)</f>
        <v>0</v>
      </c>
      <c r="AG22" s="22">
        <f>IFERROR(MATRIZ_174!Y21,0)</f>
        <v>0</v>
      </c>
      <c r="AH22" s="22">
        <f>IFERROR(MATRIZ_174!Z21,0)</f>
        <v>0</v>
      </c>
      <c r="AI22" s="17">
        <f>IFERROR(MATRIZ_174!AP21,"N/A")</f>
        <v>0</v>
      </c>
      <c r="AJ22" s="17" t="str">
        <f>IFERROR(MATRIZ_174!AO21,"N/A")</f>
        <v>N/A</v>
      </c>
      <c r="AK22" s="23" t="str">
        <f t="shared" si="9"/>
        <v>N/A</v>
      </c>
      <c r="AL22" s="24" t="str">
        <f t="shared" si="10"/>
        <v>—</v>
      </c>
    </row>
    <row r="23" spans="1:38" ht="16.05" customHeight="1" x14ac:dyDescent="0.3">
      <c r="A23" s="13" t="s">
        <v>117</v>
      </c>
      <c r="B23" s="14" t="s">
        <v>118</v>
      </c>
      <c r="C23" s="13" t="s">
        <v>119</v>
      </c>
      <c r="D23" s="15">
        <v>0</v>
      </c>
      <c r="E23" s="16" t="str">
        <f>IF(NORMALIZADO!CB22="","",NORMALIZADO!CB22)</f>
        <v/>
      </c>
      <c r="F23" s="17" t="str">
        <f>IF(NORMALIZADO!CC22="","",NORMALIZADO!CC22)</f>
        <v/>
      </c>
      <c r="G23" s="17">
        <f>IF(NORMALIZADO!CD22="",IFERROR(MATRIZ_174!U22*100,""),NORMALIZADO!CD22)</f>
        <v>100</v>
      </c>
      <c r="H23" s="16" t="str">
        <f>IF(NORMALIZADO!CE22="","",NORMALIZADO!CE22)</f>
        <v/>
      </c>
      <c r="I23" s="17" t="str">
        <f>IF(NORMALIZADO!CF22="","",NORMALIZADO!CF22)</f>
        <v/>
      </c>
      <c r="J23" s="17" t="str">
        <f>IF(NORMALIZADO!CG22="","",NORMALIZADO!CG22)</f>
        <v/>
      </c>
      <c r="K23" s="16" t="str">
        <f>IF(NORMALIZADO!CH22="","",NORMALIZADO!CH22)</f>
        <v/>
      </c>
      <c r="L23" s="16" t="str">
        <f>IF(NORMALIZADO!CI22="","",NORMALIZADO!CI22)</f>
        <v/>
      </c>
      <c r="M23" s="16" t="str">
        <f>IF(NORMALIZADO!CJ22="","",NORMALIZADO!CJ22)</f>
        <v/>
      </c>
      <c r="N23" s="16" t="str">
        <f>IF(NORMALIZADO!CK22="","",NORMALIZADO!CK22)</f>
        <v/>
      </c>
      <c r="O23" s="16" t="str">
        <f>IF(NORMALIZADO!CL22="","",NORMALIZADO!CL22)</f>
        <v/>
      </c>
      <c r="P23" s="17" t="str">
        <f t="shared" si="0"/>
        <v/>
      </c>
      <c r="Q23" s="17">
        <f t="shared" si="1"/>
        <v>0</v>
      </c>
      <c r="R23" s="17">
        <f t="shared" si="2"/>
        <v>0</v>
      </c>
      <c r="S23" s="17">
        <f t="shared" si="3"/>
        <v>0</v>
      </c>
      <c r="T23" s="17" t="str">
        <f>IF(ISNUMBER(MATRIZ_174!O22),IFERROR((K23+M23+MATRIZ_174!O22)/3,0),"")</f>
        <v/>
      </c>
      <c r="U23" s="18" t="str">
        <f>IF(ISNUMBER(MATRIZ_174!M22),MIN(100,ROUND(MATRIZ_174!M22,1)),"")</f>
        <v/>
      </c>
      <c r="V23" s="18">
        <f t="shared" si="4"/>
        <v>50</v>
      </c>
      <c r="W23" s="18">
        <f>IFERROR(IF(MATRIZ_174!R22=0,65,IF(MATRIZ_174!R22/MATRIZ_174!Q22&gt;=2,35,IF(MATRIZ_174!R22/MATRIZ_174!Q22&gt;=0.5,50,65))),65)</f>
        <v>65</v>
      </c>
      <c r="X23" s="18" t="str">
        <f>IF(ISNUMBER(MATRIZ_174!O22),MIN(100,IF(MATRIZ_174!O22=0,70,30)+IF(MATRIZ_174!U22="",0,0.3*(100-MATRIZ_174!U22*100))),"")</f>
        <v/>
      </c>
      <c r="Y23" s="18">
        <f>IF(OR(MATRIZ_174!P22="ASOCIACION",MATRIZ_174!P22="PENDIENTE"),65,40)</f>
        <v>65</v>
      </c>
      <c r="Z23" s="19" t="str">
        <f t="shared" si="5"/>
        <v>—</v>
      </c>
      <c r="AA23" s="20">
        <f t="shared" si="6"/>
        <v>60</v>
      </c>
      <c r="AB23" s="21" t="str">
        <f t="shared" si="7"/>
        <v>—</v>
      </c>
      <c r="AC23" s="13" t="str">
        <f t="shared" si="8"/>
        <v>⬜  Pendiente de instrumento</v>
      </c>
      <c r="AD23" s="13" t="str">
        <f>IF(MATRIZ_174!U22="","",IF(MATRIZ_174!U22=0,"🚫  Inh. vigente OSCE",""))</f>
        <v/>
      </c>
      <c r="AE23" s="22">
        <f>IFERROR(MATRIZ_174!W22,0)</f>
        <v>0</v>
      </c>
      <c r="AF23" s="22">
        <f>IFERROR(MATRIZ_174!X22,0)</f>
        <v>0</v>
      </c>
      <c r="AG23" s="22">
        <f>IFERROR(MATRIZ_174!Y22,0)</f>
        <v>0</v>
      </c>
      <c r="AH23" s="22">
        <f>IFERROR(MATRIZ_174!Z22,0)</f>
        <v>0</v>
      </c>
      <c r="AI23" s="17">
        <f>IFERROR(MATRIZ_174!AP22,"N/A")</f>
        <v>0</v>
      </c>
      <c r="AJ23" s="17" t="str">
        <f>IFERROR(MATRIZ_174!AO22,"N/A")</f>
        <v>N/A</v>
      </c>
      <c r="AK23" s="23" t="str">
        <f t="shared" si="9"/>
        <v>N/A</v>
      </c>
      <c r="AL23" s="24" t="str">
        <f t="shared" si="10"/>
        <v>—</v>
      </c>
    </row>
    <row r="24" spans="1:38" ht="16.05" customHeight="1" x14ac:dyDescent="0.3">
      <c r="A24" s="13" t="s">
        <v>120</v>
      </c>
      <c r="B24" s="14" t="s">
        <v>121</v>
      </c>
      <c r="C24" s="13" t="s">
        <v>109</v>
      </c>
      <c r="D24" s="15">
        <v>0</v>
      </c>
      <c r="E24" s="16" t="str">
        <f>IF(NORMALIZADO!CB23="","",NORMALIZADO!CB23)</f>
        <v/>
      </c>
      <c r="F24" s="17" t="str">
        <f>IF(NORMALIZADO!CC23="","",NORMALIZADO!CC23)</f>
        <v/>
      </c>
      <c r="G24" s="17">
        <f>IF(NORMALIZADO!CD23="",IFERROR(MATRIZ_174!U23*100,""),NORMALIZADO!CD23)</f>
        <v>100</v>
      </c>
      <c r="H24" s="16" t="str">
        <f>IF(NORMALIZADO!CE23="","",NORMALIZADO!CE23)</f>
        <v/>
      </c>
      <c r="I24" s="17" t="str">
        <f>IF(NORMALIZADO!CF23="","",NORMALIZADO!CF23)</f>
        <v/>
      </c>
      <c r="J24" s="17" t="str">
        <f>IF(NORMALIZADO!CG23="","",NORMALIZADO!CG23)</f>
        <v/>
      </c>
      <c r="K24" s="16" t="str">
        <f>IF(NORMALIZADO!CH23="","",NORMALIZADO!CH23)</f>
        <v/>
      </c>
      <c r="L24" s="16" t="str">
        <f>IF(NORMALIZADO!CI23="","",NORMALIZADO!CI23)</f>
        <v/>
      </c>
      <c r="M24" s="16" t="str">
        <f>IF(NORMALIZADO!CJ23="","",NORMALIZADO!CJ23)</f>
        <v/>
      </c>
      <c r="N24" s="16" t="str">
        <f>IF(NORMALIZADO!CK23="","",NORMALIZADO!CK23)</f>
        <v/>
      </c>
      <c r="O24" s="16" t="str">
        <f>IF(NORMALIZADO!CL23="","",NORMALIZADO!CL23)</f>
        <v/>
      </c>
      <c r="P24" s="17" t="str">
        <f t="shared" si="0"/>
        <v/>
      </c>
      <c r="Q24" s="17">
        <f t="shared" si="1"/>
        <v>0</v>
      </c>
      <c r="R24" s="17">
        <f t="shared" si="2"/>
        <v>0</v>
      </c>
      <c r="S24" s="17">
        <f t="shared" si="3"/>
        <v>0</v>
      </c>
      <c r="T24" s="17" t="str">
        <f>IF(ISNUMBER(MATRIZ_174!O23),IFERROR((K24+M24+MATRIZ_174!O23)/3,0),"")</f>
        <v/>
      </c>
      <c r="U24" s="18" t="str">
        <f>IF(ISNUMBER(MATRIZ_174!M23),MIN(100,ROUND(MATRIZ_174!M23,1)),"")</f>
        <v/>
      </c>
      <c r="V24" s="18">
        <f t="shared" si="4"/>
        <v>50</v>
      </c>
      <c r="W24" s="18">
        <f>IFERROR(IF(MATRIZ_174!R23=0,65,IF(MATRIZ_174!R23/MATRIZ_174!Q23&gt;=2,35,IF(MATRIZ_174!R23/MATRIZ_174!Q23&gt;=0.5,50,65))),65)</f>
        <v>65</v>
      </c>
      <c r="X24" s="18" t="str">
        <f>IF(ISNUMBER(MATRIZ_174!O23),MIN(100,IF(MATRIZ_174!O23=0,70,30)+IF(MATRIZ_174!U23="",0,0.3*(100-MATRIZ_174!U23*100))),"")</f>
        <v/>
      </c>
      <c r="Y24" s="18">
        <f>IF(OR(MATRIZ_174!P23="ASOCIACION",MATRIZ_174!P23="PENDIENTE"),65,40)</f>
        <v>65</v>
      </c>
      <c r="Z24" s="19" t="str">
        <f t="shared" si="5"/>
        <v>—</v>
      </c>
      <c r="AA24" s="20">
        <f t="shared" si="6"/>
        <v>60</v>
      </c>
      <c r="AB24" s="21" t="str">
        <f t="shared" si="7"/>
        <v>—</v>
      </c>
      <c r="AC24" s="13" t="str">
        <f t="shared" si="8"/>
        <v>⬜  Pendiente de instrumento</v>
      </c>
      <c r="AD24" s="13" t="str">
        <f>IF(MATRIZ_174!U23="","",IF(MATRIZ_174!U23=0,"🚫  Inh. vigente OSCE",""))</f>
        <v/>
      </c>
      <c r="AE24" s="22">
        <f>IFERROR(MATRIZ_174!W23,0)</f>
        <v>0</v>
      </c>
      <c r="AF24" s="22">
        <f>IFERROR(MATRIZ_174!X23,0)</f>
        <v>0</v>
      </c>
      <c r="AG24" s="22">
        <f>IFERROR(MATRIZ_174!Y23,0)</f>
        <v>0</v>
      </c>
      <c r="AH24" s="22">
        <f>IFERROR(MATRIZ_174!Z23,0)</f>
        <v>0</v>
      </c>
      <c r="AI24" s="17">
        <f>IFERROR(MATRIZ_174!AP23,"N/A")</f>
        <v>0</v>
      </c>
      <c r="AJ24" s="17" t="str">
        <f>IFERROR(MATRIZ_174!AO23,"N/A")</f>
        <v>N/A</v>
      </c>
      <c r="AK24" s="23" t="str">
        <f t="shared" si="9"/>
        <v>N/A</v>
      </c>
      <c r="AL24" s="24" t="str">
        <f t="shared" si="10"/>
        <v>—</v>
      </c>
    </row>
    <row r="25" spans="1:38" ht="16.05" customHeight="1" x14ac:dyDescent="0.3">
      <c r="A25" s="13" t="s">
        <v>122</v>
      </c>
      <c r="B25" s="14" t="s">
        <v>123</v>
      </c>
      <c r="C25" s="13" t="s">
        <v>109</v>
      </c>
      <c r="D25" s="15">
        <v>0</v>
      </c>
      <c r="E25" s="16" t="str">
        <f>IF(NORMALIZADO!CB24="","",NORMALIZADO!CB24)</f>
        <v/>
      </c>
      <c r="F25" s="17" t="str">
        <f>IF(NORMALIZADO!CC24="","",NORMALIZADO!CC24)</f>
        <v/>
      </c>
      <c r="G25" s="17">
        <f>IF(NORMALIZADO!CD24="",IFERROR(MATRIZ_174!U24*100,""),NORMALIZADO!CD24)</f>
        <v>100</v>
      </c>
      <c r="H25" s="16" t="str">
        <f>IF(NORMALIZADO!CE24="","",NORMALIZADO!CE24)</f>
        <v/>
      </c>
      <c r="I25" s="17" t="str">
        <f>IF(NORMALIZADO!CF24="","",NORMALIZADO!CF24)</f>
        <v/>
      </c>
      <c r="J25" s="17" t="str">
        <f>IF(NORMALIZADO!CG24="","",NORMALIZADO!CG24)</f>
        <v/>
      </c>
      <c r="K25" s="16" t="str">
        <f>IF(NORMALIZADO!CH24="","",NORMALIZADO!CH24)</f>
        <v/>
      </c>
      <c r="L25" s="16" t="str">
        <f>IF(NORMALIZADO!CI24="","",NORMALIZADO!CI24)</f>
        <v/>
      </c>
      <c r="M25" s="16" t="str">
        <f>IF(NORMALIZADO!CJ24="","",NORMALIZADO!CJ24)</f>
        <v/>
      </c>
      <c r="N25" s="16" t="str">
        <f>IF(NORMALIZADO!CK24="","",NORMALIZADO!CK24)</f>
        <v/>
      </c>
      <c r="O25" s="16" t="str">
        <f>IF(NORMALIZADO!CL24="","",NORMALIZADO!CL24)</f>
        <v/>
      </c>
      <c r="P25" s="17" t="str">
        <f t="shared" si="0"/>
        <v/>
      </c>
      <c r="Q25" s="17">
        <f t="shared" si="1"/>
        <v>0</v>
      </c>
      <c r="R25" s="17">
        <f t="shared" si="2"/>
        <v>0</v>
      </c>
      <c r="S25" s="17">
        <f t="shared" si="3"/>
        <v>0</v>
      </c>
      <c r="T25" s="17" t="str">
        <f>IF(ISNUMBER(MATRIZ_174!O24),IFERROR((K25+M25+MATRIZ_174!O24)/3,0),"")</f>
        <v/>
      </c>
      <c r="U25" s="18" t="str">
        <f>IF(ISNUMBER(MATRIZ_174!M24),MIN(100,ROUND(MATRIZ_174!M24,1)),"")</f>
        <v/>
      </c>
      <c r="V25" s="18">
        <f t="shared" si="4"/>
        <v>50</v>
      </c>
      <c r="W25" s="18">
        <f>IFERROR(IF(MATRIZ_174!R24=0,65,IF(MATRIZ_174!R24/MATRIZ_174!Q24&gt;=2,35,IF(MATRIZ_174!R24/MATRIZ_174!Q24&gt;=0.5,50,65))),65)</f>
        <v>65</v>
      </c>
      <c r="X25" s="18" t="str">
        <f>IF(ISNUMBER(MATRIZ_174!O24),MIN(100,IF(MATRIZ_174!O24=0,70,30)+IF(MATRIZ_174!U24="",0,0.3*(100-MATRIZ_174!U24*100))),"")</f>
        <v/>
      </c>
      <c r="Y25" s="18">
        <f>IF(OR(MATRIZ_174!P24="ASOCIACION",MATRIZ_174!P24="PENDIENTE"),65,40)</f>
        <v>65</v>
      </c>
      <c r="Z25" s="19" t="str">
        <f t="shared" si="5"/>
        <v>—</v>
      </c>
      <c r="AA25" s="20">
        <f t="shared" si="6"/>
        <v>60</v>
      </c>
      <c r="AB25" s="21" t="str">
        <f t="shared" si="7"/>
        <v>—</v>
      </c>
      <c r="AC25" s="13" t="str">
        <f t="shared" si="8"/>
        <v>⬜  Pendiente de instrumento</v>
      </c>
      <c r="AD25" s="13" t="str">
        <f>IF(MATRIZ_174!U24="","",IF(MATRIZ_174!U24=0,"🚫  Inh. vigente OSCE",""))</f>
        <v/>
      </c>
      <c r="AE25" s="22">
        <f>IFERROR(MATRIZ_174!W24,0)</f>
        <v>0</v>
      </c>
      <c r="AF25" s="22">
        <f>IFERROR(MATRIZ_174!X24,0)</f>
        <v>0</v>
      </c>
      <c r="AG25" s="22">
        <f>IFERROR(MATRIZ_174!Y24,0)</f>
        <v>0</v>
      </c>
      <c r="AH25" s="22">
        <f>IFERROR(MATRIZ_174!Z24,0)</f>
        <v>0</v>
      </c>
      <c r="AI25" s="17">
        <f>IFERROR(MATRIZ_174!AP24,"N/A")</f>
        <v>0</v>
      </c>
      <c r="AJ25" s="17" t="str">
        <f>IFERROR(MATRIZ_174!AO24,"N/A")</f>
        <v>N/A</v>
      </c>
      <c r="AK25" s="23" t="str">
        <f t="shared" si="9"/>
        <v>N/A</v>
      </c>
      <c r="AL25" s="24" t="str">
        <f t="shared" si="10"/>
        <v>—</v>
      </c>
    </row>
    <row r="26" spans="1:38" ht="16.05" customHeight="1" x14ac:dyDescent="0.3">
      <c r="A26" s="13" t="s">
        <v>125</v>
      </c>
      <c r="B26" s="14" t="s">
        <v>126</v>
      </c>
      <c r="C26" s="13" t="s">
        <v>109</v>
      </c>
      <c r="D26" s="15">
        <v>0</v>
      </c>
      <c r="E26" s="16" t="str">
        <f>IF(NORMALIZADO!CB25="","",NORMALIZADO!CB25)</f>
        <v/>
      </c>
      <c r="F26" s="17" t="str">
        <f>IF(NORMALIZADO!CC25="","",NORMALIZADO!CC25)</f>
        <v/>
      </c>
      <c r="G26" s="17">
        <f>IF(NORMALIZADO!CD25="",IFERROR(MATRIZ_174!U25*100,""),NORMALIZADO!CD25)</f>
        <v>100</v>
      </c>
      <c r="H26" s="16" t="str">
        <f>IF(NORMALIZADO!CE25="","",NORMALIZADO!CE25)</f>
        <v/>
      </c>
      <c r="I26" s="17" t="str">
        <f>IF(NORMALIZADO!CF25="","",NORMALIZADO!CF25)</f>
        <v/>
      </c>
      <c r="J26" s="17" t="str">
        <f>IF(NORMALIZADO!CG25="","",NORMALIZADO!CG25)</f>
        <v/>
      </c>
      <c r="K26" s="16" t="str">
        <f>IF(NORMALIZADO!CH25="","",NORMALIZADO!CH25)</f>
        <v/>
      </c>
      <c r="L26" s="16" t="str">
        <f>IF(NORMALIZADO!CI25="","",NORMALIZADO!CI25)</f>
        <v/>
      </c>
      <c r="M26" s="16" t="str">
        <f>IF(NORMALIZADO!CJ25="","",NORMALIZADO!CJ25)</f>
        <v/>
      </c>
      <c r="N26" s="16" t="str">
        <f>IF(NORMALIZADO!CK25="","",NORMALIZADO!CK25)</f>
        <v/>
      </c>
      <c r="O26" s="16" t="str">
        <f>IF(NORMALIZADO!CL25="","",NORMALIZADO!CL25)</f>
        <v/>
      </c>
      <c r="P26" s="17" t="str">
        <f t="shared" si="0"/>
        <v/>
      </c>
      <c r="Q26" s="17">
        <f t="shared" si="1"/>
        <v>0</v>
      </c>
      <c r="R26" s="17">
        <f t="shared" si="2"/>
        <v>0</v>
      </c>
      <c r="S26" s="17">
        <f t="shared" si="3"/>
        <v>0</v>
      </c>
      <c r="T26" s="17" t="str">
        <f>IF(ISNUMBER(MATRIZ_174!O25),IFERROR((K26+M26+MATRIZ_174!O25)/3,0),"")</f>
        <v/>
      </c>
      <c r="U26" s="18" t="str">
        <f>IF(ISNUMBER(MATRIZ_174!M25),MIN(100,ROUND(MATRIZ_174!M25,1)),"")</f>
        <v/>
      </c>
      <c r="V26" s="18">
        <f t="shared" si="4"/>
        <v>50</v>
      </c>
      <c r="W26" s="18">
        <f>IFERROR(IF(MATRIZ_174!R25=0,65,IF(MATRIZ_174!R25/MATRIZ_174!Q25&gt;=2,35,IF(MATRIZ_174!R25/MATRIZ_174!Q25&gt;=0.5,50,65))),65)</f>
        <v>65</v>
      </c>
      <c r="X26" s="18" t="str">
        <f>IF(ISNUMBER(MATRIZ_174!O25),MIN(100,IF(MATRIZ_174!O25=0,70,30)+IF(MATRIZ_174!U25="",0,0.3*(100-MATRIZ_174!U25*100))),"")</f>
        <v/>
      </c>
      <c r="Y26" s="18">
        <f>IF(OR(MATRIZ_174!P25="ASOCIACION",MATRIZ_174!P25="PENDIENTE"),65,40)</f>
        <v>65</v>
      </c>
      <c r="Z26" s="19" t="str">
        <f t="shared" si="5"/>
        <v>—</v>
      </c>
      <c r="AA26" s="20">
        <f t="shared" si="6"/>
        <v>60</v>
      </c>
      <c r="AB26" s="21" t="str">
        <f t="shared" si="7"/>
        <v>—</v>
      </c>
      <c r="AC26" s="13" t="str">
        <f t="shared" si="8"/>
        <v>⬜  Pendiente de instrumento</v>
      </c>
      <c r="AD26" s="13" t="str">
        <f>IF(MATRIZ_174!U25="","",IF(MATRIZ_174!U25=0,"🚫  Inh. vigente OSCE",""))</f>
        <v/>
      </c>
      <c r="AE26" s="22">
        <f>IFERROR(MATRIZ_174!W25,0)</f>
        <v>0</v>
      </c>
      <c r="AF26" s="22">
        <f>IFERROR(MATRIZ_174!X25,0)</f>
        <v>0</v>
      </c>
      <c r="AG26" s="22">
        <f>IFERROR(MATRIZ_174!Y25,0)</f>
        <v>0</v>
      </c>
      <c r="AH26" s="22">
        <f>IFERROR(MATRIZ_174!Z25,0)</f>
        <v>0</v>
      </c>
      <c r="AI26" s="17">
        <f>IFERROR(MATRIZ_174!AP25,"N/A")</f>
        <v>0</v>
      </c>
      <c r="AJ26" s="17" t="str">
        <f>IFERROR(MATRIZ_174!AO25,"N/A")</f>
        <v>N/A</v>
      </c>
      <c r="AK26" s="23" t="str">
        <f t="shared" si="9"/>
        <v>N/A</v>
      </c>
      <c r="AL26" s="24" t="str">
        <f t="shared" si="10"/>
        <v>—</v>
      </c>
    </row>
    <row r="27" spans="1:38" ht="16.05" customHeight="1" x14ac:dyDescent="0.3">
      <c r="A27" s="13" t="s">
        <v>127</v>
      </c>
      <c r="B27" s="14" t="s">
        <v>128</v>
      </c>
      <c r="C27" s="13" t="s">
        <v>109</v>
      </c>
      <c r="D27" s="15">
        <v>0</v>
      </c>
      <c r="E27" s="16" t="str">
        <f>IF(NORMALIZADO!CB26="","",NORMALIZADO!CB26)</f>
        <v/>
      </c>
      <c r="F27" s="17" t="str">
        <f>IF(NORMALIZADO!CC26="","",NORMALIZADO!CC26)</f>
        <v/>
      </c>
      <c r="G27" s="17">
        <f>IF(NORMALIZADO!CD26="",IFERROR(MATRIZ_174!U26*100,""),NORMALIZADO!CD26)</f>
        <v>100</v>
      </c>
      <c r="H27" s="16" t="str">
        <f>IF(NORMALIZADO!CE26="","",NORMALIZADO!CE26)</f>
        <v/>
      </c>
      <c r="I27" s="17" t="str">
        <f>IF(NORMALIZADO!CF26="","",NORMALIZADO!CF26)</f>
        <v/>
      </c>
      <c r="J27" s="17" t="str">
        <f>IF(NORMALIZADO!CG26="","",NORMALIZADO!CG26)</f>
        <v/>
      </c>
      <c r="K27" s="16" t="str">
        <f>IF(NORMALIZADO!CH26="","",NORMALIZADO!CH26)</f>
        <v/>
      </c>
      <c r="L27" s="16" t="str">
        <f>IF(NORMALIZADO!CI26="","",NORMALIZADO!CI26)</f>
        <v/>
      </c>
      <c r="M27" s="16" t="str">
        <f>IF(NORMALIZADO!CJ26="","",NORMALIZADO!CJ26)</f>
        <v/>
      </c>
      <c r="N27" s="16" t="str">
        <f>IF(NORMALIZADO!CK26="","",NORMALIZADO!CK26)</f>
        <v/>
      </c>
      <c r="O27" s="16" t="str">
        <f>IF(NORMALIZADO!CL26="","",NORMALIZADO!CL26)</f>
        <v/>
      </c>
      <c r="P27" s="17" t="str">
        <f t="shared" si="0"/>
        <v/>
      </c>
      <c r="Q27" s="17">
        <f t="shared" si="1"/>
        <v>0</v>
      </c>
      <c r="R27" s="17">
        <f t="shared" si="2"/>
        <v>0</v>
      </c>
      <c r="S27" s="17">
        <f t="shared" si="3"/>
        <v>0</v>
      </c>
      <c r="T27" s="17" t="str">
        <f>IF(ISNUMBER(MATRIZ_174!O26),IFERROR((K27+M27+MATRIZ_174!O26)/3,0),"")</f>
        <v/>
      </c>
      <c r="U27" s="18" t="str">
        <f>IF(ISNUMBER(MATRIZ_174!M26),MIN(100,ROUND(MATRIZ_174!M26,1)),"")</f>
        <v/>
      </c>
      <c r="V27" s="18">
        <f t="shared" si="4"/>
        <v>50</v>
      </c>
      <c r="W27" s="18">
        <f>IFERROR(IF(MATRIZ_174!R26=0,65,IF(MATRIZ_174!R26/MATRIZ_174!Q26&gt;=2,35,IF(MATRIZ_174!R26/MATRIZ_174!Q26&gt;=0.5,50,65))),65)</f>
        <v>65</v>
      </c>
      <c r="X27" s="18" t="str">
        <f>IF(ISNUMBER(MATRIZ_174!O26),MIN(100,IF(MATRIZ_174!O26=0,70,30)+IF(MATRIZ_174!U26="",0,0.3*(100-MATRIZ_174!U26*100))),"")</f>
        <v/>
      </c>
      <c r="Y27" s="18">
        <f>IF(OR(MATRIZ_174!P26="ASOCIACION",MATRIZ_174!P26="PENDIENTE"),65,40)</f>
        <v>65</v>
      </c>
      <c r="Z27" s="19" t="str">
        <f t="shared" si="5"/>
        <v>—</v>
      </c>
      <c r="AA27" s="20">
        <f t="shared" si="6"/>
        <v>60</v>
      </c>
      <c r="AB27" s="21" t="str">
        <f t="shared" si="7"/>
        <v>—</v>
      </c>
      <c r="AC27" s="13" t="str">
        <f t="shared" si="8"/>
        <v>⬜  Pendiente de instrumento</v>
      </c>
      <c r="AD27" s="13" t="str">
        <f>IF(MATRIZ_174!U26="","",IF(MATRIZ_174!U26=0,"🚫  Inh. vigente OSCE",""))</f>
        <v/>
      </c>
      <c r="AE27" s="22">
        <f>IFERROR(MATRIZ_174!W26,0)</f>
        <v>0</v>
      </c>
      <c r="AF27" s="22">
        <f>IFERROR(MATRIZ_174!X26,0)</f>
        <v>0</v>
      </c>
      <c r="AG27" s="22">
        <f>IFERROR(MATRIZ_174!Y26,0)</f>
        <v>0</v>
      </c>
      <c r="AH27" s="22">
        <f>IFERROR(MATRIZ_174!Z26,0)</f>
        <v>0</v>
      </c>
      <c r="AI27" s="17">
        <f>IFERROR(MATRIZ_174!AP26,"N/A")</f>
        <v>0</v>
      </c>
      <c r="AJ27" s="17" t="str">
        <f>IFERROR(MATRIZ_174!AO26,"N/A")</f>
        <v>N/A</v>
      </c>
      <c r="AK27" s="23" t="str">
        <f t="shared" si="9"/>
        <v>N/A</v>
      </c>
      <c r="AL27" s="24" t="str">
        <f t="shared" si="10"/>
        <v>—</v>
      </c>
    </row>
    <row r="28" spans="1:38" ht="16.05" customHeight="1" x14ac:dyDescent="0.3">
      <c r="A28" s="13" t="s">
        <v>129</v>
      </c>
      <c r="B28" s="14" t="s">
        <v>130</v>
      </c>
      <c r="C28" s="13" t="s">
        <v>109</v>
      </c>
      <c r="D28" s="15">
        <v>0</v>
      </c>
      <c r="E28" s="16" t="str">
        <f>IF(NORMALIZADO!CB27="","",NORMALIZADO!CB27)</f>
        <v/>
      </c>
      <c r="F28" s="17" t="str">
        <f>IF(NORMALIZADO!CC27="","",NORMALIZADO!CC27)</f>
        <v/>
      </c>
      <c r="G28" s="17">
        <f>IF(NORMALIZADO!CD27="",IFERROR(MATRIZ_174!U27*100,""),NORMALIZADO!CD27)</f>
        <v>100</v>
      </c>
      <c r="H28" s="16" t="str">
        <f>IF(NORMALIZADO!CE27="","",NORMALIZADO!CE27)</f>
        <v/>
      </c>
      <c r="I28" s="17" t="str">
        <f>IF(NORMALIZADO!CF27="","",NORMALIZADO!CF27)</f>
        <v/>
      </c>
      <c r="J28" s="17" t="str">
        <f>IF(NORMALIZADO!CG27="","",NORMALIZADO!CG27)</f>
        <v/>
      </c>
      <c r="K28" s="16" t="str">
        <f>IF(NORMALIZADO!CH27="","",NORMALIZADO!CH27)</f>
        <v/>
      </c>
      <c r="L28" s="16" t="str">
        <f>IF(NORMALIZADO!CI27="","",NORMALIZADO!CI27)</f>
        <v/>
      </c>
      <c r="M28" s="16" t="str">
        <f>IF(NORMALIZADO!CJ27="","",NORMALIZADO!CJ27)</f>
        <v/>
      </c>
      <c r="N28" s="16" t="str">
        <f>IF(NORMALIZADO!CK27="","",NORMALIZADO!CK27)</f>
        <v/>
      </c>
      <c r="O28" s="16" t="str">
        <f>IF(NORMALIZADO!CL27="","",NORMALIZADO!CL27)</f>
        <v/>
      </c>
      <c r="P28" s="17" t="str">
        <f t="shared" si="0"/>
        <v/>
      </c>
      <c r="Q28" s="17">
        <f t="shared" si="1"/>
        <v>0</v>
      </c>
      <c r="R28" s="17">
        <f t="shared" si="2"/>
        <v>0</v>
      </c>
      <c r="S28" s="17">
        <f t="shared" si="3"/>
        <v>0</v>
      </c>
      <c r="T28" s="17" t="str">
        <f>IF(ISNUMBER(MATRIZ_174!O27),IFERROR((K28+M28+MATRIZ_174!O27)/3,0),"")</f>
        <v/>
      </c>
      <c r="U28" s="18" t="str">
        <f>IF(ISNUMBER(MATRIZ_174!M27),MIN(100,ROUND(MATRIZ_174!M27,1)),"")</f>
        <v/>
      </c>
      <c r="V28" s="18">
        <f t="shared" si="4"/>
        <v>50</v>
      </c>
      <c r="W28" s="18">
        <f>IFERROR(IF(MATRIZ_174!R27=0,65,IF(MATRIZ_174!R27/MATRIZ_174!Q27&gt;=2,35,IF(MATRIZ_174!R27/MATRIZ_174!Q27&gt;=0.5,50,65))),65)</f>
        <v>65</v>
      </c>
      <c r="X28" s="18" t="str">
        <f>IF(ISNUMBER(MATRIZ_174!O27),MIN(100,IF(MATRIZ_174!O27=0,70,30)+IF(MATRIZ_174!U27="",0,0.3*(100-MATRIZ_174!U27*100))),"")</f>
        <v/>
      </c>
      <c r="Y28" s="18">
        <f>IF(OR(MATRIZ_174!P27="ASOCIACION",MATRIZ_174!P27="PENDIENTE"),65,40)</f>
        <v>65</v>
      </c>
      <c r="Z28" s="19" t="str">
        <f t="shared" si="5"/>
        <v>—</v>
      </c>
      <c r="AA28" s="20">
        <f t="shared" si="6"/>
        <v>60</v>
      </c>
      <c r="AB28" s="21" t="str">
        <f t="shared" si="7"/>
        <v>—</v>
      </c>
      <c r="AC28" s="13" t="str">
        <f t="shared" si="8"/>
        <v>⬜  Pendiente de instrumento</v>
      </c>
      <c r="AD28" s="13" t="str">
        <f>IF(MATRIZ_174!U27="","",IF(MATRIZ_174!U27=0,"🚫  Inh. vigente OSCE",""))</f>
        <v/>
      </c>
      <c r="AE28" s="22">
        <f>IFERROR(MATRIZ_174!W27,0)</f>
        <v>0</v>
      </c>
      <c r="AF28" s="22">
        <f>IFERROR(MATRIZ_174!X27,0)</f>
        <v>0</v>
      </c>
      <c r="AG28" s="22">
        <f>IFERROR(MATRIZ_174!Y27,0)</f>
        <v>0</v>
      </c>
      <c r="AH28" s="22">
        <f>IFERROR(MATRIZ_174!Z27,0)</f>
        <v>0</v>
      </c>
      <c r="AI28" s="17">
        <f>IFERROR(MATRIZ_174!AP27,"N/A")</f>
        <v>0</v>
      </c>
      <c r="AJ28" s="17" t="str">
        <f>IFERROR(MATRIZ_174!AO27,"N/A")</f>
        <v>N/A</v>
      </c>
      <c r="AK28" s="23" t="str">
        <f t="shared" si="9"/>
        <v>N/A</v>
      </c>
      <c r="AL28" s="24" t="str">
        <f t="shared" si="10"/>
        <v>—</v>
      </c>
    </row>
    <row r="29" spans="1:38" ht="16.05" customHeight="1" x14ac:dyDescent="0.3">
      <c r="A29" s="13" t="s">
        <v>131</v>
      </c>
      <c r="B29" s="14" t="s">
        <v>132</v>
      </c>
      <c r="C29" s="13" t="s">
        <v>109</v>
      </c>
      <c r="D29" s="15">
        <v>0</v>
      </c>
      <c r="E29" s="16" t="str">
        <f>IF(NORMALIZADO!CB28="","",NORMALIZADO!CB28)</f>
        <v/>
      </c>
      <c r="F29" s="17" t="str">
        <f>IF(NORMALIZADO!CC28="","",NORMALIZADO!CC28)</f>
        <v/>
      </c>
      <c r="G29" s="17">
        <f>IF(NORMALIZADO!CD28="",IFERROR(MATRIZ_174!U28*100,""),NORMALIZADO!CD28)</f>
        <v>100</v>
      </c>
      <c r="H29" s="16" t="str">
        <f>IF(NORMALIZADO!CE28="","",NORMALIZADO!CE28)</f>
        <v/>
      </c>
      <c r="I29" s="17" t="str">
        <f>IF(NORMALIZADO!CF28="","",NORMALIZADO!CF28)</f>
        <v/>
      </c>
      <c r="J29" s="17" t="str">
        <f>IF(NORMALIZADO!CG28="","",NORMALIZADO!CG28)</f>
        <v/>
      </c>
      <c r="K29" s="16" t="str">
        <f>IF(NORMALIZADO!CH28="","",NORMALIZADO!CH28)</f>
        <v/>
      </c>
      <c r="L29" s="16" t="str">
        <f>IF(NORMALIZADO!CI28="","",NORMALIZADO!CI28)</f>
        <v/>
      </c>
      <c r="M29" s="16" t="str">
        <f>IF(NORMALIZADO!CJ28="","",NORMALIZADO!CJ28)</f>
        <v/>
      </c>
      <c r="N29" s="16" t="str">
        <f>IF(NORMALIZADO!CK28="","",NORMALIZADO!CK28)</f>
        <v/>
      </c>
      <c r="O29" s="16" t="str">
        <f>IF(NORMALIZADO!CL28="","",NORMALIZADO!CL28)</f>
        <v/>
      </c>
      <c r="P29" s="17" t="str">
        <f t="shared" si="0"/>
        <v/>
      </c>
      <c r="Q29" s="17">
        <f t="shared" si="1"/>
        <v>0</v>
      </c>
      <c r="R29" s="17">
        <f t="shared" si="2"/>
        <v>0</v>
      </c>
      <c r="S29" s="17">
        <f t="shared" si="3"/>
        <v>0</v>
      </c>
      <c r="T29" s="17" t="str">
        <f>IF(ISNUMBER(MATRIZ_174!O28),IFERROR((K29+M29+MATRIZ_174!O28)/3,0),"")</f>
        <v/>
      </c>
      <c r="U29" s="18" t="str">
        <f>IF(ISNUMBER(MATRIZ_174!M28),MIN(100,ROUND(MATRIZ_174!M28,1)),"")</f>
        <v/>
      </c>
      <c r="V29" s="18">
        <f t="shared" si="4"/>
        <v>50</v>
      </c>
      <c r="W29" s="18">
        <f>IFERROR(IF(MATRIZ_174!R28=0,65,IF(MATRIZ_174!R28/MATRIZ_174!Q28&gt;=2,35,IF(MATRIZ_174!R28/MATRIZ_174!Q28&gt;=0.5,50,65))),65)</f>
        <v>65</v>
      </c>
      <c r="X29" s="18" t="str">
        <f>IF(ISNUMBER(MATRIZ_174!O28),MIN(100,IF(MATRIZ_174!O28=0,70,30)+IF(MATRIZ_174!U28="",0,0.3*(100-MATRIZ_174!U28*100))),"")</f>
        <v/>
      </c>
      <c r="Y29" s="18">
        <f>IF(OR(MATRIZ_174!P28="ASOCIACION",MATRIZ_174!P28="PENDIENTE"),65,40)</f>
        <v>65</v>
      </c>
      <c r="Z29" s="19" t="str">
        <f t="shared" si="5"/>
        <v>—</v>
      </c>
      <c r="AA29" s="20">
        <f t="shared" si="6"/>
        <v>60</v>
      </c>
      <c r="AB29" s="21" t="str">
        <f t="shared" si="7"/>
        <v>—</v>
      </c>
      <c r="AC29" s="13" t="str">
        <f t="shared" si="8"/>
        <v>⬜  Pendiente de instrumento</v>
      </c>
      <c r="AD29" s="13" t="str">
        <f>IF(MATRIZ_174!U28="","",IF(MATRIZ_174!U28=0,"🚫  Inh. vigente OSCE",""))</f>
        <v/>
      </c>
      <c r="AE29" s="22">
        <f>IFERROR(MATRIZ_174!W28,0)</f>
        <v>0</v>
      </c>
      <c r="AF29" s="22">
        <f>IFERROR(MATRIZ_174!X28,0)</f>
        <v>0</v>
      </c>
      <c r="AG29" s="22">
        <f>IFERROR(MATRIZ_174!Y28,0)</f>
        <v>0</v>
      </c>
      <c r="AH29" s="22">
        <f>IFERROR(MATRIZ_174!Z28,0)</f>
        <v>0</v>
      </c>
      <c r="AI29" s="17">
        <f>IFERROR(MATRIZ_174!AP28,"N/A")</f>
        <v>0</v>
      </c>
      <c r="AJ29" s="17" t="str">
        <f>IFERROR(MATRIZ_174!AO28,"N/A")</f>
        <v>N/A</v>
      </c>
      <c r="AK29" s="23" t="str">
        <f t="shared" si="9"/>
        <v>N/A</v>
      </c>
      <c r="AL29" s="24" t="str">
        <f t="shared" si="10"/>
        <v>—</v>
      </c>
    </row>
    <row r="30" spans="1:38" ht="16.05" customHeight="1" x14ac:dyDescent="0.3">
      <c r="A30" s="13" t="s">
        <v>133</v>
      </c>
      <c r="B30" s="14" t="s">
        <v>134</v>
      </c>
      <c r="C30" s="13" t="s">
        <v>109</v>
      </c>
      <c r="D30" s="15">
        <v>0</v>
      </c>
      <c r="E30" s="16" t="str">
        <f>IF(NORMALIZADO!CB29="","",NORMALIZADO!CB29)</f>
        <v/>
      </c>
      <c r="F30" s="17" t="str">
        <f>IF(NORMALIZADO!CC29="","",NORMALIZADO!CC29)</f>
        <v/>
      </c>
      <c r="G30" s="17">
        <f>IF(NORMALIZADO!CD29="",IFERROR(MATRIZ_174!U29*100,""),NORMALIZADO!CD29)</f>
        <v>100</v>
      </c>
      <c r="H30" s="16" t="str">
        <f>IF(NORMALIZADO!CE29="","",NORMALIZADO!CE29)</f>
        <v/>
      </c>
      <c r="I30" s="17" t="str">
        <f>IF(NORMALIZADO!CF29="","",NORMALIZADO!CF29)</f>
        <v/>
      </c>
      <c r="J30" s="17" t="str">
        <f>IF(NORMALIZADO!CG29="","",NORMALIZADO!CG29)</f>
        <v/>
      </c>
      <c r="K30" s="16" t="str">
        <f>IF(NORMALIZADO!CH29="","",NORMALIZADO!CH29)</f>
        <v/>
      </c>
      <c r="L30" s="16" t="str">
        <f>IF(NORMALIZADO!CI29="","",NORMALIZADO!CI29)</f>
        <v/>
      </c>
      <c r="M30" s="16" t="str">
        <f>IF(NORMALIZADO!CJ29="","",NORMALIZADO!CJ29)</f>
        <v/>
      </c>
      <c r="N30" s="16" t="str">
        <f>IF(NORMALIZADO!CK29="","",NORMALIZADO!CK29)</f>
        <v/>
      </c>
      <c r="O30" s="16" t="str">
        <f>IF(NORMALIZADO!CL29="","",NORMALIZADO!CL29)</f>
        <v/>
      </c>
      <c r="P30" s="17" t="str">
        <f t="shared" si="0"/>
        <v/>
      </c>
      <c r="Q30" s="17">
        <f t="shared" si="1"/>
        <v>0</v>
      </c>
      <c r="R30" s="17">
        <f t="shared" si="2"/>
        <v>0</v>
      </c>
      <c r="S30" s="17">
        <f t="shared" si="3"/>
        <v>0</v>
      </c>
      <c r="T30" s="17" t="str">
        <f>IF(ISNUMBER(MATRIZ_174!O29),IFERROR((K30+M30+MATRIZ_174!O29)/3,0),"")</f>
        <v/>
      </c>
      <c r="U30" s="18" t="str">
        <f>IF(ISNUMBER(MATRIZ_174!M29),MIN(100,ROUND(MATRIZ_174!M29,1)),"")</f>
        <v/>
      </c>
      <c r="V30" s="18">
        <f t="shared" si="4"/>
        <v>50</v>
      </c>
      <c r="W30" s="18">
        <f>IFERROR(IF(MATRIZ_174!R29=0,65,IF(MATRIZ_174!R29/MATRIZ_174!Q29&gt;=2,35,IF(MATRIZ_174!R29/MATRIZ_174!Q29&gt;=0.5,50,65))),65)</f>
        <v>65</v>
      </c>
      <c r="X30" s="18" t="str">
        <f>IF(ISNUMBER(MATRIZ_174!O29),MIN(100,IF(MATRIZ_174!O29=0,70,30)+IF(MATRIZ_174!U29="",0,0.3*(100-MATRIZ_174!U29*100))),"")</f>
        <v/>
      </c>
      <c r="Y30" s="18">
        <f>IF(OR(MATRIZ_174!P29="ASOCIACION",MATRIZ_174!P29="PENDIENTE"),65,40)</f>
        <v>65</v>
      </c>
      <c r="Z30" s="19" t="str">
        <f t="shared" si="5"/>
        <v>—</v>
      </c>
      <c r="AA30" s="20">
        <f t="shared" si="6"/>
        <v>60</v>
      </c>
      <c r="AB30" s="21" t="str">
        <f t="shared" si="7"/>
        <v>—</v>
      </c>
      <c r="AC30" s="13" t="str">
        <f t="shared" si="8"/>
        <v>⬜  Pendiente de instrumento</v>
      </c>
      <c r="AD30" s="13" t="str">
        <f>IF(MATRIZ_174!U29="","",IF(MATRIZ_174!U29=0,"🚫  Inh. vigente OSCE",""))</f>
        <v/>
      </c>
      <c r="AE30" s="22">
        <f>IFERROR(MATRIZ_174!W29,0)</f>
        <v>0</v>
      </c>
      <c r="AF30" s="22">
        <f>IFERROR(MATRIZ_174!X29,0)</f>
        <v>0</v>
      </c>
      <c r="AG30" s="22">
        <f>IFERROR(MATRIZ_174!Y29,0)</f>
        <v>0</v>
      </c>
      <c r="AH30" s="22">
        <f>IFERROR(MATRIZ_174!Z29,0)</f>
        <v>0</v>
      </c>
      <c r="AI30" s="17">
        <f>IFERROR(MATRIZ_174!AP29,"N/A")</f>
        <v>0</v>
      </c>
      <c r="AJ30" s="17" t="str">
        <f>IFERROR(MATRIZ_174!AO29,"N/A")</f>
        <v>N/A</v>
      </c>
      <c r="AK30" s="23" t="str">
        <f t="shared" si="9"/>
        <v>N/A</v>
      </c>
      <c r="AL30" s="24" t="str">
        <f t="shared" si="10"/>
        <v>—</v>
      </c>
    </row>
    <row r="31" spans="1:38" ht="16.05" customHeight="1" x14ac:dyDescent="0.3">
      <c r="A31" s="13" t="s">
        <v>135</v>
      </c>
      <c r="B31" s="14" t="s">
        <v>136</v>
      </c>
      <c r="C31" s="13" t="s">
        <v>64</v>
      </c>
      <c r="D31" s="15">
        <v>0</v>
      </c>
      <c r="E31" s="16" t="str">
        <f>IF(NORMALIZADO!CB30="","",NORMALIZADO!CB30)</f>
        <v/>
      </c>
      <c r="F31" s="17" t="str">
        <f>IF(NORMALIZADO!CC30="","",NORMALIZADO!CC30)</f>
        <v/>
      </c>
      <c r="G31" s="17">
        <f>IF(NORMALIZADO!CD30="",IFERROR(MATRIZ_174!U30*100,""),NORMALIZADO!CD30)</f>
        <v>100</v>
      </c>
      <c r="H31" s="16" t="str">
        <f>IF(NORMALIZADO!CE30="","",NORMALIZADO!CE30)</f>
        <v/>
      </c>
      <c r="I31" s="17" t="str">
        <f>IF(NORMALIZADO!CF30="","",NORMALIZADO!CF30)</f>
        <v/>
      </c>
      <c r="J31" s="17" t="str">
        <f>IF(NORMALIZADO!CG30="","",NORMALIZADO!CG30)</f>
        <v/>
      </c>
      <c r="K31" s="16" t="str">
        <f>IF(NORMALIZADO!CH30="","",NORMALIZADO!CH30)</f>
        <v/>
      </c>
      <c r="L31" s="16" t="str">
        <f>IF(NORMALIZADO!CI30="","",NORMALIZADO!CI30)</f>
        <v/>
      </c>
      <c r="M31" s="16" t="str">
        <f>IF(NORMALIZADO!CJ30="","",NORMALIZADO!CJ30)</f>
        <v/>
      </c>
      <c r="N31" s="16" t="str">
        <f>IF(NORMALIZADO!CK30="","",NORMALIZADO!CK30)</f>
        <v/>
      </c>
      <c r="O31" s="16" t="str">
        <f>IF(NORMALIZADO!CL30="","",NORMALIZADO!CL30)</f>
        <v/>
      </c>
      <c r="P31" s="17" t="str">
        <f t="shared" si="0"/>
        <v/>
      </c>
      <c r="Q31" s="17">
        <f t="shared" si="1"/>
        <v>0</v>
      </c>
      <c r="R31" s="17">
        <f t="shared" si="2"/>
        <v>0</v>
      </c>
      <c r="S31" s="17">
        <f t="shared" si="3"/>
        <v>0</v>
      </c>
      <c r="T31" s="17" t="str">
        <f>IF(ISNUMBER(MATRIZ_174!O30),IFERROR((K31+M31+MATRIZ_174!O30)/3,0),"")</f>
        <v/>
      </c>
      <c r="U31" s="18" t="str">
        <f>IF(ISNUMBER(MATRIZ_174!M30),MIN(100,ROUND(MATRIZ_174!M30,1)),"")</f>
        <v/>
      </c>
      <c r="V31" s="18">
        <f t="shared" si="4"/>
        <v>50</v>
      </c>
      <c r="W31" s="18">
        <f>IFERROR(IF(MATRIZ_174!R30=0,65,IF(MATRIZ_174!R30/MATRIZ_174!Q30&gt;=2,35,IF(MATRIZ_174!R30/MATRIZ_174!Q30&gt;=0.5,50,65))),65)</f>
        <v>65</v>
      </c>
      <c r="X31" s="18" t="str">
        <f>IF(ISNUMBER(MATRIZ_174!O30),MIN(100,IF(MATRIZ_174!O30=0,70,30)+IF(MATRIZ_174!U30="",0,0.3*(100-MATRIZ_174!U30*100))),"")</f>
        <v/>
      </c>
      <c r="Y31" s="18">
        <f>IF(OR(MATRIZ_174!P30="ASOCIACION",MATRIZ_174!P30="PENDIENTE"),65,40)</f>
        <v>65</v>
      </c>
      <c r="Z31" s="19" t="str">
        <f t="shared" si="5"/>
        <v>—</v>
      </c>
      <c r="AA31" s="20">
        <f t="shared" si="6"/>
        <v>60</v>
      </c>
      <c r="AB31" s="21" t="str">
        <f t="shared" si="7"/>
        <v>—</v>
      </c>
      <c r="AC31" s="13" t="str">
        <f t="shared" si="8"/>
        <v>⬜  Pendiente de instrumento</v>
      </c>
      <c r="AD31" s="13" t="str">
        <f>IF(MATRIZ_174!U30="","",IF(MATRIZ_174!U30=0,"🚫  Inh. vigente OSCE",""))</f>
        <v/>
      </c>
      <c r="AE31" s="22">
        <f>IFERROR(MATRIZ_174!W30,0)</f>
        <v>0</v>
      </c>
      <c r="AF31" s="22">
        <f>IFERROR(MATRIZ_174!X30,0)</f>
        <v>0</v>
      </c>
      <c r="AG31" s="22">
        <f>IFERROR(MATRIZ_174!Y30,0)</f>
        <v>0</v>
      </c>
      <c r="AH31" s="22">
        <f>IFERROR(MATRIZ_174!Z30,0)</f>
        <v>0</v>
      </c>
      <c r="AI31" s="17">
        <f>IFERROR(MATRIZ_174!AP30,"N/A")</f>
        <v>0</v>
      </c>
      <c r="AJ31" s="17" t="str">
        <f>IFERROR(MATRIZ_174!AO30,"N/A")</f>
        <v>N/A</v>
      </c>
      <c r="AK31" s="23" t="str">
        <f t="shared" si="9"/>
        <v>N/A</v>
      </c>
      <c r="AL31" s="24" t="str">
        <f t="shared" si="10"/>
        <v>—</v>
      </c>
    </row>
    <row r="32" spans="1:38" ht="16.05" customHeight="1" x14ac:dyDescent="0.3">
      <c r="A32" s="13" t="s">
        <v>137</v>
      </c>
      <c r="B32" s="14" t="s">
        <v>138</v>
      </c>
      <c r="C32" s="13" t="s">
        <v>139</v>
      </c>
      <c r="D32" s="15">
        <v>0</v>
      </c>
      <c r="E32" s="16" t="str">
        <f>IF(NORMALIZADO!CB31="","",NORMALIZADO!CB31)</f>
        <v/>
      </c>
      <c r="F32" s="17" t="str">
        <f>IF(NORMALIZADO!CC31="","",NORMALIZADO!CC31)</f>
        <v/>
      </c>
      <c r="G32" s="17">
        <f>IF(NORMALIZADO!CD31="",IFERROR(MATRIZ_174!U31*100,""),NORMALIZADO!CD31)</f>
        <v>100</v>
      </c>
      <c r="H32" s="16" t="str">
        <f>IF(NORMALIZADO!CE31="","",NORMALIZADO!CE31)</f>
        <v/>
      </c>
      <c r="I32" s="17" t="str">
        <f>IF(NORMALIZADO!CF31="","",NORMALIZADO!CF31)</f>
        <v/>
      </c>
      <c r="J32" s="17" t="str">
        <f>IF(NORMALIZADO!CG31="","",NORMALIZADO!CG31)</f>
        <v/>
      </c>
      <c r="K32" s="16" t="str">
        <f>IF(NORMALIZADO!CH31="","",NORMALIZADO!CH31)</f>
        <v/>
      </c>
      <c r="L32" s="16" t="str">
        <f>IF(NORMALIZADO!CI31="","",NORMALIZADO!CI31)</f>
        <v/>
      </c>
      <c r="M32" s="16" t="str">
        <f>IF(NORMALIZADO!CJ31="","",NORMALIZADO!CJ31)</f>
        <v/>
      </c>
      <c r="N32" s="16" t="str">
        <f>IF(NORMALIZADO!CK31="","",NORMALIZADO!CK31)</f>
        <v/>
      </c>
      <c r="O32" s="16" t="str">
        <f>IF(NORMALIZADO!CL31="","",NORMALIZADO!CL31)</f>
        <v/>
      </c>
      <c r="P32" s="17" t="str">
        <f t="shared" si="0"/>
        <v/>
      </c>
      <c r="Q32" s="17">
        <f t="shared" si="1"/>
        <v>0</v>
      </c>
      <c r="R32" s="17">
        <f t="shared" si="2"/>
        <v>0</v>
      </c>
      <c r="S32" s="17">
        <f t="shared" si="3"/>
        <v>0</v>
      </c>
      <c r="T32" s="17" t="str">
        <f>IF(ISNUMBER(MATRIZ_174!O31),IFERROR((K32+M32+MATRIZ_174!O31)/3,0),"")</f>
        <v/>
      </c>
      <c r="U32" s="18" t="str">
        <f>IF(ISNUMBER(MATRIZ_174!M31),MIN(100,ROUND(MATRIZ_174!M31,1)),"")</f>
        <v/>
      </c>
      <c r="V32" s="18">
        <f t="shared" si="4"/>
        <v>50</v>
      </c>
      <c r="W32" s="18">
        <f>IFERROR(IF(MATRIZ_174!R31=0,65,IF(MATRIZ_174!R31/MATRIZ_174!Q31&gt;=2,35,IF(MATRIZ_174!R31/MATRIZ_174!Q31&gt;=0.5,50,65))),65)</f>
        <v>65</v>
      </c>
      <c r="X32" s="18" t="str">
        <f>IF(ISNUMBER(MATRIZ_174!O31),MIN(100,IF(MATRIZ_174!O31=0,70,30)+IF(MATRIZ_174!U31="",0,0.3*(100-MATRIZ_174!U31*100))),"")</f>
        <v/>
      </c>
      <c r="Y32" s="18">
        <f>IF(OR(MATRIZ_174!P31="ASOCIACION",MATRIZ_174!P31="PENDIENTE"),65,40)</f>
        <v>65</v>
      </c>
      <c r="Z32" s="19" t="str">
        <f t="shared" si="5"/>
        <v>—</v>
      </c>
      <c r="AA32" s="20">
        <f t="shared" si="6"/>
        <v>60</v>
      </c>
      <c r="AB32" s="21" t="str">
        <f t="shared" si="7"/>
        <v>—</v>
      </c>
      <c r="AC32" s="13" t="str">
        <f t="shared" si="8"/>
        <v>⬜  Pendiente de instrumento</v>
      </c>
      <c r="AD32" s="13" t="str">
        <f>IF(MATRIZ_174!U31="","",IF(MATRIZ_174!U31=0,"🚫  Inh. vigente OSCE",""))</f>
        <v/>
      </c>
      <c r="AE32" s="22">
        <f>IFERROR(MATRIZ_174!W31,0)</f>
        <v>0</v>
      </c>
      <c r="AF32" s="22">
        <f>IFERROR(MATRIZ_174!X31,0)</f>
        <v>0</v>
      </c>
      <c r="AG32" s="22">
        <f>IFERROR(MATRIZ_174!Y31,0)</f>
        <v>0</v>
      </c>
      <c r="AH32" s="22">
        <f>IFERROR(MATRIZ_174!Z31,0)</f>
        <v>0</v>
      </c>
      <c r="AI32" s="17">
        <f>IFERROR(MATRIZ_174!AP31,"N/A")</f>
        <v>0</v>
      </c>
      <c r="AJ32" s="17" t="str">
        <f>IFERROR(MATRIZ_174!AO31,"N/A")</f>
        <v>N/A</v>
      </c>
      <c r="AK32" s="23" t="str">
        <f t="shared" si="9"/>
        <v>N/A</v>
      </c>
      <c r="AL32" s="24" t="str">
        <f t="shared" si="10"/>
        <v>—</v>
      </c>
    </row>
    <row r="33" spans="1:38" ht="16.05" customHeight="1" x14ac:dyDescent="0.3">
      <c r="A33" s="13" t="s">
        <v>140</v>
      </c>
      <c r="B33" s="14" t="s">
        <v>141</v>
      </c>
      <c r="C33" s="13" t="s">
        <v>139</v>
      </c>
      <c r="D33" s="15">
        <v>0</v>
      </c>
      <c r="E33" s="16" t="str">
        <f>IF(NORMALIZADO!CB32="","",NORMALIZADO!CB32)</f>
        <v/>
      </c>
      <c r="F33" s="17" t="str">
        <f>IF(NORMALIZADO!CC32="","",NORMALIZADO!CC32)</f>
        <v/>
      </c>
      <c r="G33" s="17">
        <f>IF(NORMALIZADO!CD32="",IFERROR(MATRIZ_174!U32*100,""),NORMALIZADO!CD32)</f>
        <v>100</v>
      </c>
      <c r="H33" s="16" t="str">
        <f>IF(NORMALIZADO!CE32="","",NORMALIZADO!CE32)</f>
        <v/>
      </c>
      <c r="I33" s="17" t="str">
        <f>IF(NORMALIZADO!CF32="","",NORMALIZADO!CF32)</f>
        <v/>
      </c>
      <c r="J33" s="17" t="str">
        <f>IF(NORMALIZADO!CG32="","",NORMALIZADO!CG32)</f>
        <v/>
      </c>
      <c r="K33" s="16" t="str">
        <f>IF(NORMALIZADO!CH32="","",NORMALIZADO!CH32)</f>
        <v/>
      </c>
      <c r="L33" s="16" t="str">
        <f>IF(NORMALIZADO!CI32="","",NORMALIZADO!CI32)</f>
        <v/>
      </c>
      <c r="M33" s="16" t="str">
        <f>IF(NORMALIZADO!CJ32="","",NORMALIZADO!CJ32)</f>
        <v/>
      </c>
      <c r="N33" s="16" t="str">
        <f>IF(NORMALIZADO!CK32="","",NORMALIZADO!CK32)</f>
        <v/>
      </c>
      <c r="O33" s="16" t="str">
        <f>IF(NORMALIZADO!CL32="","",NORMALIZADO!CL32)</f>
        <v/>
      </c>
      <c r="P33" s="17" t="str">
        <f t="shared" si="0"/>
        <v/>
      </c>
      <c r="Q33" s="17">
        <f t="shared" si="1"/>
        <v>0</v>
      </c>
      <c r="R33" s="17">
        <f t="shared" si="2"/>
        <v>0</v>
      </c>
      <c r="S33" s="17">
        <f t="shared" si="3"/>
        <v>0</v>
      </c>
      <c r="T33" s="17" t="str">
        <f>IF(ISNUMBER(MATRIZ_174!O32),IFERROR((K33+M33+MATRIZ_174!O32)/3,0),"")</f>
        <v/>
      </c>
      <c r="U33" s="18" t="str">
        <f>IF(ISNUMBER(MATRIZ_174!M32),MIN(100,ROUND(MATRIZ_174!M32,1)),"")</f>
        <v/>
      </c>
      <c r="V33" s="18">
        <f t="shared" si="4"/>
        <v>50</v>
      </c>
      <c r="W33" s="18">
        <f>IFERROR(IF(MATRIZ_174!R32=0,65,IF(MATRIZ_174!R32/MATRIZ_174!Q32&gt;=2,35,IF(MATRIZ_174!R32/MATRIZ_174!Q32&gt;=0.5,50,65))),65)</f>
        <v>65</v>
      </c>
      <c r="X33" s="18" t="str">
        <f>IF(ISNUMBER(MATRIZ_174!O32),MIN(100,IF(MATRIZ_174!O32=0,70,30)+IF(MATRIZ_174!U32="",0,0.3*(100-MATRIZ_174!U32*100))),"")</f>
        <v/>
      </c>
      <c r="Y33" s="18">
        <f>IF(OR(MATRIZ_174!P32="ASOCIACION",MATRIZ_174!P32="PENDIENTE"),65,40)</f>
        <v>65</v>
      </c>
      <c r="Z33" s="19" t="str">
        <f t="shared" si="5"/>
        <v>—</v>
      </c>
      <c r="AA33" s="20">
        <f t="shared" si="6"/>
        <v>60</v>
      </c>
      <c r="AB33" s="21" t="str">
        <f t="shared" si="7"/>
        <v>—</v>
      </c>
      <c r="AC33" s="13" t="str">
        <f t="shared" si="8"/>
        <v>⬜  Pendiente de instrumento</v>
      </c>
      <c r="AD33" s="13" t="str">
        <f>IF(MATRIZ_174!U32="","",IF(MATRIZ_174!U32=0,"🚫  Inh. vigente OSCE",""))</f>
        <v/>
      </c>
      <c r="AE33" s="22">
        <f>IFERROR(MATRIZ_174!W32,0)</f>
        <v>0</v>
      </c>
      <c r="AF33" s="22">
        <f>IFERROR(MATRIZ_174!X32,0)</f>
        <v>0</v>
      </c>
      <c r="AG33" s="22">
        <f>IFERROR(MATRIZ_174!Y32,0)</f>
        <v>0</v>
      </c>
      <c r="AH33" s="22">
        <f>IFERROR(MATRIZ_174!Z32,0)</f>
        <v>0</v>
      </c>
      <c r="AI33" s="17">
        <f>IFERROR(MATRIZ_174!AP32,"N/A")</f>
        <v>0</v>
      </c>
      <c r="AJ33" s="17" t="str">
        <f>IFERROR(MATRIZ_174!AO32,"N/A")</f>
        <v>N/A</v>
      </c>
      <c r="AK33" s="23" t="str">
        <f t="shared" si="9"/>
        <v>N/A</v>
      </c>
      <c r="AL33" s="24" t="str">
        <f t="shared" si="10"/>
        <v>—</v>
      </c>
    </row>
    <row r="34" spans="1:38" ht="16.05" customHeight="1" x14ac:dyDescent="0.3">
      <c r="A34" s="13" t="s">
        <v>142</v>
      </c>
      <c r="B34" s="14" t="s">
        <v>143</v>
      </c>
      <c r="C34" s="13" t="s">
        <v>139</v>
      </c>
      <c r="D34" s="15">
        <v>0</v>
      </c>
      <c r="E34" s="16" t="str">
        <f>IF(NORMALIZADO!CB33="","",NORMALIZADO!CB33)</f>
        <v/>
      </c>
      <c r="F34" s="17" t="str">
        <f>IF(NORMALIZADO!CC33="","",NORMALIZADO!CC33)</f>
        <v/>
      </c>
      <c r="G34" s="17">
        <f>IF(NORMALIZADO!CD33="",IFERROR(MATRIZ_174!U33*100,""),NORMALIZADO!CD33)</f>
        <v>100</v>
      </c>
      <c r="H34" s="16" t="str">
        <f>IF(NORMALIZADO!CE33="","",NORMALIZADO!CE33)</f>
        <v/>
      </c>
      <c r="I34" s="17" t="str">
        <f>IF(NORMALIZADO!CF33="","",NORMALIZADO!CF33)</f>
        <v/>
      </c>
      <c r="J34" s="17" t="str">
        <f>IF(NORMALIZADO!CG33="","",NORMALIZADO!CG33)</f>
        <v/>
      </c>
      <c r="K34" s="16" t="str">
        <f>IF(NORMALIZADO!CH33="","",NORMALIZADO!CH33)</f>
        <v/>
      </c>
      <c r="L34" s="16" t="str">
        <f>IF(NORMALIZADO!CI33="","",NORMALIZADO!CI33)</f>
        <v/>
      </c>
      <c r="M34" s="16" t="str">
        <f>IF(NORMALIZADO!CJ33="","",NORMALIZADO!CJ33)</f>
        <v/>
      </c>
      <c r="N34" s="16" t="str">
        <f>IF(NORMALIZADO!CK33="","",NORMALIZADO!CK33)</f>
        <v/>
      </c>
      <c r="O34" s="16" t="str">
        <f>IF(NORMALIZADO!CL33="","",NORMALIZADO!CL33)</f>
        <v/>
      </c>
      <c r="P34" s="17" t="str">
        <f t="shared" si="0"/>
        <v/>
      </c>
      <c r="Q34" s="17">
        <f t="shared" si="1"/>
        <v>0</v>
      </c>
      <c r="R34" s="17">
        <f t="shared" si="2"/>
        <v>0</v>
      </c>
      <c r="S34" s="17">
        <f t="shared" si="3"/>
        <v>0</v>
      </c>
      <c r="T34" s="17" t="str">
        <f>IF(ISNUMBER(MATRIZ_174!O33),IFERROR((K34+M34+MATRIZ_174!O33)/3,0),"")</f>
        <v/>
      </c>
      <c r="U34" s="18" t="str">
        <f>IF(ISNUMBER(MATRIZ_174!M33),MIN(100,ROUND(MATRIZ_174!M33,1)),"")</f>
        <v/>
      </c>
      <c r="V34" s="18">
        <f t="shared" si="4"/>
        <v>50</v>
      </c>
      <c r="W34" s="18">
        <f>IFERROR(IF(MATRIZ_174!R33=0,65,IF(MATRIZ_174!R33/MATRIZ_174!Q33&gt;=2,35,IF(MATRIZ_174!R33/MATRIZ_174!Q33&gt;=0.5,50,65))),65)</f>
        <v>65</v>
      </c>
      <c r="X34" s="18" t="str">
        <f>IF(ISNUMBER(MATRIZ_174!O33),MIN(100,IF(MATRIZ_174!O33=0,70,30)+IF(MATRIZ_174!U33="",0,0.3*(100-MATRIZ_174!U33*100))),"")</f>
        <v/>
      </c>
      <c r="Y34" s="18">
        <f>IF(OR(MATRIZ_174!P33="ASOCIACION",MATRIZ_174!P33="PENDIENTE"),65,40)</f>
        <v>65</v>
      </c>
      <c r="Z34" s="19" t="str">
        <f t="shared" si="5"/>
        <v>—</v>
      </c>
      <c r="AA34" s="20">
        <f t="shared" si="6"/>
        <v>60</v>
      </c>
      <c r="AB34" s="21" t="str">
        <f t="shared" si="7"/>
        <v>—</v>
      </c>
      <c r="AC34" s="13" t="str">
        <f t="shared" si="8"/>
        <v>⬜  Pendiente de instrumento</v>
      </c>
      <c r="AD34" s="13" t="str">
        <f>IF(MATRIZ_174!U33="","",IF(MATRIZ_174!U33=0,"🚫  Inh. vigente OSCE",""))</f>
        <v/>
      </c>
      <c r="AE34" s="22">
        <f>IFERROR(MATRIZ_174!W33,0)</f>
        <v>0</v>
      </c>
      <c r="AF34" s="22">
        <f>IFERROR(MATRIZ_174!X33,0)</f>
        <v>0</v>
      </c>
      <c r="AG34" s="22">
        <f>IFERROR(MATRIZ_174!Y33,0)</f>
        <v>0</v>
      </c>
      <c r="AH34" s="22">
        <f>IFERROR(MATRIZ_174!Z33,0)</f>
        <v>0</v>
      </c>
      <c r="AI34" s="17">
        <f>IFERROR(MATRIZ_174!AP33,"N/A")</f>
        <v>0</v>
      </c>
      <c r="AJ34" s="17" t="str">
        <f>IFERROR(MATRIZ_174!AO33,"N/A")</f>
        <v>N/A</v>
      </c>
      <c r="AK34" s="23" t="str">
        <f t="shared" si="9"/>
        <v>N/A</v>
      </c>
      <c r="AL34" s="24" t="str">
        <f t="shared" si="10"/>
        <v>—</v>
      </c>
    </row>
    <row r="35" spans="1:38" ht="16.05" customHeight="1" x14ac:dyDescent="0.3">
      <c r="A35" s="13" t="s">
        <v>144</v>
      </c>
      <c r="B35" s="14" t="s">
        <v>145</v>
      </c>
      <c r="C35" s="13" t="s">
        <v>139</v>
      </c>
      <c r="D35" s="15">
        <v>0</v>
      </c>
      <c r="E35" s="16" t="str">
        <f>IF(NORMALIZADO!CB34="","",NORMALIZADO!CB34)</f>
        <v/>
      </c>
      <c r="F35" s="17" t="str">
        <f>IF(NORMALIZADO!CC34="","",NORMALIZADO!CC34)</f>
        <v/>
      </c>
      <c r="G35" s="17">
        <f>IF(NORMALIZADO!CD34="",IFERROR(MATRIZ_174!U34*100,""),NORMALIZADO!CD34)</f>
        <v>100</v>
      </c>
      <c r="H35" s="16" t="str">
        <f>IF(NORMALIZADO!CE34="","",NORMALIZADO!CE34)</f>
        <v/>
      </c>
      <c r="I35" s="17" t="str">
        <f>IF(NORMALIZADO!CF34="","",NORMALIZADO!CF34)</f>
        <v/>
      </c>
      <c r="J35" s="17" t="str">
        <f>IF(NORMALIZADO!CG34="","",NORMALIZADO!CG34)</f>
        <v/>
      </c>
      <c r="K35" s="16" t="str">
        <f>IF(NORMALIZADO!CH34="","",NORMALIZADO!CH34)</f>
        <v/>
      </c>
      <c r="L35" s="16" t="str">
        <f>IF(NORMALIZADO!CI34="","",NORMALIZADO!CI34)</f>
        <v/>
      </c>
      <c r="M35" s="16" t="str">
        <f>IF(NORMALIZADO!CJ34="","",NORMALIZADO!CJ34)</f>
        <v/>
      </c>
      <c r="N35" s="16" t="str">
        <f>IF(NORMALIZADO!CK34="","",NORMALIZADO!CK34)</f>
        <v/>
      </c>
      <c r="O35" s="16" t="str">
        <f>IF(NORMALIZADO!CL34="","",NORMALIZADO!CL34)</f>
        <v/>
      </c>
      <c r="P35" s="17" t="str">
        <f t="shared" si="0"/>
        <v/>
      </c>
      <c r="Q35" s="17">
        <f t="shared" si="1"/>
        <v>0</v>
      </c>
      <c r="R35" s="17">
        <f t="shared" si="2"/>
        <v>0</v>
      </c>
      <c r="S35" s="17">
        <f t="shared" si="3"/>
        <v>0</v>
      </c>
      <c r="T35" s="17" t="str">
        <f>IF(ISNUMBER(MATRIZ_174!O34),IFERROR((K35+M35+MATRIZ_174!O34)/3,0),"")</f>
        <v/>
      </c>
      <c r="U35" s="18" t="str">
        <f>IF(ISNUMBER(MATRIZ_174!M34),MIN(100,ROUND(MATRIZ_174!M34,1)),"")</f>
        <v/>
      </c>
      <c r="V35" s="18">
        <f t="shared" si="4"/>
        <v>50</v>
      </c>
      <c r="W35" s="18">
        <f>IFERROR(IF(MATRIZ_174!R34=0,65,IF(MATRIZ_174!R34/MATRIZ_174!Q34&gt;=2,35,IF(MATRIZ_174!R34/MATRIZ_174!Q34&gt;=0.5,50,65))),65)</f>
        <v>65</v>
      </c>
      <c r="X35" s="18" t="str">
        <f>IF(ISNUMBER(MATRIZ_174!O34),MIN(100,IF(MATRIZ_174!O34=0,70,30)+IF(MATRIZ_174!U34="",0,0.3*(100-MATRIZ_174!U34*100))),"")</f>
        <v/>
      </c>
      <c r="Y35" s="18">
        <f>IF(OR(MATRIZ_174!P34="ASOCIACION",MATRIZ_174!P34="PENDIENTE"),65,40)</f>
        <v>65</v>
      </c>
      <c r="Z35" s="19" t="str">
        <f t="shared" si="5"/>
        <v>—</v>
      </c>
      <c r="AA35" s="20">
        <f t="shared" si="6"/>
        <v>60</v>
      </c>
      <c r="AB35" s="21" t="str">
        <f t="shared" si="7"/>
        <v>—</v>
      </c>
      <c r="AC35" s="13" t="str">
        <f t="shared" si="8"/>
        <v>⬜  Pendiente de instrumento</v>
      </c>
      <c r="AD35" s="13" t="str">
        <f>IF(MATRIZ_174!U34="","",IF(MATRIZ_174!U34=0,"🚫  Inh. vigente OSCE",""))</f>
        <v/>
      </c>
      <c r="AE35" s="22">
        <f>IFERROR(MATRIZ_174!W34,0)</f>
        <v>0</v>
      </c>
      <c r="AF35" s="22">
        <f>IFERROR(MATRIZ_174!X34,0)</f>
        <v>0</v>
      </c>
      <c r="AG35" s="22">
        <f>IFERROR(MATRIZ_174!Y34,0)</f>
        <v>0</v>
      </c>
      <c r="AH35" s="22">
        <f>IFERROR(MATRIZ_174!Z34,0)</f>
        <v>0</v>
      </c>
      <c r="AI35" s="17">
        <f>IFERROR(MATRIZ_174!AP34,"N/A")</f>
        <v>0</v>
      </c>
      <c r="AJ35" s="17" t="str">
        <f>IFERROR(MATRIZ_174!AO34,"N/A")</f>
        <v>N/A</v>
      </c>
      <c r="AK35" s="23" t="str">
        <f t="shared" si="9"/>
        <v>N/A</v>
      </c>
      <c r="AL35" s="24" t="str">
        <f t="shared" si="10"/>
        <v>—</v>
      </c>
    </row>
    <row r="36" spans="1:38" ht="16.05" customHeight="1" x14ac:dyDescent="0.3">
      <c r="A36" s="13" t="s">
        <v>146</v>
      </c>
      <c r="B36" s="14" t="s">
        <v>147</v>
      </c>
      <c r="C36" s="13" t="s">
        <v>80</v>
      </c>
      <c r="D36" s="15">
        <v>965726.35</v>
      </c>
      <c r="E36" s="16" t="str">
        <f>IF(NORMALIZADO!CB35="","",NORMALIZADO!CB35)</f>
        <v/>
      </c>
      <c r="F36" s="17" t="str">
        <f>IF(NORMALIZADO!CC35="","",NORMALIZADO!CC35)</f>
        <v/>
      </c>
      <c r="G36" s="17">
        <f>IF(NORMALIZADO!CD35="",IFERROR(MATRIZ_174!U35*100,""),NORMALIZADO!CD35)</f>
        <v>100</v>
      </c>
      <c r="H36" s="16" t="str">
        <f>IF(NORMALIZADO!CE35="","",NORMALIZADO!CE35)</f>
        <v/>
      </c>
      <c r="I36" s="17" t="str">
        <f>IF(NORMALIZADO!CF35="","",NORMALIZADO!CF35)</f>
        <v/>
      </c>
      <c r="J36" s="17" t="str">
        <f>IF(NORMALIZADO!CG35="","",NORMALIZADO!CG35)</f>
        <v/>
      </c>
      <c r="K36" s="16" t="str">
        <f>IF(NORMALIZADO!CH35="","",NORMALIZADO!CH35)</f>
        <v/>
      </c>
      <c r="L36" s="16" t="str">
        <f>IF(NORMALIZADO!CI35="","",NORMALIZADO!CI35)</f>
        <v/>
      </c>
      <c r="M36" s="16" t="str">
        <f>IF(NORMALIZADO!CJ35="","",NORMALIZADO!CJ35)</f>
        <v/>
      </c>
      <c r="N36" s="16" t="str">
        <f>IF(NORMALIZADO!CK35="","",NORMALIZADO!CK35)</f>
        <v/>
      </c>
      <c r="O36" s="16" t="str">
        <f>IF(NORMALIZADO!CL35="","",NORMALIZADO!CL35)</f>
        <v/>
      </c>
      <c r="P36" s="17" t="str">
        <f t="shared" ref="P36:P67" si="11">IFERROR(F36,0)</f>
        <v/>
      </c>
      <c r="Q36" s="17">
        <f t="shared" ref="Q36:Q67" si="12">IFERROR(SQRT(G36*H36),0)</f>
        <v>0</v>
      </c>
      <c r="R36" s="17">
        <f t="shared" ref="R36:R67" si="13">IFERROR((I36+J36+L36)/3,0)</f>
        <v>0</v>
      </c>
      <c r="S36" s="17">
        <f t="shared" ref="S36:S67" si="14">IFERROR((J36+F36)/2,0)</f>
        <v>0</v>
      </c>
      <c r="T36" s="17" t="str">
        <f>IF(ISNUMBER(MATRIZ_174!O35),IFERROR((K36+M36+MATRIZ_174!O35)/3,0),"")</f>
        <v/>
      </c>
      <c r="U36" s="18">
        <f>IF(ISNUMBER(MATRIZ_174!M35),MIN(100,ROUND(MATRIZ_174!M35,1)),"")</f>
        <v>50</v>
      </c>
      <c r="V36" s="18">
        <f t="shared" ref="V36:V67" si="15">IF(OR(NOT(ISNUMBER(F36)),F36=0),50,F36)</f>
        <v>50</v>
      </c>
      <c r="W36" s="18">
        <f>IFERROR(IF(MATRIZ_174!R35=0,65,IF(MATRIZ_174!R35/MATRIZ_174!Q35&gt;=2,35,IF(MATRIZ_174!R35/MATRIZ_174!Q35&gt;=0.5,50,65))),65)</f>
        <v>65</v>
      </c>
      <c r="X36" s="18" t="str">
        <f>IF(ISNUMBER(MATRIZ_174!O35),MIN(100,IF(MATRIZ_174!O35=0,70,30)+IF(MATRIZ_174!U35="",0,0.3*(100-MATRIZ_174!U35*100))),"")</f>
        <v/>
      </c>
      <c r="Y36" s="18">
        <f>IF(OR(MATRIZ_174!P35="ASOCIACION",MATRIZ_174!P35="PENDIENTE"),65,40)</f>
        <v>65</v>
      </c>
      <c r="Z36" s="19" t="str">
        <f t="shared" ref="Z36:Z67" si="16">IF(COUNT(F36:M36)&lt;8,"—",IFERROR(ROUND(AVERAGE(P36:T36),1),"—"))</f>
        <v>—</v>
      </c>
      <c r="AA36" s="20">
        <f t="shared" ref="AA36:AA67" si="17">IFERROR(ROUND(AVERAGE(U36,V36,W36,X36,Y36),1),0)</f>
        <v>57.5</v>
      </c>
      <c r="AB36" s="21" t="str">
        <f t="shared" ref="AB36:AB67" si="18">IF(NOT(ISNUMBER(Z36)),"—",IFERROR(ROUND(AA36*(1-Z36/100),1),"—"))</f>
        <v>—</v>
      </c>
      <c r="AC36" s="13" t="str">
        <f t="shared" ref="AC36:AC67" si="19">IF(OR(NOT(ISNUMBER(Z36)),NOT(ISNUMBER(AA36))),"⬜  Pendiente de instrumento",IF(AND(Z36&gt;=50,AA36&lt;50),"🟢  Resilientes",IF(AND(Z36&gt;=50,AA36&gt;=50),"🟠  Expuestas Adaptables",IF(AND(Z36&lt;50,AA36&lt;50),"⬜  Riesgo Latente","🔴  Riesgo Crítico"))))</f>
        <v>⬜  Pendiente de instrumento</v>
      </c>
      <c r="AD36" s="13" t="str">
        <f>IF(MATRIZ_174!U35="","",IF(MATRIZ_174!U35=0,"🚫  Inh. vigente OSCE",""))</f>
        <v/>
      </c>
      <c r="AE36" s="22">
        <f>IFERROR(MATRIZ_174!W35,0)</f>
        <v>1</v>
      </c>
      <c r="AF36" s="22">
        <f>IFERROR(MATRIZ_174!X35,0)</f>
        <v>0</v>
      </c>
      <c r="AG36" s="22">
        <f>IFERROR(MATRIZ_174!Y35,0)</f>
        <v>0</v>
      </c>
      <c r="AH36" s="22">
        <f>IFERROR(MATRIZ_174!Z35,0)</f>
        <v>0</v>
      </c>
      <c r="AI36" s="17">
        <f>IFERROR(MATRIZ_174!AP35,"N/A")</f>
        <v>0.3125</v>
      </c>
      <c r="AJ36" s="17" t="str">
        <f>IFERROR(MATRIZ_174!AO35,"N/A")</f>
        <v>N/A</v>
      </c>
      <c r="AK36" s="23" t="str">
        <f t="shared" ref="AK36:AK67" si="20">IF(COUNT(E36:M36)&lt;7,"N/A",IFERROR(ROUND((POWER(PRODUCT(E36:K36),1/MAX(1,COUNT(E36:K36)))*IF(COUNT(E36:K36)&gt;0,0.875,0)+IFERROR(AVERAGE(L36:M36),0)*IF(COUNT(L36:M36)&gt;0,0.125,0))/(IF(COUNT(E36:K36)&gt;0,0.875,0)+IF(COUNT(L36:M36)&gt;0,0.125,0)),1),"N/A"))</f>
        <v>N/A</v>
      </c>
      <c r="AL36" s="24" t="str">
        <f t="shared" ref="AL36:AL67" si="21">IF(OR(NOT(ISNUMBER(AK36)),NOT(ISNUMBER(AI36))),"—",ROUND(0.7*AK36+0.3*AI36*100,1))</f>
        <v>—</v>
      </c>
    </row>
    <row r="37" spans="1:38" ht="16.05" customHeight="1" x14ac:dyDescent="0.3">
      <c r="A37" s="13" t="s">
        <v>148</v>
      </c>
      <c r="B37" s="14" t="s">
        <v>149</v>
      </c>
      <c r="C37" s="13" t="s">
        <v>150</v>
      </c>
      <c r="D37" s="15">
        <v>965167.45</v>
      </c>
      <c r="E37" s="16" t="str">
        <f>IF(NORMALIZADO!CB36="","",NORMALIZADO!CB36)</f>
        <v/>
      </c>
      <c r="F37" s="17" t="str">
        <f>IF(NORMALIZADO!CC36="","",NORMALIZADO!CC36)</f>
        <v/>
      </c>
      <c r="G37" s="17">
        <f>IF(NORMALIZADO!CD36="",IFERROR(MATRIZ_174!U36*100,""),NORMALIZADO!CD36)</f>
        <v>100</v>
      </c>
      <c r="H37" s="16" t="str">
        <f>IF(NORMALIZADO!CE36="","",NORMALIZADO!CE36)</f>
        <v/>
      </c>
      <c r="I37" s="17" t="str">
        <f>IF(NORMALIZADO!CF36="","",NORMALIZADO!CF36)</f>
        <v/>
      </c>
      <c r="J37" s="17" t="str">
        <f>IF(NORMALIZADO!CG36="","",NORMALIZADO!CG36)</f>
        <v/>
      </c>
      <c r="K37" s="16" t="str">
        <f>IF(NORMALIZADO!CH36="","",NORMALIZADO!CH36)</f>
        <v/>
      </c>
      <c r="L37" s="16" t="str">
        <f>IF(NORMALIZADO!CI36="","",NORMALIZADO!CI36)</f>
        <v/>
      </c>
      <c r="M37" s="16" t="str">
        <f>IF(NORMALIZADO!CJ36="","",NORMALIZADO!CJ36)</f>
        <v/>
      </c>
      <c r="N37" s="16" t="str">
        <f>IF(NORMALIZADO!CK36="","",NORMALIZADO!CK36)</f>
        <v/>
      </c>
      <c r="O37" s="16" t="str">
        <f>IF(NORMALIZADO!CL36="","",NORMALIZADO!CL36)</f>
        <v/>
      </c>
      <c r="P37" s="17" t="str">
        <f t="shared" si="11"/>
        <v/>
      </c>
      <c r="Q37" s="17">
        <f t="shared" si="12"/>
        <v>0</v>
      </c>
      <c r="R37" s="17">
        <f t="shared" si="13"/>
        <v>0</v>
      </c>
      <c r="S37" s="17">
        <f t="shared" si="14"/>
        <v>0</v>
      </c>
      <c r="T37" s="17">
        <f>IF(ISNUMBER(MATRIZ_174!O36),IFERROR((K37+M37+MATRIZ_174!O36)/3,0),"")</f>
        <v>0</v>
      </c>
      <c r="U37" s="18">
        <f>IF(ISNUMBER(MATRIZ_174!M36),MIN(100,ROUND(MATRIZ_174!M36,1)),"")</f>
        <v>21.3</v>
      </c>
      <c r="V37" s="18">
        <f t="shared" si="15"/>
        <v>50</v>
      </c>
      <c r="W37" s="18">
        <f>IFERROR(IF(MATRIZ_174!R36=0,65,IF(MATRIZ_174!R36/MATRIZ_174!Q36&gt;=2,35,IF(MATRIZ_174!R36/MATRIZ_174!Q36&gt;=0.5,50,65))),65)</f>
        <v>35</v>
      </c>
      <c r="X37" s="18">
        <f>IF(ISNUMBER(MATRIZ_174!O36),MIN(100,IF(MATRIZ_174!O36=0,70,30)+IF(MATRIZ_174!U36="",0,0.3*(100-MATRIZ_174!U36*100))),"")</f>
        <v>30</v>
      </c>
      <c r="Y37" s="18">
        <f>IF(OR(MATRIZ_174!P36="ASOCIACION",MATRIZ_174!P36="PENDIENTE"),65,40)</f>
        <v>65</v>
      </c>
      <c r="Z37" s="19" t="str">
        <f t="shared" si="16"/>
        <v>—</v>
      </c>
      <c r="AA37" s="20">
        <f t="shared" si="17"/>
        <v>40.299999999999997</v>
      </c>
      <c r="AB37" s="21" t="str">
        <f t="shared" si="18"/>
        <v>—</v>
      </c>
      <c r="AC37" s="13" t="str">
        <f t="shared" si="19"/>
        <v>⬜  Pendiente de instrumento</v>
      </c>
      <c r="AD37" s="13" t="str">
        <f>IF(MATRIZ_174!U36="","",IF(MATRIZ_174!U36=0,"🚫  Inh. vigente OSCE",""))</f>
        <v/>
      </c>
      <c r="AE37" s="22">
        <f>IFERROR(MATRIZ_174!W36,0)</f>
        <v>1</v>
      </c>
      <c r="AF37" s="22">
        <f>IFERROR(MATRIZ_174!X36,0)</f>
        <v>0</v>
      </c>
      <c r="AG37" s="22">
        <f>IFERROR(MATRIZ_174!Y36,0)</f>
        <v>0</v>
      </c>
      <c r="AH37" s="22">
        <f>IFERROR(MATRIZ_174!Z36,0)</f>
        <v>0</v>
      </c>
      <c r="AI37" s="17">
        <f>IFERROR(MATRIZ_174!AP36,"N/A")</f>
        <v>0.3075</v>
      </c>
      <c r="AJ37" s="17" t="str">
        <f>IFERROR(MATRIZ_174!AO36,"N/A")</f>
        <v>N/A</v>
      </c>
      <c r="AK37" s="23" t="str">
        <f t="shared" si="20"/>
        <v>N/A</v>
      </c>
      <c r="AL37" s="24" t="str">
        <f t="shared" si="21"/>
        <v>—</v>
      </c>
    </row>
    <row r="38" spans="1:38" ht="16.05" customHeight="1" x14ac:dyDescent="0.3">
      <c r="A38" s="13" t="s">
        <v>151</v>
      </c>
      <c r="B38" s="14" t="s">
        <v>152</v>
      </c>
      <c r="C38" s="13" t="s">
        <v>112</v>
      </c>
      <c r="D38" s="15">
        <v>0</v>
      </c>
      <c r="E38" s="16" t="str">
        <f>IF(NORMALIZADO!CB37="","",NORMALIZADO!CB37)</f>
        <v/>
      </c>
      <c r="F38" s="17" t="str">
        <f>IF(NORMALIZADO!CC37="","",NORMALIZADO!CC37)</f>
        <v/>
      </c>
      <c r="G38" s="17">
        <f>IF(NORMALIZADO!CD37="",IFERROR(MATRIZ_174!U37*100,""),NORMALIZADO!CD37)</f>
        <v>100</v>
      </c>
      <c r="H38" s="16" t="str">
        <f>IF(NORMALIZADO!CE37="","",NORMALIZADO!CE37)</f>
        <v/>
      </c>
      <c r="I38" s="17" t="str">
        <f>IF(NORMALIZADO!CF37="","",NORMALIZADO!CF37)</f>
        <v/>
      </c>
      <c r="J38" s="17" t="str">
        <f>IF(NORMALIZADO!CG37="","",NORMALIZADO!CG37)</f>
        <v/>
      </c>
      <c r="K38" s="16" t="str">
        <f>IF(NORMALIZADO!CH37="","",NORMALIZADO!CH37)</f>
        <v/>
      </c>
      <c r="L38" s="16" t="str">
        <f>IF(NORMALIZADO!CI37="","",NORMALIZADO!CI37)</f>
        <v/>
      </c>
      <c r="M38" s="16" t="str">
        <f>IF(NORMALIZADO!CJ37="","",NORMALIZADO!CJ37)</f>
        <v/>
      </c>
      <c r="N38" s="16" t="str">
        <f>IF(NORMALIZADO!CK37="","",NORMALIZADO!CK37)</f>
        <v/>
      </c>
      <c r="O38" s="16" t="str">
        <f>IF(NORMALIZADO!CL37="","",NORMALIZADO!CL37)</f>
        <v/>
      </c>
      <c r="P38" s="17" t="str">
        <f t="shared" si="11"/>
        <v/>
      </c>
      <c r="Q38" s="17">
        <f t="shared" si="12"/>
        <v>0</v>
      </c>
      <c r="R38" s="17">
        <f t="shared" si="13"/>
        <v>0</v>
      </c>
      <c r="S38" s="17">
        <f t="shared" si="14"/>
        <v>0</v>
      </c>
      <c r="T38" s="17" t="str">
        <f>IF(ISNUMBER(MATRIZ_174!O37),IFERROR((K38+M38+MATRIZ_174!O37)/3,0),"")</f>
        <v/>
      </c>
      <c r="U38" s="18" t="str">
        <f>IF(ISNUMBER(MATRIZ_174!M37),MIN(100,ROUND(MATRIZ_174!M37,1)),"")</f>
        <v/>
      </c>
      <c r="V38" s="18">
        <f t="shared" si="15"/>
        <v>50</v>
      </c>
      <c r="W38" s="18">
        <f>IFERROR(IF(MATRIZ_174!R37=0,65,IF(MATRIZ_174!R37/MATRIZ_174!Q37&gt;=2,35,IF(MATRIZ_174!R37/MATRIZ_174!Q37&gt;=0.5,50,65))),65)</f>
        <v>65</v>
      </c>
      <c r="X38" s="18" t="str">
        <f>IF(ISNUMBER(MATRIZ_174!O37),MIN(100,IF(MATRIZ_174!O37=0,70,30)+IF(MATRIZ_174!U37="",0,0.3*(100-MATRIZ_174!U37*100))),"")</f>
        <v/>
      </c>
      <c r="Y38" s="18">
        <f>IF(OR(MATRIZ_174!P37="ASOCIACION",MATRIZ_174!P37="PENDIENTE"),65,40)</f>
        <v>65</v>
      </c>
      <c r="Z38" s="19" t="str">
        <f t="shared" si="16"/>
        <v>—</v>
      </c>
      <c r="AA38" s="20">
        <f t="shared" si="17"/>
        <v>60</v>
      </c>
      <c r="AB38" s="21" t="str">
        <f t="shared" si="18"/>
        <v>—</v>
      </c>
      <c r="AC38" s="13" t="str">
        <f t="shared" si="19"/>
        <v>⬜  Pendiente de instrumento</v>
      </c>
      <c r="AD38" s="13" t="str">
        <f>IF(MATRIZ_174!U37="","",IF(MATRIZ_174!U37=0,"🚫  Inh. vigente OSCE",""))</f>
        <v/>
      </c>
      <c r="AE38" s="22">
        <f>IFERROR(MATRIZ_174!W37,0)</f>
        <v>0</v>
      </c>
      <c r="AF38" s="22">
        <f>IFERROR(MATRIZ_174!X37,0)</f>
        <v>0</v>
      </c>
      <c r="AG38" s="22">
        <f>IFERROR(MATRIZ_174!Y37,0)</f>
        <v>0</v>
      </c>
      <c r="AH38" s="22">
        <f>IFERROR(MATRIZ_174!Z37,0)</f>
        <v>0</v>
      </c>
      <c r="AI38" s="17">
        <f>IFERROR(MATRIZ_174!AP37,"N/A")</f>
        <v>0</v>
      </c>
      <c r="AJ38" s="17" t="str">
        <f>IFERROR(MATRIZ_174!AO37,"N/A")</f>
        <v>N/A</v>
      </c>
      <c r="AK38" s="23" t="str">
        <f t="shared" si="20"/>
        <v>N/A</v>
      </c>
      <c r="AL38" s="24" t="str">
        <f t="shared" si="21"/>
        <v>—</v>
      </c>
    </row>
    <row r="39" spans="1:38" ht="16.05" customHeight="1" x14ac:dyDescent="0.3">
      <c r="A39" s="13" t="s">
        <v>153</v>
      </c>
      <c r="B39" s="14" t="s">
        <v>154</v>
      </c>
      <c r="C39" s="13" t="s">
        <v>112</v>
      </c>
      <c r="D39" s="15">
        <v>0</v>
      </c>
      <c r="E39" s="16" t="str">
        <f>IF(NORMALIZADO!CB38="","",NORMALIZADO!CB38)</f>
        <v/>
      </c>
      <c r="F39" s="17" t="str">
        <f>IF(NORMALIZADO!CC38="","",NORMALIZADO!CC38)</f>
        <v/>
      </c>
      <c r="G39" s="17">
        <f>IF(NORMALIZADO!CD38="",IFERROR(MATRIZ_174!U38*100,""),NORMALIZADO!CD38)</f>
        <v>100</v>
      </c>
      <c r="H39" s="16" t="str">
        <f>IF(NORMALIZADO!CE38="","",NORMALIZADO!CE38)</f>
        <v/>
      </c>
      <c r="I39" s="17" t="str">
        <f>IF(NORMALIZADO!CF38="","",NORMALIZADO!CF38)</f>
        <v/>
      </c>
      <c r="J39" s="17" t="str">
        <f>IF(NORMALIZADO!CG38="","",NORMALIZADO!CG38)</f>
        <v/>
      </c>
      <c r="K39" s="16" t="str">
        <f>IF(NORMALIZADO!CH38="","",NORMALIZADO!CH38)</f>
        <v/>
      </c>
      <c r="L39" s="16" t="str">
        <f>IF(NORMALIZADO!CI38="","",NORMALIZADO!CI38)</f>
        <v/>
      </c>
      <c r="M39" s="16" t="str">
        <f>IF(NORMALIZADO!CJ38="","",NORMALIZADO!CJ38)</f>
        <v/>
      </c>
      <c r="N39" s="16" t="str">
        <f>IF(NORMALIZADO!CK38="","",NORMALIZADO!CK38)</f>
        <v/>
      </c>
      <c r="O39" s="16" t="str">
        <f>IF(NORMALIZADO!CL38="","",NORMALIZADO!CL38)</f>
        <v/>
      </c>
      <c r="P39" s="17" t="str">
        <f t="shared" si="11"/>
        <v/>
      </c>
      <c r="Q39" s="17">
        <f t="shared" si="12"/>
        <v>0</v>
      </c>
      <c r="R39" s="17">
        <f t="shared" si="13"/>
        <v>0</v>
      </c>
      <c r="S39" s="17">
        <f t="shared" si="14"/>
        <v>0</v>
      </c>
      <c r="T39" s="17" t="str">
        <f>IF(ISNUMBER(MATRIZ_174!O38),IFERROR((K39+M39+MATRIZ_174!O38)/3,0),"")</f>
        <v/>
      </c>
      <c r="U39" s="18" t="str">
        <f>IF(ISNUMBER(MATRIZ_174!M38),MIN(100,ROUND(MATRIZ_174!M38,1)),"")</f>
        <v/>
      </c>
      <c r="V39" s="18">
        <f t="shared" si="15"/>
        <v>50</v>
      </c>
      <c r="W39" s="18">
        <f>IFERROR(IF(MATRIZ_174!R38=0,65,IF(MATRIZ_174!R38/MATRIZ_174!Q38&gt;=2,35,IF(MATRIZ_174!R38/MATRIZ_174!Q38&gt;=0.5,50,65))),65)</f>
        <v>65</v>
      </c>
      <c r="X39" s="18" t="str">
        <f>IF(ISNUMBER(MATRIZ_174!O38),MIN(100,IF(MATRIZ_174!O38=0,70,30)+IF(MATRIZ_174!U38="",0,0.3*(100-MATRIZ_174!U38*100))),"")</f>
        <v/>
      </c>
      <c r="Y39" s="18">
        <f>IF(OR(MATRIZ_174!P38="ASOCIACION",MATRIZ_174!P38="PENDIENTE"),65,40)</f>
        <v>65</v>
      </c>
      <c r="Z39" s="19" t="str">
        <f t="shared" si="16"/>
        <v>—</v>
      </c>
      <c r="AA39" s="20">
        <f t="shared" si="17"/>
        <v>60</v>
      </c>
      <c r="AB39" s="21" t="str">
        <f t="shared" si="18"/>
        <v>—</v>
      </c>
      <c r="AC39" s="13" t="str">
        <f t="shared" si="19"/>
        <v>⬜  Pendiente de instrumento</v>
      </c>
      <c r="AD39" s="13" t="str">
        <f>IF(MATRIZ_174!U38="","",IF(MATRIZ_174!U38=0,"🚫  Inh. vigente OSCE",""))</f>
        <v/>
      </c>
      <c r="AE39" s="22">
        <f>IFERROR(MATRIZ_174!W38,0)</f>
        <v>0</v>
      </c>
      <c r="AF39" s="22">
        <f>IFERROR(MATRIZ_174!X38,0)</f>
        <v>0</v>
      </c>
      <c r="AG39" s="22">
        <f>IFERROR(MATRIZ_174!Y38,0)</f>
        <v>0</v>
      </c>
      <c r="AH39" s="22">
        <f>IFERROR(MATRIZ_174!Z38,0)</f>
        <v>0</v>
      </c>
      <c r="AI39" s="17">
        <f>IFERROR(MATRIZ_174!AP38,"N/A")</f>
        <v>0</v>
      </c>
      <c r="AJ39" s="17" t="str">
        <f>IFERROR(MATRIZ_174!AO38,"N/A")</f>
        <v>N/A</v>
      </c>
      <c r="AK39" s="23" t="str">
        <f t="shared" si="20"/>
        <v>N/A</v>
      </c>
      <c r="AL39" s="24" t="str">
        <f t="shared" si="21"/>
        <v>—</v>
      </c>
    </row>
    <row r="40" spans="1:38" ht="16.05" customHeight="1" x14ac:dyDescent="0.3">
      <c r="A40" s="13" t="s">
        <v>155</v>
      </c>
      <c r="B40" s="14" t="s">
        <v>156</v>
      </c>
      <c r="C40" s="13" t="s">
        <v>112</v>
      </c>
      <c r="D40" s="15">
        <v>587607.64</v>
      </c>
      <c r="E40" s="16" t="str">
        <f>IF(NORMALIZADO!CB39="","",NORMALIZADO!CB39)</f>
        <v/>
      </c>
      <c r="F40" s="17" t="str">
        <f>IF(NORMALIZADO!CC39="","",NORMALIZADO!CC39)</f>
        <v/>
      </c>
      <c r="G40" s="17">
        <f>IF(NORMALIZADO!CD39="",IFERROR(MATRIZ_174!U39*100,""),NORMALIZADO!CD39)</f>
        <v>100</v>
      </c>
      <c r="H40" s="16" t="str">
        <f>IF(NORMALIZADO!CE39="","",NORMALIZADO!CE39)</f>
        <v/>
      </c>
      <c r="I40" s="17" t="str">
        <f>IF(NORMALIZADO!CF39="","",NORMALIZADO!CF39)</f>
        <v/>
      </c>
      <c r="J40" s="17" t="str">
        <f>IF(NORMALIZADO!CG39="","",NORMALIZADO!CG39)</f>
        <v/>
      </c>
      <c r="K40" s="16" t="str">
        <f>IF(NORMALIZADO!CH39="","",NORMALIZADO!CH39)</f>
        <v/>
      </c>
      <c r="L40" s="16" t="str">
        <f>IF(NORMALIZADO!CI39="","",NORMALIZADO!CI39)</f>
        <v/>
      </c>
      <c r="M40" s="16" t="str">
        <f>IF(NORMALIZADO!CJ39="","",NORMALIZADO!CJ39)</f>
        <v/>
      </c>
      <c r="N40" s="16" t="str">
        <f>IF(NORMALIZADO!CK39="","",NORMALIZADO!CK39)</f>
        <v/>
      </c>
      <c r="O40" s="16" t="str">
        <f>IF(NORMALIZADO!CL39="","",NORMALIZADO!CL39)</f>
        <v/>
      </c>
      <c r="P40" s="17" t="str">
        <f t="shared" si="11"/>
        <v/>
      </c>
      <c r="Q40" s="17">
        <f t="shared" si="12"/>
        <v>0</v>
      </c>
      <c r="R40" s="17">
        <f t="shared" si="13"/>
        <v>0</v>
      </c>
      <c r="S40" s="17">
        <f t="shared" si="14"/>
        <v>0</v>
      </c>
      <c r="T40" s="17" t="str">
        <f>IF(ISNUMBER(MATRIZ_174!O39),IFERROR((K40+M40+MATRIZ_174!O39)/3,0),"")</f>
        <v/>
      </c>
      <c r="U40" s="18">
        <f>IF(ISNUMBER(MATRIZ_174!M39),MIN(100,ROUND(MATRIZ_174!M39,1)),"")</f>
        <v>50</v>
      </c>
      <c r="V40" s="18">
        <f t="shared" si="15"/>
        <v>50</v>
      </c>
      <c r="W40" s="18">
        <f>IFERROR(IF(MATRIZ_174!R39=0,65,IF(MATRIZ_174!R39/MATRIZ_174!Q39&gt;=2,35,IF(MATRIZ_174!R39/MATRIZ_174!Q39&gt;=0.5,50,65))),65)</f>
        <v>65</v>
      </c>
      <c r="X40" s="18" t="str">
        <f>IF(ISNUMBER(MATRIZ_174!O39),MIN(100,IF(MATRIZ_174!O39=0,70,30)+IF(MATRIZ_174!U39="",0,0.3*(100-MATRIZ_174!U39*100))),"")</f>
        <v/>
      </c>
      <c r="Y40" s="18">
        <f>IF(OR(MATRIZ_174!P39="ASOCIACION",MATRIZ_174!P39="PENDIENTE"),65,40)</f>
        <v>65</v>
      </c>
      <c r="Z40" s="19" t="str">
        <f t="shared" si="16"/>
        <v>—</v>
      </c>
      <c r="AA40" s="20">
        <f t="shared" si="17"/>
        <v>57.5</v>
      </c>
      <c r="AB40" s="21" t="str">
        <f t="shared" si="18"/>
        <v>—</v>
      </c>
      <c r="AC40" s="13" t="str">
        <f t="shared" si="19"/>
        <v>⬜  Pendiente de instrumento</v>
      </c>
      <c r="AD40" s="13" t="str">
        <f>IF(MATRIZ_174!U39="","",IF(MATRIZ_174!U39=0,"🚫  Inh. vigente OSCE",""))</f>
        <v/>
      </c>
      <c r="AE40" s="22">
        <f>IFERROR(MATRIZ_174!W39,0)</f>
        <v>1</v>
      </c>
      <c r="AF40" s="22">
        <f>IFERROR(MATRIZ_174!X39,0)</f>
        <v>0</v>
      </c>
      <c r="AG40" s="22">
        <f>IFERROR(MATRIZ_174!Y39,0)</f>
        <v>0</v>
      </c>
      <c r="AH40" s="22">
        <f>IFERROR(MATRIZ_174!Z39,0)</f>
        <v>0</v>
      </c>
      <c r="AI40" s="17">
        <f>IFERROR(MATRIZ_174!AP39,"N/A")</f>
        <v>0.3125</v>
      </c>
      <c r="AJ40" s="17" t="str">
        <f>IFERROR(MATRIZ_174!AO39,"N/A")</f>
        <v>N/A</v>
      </c>
      <c r="AK40" s="23" t="str">
        <f t="shared" si="20"/>
        <v>N/A</v>
      </c>
      <c r="AL40" s="24" t="str">
        <f t="shared" si="21"/>
        <v>—</v>
      </c>
    </row>
    <row r="41" spans="1:38" ht="16.05" customHeight="1" x14ac:dyDescent="0.3">
      <c r="A41" s="13" t="s">
        <v>157</v>
      </c>
      <c r="B41" s="14" t="s">
        <v>158</v>
      </c>
      <c r="C41" s="13" t="s">
        <v>112</v>
      </c>
      <c r="D41" s="15">
        <v>842214.99</v>
      </c>
      <c r="E41" s="16" t="str">
        <f>IF(NORMALIZADO!CB40="","",NORMALIZADO!CB40)</f>
        <v/>
      </c>
      <c r="F41" s="17" t="str">
        <f>IF(NORMALIZADO!CC40="","",NORMALIZADO!CC40)</f>
        <v/>
      </c>
      <c r="G41" s="17">
        <f>IF(NORMALIZADO!CD40="",IFERROR(MATRIZ_174!U40*100,""),NORMALIZADO!CD40)</f>
        <v>100</v>
      </c>
      <c r="H41" s="16" t="str">
        <f>IF(NORMALIZADO!CE40="","",NORMALIZADO!CE40)</f>
        <v/>
      </c>
      <c r="I41" s="17" t="str">
        <f>IF(NORMALIZADO!CF40="","",NORMALIZADO!CF40)</f>
        <v/>
      </c>
      <c r="J41" s="17" t="str">
        <f>IF(NORMALIZADO!CG40="","",NORMALIZADO!CG40)</f>
        <v/>
      </c>
      <c r="K41" s="16" t="str">
        <f>IF(NORMALIZADO!CH40="","",NORMALIZADO!CH40)</f>
        <v/>
      </c>
      <c r="L41" s="16" t="str">
        <f>IF(NORMALIZADO!CI40="","",NORMALIZADO!CI40)</f>
        <v/>
      </c>
      <c r="M41" s="16" t="str">
        <f>IF(NORMALIZADO!CJ40="","",NORMALIZADO!CJ40)</f>
        <v/>
      </c>
      <c r="N41" s="16" t="str">
        <f>IF(NORMALIZADO!CK40="","",NORMALIZADO!CK40)</f>
        <v/>
      </c>
      <c r="O41" s="16" t="str">
        <f>IF(NORMALIZADO!CL40="","",NORMALIZADO!CL40)</f>
        <v/>
      </c>
      <c r="P41" s="17" t="str">
        <f t="shared" si="11"/>
        <v/>
      </c>
      <c r="Q41" s="17">
        <f t="shared" si="12"/>
        <v>0</v>
      </c>
      <c r="R41" s="17">
        <f t="shared" si="13"/>
        <v>0</v>
      </c>
      <c r="S41" s="17">
        <f t="shared" si="14"/>
        <v>0</v>
      </c>
      <c r="T41" s="17" t="str">
        <f>IF(ISNUMBER(MATRIZ_174!O40),IFERROR((K41+M41+MATRIZ_174!O40)/3,0),"")</f>
        <v/>
      </c>
      <c r="U41" s="18">
        <f>IF(ISNUMBER(MATRIZ_174!M40),MIN(100,ROUND(MATRIZ_174!M40,1)),"")</f>
        <v>50</v>
      </c>
      <c r="V41" s="18">
        <f t="shared" si="15"/>
        <v>50</v>
      </c>
      <c r="W41" s="18">
        <f>IFERROR(IF(MATRIZ_174!R40=0,65,IF(MATRIZ_174!R40/MATRIZ_174!Q40&gt;=2,35,IF(MATRIZ_174!R40/MATRIZ_174!Q40&gt;=0.5,50,65))),65)</f>
        <v>65</v>
      </c>
      <c r="X41" s="18" t="str">
        <f>IF(ISNUMBER(MATRIZ_174!O40),MIN(100,IF(MATRIZ_174!O40=0,70,30)+IF(MATRIZ_174!U40="",0,0.3*(100-MATRIZ_174!U40*100))),"")</f>
        <v/>
      </c>
      <c r="Y41" s="18">
        <f>IF(OR(MATRIZ_174!P40="ASOCIACION",MATRIZ_174!P40="PENDIENTE"),65,40)</f>
        <v>65</v>
      </c>
      <c r="Z41" s="19" t="str">
        <f t="shared" si="16"/>
        <v>—</v>
      </c>
      <c r="AA41" s="20">
        <f t="shared" si="17"/>
        <v>57.5</v>
      </c>
      <c r="AB41" s="21" t="str">
        <f t="shared" si="18"/>
        <v>—</v>
      </c>
      <c r="AC41" s="13" t="str">
        <f t="shared" si="19"/>
        <v>⬜  Pendiente de instrumento</v>
      </c>
      <c r="AD41" s="13" t="str">
        <f>IF(MATRIZ_174!U40="","",IF(MATRIZ_174!U40=0,"🚫  Inh. vigente OSCE",""))</f>
        <v/>
      </c>
      <c r="AE41" s="22">
        <f>IFERROR(MATRIZ_174!W40,0)</f>
        <v>1</v>
      </c>
      <c r="AF41" s="22">
        <f>IFERROR(MATRIZ_174!X40,0)</f>
        <v>0</v>
      </c>
      <c r="AG41" s="22">
        <f>IFERROR(MATRIZ_174!Y40,0)</f>
        <v>0</v>
      </c>
      <c r="AH41" s="22">
        <f>IFERROR(MATRIZ_174!Z40,0)</f>
        <v>0</v>
      </c>
      <c r="AI41" s="17">
        <f>IFERROR(MATRIZ_174!AP40,"N/A")</f>
        <v>0.3125</v>
      </c>
      <c r="AJ41" s="17" t="str">
        <f>IFERROR(MATRIZ_174!AO40,"N/A")</f>
        <v>N/A</v>
      </c>
      <c r="AK41" s="23" t="str">
        <f t="shared" si="20"/>
        <v>N/A</v>
      </c>
      <c r="AL41" s="24" t="str">
        <f t="shared" si="21"/>
        <v>—</v>
      </c>
    </row>
    <row r="42" spans="1:38" ht="16.05" customHeight="1" x14ac:dyDescent="0.3">
      <c r="A42" s="13" t="s">
        <v>159</v>
      </c>
      <c r="B42" s="14" t="s">
        <v>160</v>
      </c>
      <c r="C42" s="13" t="s">
        <v>112</v>
      </c>
      <c r="D42" s="15">
        <v>0</v>
      </c>
      <c r="E42" s="16" t="str">
        <f>IF(NORMALIZADO!CB41="","",NORMALIZADO!CB41)</f>
        <v/>
      </c>
      <c r="F42" s="17" t="str">
        <f>IF(NORMALIZADO!CC41="","",NORMALIZADO!CC41)</f>
        <v/>
      </c>
      <c r="G42" s="17">
        <f>IF(NORMALIZADO!CD41="",IFERROR(MATRIZ_174!U41*100,""),NORMALIZADO!CD41)</f>
        <v>100</v>
      </c>
      <c r="H42" s="16" t="str">
        <f>IF(NORMALIZADO!CE41="","",NORMALIZADO!CE41)</f>
        <v/>
      </c>
      <c r="I42" s="17" t="str">
        <f>IF(NORMALIZADO!CF41="","",NORMALIZADO!CF41)</f>
        <v/>
      </c>
      <c r="J42" s="17" t="str">
        <f>IF(NORMALIZADO!CG41="","",NORMALIZADO!CG41)</f>
        <v/>
      </c>
      <c r="K42" s="16" t="str">
        <f>IF(NORMALIZADO!CH41="","",NORMALIZADO!CH41)</f>
        <v/>
      </c>
      <c r="L42" s="16" t="str">
        <f>IF(NORMALIZADO!CI41="","",NORMALIZADO!CI41)</f>
        <v/>
      </c>
      <c r="M42" s="16" t="str">
        <f>IF(NORMALIZADO!CJ41="","",NORMALIZADO!CJ41)</f>
        <v/>
      </c>
      <c r="N42" s="16" t="str">
        <f>IF(NORMALIZADO!CK41="","",NORMALIZADO!CK41)</f>
        <v/>
      </c>
      <c r="O42" s="16" t="str">
        <f>IF(NORMALIZADO!CL41="","",NORMALIZADO!CL41)</f>
        <v/>
      </c>
      <c r="P42" s="17" t="str">
        <f t="shared" si="11"/>
        <v/>
      </c>
      <c r="Q42" s="17">
        <f t="shared" si="12"/>
        <v>0</v>
      </c>
      <c r="R42" s="17">
        <f t="shared" si="13"/>
        <v>0</v>
      </c>
      <c r="S42" s="17">
        <f t="shared" si="14"/>
        <v>0</v>
      </c>
      <c r="T42" s="17" t="str">
        <f>IF(ISNUMBER(MATRIZ_174!O41),IFERROR((K42+M42+MATRIZ_174!O41)/3,0),"")</f>
        <v/>
      </c>
      <c r="U42" s="18" t="str">
        <f>IF(ISNUMBER(MATRIZ_174!M41),MIN(100,ROUND(MATRIZ_174!M41,1)),"")</f>
        <v/>
      </c>
      <c r="V42" s="18">
        <f t="shared" si="15"/>
        <v>50</v>
      </c>
      <c r="W42" s="18">
        <f>IFERROR(IF(MATRIZ_174!R41=0,65,IF(MATRIZ_174!R41/MATRIZ_174!Q41&gt;=2,35,IF(MATRIZ_174!R41/MATRIZ_174!Q41&gt;=0.5,50,65))),65)</f>
        <v>65</v>
      </c>
      <c r="X42" s="18" t="str">
        <f>IF(ISNUMBER(MATRIZ_174!O41),MIN(100,IF(MATRIZ_174!O41=0,70,30)+IF(MATRIZ_174!U41="",0,0.3*(100-MATRIZ_174!U41*100))),"")</f>
        <v/>
      </c>
      <c r="Y42" s="18">
        <f>IF(OR(MATRIZ_174!P41="ASOCIACION",MATRIZ_174!P41="PENDIENTE"),65,40)</f>
        <v>65</v>
      </c>
      <c r="Z42" s="19" t="str">
        <f t="shared" si="16"/>
        <v>—</v>
      </c>
      <c r="AA42" s="20">
        <f t="shared" si="17"/>
        <v>60</v>
      </c>
      <c r="AB42" s="21" t="str">
        <f t="shared" si="18"/>
        <v>—</v>
      </c>
      <c r="AC42" s="13" t="str">
        <f t="shared" si="19"/>
        <v>⬜  Pendiente de instrumento</v>
      </c>
      <c r="AD42" s="13" t="str">
        <f>IF(MATRIZ_174!U41="","",IF(MATRIZ_174!U41=0,"🚫  Inh. vigente OSCE",""))</f>
        <v/>
      </c>
      <c r="AE42" s="22">
        <f>IFERROR(MATRIZ_174!W41,0)</f>
        <v>0</v>
      </c>
      <c r="AF42" s="22">
        <f>IFERROR(MATRIZ_174!X41,0)</f>
        <v>0</v>
      </c>
      <c r="AG42" s="22">
        <f>IFERROR(MATRIZ_174!Y41,0)</f>
        <v>0</v>
      </c>
      <c r="AH42" s="22">
        <f>IFERROR(MATRIZ_174!Z41,0)</f>
        <v>0</v>
      </c>
      <c r="AI42" s="17">
        <f>IFERROR(MATRIZ_174!AP41,"N/A")</f>
        <v>0</v>
      </c>
      <c r="AJ42" s="17" t="str">
        <f>IFERROR(MATRIZ_174!AO41,"N/A")</f>
        <v>N/A</v>
      </c>
      <c r="AK42" s="23" t="str">
        <f t="shared" si="20"/>
        <v>N/A</v>
      </c>
      <c r="AL42" s="24" t="str">
        <f t="shared" si="21"/>
        <v>—</v>
      </c>
    </row>
    <row r="43" spans="1:38" ht="16.05" customHeight="1" x14ac:dyDescent="0.3">
      <c r="A43" s="13" t="s">
        <v>161</v>
      </c>
      <c r="B43" s="14" t="s">
        <v>162</v>
      </c>
      <c r="C43" s="13" t="s">
        <v>103</v>
      </c>
      <c r="D43" s="15">
        <v>408500</v>
      </c>
      <c r="E43" s="16" t="str">
        <f>IF(NORMALIZADO!CB42="","",NORMALIZADO!CB42)</f>
        <v/>
      </c>
      <c r="F43" s="17" t="str">
        <f>IF(NORMALIZADO!CC42="","",NORMALIZADO!CC42)</f>
        <v/>
      </c>
      <c r="G43" s="17">
        <f>IF(NORMALIZADO!CD42="",IFERROR(MATRIZ_174!U42*100,""),NORMALIZADO!CD42)</f>
        <v>100</v>
      </c>
      <c r="H43" s="16" t="str">
        <f>IF(NORMALIZADO!CE42="","",NORMALIZADO!CE42)</f>
        <v/>
      </c>
      <c r="I43" s="17" t="str">
        <f>IF(NORMALIZADO!CF42="","",NORMALIZADO!CF42)</f>
        <v/>
      </c>
      <c r="J43" s="17" t="str">
        <f>IF(NORMALIZADO!CG42="","",NORMALIZADO!CG42)</f>
        <v/>
      </c>
      <c r="K43" s="16" t="str">
        <f>IF(NORMALIZADO!CH42="","",NORMALIZADO!CH42)</f>
        <v/>
      </c>
      <c r="L43" s="16" t="str">
        <f>IF(NORMALIZADO!CI42="","",NORMALIZADO!CI42)</f>
        <v/>
      </c>
      <c r="M43" s="16" t="str">
        <f>IF(NORMALIZADO!CJ42="","",NORMALIZADO!CJ42)</f>
        <v/>
      </c>
      <c r="N43" s="16" t="str">
        <f>IF(NORMALIZADO!CK42="","",NORMALIZADO!CK42)</f>
        <v/>
      </c>
      <c r="O43" s="16" t="str">
        <f>IF(NORMALIZADO!CL42="","",NORMALIZADO!CL42)</f>
        <v/>
      </c>
      <c r="P43" s="17" t="str">
        <f t="shared" si="11"/>
        <v/>
      </c>
      <c r="Q43" s="17">
        <f t="shared" si="12"/>
        <v>0</v>
      </c>
      <c r="R43" s="17">
        <f t="shared" si="13"/>
        <v>0</v>
      </c>
      <c r="S43" s="17">
        <f t="shared" si="14"/>
        <v>0</v>
      </c>
      <c r="T43" s="17" t="str">
        <f>IF(ISNUMBER(MATRIZ_174!O42),IFERROR((K43+M43+MATRIZ_174!O42)/3,0),"")</f>
        <v/>
      </c>
      <c r="U43" s="18">
        <f>IF(ISNUMBER(MATRIZ_174!M42),MIN(100,ROUND(MATRIZ_174!M42,1)),"")</f>
        <v>50</v>
      </c>
      <c r="V43" s="18">
        <f t="shared" si="15"/>
        <v>50</v>
      </c>
      <c r="W43" s="18">
        <f>IFERROR(IF(MATRIZ_174!R42=0,65,IF(MATRIZ_174!R42/MATRIZ_174!Q42&gt;=2,35,IF(MATRIZ_174!R42/MATRIZ_174!Q42&gt;=0.5,50,65))),65)</f>
        <v>65</v>
      </c>
      <c r="X43" s="18" t="str">
        <f>IF(ISNUMBER(MATRIZ_174!O42),MIN(100,IF(MATRIZ_174!O42=0,70,30)+IF(MATRIZ_174!U42="",0,0.3*(100-MATRIZ_174!U42*100))),"")</f>
        <v/>
      </c>
      <c r="Y43" s="18">
        <f>IF(OR(MATRIZ_174!P42="ASOCIACION",MATRIZ_174!P42="PENDIENTE"),65,40)</f>
        <v>65</v>
      </c>
      <c r="Z43" s="19" t="str">
        <f t="shared" si="16"/>
        <v>—</v>
      </c>
      <c r="AA43" s="20">
        <f t="shared" si="17"/>
        <v>57.5</v>
      </c>
      <c r="AB43" s="21" t="str">
        <f t="shared" si="18"/>
        <v>—</v>
      </c>
      <c r="AC43" s="13" t="str">
        <f t="shared" si="19"/>
        <v>⬜  Pendiente de instrumento</v>
      </c>
      <c r="AD43" s="13" t="str">
        <f>IF(MATRIZ_174!U42="","",IF(MATRIZ_174!U42=0,"🚫  Inh. vigente OSCE",""))</f>
        <v/>
      </c>
      <c r="AE43" s="22">
        <f>IFERROR(MATRIZ_174!W42,0)</f>
        <v>0</v>
      </c>
      <c r="AF43" s="22">
        <f>IFERROR(MATRIZ_174!X42,0)</f>
        <v>0</v>
      </c>
      <c r="AG43" s="22">
        <f>IFERROR(MATRIZ_174!Y42,0)</f>
        <v>0</v>
      </c>
      <c r="AH43" s="22">
        <f>IFERROR(MATRIZ_174!Z42,0)</f>
        <v>0</v>
      </c>
      <c r="AI43" s="17">
        <f>IFERROR(MATRIZ_174!AP42,"N/A")</f>
        <v>0.25</v>
      </c>
      <c r="AJ43" s="17" t="str">
        <f>IFERROR(MATRIZ_174!AO42,"N/A")</f>
        <v>N/A</v>
      </c>
      <c r="AK43" s="23" t="str">
        <f t="shared" si="20"/>
        <v>N/A</v>
      </c>
      <c r="AL43" s="24" t="str">
        <f t="shared" si="21"/>
        <v>—</v>
      </c>
    </row>
    <row r="44" spans="1:38" ht="16.05" customHeight="1" x14ac:dyDescent="0.3">
      <c r="A44" s="13" t="s">
        <v>163</v>
      </c>
      <c r="B44" s="14" t="s">
        <v>164</v>
      </c>
      <c r="C44" s="13" t="s">
        <v>77</v>
      </c>
      <c r="D44" s="15">
        <v>0</v>
      </c>
      <c r="E44" s="16" t="str">
        <f>IF(NORMALIZADO!CB43="","",NORMALIZADO!CB43)</f>
        <v/>
      </c>
      <c r="F44" s="17" t="str">
        <f>IF(NORMALIZADO!CC43="","",NORMALIZADO!CC43)</f>
        <v/>
      </c>
      <c r="G44" s="17">
        <f>IF(NORMALIZADO!CD43="",IFERROR(MATRIZ_174!U43*100,""),NORMALIZADO!CD43)</f>
        <v>100</v>
      </c>
      <c r="H44" s="16" t="str">
        <f>IF(NORMALIZADO!CE43="","",NORMALIZADO!CE43)</f>
        <v/>
      </c>
      <c r="I44" s="17" t="str">
        <f>IF(NORMALIZADO!CF43="","",NORMALIZADO!CF43)</f>
        <v/>
      </c>
      <c r="J44" s="17" t="str">
        <f>IF(NORMALIZADO!CG43="","",NORMALIZADO!CG43)</f>
        <v/>
      </c>
      <c r="K44" s="16" t="str">
        <f>IF(NORMALIZADO!CH43="","",NORMALIZADO!CH43)</f>
        <v/>
      </c>
      <c r="L44" s="16" t="str">
        <f>IF(NORMALIZADO!CI43="","",NORMALIZADO!CI43)</f>
        <v/>
      </c>
      <c r="M44" s="16" t="str">
        <f>IF(NORMALIZADO!CJ43="","",NORMALIZADO!CJ43)</f>
        <v/>
      </c>
      <c r="N44" s="16" t="str">
        <f>IF(NORMALIZADO!CK43="","",NORMALIZADO!CK43)</f>
        <v/>
      </c>
      <c r="O44" s="16" t="str">
        <f>IF(NORMALIZADO!CL43="","",NORMALIZADO!CL43)</f>
        <v/>
      </c>
      <c r="P44" s="17" t="str">
        <f t="shared" si="11"/>
        <v/>
      </c>
      <c r="Q44" s="17">
        <f t="shared" si="12"/>
        <v>0</v>
      </c>
      <c r="R44" s="17">
        <f t="shared" si="13"/>
        <v>0</v>
      </c>
      <c r="S44" s="17">
        <f t="shared" si="14"/>
        <v>0</v>
      </c>
      <c r="T44" s="17" t="str">
        <f>IF(ISNUMBER(MATRIZ_174!O43),IFERROR((K44+M44+MATRIZ_174!O43)/3,0),"")</f>
        <v/>
      </c>
      <c r="U44" s="18" t="str">
        <f>IF(ISNUMBER(MATRIZ_174!M43),MIN(100,ROUND(MATRIZ_174!M43,1)),"")</f>
        <v/>
      </c>
      <c r="V44" s="18">
        <f t="shared" si="15"/>
        <v>50</v>
      </c>
      <c r="W44" s="18">
        <f>IFERROR(IF(MATRIZ_174!R43=0,65,IF(MATRIZ_174!R43/MATRIZ_174!Q43&gt;=2,35,IF(MATRIZ_174!R43/MATRIZ_174!Q43&gt;=0.5,50,65))),65)</f>
        <v>65</v>
      </c>
      <c r="X44" s="18" t="str">
        <f>IF(ISNUMBER(MATRIZ_174!O43),MIN(100,IF(MATRIZ_174!O43=0,70,30)+IF(MATRIZ_174!U43="",0,0.3*(100-MATRIZ_174!U43*100))),"")</f>
        <v/>
      </c>
      <c r="Y44" s="18">
        <f>IF(OR(MATRIZ_174!P43="ASOCIACION",MATRIZ_174!P43="PENDIENTE"),65,40)</f>
        <v>65</v>
      </c>
      <c r="Z44" s="19" t="str">
        <f t="shared" si="16"/>
        <v>—</v>
      </c>
      <c r="AA44" s="20">
        <f t="shared" si="17"/>
        <v>60</v>
      </c>
      <c r="AB44" s="21" t="str">
        <f t="shared" si="18"/>
        <v>—</v>
      </c>
      <c r="AC44" s="13" t="str">
        <f t="shared" si="19"/>
        <v>⬜  Pendiente de instrumento</v>
      </c>
      <c r="AD44" s="13" t="str">
        <f>IF(MATRIZ_174!U43="","",IF(MATRIZ_174!U43=0,"🚫  Inh. vigente OSCE",""))</f>
        <v/>
      </c>
      <c r="AE44" s="22">
        <f>IFERROR(MATRIZ_174!W43,0)</f>
        <v>0</v>
      </c>
      <c r="AF44" s="22">
        <f>IFERROR(MATRIZ_174!X43,0)</f>
        <v>0</v>
      </c>
      <c r="AG44" s="22">
        <f>IFERROR(MATRIZ_174!Y43,0)</f>
        <v>0</v>
      </c>
      <c r="AH44" s="22">
        <f>IFERROR(MATRIZ_174!Z43,0)</f>
        <v>0</v>
      </c>
      <c r="AI44" s="17">
        <f>IFERROR(MATRIZ_174!AP43,"N/A")</f>
        <v>0</v>
      </c>
      <c r="AJ44" s="17" t="str">
        <f>IFERROR(MATRIZ_174!AO43,"N/A")</f>
        <v>N/A</v>
      </c>
      <c r="AK44" s="23" t="str">
        <f t="shared" si="20"/>
        <v>N/A</v>
      </c>
      <c r="AL44" s="24" t="str">
        <f t="shared" si="21"/>
        <v>—</v>
      </c>
    </row>
    <row r="45" spans="1:38" ht="16.05" customHeight="1" x14ac:dyDescent="0.3">
      <c r="A45" s="13" t="s">
        <v>165</v>
      </c>
      <c r="B45" s="14" t="s">
        <v>166</v>
      </c>
      <c r="C45" s="13" t="s">
        <v>77</v>
      </c>
      <c r="D45" s="15">
        <v>0</v>
      </c>
      <c r="E45" s="16" t="str">
        <f>IF(NORMALIZADO!CB44="","",NORMALIZADO!CB44)</f>
        <v/>
      </c>
      <c r="F45" s="17" t="str">
        <f>IF(NORMALIZADO!CC44="","",NORMALIZADO!CC44)</f>
        <v/>
      </c>
      <c r="G45" s="17">
        <f>IF(NORMALIZADO!CD44="",IFERROR(MATRIZ_174!U44*100,""),NORMALIZADO!CD44)</f>
        <v>100</v>
      </c>
      <c r="H45" s="16" t="str">
        <f>IF(NORMALIZADO!CE44="","",NORMALIZADO!CE44)</f>
        <v/>
      </c>
      <c r="I45" s="17" t="str">
        <f>IF(NORMALIZADO!CF44="","",NORMALIZADO!CF44)</f>
        <v/>
      </c>
      <c r="J45" s="17" t="str">
        <f>IF(NORMALIZADO!CG44="","",NORMALIZADO!CG44)</f>
        <v/>
      </c>
      <c r="K45" s="16" t="str">
        <f>IF(NORMALIZADO!CH44="","",NORMALIZADO!CH44)</f>
        <v/>
      </c>
      <c r="L45" s="16" t="str">
        <f>IF(NORMALIZADO!CI44="","",NORMALIZADO!CI44)</f>
        <v/>
      </c>
      <c r="M45" s="16" t="str">
        <f>IF(NORMALIZADO!CJ44="","",NORMALIZADO!CJ44)</f>
        <v/>
      </c>
      <c r="N45" s="16" t="str">
        <f>IF(NORMALIZADO!CK44="","",NORMALIZADO!CK44)</f>
        <v/>
      </c>
      <c r="O45" s="16" t="str">
        <f>IF(NORMALIZADO!CL44="","",NORMALIZADO!CL44)</f>
        <v/>
      </c>
      <c r="P45" s="17" t="str">
        <f t="shared" si="11"/>
        <v/>
      </c>
      <c r="Q45" s="17">
        <f t="shared" si="12"/>
        <v>0</v>
      </c>
      <c r="R45" s="17">
        <f t="shared" si="13"/>
        <v>0</v>
      </c>
      <c r="S45" s="17">
        <f t="shared" si="14"/>
        <v>0</v>
      </c>
      <c r="T45" s="17" t="str">
        <f>IF(ISNUMBER(MATRIZ_174!O44),IFERROR((K45+M45+MATRIZ_174!O44)/3,0),"")</f>
        <v/>
      </c>
      <c r="U45" s="18" t="str">
        <f>IF(ISNUMBER(MATRIZ_174!M44),MIN(100,ROUND(MATRIZ_174!M44,1)),"")</f>
        <v/>
      </c>
      <c r="V45" s="18">
        <f t="shared" si="15"/>
        <v>50</v>
      </c>
      <c r="W45" s="18">
        <f>IFERROR(IF(MATRIZ_174!R44=0,65,IF(MATRIZ_174!R44/MATRIZ_174!Q44&gt;=2,35,IF(MATRIZ_174!R44/MATRIZ_174!Q44&gt;=0.5,50,65))),65)</f>
        <v>65</v>
      </c>
      <c r="X45" s="18" t="str">
        <f>IF(ISNUMBER(MATRIZ_174!O44),MIN(100,IF(MATRIZ_174!O44=0,70,30)+IF(MATRIZ_174!U44="",0,0.3*(100-MATRIZ_174!U44*100))),"")</f>
        <v/>
      </c>
      <c r="Y45" s="18">
        <f>IF(OR(MATRIZ_174!P44="ASOCIACION",MATRIZ_174!P44="PENDIENTE"),65,40)</f>
        <v>65</v>
      </c>
      <c r="Z45" s="19" t="str">
        <f t="shared" si="16"/>
        <v>—</v>
      </c>
      <c r="AA45" s="20">
        <f t="shared" si="17"/>
        <v>60</v>
      </c>
      <c r="AB45" s="21" t="str">
        <f t="shared" si="18"/>
        <v>—</v>
      </c>
      <c r="AC45" s="13" t="str">
        <f t="shared" si="19"/>
        <v>⬜  Pendiente de instrumento</v>
      </c>
      <c r="AD45" s="13" t="str">
        <f>IF(MATRIZ_174!U44="","",IF(MATRIZ_174!U44=0,"🚫  Inh. vigente OSCE",""))</f>
        <v/>
      </c>
      <c r="AE45" s="22">
        <f>IFERROR(MATRIZ_174!W44,0)</f>
        <v>0</v>
      </c>
      <c r="AF45" s="22">
        <f>IFERROR(MATRIZ_174!X44,0)</f>
        <v>0</v>
      </c>
      <c r="AG45" s="22">
        <f>IFERROR(MATRIZ_174!Y44,0)</f>
        <v>0</v>
      </c>
      <c r="AH45" s="22">
        <f>IFERROR(MATRIZ_174!Z44,0)</f>
        <v>0</v>
      </c>
      <c r="AI45" s="17">
        <f>IFERROR(MATRIZ_174!AP44,"N/A")</f>
        <v>0</v>
      </c>
      <c r="AJ45" s="17" t="str">
        <f>IFERROR(MATRIZ_174!AO44,"N/A")</f>
        <v>N/A</v>
      </c>
      <c r="AK45" s="23" t="str">
        <f t="shared" si="20"/>
        <v>N/A</v>
      </c>
      <c r="AL45" s="24" t="str">
        <f t="shared" si="21"/>
        <v>—</v>
      </c>
    </row>
    <row r="46" spans="1:38" ht="16.05" customHeight="1" x14ac:dyDescent="0.3">
      <c r="A46" s="13" t="s">
        <v>167</v>
      </c>
      <c r="B46" s="14" t="s">
        <v>168</v>
      </c>
      <c r="C46" s="13" t="s">
        <v>77</v>
      </c>
      <c r="D46" s="15">
        <v>6603846.0300000003</v>
      </c>
      <c r="E46" s="16" t="str">
        <f>IF(NORMALIZADO!CB45="","",NORMALIZADO!CB45)</f>
        <v/>
      </c>
      <c r="F46" s="17" t="str">
        <f>IF(NORMALIZADO!CC45="","",NORMALIZADO!CC45)</f>
        <v/>
      </c>
      <c r="G46" s="17">
        <f>IF(NORMALIZADO!CD45="",IFERROR(MATRIZ_174!U45*100,""),NORMALIZADO!CD45)</f>
        <v>100</v>
      </c>
      <c r="H46" s="16" t="str">
        <f>IF(NORMALIZADO!CE45="","",NORMALIZADO!CE45)</f>
        <v/>
      </c>
      <c r="I46" s="17" t="str">
        <f>IF(NORMALIZADO!CF45="","",NORMALIZADO!CF45)</f>
        <v/>
      </c>
      <c r="J46" s="17" t="str">
        <f>IF(NORMALIZADO!CG45="","",NORMALIZADO!CG45)</f>
        <v/>
      </c>
      <c r="K46" s="16" t="str">
        <f>IF(NORMALIZADO!CH45="","",NORMALIZADO!CH45)</f>
        <v/>
      </c>
      <c r="L46" s="16" t="str">
        <f>IF(NORMALIZADO!CI45="","",NORMALIZADO!CI45)</f>
        <v/>
      </c>
      <c r="M46" s="16" t="str">
        <f>IF(NORMALIZADO!CJ45="","",NORMALIZADO!CJ45)</f>
        <v/>
      </c>
      <c r="N46" s="16" t="str">
        <f>IF(NORMALIZADO!CK45="","",NORMALIZADO!CK45)</f>
        <v/>
      </c>
      <c r="O46" s="16" t="str">
        <f>IF(NORMALIZADO!CL45="","",NORMALIZADO!CL45)</f>
        <v/>
      </c>
      <c r="P46" s="17" t="str">
        <f t="shared" si="11"/>
        <v/>
      </c>
      <c r="Q46" s="17">
        <f t="shared" si="12"/>
        <v>0</v>
      </c>
      <c r="R46" s="17">
        <f t="shared" si="13"/>
        <v>0</v>
      </c>
      <c r="S46" s="17">
        <f t="shared" si="14"/>
        <v>0</v>
      </c>
      <c r="T46" s="17" t="str">
        <f>IF(ISNUMBER(MATRIZ_174!O45),IFERROR((K46+M46+MATRIZ_174!O45)/3,0),"")</f>
        <v/>
      </c>
      <c r="U46" s="18">
        <f>IF(ISNUMBER(MATRIZ_174!M45),MIN(100,ROUND(MATRIZ_174!M45,1)),"")</f>
        <v>50</v>
      </c>
      <c r="V46" s="18">
        <f t="shared" si="15"/>
        <v>50</v>
      </c>
      <c r="W46" s="18">
        <f>IFERROR(IF(MATRIZ_174!R45=0,65,IF(MATRIZ_174!R45/MATRIZ_174!Q45&gt;=2,35,IF(MATRIZ_174!R45/MATRIZ_174!Q45&gt;=0.5,50,65))),65)</f>
        <v>65</v>
      </c>
      <c r="X46" s="18" t="str">
        <f>IF(ISNUMBER(MATRIZ_174!O45),MIN(100,IF(MATRIZ_174!O45=0,70,30)+IF(MATRIZ_174!U45="",0,0.3*(100-MATRIZ_174!U45*100))),"")</f>
        <v/>
      </c>
      <c r="Y46" s="18">
        <f>IF(OR(MATRIZ_174!P45="ASOCIACION",MATRIZ_174!P45="PENDIENTE"),65,40)</f>
        <v>65</v>
      </c>
      <c r="Z46" s="19" t="str">
        <f t="shared" si="16"/>
        <v>—</v>
      </c>
      <c r="AA46" s="20">
        <f t="shared" si="17"/>
        <v>57.5</v>
      </c>
      <c r="AB46" s="21" t="str">
        <f t="shared" si="18"/>
        <v>—</v>
      </c>
      <c r="AC46" s="13" t="str">
        <f t="shared" si="19"/>
        <v>⬜  Pendiente de instrumento</v>
      </c>
      <c r="AD46" s="13" t="str">
        <f>IF(MATRIZ_174!U45="","",IF(MATRIZ_174!U45=0,"🚫  Inh. vigente OSCE",""))</f>
        <v/>
      </c>
      <c r="AE46" s="22">
        <f>IFERROR(MATRIZ_174!W45,0)</f>
        <v>1</v>
      </c>
      <c r="AF46" s="22">
        <f>IFERROR(MATRIZ_174!X45,0)</f>
        <v>0</v>
      </c>
      <c r="AG46" s="22">
        <f>IFERROR(MATRIZ_174!Y45,0)</f>
        <v>0</v>
      </c>
      <c r="AH46" s="22">
        <f>IFERROR(MATRIZ_174!Z45,0)</f>
        <v>0</v>
      </c>
      <c r="AI46" s="17">
        <f>IFERROR(MATRIZ_174!AP45,"N/A")</f>
        <v>0.3125</v>
      </c>
      <c r="AJ46" s="17" t="str">
        <f>IFERROR(MATRIZ_174!AO45,"N/A")</f>
        <v>N/A</v>
      </c>
      <c r="AK46" s="23" t="str">
        <f t="shared" si="20"/>
        <v>N/A</v>
      </c>
      <c r="AL46" s="24" t="str">
        <f t="shared" si="21"/>
        <v>—</v>
      </c>
    </row>
    <row r="47" spans="1:38" ht="16.05" customHeight="1" x14ac:dyDescent="0.3">
      <c r="A47" s="13" t="s">
        <v>169</v>
      </c>
      <c r="B47" s="14" t="s">
        <v>170</v>
      </c>
      <c r="C47" s="13" t="s">
        <v>77</v>
      </c>
      <c r="D47" s="15">
        <v>0</v>
      </c>
      <c r="E47" s="16" t="str">
        <f>IF(NORMALIZADO!CB46="","",NORMALIZADO!CB46)</f>
        <v/>
      </c>
      <c r="F47" s="17" t="str">
        <f>IF(NORMALIZADO!CC46="","",NORMALIZADO!CC46)</f>
        <v/>
      </c>
      <c r="G47" s="17">
        <f>IF(NORMALIZADO!CD46="",IFERROR(MATRIZ_174!U46*100,""),NORMALIZADO!CD46)</f>
        <v>100</v>
      </c>
      <c r="H47" s="16" t="str">
        <f>IF(NORMALIZADO!CE46="","",NORMALIZADO!CE46)</f>
        <v/>
      </c>
      <c r="I47" s="17" t="str">
        <f>IF(NORMALIZADO!CF46="","",NORMALIZADO!CF46)</f>
        <v/>
      </c>
      <c r="J47" s="17" t="str">
        <f>IF(NORMALIZADO!CG46="","",NORMALIZADO!CG46)</f>
        <v/>
      </c>
      <c r="K47" s="16" t="str">
        <f>IF(NORMALIZADO!CH46="","",NORMALIZADO!CH46)</f>
        <v/>
      </c>
      <c r="L47" s="16" t="str">
        <f>IF(NORMALIZADO!CI46="","",NORMALIZADO!CI46)</f>
        <v/>
      </c>
      <c r="M47" s="16" t="str">
        <f>IF(NORMALIZADO!CJ46="","",NORMALIZADO!CJ46)</f>
        <v/>
      </c>
      <c r="N47" s="16" t="str">
        <f>IF(NORMALIZADO!CK46="","",NORMALIZADO!CK46)</f>
        <v/>
      </c>
      <c r="O47" s="16" t="str">
        <f>IF(NORMALIZADO!CL46="","",NORMALIZADO!CL46)</f>
        <v/>
      </c>
      <c r="P47" s="17" t="str">
        <f t="shared" si="11"/>
        <v/>
      </c>
      <c r="Q47" s="17">
        <f t="shared" si="12"/>
        <v>0</v>
      </c>
      <c r="R47" s="17">
        <f t="shared" si="13"/>
        <v>0</v>
      </c>
      <c r="S47" s="17">
        <f t="shared" si="14"/>
        <v>0</v>
      </c>
      <c r="T47" s="17" t="str">
        <f>IF(ISNUMBER(MATRIZ_174!O46),IFERROR((K47+M47+MATRIZ_174!O46)/3,0),"")</f>
        <v/>
      </c>
      <c r="U47" s="18" t="str">
        <f>IF(ISNUMBER(MATRIZ_174!M46),MIN(100,ROUND(MATRIZ_174!M46,1)),"")</f>
        <v/>
      </c>
      <c r="V47" s="18">
        <f t="shared" si="15"/>
        <v>50</v>
      </c>
      <c r="W47" s="18">
        <f>IFERROR(IF(MATRIZ_174!R46=0,65,IF(MATRIZ_174!R46/MATRIZ_174!Q46&gt;=2,35,IF(MATRIZ_174!R46/MATRIZ_174!Q46&gt;=0.5,50,65))),65)</f>
        <v>65</v>
      </c>
      <c r="X47" s="18" t="str">
        <f>IF(ISNUMBER(MATRIZ_174!O46),MIN(100,IF(MATRIZ_174!O46=0,70,30)+IF(MATRIZ_174!U46="",0,0.3*(100-MATRIZ_174!U46*100))),"")</f>
        <v/>
      </c>
      <c r="Y47" s="18">
        <f>IF(OR(MATRIZ_174!P46="ASOCIACION",MATRIZ_174!P46="PENDIENTE"),65,40)</f>
        <v>65</v>
      </c>
      <c r="Z47" s="19" t="str">
        <f t="shared" si="16"/>
        <v>—</v>
      </c>
      <c r="AA47" s="20">
        <f t="shared" si="17"/>
        <v>60</v>
      </c>
      <c r="AB47" s="21" t="str">
        <f t="shared" si="18"/>
        <v>—</v>
      </c>
      <c r="AC47" s="13" t="str">
        <f t="shared" si="19"/>
        <v>⬜  Pendiente de instrumento</v>
      </c>
      <c r="AD47" s="13" t="str">
        <f>IF(MATRIZ_174!U46="","",IF(MATRIZ_174!U46=0,"🚫  Inh. vigente OSCE",""))</f>
        <v/>
      </c>
      <c r="AE47" s="22">
        <f>IFERROR(MATRIZ_174!W46,0)</f>
        <v>0</v>
      </c>
      <c r="AF47" s="22">
        <f>IFERROR(MATRIZ_174!X46,0)</f>
        <v>0</v>
      </c>
      <c r="AG47" s="22">
        <f>IFERROR(MATRIZ_174!Y46,0)</f>
        <v>0</v>
      </c>
      <c r="AH47" s="22">
        <f>IFERROR(MATRIZ_174!Z46,0)</f>
        <v>0</v>
      </c>
      <c r="AI47" s="17">
        <f>IFERROR(MATRIZ_174!AP46,"N/A")</f>
        <v>0</v>
      </c>
      <c r="AJ47" s="17" t="str">
        <f>IFERROR(MATRIZ_174!AO46,"N/A")</f>
        <v>N/A</v>
      </c>
      <c r="AK47" s="23" t="str">
        <f t="shared" si="20"/>
        <v>N/A</v>
      </c>
      <c r="AL47" s="24" t="str">
        <f t="shared" si="21"/>
        <v>—</v>
      </c>
    </row>
    <row r="48" spans="1:38" ht="16.05" customHeight="1" x14ac:dyDescent="0.3">
      <c r="A48" s="13" t="s">
        <v>171</v>
      </c>
      <c r="B48" s="14" t="s">
        <v>172</v>
      </c>
      <c r="C48" s="13" t="s">
        <v>77</v>
      </c>
      <c r="D48" s="15">
        <v>0</v>
      </c>
      <c r="E48" s="16" t="str">
        <f>IF(NORMALIZADO!CB47="","",NORMALIZADO!CB47)</f>
        <v/>
      </c>
      <c r="F48" s="17" t="str">
        <f>IF(NORMALIZADO!CC47="","",NORMALIZADO!CC47)</f>
        <v/>
      </c>
      <c r="G48" s="17">
        <f>IF(NORMALIZADO!CD47="",IFERROR(MATRIZ_174!U47*100,""),NORMALIZADO!CD47)</f>
        <v>100</v>
      </c>
      <c r="H48" s="16" t="str">
        <f>IF(NORMALIZADO!CE47="","",NORMALIZADO!CE47)</f>
        <v/>
      </c>
      <c r="I48" s="17" t="str">
        <f>IF(NORMALIZADO!CF47="","",NORMALIZADO!CF47)</f>
        <v/>
      </c>
      <c r="J48" s="17" t="str">
        <f>IF(NORMALIZADO!CG47="","",NORMALIZADO!CG47)</f>
        <v/>
      </c>
      <c r="K48" s="16" t="str">
        <f>IF(NORMALIZADO!CH47="","",NORMALIZADO!CH47)</f>
        <v/>
      </c>
      <c r="L48" s="16" t="str">
        <f>IF(NORMALIZADO!CI47="","",NORMALIZADO!CI47)</f>
        <v/>
      </c>
      <c r="M48" s="16" t="str">
        <f>IF(NORMALIZADO!CJ47="","",NORMALIZADO!CJ47)</f>
        <v/>
      </c>
      <c r="N48" s="16" t="str">
        <f>IF(NORMALIZADO!CK47="","",NORMALIZADO!CK47)</f>
        <v/>
      </c>
      <c r="O48" s="16" t="str">
        <f>IF(NORMALIZADO!CL47="","",NORMALIZADO!CL47)</f>
        <v/>
      </c>
      <c r="P48" s="17" t="str">
        <f t="shared" si="11"/>
        <v/>
      </c>
      <c r="Q48" s="17">
        <f t="shared" si="12"/>
        <v>0</v>
      </c>
      <c r="R48" s="17">
        <f t="shared" si="13"/>
        <v>0</v>
      </c>
      <c r="S48" s="17">
        <f t="shared" si="14"/>
        <v>0</v>
      </c>
      <c r="T48" s="17" t="str">
        <f>IF(ISNUMBER(MATRIZ_174!O47),IFERROR((K48+M48+MATRIZ_174!O47)/3,0),"")</f>
        <v/>
      </c>
      <c r="U48" s="18" t="str">
        <f>IF(ISNUMBER(MATRIZ_174!M47),MIN(100,ROUND(MATRIZ_174!M47,1)),"")</f>
        <v/>
      </c>
      <c r="V48" s="18">
        <f t="shared" si="15"/>
        <v>50</v>
      </c>
      <c r="W48" s="18">
        <f>IFERROR(IF(MATRIZ_174!R47=0,65,IF(MATRIZ_174!R47/MATRIZ_174!Q47&gt;=2,35,IF(MATRIZ_174!R47/MATRIZ_174!Q47&gt;=0.5,50,65))),65)</f>
        <v>65</v>
      </c>
      <c r="X48" s="18" t="str">
        <f>IF(ISNUMBER(MATRIZ_174!O47),MIN(100,IF(MATRIZ_174!O47=0,70,30)+IF(MATRIZ_174!U47="",0,0.3*(100-MATRIZ_174!U47*100))),"")</f>
        <v/>
      </c>
      <c r="Y48" s="18">
        <f>IF(OR(MATRIZ_174!P47="ASOCIACION",MATRIZ_174!P47="PENDIENTE"),65,40)</f>
        <v>65</v>
      </c>
      <c r="Z48" s="19" t="str">
        <f t="shared" si="16"/>
        <v>—</v>
      </c>
      <c r="AA48" s="20">
        <f t="shared" si="17"/>
        <v>60</v>
      </c>
      <c r="AB48" s="21" t="str">
        <f t="shared" si="18"/>
        <v>—</v>
      </c>
      <c r="AC48" s="13" t="str">
        <f t="shared" si="19"/>
        <v>⬜  Pendiente de instrumento</v>
      </c>
      <c r="AD48" s="13" t="str">
        <f>IF(MATRIZ_174!U47="","",IF(MATRIZ_174!U47=0,"🚫  Inh. vigente OSCE",""))</f>
        <v/>
      </c>
      <c r="AE48" s="22">
        <f>IFERROR(MATRIZ_174!W47,0)</f>
        <v>0</v>
      </c>
      <c r="AF48" s="22">
        <f>IFERROR(MATRIZ_174!X47,0)</f>
        <v>0</v>
      </c>
      <c r="AG48" s="22">
        <f>IFERROR(MATRIZ_174!Y47,0)</f>
        <v>0</v>
      </c>
      <c r="AH48" s="22">
        <f>IFERROR(MATRIZ_174!Z47,0)</f>
        <v>0</v>
      </c>
      <c r="AI48" s="17">
        <f>IFERROR(MATRIZ_174!AP47,"N/A")</f>
        <v>0</v>
      </c>
      <c r="AJ48" s="17" t="str">
        <f>IFERROR(MATRIZ_174!AO47,"N/A")</f>
        <v>N/A</v>
      </c>
      <c r="AK48" s="23" t="str">
        <f t="shared" si="20"/>
        <v>N/A</v>
      </c>
      <c r="AL48" s="24" t="str">
        <f t="shared" si="21"/>
        <v>—</v>
      </c>
    </row>
    <row r="49" spans="1:38" ht="16.05" customHeight="1" x14ac:dyDescent="0.3">
      <c r="A49" s="13" t="s">
        <v>173</v>
      </c>
      <c r="B49" s="14" t="s">
        <v>174</v>
      </c>
      <c r="C49" s="13" t="s">
        <v>77</v>
      </c>
      <c r="D49" s="15">
        <v>15171146.539999999</v>
      </c>
      <c r="E49" s="16" t="str">
        <f>IF(NORMALIZADO!CB48="","",NORMALIZADO!CB48)</f>
        <v/>
      </c>
      <c r="F49" s="17" t="str">
        <f>IF(NORMALIZADO!CC48="","",NORMALIZADO!CC48)</f>
        <v/>
      </c>
      <c r="G49" s="17">
        <f>IF(NORMALIZADO!CD48="",IFERROR(MATRIZ_174!U48*100,""),NORMALIZADO!CD48)</f>
        <v>100</v>
      </c>
      <c r="H49" s="16" t="str">
        <f>IF(NORMALIZADO!CE48="","",NORMALIZADO!CE48)</f>
        <v/>
      </c>
      <c r="I49" s="17" t="str">
        <f>IF(NORMALIZADO!CF48="","",NORMALIZADO!CF48)</f>
        <v/>
      </c>
      <c r="J49" s="17" t="str">
        <f>IF(NORMALIZADO!CG48="","",NORMALIZADO!CG48)</f>
        <v/>
      </c>
      <c r="K49" s="16" t="str">
        <f>IF(NORMALIZADO!CH48="","",NORMALIZADO!CH48)</f>
        <v/>
      </c>
      <c r="L49" s="16" t="str">
        <f>IF(NORMALIZADO!CI48="","",NORMALIZADO!CI48)</f>
        <v/>
      </c>
      <c r="M49" s="16" t="str">
        <f>IF(NORMALIZADO!CJ48="","",NORMALIZADO!CJ48)</f>
        <v/>
      </c>
      <c r="N49" s="16" t="str">
        <f>IF(NORMALIZADO!CK48="","",NORMALIZADO!CK48)</f>
        <v/>
      </c>
      <c r="O49" s="16" t="str">
        <f>IF(NORMALIZADO!CL48="","",NORMALIZADO!CL48)</f>
        <v/>
      </c>
      <c r="P49" s="17" t="str">
        <f t="shared" si="11"/>
        <v/>
      </c>
      <c r="Q49" s="17">
        <f t="shared" si="12"/>
        <v>0</v>
      </c>
      <c r="R49" s="17">
        <f t="shared" si="13"/>
        <v>0</v>
      </c>
      <c r="S49" s="17">
        <f t="shared" si="14"/>
        <v>0</v>
      </c>
      <c r="T49" s="17" t="str">
        <f>IF(ISNUMBER(MATRIZ_174!O48),IFERROR((K49+M49+MATRIZ_174!O48)/3,0),"")</f>
        <v/>
      </c>
      <c r="U49" s="18">
        <f>IF(ISNUMBER(MATRIZ_174!M48),MIN(100,ROUND(MATRIZ_174!M48,1)),"")</f>
        <v>50</v>
      </c>
      <c r="V49" s="18">
        <f t="shared" si="15"/>
        <v>50</v>
      </c>
      <c r="W49" s="18">
        <f>IFERROR(IF(MATRIZ_174!R48=0,65,IF(MATRIZ_174!R48/MATRIZ_174!Q48&gt;=2,35,IF(MATRIZ_174!R48/MATRIZ_174!Q48&gt;=0.5,50,65))),65)</f>
        <v>65</v>
      </c>
      <c r="X49" s="18" t="str">
        <f>IF(ISNUMBER(MATRIZ_174!O48),MIN(100,IF(MATRIZ_174!O48=0,70,30)+IF(MATRIZ_174!U48="",0,0.3*(100-MATRIZ_174!U48*100))),"")</f>
        <v/>
      </c>
      <c r="Y49" s="18">
        <f>IF(OR(MATRIZ_174!P48="ASOCIACION",MATRIZ_174!P48="PENDIENTE"),65,40)</f>
        <v>65</v>
      </c>
      <c r="Z49" s="19" t="str">
        <f t="shared" si="16"/>
        <v>—</v>
      </c>
      <c r="AA49" s="20">
        <f t="shared" si="17"/>
        <v>57.5</v>
      </c>
      <c r="AB49" s="21" t="str">
        <f t="shared" si="18"/>
        <v>—</v>
      </c>
      <c r="AC49" s="13" t="str">
        <f t="shared" si="19"/>
        <v>⬜  Pendiente de instrumento</v>
      </c>
      <c r="AD49" s="13" t="str">
        <f>IF(MATRIZ_174!U48="","",IF(MATRIZ_174!U48=0,"🚫  Inh. vigente OSCE",""))</f>
        <v/>
      </c>
      <c r="AE49" s="22">
        <f>IFERROR(MATRIZ_174!W48,0)</f>
        <v>1</v>
      </c>
      <c r="AF49" s="22">
        <f>IFERROR(MATRIZ_174!X48,0)</f>
        <v>0</v>
      </c>
      <c r="AG49" s="22">
        <f>IFERROR(MATRIZ_174!Y48,0)</f>
        <v>0</v>
      </c>
      <c r="AH49" s="22">
        <f>IFERROR(MATRIZ_174!Z48,0)</f>
        <v>0</v>
      </c>
      <c r="AI49" s="17">
        <f>IFERROR(MATRIZ_174!AP48,"N/A")</f>
        <v>0.3125</v>
      </c>
      <c r="AJ49" s="17" t="str">
        <f>IFERROR(MATRIZ_174!AO48,"N/A")</f>
        <v>N/A</v>
      </c>
      <c r="AK49" s="23" t="str">
        <f t="shared" si="20"/>
        <v>N/A</v>
      </c>
      <c r="AL49" s="24" t="str">
        <f t="shared" si="21"/>
        <v>—</v>
      </c>
    </row>
    <row r="50" spans="1:38" ht="16.05" customHeight="1" x14ac:dyDescent="0.3">
      <c r="A50" s="13" t="s">
        <v>175</v>
      </c>
      <c r="B50" s="14" t="s">
        <v>176</v>
      </c>
      <c r="C50" s="13" t="s">
        <v>77</v>
      </c>
      <c r="D50" s="15">
        <v>1145489.3500000001</v>
      </c>
      <c r="E50" s="16" t="str">
        <f>IF(NORMALIZADO!CB49="","",NORMALIZADO!CB49)</f>
        <v/>
      </c>
      <c r="F50" s="17" t="str">
        <f>IF(NORMALIZADO!CC49="","",NORMALIZADO!CC49)</f>
        <v/>
      </c>
      <c r="G50" s="17">
        <f>IF(NORMALIZADO!CD49="",IFERROR(MATRIZ_174!U49*100,""),NORMALIZADO!CD49)</f>
        <v>100</v>
      </c>
      <c r="H50" s="16" t="str">
        <f>IF(NORMALIZADO!CE49="","",NORMALIZADO!CE49)</f>
        <v/>
      </c>
      <c r="I50" s="17" t="str">
        <f>IF(NORMALIZADO!CF49="","",NORMALIZADO!CF49)</f>
        <v/>
      </c>
      <c r="J50" s="17" t="str">
        <f>IF(NORMALIZADO!CG49="","",NORMALIZADO!CG49)</f>
        <v/>
      </c>
      <c r="K50" s="16" t="str">
        <f>IF(NORMALIZADO!CH49="","",NORMALIZADO!CH49)</f>
        <v/>
      </c>
      <c r="L50" s="16" t="str">
        <f>IF(NORMALIZADO!CI49="","",NORMALIZADO!CI49)</f>
        <v/>
      </c>
      <c r="M50" s="16" t="str">
        <f>IF(NORMALIZADO!CJ49="","",NORMALIZADO!CJ49)</f>
        <v/>
      </c>
      <c r="N50" s="16" t="str">
        <f>IF(NORMALIZADO!CK49="","",NORMALIZADO!CK49)</f>
        <v/>
      </c>
      <c r="O50" s="16" t="str">
        <f>IF(NORMALIZADO!CL49="","",NORMALIZADO!CL49)</f>
        <v/>
      </c>
      <c r="P50" s="17" t="str">
        <f t="shared" si="11"/>
        <v/>
      </c>
      <c r="Q50" s="17">
        <f t="shared" si="12"/>
        <v>0</v>
      </c>
      <c r="R50" s="17">
        <f t="shared" si="13"/>
        <v>0</v>
      </c>
      <c r="S50" s="17">
        <f t="shared" si="14"/>
        <v>0</v>
      </c>
      <c r="T50" s="17" t="str">
        <f>IF(ISNUMBER(MATRIZ_174!O49),IFERROR((K50+M50+MATRIZ_174!O49)/3,0),"")</f>
        <v/>
      </c>
      <c r="U50" s="18">
        <f>IF(ISNUMBER(MATRIZ_174!M49),MIN(100,ROUND(MATRIZ_174!M49,1)),"")</f>
        <v>50</v>
      </c>
      <c r="V50" s="18">
        <f t="shared" si="15"/>
        <v>50</v>
      </c>
      <c r="W50" s="18">
        <f>IFERROR(IF(MATRIZ_174!R49=0,65,IF(MATRIZ_174!R49/MATRIZ_174!Q49&gt;=2,35,IF(MATRIZ_174!R49/MATRIZ_174!Q49&gt;=0.5,50,65))),65)</f>
        <v>65</v>
      </c>
      <c r="X50" s="18" t="str">
        <f>IF(ISNUMBER(MATRIZ_174!O49),MIN(100,IF(MATRIZ_174!O49=0,70,30)+IF(MATRIZ_174!U49="",0,0.3*(100-MATRIZ_174!U49*100))),"")</f>
        <v/>
      </c>
      <c r="Y50" s="18">
        <f>IF(OR(MATRIZ_174!P49="ASOCIACION",MATRIZ_174!P49="PENDIENTE"),65,40)</f>
        <v>65</v>
      </c>
      <c r="Z50" s="19" t="str">
        <f t="shared" si="16"/>
        <v>—</v>
      </c>
      <c r="AA50" s="20">
        <f t="shared" si="17"/>
        <v>57.5</v>
      </c>
      <c r="AB50" s="21" t="str">
        <f t="shared" si="18"/>
        <v>—</v>
      </c>
      <c r="AC50" s="13" t="str">
        <f t="shared" si="19"/>
        <v>⬜  Pendiente de instrumento</v>
      </c>
      <c r="AD50" s="13" t="str">
        <f>IF(MATRIZ_174!U49="","",IF(MATRIZ_174!U49=0,"🚫  Inh. vigente OSCE",""))</f>
        <v/>
      </c>
      <c r="AE50" s="22">
        <f>IFERROR(MATRIZ_174!W49,0)</f>
        <v>1</v>
      </c>
      <c r="AF50" s="22">
        <f>IFERROR(MATRIZ_174!X49,0)</f>
        <v>0</v>
      </c>
      <c r="AG50" s="22">
        <f>IFERROR(MATRIZ_174!Y49,0)</f>
        <v>0</v>
      </c>
      <c r="AH50" s="22">
        <f>IFERROR(MATRIZ_174!Z49,0)</f>
        <v>0</v>
      </c>
      <c r="AI50" s="17">
        <f>IFERROR(MATRIZ_174!AP49,"N/A")</f>
        <v>0.3125</v>
      </c>
      <c r="AJ50" s="17" t="str">
        <f>IFERROR(MATRIZ_174!AO49,"N/A")</f>
        <v>N/A</v>
      </c>
      <c r="AK50" s="23" t="str">
        <f t="shared" si="20"/>
        <v>N/A</v>
      </c>
      <c r="AL50" s="24" t="str">
        <f t="shared" si="21"/>
        <v>—</v>
      </c>
    </row>
    <row r="51" spans="1:38" ht="16.05" customHeight="1" x14ac:dyDescent="0.3">
      <c r="A51" s="13" t="s">
        <v>177</v>
      </c>
      <c r="B51" s="14" t="s">
        <v>178</v>
      </c>
      <c r="C51" s="13" t="s">
        <v>179</v>
      </c>
      <c r="D51" s="15">
        <v>0</v>
      </c>
      <c r="E51" s="16" t="str">
        <f>IF(NORMALIZADO!CB50="","",NORMALIZADO!CB50)</f>
        <v/>
      </c>
      <c r="F51" s="17" t="str">
        <f>IF(NORMALIZADO!CC50="","",NORMALIZADO!CC50)</f>
        <v/>
      </c>
      <c r="G51" s="17">
        <f>IF(NORMALIZADO!CD50="",IFERROR(MATRIZ_174!U50*100,""),NORMALIZADO!CD50)</f>
        <v>100</v>
      </c>
      <c r="H51" s="16" t="str">
        <f>IF(NORMALIZADO!CE50="","",NORMALIZADO!CE50)</f>
        <v/>
      </c>
      <c r="I51" s="17" t="str">
        <f>IF(NORMALIZADO!CF50="","",NORMALIZADO!CF50)</f>
        <v/>
      </c>
      <c r="J51" s="17" t="str">
        <f>IF(NORMALIZADO!CG50="","",NORMALIZADO!CG50)</f>
        <v/>
      </c>
      <c r="K51" s="16" t="str">
        <f>IF(NORMALIZADO!CH50="","",NORMALIZADO!CH50)</f>
        <v/>
      </c>
      <c r="L51" s="16" t="str">
        <f>IF(NORMALIZADO!CI50="","",NORMALIZADO!CI50)</f>
        <v/>
      </c>
      <c r="M51" s="16" t="str">
        <f>IF(NORMALIZADO!CJ50="","",NORMALIZADO!CJ50)</f>
        <v/>
      </c>
      <c r="N51" s="16" t="str">
        <f>IF(NORMALIZADO!CK50="","",NORMALIZADO!CK50)</f>
        <v/>
      </c>
      <c r="O51" s="16" t="str">
        <f>IF(NORMALIZADO!CL50="","",NORMALIZADO!CL50)</f>
        <v/>
      </c>
      <c r="P51" s="17" t="str">
        <f t="shared" si="11"/>
        <v/>
      </c>
      <c r="Q51" s="17">
        <f t="shared" si="12"/>
        <v>0</v>
      </c>
      <c r="R51" s="17">
        <f t="shared" si="13"/>
        <v>0</v>
      </c>
      <c r="S51" s="17">
        <f t="shared" si="14"/>
        <v>0</v>
      </c>
      <c r="T51" s="17" t="str">
        <f>IF(ISNUMBER(MATRIZ_174!O50),IFERROR((K51+M51+MATRIZ_174!O50)/3,0),"")</f>
        <v/>
      </c>
      <c r="U51" s="18" t="str">
        <f>IF(ISNUMBER(MATRIZ_174!M50),MIN(100,ROUND(MATRIZ_174!M50,1)),"")</f>
        <v/>
      </c>
      <c r="V51" s="18">
        <f t="shared" si="15"/>
        <v>50</v>
      </c>
      <c r="W51" s="18">
        <f>IFERROR(IF(MATRIZ_174!R50=0,65,IF(MATRIZ_174!R50/MATRIZ_174!Q50&gt;=2,35,IF(MATRIZ_174!R50/MATRIZ_174!Q50&gt;=0.5,50,65))),65)</f>
        <v>65</v>
      </c>
      <c r="X51" s="18" t="str">
        <f>IF(ISNUMBER(MATRIZ_174!O50),MIN(100,IF(MATRIZ_174!O50=0,70,30)+IF(MATRIZ_174!U50="",0,0.3*(100-MATRIZ_174!U50*100))),"")</f>
        <v/>
      </c>
      <c r="Y51" s="18">
        <f>IF(OR(MATRIZ_174!P50="ASOCIACION",MATRIZ_174!P50="PENDIENTE"),65,40)</f>
        <v>65</v>
      </c>
      <c r="Z51" s="19" t="str">
        <f t="shared" si="16"/>
        <v>—</v>
      </c>
      <c r="AA51" s="20">
        <f t="shared" si="17"/>
        <v>60</v>
      </c>
      <c r="AB51" s="21" t="str">
        <f t="shared" si="18"/>
        <v>—</v>
      </c>
      <c r="AC51" s="13" t="str">
        <f t="shared" si="19"/>
        <v>⬜  Pendiente de instrumento</v>
      </c>
      <c r="AD51" s="13" t="str">
        <f>IF(MATRIZ_174!U50="","",IF(MATRIZ_174!U50=0,"🚫  Inh. vigente OSCE",""))</f>
        <v/>
      </c>
      <c r="AE51" s="22">
        <f>IFERROR(MATRIZ_174!W50,0)</f>
        <v>0</v>
      </c>
      <c r="AF51" s="22">
        <f>IFERROR(MATRIZ_174!X50,0)</f>
        <v>0</v>
      </c>
      <c r="AG51" s="22">
        <f>IFERROR(MATRIZ_174!Y50,0)</f>
        <v>0</v>
      </c>
      <c r="AH51" s="22">
        <f>IFERROR(MATRIZ_174!Z50,0)</f>
        <v>0</v>
      </c>
      <c r="AI51" s="17">
        <f>IFERROR(MATRIZ_174!AP50,"N/A")</f>
        <v>0</v>
      </c>
      <c r="AJ51" s="17" t="str">
        <f>IFERROR(MATRIZ_174!AO50,"N/A")</f>
        <v>N/A</v>
      </c>
      <c r="AK51" s="23" t="str">
        <f t="shared" si="20"/>
        <v>N/A</v>
      </c>
      <c r="AL51" s="24" t="str">
        <f t="shared" si="21"/>
        <v>—</v>
      </c>
    </row>
    <row r="52" spans="1:38" ht="16.05" customHeight="1" x14ac:dyDescent="0.3">
      <c r="A52" s="13" t="s">
        <v>180</v>
      </c>
      <c r="B52" s="14" t="s">
        <v>181</v>
      </c>
      <c r="C52" s="13" t="s">
        <v>150</v>
      </c>
      <c r="D52" s="15">
        <v>0</v>
      </c>
      <c r="E52" s="16" t="str">
        <f>IF(NORMALIZADO!CB51="","",NORMALIZADO!CB51)</f>
        <v/>
      </c>
      <c r="F52" s="17" t="str">
        <f>IF(NORMALIZADO!CC51="","",NORMALIZADO!CC51)</f>
        <v/>
      </c>
      <c r="G52" s="17">
        <f>IF(NORMALIZADO!CD51="",IFERROR(MATRIZ_174!U51*100,""),NORMALIZADO!CD51)</f>
        <v>100</v>
      </c>
      <c r="H52" s="16" t="str">
        <f>IF(NORMALIZADO!CE51="","",NORMALIZADO!CE51)</f>
        <v/>
      </c>
      <c r="I52" s="17" t="str">
        <f>IF(NORMALIZADO!CF51="","",NORMALIZADO!CF51)</f>
        <v/>
      </c>
      <c r="J52" s="17" t="str">
        <f>IF(NORMALIZADO!CG51="","",NORMALIZADO!CG51)</f>
        <v/>
      </c>
      <c r="K52" s="16" t="str">
        <f>IF(NORMALIZADO!CH51="","",NORMALIZADO!CH51)</f>
        <v/>
      </c>
      <c r="L52" s="16" t="str">
        <f>IF(NORMALIZADO!CI51="","",NORMALIZADO!CI51)</f>
        <v/>
      </c>
      <c r="M52" s="16" t="str">
        <f>IF(NORMALIZADO!CJ51="","",NORMALIZADO!CJ51)</f>
        <v/>
      </c>
      <c r="N52" s="16" t="str">
        <f>IF(NORMALIZADO!CK51="","",NORMALIZADO!CK51)</f>
        <v/>
      </c>
      <c r="O52" s="16" t="str">
        <f>IF(NORMALIZADO!CL51="","",NORMALIZADO!CL51)</f>
        <v/>
      </c>
      <c r="P52" s="17" t="str">
        <f t="shared" si="11"/>
        <v/>
      </c>
      <c r="Q52" s="17">
        <f t="shared" si="12"/>
        <v>0</v>
      </c>
      <c r="R52" s="17">
        <f t="shared" si="13"/>
        <v>0</v>
      </c>
      <c r="S52" s="17">
        <f t="shared" si="14"/>
        <v>0</v>
      </c>
      <c r="T52" s="17" t="str">
        <f>IF(ISNUMBER(MATRIZ_174!O51),IFERROR((K52+M52+MATRIZ_174!O51)/3,0),"")</f>
        <v/>
      </c>
      <c r="U52" s="18" t="str">
        <f>IF(ISNUMBER(MATRIZ_174!M51),MIN(100,ROUND(MATRIZ_174!M51,1)),"")</f>
        <v/>
      </c>
      <c r="V52" s="18">
        <f t="shared" si="15"/>
        <v>50</v>
      </c>
      <c r="W52" s="18">
        <f>IFERROR(IF(MATRIZ_174!R51=0,65,IF(MATRIZ_174!R51/MATRIZ_174!Q51&gt;=2,35,IF(MATRIZ_174!R51/MATRIZ_174!Q51&gt;=0.5,50,65))),65)</f>
        <v>65</v>
      </c>
      <c r="X52" s="18" t="str">
        <f>IF(ISNUMBER(MATRIZ_174!O51),MIN(100,IF(MATRIZ_174!O51=0,70,30)+IF(MATRIZ_174!U51="",0,0.3*(100-MATRIZ_174!U51*100))),"")</f>
        <v/>
      </c>
      <c r="Y52" s="18">
        <f>IF(OR(MATRIZ_174!P51="ASOCIACION",MATRIZ_174!P51="PENDIENTE"),65,40)</f>
        <v>65</v>
      </c>
      <c r="Z52" s="19" t="str">
        <f t="shared" si="16"/>
        <v>—</v>
      </c>
      <c r="AA52" s="20">
        <f t="shared" si="17"/>
        <v>60</v>
      </c>
      <c r="AB52" s="21" t="str">
        <f t="shared" si="18"/>
        <v>—</v>
      </c>
      <c r="AC52" s="13" t="str">
        <f t="shared" si="19"/>
        <v>⬜  Pendiente de instrumento</v>
      </c>
      <c r="AD52" s="13" t="str">
        <f>IF(MATRIZ_174!U51="","",IF(MATRIZ_174!U51=0,"🚫  Inh. vigente OSCE",""))</f>
        <v/>
      </c>
      <c r="AE52" s="22">
        <f>IFERROR(MATRIZ_174!W51,0)</f>
        <v>0</v>
      </c>
      <c r="AF52" s="22">
        <f>IFERROR(MATRIZ_174!X51,0)</f>
        <v>0</v>
      </c>
      <c r="AG52" s="22">
        <f>IFERROR(MATRIZ_174!Y51,0)</f>
        <v>0</v>
      </c>
      <c r="AH52" s="22">
        <f>IFERROR(MATRIZ_174!Z51,0)</f>
        <v>0</v>
      </c>
      <c r="AI52" s="17">
        <f>IFERROR(MATRIZ_174!AP51,"N/A")</f>
        <v>0</v>
      </c>
      <c r="AJ52" s="17" t="str">
        <f>IFERROR(MATRIZ_174!AO51,"N/A")</f>
        <v>N/A</v>
      </c>
      <c r="AK52" s="23" t="str">
        <f t="shared" si="20"/>
        <v>N/A</v>
      </c>
      <c r="AL52" s="24" t="str">
        <f t="shared" si="21"/>
        <v>—</v>
      </c>
    </row>
    <row r="53" spans="1:38" ht="16.05" customHeight="1" x14ac:dyDescent="0.3">
      <c r="A53" s="13" t="s">
        <v>182</v>
      </c>
      <c r="B53" s="14" t="s">
        <v>183</v>
      </c>
      <c r="C53" s="13" t="s">
        <v>80</v>
      </c>
      <c r="D53" s="15">
        <v>0</v>
      </c>
      <c r="E53" s="16" t="str">
        <f>IF(NORMALIZADO!CB52="","",NORMALIZADO!CB52)</f>
        <v/>
      </c>
      <c r="F53" s="17" t="str">
        <f>IF(NORMALIZADO!CC52="","",NORMALIZADO!CC52)</f>
        <v/>
      </c>
      <c r="G53" s="17">
        <f>IF(NORMALIZADO!CD52="",IFERROR(MATRIZ_174!U52*100,""),NORMALIZADO!CD52)</f>
        <v>100</v>
      </c>
      <c r="H53" s="16" t="str">
        <f>IF(NORMALIZADO!CE52="","",NORMALIZADO!CE52)</f>
        <v/>
      </c>
      <c r="I53" s="17" t="str">
        <f>IF(NORMALIZADO!CF52="","",NORMALIZADO!CF52)</f>
        <v/>
      </c>
      <c r="J53" s="17" t="str">
        <f>IF(NORMALIZADO!CG52="","",NORMALIZADO!CG52)</f>
        <v/>
      </c>
      <c r="K53" s="16" t="str">
        <f>IF(NORMALIZADO!CH52="","",NORMALIZADO!CH52)</f>
        <v/>
      </c>
      <c r="L53" s="16" t="str">
        <f>IF(NORMALIZADO!CI52="","",NORMALIZADO!CI52)</f>
        <v/>
      </c>
      <c r="M53" s="16" t="str">
        <f>IF(NORMALIZADO!CJ52="","",NORMALIZADO!CJ52)</f>
        <v/>
      </c>
      <c r="N53" s="16" t="str">
        <f>IF(NORMALIZADO!CK52="","",NORMALIZADO!CK52)</f>
        <v/>
      </c>
      <c r="O53" s="16" t="str">
        <f>IF(NORMALIZADO!CL52="","",NORMALIZADO!CL52)</f>
        <v/>
      </c>
      <c r="P53" s="17" t="str">
        <f t="shared" si="11"/>
        <v/>
      </c>
      <c r="Q53" s="17">
        <f t="shared" si="12"/>
        <v>0</v>
      </c>
      <c r="R53" s="17">
        <f t="shared" si="13"/>
        <v>0</v>
      </c>
      <c r="S53" s="17">
        <f t="shared" si="14"/>
        <v>0</v>
      </c>
      <c r="T53" s="17" t="str">
        <f>IF(ISNUMBER(MATRIZ_174!O52),IFERROR((K53+M53+MATRIZ_174!O52)/3,0),"")</f>
        <v/>
      </c>
      <c r="U53" s="18" t="str">
        <f>IF(ISNUMBER(MATRIZ_174!M52),MIN(100,ROUND(MATRIZ_174!M52,1)),"")</f>
        <v/>
      </c>
      <c r="V53" s="18">
        <f t="shared" si="15"/>
        <v>50</v>
      </c>
      <c r="W53" s="18">
        <f>IFERROR(IF(MATRIZ_174!R52=0,65,IF(MATRIZ_174!R52/MATRIZ_174!Q52&gt;=2,35,IF(MATRIZ_174!R52/MATRIZ_174!Q52&gt;=0.5,50,65))),65)</f>
        <v>65</v>
      </c>
      <c r="X53" s="18" t="str">
        <f>IF(ISNUMBER(MATRIZ_174!O52),MIN(100,IF(MATRIZ_174!O52=0,70,30)+IF(MATRIZ_174!U52="",0,0.3*(100-MATRIZ_174!U52*100))),"")</f>
        <v/>
      </c>
      <c r="Y53" s="18">
        <f>IF(OR(MATRIZ_174!P52="ASOCIACION",MATRIZ_174!P52="PENDIENTE"),65,40)</f>
        <v>65</v>
      </c>
      <c r="Z53" s="19" t="str">
        <f t="shared" si="16"/>
        <v>—</v>
      </c>
      <c r="AA53" s="20">
        <f t="shared" si="17"/>
        <v>60</v>
      </c>
      <c r="AB53" s="21" t="str">
        <f t="shared" si="18"/>
        <v>—</v>
      </c>
      <c r="AC53" s="13" t="str">
        <f t="shared" si="19"/>
        <v>⬜  Pendiente de instrumento</v>
      </c>
      <c r="AD53" s="13" t="str">
        <f>IF(MATRIZ_174!U52="","",IF(MATRIZ_174!U52=0,"🚫  Inh. vigente OSCE",""))</f>
        <v/>
      </c>
      <c r="AE53" s="22">
        <f>IFERROR(MATRIZ_174!W52,0)</f>
        <v>0</v>
      </c>
      <c r="AF53" s="22">
        <f>IFERROR(MATRIZ_174!X52,0)</f>
        <v>0</v>
      </c>
      <c r="AG53" s="22">
        <f>IFERROR(MATRIZ_174!Y52,0)</f>
        <v>0</v>
      </c>
      <c r="AH53" s="22">
        <f>IFERROR(MATRIZ_174!Z52,0)</f>
        <v>0</v>
      </c>
      <c r="AI53" s="17">
        <f>IFERROR(MATRIZ_174!AP52,"N/A")</f>
        <v>0</v>
      </c>
      <c r="AJ53" s="17" t="str">
        <f>IFERROR(MATRIZ_174!AO52,"N/A")</f>
        <v>N/A</v>
      </c>
      <c r="AK53" s="23" t="str">
        <f t="shared" si="20"/>
        <v>N/A</v>
      </c>
      <c r="AL53" s="24" t="str">
        <f t="shared" si="21"/>
        <v>—</v>
      </c>
    </row>
    <row r="54" spans="1:38" ht="16.05" customHeight="1" x14ac:dyDescent="0.3">
      <c r="A54" s="13" t="s">
        <v>184</v>
      </c>
      <c r="B54" s="14" t="s">
        <v>185</v>
      </c>
      <c r="C54" s="13" t="s">
        <v>139</v>
      </c>
      <c r="D54" s="15">
        <v>0</v>
      </c>
      <c r="E54" s="16" t="str">
        <f>IF(NORMALIZADO!CB53="","",NORMALIZADO!CB53)</f>
        <v/>
      </c>
      <c r="F54" s="17" t="str">
        <f>IF(NORMALIZADO!CC53="","",NORMALIZADO!CC53)</f>
        <v/>
      </c>
      <c r="G54" s="17">
        <f>IF(NORMALIZADO!CD53="",IFERROR(MATRIZ_174!U53*100,""),NORMALIZADO!CD53)</f>
        <v>100</v>
      </c>
      <c r="H54" s="16" t="str">
        <f>IF(NORMALIZADO!CE53="","",NORMALIZADO!CE53)</f>
        <v/>
      </c>
      <c r="I54" s="17" t="str">
        <f>IF(NORMALIZADO!CF53="","",NORMALIZADO!CF53)</f>
        <v/>
      </c>
      <c r="J54" s="17" t="str">
        <f>IF(NORMALIZADO!CG53="","",NORMALIZADO!CG53)</f>
        <v/>
      </c>
      <c r="K54" s="16" t="str">
        <f>IF(NORMALIZADO!CH53="","",NORMALIZADO!CH53)</f>
        <v/>
      </c>
      <c r="L54" s="16" t="str">
        <f>IF(NORMALIZADO!CI53="","",NORMALIZADO!CI53)</f>
        <v/>
      </c>
      <c r="M54" s="16" t="str">
        <f>IF(NORMALIZADO!CJ53="","",NORMALIZADO!CJ53)</f>
        <v/>
      </c>
      <c r="N54" s="16" t="str">
        <f>IF(NORMALIZADO!CK53="","",NORMALIZADO!CK53)</f>
        <v/>
      </c>
      <c r="O54" s="16" t="str">
        <f>IF(NORMALIZADO!CL53="","",NORMALIZADO!CL53)</f>
        <v/>
      </c>
      <c r="P54" s="17" t="str">
        <f t="shared" si="11"/>
        <v/>
      </c>
      <c r="Q54" s="17">
        <f t="shared" si="12"/>
        <v>0</v>
      </c>
      <c r="R54" s="17">
        <f t="shared" si="13"/>
        <v>0</v>
      </c>
      <c r="S54" s="17">
        <f t="shared" si="14"/>
        <v>0</v>
      </c>
      <c r="T54" s="17" t="str">
        <f>IF(ISNUMBER(MATRIZ_174!O53),IFERROR((K54+M54+MATRIZ_174!O53)/3,0),"")</f>
        <v/>
      </c>
      <c r="U54" s="18" t="str">
        <f>IF(ISNUMBER(MATRIZ_174!M53),MIN(100,ROUND(MATRIZ_174!M53,1)),"")</f>
        <v/>
      </c>
      <c r="V54" s="18">
        <f t="shared" si="15"/>
        <v>50</v>
      </c>
      <c r="W54" s="18">
        <f>IFERROR(IF(MATRIZ_174!R53=0,65,IF(MATRIZ_174!R53/MATRIZ_174!Q53&gt;=2,35,IF(MATRIZ_174!R53/MATRIZ_174!Q53&gt;=0.5,50,65))),65)</f>
        <v>65</v>
      </c>
      <c r="X54" s="18" t="str">
        <f>IF(ISNUMBER(MATRIZ_174!O53),MIN(100,IF(MATRIZ_174!O53=0,70,30)+IF(MATRIZ_174!U53="",0,0.3*(100-MATRIZ_174!U53*100))),"")</f>
        <v/>
      </c>
      <c r="Y54" s="18">
        <f>IF(OR(MATRIZ_174!P53="ASOCIACION",MATRIZ_174!P53="PENDIENTE"),65,40)</f>
        <v>65</v>
      </c>
      <c r="Z54" s="19" t="str">
        <f t="shared" si="16"/>
        <v>—</v>
      </c>
      <c r="AA54" s="20">
        <f t="shared" si="17"/>
        <v>60</v>
      </c>
      <c r="AB54" s="21" t="str">
        <f t="shared" si="18"/>
        <v>—</v>
      </c>
      <c r="AC54" s="13" t="str">
        <f t="shared" si="19"/>
        <v>⬜  Pendiente de instrumento</v>
      </c>
      <c r="AD54" s="13" t="str">
        <f>IF(MATRIZ_174!U53="","",IF(MATRIZ_174!U53=0,"🚫  Inh. vigente OSCE",""))</f>
        <v/>
      </c>
      <c r="AE54" s="22">
        <f>IFERROR(MATRIZ_174!W53,0)</f>
        <v>0</v>
      </c>
      <c r="AF54" s="22">
        <f>IFERROR(MATRIZ_174!X53,0)</f>
        <v>0</v>
      </c>
      <c r="AG54" s="22">
        <f>IFERROR(MATRIZ_174!Y53,0)</f>
        <v>0</v>
      </c>
      <c r="AH54" s="22">
        <f>IFERROR(MATRIZ_174!Z53,0)</f>
        <v>0</v>
      </c>
      <c r="AI54" s="17">
        <f>IFERROR(MATRIZ_174!AP53,"N/A")</f>
        <v>0</v>
      </c>
      <c r="AJ54" s="17" t="str">
        <f>IFERROR(MATRIZ_174!AO53,"N/A")</f>
        <v>N/A</v>
      </c>
      <c r="AK54" s="23" t="str">
        <f t="shared" si="20"/>
        <v>N/A</v>
      </c>
      <c r="AL54" s="24" t="str">
        <f t="shared" si="21"/>
        <v>—</v>
      </c>
    </row>
    <row r="55" spans="1:38" ht="16.05" customHeight="1" x14ac:dyDescent="0.3">
      <c r="A55" s="13" t="s">
        <v>186</v>
      </c>
      <c r="B55" s="14" t="s">
        <v>187</v>
      </c>
      <c r="C55" s="13" t="s">
        <v>139</v>
      </c>
      <c r="D55" s="15">
        <v>0</v>
      </c>
      <c r="E55" s="16" t="str">
        <f>IF(NORMALIZADO!CB54="","",NORMALIZADO!CB54)</f>
        <v/>
      </c>
      <c r="F55" s="17" t="str">
        <f>IF(NORMALIZADO!CC54="","",NORMALIZADO!CC54)</f>
        <v/>
      </c>
      <c r="G55" s="17">
        <f>IF(NORMALIZADO!CD54="",IFERROR(MATRIZ_174!U54*100,""),NORMALIZADO!CD54)</f>
        <v>100</v>
      </c>
      <c r="H55" s="16" t="str">
        <f>IF(NORMALIZADO!CE54="","",NORMALIZADO!CE54)</f>
        <v/>
      </c>
      <c r="I55" s="17" t="str">
        <f>IF(NORMALIZADO!CF54="","",NORMALIZADO!CF54)</f>
        <v/>
      </c>
      <c r="J55" s="17" t="str">
        <f>IF(NORMALIZADO!CG54="","",NORMALIZADO!CG54)</f>
        <v/>
      </c>
      <c r="K55" s="16" t="str">
        <f>IF(NORMALIZADO!CH54="","",NORMALIZADO!CH54)</f>
        <v/>
      </c>
      <c r="L55" s="16" t="str">
        <f>IF(NORMALIZADO!CI54="","",NORMALIZADO!CI54)</f>
        <v/>
      </c>
      <c r="M55" s="16" t="str">
        <f>IF(NORMALIZADO!CJ54="","",NORMALIZADO!CJ54)</f>
        <v/>
      </c>
      <c r="N55" s="16" t="str">
        <f>IF(NORMALIZADO!CK54="","",NORMALIZADO!CK54)</f>
        <v/>
      </c>
      <c r="O55" s="16" t="str">
        <f>IF(NORMALIZADO!CL54="","",NORMALIZADO!CL54)</f>
        <v/>
      </c>
      <c r="P55" s="17" t="str">
        <f t="shared" si="11"/>
        <v/>
      </c>
      <c r="Q55" s="17">
        <f t="shared" si="12"/>
        <v>0</v>
      </c>
      <c r="R55" s="17">
        <f t="shared" si="13"/>
        <v>0</v>
      </c>
      <c r="S55" s="17">
        <f t="shared" si="14"/>
        <v>0</v>
      </c>
      <c r="T55" s="17" t="str">
        <f>IF(ISNUMBER(MATRIZ_174!O54),IFERROR((K55+M55+MATRIZ_174!O54)/3,0),"")</f>
        <v/>
      </c>
      <c r="U55" s="18" t="str">
        <f>IF(ISNUMBER(MATRIZ_174!M54),MIN(100,ROUND(MATRIZ_174!M54,1)),"")</f>
        <v/>
      </c>
      <c r="V55" s="18">
        <f t="shared" si="15"/>
        <v>50</v>
      </c>
      <c r="W55" s="18">
        <f>IFERROR(IF(MATRIZ_174!R54=0,65,IF(MATRIZ_174!R54/MATRIZ_174!Q54&gt;=2,35,IF(MATRIZ_174!R54/MATRIZ_174!Q54&gt;=0.5,50,65))),65)</f>
        <v>65</v>
      </c>
      <c r="X55" s="18" t="str">
        <f>IF(ISNUMBER(MATRIZ_174!O54),MIN(100,IF(MATRIZ_174!O54=0,70,30)+IF(MATRIZ_174!U54="",0,0.3*(100-MATRIZ_174!U54*100))),"")</f>
        <v/>
      </c>
      <c r="Y55" s="18">
        <f>IF(OR(MATRIZ_174!P54="ASOCIACION",MATRIZ_174!P54="PENDIENTE"),65,40)</f>
        <v>65</v>
      </c>
      <c r="Z55" s="19" t="str">
        <f t="shared" si="16"/>
        <v>—</v>
      </c>
      <c r="AA55" s="20">
        <f t="shared" si="17"/>
        <v>60</v>
      </c>
      <c r="AB55" s="21" t="str">
        <f t="shared" si="18"/>
        <v>—</v>
      </c>
      <c r="AC55" s="13" t="str">
        <f t="shared" si="19"/>
        <v>⬜  Pendiente de instrumento</v>
      </c>
      <c r="AD55" s="13" t="str">
        <f>IF(MATRIZ_174!U54="","",IF(MATRIZ_174!U54=0,"🚫  Inh. vigente OSCE",""))</f>
        <v/>
      </c>
      <c r="AE55" s="22">
        <f>IFERROR(MATRIZ_174!W54,0)</f>
        <v>0</v>
      </c>
      <c r="AF55" s="22">
        <f>IFERROR(MATRIZ_174!X54,0)</f>
        <v>0</v>
      </c>
      <c r="AG55" s="22">
        <f>IFERROR(MATRIZ_174!Y54,0)</f>
        <v>0</v>
      </c>
      <c r="AH55" s="22">
        <f>IFERROR(MATRIZ_174!Z54,0)</f>
        <v>0</v>
      </c>
      <c r="AI55" s="17">
        <f>IFERROR(MATRIZ_174!AP54,"N/A")</f>
        <v>0</v>
      </c>
      <c r="AJ55" s="17" t="str">
        <f>IFERROR(MATRIZ_174!AO54,"N/A")</f>
        <v>N/A</v>
      </c>
      <c r="AK55" s="23" t="str">
        <f t="shared" si="20"/>
        <v>N/A</v>
      </c>
      <c r="AL55" s="24" t="str">
        <f t="shared" si="21"/>
        <v>—</v>
      </c>
    </row>
    <row r="56" spans="1:38" ht="16.05" customHeight="1" x14ac:dyDescent="0.3">
      <c r="A56" s="13" t="s">
        <v>188</v>
      </c>
      <c r="B56" s="14" t="s">
        <v>189</v>
      </c>
      <c r="C56" s="13" t="s">
        <v>139</v>
      </c>
      <c r="D56" s="15">
        <v>0</v>
      </c>
      <c r="E56" s="16" t="str">
        <f>IF(NORMALIZADO!CB55="","",NORMALIZADO!CB55)</f>
        <v/>
      </c>
      <c r="F56" s="17" t="str">
        <f>IF(NORMALIZADO!CC55="","",NORMALIZADO!CC55)</f>
        <v/>
      </c>
      <c r="G56" s="17">
        <f>IF(NORMALIZADO!CD55="",IFERROR(MATRIZ_174!U55*100,""),NORMALIZADO!CD55)</f>
        <v>100</v>
      </c>
      <c r="H56" s="16" t="str">
        <f>IF(NORMALIZADO!CE55="","",NORMALIZADO!CE55)</f>
        <v/>
      </c>
      <c r="I56" s="17" t="str">
        <f>IF(NORMALIZADO!CF55="","",NORMALIZADO!CF55)</f>
        <v/>
      </c>
      <c r="J56" s="17" t="str">
        <f>IF(NORMALIZADO!CG55="","",NORMALIZADO!CG55)</f>
        <v/>
      </c>
      <c r="K56" s="16" t="str">
        <f>IF(NORMALIZADO!CH55="","",NORMALIZADO!CH55)</f>
        <v/>
      </c>
      <c r="L56" s="16" t="str">
        <f>IF(NORMALIZADO!CI55="","",NORMALIZADO!CI55)</f>
        <v/>
      </c>
      <c r="M56" s="16" t="str">
        <f>IF(NORMALIZADO!CJ55="","",NORMALIZADO!CJ55)</f>
        <v/>
      </c>
      <c r="N56" s="16" t="str">
        <f>IF(NORMALIZADO!CK55="","",NORMALIZADO!CK55)</f>
        <v/>
      </c>
      <c r="O56" s="16" t="str">
        <f>IF(NORMALIZADO!CL55="","",NORMALIZADO!CL55)</f>
        <v/>
      </c>
      <c r="P56" s="17" t="str">
        <f t="shared" si="11"/>
        <v/>
      </c>
      <c r="Q56" s="17">
        <f t="shared" si="12"/>
        <v>0</v>
      </c>
      <c r="R56" s="17">
        <f t="shared" si="13"/>
        <v>0</v>
      </c>
      <c r="S56" s="17">
        <f t="shared" si="14"/>
        <v>0</v>
      </c>
      <c r="T56" s="17" t="str">
        <f>IF(ISNUMBER(MATRIZ_174!O55),IFERROR((K56+M56+MATRIZ_174!O55)/3,0),"")</f>
        <v/>
      </c>
      <c r="U56" s="18" t="str">
        <f>IF(ISNUMBER(MATRIZ_174!M55),MIN(100,ROUND(MATRIZ_174!M55,1)),"")</f>
        <v/>
      </c>
      <c r="V56" s="18">
        <f t="shared" si="15"/>
        <v>50</v>
      </c>
      <c r="W56" s="18">
        <f>IFERROR(IF(MATRIZ_174!R55=0,65,IF(MATRIZ_174!R55/MATRIZ_174!Q55&gt;=2,35,IF(MATRIZ_174!R55/MATRIZ_174!Q55&gt;=0.5,50,65))),65)</f>
        <v>65</v>
      </c>
      <c r="X56" s="18" t="str">
        <f>IF(ISNUMBER(MATRIZ_174!O55),MIN(100,IF(MATRIZ_174!O55=0,70,30)+IF(MATRIZ_174!U55="",0,0.3*(100-MATRIZ_174!U55*100))),"")</f>
        <v/>
      </c>
      <c r="Y56" s="18">
        <f>IF(OR(MATRIZ_174!P55="ASOCIACION",MATRIZ_174!P55="PENDIENTE"),65,40)</f>
        <v>65</v>
      </c>
      <c r="Z56" s="19" t="str">
        <f t="shared" si="16"/>
        <v>—</v>
      </c>
      <c r="AA56" s="20">
        <f t="shared" si="17"/>
        <v>60</v>
      </c>
      <c r="AB56" s="21" t="str">
        <f t="shared" si="18"/>
        <v>—</v>
      </c>
      <c r="AC56" s="13" t="str">
        <f t="shared" si="19"/>
        <v>⬜  Pendiente de instrumento</v>
      </c>
      <c r="AD56" s="13" t="str">
        <f>IF(MATRIZ_174!U55="","",IF(MATRIZ_174!U55=0,"🚫  Inh. vigente OSCE",""))</f>
        <v/>
      </c>
      <c r="AE56" s="22">
        <f>IFERROR(MATRIZ_174!W55,0)</f>
        <v>0</v>
      </c>
      <c r="AF56" s="22">
        <f>IFERROR(MATRIZ_174!X55,0)</f>
        <v>0</v>
      </c>
      <c r="AG56" s="22">
        <f>IFERROR(MATRIZ_174!Y55,0)</f>
        <v>0</v>
      </c>
      <c r="AH56" s="22">
        <f>IFERROR(MATRIZ_174!Z55,0)</f>
        <v>0</v>
      </c>
      <c r="AI56" s="17">
        <f>IFERROR(MATRIZ_174!AP55,"N/A")</f>
        <v>0</v>
      </c>
      <c r="AJ56" s="17" t="str">
        <f>IFERROR(MATRIZ_174!AO55,"N/A")</f>
        <v>N/A</v>
      </c>
      <c r="AK56" s="23" t="str">
        <f t="shared" si="20"/>
        <v>N/A</v>
      </c>
      <c r="AL56" s="24" t="str">
        <f t="shared" si="21"/>
        <v>—</v>
      </c>
    </row>
    <row r="57" spans="1:38" ht="16.05" customHeight="1" x14ac:dyDescent="0.3">
      <c r="A57" s="13" t="s">
        <v>190</v>
      </c>
      <c r="B57" s="14" t="s">
        <v>191</v>
      </c>
      <c r="C57" s="13" t="s">
        <v>192</v>
      </c>
      <c r="D57" s="15">
        <v>0</v>
      </c>
      <c r="E57" s="16" t="str">
        <f>IF(NORMALIZADO!CB56="","",NORMALIZADO!CB56)</f>
        <v/>
      </c>
      <c r="F57" s="17" t="str">
        <f>IF(NORMALIZADO!CC56="","",NORMALIZADO!CC56)</f>
        <v/>
      </c>
      <c r="G57" s="17">
        <f>IF(NORMALIZADO!CD56="",IFERROR(MATRIZ_174!U56*100,""),NORMALIZADO!CD56)</f>
        <v>100</v>
      </c>
      <c r="H57" s="16" t="str">
        <f>IF(NORMALIZADO!CE56="","",NORMALIZADO!CE56)</f>
        <v/>
      </c>
      <c r="I57" s="17" t="str">
        <f>IF(NORMALIZADO!CF56="","",NORMALIZADO!CF56)</f>
        <v/>
      </c>
      <c r="J57" s="17" t="str">
        <f>IF(NORMALIZADO!CG56="","",NORMALIZADO!CG56)</f>
        <v/>
      </c>
      <c r="K57" s="16" t="str">
        <f>IF(NORMALIZADO!CH56="","",NORMALIZADO!CH56)</f>
        <v/>
      </c>
      <c r="L57" s="16" t="str">
        <f>IF(NORMALIZADO!CI56="","",NORMALIZADO!CI56)</f>
        <v/>
      </c>
      <c r="M57" s="16" t="str">
        <f>IF(NORMALIZADO!CJ56="","",NORMALIZADO!CJ56)</f>
        <v/>
      </c>
      <c r="N57" s="16" t="str">
        <f>IF(NORMALIZADO!CK56="","",NORMALIZADO!CK56)</f>
        <v/>
      </c>
      <c r="O57" s="16" t="str">
        <f>IF(NORMALIZADO!CL56="","",NORMALIZADO!CL56)</f>
        <v/>
      </c>
      <c r="P57" s="17" t="str">
        <f t="shared" si="11"/>
        <v/>
      </c>
      <c r="Q57" s="17">
        <f t="shared" si="12"/>
        <v>0</v>
      </c>
      <c r="R57" s="17">
        <f t="shared" si="13"/>
        <v>0</v>
      </c>
      <c r="S57" s="17">
        <f t="shared" si="14"/>
        <v>0</v>
      </c>
      <c r="T57" s="17" t="str">
        <f>IF(ISNUMBER(MATRIZ_174!O56),IFERROR((K57+M57+MATRIZ_174!O56)/3,0),"")</f>
        <v/>
      </c>
      <c r="U57" s="18" t="str">
        <f>IF(ISNUMBER(MATRIZ_174!M56),MIN(100,ROUND(MATRIZ_174!M56,1)),"")</f>
        <v/>
      </c>
      <c r="V57" s="18">
        <f t="shared" si="15"/>
        <v>50</v>
      </c>
      <c r="W57" s="18">
        <f>IFERROR(IF(MATRIZ_174!R56=0,65,IF(MATRIZ_174!R56/MATRIZ_174!Q56&gt;=2,35,IF(MATRIZ_174!R56/MATRIZ_174!Q56&gt;=0.5,50,65))),65)</f>
        <v>65</v>
      </c>
      <c r="X57" s="18" t="str">
        <f>IF(ISNUMBER(MATRIZ_174!O56),MIN(100,IF(MATRIZ_174!O56=0,70,30)+IF(MATRIZ_174!U56="",0,0.3*(100-MATRIZ_174!U56*100))),"")</f>
        <v/>
      </c>
      <c r="Y57" s="18">
        <f>IF(OR(MATRIZ_174!P56="ASOCIACION",MATRIZ_174!P56="PENDIENTE"),65,40)</f>
        <v>65</v>
      </c>
      <c r="Z57" s="19" t="str">
        <f t="shared" si="16"/>
        <v>—</v>
      </c>
      <c r="AA57" s="20">
        <f t="shared" si="17"/>
        <v>60</v>
      </c>
      <c r="AB57" s="21" t="str">
        <f t="shared" si="18"/>
        <v>—</v>
      </c>
      <c r="AC57" s="13" t="str">
        <f t="shared" si="19"/>
        <v>⬜  Pendiente de instrumento</v>
      </c>
      <c r="AD57" s="13" t="str">
        <f>IF(MATRIZ_174!U56="","",IF(MATRIZ_174!U56=0,"🚫  Inh. vigente OSCE",""))</f>
        <v/>
      </c>
      <c r="AE57" s="22">
        <f>IFERROR(MATRIZ_174!W56,0)</f>
        <v>0</v>
      </c>
      <c r="AF57" s="22">
        <f>IFERROR(MATRIZ_174!X56,0)</f>
        <v>0</v>
      </c>
      <c r="AG57" s="22">
        <f>IFERROR(MATRIZ_174!Y56,0)</f>
        <v>0</v>
      </c>
      <c r="AH57" s="22">
        <f>IFERROR(MATRIZ_174!Z56,0)</f>
        <v>0</v>
      </c>
      <c r="AI57" s="17">
        <f>IFERROR(MATRIZ_174!AP56,"N/A")</f>
        <v>0</v>
      </c>
      <c r="AJ57" s="17" t="str">
        <f>IFERROR(MATRIZ_174!AO56,"N/A")</f>
        <v>N/A</v>
      </c>
      <c r="AK57" s="23" t="str">
        <f t="shared" si="20"/>
        <v>N/A</v>
      </c>
      <c r="AL57" s="24" t="str">
        <f t="shared" si="21"/>
        <v>—</v>
      </c>
    </row>
    <row r="58" spans="1:38" ht="16.05" customHeight="1" x14ac:dyDescent="0.3">
      <c r="A58" s="13" t="s">
        <v>193</v>
      </c>
      <c r="B58" s="14" t="s">
        <v>194</v>
      </c>
      <c r="C58" s="13" t="s">
        <v>80</v>
      </c>
      <c r="D58" s="15">
        <v>0</v>
      </c>
      <c r="E58" s="16" t="str">
        <f>IF(NORMALIZADO!CB57="","",NORMALIZADO!CB57)</f>
        <v/>
      </c>
      <c r="F58" s="17" t="str">
        <f>IF(NORMALIZADO!CC57="","",NORMALIZADO!CC57)</f>
        <v/>
      </c>
      <c r="G58" s="17">
        <f>IF(NORMALIZADO!CD57="",IFERROR(MATRIZ_174!U57*100,""),NORMALIZADO!CD57)</f>
        <v>100</v>
      </c>
      <c r="H58" s="16" t="str">
        <f>IF(NORMALIZADO!CE57="","",NORMALIZADO!CE57)</f>
        <v/>
      </c>
      <c r="I58" s="17" t="str">
        <f>IF(NORMALIZADO!CF57="","",NORMALIZADO!CF57)</f>
        <v/>
      </c>
      <c r="J58" s="17" t="str">
        <f>IF(NORMALIZADO!CG57="","",NORMALIZADO!CG57)</f>
        <v/>
      </c>
      <c r="K58" s="16" t="str">
        <f>IF(NORMALIZADO!CH57="","",NORMALIZADO!CH57)</f>
        <v/>
      </c>
      <c r="L58" s="16" t="str">
        <f>IF(NORMALIZADO!CI57="","",NORMALIZADO!CI57)</f>
        <v/>
      </c>
      <c r="M58" s="16" t="str">
        <f>IF(NORMALIZADO!CJ57="","",NORMALIZADO!CJ57)</f>
        <v/>
      </c>
      <c r="N58" s="16" t="str">
        <f>IF(NORMALIZADO!CK57="","",NORMALIZADO!CK57)</f>
        <v/>
      </c>
      <c r="O58" s="16" t="str">
        <f>IF(NORMALIZADO!CL57="","",NORMALIZADO!CL57)</f>
        <v/>
      </c>
      <c r="P58" s="17" t="str">
        <f t="shared" si="11"/>
        <v/>
      </c>
      <c r="Q58" s="17">
        <f t="shared" si="12"/>
        <v>0</v>
      </c>
      <c r="R58" s="17">
        <f t="shared" si="13"/>
        <v>0</v>
      </c>
      <c r="S58" s="17">
        <f t="shared" si="14"/>
        <v>0</v>
      </c>
      <c r="T58" s="17" t="str">
        <f>IF(ISNUMBER(MATRIZ_174!O57),IFERROR((K58+M58+MATRIZ_174!O57)/3,0),"")</f>
        <v/>
      </c>
      <c r="U58" s="18" t="str">
        <f>IF(ISNUMBER(MATRIZ_174!M57),MIN(100,ROUND(MATRIZ_174!M57,1)),"")</f>
        <v/>
      </c>
      <c r="V58" s="18">
        <f t="shared" si="15"/>
        <v>50</v>
      </c>
      <c r="W58" s="18">
        <f>IFERROR(IF(MATRIZ_174!R57=0,65,IF(MATRIZ_174!R57/MATRIZ_174!Q57&gt;=2,35,IF(MATRIZ_174!R57/MATRIZ_174!Q57&gt;=0.5,50,65))),65)</f>
        <v>65</v>
      </c>
      <c r="X58" s="18" t="str">
        <f>IF(ISNUMBER(MATRIZ_174!O57),MIN(100,IF(MATRIZ_174!O57=0,70,30)+IF(MATRIZ_174!U57="",0,0.3*(100-MATRIZ_174!U57*100))),"")</f>
        <v/>
      </c>
      <c r="Y58" s="18">
        <f>IF(OR(MATRIZ_174!P57="ASOCIACION",MATRIZ_174!P57="PENDIENTE"),65,40)</f>
        <v>65</v>
      </c>
      <c r="Z58" s="19" t="str">
        <f t="shared" si="16"/>
        <v>—</v>
      </c>
      <c r="AA58" s="20">
        <f t="shared" si="17"/>
        <v>60</v>
      </c>
      <c r="AB58" s="21" t="str">
        <f t="shared" si="18"/>
        <v>—</v>
      </c>
      <c r="AC58" s="13" t="str">
        <f t="shared" si="19"/>
        <v>⬜  Pendiente de instrumento</v>
      </c>
      <c r="AD58" s="13" t="str">
        <f>IF(MATRIZ_174!U57="","",IF(MATRIZ_174!U57=0,"🚫  Inh. vigente OSCE",""))</f>
        <v/>
      </c>
      <c r="AE58" s="22">
        <f>IFERROR(MATRIZ_174!W57,0)</f>
        <v>0</v>
      </c>
      <c r="AF58" s="22">
        <f>IFERROR(MATRIZ_174!X57,0)</f>
        <v>0</v>
      </c>
      <c r="AG58" s="22">
        <f>IFERROR(MATRIZ_174!Y57,0)</f>
        <v>0</v>
      </c>
      <c r="AH58" s="22">
        <f>IFERROR(MATRIZ_174!Z57,0)</f>
        <v>0</v>
      </c>
      <c r="AI58" s="17">
        <f>IFERROR(MATRIZ_174!AP57,"N/A")</f>
        <v>0</v>
      </c>
      <c r="AJ58" s="17" t="str">
        <f>IFERROR(MATRIZ_174!AO57,"N/A")</f>
        <v>N/A</v>
      </c>
      <c r="AK58" s="23" t="str">
        <f t="shared" si="20"/>
        <v>N/A</v>
      </c>
      <c r="AL58" s="24" t="str">
        <f t="shared" si="21"/>
        <v>—</v>
      </c>
    </row>
    <row r="59" spans="1:38" ht="16.05" customHeight="1" x14ac:dyDescent="0.3">
      <c r="A59" s="13" t="s">
        <v>195</v>
      </c>
      <c r="B59" s="14" t="s">
        <v>196</v>
      </c>
      <c r="C59" s="13" t="s">
        <v>103</v>
      </c>
      <c r="D59" s="15">
        <v>52920</v>
      </c>
      <c r="E59" s="16" t="str">
        <f>IF(NORMALIZADO!CB58="","",NORMALIZADO!CB58)</f>
        <v/>
      </c>
      <c r="F59" s="17" t="str">
        <f>IF(NORMALIZADO!CC58="","",NORMALIZADO!CC58)</f>
        <v/>
      </c>
      <c r="G59" s="17">
        <f>IF(NORMALIZADO!CD58="",IFERROR(MATRIZ_174!U58*100,""),NORMALIZADO!CD58)</f>
        <v>100</v>
      </c>
      <c r="H59" s="16" t="str">
        <f>IF(NORMALIZADO!CE58="","",NORMALIZADO!CE58)</f>
        <v/>
      </c>
      <c r="I59" s="17" t="str">
        <f>IF(NORMALIZADO!CF58="","",NORMALIZADO!CF58)</f>
        <v/>
      </c>
      <c r="J59" s="17" t="str">
        <f>IF(NORMALIZADO!CG58="","",NORMALIZADO!CG58)</f>
        <v/>
      </c>
      <c r="K59" s="16" t="str">
        <f>IF(NORMALIZADO!CH58="","",NORMALIZADO!CH58)</f>
        <v/>
      </c>
      <c r="L59" s="16" t="str">
        <f>IF(NORMALIZADO!CI58="","",NORMALIZADO!CI58)</f>
        <v/>
      </c>
      <c r="M59" s="16" t="str">
        <f>IF(NORMALIZADO!CJ58="","",NORMALIZADO!CJ58)</f>
        <v/>
      </c>
      <c r="N59" s="16" t="str">
        <f>IF(NORMALIZADO!CK58="","",NORMALIZADO!CK58)</f>
        <v/>
      </c>
      <c r="O59" s="16" t="str">
        <f>IF(NORMALIZADO!CL58="","",NORMALIZADO!CL58)</f>
        <v/>
      </c>
      <c r="P59" s="17" t="str">
        <f t="shared" si="11"/>
        <v/>
      </c>
      <c r="Q59" s="17">
        <f t="shared" si="12"/>
        <v>0</v>
      </c>
      <c r="R59" s="17">
        <f t="shared" si="13"/>
        <v>0</v>
      </c>
      <c r="S59" s="17">
        <f t="shared" si="14"/>
        <v>0</v>
      </c>
      <c r="T59" s="17" t="str">
        <f>IF(ISNUMBER(MATRIZ_174!O58),IFERROR((K59+M59+MATRIZ_174!O58)/3,0),"")</f>
        <v/>
      </c>
      <c r="U59" s="18">
        <f>IF(ISNUMBER(MATRIZ_174!M58),MIN(100,ROUND(MATRIZ_174!M58,1)),"")</f>
        <v>50</v>
      </c>
      <c r="V59" s="18">
        <f t="shared" si="15"/>
        <v>50</v>
      </c>
      <c r="W59" s="18">
        <f>IFERROR(IF(MATRIZ_174!R58=0,65,IF(MATRIZ_174!R58/MATRIZ_174!Q58&gt;=2,35,IF(MATRIZ_174!R58/MATRIZ_174!Q58&gt;=0.5,50,65))),65)</f>
        <v>65</v>
      </c>
      <c r="X59" s="18" t="str">
        <f>IF(ISNUMBER(MATRIZ_174!O58),MIN(100,IF(MATRIZ_174!O58=0,70,30)+IF(MATRIZ_174!U58="",0,0.3*(100-MATRIZ_174!U58*100))),"")</f>
        <v/>
      </c>
      <c r="Y59" s="18">
        <f>IF(OR(MATRIZ_174!P58="ASOCIACION",MATRIZ_174!P58="PENDIENTE"),65,40)</f>
        <v>65</v>
      </c>
      <c r="Z59" s="19" t="str">
        <f t="shared" si="16"/>
        <v>—</v>
      </c>
      <c r="AA59" s="20">
        <f t="shared" si="17"/>
        <v>57.5</v>
      </c>
      <c r="AB59" s="21" t="str">
        <f t="shared" si="18"/>
        <v>—</v>
      </c>
      <c r="AC59" s="13" t="str">
        <f t="shared" si="19"/>
        <v>⬜  Pendiente de instrumento</v>
      </c>
      <c r="AD59" s="13" t="str">
        <f>IF(MATRIZ_174!U58="","",IF(MATRIZ_174!U58=0,"🚫  Inh. vigente OSCE",""))</f>
        <v/>
      </c>
      <c r="AE59" s="22">
        <f>IFERROR(MATRIZ_174!W58,0)</f>
        <v>0</v>
      </c>
      <c r="AF59" s="22">
        <f>IFERROR(MATRIZ_174!X58,0)</f>
        <v>0</v>
      </c>
      <c r="AG59" s="22">
        <f>IFERROR(MATRIZ_174!Y58,0)</f>
        <v>0</v>
      </c>
      <c r="AH59" s="22">
        <f>IFERROR(MATRIZ_174!Z58,0)</f>
        <v>0</v>
      </c>
      <c r="AI59" s="17">
        <f>IFERROR(MATRIZ_174!AP58,"N/A")</f>
        <v>0.25</v>
      </c>
      <c r="AJ59" s="17" t="str">
        <f>IFERROR(MATRIZ_174!AO58,"N/A")</f>
        <v>N/A</v>
      </c>
      <c r="AK59" s="23" t="str">
        <f t="shared" si="20"/>
        <v>N/A</v>
      </c>
      <c r="AL59" s="24" t="str">
        <f t="shared" si="21"/>
        <v>—</v>
      </c>
    </row>
    <row r="60" spans="1:38" ht="16.05" customHeight="1" x14ac:dyDescent="0.3">
      <c r="A60" s="13" t="s">
        <v>197</v>
      </c>
      <c r="B60" s="14" t="s">
        <v>198</v>
      </c>
      <c r="C60" s="13" t="s">
        <v>103</v>
      </c>
      <c r="D60" s="15">
        <v>0</v>
      </c>
      <c r="E60" s="16" t="str">
        <f>IF(NORMALIZADO!CB59="","",NORMALIZADO!CB59)</f>
        <v/>
      </c>
      <c r="F60" s="17" t="str">
        <f>IF(NORMALIZADO!CC59="","",NORMALIZADO!CC59)</f>
        <v/>
      </c>
      <c r="G60" s="17">
        <f>IF(NORMALIZADO!CD59="",IFERROR(MATRIZ_174!U59*100,""),NORMALIZADO!CD59)</f>
        <v>100</v>
      </c>
      <c r="H60" s="16" t="str">
        <f>IF(NORMALIZADO!CE59="","",NORMALIZADO!CE59)</f>
        <v/>
      </c>
      <c r="I60" s="17" t="str">
        <f>IF(NORMALIZADO!CF59="","",NORMALIZADO!CF59)</f>
        <v/>
      </c>
      <c r="J60" s="17" t="str">
        <f>IF(NORMALIZADO!CG59="","",NORMALIZADO!CG59)</f>
        <v/>
      </c>
      <c r="K60" s="16" t="str">
        <f>IF(NORMALIZADO!CH59="","",NORMALIZADO!CH59)</f>
        <v/>
      </c>
      <c r="L60" s="16" t="str">
        <f>IF(NORMALIZADO!CI59="","",NORMALIZADO!CI59)</f>
        <v/>
      </c>
      <c r="M60" s="16" t="str">
        <f>IF(NORMALIZADO!CJ59="","",NORMALIZADO!CJ59)</f>
        <v/>
      </c>
      <c r="N60" s="16" t="str">
        <f>IF(NORMALIZADO!CK59="","",NORMALIZADO!CK59)</f>
        <v/>
      </c>
      <c r="O60" s="16" t="str">
        <f>IF(NORMALIZADO!CL59="","",NORMALIZADO!CL59)</f>
        <v/>
      </c>
      <c r="P60" s="17" t="str">
        <f t="shared" si="11"/>
        <v/>
      </c>
      <c r="Q60" s="17">
        <f t="shared" si="12"/>
        <v>0</v>
      </c>
      <c r="R60" s="17">
        <f t="shared" si="13"/>
        <v>0</v>
      </c>
      <c r="S60" s="17">
        <f t="shared" si="14"/>
        <v>0</v>
      </c>
      <c r="T60" s="17" t="str">
        <f>IF(ISNUMBER(MATRIZ_174!O59),IFERROR((K60+M60+MATRIZ_174!O59)/3,0),"")</f>
        <v/>
      </c>
      <c r="U60" s="18" t="str">
        <f>IF(ISNUMBER(MATRIZ_174!M59),MIN(100,ROUND(MATRIZ_174!M59,1)),"")</f>
        <v/>
      </c>
      <c r="V60" s="18">
        <f t="shared" si="15"/>
        <v>50</v>
      </c>
      <c r="W60" s="18">
        <f>IFERROR(IF(MATRIZ_174!R59=0,65,IF(MATRIZ_174!R59/MATRIZ_174!Q59&gt;=2,35,IF(MATRIZ_174!R59/MATRIZ_174!Q59&gt;=0.5,50,65))),65)</f>
        <v>65</v>
      </c>
      <c r="X60" s="18" t="str">
        <f>IF(ISNUMBER(MATRIZ_174!O59),MIN(100,IF(MATRIZ_174!O59=0,70,30)+IF(MATRIZ_174!U59="",0,0.3*(100-MATRIZ_174!U59*100))),"")</f>
        <v/>
      </c>
      <c r="Y60" s="18">
        <f>IF(OR(MATRIZ_174!P59="ASOCIACION",MATRIZ_174!P59="PENDIENTE"),65,40)</f>
        <v>65</v>
      </c>
      <c r="Z60" s="19" t="str">
        <f t="shared" si="16"/>
        <v>—</v>
      </c>
      <c r="AA60" s="20">
        <f t="shared" si="17"/>
        <v>60</v>
      </c>
      <c r="AB60" s="21" t="str">
        <f t="shared" si="18"/>
        <v>—</v>
      </c>
      <c r="AC60" s="13" t="str">
        <f t="shared" si="19"/>
        <v>⬜  Pendiente de instrumento</v>
      </c>
      <c r="AD60" s="13" t="str">
        <f>IF(MATRIZ_174!U59="","",IF(MATRIZ_174!U59=0,"🚫  Inh. vigente OSCE",""))</f>
        <v/>
      </c>
      <c r="AE60" s="22">
        <f>IFERROR(MATRIZ_174!W59,0)</f>
        <v>0</v>
      </c>
      <c r="AF60" s="22">
        <f>IFERROR(MATRIZ_174!X59,0)</f>
        <v>0</v>
      </c>
      <c r="AG60" s="22">
        <f>IFERROR(MATRIZ_174!Y59,0)</f>
        <v>0</v>
      </c>
      <c r="AH60" s="22">
        <f>IFERROR(MATRIZ_174!Z59,0)</f>
        <v>0</v>
      </c>
      <c r="AI60" s="17">
        <f>IFERROR(MATRIZ_174!AP59,"N/A")</f>
        <v>0</v>
      </c>
      <c r="AJ60" s="17" t="str">
        <f>IFERROR(MATRIZ_174!AO59,"N/A")</f>
        <v>N/A</v>
      </c>
      <c r="AK60" s="23" t="str">
        <f t="shared" si="20"/>
        <v>N/A</v>
      </c>
      <c r="AL60" s="24" t="str">
        <f t="shared" si="21"/>
        <v>—</v>
      </c>
    </row>
    <row r="61" spans="1:38" ht="16.05" customHeight="1" x14ac:dyDescent="0.3">
      <c r="A61" s="13" t="s">
        <v>199</v>
      </c>
      <c r="B61" s="14" t="s">
        <v>200</v>
      </c>
      <c r="C61" s="13" t="s">
        <v>201</v>
      </c>
      <c r="D61" s="15">
        <v>5373465.4699999997</v>
      </c>
      <c r="E61" s="16" t="str">
        <f>IF(NORMALIZADO!CB60="","",NORMALIZADO!CB60)</f>
        <v/>
      </c>
      <c r="F61" s="17" t="str">
        <f>IF(NORMALIZADO!CC60="","",NORMALIZADO!CC60)</f>
        <v/>
      </c>
      <c r="G61" s="17">
        <f>IF(NORMALIZADO!CD60="",IFERROR(MATRIZ_174!U60*100,""),NORMALIZADO!CD60)</f>
        <v>100</v>
      </c>
      <c r="H61" s="16" t="str">
        <f>IF(NORMALIZADO!CE60="","",NORMALIZADO!CE60)</f>
        <v/>
      </c>
      <c r="I61" s="17" t="str">
        <f>IF(NORMALIZADO!CF60="","",NORMALIZADO!CF60)</f>
        <v/>
      </c>
      <c r="J61" s="17" t="str">
        <f>IF(NORMALIZADO!CG60="","",NORMALIZADO!CG60)</f>
        <v/>
      </c>
      <c r="K61" s="16" t="str">
        <f>IF(NORMALIZADO!CH60="","",NORMALIZADO!CH60)</f>
        <v/>
      </c>
      <c r="L61" s="16" t="str">
        <f>IF(NORMALIZADO!CI60="","",NORMALIZADO!CI60)</f>
        <v/>
      </c>
      <c r="M61" s="16" t="str">
        <f>IF(NORMALIZADO!CJ60="","",NORMALIZADO!CJ60)</f>
        <v/>
      </c>
      <c r="N61" s="16" t="str">
        <f>IF(NORMALIZADO!CK60="","",NORMALIZADO!CK60)</f>
        <v/>
      </c>
      <c r="O61" s="16" t="str">
        <f>IF(NORMALIZADO!CL60="","",NORMALIZADO!CL60)</f>
        <v/>
      </c>
      <c r="P61" s="17" t="str">
        <f t="shared" si="11"/>
        <v/>
      </c>
      <c r="Q61" s="17">
        <f t="shared" si="12"/>
        <v>0</v>
      </c>
      <c r="R61" s="17">
        <f t="shared" si="13"/>
        <v>0</v>
      </c>
      <c r="S61" s="17">
        <f t="shared" si="14"/>
        <v>0</v>
      </c>
      <c r="T61" s="17" t="str">
        <f>IF(ISNUMBER(MATRIZ_174!O60),IFERROR((K61+M61+MATRIZ_174!O60)/3,0),"")</f>
        <v/>
      </c>
      <c r="U61" s="18">
        <f>IF(ISNUMBER(MATRIZ_174!M60),MIN(100,ROUND(MATRIZ_174!M60,1)),"")</f>
        <v>50</v>
      </c>
      <c r="V61" s="18">
        <f t="shared" si="15"/>
        <v>50</v>
      </c>
      <c r="W61" s="18">
        <f>IFERROR(IF(MATRIZ_174!R60=0,65,IF(MATRIZ_174!R60/MATRIZ_174!Q60&gt;=2,35,IF(MATRIZ_174!R60/MATRIZ_174!Q60&gt;=0.5,50,65))),65)</f>
        <v>65</v>
      </c>
      <c r="X61" s="18" t="str">
        <f>IF(ISNUMBER(MATRIZ_174!O60),MIN(100,IF(MATRIZ_174!O60=0,70,30)+IF(MATRIZ_174!U60="",0,0.3*(100-MATRIZ_174!U60*100))),"")</f>
        <v/>
      </c>
      <c r="Y61" s="18">
        <f>IF(OR(MATRIZ_174!P60="ASOCIACION",MATRIZ_174!P60="PENDIENTE"),65,40)</f>
        <v>65</v>
      </c>
      <c r="Z61" s="19" t="str">
        <f t="shared" si="16"/>
        <v>—</v>
      </c>
      <c r="AA61" s="20">
        <f t="shared" si="17"/>
        <v>57.5</v>
      </c>
      <c r="AB61" s="21" t="str">
        <f t="shared" si="18"/>
        <v>—</v>
      </c>
      <c r="AC61" s="13" t="str">
        <f t="shared" si="19"/>
        <v>⬜  Pendiente de instrumento</v>
      </c>
      <c r="AD61" s="13" t="str">
        <f>IF(MATRIZ_174!U60="","",IF(MATRIZ_174!U60=0,"🚫  Inh. vigente OSCE",""))</f>
        <v/>
      </c>
      <c r="AE61" s="22">
        <f>IFERROR(MATRIZ_174!W60,0)</f>
        <v>1</v>
      </c>
      <c r="AF61" s="22">
        <f>IFERROR(MATRIZ_174!X60,0)</f>
        <v>0</v>
      </c>
      <c r="AG61" s="22">
        <f>IFERROR(MATRIZ_174!Y60,0)</f>
        <v>0</v>
      </c>
      <c r="AH61" s="22">
        <f>IFERROR(MATRIZ_174!Z60,0)</f>
        <v>0</v>
      </c>
      <c r="AI61" s="17">
        <f>IFERROR(MATRIZ_174!AP60,"N/A")</f>
        <v>0.3125</v>
      </c>
      <c r="AJ61" s="17" t="str">
        <f>IFERROR(MATRIZ_174!AO60,"N/A")</f>
        <v>N/A</v>
      </c>
      <c r="AK61" s="23" t="str">
        <f t="shared" si="20"/>
        <v>N/A</v>
      </c>
      <c r="AL61" s="24" t="str">
        <f t="shared" si="21"/>
        <v>—</v>
      </c>
    </row>
    <row r="62" spans="1:38" ht="16.05" customHeight="1" x14ac:dyDescent="0.3">
      <c r="A62" s="13" t="s">
        <v>202</v>
      </c>
      <c r="B62" s="14" t="s">
        <v>203</v>
      </c>
      <c r="C62" s="13" t="s">
        <v>119</v>
      </c>
      <c r="D62" s="15">
        <v>0</v>
      </c>
      <c r="E62" s="16" t="str">
        <f>IF(NORMALIZADO!CB61="","",NORMALIZADO!CB61)</f>
        <v/>
      </c>
      <c r="F62" s="17" t="str">
        <f>IF(NORMALIZADO!CC61="","",NORMALIZADO!CC61)</f>
        <v/>
      </c>
      <c r="G62" s="17">
        <f>IF(NORMALIZADO!CD61="",IFERROR(MATRIZ_174!U61*100,""),NORMALIZADO!CD61)</f>
        <v>100</v>
      </c>
      <c r="H62" s="16" t="str">
        <f>IF(NORMALIZADO!CE61="","",NORMALIZADO!CE61)</f>
        <v/>
      </c>
      <c r="I62" s="17" t="str">
        <f>IF(NORMALIZADO!CF61="","",NORMALIZADO!CF61)</f>
        <v/>
      </c>
      <c r="J62" s="17" t="str">
        <f>IF(NORMALIZADO!CG61="","",NORMALIZADO!CG61)</f>
        <v/>
      </c>
      <c r="K62" s="16" t="str">
        <f>IF(NORMALIZADO!CH61="","",NORMALIZADO!CH61)</f>
        <v/>
      </c>
      <c r="L62" s="16" t="str">
        <f>IF(NORMALIZADO!CI61="","",NORMALIZADO!CI61)</f>
        <v/>
      </c>
      <c r="M62" s="16" t="str">
        <f>IF(NORMALIZADO!CJ61="","",NORMALIZADO!CJ61)</f>
        <v/>
      </c>
      <c r="N62" s="16" t="str">
        <f>IF(NORMALIZADO!CK61="","",NORMALIZADO!CK61)</f>
        <v/>
      </c>
      <c r="O62" s="16" t="str">
        <f>IF(NORMALIZADO!CL61="","",NORMALIZADO!CL61)</f>
        <v/>
      </c>
      <c r="P62" s="17" t="str">
        <f t="shared" si="11"/>
        <v/>
      </c>
      <c r="Q62" s="17">
        <f t="shared" si="12"/>
        <v>0</v>
      </c>
      <c r="R62" s="17">
        <f t="shared" si="13"/>
        <v>0</v>
      </c>
      <c r="S62" s="17">
        <f t="shared" si="14"/>
        <v>0</v>
      </c>
      <c r="T62" s="17" t="str">
        <f>IF(ISNUMBER(MATRIZ_174!O61),IFERROR((K62+M62+MATRIZ_174!O61)/3,0),"")</f>
        <v/>
      </c>
      <c r="U62" s="18" t="str">
        <f>IF(ISNUMBER(MATRIZ_174!M61),MIN(100,ROUND(MATRIZ_174!M61,1)),"")</f>
        <v/>
      </c>
      <c r="V62" s="18">
        <f t="shared" si="15"/>
        <v>50</v>
      </c>
      <c r="W62" s="18">
        <f>IFERROR(IF(MATRIZ_174!R61=0,65,IF(MATRIZ_174!R61/MATRIZ_174!Q61&gt;=2,35,IF(MATRIZ_174!R61/MATRIZ_174!Q61&gt;=0.5,50,65))),65)</f>
        <v>65</v>
      </c>
      <c r="X62" s="18" t="str">
        <f>IF(ISNUMBER(MATRIZ_174!O61),MIN(100,IF(MATRIZ_174!O61=0,70,30)+IF(MATRIZ_174!U61="",0,0.3*(100-MATRIZ_174!U61*100))),"")</f>
        <v/>
      </c>
      <c r="Y62" s="18">
        <f>IF(OR(MATRIZ_174!P61="ASOCIACION",MATRIZ_174!P61="PENDIENTE"),65,40)</f>
        <v>65</v>
      </c>
      <c r="Z62" s="19" t="str">
        <f t="shared" si="16"/>
        <v>—</v>
      </c>
      <c r="AA62" s="20">
        <f t="shared" si="17"/>
        <v>60</v>
      </c>
      <c r="AB62" s="21" t="str">
        <f t="shared" si="18"/>
        <v>—</v>
      </c>
      <c r="AC62" s="13" t="str">
        <f t="shared" si="19"/>
        <v>⬜  Pendiente de instrumento</v>
      </c>
      <c r="AD62" s="13" t="str">
        <f>IF(MATRIZ_174!U61="","",IF(MATRIZ_174!U61=0,"🚫  Inh. vigente OSCE",""))</f>
        <v/>
      </c>
      <c r="AE62" s="22">
        <f>IFERROR(MATRIZ_174!W61,0)</f>
        <v>0</v>
      </c>
      <c r="AF62" s="22">
        <f>IFERROR(MATRIZ_174!X61,0)</f>
        <v>0</v>
      </c>
      <c r="AG62" s="22">
        <f>IFERROR(MATRIZ_174!Y61,0)</f>
        <v>0</v>
      </c>
      <c r="AH62" s="22">
        <f>IFERROR(MATRIZ_174!Z61,0)</f>
        <v>0</v>
      </c>
      <c r="AI62" s="17">
        <f>IFERROR(MATRIZ_174!AP61,"N/A")</f>
        <v>0</v>
      </c>
      <c r="AJ62" s="17" t="str">
        <f>IFERROR(MATRIZ_174!AO61,"N/A")</f>
        <v>N/A</v>
      </c>
      <c r="AK62" s="23" t="str">
        <f t="shared" si="20"/>
        <v>N/A</v>
      </c>
      <c r="AL62" s="24" t="str">
        <f t="shared" si="21"/>
        <v>—</v>
      </c>
    </row>
    <row r="63" spans="1:38" ht="16.05" customHeight="1" x14ac:dyDescent="0.3">
      <c r="A63" s="13" t="s">
        <v>204</v>
      </c>
      <c r="B63" s="14" t="s">
        <v>205</v>
      </c>
      <c r="C63" s="13" t="s">
        <v>103</v>
      </c>
      <c r="D63" s="15">
        <v>0</v>
      </c>
      <c r="E63" s="16" t="str">
        <f>IF(NORMALIZADO!CB62="","",NORMALIZADO!CB62)</f>
        <v/>
      </c>
      <c r="F63" s="17" t="str">
        <f>IF(NORMALIZADO!CC62="","",NORMALIZADO!CC62)</f>
        <v/>
      </c>
      <c r="G63" s="17">
        <f>IF(NORMALIZADO!CD62="",IFERROR(MATRIZ_174!U62*100,""),NORMALIZADO!CD62)</f>
        <v>100</v>
      </c>
      <c r="H63" s="16" t="str">
        <f>IF(NORMALIZADO!CE62="","",NORMALIZADO!CE62)</f>
        <v/>
      </c>
      <c r="I63" s="17" t="str">
        <f>IF(NORMALIZADO!CF62="","",NORMALIZADO!CF62)</f>
        <v/>
      </c>
      <c r="J63" s="17" t="str">
        <f>IF(NORMALIZADO!CG62="","",NORMALIZADO!CG62)</f>
        <v/>
      </c>
      <c r="K63" s="16" t="str">
        <f>IF(NORMALIZADO!CH62="","",NORMALIZADO!CH62)</f>
        <v/>
      </c>
      <c r="L63" s="16" t="str">
        <f>IF(NORMALIZADO!CI62="","",NORMALIZADO!CI62)</f>
        <v/>
      </c>
      <c r="M63" s="16" t="str">
        <f>IF(NORMALIZADO!CJ62="","",NORMALIZADO!CJ62)</f>
        <v/>
      </c>
      <c r="N63" s="16" t="str">
        <f>IF(NORMALIZADO!CK62="","",NORMALIZADO!CK62)</f>
        <v/>
      </c>
      <c r="O63" s="16" t="str">
        <f>IF(NORMALIZADO!CL62="","",NORMALIZADO!CL62)</f>
        <v/>
      </c>
      <c r="P63" s="17" t="str">
        <f t="shared" si="11"/>
        <v/>
      </c>
      <c r="Q63" s="17">
        <f t="shared" si="12"/>
        <v>0</v>
      </c>
      <c r="R63" s="17">
        <f t="shared" si="13"/>
        <v>0</v>
      </c>
      <c r="S63" s="17">
        <f t="shared" si="14"/>
        <v>0</v>
      </c>
      <c r="T63" s="17" t="str">
        <f>IF(ISNUMBER(MATRIZ_174!O62),IFERROR((K63+M63+MATRIZ_174!O62)/3,0),"")</f>
        <v/>
      </c>
      <c r="U63" s="18" t="str">
        <f>IF(ISNUMBER(MATRIZ_174!M62),MIN(100,ROUND(MATRIZ_174!M62,1)),"")</f>
        <v/>
      </c>
      <c r="V63" s="18">
        <f t="shared" si="15"/>
        <v>50</v>
      </c>
      <c r="W63" s="18">
        <f>IFERROR(IF(MATRIZ_174!R62=0,65,IF(MATRIZ_174!R62/MATRIZ_174!Q62&gt;=2,35,IF(MATRIZ_174!R62/MATRIZ_174!Q62&gt;=0.5,50,65))),65)</f>
        <v>65</v>
      </c>
      <c r="X63" s="18" t="str">
        <f>IF(ISNUMBER(MATRIZ_174!O62),MIN(100,IF(MATRIZ_174!O62=0,70,30)+IF(MATRIZ_174!U62="",0,0.3*(100-MATRIZ_174!U62*100))),"")</f>
        <v/>
      </c>
      <c r="Y63" s="18">
        <f>IF(OR(MATRIZ_174!P62="ASOCIACION",MATRIZ_174!P62="PENDIENTE"),65,40)</f>
        <v>65</v>
      </c>
      <c r="Z63" s="19" t="str">
        <f t="shared" si="16"/>
        <v>—</v>
      </c>
      <c r="AA63" s="20">
        <f t="shared" si="17"/>
        <v>60</v>
      </c>
      <c r="AB63" s="21" t="str">
        <f t="shared" si="18"/>
        <v>—</v>
      </c>
      <c r="AC63" s="13" t="str">
        <f t="shared" si="19"/>
        <v>⬜  Pendiente de instrumento</v>
      </c>
      <c r="AD63" s="13" t="str">
        <f>IF(MATRIZ_174!U62="","",IF(MATRIZ_174!U62=0,"🚫  Inh. vigente OSCE",""))</f>
        <v/>
      </c>
      <c r="AE63" s="22">
        <f>IFERROR(MATRIZ_174!W62,0)</f>
        <v>0</v>
      </c>
      <c r="AF63" s="22">
        <f>IFERROR(MATRIZ_174!X62,0)</f>
        <v>0</v>
      </c>
      <c r="AG63" s="22">
        <f>IFERROR(MATRIZ_174!Y62,0)</f>
        <v>0</v>
      </c>
      <c r="AH63" s="22">
        <f>IFERROR(MATRIZ_174!Z62,0)</f>
        <v>0</v>
      </c>
      <c r="AI63" s="17">
        <f>IFERROR(MATRIZ_174!AP62,"N/A")</f>
        <v>0</v>
      </c>
      <c r="AJ63" s="17" t="str">
        <f>IFERROR(MATRIZ_174!AO62,"N/A")</f>
        <v>N/A</v>
      </c>
      <c r="AK63" s="23" t="str">
        <f t="shared" si="20"/>
        <v>N/A</v>
      </c>
      <c r="AL63" s="24" t="str">
        <f t="shared" si="21"/>
        <v>—</v>
      </c>
    </row>
    <row r="64" spans="1:38" ht="16.05" customHeight="1" x14ac:dyDescent="0.3">
      <c r="A64" s="13" t="s">
        <v>206</v>
      </c>
      <c r="B64" s="14" t="s">
        <v>207</v>
      </c>
      <c r="C64" s="13" t="s">
        <v>103</v>
      </c>
      <c r="D64" s="15">
        <v>0</v>
      </c>
      <c r="E64" s="16" t="str">
        <f>IF(NORMALIZADO!CB63="","",NORMALIZADO!CB63)</f>
        <v/>
      </c>
      <c r="F64" s="17" t="str">
        <f>IF(NORMALIZADO!CC63="","",NORMALIZADO!CC63)</f>
        <v/>
      </c>
      <c r="G64" s="17">
        <f>IF(NORMALIZADO!CD63="",IFERROR(MATRIZ_174!U63*100,""),NORMALIZADO!CD63)</f>
        <v>100</v>
      </c>
      <c r="H64" s="16" t="str">
        <f>IF(NORMALIZADO!CE63="","",NORMALIZADO!CE63)</f>
        <v/>
      </c>
      <c r="I64" s="17" t="str">
        <f>IF(NORMALIZADO!CF63="","",NORMALIZADO!CF63)</f>
        <v/>
      </c>
      <c r="J64" s="17" t="str">
        <f>IF(NORMALIZADO!CG63="","",NORMALIZADO!CG63)</f>
        <v/>
      </c>
      <c r="K64" s="16" t="str">
        <f>IF(NORMALIZADO!CH63="","",NORMALIZADO!CH63)</f>
        <v/>
      </c>
      <c r="L64" s="16" t="str">
        <f>IF(NORMALIZADO!CI63="","",NORMALIZADO!CI63)</f>
        <v/>
      </c>
      <c r="M64" s="16" t="str">
        <f>IF(NORMALIZADO!CJ63="","",NORMALIZADO!CJ63)</f>
        <v/>
      </c>
      <c r="N64" s="16" t="str">
        <f>IF(NORMALIZADO!CK63="","",NORMALIZADO!CK63)</f>
        <v/>
      </c>
      <c r="O64" s="16" t="str">
        <f>IF(NORMALIZADO!CL63="","",NORMALIZADO!CL63)</f>
        <v/>
      </c>
      <c r="P64" s="17" t="str">
        <f t="shared" si="11"/>
        <v/>
      </c>
      <c r="Q64" s="17">
        <f t="shared" si="12"/>
        <v>0</v>
      </c>
      <c r="R64" s="17">
        <f t="shared" si="13"/>
        <v>0</v>
      </c>
      <c r="S64" s="17">
        <f t="shared" si="14"/>
        <v>0</v>
      </c>
      <c r="T64" s="17" t="str">
        <f>IF(ISNUMBER(MATRIZ_174!O63),IFERROR((K64+M64+MATRIZ_174!O63)/3,0),"")</f>
        <v/>
      </c>
      <c r="U64" s="18" t="str">
        <f>IF(ISNUMBER(MATRIZ_174!M63),MIN(100,ROUND(MATRIZ_174!M63,1)),"")</f>
        <v/>
      </c>
      <c r="V64" s="18">
        <f t="shared" si="15"/>
        <v>50</v>
      </c>
      <c r="W64" s="18">
        <f>IFERROR(IF(MATRIZ_174!R63=0,65,IF(MATRIZ_174!R63/MATRIZ_174!Q63&gt;=2,35,IF(MATRIZ_174!R63/MATRIZ_174!Q63&gt;=0.5,50,65))),65)</f>
        <v>65</v>
      </c>
      <c r="X64" s="18" t="str">
        <f>IF(ISNUMBER(MATRIZ_174!O63),MIN(100,IF(MATRIZ_174!O63=0,70,30)+IF(MATRIZ_174!U63="",0,0.3*(100-MATRIZ_174!U63*100))),"")</f>
        <v/>
      </c>
      <c r="Y64" s="18">
        <f>IF(OR(MATRIZ_174!P63="ASOCIACION",MATRIZ_174!P63="PENDIENTE"),65,40)</f>
        <v>65</v>
      </c>
      <c r="Z64" s="19" t="str">
        <f t="shared" si="16"/>
        <v>—</v>
      </c>
      <c r="AA64" s="20">
        <f t="shared" si="17"/>
        <v>60</v>
      </c>
      <c r="AB64" s="21" t="str">
        <f t="shared" si="18"/>
        <v>—</v>
      </c>
      <c r="AC64" s="13" t="str">
        <f t="shared" si="19"/>
        <v>⬜  Pendiente de instrumento</v>
      </c>
      <c r="AD64" s="13" t="str">
        <f>IF(MATRIZ_174!U63="","",IF(MATRIZ_174!U63=0,"🚫  Inh. vigente OSCE",""))</f>
        <v/>
      </c>
      <c r="AE64" s="22">
        <f>IFERROR(MATRIZ_174!W63,0)</f>
        <v>0</v>
      </c>
      <c r="AF64" s="22">
        <f>IFERROR(MATRIZ_174!X63,0)</f>
        <v>0</v>
      </c>
      <c r="AG64" s="22">
        <f>IFERROR(MATRIZ_174!Y63,0)</f>
        <v>0</v>
      </c>
      <c r="AH64" s="22">
        <f>IFERROR(MATRIZ_174!Z63,0)</f>
        <v>0</v>
      </c>
      <c r="AI64" s="17">
        <f>IFERROR(MATRIZ_174!AP63,"N/A")</f>
        <v>0</v>
      </c>
      <c r="AJ64" s="17" t="str">
        <f>IFERROR(MATRIZ_174!AO63,"N/A")</f>
        <v>N/A</v>
      </c>
      <c r="AK64" s="23" t="str">
        <f t="shared" si="20"/>
        <v>N/A</v>
      </c>
      <c r="AL64" s="24" t="str">
        <f t="shared" si="21"/>
        <v>—</v>
      </c>
    </row>
    <row r="65" spans="1:38" ht="16.05" customHeight="1" x14ac:dyDescent="0.3">
      <c r="A65" s="13" t="s">
        <v>208</v>
      </c>
      <c r="B65" s="14" t="s">
        <v>209</v>
      </c>
      <c r="C65" s="13" t="s">
        <v>139</v>
      </c>
      <c r="D65" s="15">
        <v>0</v>
      </c>
      <c r="E65" s="16" t="str">
        <f>IF(NORMALIZADO!CB64="","",NORMALIZADO!CB64)</f>
        <v/>
      </c>
      <c r="F65" s="17" t="str">
        <f>IF(NORMALIZADO!CC64="","",NORMALIZADO!CC64)</f>
        <v/>
      </c>
      <c r="G65" s="17">
        <f>IF(NORMALIZADO!CD64="",IFERROR(MATRIZ_174!U64*100,""),NORMALIZADO!CD64)</f>
        <v>100</v>
      </c>
      <c r="H65" s="16" t="str">
        <f>IF(NORMALIZADO!CE64="","",NORMALIZADO!CE64)</f>
        <v/>
      </c>
      <c r="I65" s="17" t="str">
        <f>IF(NORMALIZADO!CF64="","",NORMALIZADO!CF64)</f>
        <v/>
      </c>
      <c r="J65" s="17" t="str">
        <f>IF(NORMALIZADO!CG64="","",NORMALIZADO!CG64)</f>
        <v/>
      </c>
      <c r="K65" s="16" t="str">
        <f>IF(NORMALIZADO!CH64="","",NORMALIZADO!CH64)</f>
        <v/>
      </c>
      <c r="L65" s="16" t="str">
        <f>IF(NORMALIZADO!CI64="","",NORMALIZADO!CI64)</f>
        <v/>
      </c>
      <c r="M65" s="16" t="str">
        <f>IF(NORMALIZADO!CJ64="","",NORMALIZADO!CJ64)</f>
        <v/>
      </c>
      <c r="N65" s="16" t="str">
        <f>IF(NORMALIZADO!CK64="","",NORMALIZADO!CK64)</f>
        <v/>
      </c>
      <c r="O65" s="16" t="str">
        <f>IF(NORMALIZADO!CL64="","",NORMALIZADO!CL64)</f>
        <v/>
      </c>
      <c r="P65" s="17" t="str">
        <f t="shared" si="11"/>
        <v/>
      </c>
      <c r="Q65" s="17">
        <f t="shared" si="12"/>
        <v>0</v>
      </c>
      <c r="R65" s="17">
        <f t="shared" si="13"/>
        <v>0</v>
      </c>
      <c r="S65" s="17">
        <f t="shared" si="14"/>
        <v>0</v>
      </c>
      <c r="T65" s="17" t="str">
        <f>IF(ISNUMBER(MATRIZ_174!O64),IFERROR((K65+M65+MATRIZ_174!O64)/3,0),"")</f>
        <v/>
      </c>
      <c r="U65" s="18" t="str">
        <f>IF(ISNUMBER(MATRIZ_174!M64),MIN(100,ROUND(MATRIZ_174!M64,1)),"")</f>
        <v/>
      </c>
      <c r="V65" s="18">
        <f t="shared" si="15"/>
        <v>50</v>
      </c>
      <c r="W65" s="18">
        <f>IFERROR(IF(MATRIZ_174!R64=0,65,IF(MATRIZ_174!R64/MATRIZ_174!Q64&gt;=2,35,IF(MATRIZ_174!R64/MATRIZ_174!Q64&gt;=0.5,50,65))),65)</f>
        <v>65</v>
      </c>
      <c r="X65" s="18" t="str">
        <f>IF(ISNUMBER(MATRIZ_174!O64),MIN(100,IF(MATRIZ_174!O64=0,70,30)+IF(MATRIZ_174!U64="",0,0.3*(100-MATRIZ_174!U64*100))),"")</f>
        <v/>
      </c>
      <c r="Y65" s="18">
        <f>IF(OR(MATRIZ_174!P64="ASOCIACION",MATRIZ_174!P64="PENDIENTE"),65,40)</f>
        <v>65</v>
      </c>
      <c r="Z65" s="19" t="str">
        <f t="shared" si="16"/>
        <v>—</v>
      </c>
      <c r="AA65" s="20">
        <f t="shared" si="17"/>
        <v>60</v>
      </c>
      <c r="AB65" s="21" t="str">
        <f t="shared" si="18"/>
        <v>—</v>
      </c>
      <c r="AC65" s="13" t="str">
        <f t="shared" si="19"/>
        <v>⬜  Pendiente de instrumento</v>
      </c>
      <c r="AD65" s="13" t="str">
        <f>IF(MATRIZ_174!U64="","",IF(MATRIZ_174!U64=0,"🚫  Inh. vigente OSCE",""))</f>
        <v/>
      </c>
      <c r="AE65" s="22">
        <f>IFERROR(MATRIZ_174!W64,0)</f>
        <v>0</v>
      </c>
      <c r="AF65" s="22">
        <f>IFERROR(MATRIZ_174!X64,0)</f>
        <v>0</v>
      </c>
      <c r="AG65" s="22">
        <f>IFERROR(MATRIZ_174!Y64,0)</f>
        <v>0</v>
      </c>
      <c r="AH65" s="22">
        <f>IFERROR(MATRIZ_174!Z64,0)</f>
        <v>0</v>
      </c>
      <c r="AI65" s="17">
        <f>IFERROR(MATRIZ_174!AP64,"N/A")</f>
        <v>0</v>
      </c>
      <c r="AJ65" s="17" t="str">
        <f>IFERROR(MATRIZ_174!AO64,"N/A")</f>
        <v>N/A</v>
      </c>
      <c r="AK65" s="23" t="str">
        <f t="shared" si="20"/>
        <v>N/A</v>
      </c>
      <c r="AL65" s="24" t="str">
        <f t="shared" si="21"/>
        <v>—</v>
      </c>
    </row>
    <row r="66" spans="1:38" ht="16.05" customHeight="1" x14ac:dyDescent="0.3">
      <c r="A66" s="13" t="s">
        <v>210</v>
      </c>
      <c r="B66" s="14" t="s">
        <v>211</v>
      </c>
      <c r="C66" s="13" t="s">
        <v>139</v>
      </c>
      <c r="D66" s="15">
        <v>0</v>
      </c>
      <c r="E66" s="16" t="str">
        <f>IF(NORMALIZADO!CB65="","",NORMALIZADO!CB65)</f>
        <v/>
      </c>
      <c r="F66" s="17" t="str">
        <f>IF(NORMALIZADO!CC65="","",NORMALIZADO!CC65)</f>
        <v/>
      </c>
      <c r="G66" s="17">
        <f>IF(NORMALIZADO!CD65="",IFERROR(MATRIZ_174!U65*100,""),NORMALIZADO!CD65)</f>
        <v>100</v>
      </c>
      <c r="H66" s="16" t="str">
        <f>IF(NORMALIZADO!CE65="","",NORMALIZADO!CE65)</f>
        <v/>
      </c>
      <c r="I66" s="17" t="str">
        <f>IF(NORMALIZADO!CF65="","",NORMALIZADO!CF65)</f>
        <v/>
      </c>
      <c r="J66" s="17" t="str">
        <f>IF(NORMALIZADO!CG65="","",NORMALIZADO!CG65)</f>
        <v/>
      </c>
      <c r="K66" s="16" t="str">
        <f>IF(NORMALIZADO!CH65="","",NORMALIZADO!CH65)</f>
        <v/>
      </c>
      <c r="L66" s="16" t="str">
        <f>IF(NORMALIZADO!CI65="","",NORMALIZADO!CI65)</f>
        <v/>
      </c>
      <c r="M66" s="16" t="str">
        <f>IF(NORMALIZADO!CJ65="","",NORMALIZADO!CJ65)</f>
        <v/>
      </c>
      <c r="N66" s="16" t="str">
        <f>IF(NORMALIZADO!CK65="","",NORMALIZADO!CK65)</f>
        <v/>
      </c>
      <c r="O66" s="16" t="str">
        <f>IF(NORMALIZADO!CL65="","",NORMALIZADO!CL65)</f>
        <v/>
      </c>
      <c r="P66" s="17" t="str">
        <f t="shared" si="11"/>
        <v/>
      </c>
      <c r="Q66" s="17">
        <f t="shared" si="12"/>
        <v>0</v>
      </c>
      <c r="R66" s="17">
        <f t="shared" si="13"/>
        <v>0</v>
      </c>
      <c r="S66" s="17">
        <f t="shared" si="14"/>
        <v>0</v>
      </c>
      <c r="T66" s="17" t="str">
        <f>IF(ISNUMBER(MATRIZ_174!O65),IFERROR((K66+M66+MATRIZ_174!O65)/3,0),"")</f>
        <v/>
      </c>
      <c r="U66" s="18">
        <f>IF(ISNUMBER(MATRIZ_174!M65),MIN(100,ROUND(MATRIZ_174!M65,1)),"")</f>
        <v>0</v>
      </c>
      <c r="V66" s="18">
        <f t="shared" si="15"/>
        <v>50</v>
      </c>
      <c r="W66" s="18">
        <f>IFERROR(IF(MATRIZ_174!R65=0,65,IF(MATRIZ_174!R65/MATRIZ_174!Q65&gt;=2,35,IF(MATRIZ_174!R65/MATRIZ_174!Q65&gt;=0.5,50,65))),65)</f>
        <v>65</v>
      </c>
      <c r="X66" s="18" t="str">
        <f>IF(ISNUMBER(MATRIZ_174!O65),MIN(100,IF(MATRIZ_174!O65=0,70,30)+IF(MATRIZ_174!U65="",0,0.3*(100-MATRIZ_174!U65*100))),"")</f>
        <v/>
      </c>
      <c r="Y66" s="18">
        <f>IF(OR(MATRIZ_174!P65="ASOCIACION",MATRIZ_174!P65="PENDIENTE"),65,40)</f>
        <v>65</v>
      </c>
      <c r="Z66" s="19" t="str">
        <f t="shared" si="16"/>
        <v>—</v>
      </c>
      <c r="AA66" s="20">
        <f t="shared" si="17"/>
        <v>45</v>
      </c>
      <c r="AB66" s="21" t="str">
        <f t="shared" si="18"/>
        <v>—</v>
      </c>
      <c r="AC66" s="13" t="str">
        <f t="shared" si="19"/>
        <v>⬜  Pendiente de instrumento</v>
      </c>
      <c r="AD66" s="13" t="str">
        <f>IF(MATRIZ_174!U65="","",IF(MATRIZ_174!U65=0,"🚫  Inh. vigente OSCE",""))</f>
        <v/>
      </c>
      <c r="AE66" s="22">
        <f>IFERROR(MATRIZ_174!W65,0)</f>
        <v>0</v>
      </c>
      <c r="AF66" s="22">
        <f>IFERROR(MATRIZ_174!X65,0)</f>
        <v>0</v>
      </c>
      <c r="AG66" s="22">
        <f>IFERROR(MATRIZ_174!Y65,0)</f>
        <v>0</v>
      </c>
      <c r="AH66" s="22">
        <f>IFERROR(MATRIZ_174!Z65,0)</f>
        <v>0</v>
      </c>
      <c r="AI66" s="17">
        <f>IFERROR(MATRIZ_174!AP65,"N/A")</f>
        <v>0</v>
      </c>
      <c r="AJ66" s="17" t="str">
        <f>IFERROR(MATRIZ_174!AO65,"N/A")</f>
        <v>N/A</v>
      </c>
      <c r="AK66" s="23" t="str">
        <f t="shared" si="20"/>
        <v>N/A</v>
      </c>
      <c r="AL66" s="24" t="str">
        <f t="shared" si="21"/>
        <v>—</v>
      </c>
    </row>
    <row r="67" spans="1:38" ht="16.05" customHeight="1" x14ac:dyDescent="0.3">
      <c r="A67" s="13" t="s">
        <v>212</v>
      </c>
      <c r="B67" s="14" t="s">
        <v>213</v>
      </c>
      <c r="C67" s="13" t="s">
        <v>80</v>
      </c>
      <c r="D67" s="15">
        <v>0</v>
      </c>
      <c r="E67" s="16" t="str">
        <f>IF(NORMALIZADO!CB66="","",NORMALIZADO!CB66)</f>
        <v/>
      </c>
      <c r="F67" s="17" t="str">
        <f>IF(NORMALIZADO!CC66="","",NORMALIZADO!CC66)</f>
        <v/>
      </c>
      <c r="G67" s="17">
        <f>IF(NORMALIZADO!CD66="",IFERROR(MATRIZ_174!U66*100,""),NORMALIZADO!CD66)</f>
        <v>100</v>
      </c>
      <c r="H67" s="16" t="str">
        <f>IF(NORMALIZADO!CE66="","",NORMALIZADO!CE66)</f>
        <v/>
      </c>
      <c r="I67" s="17" t="str">
        <f>IF(NORMALIZADO!CF66="","",NORMALIZADO!CF66)</f>
        <v/>
      </c>
      <c r="J67" s="17" t="str">
        <f>IF(NORMALIZADO!CG66="","",NORMALIZADO!CG66)</f>
        <v/>
      </c>
      <c r="K67" s="16" t="str">
        <f>IF(NORMALIZADO!CH66="","",NORMALIZADO!CH66)</f>
        <v/>
      </c>
      <c r="L67" s="16" t="str">
        <f>IF(NORMALIZADO!CI66="","",NORMALIZADO!CI66)</f>
        <v/>
      </c>
      <c r="M67" s="16" t="str">
        <f>IF(NORMALIZADO!CJ66="","",NORMALIZADO!CJ66)</f>
        <v/>
      </c>
      <c r="N67" s="16" t="str">
        <f>IF(NORMALIZADO!CK66="","",NORMALIZADO!CK66)</f>
        <v/>
      </c>
      <c r="O67" s="16" t="str">
        <f>IF(NORMALIZADO!CL66="","",NORMALIZADO!CL66)</f>
        <v/>
      </c>
      <c r="P67" s="17" t="str">
        <f t="shared" si="11"/>
        <v/>
      </c>
      <c r="Q67" s="17">
        <f t="shared" si="12"/>
        <v>0</v>
      </c>
      <c r="R67" s="17">
        <f t="shared" si="13"/>
        <v>0</v>
      </c>
      <c r="S67" s="17">
        <f t="shared" si="14"/>
        <v>0</v>
      </c>
      <c r="T67" s="17" t="str">
        <f>IF(ISNUMBER(MATRIZ_174!O66),IFERROR((K67+M67+MATRIZ_174!O66)/3,0),"")</f>
        <v/>
      </c>
      <c r="U67" s="18" t="str">
        <f>IF(ISNUMBER(MATRIZ_174!M66),MIN(100,ROUND(MATRIZ_174!M66,1)),"")</f>
        <v/>
      </c>
      <c r="V67" s="18">
        <f t="shared" si="15"/>
        <v>50</v>
      </c>
      <c r="W67" s="18">
        <f>IFERROR(IF(MATRIZ_174!R66=0,65,IF(MATRIZ_174!R66/MATRIZ_174!Q66&gt;=2,35,IF(MATRIZ_174!R66/MATRIZ_174!Q66&gt;=0.5,50,65))),65)</f>
        <v>65</v>
      </c>
      <c r="X67" s="18" t="str">
        <f>IF(ISNUMBER(MATRIZ_174!O66),MIN(100,IF(MATRIZ_174!O66=0,70,30)+IF(MATRIZ_174!U66="",0,0.3*(100-MATRIZ_174!U66*100))),"")</f>
        <v/>
      </c>
      <c r="Y67" s="18">
        <f>IF(OR(MATRIZ_174!P66="ASOCIACION",MATRIZ_174!P66="PENDIENTE"),65,40)</f>
        <v>65</v>
      </c>
      <c r="Z67" s="19" t="str">
        <f t="shared" si="16"/>
        <v>—</v>
      </c>
      <c r="AA67" s="20">
        <f t="shared" si="17"/>
        <v>60</v>
      </c>
      <c r="AB67" s="21" t="str">
        <f t="shared" si="18"/>
        <v>—</v>
      </c>
      <c r="AC67" s="13" t="str">
        <f t="shared" si="19"/>
        <v>⬜  Pendiente de instrumento</v>
      </c>
      <c r="AD67" s="13" t="str">
        <f>IF(MATRIZ_174!U66="","",IF(MATRIZ_174!U66=0,"🚫  Inh. vigente OSCE",""))</f>
        <v/>
      </c>
      <c r="AE67" s="22">
        <f>IFERROR(MATRIZ_174!W66,0)</f>
        <v>0</v>
      </c>
      <c r="AF67" s="22">
        <f>IFERROR(MATRIZ_174!X66,0)</f>
        <v>0</v>
      </c>
      <c r="AG67" s="22">
        <f>IFERROR(MATRIZ_174!Y66,0)</f>
        <v>0</v>
      </c>
      <c r="AH67" s="22">
        <f>IFERROR(MATRIZ_174!Z66,0)</f>
        <v>0</v>
      </c>
      <c r="AI67" s="17">
        <f>IFERROR(MATRIZ_174!AP66,"N/A")</f>
        <v>0</v>
      </c>
      <c r="AJ67" s="17" t="str">
        <f>IFERROR(MATRIZ_174!AO66,"N/A")</f>
        <v>N/A</v>
      </c>
      <c r="AK67" s="23" t="str">
        <f t="shared" si="20"/>
        <v>N/A</v>
      </c>
      <c r="AL67" s="24" t="str">
        <f t="shared" si="21"/>
        <v>—</v>
      </c>
    </row>
    <row r="68" spans="1:38" ht="16.05" customHeight="1" x14ac:dyDescent="0.3">
      <c r="A68" s="13" t="s">
        <v>214</v>
      </c>
      <c r="B68" s="14" t="s">
        <v>215</v>
      </c>
      <c r="C68" s="13" t="s">
        <v>112</v>
      </c>
      <c r="D68" s="15">
        <v>0</v>
      </c>
      <c r="E68" s="16" t="str">
        <f>IF(NORMALIZADO!CB67="","",NORMALIZADO!CB67)</f>
        <v/>
      </c>
      <c r="F68" s="17" t="str">
        <f>IF(NORMALIZADO!CC67="","",NORMALIZADO!CC67)</f>
        <v/>
      </c>
      <c r="G68" s="17">
        <f>IF(NORMALIZADO!CD67="",IFERROR(MATRIZ_174!U67*100,""),NORMALIZADO!CD67)</f>
        <v>100</v>
      </c>
      <c r="H68" s="16" t="str">
        <f>IF(NORMALIZADO!CE67="","",NORMALIZADO!CE67)</f>
        <v/>
      </c>
      <c r="I68" s="17" t="str">
        <f>IF(NORMALIZADO!CF67="","",NORMALIZADO!CF67)</f>
        <v/>
      </c>
      <c r="J68" s="17" t="str">
        <f>IF(NORMALIZADO!CG67="","",NORMALIZADO!CG67)</f>
        <v/>
      </c>
      <c r="K68" s="16" t="str">
        <f>IF(NORMALIZADO!CH67="","",NORMALIZADO!CH67)</f>
        <v/>
      </c>
      <c r="L68" s="16" t="str">
        <f>IF(NORMALIZADO!CI67="","",NORMALIZADO!CI67)</f>
        <v/>
      </c>
      <c r="M68" s="16" t="str">
        <f>IF(NORMALIZADO!CJ67="","",NORMALIZADO!CJ67)</f>
        <v/>
      </c>
      <c r="N68" s="16" t="str">
        <f>IF(NORMALIZADO!CK67="","",NORMALIZADO!CK67)</f>
        <v/>
      </c>
      <c r="O68" s="16" t="str">
        <f>IF(NORMALIZADO!CL67="","",NORMALIZADO!CL67)</f>
        <v/>
      </c>
      <c r="P68" s="17" t="str">
        <f t="shared" ref="P68:P99" si="22">IFERROR(F68,0)</f>
        <v/>
      </c>
      <c r="Q68" s="17">
        <f t="shared" ref="Q68:Q99" si="23">IFERROR(SQRT(G68*H68),0)</f>
        <v>0</v>
      </c>
      <c r="R68" s="17">
        <f t="shared" ref="R68:R99" si="24">IFERROR((I68+J68+L68)/3,0)</f>
        <v>0</v>
      </c>
      <c r="S68" s="17">
        <f t="shared" ref="S68:S99" si="25">IFERROR((J68+F68)/2,0)</f>
        <v>0</v>
      </c>
      <c r="T68" s="17" t="str">
        <f>IF(ISNUMBER(MATRIZ_174!O67),IFERROR((K68+M68+MATRIZ_174!O67)/3,0),"")</f>
        <v/>
      </c>
      <c r="U68" s="18" t="str">
        <f>IF(ISNUMBER(MATRIZ_174!M67),MIN(100,ROUND(MATRIZ_174!M67,1)),"")</f>
        <v/>
      </c>
      <c r="V68" s="18">
        <f t="shared" ref="V68:V99" si="26">IF(OR(NOT(ISNUMBER(F68)),F68=0),50,F68)</f>
        <v>50</v>
      </c>
      <c r="W68" s="18">
        <f>IFERROR(IF(MATRIZ_174!R67=0,65,IF(MATRIZ_174!R67/MATRIZ_174!Q67&gt;=2,35,IF(MATRIZ_174!R67/MATRIZ_174!Q67&gt;=0.5,50,65))),65)</f>
        <v>65</v>
      </c>
      <c r="X68" s="18" t="str">
        <f>IF(ISNUMBER(MATRIZ_174!O67),MIN(100,IF(MATRIZ_174!O67=0,70,30)+IF(MATRIZ_174!U67="",0,0.3*(100-MATRIZ_174!U67*100))),"")</f>
        <v/>
      </c>
      <c r="Y68" s="18">
        <f>IF(OR(MATRIZ_174!P67="ASOCIACION",MATRIZ_174!P67="PENDIENTE"),65,40)</f>
        <v>65</v>
      </c>
      <c r="Z68" s="19" t="str">
        <f t="shared" ref="Z68:Z99" si="27">IF(COUNT(F68:M68)&lt;8,"—",IFERROR(ROUND(AVERAGE(P68:T68),1),"—"))</f>
        <v>—</v>
      </c>
      <c r="AA68" s="20">
        <f t="shared" ref="AA68:AA99" si="28">IFERROR(ROUND(AVERAGE(U68,V68,W68,X68,Y68),1),0)</f>
        <v>60</v>
      </c>
      <c r="AB68" s="21" t="str">
        <f t="shared" ref="AB68:AB99" si="29">IF(NOT(ISNUMBER(Z68)),"—",IFERROR(ROUND(AA68*(1-Z68/100),1),"—"))</f>
        <v>—</v>
      </c>
      <c r="AC68" s="13" t="str">
        <f t="shared" ref="AC68:AC99" si="30">IF(OR(NOT(ISNUMBER(Z68)),NOT(ISNUMBER(AA68))),"⬜  Pendiente de instrumento",IF(AND(Z68&gt;=50,AA68&lt;50),"🟢  Resilientes",IF(AND(Z68&gt;=50,AA68&gt;=50),"🟠  Expuestas Adaptables",IF(AND(Z68&lt;50,AA68&lt;50),"⬜  Riesgo Latente","🔴  Riesgo Crítico"))))</f>
        <v>⬜  Pendiente de instrumento</v>
      </c>
      <c r="AD68" s="13" t="str">
        <f>IF(MATRIZ_174!U67="","",IF(MATRIZ_174!U67=0,"🚫  Inh. vigente OSCE",""))</f>
        <v/>
      </c>
      <c r="AE68" s="22">
        <f>IFERROR(MATRIZ_174!W67,0)</f>
        <v>0</v>
      </c>
      <c r="AF68" s="22">
        <f>IFERROR(MATRIZ_174!X67,0)</f>
        <v>0</v>
      </c>
      <c r="AG68" s="22">
        <f>IFERROR(MATRIZ_174!Y67,0)</f>
        <v>0</v>
      </c>
      <c r="AH68" s="22">
        <f>IFERROR(MATRIZ_174!Z67,0)</f>
        <v>0</v>
      </c>
      <c r="AI68" s="17">
        <f>IFERROR(MATRIZ_174!AP67,"N/A")</f>
        <v>0</v>
      </c>
      <c r="AJ68" s="17" t="str">
        <f>IFERROR(MATRIZ_174!AO67,"N/A")</f>
        <v>N/A</v>
      </c>
      <c r="AK68" s="23" t="str">
        <f t="shared" ref="AK68:AK99" si="31">IF(COUNT(E68:M68)&lt;7,"N/A",IFERROR(ROUND((POWER(PRODUCT(E68:K68),1/MAX(1,COUNT(E68:K68)))*IF(COUNT(E68:K68)&gt;0,0.875,0)+IFERROR(AVERAGE(L68:M68),0)*IF(COUNT(L68:M68)&gt;0,0.125,0))/(IF(COUNT(E68:K68)&gt;0,0.875,0)+IF(COUNT(L68:M68)&gt;0,0.125,0)),1),"N/A"))</f>
        <v>N/A</v>
      </c>
      <c r="AL68" s="24" t="str">
        <f t="shared" ref="AL68:AL99" si="32">IF(OR(NOT(ISNUMBER(AK68)),NOT(ISNUMBER(AI68))),"—",ROUND(0.7*AK68+0.3*AI68*100,1))</f>
        <v>—</v>
      </c>
    </row>
    <row r="69" spans="1:38" ht="16.05" customHeight="1" x14ac:dyDescent="0.3">
      <c r="A69" s="13" t="s">
        <v>216</v>
      </c>
      <c r="B69" s="14" t="s">
        <v>217</v>
      </c>
      <c r="C69" s="13" t="s">
        <v>112</v>
      </c>
      <c r="D69" s="15">
        <v>0</v>
      </c>
      <c r="E69" s="16" t="str">
        <f>IF(NORMALIZADO!CB68="","",NORMALIZADO!CB68)</f>
        <v/>
      </c>
      <c r="F69" s="17" t="str">
        <f>IF(NORMALIZADO!CC68="","",NORMALIZADO!CC68)</f>
        <v/>
      </c>
      <c r="G69" s="17">
        <f>IF(NORMALIZADO!CD68="",IFERROR(MATRIZ_174!U68*100,""),NORMALIZADO!CD68)</f>
        <v>100</v>
      </c>
      <c r="H69" s="16" t="str">
        <f>IF(NORMALIZADO!CE68="","",NORMALIZADO!CE68)</f>
        <v/>
      </c>
      <c r="I69" s="17" t="str">
        <f>IF(NORMALIZADO!CF68="","",NORMALIZADO!CF68)</f>
        <v/>
      </c>
      <c r="J69" s="17" t="str">
        <f>IF(NORMALIZADO!CG68="","",NORMALIZADO!CG68)</f>
        <v/>
      </c>
      <c r="K69" s="16" t="str">
        <f>IF(NORMALIZADO!CH68="","",NORMALIZADO!CH68)</f>
        <v/>
      </c>
      <c r="L69" s="16" t="str">
        <f>IF(NORMALIZADO!CI68="","",NORMALIZADO!CI68)</f>
        <v/>
      </c>
      <c r="M69" s="16" t="str">
        <f>IF(NORMALIZADO!CJ68="","",NORMALIZADO!CJ68)</f>
        <v/>
      </c>
      <c r="N69" s="16" t="str">
        <f>IF(NORMALIZADO!CK68="","",NORMALIZADO!CK68)</f>
        <v/>
      </c>
      <c r="O69" s="16" t="str">
        <f>IF(NORMALIZADO!CL68="","",NORMALIZADO!CL68)</f>
        <v/>
      </c>
      <c r="P69" s="17" t="str">
        <f t="shared" si="22"/>
        <v/>
      </c>
      <c r="Q69" s="17">
        <f t="shared" si="23"/>
        <v>0</v>
      </c>
      <c r="R69" s="17">
        <f t="shared" si="24"/>
        <v>0</v>
      </c>
      <c r="S69" s="17">
        <f t="shared" si="25"/>
        <v>0</v>
      </c>
      <c r="T69" s="17" t="str">
        <f>IF(ISNUMBER(MATRIZ_174!O68),IFERROR((K69+M69+MATRIZ_174!O68)/3,0),"")</f>
        <v/>
      </c>
      <c r="U69" s="18" t="str">
        <f>IF(ISNUMBER(MATRIZ_174!M68),MIN(100,ROUND(MATRIZ_174!M68,1)),"")</f>
        <v/>
      </c>
      <c r="V69" s="18">
        <f t="shared" si="26"/>
        <v>50</v>
      </c>
      <c r="W69" s="18">
        <f>IFERROR(IF(MATRIZ_174!R68=0,65,IF(MATRIZ_174!R68/MATRIZ_174!Q68&gt;=2,35,IF(MATRIZ_174!R68/MATRIZ_174!Q68&gt;=0.5,50,65))),65)</f>
        <v>65</v>
      </c>
      <c r="X69" s="18" t="str">
        <f>IF(ISNUMBER(MATRIZ_174!O68),MIN(100,IF(MATRIZ_174!O68=0,70,30)+IF(MATRIZ_174!U68="",0,0.3*(100-MATRIZ_174!U68*100))),"")</f>
        <v/>
      </c>
      <c r="Y69" s="18">
        <f>IF(OR(MATRIZ_174!P68="ASOCIACION",MATRIZ_174!P68="PENDIENTE"),65,40)</f>
        <v>65</v>
      </c>
      <c r="Z69" s="19" t="str">
        <f t="shared" si="27"/>
        <v>—</v>
      </c>
      <c r="AA69" s="20">
        <f t="shared" si="28"/>
        <v>60</v>
      </c>
      <c r="AB69" s="21" t="str">
        <f t="shared" si="29"/>
        <v>—</v>
      </c>
      <c r="AC69" s="13" t="str">
        <f t="shared" si="30"/>
        <v>⬜  Pendiente de instrumento</v>
      </c>
      <c r="AD69" s="13" t="str">
        <f>IF(MATRIZ_174!U68="","",IF(MATRIZ_174!U68=0,"🚫  Inh. vigente OSCE",""))</f>
        <v/>
      </c>
      <c r="AE69" s="22">
        <f>IFERROR(MATRIZ_174!W68,0)</f>
        <v>0</v>
      </c>
      <c r="AF69" s="22">
        <f>IFERROR(MATRIZ_174!X68,0)</f>
        <v>0</v>
      </c>
      <c r="AG69" s="22">
        <f>IFERROR(MATRIZ_174!Y68,0)</f>
        <v>0</v>
      </c>
      <c r="AH69" s="22">
        <f>IFERROR(MATRIZ_174!Z68,0)</f>
        <v>0</v>
      </c>
      <c r="AI69" s="17">
        <f>IFERROR(MATRIZ_174!AP68,"N/A")</f>
        <v>0</v>
      </c>
      <c r="AJ69" s="17" t="str">
        <f>IFERROR(MATRIZ_174!AO68,"N/A")</f>
        <v>N/A</v>
      </c>
      <c r="AK69" s="23" t="str">
        <f t="shared" si="31"/>
        <v>N/A</v>
      </c>
      <c r="AL69" s="24" t="str">
        <f t="shared" si="32"/>
        <v>—</v>
      </c>
    </row>
    <row r="70" spans="1:38" ht="16.05" customHeight="1" x14ac:dyDescent="0.3">
      <c r="A70" s="13" t="s">
        <v>218</v>
      </c>
      <c r="B70" s="14" t="s">
        <v>219</v>
      </c>
      <c r="C70" s="13" t="s">
        <v>179</v>
      </c>
      <c r="D70" s="15">
        <v>0</v>
      </c>
      <c r="E70" s="16" t="str">
        <f>IF(NORMALIZADO!CB69="","",NORMALIZADO!CB69)</f>
        <v/>
      </c>
      <c r="F70" s="17" t="str">
        <f>IF(NORMALIZADO!CC69="","",NORMALIZADO!CC69)</f>
        <v/>
      </c>
      <c r="G70" s="17">
        <f>IF(NORMALIZADO!CD69="",IFERROR(MATRIZ_174!U69*100,""),NORMALIZADO!CD69)</f>
        <v>100</v>
      </c>
      <c r="H70" s="16" t="str">
        <f>IF(NORMALIZADO!CE69="","",NORMALIZADO!CE69)</f>
        <v/>
      </c>
      <c r="I70" s="17" t="str">
        <f>IF(NORMALIZADO!CF69="","",NORMALIZADO!CF69)</f>
        <v/>
      </c>
      <c r="J70" s="17" t="str">
        <f>IF(NORMALIZADO!CG69="","",NORMALIZADO!CG69)</f>
        <v/>
      </c>
      <c r="K70" s="16" t="str">
        <f>IF(NORMALIZADO!CH69="","",NORMALIZADO!CH69)</f>
        <v/>
      </c>
      <c r="L70" s="16" t="str">
        <f>IF(NORMALIZADO!CI69="","",NORMALIZADO!CI69)</f>
        <v/>
      </c>
      <c r="M70" s="16" t="str">
        <f>IF(NORMALIZADO!CJ69="","",NORMALIZADO!CJ69)</f>
        <v/>
      </c>
      <c r="N70" s="16" t="str">
        <f>IF(NORMALIZADO!CK69="","",NORMALIZADO!CK69)</f>
        <v/>
      </c>
      <c r="O70" s="16" t="str">
        <f>IF(NORMALIZADO!CL69="","",NORMALIZADO!CL69)</f>
        <v/>
      </c>
      <c r="P70" s="17" t="str">
        <f t="shared" si="22"/>
        <v/>
      </c>
      <c r="Q70" s="17">
        <f t="shared" si="23"/>
        <v>0</v>
      </c>
      <c r="R70" s="17">
        <f t="shared" si="24"/>
        <v>0</v>
      </c>
      <c r="S70" s="17">
        <f t="shared" si="25"/>
        <v>0</v>
      </c>
      <c r="T70" s="17" t="str">
        <f>IF(ISNUMBER(MATRIZ_174!O69),IFERROR((K70+M70+MATRIZ_174!O69)/3,0),"")</f>
        <v/>
      </c>
      <c r="U70" s="18" t="str">
        <f>IF(ISNUMBER(MATRIZ_174!M69),MIN(100,ROUND(MATRIZ_174!M69,1)),"")</f>
        <v/>
      </c>
      <c r="V70" s="18">
        <f t="shared" si="26"/>
        <v>50</v>
      </c>
      <c r="W70" s="18">
        <f>IFERROR(IF(MATRIZ_174!R69=0,65,IF(MATRIZ_174!R69/MATRIZ_174!Q69&gt;=2,35,IF(MATRIZ_174!R69/MATRIZ_174!Q69&gt;=0.5,50,65))),65)</f>
        <v>65</v>
      </c>
      <c r="X70" s="18" t="str">
        <f>IF(ISNUMBER(MATRIZ_174!O69),MIN(100,IF(MATRIZ_174!O69=0,70,30)+IF(MATRIZ_174!U69="",0,0.3*(100-MATRIZ_174!U69*100))),"")</f>
        <v/>
      </c>
      <c r="Y70" s="18">
        <f>IF(OR(MATRIZ_174!P69="ASOCIACION",MATRIZ_174!P69="PENDIENTE"),65,40)</f>
        <v>65</v>
      </c>
      <c r="Z70" s="19" t="str">
        <f t="shared" si="27"/>
        <v>—</v>
      </c>
      <c r="AA70" s="20">
        <f t="shared" si="28"/>
        <v>60</v>
      </c>
      <c r="AB70" s="21" t="str">
        <f t="shared" si="29"/>
        <v>—</v>
      </c>
      <c r="AC70" s="13" t="str">
        <f t="shared" si="30"/>
        <v>⬜  Pendiente de instrumento</v>
      </c>
      <c r="AD70" s="13" t="str">
        <f>IF(MATRIZ_174!U69="","",IF(MATRIZ_174!U69=0,"🚫  Inh. vigente OSCE",""))</f>
        <v/>
      </c>
      <c r="AE70" s="22">
        <f>IFERROR(MATRIZ_174!W69,0)</f>
        <v>0</v>
      </c>
      <c r="AF70" s="22">
        <f>IFERROR(MATRIZ_174!X69,0)</f>
        <v>0</v>
      </c>
      <c r="AG70" s="22">
        <f>IFERROR(MATRIZ_174!Y69,0)</f>
        <v>0</v>
      </c>
      <c r="AH70" s="22">
        <f>IFERROR(MATRIZ_174!Z69,0)</f>
        <v>0</v>
      </c>
      <c r="AI70" s="17">
        <f>IFERROR(MATRIZ_174!AP69,"N/A")</f>
        <v>0</v>
      </c>
      <c r="AJ70" s="17" t="str">
        <f>IFERROR(MATRIZ_174!AO69,"N/A")</f>
        <v>N/A</v>
      </c>
      <c r="AK70" s="23" t="str">
        <f t="shared" si="31"/>
        <v>N/A</v>
      </c>
      <c r="AL70" s="24" t="str">
        <f t="shared" si="32"/>
        <v>—</v>
      </c>
    </row>
    <row r="71" spans="1:38" ht="16.05" customHeight="1" x14ac:dyDescent="0.3">
      <c r="A71" s="13" t="s">
        <v>220</v>
      </c>
      <c r="B71" s="14" t="s">
        <v>221</v>
      </c>
      <c r="C71" s="13" t="s">
        <v>139</v>
      </c>
      <c r="D71" s="15">
        <v>7878141.7300000004</v>
      </c>
      <c r="E71" s="16" t="str">
        <f>IF(NORMALIZADO!CB70="","",NORMALIZADO!CB70)</f>
        <v/>
      </c>
      <c r="F71" s="17" t="str">
        <f>IF(NORMALIZADO!CC70="","",NORMALIZADO!CC70)</f>
        <v/>
      </c>
      <c r="G71" s="17">
        <f>IF(NORMALIZADO!CD70="",IFERROR(MATRIZ_174!U70*100,""),NORMALIZADO!CD70)</f>
        <v>100</v>
      </c>
      <c r="H71" s="16" t="str">
        <f>IF(NORMALIZADO!CE70="","",NORMALIZADO!CE70)</f>
        <v/>
      </c>
      <c r="I71" s="17" t="str">
        <f>IF(NORMALIZADO!CF70="","",NORMALIZADO!CF70)</f>
        <v/>
      </c>
      <c r="J71" s="17" t="str">
        <f>IF(NORMALIZADO!CG70="","",NORMALIZADO!CG70)</f>
        <v/>
      </c>
      <c r="K71" s="16" t="str">
        <f>IF(NORMALIZADO!CH70="","",NORMALIZADO!CH70)</f>
        <v/>
      </c>
      <c r="L71" s="16" t="str">
        <f>IF(NORMALIZADO!CI70="","",NORMALIZADO!CI70)</f>
        <v/>
      </c>
      <c r="M71" s="16" t="str">
        <f>IF(NORMALIZADO!CJ70="","",NORMALIZADO!CJ70)</f>
        <v/>
      </c>
      <c r="N71" s="16" t="str">
        <f>IF(NORMALIZADO!CK70="","",NORMALIZADO!CK70)</f>
        <v/>
      </c>
      <c r="O71" s="16" t="str">
        <f>IF(NORMALIZADO!CL70="","",NORMALIZADO!CL70)</f>
        <v/>
      </c>
      <c r="P71" s="17" t="str">
        <f t="shared" si="22"/>
        <v/>
      </c>
      <c r="Q71" s="17">
        <f t="shared" si="23"/>
        <v>0</v>
      </c>
      <c r="R71" s="17">
        <f t="shared" si="24"/>
        <v>0</v>
      </c>
      <c r="S71" s="17">
        <f t="shared" si="25"/>
        <v>0</v>
      </c>
      <c r="T71" s="17">
        <f>IF(ISNUMBER(MATRIZ_174!O70),IFERROR((K71+M71+MATRIZ_174!O70)/3,0),"")</f>
        <v>0</v>
      </c>
      <c r="U71" s="18">
        <f>IF(ISNUMBER(MATRIZ_174!M70),MIN(100,ROUND(MATRIZ_174!M70,1)),"")</f>
        <v>59.5</v>
      </c>
      <c r="V71" s="18">
        <f t="shared" si="26"/>
        <v>50</v>
      </c>
      <c r="W71" s="18">
        <f>IFERROR(IF(MATRIZ_174!R70=0,65,IF(MATRIZ_174!R70/MATRIZ_174!Q70&gt;=2,35,IF(MATRIZ_174!R70/MATRIZ_174!Q70&gt;=0.5,50,65))),65)</f>
        <v>35</v>
      </c>
      <c r="X71" s="18">
        <f>IF(ISNUMBER(MATRIZ_174!O70),MIN(100,IF(MATRIZ_174!O70=0,70,30)+IF(MATRIZ_174!U70="",0,0.3*(100-MATRIZ_174!U70*100))),"")</f>
        <v>30</v>
      </c>
      <c r="Y71" s="18">
        <f>IF(OR(MATRIZ_174!P70="ASOCIACION",MATRIZ_174!P70="PENDIENTE"),65,40)</f>
        <v>65</v>
      </c>
      <c r="Z71" s="19" t="str">
        <f t="shared" si="27"/>
        <v>—</v>
      </c>
      <c r="AA71" s="20">
        <f t="shared" si="28"/>
        <v>47.9</v>
      </c>
      <c r="AB71" s="21" t="str">
        <f t="shared" si="29"/>
        <v>—</v>
      </c>
      <c r="AC71" s="13" t="str">
        <f t="shared" si="30"/>
        <v>⬜  Pendiente de instrumento</v>
      </c>
      <c r="AD71" s="13" t="str">
        <f>IF(MATRIZ_174!U70="","",IF(MATRIZ_174!U70=0,"🚫  Inh. vigente OSCE",""))</f>
        <v/>
      </c>
      <c r="AE71" s="22">
        <f>IFERROR(MATRIZ_174!W70,0)</f>
        <v>1</v>
      </c>
      <c r="AF71" s="22">
        <f>IFERROR(MATRIZ_174!X70,0)</f>
        <v>0</v>
      </c>
      <c r="AG71" s="22">
        <f>IFERROR(MATRIZ_174!Y70,0)</f>
        <v>0</v>
      </c>
      <c r="AH71" s="22">
        <f>IFERROR(MATRIZ_174!Z70,0)</f>
        <v>0</v>
      </c>
      <c r="AI71" s="17">
        <f>IFERROR(MATRIZ_174!AP70,"N/A")</f>
        <v>0.46666666666666662</v>
      </c>
      <c r="AJ71" s="17" t="str">
        <f>IFERROR(MATRIZ_174!AO70,"N/A")</f>
        <v>N/A</v>
      </c>
      <c r="AK71" s="23" t="str">
        <f t="shared" si="31"/>
        <v>N/A</v>
      </c>
      <c r="AL71" s="24" t="str">
        <f t="shared" si="32"/>
        <v>—</v>
      </c>
    </row>
    <row r="72" spans="1:38" ht="16.05" customHeight="1" x14ac:dyDescent="0.3">
      <c r="A72" s="13" t="s">
        <v>223</v>
      </c>
      <c r="B72" s="14" t="s">
        <v>224</v>
      </c>
      <c r="C72" s="13" t="s">
        <v>139</v>
      </c>
      <c r="D72" s="15">
        <v>0</v>
      </c>
      <c r="E72" s="16" t="str">
        <f>IF(NORMALIZADO!CB71="","",NORMALIZADO!CB71)</f>
        <v/>
      </c>
      <c r="F72" s="17" t="str">
        <f>IF(NORMALIZADO!CC71="","",NORMALIZADO!CC71)</f>
        <v/>
      </c>
      <c r="G72" s="17">
        <f>IF(NORMALIZADO!CD71="",IFERROR(MATRIZ_174!U71*100,""),NORMALIZADO!CD71)</f>
        <v>100</v>
      </c>
      <c r="H72" s="16" t="str">
        <f>IF(NORMALIZADO!CE71="","",NORMALIZADO!CE71)</f>
        <v/>
      </c>
      <c r="I72" s="17" t="str">
        <f>IF(NORMALIZADO!CF71="","",NORMALIZADO!CF71)</f>
        <v/>
      </c>
      <c r="J72" s="17" t="str">
        <f>IF(NORMALIZADO!CG71="","",NORMALIZADO!CG71)</f>
        <v/>
      </c>
      <c r="K72" s="16" t="str">
        <f>IF(NORMALIZADO!CH71="","",NORMALIZADO!CH71)</f>
        <v/>
      </c>
      <c r="L72" s="16" t="str">
        <f>IF(NORMALIZADO!CI71="","",NORMALIZADO!CI71)</f>
        <v/>
      </c>
      <c r="M72" s="16" t="str">
        <f>IF(NORMALIZADO!CJ71="","",NORMALIZADO!CJ71)</f>
        <v/>
      </c>
      <c r="N72" s="16" t="str">
        <f>IF(NORMALIZADO!CK71="","",NORMALIZADO!CK71)</f>
        <v/>
      </c>
      <c r="O72" s="16" t="str">
        <f>IF(NORMALIZADO!CL71="","",NORMALIZADO!CL71)</f>
        <v/>
      </c>
      <c r="P72" s="17" t="str">
        <f t="shared" si="22"/>
        <v/>
      </c>
      <c r="Q72" s="17">
        <f t="shared" si="23"/>
        <v>0</v>
      </c>
      <c r="R72" s="17">
        <f t="shared" si="24"/>
        <v>0</v>
      </c>
      <c r="S72" s="17">
        <f t="shared" si="25"/>
        <v>0</v>
      </c>
      <c r="T72" s="17" t="str">
        <f>IF(ISNUMBER(MATRIZ_174!O71),IFERROR((K72+M72+MATRIZ_174!O71)/3,0),"")</f>
        <v/>
      </c>
      <c r="U72" s="18" t="str">
        <f>IF(ISNUMBER(MATRIZ_174!M71),MIN(100,ROUND(MATRIZ_174!M71,1)),"")</f>
        <v/>
      </c>
      <c r="V72" s="18">
        <f t="shared" si="26"/>
        <v>50</v>
      </c>
      <c r="W72" s="18">
        <f>IFERROR(IF(MATRIZ_174!R71=0,65,IF(MATRIZ_174!R71/MATRIZ_174!Q71&gt;=2,35,IF(MATRIZ_174!R71/MATRIZ_174!Q71&gt;=0.5,50,65))),65)</f>
        <v>65</v>
      </c>
      <c r="X72" s="18" t="str">
        <f>IF(ISNUMBER(MATRIZ_174!O71),MIN(100,IF(MATRIZ_174!O71=0,70,30)+IF(MATRIZ_174!U71="",0,0.3*(100-MATRIZ_174!U71*100))),"")</f>
        <v/>
      </c>
      <c r="Y72" s="18">
        <f>IF(OR(MATRIZ_174!P71="ASOCIACION",MATRIZ_174!P71="PENDIENTE"),65,40)</f>
        <v>65</v>
      </c>
      <c r="Z72" s="19" t="str">
        <f t="shared" si="27"/>
        <v>—</v>
      </c>
      <c r="AA72" s="20">
        <f t="shared" si="28"/>
        <v>60</v>
      </c>
      <c r="AB72" s="21" t="str">
        <f t="shared" si="29"/>
        <v>—</v>
      </c>
      <c r="AC72" s="13" t="str">
        <f t="shared" si="30"/>
        <v>⬜  Pendiente de instrumento</v>
      </c>
      <c r="AD72" s="13" t="str">
        <f>IF(MATRIZ_174!U71="","",IF(MATRIZ_174!U71=0,"🚫  Inh. vigente OSCE",""))</f>
        <v/>
      </c>
      <c r="AE72" s="22">
        <f>IFERROR(MATRIZ_174!W71,0)</f>
        <v>0</v>
      </c>
      <c r="AF72" s="22">
        <f>IFERROR(MATRIZ_174!X71,0)</f>
        <v>0</v>
      </c>
      <c r="AG72" s="22">
        <f>IFERROR(MATRIZ_174!Y71,0)</f>
        <v>0</v>
      </c>
      <c r="AH72" s="22">
        <f>IFERROR(MATRIZ_174!Z71,0)</f>
        <v>0</v>
      </c>
      <c r="AI72" s="17">
        <f>IFERROR(MATRIZ_174!AP71,"N/A")</f>
        <v>0</v>
      </c>
      <c r="AJ72" s="17" t="str">
        <f>IFERROR(MATRIZ_174!AO71,"N/A")</f>
        <v>N/A</v>
      </c>
      <c r="AK72" s="23" t="str">
        <f t="shared" si="31"/>
        <v>N/A</v>
      </c>
      <c r="AL72" s="24" t="str">
        <f t="shared" si="32"/>
        <v>—</v>
      </c>
    </row>
    <row r="73" spans="1:38" ht="16.05" customHeight="1" x14ac:dyDescent="0.3">
      <c r="A73" s="13" t="s">
        <v>225</v>
      </c>
      <c r="B73" s="14" t="s">
        <v>226</v>
      </c>
      <c r="C73" s="13" t="s">
        <v>139</v>
      </c>
      <c r="D73" s="15">
        <v>1413037.5</v>
      </c>
      <c r="E73" s="16" t="str">
        <f>IF(NORMALIZADO!CB72="","",NORMALIZADO!CB72)</f>
        <v/>
      </c>
      <c r="F73" s="17" t="str">
        <f>IF(NORMALIZADO!CC72="","",NORMALIZADO!CC72)</f>
        <v/>
      </c>
      <c r="G73" s="17">
        <f>IF(NORMALIZADO!CD72="",IFERROR(MATRIZ_174!U72*100,""),NORMALIZADO!CD72)</f>
        <v>100</v>
      </c>
      <c r="H73" s="16" t="str">
        <f>IF(NORMALIZADO!CE72="","",NORMALIZADO!CE72)</f>
        <v/>
      </c>
      <c r="I73" s="17" t="str">
        <f>IF(NORMALIZADO!CF72="","",NORMALIZADO!CF72)</f>
        <v/>
      </c>
      <c r="J73" s="17" t="str">
        <f>IF(NORMALIZADO!CG72="","",NORMALIZADO!CG72)</f>
        <v/>
      </c>
      <c r="K73" s="16" t="str">
        <f>IF(NORMALIZADO!CH72="","",NORMALIZADO!CH72)</f>
        <v/>
      </c>
      <c r="L73" s="16" t="str">
        <f>IF(NORMALIZADO!CI72="","",NORMALIZADO!CI72)</f>
        <v/>
      </c>
      <c r="M73" s="16" t="str">
        <f>IF(NORMALIZADO!CJ72="","",NORMALIZADO!CJ72)</f>
        <v/>
      </c>
      <c r="N73" s="16" t="str">
        <f>IF(NORMALIZADO!CK72="","",NORMALIZADO!CK72)</f>
        <v/>
      </c>
      <c r="O73" s="16" t="str">
        <f>IF(NORMALIZADO!CL72="","",NORMALIZADO!CL72)</f>
        <v/>
      </c>
      <c r="P73" s="17" t="str">
        <f t="shared" si="22"/>
        <v/>
      </c>
      <c r="Q73" s="17">
        <f t="shared" si="23"/>
        <v>0</v>
      </c>
      <c r="R73" s="17">
        <f t="shared" si="24"/>
        <v>0</v>
      </c>
      <c r="S73" s="17">
        <f t="shared" si="25"/>
        <v>0</v>
      </c>
      <c r="T73" s="17" t="str">
        <f>IF(ISNUMBER(MATRIZ_174!O72),IFERROR((K73+M73+MATRIZ_174!O72)/3,0),"")</f>
        <v/>
      </c>
      <c r="U73" s="18">
        <f>IF(ISNUMBER(MATRIZ_174!M72),MIN(100,ROUND(MATRIZ_174!M72,1)),"")</f>
        <v>50</v>
      </c>
      <c r="V73" s="18">
        <f t="shared" si="26"/>
        <v>50</v>
      </c>
      <c r="W73" s="18">
        <f>IFERROR(IF(MATRIZ_174!R72=0,65,IF(MATRIZ_174!R72/MATRIZ_174!Q72&gt;=2,35,IF(MATRIZ_174!R72/MATRIZ_174!Q72&gt;=0.5,50,65))),65)</f>
        <v>65</v>
      </c>
      <c r="X73" s="18" t="str">
        <f>IF(ISNUMBER(MATRIZ_174!O72),MIN(100,IF(MATRIZ_174!O72=0,70,30)+IF(MATRIZ_174!U72="",0,0.3*(100-MATRIZ_174!U72*100))),"")</f>
        <v/>
      </c>
      <c r="Y73" s="18">
        <f>IF(OR(MATRIZ_174!P72="ASOCIACION",MATRIZ_174!P72="PENDIENTE"),65,40)</f>
        <v>65</v>
      </c>
      <c r="Z73" s="19" t="str">
        <f t="shared" si="27"/>
        <v>—</v>
      </c>
      <c r="AA73" s="20">
        <f t="shared" si="28"/>
        <v>57.5</v>
      </c>
      <c r="AB73" s="21" t="str">
        <f t="shared" si="29"/>
        <v>—</v>
      </c>
      <c r="AC73" s="13" t="str">
        <f t="shared" si="30"/>
        <v>⬜  Pendiente de instrumento</v>
      </c>
      <c r="AD73" s="13" t="str">
        <f>IF(MATRIZ_174!U72="","",IF(MATRIZ_174!U72=0,"🚫  Inh. vigente OSCE",""))</f>
        <v/>
      </c>
      <c r="AE73" s="22">
        <f>IFERROR(MATRIZ_174!W72,0)</f>
        <v>1</v>
      </c>
      <c r="AF73" s="22">
        <f>IFERROR(MATRIZ_174!X72,0)</f>
        <v>0</v>
      </c>
      <c r="AG73" s="22">
        <f>IFERROR(MATRIZ_174!Y72,0)</f>
        <v>0</v>
      </c>
      <c r="AH73" s="22">
        <f>IFERROR(MATRIZ_174!Z72,0)</f>
        <v>0</v>
      </c>
      <c r="AI73" s="17">
        <f>IFERROR(MATRIZ_174!AP72,"N/A")</f>
        <v>0.3125</v>
      </c>
      <c r="AJ73" s="17" t="str">
        <f>IFERROR(MATRIZ_174!AO72,"N/A")</f>
        <v>N/A</v>
      </c>
      <c r="AK73" s="23" t="str">
        <f t="shared" si="31"/>
        <v>N/A</v>
      </c>
      <c r="AL73" s="24" t="str">
        <f t="shared" si="32"/>
        <v>—</v>
      </c>
    </row>
    <row r="74" spans="1:38" ht="16.05" customHeight="1" x14ac:dyDescent="0.3">
      <c r="A74" s="13" t="s">
        <v>227</v>
      </c>
      <c r="B74" s="14" t="s">
        <v>228</v>
      </c>
      <c r="C74" s="13" t="s">
        <v>139</v>
      </c>
      <c r="D74" s="15">
        <v>1187600.48</v>
      </c>
      <c r="E74" s="16" t="str">
        <f>IF(NORMALIZADO!CB73="","",NORMALIZADO!CB73)</f>
        <v/>
      </c>
      <c r="F74" s="17" t="str">
        <f>IF(NORMALIZADO!CC73="","",NORMALIZADO!CC73)</f>
        <v/>
      </c>
      <c r="G74" s="17">
        <f>IF(NORMALIZADO!CD73="",IFERROR(MATRIZ_174!U73*100,""),NORMALIZADO!CD73)</f>
        <v>100</v>
      </c>
      <c r="H74" s="16" t="str">
        <f>IF(NORMALIZADO!CE73="","",NORMALIZADO!CE73)</f>
        <v/>
      </c>
      <c r="I74" s="17" t="str">
        <f>IF(NORMALIZADO!CF73="","",NORMALIZADO!CF73)</f>
        <v/>
      </c>
      <c r="J74" s="17" t="str">
        <f>IF(NORMALIZADO!CG73="","",NORMALIZADO!CG73)</f>
        <v/>
      </c>
      <c r="K74" s="16" t="str">
        <f>IF(NORMALIZADO!CH73="","",NORMALIZADO!CH73)</f>
        <v/>
      </c>
      <c r="L74" s="16" t="str">
        <f>IF(NORMALIZADO!CI73="","",NORMALIZADO!CI73)</f>
        <v/>
      </c>
      <c r="M74" s="16" t="str">
        <f>IF(NORMALIZADO!CJ73="","",NORMALIZADO!CJ73)</f>
        <v/>
      </c>
      <c r="N74" s="16" t="str">
        <f>IF(NORMALIZADO!CK73="","",NORMALIZADO!CK73)</f>
        <v/>
      </c>
      <c r="O74" s="16" t="str">
        <f>IF(NORMALIZADO!CL73="","",NORMALIZADO!CL73)</f>
        <v/>
      </c>
      <c r="P74" s="17" t="str">
        <f t="shared" si="22"/>
        <v/>
      </c>
      <c r="Q74" s="17">
        <f t="shared" si="23"/>
        <v>0</v>
      </c>
      <c r="R74" s="17">
        <f t="shared" si="24"/>
        <v>0</v>
      </c>
      <c r="S74" s="17">
        <f t="shared" si="25"/>
        <v>0</v>
      </c>
      <c r="T74" s="17">
        <f>IF(ISNUMBER(MATRIZ_174!O73),IFERROR((K74+M74+MATRIZ_174!O73)/3,0),"")</f>
        <v>0</v>
      </c>
      <c r="U74" s="18">
        <f>IF(ISNUMBER(MATRIZ_174!M73),MIN(100,ROUND(MATRIZ_174!M73,1)),"")</f>
        <v>100</v>
      </c>
      <c r="V74" s="18">
        <f t="shared" si="26"/>
        <v>50</v>
      </c>
      <c r="W74" s="18">
        <f>IFERROR(IF(MATRIZ_174!R73=0,65,IF(MATRIZ_174!R73/MATRIZ_174!Q73&gt;=2,35,IF(MATRIZ_174!R73/MATRIZ_174!Q73&gt;=0.5,50,65))),65)</f>
        <v>35</v>
      </c>
      <c r="X74" s="18">
        <f>IF(ISNUMBER(MATRIZ_174!O73),MIN(100,IF(MATRIZ_174!O73=0,70,30)+IF(MATRIZ_174!U73="",0,0.3*(100-MATRIZ_174!U73*100))),"")</f>
        <v>30</v>
      </c>
      <c r="Y74" s="18">
        <f>IF(OR(MATRIZ_174!P73="ASOCIACION",MATRIZ_174!P73="PENDIENTE"),65,40)</f>
        <v>65</v>
      </c>
      <c r="Z74" s="19" t="str">
        <f t="shared" si="27"/>
        <v>—</v>
      </c>
      <c r="AA74" s="20">
        <f t="shared" si="28"/>
        <v>56</v>
      </c>
      <c r="AB74" s="21" t="str">
        <f t="shared" si="29"/>
        <v>—</v>
      </c>
      <c r="AC74" s="13" t="str">
        <f t="shared" si="30"/>
        <v>⬜  Pendiente de instrumento</v>
      </c>
      <c r="AD74" s="13" t="str">
        <f>IF(MATRIZ_174!U73="","",IF(MATRIZ_174!U73=0,"🚫  Inh. vigente OSCE",""))</f>
        <v/>
      </c>
      <c r="AE74" s="22">
        <f>IFERROR(MATRIZ_174!W73,0)</f>
        <v>1</v>
      </c>
      <c r="AF74" s="22">
        <f>IFERROR(MATRIZ_174!X73,0)</f>
        <v>0</v>
      </c>
      <c r="AG74" s="22">
        <f>IFERROR(MATRIZ_174!Y73,0)</f>
        <v>0</v>
      </c>
      <c r="AH74" s="22">
        <f>IFERROR(MATRIZ_174!Z73,0)</f>
        <v>0</v>
      </c>
      <c r="AI74" s="17">
        <f>IFERROR(MATRIZ_174!AP73,"N/A")</f>
        <v>0.63541666666666663</v>
      </c>
      <c r="AJ74" s="17" t="str">
        <f>IFERROR(MATRIZ_174!AO73,"N/A")</f>
        <v>N/A</v>
      </c>
      <c r="AK74" s="23" t="str">
        <f t="shared" si="31"/>
        <v>N/A</v>
      </c>
      <c r="AL74" s="24" t="str">
        <f t="shared" si="32"/>
        <v>—</v>
      </c>
    </row>
    <row r="75" spans="1:38" ht="16.05" customHeight="1" x14ac:dyDescent="0.3">
      <c r="A75" s="13" t="s">
        <v>229</v>
      </c>
      <c r="B75" s="14" t="s">
        <v>230</v>
      </c>
      <c r="C75" s="13" t="s">
        <v>139</v>
      </c>
      <c r="D75" s="15">
        <v>12142715.91</v>
      </c>
      <c r="E75" s="16" t="str">
        <f>IF(NORMALIZADO!CB74="","",NORMALIZADO!CB74)</f>
        <v/>
      </c>
      <c r="F75" s="17" t="str">
        <f>IF(NORMALIZADO!CC74="","",NORMALIZADO!CC74)</f>
        <v/>
      </c>
      <c r="G75" s="17">
        <f>IF(NORMALIZADO!CD74="",IFERROR(MATRIZ_174!U74*100,""),NORMALIZADO!CD74)</f>
        <v>100</v>
      </c>
      <c r="H75" s="16" t="str">
        <f>IF(NORMALIZADO!CE74="","",NORMALIZADO!CE74)</f>
        <v/>
      </c>
      <c r="I75" s="17" t="str">
        <f>IF(NORMALIZADO!CF74="","",NORMALIZADO!CF74)</f>
        <v/>
      </c>
      <c r="J75" s="17" t="str">
        <f>IF(NORMALIZADO!CG74="","",NORMALIZADO!CG74)</f>
        <v/>
      </c>
      <c r="K75" s="16" t="str">
        <f>IF(NORMALIZADO!CH74="","",NORMALIZADO!CH74)</f>
        <v/>
      </c>
      <c r="L75" s="16" t="str">
        <f>IF(NORMALIZADO!CI74="","",NORMALIZADO!CI74)</f>
        <v/>
      </c>
      <c r="M75" s="16" t="str">
        <f>IF(NORMALIZADO!CJ74="","",NORMALIZADO!CJ74)</f>
        <v/>
      </c>
      <c r="N75" s="16" t="str">
        <f>IF(NORMALIZADO!CK74="","",NORMALIZADO!CK74)</f>
        <v/>
      </c>
      <c r="O75" s="16" t="str">
        <f>IF(NORMALIZADO!CL74="","",NORMALIZADO!CL74)</f>
        <v/>
      </c>
      <c r="P75" s="17" t="str">
        <f t="shared" si="22"/>
        <v/>
      </c>
      <c r="Q75" s="17">
        <f t="shared" si="23"/>
        <v>0</v>
      </c>
      <c r="R75" s="17">
        <f t="shared" si="24"/>
        <v>0</v>
      </c>
      <c r="S75" s="17">
        <f t="shared" si="25"/>
        <v>0</v>
      </c>
      <c r="T75" s="17" t="str">
        <f>IF(ISNUMBER(MATRIZ_174!O74),IFERROR((K75+M75+MATRIZ_174!O74)/3,0),"")</f>
        <v/>
      </c>
      <c r="U75" s="18">
        <f>IF(ISNUMBER(MATRIZ_174!M74),MIN(100,ROUND(MATRIZ_174!M74,1)),"")</f>
        <v>50</v>
      </c>
      <c r="V75" s="18">
        <f t="shared" si="26"/>
        <v>50</v>
      </c>
      <c r="W75" s="18">
        <f>IFERROR(IF(MATRIZ_174!R74=0,65,IF(MATRIZ_174!R74/MATRIZ_174!Q74&gt;=2,35,IF(MATRIZ_174!R74/MATRIZ_174!Q74&gt;=0.5,50,65))),65)</f>
        <v>65</v>
      </c>
      <c r="X75" s="18" t="str">
        <f>IF(ISNUMBER(MATRIZ_174!O74),MIN(100,IF(MATRIZ_174!O74=0,70,30)+IF(MATRIZ_174!U74="",0,0.3*(100-MATRIZ_174!U74*100))),"")</f>
        <v/>
      </c>
      <c r="Y75" s="18">
        <f>IF(OR(MATRIZ_174!P74="ASOCIACION",MATRIZ_174!P74="PENDIENTE"),65,40)</f>
        <v>65</v>
      </c>
      <c r="Z75" s="19" t="str">
        <f t="shared" si="27"/>
        <v>—</v>
      </c>
      <c r="AA75" s="20">
        <f t="shared" si="28"/>
        <v>57.5</v>
      </c>
      <c r="AB75" s="21" t="str">
        <f t="shared" si="29"/>
        <v>—</v>
      </c>
      <c r="AC75" s="13" t="str">
        <f t="shared" si="30"/>
        <v>⬜  Pendiente de instrumento</v>
      </c>
      <c r="AD75" s="13" t="str">
        <f>IF(MATRIZ_174!U74="","",IF(MATRIZ_174!U74=0,"🚫  Inh. vigente OSCE",""))</f>
        <v/>
      </c>
      <c r="AE75" s="22">
        <f>IFERROR(MATRIZ_174!W74,0)</f>
        <v>1</v>
      </c>
      <c r="AF75" s="22">
        <f>IFERROR(MATRIZ_174!X74,0)</f>
        <v>0</v>
      </c>
      <c r="AG75" s="22">
        <f>IFERROR(MATRIZ_174!Y74,0)</f>
        <v>0</v>
      </c>
      <c r="AH75" s="22">
        <f>IFERROR(MATRIZ_174!Z74,0)</f>
        <v>0</v>
      </c>
      <c r="AI75" s="17">
        <f>IFERROR(MATRIZ_174!AP74,"N/A")</f>
        <v>0.3125</v>
      </c>
      <c r="AJ75" s="17" t="str">
        <f>IFERROR(MATRIZ_174!AO74,"N/A")</f>
        <v>N/A</v>
      </c>
      <c r="AK75" s="23" t="str">
        <f t="shared" si="31"/>
        <v>N/A</v>
      </c>
      <c r="AL75" s="24" t="str">
        <f t="shared" si="32"/>
        <v>—</v>
      </c>
    </row>
    <row r="76" spans="1:38" ht="16.05" customHeight="1" x14ac:dyDescent="0.3">
      <c r="A76" s="13" t="s">
        <v>231</v>
      </c>
      <c r="B76" s="14" t="s">
        <v>232</v>
      </c>
      <c r="C76" s="13" t="s">
        <v>192</v>
      </c>
      <c r="D76" s="15">
        <v>0</v>
      </c>
      <c r="E76" s="16" t="str">
        <f>IF(NORMALIZADO!CB75="","",NORMALIZADO!CB75)</f>
        <v/>
      </c>
      <c r="F76" s="17" t="str">
        <f>IF(NORMALIZADO!CC75="","",NORMALIZADO!CC75)</f>
        <v/>
      </c>
      <c r="G76" s="17">
        <f>IF(NORMALIZADO!CD75="",IFERROR(MATRIZ_174!U75*100,""),NORMALIZADO!CD75)</f>
        <v>100</v>
      </c>
      <c r="H76" s="16" t="str">
        <f>IF(NORMALIZADO!CE75="","",NORMALIZADO!CE75)</f>
        <v/>
      </c>
      <c r="I76" s="17" t="str">
        <f>IF(NORMALIZADO!CF75="","",NORMALIZADO!CF75)</f>
        <v/>
      </c>
      <c r="J76" s="17" t="str">
        <f>IF(NORMALIZADO!CG75="","",NORMALIZADO!CG75)</f>
        <v/>
      </c>
      <c r="K76" s="16" t="str">
        <f>IF(NORMALIZADO!CH75="","",NORMALIZADO!CH75)</f>
        <v/>
      </c>
      <c r="L76" s="16" t="str">
        <f>IF(NORMALIZADO!CI75="","",NORMALIZADO!CI75)</f>
        <v/>
      </c>
      <c r="M76" s="16" t="str">
        <f>IF(NORMALIZADO!CJ75="","",NORMALIZADO!CJ75)</f>
        <v/>
      </c>
      <c r="N76" s="16" t="str">
        <f>IF(NORMALIZADO!CK75="","",NORMALIZADO!CK75)</f>
        <v/>
      </c>
      <c r="O76" s="16" t="str">
        <f>IF(NORMALIZADO!CL75="","",NORMALIZADO!CL75)</f>
        <v/>
      </c>
      <c r="P76" s="17" t="str">
        <f t="shared" si="22"/>
        <v/>
      </c>
      <c r="Q76" s="17">
        <f t="shared" si="23"/>
        <v>0</v>
      </c>
      <c r="R76" s="17">
        <f t="shared" si="24"/>
        <v>0</v>
      </c>
      <c r="S76" s="17">
        <f t="shared" si="25"/>
        <v>0</v>
      </c>
      <c r="T76" s="17" t="str">
        <f>IF(ISNUMBER(MATRIZ_174!O75),IFERROR((K76+M76+MATRIZ_174!O75)/3,0),"")</f>
        <v/>
      </c>
      <c r="U76" s="18" t="str">
        <f>IF(ISNUMBER(MATRIZ_174!M75),MIN(100,ROUND(MATRIZ_174!M75,1)),"")</f>
        <v/>
      </c>
      <c r="V76" s="18">
        <f t="shared" si="26"/>
        <v>50</v>
      </c>
      <c r="W76" s="18">
        <f>IFERROR(IF(MATRIZ_174!R75=0,65,IF(MATRIZ_174!R75/MATRIZ_174!Q75&gt;=2,35,IF(MATRIZ_174!R75/MATRIZ_174!Q75&gt;=0.5,50,65))),65)</f>
        <v>65</v>
      </c>
      <c r="X76" s="18" t="str">
        <f>IF(ISNUMBER(MATRIZ_174!O75),MIN(100,IF(MATRIZ_174!O75=0,70,30)+IF(MATRIZ_174!U75="",0,0.3*(100-MATRIZ_174!U75*100))),"")</f>
        <v/>
      </c>
      <c r="Y76" s="18">
        <f>IF(OR(MATRIZ_174!P75="ASOCIACION",MATRIZ_174!P75="PENDIENTE"),65,40)</f>
        <v>65</v>
      </c>
      <c r="Z76" s="19" t="str">
        <f t="shared" si="27"/>
        <v>—</v>
      </c>
      <c r="AA76" s="20">
        <f t="shared" si="28"/>
        <v>60</v>
      </c>
      <c r="AB76" s="21" t="str">
        <f t="shared" si="29"/>
        <v>—</v>
      </c>
      <c r="AC76" s="13" t="str">
        <f t="shared" si="30"/>
        <v>⬜  Pendiente de instrumento</v>
      </c>
      <c r="AD76" s="13" t="str">
        <f>IF(MATRIZ_174!U75="","",IF(MATRIZ_174!U75=0,"🚫  Inh. vigente OSCE",""))</f>
        <v/>
      </c>
      <c r="AE76" s="22">
        <f>IFERROR(MATRIZ_174!W75,0)</f>
        <v>0</v>
      </c>
      <c r="AF76" s="22">
        <f>IFERROR(MATRIZ_174!X75,0)</f>
        <v>0</v>
      </c>
      <c r="AG76" s="22">
        <f>IFERROR(MATRIZ_174!Y75,0)</f>
        <v>0</v>
      </c>
      <c r="AH76" s="22">
        <f>IFERROR(MATRIZ_174!Z75,0)</f>
        <v>0</v>
      </c>
      <c r="AI76" s="17">
        <f>IFERROR(MATRIZ_174!AP75,"N/A")</f>
        <v>0</v>
      </c>
      <c r="AJ76" s="17" t="str">
        <f>IFERROR(MATRIZ_174!AO75,"N/A")</f>
        <v>N/A</v>
      </c>
      <c r="AK76" s="23" t="str">
        <f t="shared" si="31"/>
        <v>N/A</v>
      </c>
      <c r="AL76" s="24" t="str">
        <f t="shared" si="32"/>
        <v>—</v>
      </c>
    </row>
    <row r="77" spans="1:38" ht="16.05" customHeight="1" x14ac:dyDescent="0.3">
      <c r="A77" s="13" t="s">
        <v>233</v>
      </c>
      <c r="B77" s="14" t="s">
        <v>234</v>
      </c>
      <c r="C77" s="13" t="s">
        <v>192</v>
      </c>
      <c r="D77" s="15">
        <v>0</v>
      </c>
      <c r="E77" s="16" t="str">
        <f>IF(NORMALIZADO!CB76="","",NORMALIZADO!CB76)</f>
        <v/>
      </c>
      <c r="F77" s="17" t="str">
        <f>IF(NORMALIZADO!CC76="","",NORMALIZADO!CC76)</f>
        <v/>
      </c>
      <c r="G77" s="17">
        <f>IF(NORMALIZADO!CD76="",IFERROR(MATRIZ_174!U76*100,""),NORMALIZADO!CD76)</f>
        <v>100</v>
      </c>
      <c r="H77" s="16" t="str">
        <f>IF(NORMALIZADO!CE76="","",NORMALIZADO!CE76)</f>
        <v/>
      </c>
      <c r="I77" s="17" t="str">
        <f>IF(NORMALIZADO!CF76="","",NORMALIZADO!CF76)</f>
        <v/>
      </c>
      <c r="J77" s="17" t="str">
        <f>IF(NORMALIZADO!CG76="","",NORMALIZADO!CG76)</f>
        <v/>
      </c>
      <c r="K77" s="16" t="str">
        <f>IF(NORMALIZADO!CH76="","",NORMALIZADO!CH76)</f>
        <v/>
      </c>
      <c r="L77" s="16" t="str">
        <f>IF(NORMALIZADO!CI76="","",NORMALIZADO!CI76)</f>
        <v/>
      </c>
      <c r="M77" s="16" t="str">
        <f>IF(NORMALIZADO!CJ76="","",NORMALIZADO!CJ76)</f>
        <v/>
      </c>
      <c r="N77" s="16" t="str">
        <f>IF(NORMALIZADO!CK76="","",NORMALIZADO!CK76)</f>
        <v/>
      </c>
      <c r="O77" s="16" t="str">
        <f>IF(NORMALIZADO!CL76="","",NORMALIZADO!CL76)</f>
        <v/>
      </c>
      <c r="P77" s="17" t="str">
        <f t="shared" si="22"/>
        <v/>
      </c>
      <c r="Q77" s="17">
        <f t="shared" si="23"/>
        <v>0</v>
      </c>
      <c r="R77" s="17">
        <f t="shared" si="24"/>
        <v>0</v>
      </c>
      <c r="S77" s="17">
        <f t="shared" si="25"/>
        <v>0</v>
      </c>
      <c r="T77" s="17" t="str">
        <f>IF(ISNUMBER(MATRIZ_174!O76),IFERROR((K77+M77+MATRIZ_174!O76)/3,0),"")</f>
        <v/>
      </c>
      <c r="U77" s="18" t="str">
        <f>IF(ISNUMBER(MATRIZ_174!M76),MIN(100,ROUND(MATRIZ_174!M76,1)),"")</f>
        <v/>
      </c>
      <c r="V77" s="18">
        <f t="shared" si="26"/>
        <v>50</v>
      </c>
      <c r="W77" s="18">
        <f>IFERROR(IF(MATRIZ_174!R76=0,65,IF(MATRIZ_174!R76/MATRIZ_174!Q76&gt;=2,35,IF(MATRIZ_174!R76/MATRIZ_174!Q76&gt;=0.5,50,65))),65)</f>
        <v>65</v>
      </c>
      <c r="X77" s="18" t="str">
        <f>IF(ISNUMBER(MATRIZ_174!O76),MIN(100,IF(MATRIZ_174!O76=0,70,30)+IF(MATRIZ_174!U76="",0,0.3*(100-MATRIZ_174!U76*100))),"")</f>
        <v/>
      </c>
      <c r="Y77" s="18">
        <f>IF(OR(MATRIZ_174!P76="ASOCIACION",MATRIZ_174!P76="PENDIENTE"),65,40)</f>
        <v>65</v>
      </c>
      <c r="Z77" s="19" t="str">
        <f t="shared" si="27"/>
        <v>—</v>
      </c>
      <c r="AA77" s="20">
        <f t="shared" si="28"/>
        <v>60</v>
      </c>
      <c r="AB77" s="21" t="str">
        <f t="shared" si="29"/>
        <v>—</v>
      </c>
      <c r="AC77" s="13" t="str">
        <f t="shared" si="30"/>
        <v>⬜  Pendiente de instrumento</v>
      </c>
      <c r="AD77" s="13" t="str">
        <f>IF(MATRIZ_174!U76="","",IF(MATRIZ_174!U76=0,"🚫  Inh. vigente OSCE",""))</f>
        <v/>
      </c>
      <c r="AE77" s="22">
        <f>IFERROR(MATRIZ_174!W76,0)</f>
        <v>0</v>
      </c>
      <c r="AF77" s="22">
        <f>IFERROR(MATRIZ_174!X76,0)</f>
        <v>0</v>
      </c>
      <c r="AG77" s="22">
        <f>IFERROR(MATRIZ_174!Y76,0)</f>
        <v>0</v>
      </c>
      <c r="AH77" s="22">
        <f>IFERROR(MATRIZ_174!Z76,0)</f>
        <v>0</v>
      </c>
      <c r="AI77" s="17">
        <f>IFERROR(MATRIZ_174!AP76,"N/A")</f>
        <v>0</v>
      </c>
      <c r="AJ77" s="17" t="str">
        <f>IFERROR(MATRIZ_174!AO76,"N/A")</f>
        <v>N/A</v>
      </c>
      <c r="AK77" s="23" t="str">
        <f t="shared" si="31"/>
        <v>N/A</v>
      </c>
      <c r="AL77" s="24" t="str">
        <f t="shared" si="32"/>
        <v>—</v>
      </c>
    </row>
    <row r="78" spans="1:38" ht="16.05" customHeight="1" x14ac:dyDescent="0.3">
      <c r="A78" s="13" t="s">
        <v>235</v>
      </c>
      <c r="B78" s="14" t="s">
        <v>236</v>
      </c>
      <c r="C78" s="13" t="s">
        <v>150</v>
      </c>
      <c r="D78" s="15">
        <v>8445503.2400000002</v>
      </c>
      <c r="E78" s="16" t="str">
        <f>IF(NORMALIZADO!CB77="","",NORMALIZADO!CB77)</f>
        <v/>
      </c>
      <c r="F78" s="17" t="str">
        <f>IF(NORMALIZADO!CC77="","",NORMALIZADO!CC77)</f>
        <v/>
      </c>
      <c r="G78" s="17">
        <f>IF(NORMALIZADO!CD77="",IFERROR(MATRIZ_174!U77*100,""),NORMALIZADO!CD77)</f>
        <v>100</v>
      </c>
      <c r="H78" s="16" t="str">
        <f>IF(NORMALIZADO!CE77="","",NORMALIZADO!CE77)</f>
        <v/>
      </c>
      <c r="I78" s="17" t="str">
        <f>IF(NORMALIZADO!CF77="","",NORMALIZADO!CF77)</f>
        <v/>
      </c>
      <c r="J78" s="17" t="str">
        <f>IF(NORMALIZADO!CG77="","",NORMALIZADO!CG77)</f>
        <v/>
      </c>
      <c r="K78" s="16" t="str">
        <f>IF(NORMALIZADO!CH77="","",NORMALIZADO!CH77)</f>
        <v/>
      </c>
      <c r="L78" s="16" t="str">
        <f>IF(NORMALIZADO!CI77="","",NORMALIZADO!CI77)</f>
        <v/>
      </c>
      <c r="M78" s="16" t="str">
        <f>IF(NORMALIZADO!CJ77="","",NORMALIZADO!CJ77)</f>
        <v/>
      </c>
      <c r="N78" s="16" t="str">
        <f>IF(NORMALIZADO!CK77="","",NORMALIZADO!CK77)</f>
        <v/>
      </c>
      <c r="O78" s="16" t="str">
        <f>IF(NORMALIZADO!CL77="","",NORMALIZADO!CL77)</f>
        <v/>
      </c>
      <c r="P78" s="17" t="str">
        <f t="shared" si="22"/>
        <v/>
      </c>
      <c r="Q78" s="17">
        <f t="shared" si="23"/>
        <v>0</v>
      </c>
      <c r="R78" s="17">
        <f t="shared" si="24"/>
        <v>0</v>
      </c>
      <c r="S78" s="17">
        <f t="shared" si="25"/>
        <v>0</v>
      </c>
      <c r="T78" s="17" t="str">
        <f>IF(ISNUMBER(MATRIZ_174!O77),IFERROR((K78+M78+MATRIZ_174!O77)/3,0),"")</f>
        <v/>
      </c>
      <c r="U78" s="18">
        <f>IF(ISNUMBER(MATRIZ_174!M77),MIN(100,ROUND(MATRIZ_174!M77,1)),"")</f>
        <v>50</v>
      </c>
      <c r="V78" s="18">
        <f t="shared" si="26"/>
        <v>50</v>
      </c>
      <c r="W78" s="18">
        <f>IFERROR(IF(MATRIZ_174!R77=0,65,IF(MATRIZ_174!R77/MATRIZ_174!Q77&gt;=2,35,IF(MATRIZ_174!R77/MATRIZ_174!Q77&gt;=0.5,50,65))),65)</f>
        <v>65</v>
      </c>
      <c r="X78" s="18" t="str">
        <f>IF(ISNUMBER(MATRIZ_174!O77),MIN(100,IF(MATRIZ_174!O77=0,70,30)+IF(MATRIZ_174!U77="",0,0.3*(100-MATRIZ_174!U77*100))),"")</f>
        <v/>
      </c>
      <c r="Y78" s="18">
        <f>IF(OR(MATRIZ_174!P77="ASOCIACION",MATRIZ_174!P77="PENDIENTE"),65,40)</f>
        <v>65</v>
      </c>
      <c r="Z78" s="19" t="str">
        <f t="shared" si="27"/>
        <v>—</v>
      </c>
      <c r="AA78" s="20">
        <f t="shared" si="28"/>
        <v>57.5</v>
      </c>
      <c r="AB78" s="21" t="str">
        <f t="shared" si="29"/>
        <v>—</v>
      </c>
      <c r="AC78" s="13" t="str">
        <f t="shared" si="30"/>
        <v>⬜  Pendiente de instrumento</v>
      </c>
      <c r="AD78" s="13" t="str">
        <f>IF(MATRIZ_174!U77="","",IF(MATRIZ_174!U77=0,"🚫  Inh. vigente OSCE",""))</f>
        <v/>
      </c>
      <c r="AE78" s="22">
        <f>IFERROR(MATRIZ_174!W77,0)</f>
        <v>1</v>
      </c>
      <c r="AF78" s="22">
        <f>IFERROR(MATRIZ_174!X77,0)</f>
        <v>0</v>
      </c>
      <c r="AG78" s="22">
        <f>IFERROR(MATRIZ_174!Y77,0)</f>
        <v>0</v>
      </c>
      <c r="AH78" s="22">
        <f>IFERROR(MATRIZ_174!Z77,0)</f>
        <v>0</v>
      </c>
      <c r="AI78" s="17">
        <f>IFERROR(MATRIZ_174!AP77,"N/A")</f>
        <v>0.3125</v>
      </c>
      <c r="AJ78" s="17" t="str">
        <f>IFERROR(MATRIZ_174!AO77,"N/A")</f>
        <v>N/A</v>
      </c>
      <c r="AK78" s="23" t="str">
        <f t="shared" si="31"/>
        <v>N/A</v>
      </c>
      <c r="AL78" s="24" t="str">
        <f t="shared" si="32"/>
        <v>—</v>
      </c>
    </row>
    <row r="79" spans="1:38" ht="16.05" customHeight="1" x14ac:dyDescent="0.3">
      <c r="A79" s="13" t="s">
        <v>237</v>
      </c>
      <c r="B79" s="14" t="s">
        <v>238</v>
      </c>
      <c r="C79" s="13" t="s">
        <v>119</v>
      </c>
      <c r="D79" s="15">
        <v>0</v>
      </c>
      <c r="E79" s="16" t="str">
        <f>IF(NORMALIZADO!CB78="","",NORMALIZADO!CB78)</f>
        <v/>
      </c>
      <c r="F79" s="17" t="str">
        <f>IF(NORMALIZADO!CC78="","",NORMALIZADO!CC78)</f>
        <v/>
      </c>
      <c r="G79" s="17">
        <f>IF(NORMALIZADO!CD78="",IFERROR(MATRIZ_174!U78*100,""),NORMALIZADO!CD78)</f>
        <v>100</v>
      </c>
      <c r="H79" s="16" t="str">
        <f>IF(NORMALIZADO!CE78="","",NORMALIZADO!CE78)</f>
        <v/>
      </c>
      <c r="I79" s="17" t="str">
        <f>IF(NORMALIZADO!CF78="","",NORMALIZADO!CF78)</f>
        <v/>
      </c>
      <c r="J79" s="17" t="str">
        <f>IF(NORMALIZADO!CG78="","",NORMALIZADO!CG78)</f>
        <v/>
      </c>
      <c r="K79" s="16" t="str">
        <f>IF(NORMALIZADO!CH78="","",NORMALIZADO!CH78)</f>
        <v/>
      </c>
      <c r="L79" s="16" t="str">
        <f>IF(NORMALIZADO!CI78="","",NORMALIZADO!CI78)</f>
        <v/>
      </c>
      <c r="M79" s="16" t="str">
        <f>IF(NORMALIZADO!CJ78="","",NORMALIZADO!CJ78)</f>
        <v/>
      </c>
      <c r="N79" s="16" t="str">
        <f>IF(NORMALIZADO!CK78="","",NORMALIZADO!CK78)</f>
        <v/>
      </c>
      <c r="O79" s="16" t="str">
        <f>IF(NORMALIZADO!CL78="","",NORMALIZADO!CL78)</f>
        <v/>
      </c>
      <c r="P79" s="17" t="str">
        <f t="shared" si="22"/>
        <v/>
      </c>
      <c r="Q79" s="17">
        <f t="shared" si="23"/>
        <v>0</v>
      </c>
      <c r="R79" s="17">
        <f t="shared" si="24"/>
        <v>0</v>
      </c>
      <c r="S79" s="17">
        <f t="shared" si="25"/>
        <v>0</v>
      </c>
      <c r="T79" s="17" t="str">
        <f>IF(ISNUMBER(MATRIZ_174!O78),IFERROR((K79+M79+MATRIZ_174!O78)/3,0),"")</f>
        <v/>
      </c>
      <c r="U79" s="18" t="str">
        <f>IF(ISNUMBER(MATRIZ_174!M78),MIN(100,ROUND(MATRIZ_174!M78,1)),"")</f>
        <v/>
      </c>
      <c r="V79" s="18">
        <f t="shared" si="26"/>
        <v>50</v>
      </c>
      <c r="W79" s="18">
        <f>IFERROR(IF(MATRIZ_174!R78=0,65,IF(MATRIZ_174!R78/MATRIZ_174!Q78&gt;=2,35,IF(MATRIZ_174!R78/MATRIZ_174!Q78&gt;=0.5,50,65))),65)</f>
        <v>65</v>
      </c>
      <c r="X79" s="18" t="str">
        <f>IF(ISNUMBER(MATRIZ_174!O78),MIN(100,IF(MATRIZ_174!O78=0,70,30)+IF(MATRIZ_174!U78="",0,0.3*(100-MATRIZ_174!U78*100))),"")</f>
        <v/>
      </c>
      <c r="Y79" s="18">
        <f>IF(OR(MATRIZ_174!P78="ASOCIACION",MATRIZ_174!P78="PENDIENTE"),65,40)</f>
        <v>65</v>
      </c>
      <c r="Z79" s="19" t="str">
        <f t="shared" si="27"/>
        <v>—</v>
      </c>
      <c r="AA79" s="20">
        <f t="shared" si="28"/>
        <v>60</v>
      </c>
      <c r="AB79" s="21" t="str">
        <f t="shared" si="29"/>
        <v>—</v>
      </c>
      <c r="AC79" s="13" t="str">
        <f t="shared" si="30"/>
        <v>⬜  Pendiente de instrumento</v>
      </c>
      <c r="AD79" s="13" t="str">
        <f>IF(MATRIZ_174!U78="","",IF(MATRIZ_174!U78=0,"🚫  Inh. vigente OSCE",""))</f>
        <v/>
      </c>
      <c r="AE79" s="22">
        <f>IFERROR(MATRIZ_174!W78,0)</f>
        <v>0</v>
      </c>
      <c r="AF79" s="22">
        <f>IFERROR(MATRIZ_174!X78,0)</f>
        <v>0</v>
      </c>
      <c r="AG79" s="22">
        <f>IFERROR(MATRIZ_174!Y78,0)</f>
        <v>0</v>
      </c>
      <c r="AH79" s="22">
        <f>IFERROR(MATRIZ_174!Z78,0)</f>
        <v>0</v>
      </c>
      <c r="AI79" s="17">
        <f>IFERROR(MATRIZ_174!AP78,"N/A")</f>
        <v>0</v>
      </c>
      <c r="AJ79" s="17" t="str">
        <f>IFERROR(MATRIZ_174!AO78,"N/A")</f>
        <v>N/A</v>
      </c>
      <c r="AK79" s="23" t="str">
        <f t="shared" si="31"/>
        <v>N/A</v>
      </c>
      <c r="AL79" s="24" t="str">
        <f t="shared" si="32"/>
        <v>—</v>
      </c>
    </row>
    <row r="80" spans="1:38" ht="16.05" customHeight="1" x14ac:dyDescent="0.3">
      <c r="A80" s="13" t="s">
        <v>239</v>
      </c>
      <c r="B80" s="14" t="s">
        <v>240</v>
      </c>
      <c r="C80" s="13" t="s">
        <v>241</v>
      </c>
      <c r="D80" s="15">
        <v>0</v>
      </c>
      <c r="E80" s="16" t="str">
        <f>IF(NORMALIZADO!CB79="","",NORMALIZADO!CB79)</f>
        <v/>
      </c>
      <c r="F80" s="17" t="str">
        <f>IF(NORMALIZADO!CC79="","",NORMALIZADO!CC79)</f>
        <v/>
      </c>
      <c r="G80" s="17">
        <f>IF(NORMALIZADO!CD79="",IFERROR(MATRIZ_174!U79*100,""),NORMALIZADO!CD79)</f>
        <v>100</v>
      </c>
      <c r="H80" s="16" t="str">
        <f>IF(NORMALIZADO!CE79="","",NORMALIZADO!CE79)</f>
        <v/>
      </c>
      <c r="I80" s="17" t="str">
        <f>IF(NORMALIZADO!CF79="","",NORMALIZADO!CF79)</f>
        <v/>
      </c>
      <c r="J80" s="17" t="str">
        <f>IF(NORMALIZADO!CG79="","",NORMALIZADO!CG79)</f>
        <v/>
      </c>
      <c r="K80" s="16" t="str">
        <f>IF(NORMALIZADO!CH79="","",NORMALIZADO!CH79)</f>
        <v/>
      </c>
      <c r="L80" s="16" t="str">
        <f>IF(NORMALIZADO!CI79="","",NORMALIZADO!CI79)</f>
        <v/>
      </c>
      <c r="M80" s="16" t="str">
        <f>IF(NORMALIZADO!CJ79="","",NORMALIZADO!CJ79)</f>
        <v/>
      </c>
      <c r="N80" s="16" t="str">
        <f>IF(NORMALIZADO!CK79="","",NORMALIZADO!CK79)</f>
        <v/>
      </c>
      <c r="O80" s="16" t="str">
        <f>IF(NORMALIZADO!CL79="","",NORMALIZADO!CL79)</f>
        <v/>
      </c>
      <c r="P80" s="17" t="str">
        <f t="shared" si="22"/>
        <v/>
      </c>
      <c r="Q80" s="17">
        <f t="shared" si="23"/>
        <v>0</v>
      </c>
      <c r="R80" s="17">
        <f t="shared" si="24"/>
        <v>0</v>
      </c>
      <c r="S80" s="17">
        <f t="shared" si="25"/>
        <v>0</v>
      </c>
      <c r="T80" s="17" t="str">
        <f>IF(ISNUMBER(MATRIZ_174!O79),IFERROR((K80+M80+MATRIZ_174!O79)/3,0),"")</f>
        <v/>
      </c>
      <c r="U80" s="18" t="str">
        <f>IF(ISNUMBER(MATRIZ_174!M79),MIN(100,ROUND(MATRIZ_174!M79,1)),"")</f>
        <v/>
      </c>
      <c r="V80" s="18">
        <f t="shared" si="26"/>
        <v>50</v>
      </c>
      <c r="W80" s="18">
        <f>IFERROR(IF(MATRIZ_174!R79=0,65,IF(MATRIZ_174!R79/MATRIZ_174!Q79&gt;=2,35,IF(MATRIZ_174!R79/MATRIZ_174!Q79&gt;=0.5,50,65))),65)</f>
        <v>65</v>
      </c>
      <c r="X80" s="18" t="str">
        <f>IF(ISNUMBER(MATRIZ_174!O79),MIN(100,IF(MATRIZ_174!O79=0,70,30)+IF(MATRIZ_174!U79="",0,0.3*(100-MATRIZ_174!U79*100))),"")</f>
        <v/>
      </c>
      <c r="Y80" s="18">
        <f>IF(OR(MATRIZ_174!P79="ASOCIACION",MATRIZ_174!P79="PENDIENTE"),65,40)</f>
        <v>65</v>
      </c>
      <c r="Z80" s="19" t="str">
        <f t="shared" si="27"/>
        <v>—</v>
      </c>
      <c r="AA80" s="20">
        <f t="shared" si="28"/>
        <v>60</v>
      </c>
      <c r="AB80" s="21" t="str">
        <f t="shared" si="29"/>
        <v>—</v>
      </c>
      <c r="AC80" s="13" t="str">
        <f t="shared" si="30"/>
        <v>⬜  Pendiente de instrumento</v>
      </c>
      <c r="AD80" s="13" t="str">
        <f>IF(MATRIZ_174!U79="","",IF(MATRIZ_174!U79=0,"🚫  Inh. vigente OSCE",""))</f>
        <v/>
      </c>
      <c r="AE80" s="22">
        <f>IFERROR(MATRIZ_174!W79,0)</f>
        <v>0</v>
      </c>
      <c r="AF80" s="22">
        <f>IFERROR(MATRIZ_174!X79,0)</f>
        <v>0</v>
      </c>
      <c r="AG80" s="22">
        <f>IFERROR(MATRIZ_174!Y79,0)</f>
        <v>0</v>
      </c>
      <c r="AH80" s="22">
        <f>IFERROR(MATRIZ_174!Z79,0)</f>
        <v>0</v>
      </c>
      <c r="AI80" s="17">
        <f>IFERROR(MATRIZ_174!AP79,"N/A")</f>
        <v>0</v>
      </c>
      <c r="AJ80" s="17" t="str">
        <f>IFERROR(MATRIZ_174!AO79,"N/A")</f>
        <v>N/A</v>
      </c>
      <c r="AK80" s="23" t="str">
        <f t="shared" si="31"/>
        <v>N/A</v>
      </c>
      <c r="AL80" s="24" t="str">
        <f t="shared" si="32"/>
        <v>—</v>
      </c>
    </row>
    <row r="81" spans="1:38" ht="16.05" customHeight="1" x14ac:dyDescent="0.3">
      <c r="A81" s="13" t="s">
        <v>242</v>
      </c>
      <c r="B81" s="14" t="s">
        <v>243</v>
      </c>
      <c r="C81" s="13" t="s">
        <v>112</v>
      </c>
      <c r="D81" s="15">
        <v>0</v>
      </c>
      <c r="E81" s="16" t="str">
        <f>IF(NORMALIZADO!CB80="","",NORMALIZADO!CB80)</f>
        <v/>
      </c>
      <c r="F81" s="17" t="str">
        <f>IF(NORMALIZADO!CC80="","",NORMALIZADO!CC80)</f>
        <v/>
      </c>
      <c r="G81" s="17">
        <f>IF(NORMALIZADO!CD80="",IFERROR(MATRIZ_174!U80*100,""),NORMALIZADO!CD80)</f>
        <v>100</v>
      </c>
      <c r="H81" s="16" t="str">
        <f>IF(NORMALIZADO!CE80="","",NORMALIZADO!CE80)</f>
        <v/>
      </c>
      <c r="I81" s="17" t="str">
        <f>IF(NORMALIZADO!CF80="","",NORMALIZADO!CF80)</f>
        <v/>
      </c>
      <c r="J81" s="17" t="str">
        <f>IF(NORMALIZADO!CG80="","",NORMALIZADO!CG80)</f>
        <v/>
      </c>
      <c r="K81" s="16" t="str">
        <f>IF(NORMALIZADO!CH80="","",NORMALIZADO!CH80)</f>
        <v/>
      </c>
      <c r="L81" s="16" t="str">
        <f>IF(NORMALIZADO!CI80="","",NORMALIZADO!CI80)</f>
        <v/>
      </c>
      <c r="M81" s="16" t="str">
        <f>IF(NORMALIZADO!CJ80="","",NORMALIZADO!CJ80)</f>
        <v/>
      </c>
      <c r="N81" s="16" t="str">
        <f>IF(NORMALIZADO!CK80="","",NORMALIZADO!CK80)</f>
        <v/>
      </c>
      <c r="O81" s="16" t="str">
        <f>IF(NORMALIZADO!CL80="","",NORMALIZADO!CL80)</f>
        <v/>
      </c>
      <c r="P81" s="17" t="str">
        <f t="shared" si="22"/>
        <v/>
      </c>
      <c r="Q81" s="17">
        <f t="shared" si="23"/>
        <v>0</v>
      </c>
      <c r="R81" s="17">
        <f t="shared" si="24"/>
        <v>0</v>
      </c>
      <c r="S81" s="17">
        <f t="shared" si="25"/>
        <v>0</v>
      </c>
      <c r="T81" s="17">
        <f>IF(ISNUMBER(MATRIZ_174!O80),IFERROR((K81+M81+MATRIZ_174!O80)/3,0),"")</f>
        <v>0</v>
      </c>
      <c r="U81" s="18" t="str">
        <f>IF(ISNUMBER(MATRIZ_174!M80),MIN(100,ROUND(MATRIZ_174!M80,1)),"")</f>
        <v/>
      </c>
      <c r="V81" s="18">
        <f t="shared" si="26"/>
        <v>50</v>
      </c>
      <c r="W81" s="18">
        <f>IFERROR(IF(MATRIZ_174!R80=0,65,IF(MATRIZ_174!R80/MATRIZ_174!Q80&gt;=2,35,IF(MATRIZ_174!R80/MATRIZ_174!Q80&gt;=0.5,50,65))),65)</f>
        <v>35</v>
      </c>
      <c r="X81" s="18">
        <f>IF(ISNUMBER(MATRIZ_174!O80),MIN(100,IF(MATRIZ_174!O80=0,70,30)+IF(MATRIZ_174!U80="",0,0.3*(100-MATRIZ_174!U80*100))),"")</f>
        <v>30</v>
      </c>
      <c r="Y81" s="18">
        <f>IF(OR(MATRIZ_174!P80="ASOCIACION",MATRIZ_174!P80="PENDIENTE"),65,40)</f>
        <v>65</v>
      </c>
      <c r="Z81" s="19" t="str">
        <f t="shared" si="27"/>
        <v>—</v>
      </c>
      <c r="AA81" s="20">
        <f t="shared" si="28"/>
        <v>45</v>
      </c>
      <c r="AB81" s="21" t="str">
        <f t="shared" si="29"/>
        <v>—</v>
      </c>
      <c r="AC81" s="13" t="str">
        <f t="shared" si="30"/>
        <v>⬜  Pendiente de instrumento</v>
      </c>
      <c r="AD81" s="13" t="str">
        <f>IF(MATRIZ_174!U80="","",IF(MATRIZ_174!U80=0,"🚫  Inh. vigente OSCE",""))</f>
        <v/>
      </c>
      <c r="AE81" s="22">
        <f>IFERROR(MATRIZ_174!W80,0)</f>
        <v>1</v>
      </c>
      <c r="AF81" s="22">
        <f>IFERROR(MATRIZ_174!X80,0)</f>
        <v>0</v>
      </c>
      <c r="AG81" s="22">
        <f>IFERROR(MATRIZ_174!Y80,0)</f>
        <v>0</v>
      </c>
      <c r="AH81" s="22">
        <f>IFERROR(MATRIZ_174!Z80,0)</f>
        <v>0</v>
      </c>
      <c r="AI81" s="17">
        <f>IFERROR(MATRIZ_174!AP80,"N/A")</f>
        <v>0.26071428571428573</v>
      </c>
      <c r="AJ81" s="17" t="str">
        <f>IFERROR(MATRIZ_174!AO80,"N/A")</f>
        <v>N/A</v>
      </c>
      <c r="AK81" s="23" t="str">
        <f t="shared" si="31"/>
        <v>N/A</v>
      </c>
      <c r="AL81" s="24" t="str">
        <f t="shared" si="32"/>
        <v>—</v>
      </c>
    </row>
    <row r="82" spans="1:38" ht="16.05" customHeight="1" x14ac:dyDescent="0.3">
      <c r="A82" s="13" t="s">
        <v>245</v>
      </c>
      <c r="B82" s="14" t="s">
        <v>246</v>
      </c>
      <c r="C82" s="13" t="s">
        <v>80</v>
      </c>
      <c r="D82" s="15">
        <v>0</v>
      </c>
      <c r="E82" s="16" t="str">
        <f>IF(NORMALIZADO!CB81="","",NORMALIZADO!CB81)</f>
        <v/>
      </c>
      <c r="F82" s="17" t="str">
        <f>IF(NORMALIZADO!CC81="","",NORMALIZADO!CC81)</f>
        <v/>
      </c>
      <c r="G82" s="17">
        <f>IF(NORMALIZADO!CD81="",IFERROR(MATRIZ_174!U81*100,""),NORMALIZADO!CD81)</f>
        <v>100</v>
      </c>
      <c r="H82" s="16" t="str">
        <f>IF(NORMALIZADO!CE81="","",NORMALIZADO!CE81)</f>
        <v/>
      </c>
      <c r="I82" s="17" t="str">
        <f>IF(NORMALIZADO!CF81="","",NORMALIZADO!CF81)</f>
        <v/>
      </c>
      <c r="J82" s="17" t="str">
        <f>IF(NORMALIZADO!CG81="","",NORMALIZADO!CG81)</f>
        <v/>
      </c>
      <c r="K82" s="16" t="str">
        <f>IF(NORMALIZADO!CH81="","",NORMALIZADO!CH81)</f>
        <v/>
      </c>
      <c r="L82" s="16" t="str">
        <f>IF(NORMALIZADO!CI81="","",NORMALIZADO!CI81)</f>
        <v/>
      </c>
      <c r="M82" s="16" t="str">
        <f>IF(NORMALIZADO!CJ81="","",NORMALIZADO!CJ81)</f>
        <v/>
      </c>
      <c r="N82" s="16" t="str">
        <f>IF(NORMALIZADO!CK81="","",NORMALIZADO!CK81)</f>
        <v/>
      </c>
      <c r="O82" s="16" t="str">
        <f>IF(NORMALIZADO!CL81="","",NORMALIZADO!CL81)</f>
        <v/>
      </c>
      <c r="P82" s="17" t="str">
        <f t="shared" si="22"/>
        <v/>
      </c>
      <c r="Q82" s="17">
        <f t="shared" si="23"/>
        <v>0</v>
      </c>
      <c r="R82" s="17">
        <f t="shared" si="24"/>
        <v>0</v>
      </c>
      <c r="S82" s="17">
        <f t="shared" si="25"/>
        <v>0</v>
      </c>
      <c r="T82" s="17" t="str">
        <f>IF(ISNUMBER(MATRIZ_174!O81),IFERROR((K82+M82+MATRIZ_174!O81)/3,0),"")</f>
        <v/>
      </c>
      <c r="U82" s="18" t="str">
        <f>IF(ISNUMBER(MATRIZ_174!M81),MIN(100,ROUND(MATRIZ_174!M81,1)),"")</f>
        <v/>
      </c>
      <c r="V82" s="18">
        <f t="shared" si="26"/>
        <v>50</v>
      </c>
      <c r="W82" s="18">
        <f>IFERROR(IF(MATRIZ_174!R81=0,65,IF(MATRIZ_174!R81/MATRIZ_174!Q81&gt;=2,35,IF(MATRIZ_174!R81/MATRIZ_174!Q81&gt;=0.5,50,65))),65)</f>
        <v>65</v>
      </c>
      <c r="X82" s="18" t="str">
        <f>IF(ISNUMBER(MATRIZ_174!O81),MIN(100,IF(MATRIZ_174!O81=0,70,30)+IF(MATRIZ_174!U81="",0,0.3*(100-MATRIZ_174!U81*100))),"")</f>
        <v/>
      </c>
      <c r="Y82" s="18">
        <f>IF(OR(MATRIZ_174!P81="ASOCIACION",MATRIZ_174!P81="PENDIENTE"),65,40)</f>
        <v>65</v>
      </c>
      <c r="Z82" s="19" t="str">
        <f t="shared" si="27"/>
        <v>—</v>
      </c>
      <c r="AA82" s="20">
        <f t="shared" si="28"/>
        <v>60</v>
      </c>
      <c r="AB82" s="21" t="str">
        <f t="shared" si="29"/>
        <v>—</v>
      </c>
      <c r="AC82" s="13" t="str">
        <f t="shared" si="30"/>
        <v>⬜  Pendiente de instrumento</v>
      </c>
      <c r="AD82" s="13" t="str">
        <f>IF(MATRIZ_174!U81="","",IF(MATRIZ_174!U81=0,"🚫  Inh. vigente OSCE",""))</f>
        <v/>
      </c>
      <c r="AE82" s="22">
        <f>IFERROR(MATRIZ_174!W81,0)</f>
        <v>0</v>
      </c>
      <c r="AF82" s="22">
        <f>IFERROR(MATRIZ_174!X81,0)</f>
        <v>0</v>
      </c>
      <c r="AG82" s="22">
        <f>IFERROR(MATRIZ_174!Y81,0)</f>
        <v>0</v>
      </c>
      <c r="AH82" s="22">
        <f>IFERROR(MATRIZ_174!Z81,0)</f>
        <v>0</v>
      </c>
      <c r="AI82" s="17">
        <f>IFERROR(MATRIZ_174!AP81,"N/A")</f>
        <v>0</v>
      </c>
      <c r="AJ82" s="17" t="str">
        <f>IFERROR(MATRIZ_174!AO81,"N/A")</f>
        <v>N/A</v>
      </c>
      <c r="AK82" s="23" t="str">
        <f t="shared" si="31"/>
        <v>N/A</v>
      </c>
      <c r="AL82" s="24" t="str">
        <f t="shared" si="32"/>
        <v>—</v>
      </c>
    </row>
    <row r="83" spans="1:38" ht="16.05" customHeight="1" x14ac:dyDescent="0.3">
      <c r="A83" s="13" t="s">
        <v>247</v>
      </c>
      <c r="B83" s="14" t="s">
        <v>248</v>
      </c>
      <c r="C83" s="13" t="s">
        <v>249</v>
      </c>
      <c r="D83" s="15">
        <v>717861.85</v>
      </c>
      <c r="E83" s="16" t="str">
        <f>IF(NORMALIZADO!CB82="","",NORMALIZADO!CB82)</f>
        <v/>
      </c>
      <c r="F83" s="17" t="str">
        <f>IF(NORMALIZADO!CC82="","",NORMALIZADO!CC82)</f>
        <v/>
      </c>
      <c r="G83" s="17">
        <f>IF(NORMALIZADO!CD82="",IFERROR(MATRIZ_174!U82*100,""),NORMALIZADO!CD82)</f>
        <v>100</v>
      </c>
      <c r="H83" s="16" t="str">
        <f>IF(NORMALIZADO!CE82="","",NORMALIZADO!CE82)</f>
        <v/>
      </c>
      <c r="I83" s="17" t="str">
        <f>IF(NORMALIZADO!CF82="","",NORMALIZADO!CF82)</f>
        <v/>
      </c>
      <c r="J83" s="17" t="str">
        <f>IF(NORMALIZADO!CG82="","",NORMALIZADO!CG82)</f>
        <v/>
      </c>
      <c r="K83" s="16" t="str">
        <f>IF(NORMALIZADO!CH82="","",NORMALIZADO!CH82)</f>
        <v/>
      </c>
      <c r="L83" s="16" t="str">
        <f>IF(NORMALIZADO!CI82="","",NORMALIZADO!CI82)</f>
        <v/>
      </c>
      <c r="M83" s="16" t="str">
        <f>IF(NORMALIZADO!CJ82="","",NORMALIZADO!CJ82)</f>
        <v/>
      </c>
      <c r="N83" s="16" t="str">
        <f>IF(NORMALIZADO!CK82="","",NORMALIZADO!CK82)</f>
        <v/>
      </c>
      <c r="O83" s="16" t="str">
        <f>IF(NORMALIZADO!CL82="","",NORMALIZADO!CL82)</f>
        <v/>
      </c>
      <c r="P83" s="17" t="str">
        <f t="shared" si="22"/>
        <v/>
      </c>
      <c r="Q83" s="17">
        <f t="shared" si="23"/>
        <v>0</v>
      </c>
      <c r="R83" s="17">
        <f t="shared" si="24"/>
        <v>0</v>
      </c>
      <c r="S83" s="17">
        <f t="shared" si="25"/>
        <v>0</v>
      </c>
      <c r="T83" s="17" t="str">
        <f>IF(ISNUMBER(MATRIZ_174!O82),IFERROR((K83+M83+MATRIZ_174!O82)/3,0),"")</f>
        <v/>
      </c>
      <c r="U83" s="18">
        <f>IF(ISNUMBER(MATRIZ_174!M82),MIN(100,ROUND(MATRIZ_174!M82,1)),"")</f>
        <v>50</v>
      </c>
      <c r="V83" s="18">
        <f t="shared" si="26"/>
        <v>50</v>
      </c>
      <c r="W83" s="18">
        <f>IFERROR(IF(MATRIZ_174!R82=0,65,IF(MATRIZ_174!R82/MATRIZ_174!Q82&gt;=2,35,IF(MATRIZ_174!R82/MATRIZ_174!Q82&gt;=0.5,50,65))),65)</f>
        <v>65</v>
      </c>
      <c r="X83" s="18" t="str">
        <f>IF(ISNUMBER(MATRIZ_174!O82),MIN(100,IF(MATRIZ_174!O82=0,70,30)+IF(MATRIZ_174!U82="",0,0.3*(100-MATRIZ_174!U82*100))),"")</f>
        <v/>
      </c>
      <c r="Y83" s="18">
        <f>IF(OR(MATRIZ_174!P82="ASOCIACION",MATRIZ_174!P82="PENDIENTE"),65,40)</f>
        <v>65</v>
      </c>
      <c r="Z83" s="19" t="str">
        <f t="shared" si="27"/>
        <v>—</v>
      </c>
      <c r="AA83" s="20">
        <f t="shared" si="28"/>
        <v>57.5</v>
      </c>
      <c r="AB83" s="21" t="str">
        <f t="shared" si="29"/>
        <v>—</v>
      </c>
      <c r="AC83" s="13" t="str">
        <f t="shared" si="30"/>
        <v>⬜  Pendiente de instrumento</v>
      </c>
      <c r="AD83" s="13" t="str">
        <f>IF(MATRIZ_174!U82="","",IF(MATRIZ_174!U82=0,"🚫  Inh. vigente OSCE",""))</f>
        <v/>
      </c>
      <c r="AE83" s="22">
        <f>IFERROR(MATRIZ_174!W82,0)</f>
        <v>1</v>
      </c>
      <c r="AF83" s="22">
        <f>IFERROR(MATRIZ_174!X82,0)</f>
        <v>0</v>
      </c>
      <c r="AG83" s="22">
        <f>IFERROR(MATRIZ_174!Y82,0)</f>
        <v>0</v>
      </c>
      <c r="AH83" s="22">
        <f>IFERROR(MATRIZ_174!Z82,0)</f>
        <v>0</v>
      </c>
      <c r="AI83" s="17">
        <f>IFERROR(MATRIZ_174!AP82,"N/A")</f>
        <v>0.3125</v>
      </c>
      <c r="AJ83" s="17" t="str">
        <f>IFERROR(MATRIZ_174!AO82,"N/A")</f>
        <v>N/A</v>
      </c>
      <c r="AK83" s="23" t="str">
        <f t="shared" si="31"/>
        <v>N/A</v>
      </c>
      <c r="AL83" s="24" t="str">
        <f t="shared" si="32"/>
        <v>—</v>
      </c>
    </row>
    <row r="84" spans="1:38" ht="16.05" customHeight="1" x14ac:dyDescent="0.3">
      <c r="A84" s="13" t="s">
        <v>250</v>
      </c>
      <c r="B84" s="14" t="s">
        <v>251</v>
      </c>
      <c r="C84" s="13" t="s">
        <v>249</v>
      </c>
      <c r="D84" s="15">
        <v>0</v>
      </c>
      <c r="E84" s="16" t="str">
        <f>IF(NORMALIZADO!CB83="","",NORMALIZADO!CB83)</f>
        <v/>
      </c>
      <c r="F84" s="17" t="str">
        <f>IF(NORMALIZADO!CC83="","",NORMALIZADO!CC83)</f>
        <v/>
      </c>
      <c r="G84" s="17">
        <f>IF(NORMALIZADO!CD83="",IFERROR(MATRIZ_174!U83*100,""),NORMALIZADO!CD83)</f>
        <v>100</v>
      </c>
      <c r="H84" s="16" t="str">
        <f>IF(NORMALIZADO!CE83="","",NORMALIZADO!CE83)</f>
        <v/>
      </c>
      <c r="I84" s="17" t="str">
        <f>IF(NORMALIZADO!CF83="","",NORMALIZADO!CF83)</f>
        <v/>
      </c>
      <c r="J84" s="17" t="str">
        <f>IF(NORMALIZADO!CG83="","",NORMALIZADO!CG83)</f>
        <v/>
      </c>
      <c r="K84" s="16" t="str">
        <f>IF(NORMALIZADO!CH83="","",NORMALIZADO!CH83)</f>
        <v/>
      </c>
      <c r="L84" s="16" t="str">
        <f>IF(NORMALIZADO!CI83="","",NORMALIZADO!CI83)</f>
        <v/>
      </c>
      <c r="M84" s="16" t="str">
        <f>IF(NORMALIZADO!CJ83="","",NORMALIZADO!CJ83)</f>
        <v/>
      </c>
      <c r="N84" s="16" t="str">
        <f>IF(NORMALIZADO!CK83="","",NORMALIZADO!CK83)</f>
        <v/>
      </c>
      <c r="O84" s="16" t="str">
        <f>IF(NORMALIZADO!CL83="","",NORMALIZADO!CL83)</f>
        <v/>
      </c>
      <c r="P84" s="17" t="str">
        <f t="shared" si="22"/>
        <v/>
      </c>
      <c r="Q84" s="17">
        <f t="shared" si="23"/>
        <v>0</v>
      </c>
      <c r="R84" s="17">
        <f t="shared" si="24"/>
        <v>0</v>
      </c>
      <c r="S84" s="17">
        <f t="shared" si="25"/>
        <v>0</v>
      </c>
      <c r="T84" s="17" t="str">
        <f>IF(ISNUMBER(MATRIZ_174!O83),IFERROR((K84+M84+MATRIZ_174!O83)/3,0),"")</f>
        <v/>
      </c>
      <c r="U84" s="18" t="str">
        <f>IF(ISNUMBER(MATRIZ_174!M83),MIN(100,ROUND(MATRIZ_174!M83,1)),"")</f>
        <v/>
      </c>
      <c r="V84" s="18">
        <f t="shared" si="26"/>
        <v>50</v>
      </c>
      <c r="W84" s="18">
        <f>IFERROR(IF(MATRIZ_174!R83=0,65,IF(MATRIZ_174!R83/MATRIZ_174!Q83&gt;=2,35,IF(MATRIZ_174!R83/MATRIZ_174!Q83&gt;=0.5,50,65))),65)</f>
        <v>65</v>
      </c>
      <c r="X84" s="18" t="str">
        <f>IF(ISNUMBER(MATRIZ_174!O83),MIN(100,IF(MATRIZ_174!O83=0,70,30)+IF(MATRIZ_174!U83="",0,0.3*(100-MATRIZ_174!U83*100))),"")</f>
        <v/>
      </c>
      <c r="Y84" s="18">
        <f>IF(OR(MATRIZ_174!P83="ASOCIACION",MATRIZ_174!P83="PENDIENTE"),65,40)</f>
        <v>65</v>
      </c>
      <c r="Z84" s="19" t="str">
        <f t="shared" si="27"/>
        <v>—</v>
      </c>
      <c r="AA84" s="20">
        <f t="shared" si="28"/>
        <v>60</v>
      </c>
      <c r="AB84" s="21" t="str">
        <f t="shared" si="29"/>
        <v>—</v>
      </c>
      <c r="AC84" s="13" t="str">
        <f t="shared" si="30"/>
        <v>⬜  Pendiente de instrumento</v>
      </c>
      <c r="AD84" s="13" t="str">
        <f>IF(MATRIZ_174!U83="","",IF(MATRIZ_174!U83=0,"🚫  Inh. vigente OSCE",""))</f>
        <v/>
      </c>
      <c r="AE84" s="22">
        <f>IFERROR(MATRIZ_174!W83,0)</f>
        <v>0</v>
      </c>
      <c r="AF84" s="22">
        <f>IFERROR(MATRIZ_174!X83,0)</f>
        <v>0</v>
      </c>
      <c r="AG84" s="22">
        <f>IFERROR(MATRIZ_174!Y83,0)</f>
        <v>0</v>
      </c>
      <c r="AH84" s="22">
        <f>IFERROR(MATRIZ_174!Z83,0)</f>
        <v>0</v>
      </c>
      <c r="AI84" s="17">
        <f>IFERROR(MATRIZ_174!AP83,"N/A")</f>
        <v>0</v>
      </c>
      <c r="AJ84" s="17" t="str">
        <f>IFERROR(MATRIZ_174!AO83,"N/A")</f>
        <v>N/A</v>
      </c>
      <c r="AK84" s="23" t="str">
        <f t="shared" si="31"/>
        <v>N/A</v>
      </c>
      <c r="AL84" s="24" t="str">
        <f t="shared" si="32"/>
        <v>—</v>
      </c>
    </row>
    <row r="85" spans="1:38" ht="16.05" customHeight="1" x14ac:dyDescent="0.3">
      <c r="A85" s="13" t="s">
        <v>252</v>
      </c>
      <c r="B85" s="14" t="s">
        <v>253</v>
      </c>
      <c r="C85" s="13" t="s">
        <v>77</v>
      </c>
      <c r="D85" s="15">
        <v>0</v>
      </c>
      <c r="E85" s="16" t="str">
        <f>IF(NORMALIZADO!CB84="","",NORMALIZADO!CB84)</f>
        <v/>
      </c>
      <c r="F85" s="17" t="str">
        <f>IF(NORMALIZADO!CC84="","",NORMALIZADO!CC84)</f>
        <v/>
      </c>
      <c r="G85" s="17">
        <f>IF(NORMALIZADO!CD84="",IFERROR(MATRIZ_174!U84*100,""),NORMALIZADO!CD84)</f>
        <v>100</v>
      </c>
      <c r="H85" s="16" t="str">
        <f>IF(NORMALIZADO!CE84="","",NORMALIZADO!CE84)</f>
        <v/>
      </c>
      <c r="I85" s="17" t="str">
        <f>IF(NORMALIZADO!CF84="","",NORMALIZADO!CF84)</f>
        <v/>
      </c>
      <c r="J85" s="17" t="str">
        <f>IF(NORMALIZADO!CG84="","",NORMALIZADO!CG84)</f>
        <v/>
      </c>
      <c r="K85" s="16" t="str">
        <f>IF(NORMALIZADO!CH84="","",NORMALIZADO!CH84)</f>
        <v/>
      </c>
      <c r="L85" s="16" t="str">
        <f>IF(NORMALIZADO!CI84="","",NORMALIZADO!CI84)</f>
        <v/>
      </c>
      <c r="M85" s="16" t="str">
        <f>IF(NORMALIZADO!CJ84="","",NORMALIZADO!CJ84)</f>
        <v/>
      </c>
      <c r="N85" s="16" t="str">
        <f>IF(NORMALIZADO!CK84="","",NORMALIZADO!CK84)</f>
        <v/>
      </c>
      <c r="O85" s="16" t="str">
        <f>IF(NORMALIZADO!CL84="","",NORMALIZADO!CL84)</f>
        <v/>
      </c>
      <c r="P85" s="17" t="str">
        <f t="shared" si="22"/>
        <v/>
      </c>
      <c r="Q85" s="17">
        <f t="shared" si="23"/>
        <v>0</v>
      </c>
      <c r="R85" s="17">
        <f t="shared" si="24"/>
        <v>0</v>
      </c>
      <c r="S85" s="17">
        <f t="shared" si="25"/>
        <v>0</v>
      </c>
      <c r="T85" s="17" t="str">
        <f>IF(ISNUMBER(MATRIZ_174!O84),IFERROR((K85+M85+MATRIZ_174!O84)/3,0),"")</f>
        <v/>
      </c>
      <c r="U85" s="18">
        <f>IF(ISNUMBER(MATRIZ_174!M84),MIN(100,ROUND(MATRIZ_174!M84,1)),"")</f>
        <v>0</v>
      </c>
      <c r="V85" s="18">
        <f t="shared" si="26"/>
        <v>50</v>
      </c>
      <c r="W85" s="18">
        <f>IFERROR(IF(MATRIZ_174!R84=0,65,IF(MATRIZ_174!R84/MATRIZ_174!Q84&gt;=2,35,IF(MATRIZ_174!R84/MATRIZ_174!Q84&gt;=0.5,50,65))),65)</f>
        <v>65</v>
      </c>
      <c r="X85" s="18" t="str">
        <f>IF(ISNUMBER(MATRIZ_174!O84),MIN(100,IF(MATRIZ_174!O84=0,70,30)+IF(MATRIZ_174!U84="",0,0.3*(100-MATRIZ_174!U84*100))),"")</f>
        <v/>
      </c>
      <c r="Y85" s="18">
        <f>IF(OR(MATRIZ_174!P84="ASOCIACION",MATRIZ_174!P84="PENDIENTE"),65,40)</f>
        <v>65</v>
      </c>
      <c r="Z85" s="19" t="str">
        <f t="shared" si="27"/>
        <v>—</v>
      </c>
      <c r="AA85" s="20">
        <f t="shared" si="28"/>
        <v>45</v>
      </c>
      <c r="AB85" s="21" t="str">
        <f t="shared" si="29"/>
        <v>—</v>
      </c>
      <c r="AC85" s="13" t="str">
        <f t="shared" si="30"/>
        <v>⬜  Pendiente de instrumento</v>
      </c>
      <c r="AD85" s="13" t="str">
        <f>IF(MATRIZ_174!U84="","",IF(MATRIZ_174!U84=0,"🚫  Inh. vigente OSCE",""))</f>
        <v/>
      </c>
      <c r="AE85" s="22">
        <f>IFERROR(MATRIZ_174!W84,0)</f>
        <v>0</v>
      </c>
      <c r="AF85" s="22">
        <f>IFERROR(MATRIZ_174!X84,0)</f>
        <v>0</v>
      </c>
      <c r="AG85" s="22">
        <f>IFERROR(MATRIZ_174!Y84,0)</f>
        <v>0</v>
      </c>
      <c r="AH85" s="22">
        <f>IFERROR(MATRIZ_174!Z84,0)</f>
        <v>0</v>
      </c>
      <c r="AI85" s="17">
        <f>IFERROR(MATRIZ_174!AP84,"N/A")</f>
        <v>0</v>
      </c>
      <c r="AJ85" s="17" t="str">
        <f>IFERROR(MATRIZ_174!AO84,"N/A")</f>
        <v>N/A</v>
      </c>
      <c r="AK85" s="23" t="str">
        <f t="shared" si="31"/>
        <v>N/A</v>
      </c>
      <c r="AL85" s="24" t="str">
        <f t="shared" si="32"/>
        <v>—</v>
      </c>
    </row>
    <row r="86" spans="1:38" ht="16.05" customHeight="1" x14ac:dyDescent="0.3">
      <c r="A86" s="13" t="s">
        <v>254</v>
      </c>
      <c r="B86" s="14" t="s">
        <v>255</v>
      </c>
      <c r="C86" s="13" t="s">
        <v>77</v>
      </c>
      <c r="D86" s="15">
        <v>2677512.61</v>
      </c>
      <c r="E86" s="16" t="str">
        <f>IF(NORMALIZADO!CB85="","",NORMALIZADO!CB85)</f>
        <v/>
      </c>
      <c r="F86" s="17" t="str">
        <f>IF(NORMALIZADO!CC85="","",NORMALIZADO!CC85)</f>
        <v/>
      </c>
      <c r="G86" s="17">
        <f>IF(NORMALIZADO!CD85="",IFERROR(MATRIZ_174!U85*100,""),NORMALIZADO!CD85)</f>
        <v>100</v>
      </c>
      <c r="H86" s="16" t="str">
        <f>IF(NORMALIZADO!CE85="","",NORMALIZADO!CE85)</f>
        <v/>
      </c>
      <c r="I86" s="17" t="str">
        <f>IF(NORMALIZADO!CF85="","",NORMALIZADO!CF85)</f>
        <v/>
      </c>
      <c r="J86" s="17" t="str">
        <f>IF(NORMALIZADO!CG85="","",NORMALIZADO!CG85)</f>
        <v/>
      </c>
      <c r="K86" s="16" t="str">
        <f>IF(NORMALIZADO!CH85="","",NORMALIZADO!CH85)</f>
        <v/>
      </c>
      <c r="L86" s="16" t="str">
        <f>IF(NORMALIZADO!CI85="","",NORMALIZADO!CI85)</f>
        <v/>
      </c>
      <c r="M86" s="16" t="str">
        <f>IF(NORMALIZADO!CJ85="","",NORMALIZADO!CJ85)</f>
        <v/>
      </c>
      <c r="N86" s="16" t="str">
        <f>IF(NORMALIZADO!CK85="","",NORMALIZADO!CK85)</f>
        <v/>
      </c>
      <c r="O86" s="16" t="str">
        <f>IF(NORMALIZADO!CL85="","",NORMALIZADO!CL85)</f>
        <v/>
      </c>
      <c r="P86" s="17" t="str">
        <f t="shared" si="22"/>
        <v/>
      </c>
      <c r="Q86" s="17">
        <f t="shared" si="23"/>
        <v>0</v>
      </c>
      <c r="R86" s="17">
        <f t="shared" si="24"/>
        <v>0</v>
      </c>
      <c r="S86" s="17">
        <f t="shared" si="25"/>
        <v>0</v>
      </c>
      <c r="T86" s="17" t="str">
        <f>IF(ISNUMBER(MATRIZ_174!O85),IFERROR((K86+M86+MATRIZ_174!O85)/3,0),"")</f>
        <v/>
      </c>
      <c r="U86" s="18">
        <f>IF(ISNUMBER(MATRIZ_174!M85),MIN(100,ROUND(MATRIZ_174!M85,1)),"")</f>
        <v>50</v>
      </c>
      <c r="V86" s="18">
        <f t="shared" si="26"/>
        <v>50</v>
      </c>
      <c r="W86" s="18">
        <f>IFERROR(IF(MATRIZ_174!R85=0,65,IF(MATRIZ_174!R85/MATRIZ_174!Q85&gt;=2,35,IF(MATRIZ_174!R85/MATRIZ_174!Q85&gt;=0.5,50,65))),65)</f>
        <v>65</v>
      </c>
      <c r="X86" s="18" t="str">
        <f>IF(ISNUMBER(MATRIZ_174!O85),MIN(100,IF(MATRIZ_174!O85=0,70,30)+IF(MATRIZ_174!U85="",0,0.3*(100-MATRIZ_174!U85*100))),"")</f>
        <v/>
      </c>
      <c r="Y86" s="18">
        <f>IF(OR(MATRIZ_174!P85="ASOCIACION",MATRIZ_174!P85="PENDIENTE"),65,40)</f>
        <v>65</v>
      </c>
      <c r="Z86" s="19" t="str">
        <f t="shared" si="27"/>
        <v>—</v>
      </c>
      <c r="AA86" s="20">
        <f t="shared" si="28"/>
        <v>57.5</v>
      </c>
      <c r="AB86" s="21" t="str">
        <f t="shared" si="29"/>
        <v>—</v>
      </c>
      <c r="AC86" s="13" t="str">
        <f t="shared" si="30"/>
        <v>⬜  Pendiente de instrumento</v>
      </c>
      <c r="AD86" s="13" t="str">
        <f>IF(MATRIZ_174!U85="","",IF(MATRIZ_174!U85=0,"🚫  Inh. vigente OSCE",""))</f>
        <v/>
      </c>
      <c r="AE86" s="22">
        <f>IFERROR(MATRIZ_174!W85,0)</f>
        <v>1</v>
      </c>
      <c r="AF86" s="22">
        <f>IFERROR(MATRIZ_174!X85,0)</f>
        <v>0</v>
      </c>
      <c r="AG86" s="22">
        <f>IFERROR(MATRIZ_174!Y85,0)</f>
        <v>0</v>
      </c>
      <c r="AH86" s="22">
        <f>IFERROR(MATRIZ_174!Z85,0)</f>
        <v>0</v>
      </c>
      <c r="AI86" s="17">
        <f>IFERROR(MATRIZ_174!AP85,"N/A")</f>
        <v>0.3125</v>
      </c>
      <c r="AJ86" s="17" t="str">
        <f>IFERROR(MATRIZ_174!AO85,"N/A")</f>
        <v>N/A</v>
      </c>
      <c r="AK86" s="23" t="str">
        <f t="shared" si="31"/>
        <v>N/A</v>
      </c>
      <c r="AL86" s="24" t="str">
        <f t="shared" si="32"/>
        <v>—</v>
      </c>
    </row>
    <row r="87" spans="1:38" ht="16.05" customHeight="1" x14ac:dyDescent="0.3">
      <c r="A87" s="13" t="s">
        <v>256</v>
      </c>
      <c r="B87" s="14" t="s">
        <v>257</v>
      </c>
      <c r="C87" s="13" t="s">
        <v>249</v>
      </c>
      <c r="D87" s="15">
        <v>0</v>
      </c>
      <c r="E87" s="16" t="str">
        <f>IF(NORMALIZADO!CB86="","",NORMALIZADO!CB86)</f>
        <v/>
      </c>
      <c r="F87" s="17" t="str">
        <f>IF(NORMALIZADO!CC86="","",NORMALIZADO!CC86)</f>
        <v/>
      </c>
      <c r="G87" s="17">
        <f>IF(NORMALIZADO!CD86="",IFERROR(MATRIZ_174!U86*100,""),NORMALIZADO!CD86)</f>
        <v>100</v>
      </c>
      <c r="H87" s="16" t="str">
        <f>IF(NORMALIZADO!CE86="","",NORMALIZADO!CE86)</f>
        <v/>
      </c>
      <c r="I87" s="17" t="str">
        <f>IF(NORMALIZADO!CF86="","",NORMALIZADO!CF86)</f>
        <v/>
      </c>
      <c r="J87" s="17" t="str">
        <f>IF(NORMALIZADO!CG86="","",NORMALIZADO!CG86)</f>
        <v/>
      </c>
      <c r="K87" s="16" t="str">
        <f>IF(NORMALIZADO!CH86="","",NORMALIZADO!CH86)</f>
        <v/>
      </c>
      <c r="L87" s="16" t="str">
        <f>IF(NORMALIZADO!CI86="","",NORMALIZADO!CI86)</f>
        <v/>
      </c>
      <c r="M87" s="16" t="str">
        <f>IF(NORMALIZADO!CJ86="","",NORMALIZADO!CJ86)</f>
        <v/>
      </c>
      <c r="N87" s="16" t="str">
        <f>IF(NORMALIZADO!CK86="","",NORMALIZADO!CK86)</f>
        <v/>
      </c>
      <c r="O87" s="16" t="str">
        <f>IF(NORMALIZADO!CL86="","",NORMALIZADO!CL86)</f>
        <v/>
      </c>
      <c r="P87" s="17" t="str">
        <f t="shared" si="22"/>
        <v/>
      </c>
      <c r="Q87" s="17">
        <f t="shared" si="23"/>
        <v>0</v>
      </c>
      <c r="R87" s="17">
        <f t="shared" si="24"/>
        <v>0</v>
      </c>
      <c r="S87" s="17">
        <f t="shared" si="25"/>
        <v>0</v>
      </c>
      <c r="T87" s="17" t="str">
        <f>IF(ISNUMBER(MATRIZ_174!O86),IFERROR((K87+M87+MATRIZ_174!O86)/3,0),"")</f>
        <v/>
      </c>
      <c r="U87" s="18" t="str">
        <f>IF(ISNUMBER(MATRIZ_174!M86),MIN(100,ROUND(MATRIZ_174!M86,1)),"")</f>
        <v/>
      </c>
      <c r="V87" s="18">
        <f t="shared" si="26"/>
        <v>50</v>
      </c>
      <c r="W87" s="18">
        <f>IFERROR(IF(MATRIZ_174!R86=0,65,IF(MATRIZ_174!R86/MATRIZ_174!Q86&gt;=2,35,IF(MATRIZ_174!R86/MATRIZ_174!Q86&gt;=0.5,50,65))),65)</f>
        <v>65</v>
      </c>
      <c r="X87" s="18" t="str">
        <f>IF(ISNUMBER(MATRIZ_174!O86),MIN(100,IF(MATRIZ_174!O86=0,70,30)+IF(MATRIZ_174!U86="",0,0.3*(100-MATRIZ_174!U86*100))),"")</f>
        <v/>
      </c>
      <c r="Y87" s="18">
        <f>IF(OR(MATRIZ_174!P86="ASOCIACION",MATRIZ_174!P86="PENDIENTE"),65,40)</f>
        <v>65</v>
      </c>
      <c r="Z87" s="19" t="str">
        <f t="shared" si="27"/>
        <v>—</v>
      </c>
      <c r="AA87" s="20">
        <f t="shared" si="28"/>
        <v>60</v>
      </c>
      <c r="AB87" s="21" t="str">
        <f t="shared" si="29"/>
        <v>—</v>
      </c>
      <c r="AC87" s="13" t="str">
        <f t="shared" si="30"/>
        <v>⬜  Pendiente de instrumento</v>
      </c>
      <c r="AD87" s="13" t="str">
        <f>IF(MATRIZ_174!U86="","",IF(MATRIZ_174!U86=0,"🚫  Inh. vigente OSCE",""))</f>
        <v/>
      </c>
      <c r="AE87" s="22">
        <f>IFERROR(MATRIZ_174!W86,0)</f>
        <v>0</v>
      </c>
      <c r="AF87" s="22">
        <f>IFERROR(MATRIZ_174!X86,0)</f>
        <v>0</v>
      </c>
      <c r="AG87" s="22">
        <f>IFERROR(MATRIZ_174!Y86,0)</f>
        <v>0</v>
      </c>
      <c r="AH87" s="22">
        <f>IFERROR(MATRIZ_174!Z86,0)</f>
        <v>0</v>
      </c>
      <c r="AI87" s="17">
        <f>IFERROR(MATRIZ_174!AP86,"N/A")</f>
        <v>0</v>
      </c>
      <c r="AJ87" s="17" t="str">
        <f>IFERROR(MATRIZ_174!AO86,"N/A")</f>
        <v>N/A</v>
      </c>
      <c r="AK87" s="23" t="str">
        <f t="shared" si="31"/>
        <v>N/A</v>
      </c>
      <c r="AL87" s="24" t="str">
        <f t="shared" si="32"/>
        <v>—</v>
      </c>
    </row>
    <row r="88" spans="1:38" ht="16.05" customHeight="1" x14ac:dyDescent="0.3">
      <c r="A88" s="13" t="s">
        <v>258</v>
      </c>
      <c r="B88" s="14" t="s">
        <v>259</v>
      </c>
      <c r="C88" s="13" t="s">
        <v>249</v>
      </c>
      <c r="D88" s="15">
        <v>0</v>
      </c>
      <c r="E88" s="16" t="str">
        <f>IF(NORMALIZADO!CB87="","",NORMALIZADO!CB87)</f>
        <v/>
      </c>
      <c r="F88" s="17" t="str">
        <f>IF(NORMALIZADO!CC87="","",NORMALIZADO!CC87)</f>
        <v/>
      </c>
      <c r="G88" s="17">
        <f>IF(NORMALIZADO!CD87="",IFERROR(MATRIZ_174!U87*100,""),NORMALIZADO!CD87)</f>
        <v>100</v>
      </c>
      <c r="H88" s="16" t="str">
        <f>IF(NORMALIZADO!CE87="","",NORMALIZADO!CE87)</f>
        <v/>
      </c>
      <c r="I88" s="17" t="str">
        <f>IF(NORMALIZADO!CF87="","",NORMALIZADO!CF87)</f>
        <v/>
      </c>
      <c r="J88" s="17" t="str">
        <f>IF(NORMALIZADO!CG87="","",NORMALIZADO!CG87)</f>
        <v/>
      </c>
      <c r="K88" s="16" t="str">
        <f>IF(NORMALIZADO!CH87="","",NORMALIZADO!CH87)</f>
        <v/>
      </c>
      <c r="L88" s="16" t="str">
        <f>IF(NORMALIZADO!CI87="","",NORMALIZADO!CI87)</f>
        <v/>
      </c>
      <c r="M88" s="16" t="str">
        <f>IF(NORMALIZADO!CJ87="","",NORMALIZADO!CJ87)</f>
        <v/>
      </c>
      <c r="N88" s="16" t="str">
        <f>IF(NORMALIZADO!CK87="","",NORMALIZADO!CK87)</f>
        <v/>
      </c>
      <c r="O88" s="16" t="str">
        <f>IF(NORMALIZADO!CL87="","",NORMALIZADO!CL87)</f>
        <v/>
      </c>
      <c r="P88" s="17" t="str">
        <f t="shared" si="22"/>
        <v/>
      </c>
      <c r="Q88" s="17">
        <f t="shared" si="23"/>
        <v>0</v>
      </c>
      <c r="R88" s="17">
        <f t="shared" si="24"/>
        <v>0</v>
      </c>
      <c r="S88" s="17">
        <f t="shared" si="25"/>
        <v>0</v>
      </c>
      <c r="T88" s="17" t="str">
        <f>IF(ISNUMBER(MATRIZ_174!O87),IFERROR((K88+M88+MATRIZ_174!O87)/3,0),"")</f>
        <v/>
      </c>
      <c r="U88" s="18" t="str">
        <f>IF(ISNUMBER(MATRIZ_174!M87),MIN(100,ROUND(MATRIZ_174!M87,1)),"")</f>
        <v/>
      </c>
      <c r="V88" s="18">
        <f t="shared" si="26"/>
        <v>50</v>
      </c>
      <c r="W88" s="18">
        <f>IFERROR(IF(MATRIZ_174!R87=0,65,IF(MATRIZ_174!R87/MATRIZ_174!Q87&gt;=2,35,IF(MATRIZ_174!R87/MATRIZ_174!Q87&gt;=0.5,50,65))),65)</f>
        <v>65</v>
      </c>
      <c r="X88" s="18" t="str">
        <f>IF(ISNUMBER(MATRIZ_174!O87),MIN(100,IF(MATRIZ_174!O87=0,70,30)+IF(MATRIZ_174!U87="",0,0.3*(100-MATRIZ_174!U87*100))),"")</f>
        <v/>
      </c>
      <c r="Y88" s="18">
        <f>IF(OR(MATRIZ_174!P87="ASOCIACION",MATRIZ_174!P87="PENDIENTE"),65,40)</f>
        <v>65</v>
      </c>
      <c r="Z88" s="19" t="str">
        <f t="shared" si="27"/>
        <v>—</v>
      </c>
      <c r="AA88" s="20">
        <f t="shared" si="28"/>
        <v>60</v>
      </c>
      <c r="AB88" s="21" t="str">
        <f t="shared" si="29"/>
        <v>—</v>
      </c>
      <c r="AC88" s="13" t="str">
        <f t="shared" si="30"/>
        <v>⬜  Pendiente de instrumento</v>
      </c>
      <c r="AD88" s="13" t="str">
        <f>IF(MATRIZ_174!U87="","",IF(MATRIZ_174!U87=0,"🚫  Inh. vigente OSCE",""))</f>
        <v/>
      </c>
      <c r="AE88" s="22">
        <f>IFERROR(MATRIZ_174!W87,0)</f>
        <v>0</v>
      </c>
      <c r="AF88" s="22">
        <f>IFERROR(MATRIZ_174!X87,0)</f>
        <v>0</v>
      </c>
      <c r="AG88" s="22">
        <f>IFERROR(MATRIZ_174!Y87,0)</f>
        <v>0</v>
      </c>
      <c r="AH88" s="22">
        <f>IFERROR(MATRIZ_174!Z87,0)</f>
        <v>0</v>
      </c>
      <c r="AI88" s="17">
        <f>IFERROR(MATRIZ_174!AP87,"N/A")</f>
        <v>0</v>
      </c>
      <c r="AJ88" s="17" t="str">
        <f>IFERROR(MATRIZ_174!AO87,"N/A")</f>
        <v>N/A</v>
      </c>
      <c r="AK88" s="23" t="str">
        <f t="shared" si="31"/>
        <v>N/A</v>
      </c>
      <c r="AL88" s="24" t="str">
        <f t="shared" si="32"/>
        <v>—</v>
      </c>
    </row>
    <row r="89" spans="1:38" ht="16.05" customHeight="1" x14ac:dyDescent="0.3">
      <c r="A89" s="13" t="s">
        <v>260</v>
      </c>
      <c r="B89" s="14" t="s">
        <v>261</v>
      </c>
      <c r="C89" s="13" t="s">
        <v>249</v>
      </c>
      <c r="D89" s="15">
        <v>0</v>
      </c>
      <c r="E89" s="16" t="str">
        <f>IF(NORMALIZADO!CB88="","",NORMALIZADO!CB88)</f>
        <v/>
      </c>
      <c r="F89" s="17" t="str">
        <f>IF(NORMALIZADO!CC88="","",NORMALIZADO!CC88)</f>
        <v/>
      </c>
      <c r="G89" s="17">
        <f>IF(NORMALIZADO!CD88="",IFERROR(MATRIZ_174!U88*100,""),NORMALIZADO!CD88)</f>
        <v>100</v>
      </c>
      <c r="H89" s="16" t="str">
        <f>IF(NORMALIZADO!CE88="","",NORMALIZADO!CE88)</f>
        <v/>
      </c>
      <c r="I89" s="17" t="str">
        <f>IF(NORMALIZADO!CF88="","",NORMALIZADO!CF88)</f>
        <v/>
      </c>
      <c r="J89" s="17" t="str">
        <f>IF(NORMALIZADO!CG88="","",NORMALIZADO!CG88)</f>
        <v/>
      </c>
      <c r="K89" s="16" t="str">
        <f>IF(NORMALIZADO!CH88="","",NORMALIZADO!CH88)</f>
        <v/>
      </c>
      <c r="L89" s="16" t="str">
        <f>IF(NORMALIZADO!CI88="","",NORMALIZADO!CI88)</f>
        <v/>
      </c>
      <c r="M89" s="16" t="str">
        <f>IF(NORMALIZADO!CJ88="","",NORMALIZADO!CJ88)</f>
        <v/>
      </c>
      <c r="N89" s="16" t="str">
        <f>IF(NORMALIZADO!CK88="","",NORMALIZADO!CK88)</f>
        <v/>
      </c>
      <c r="O89" s="16" t="str">
        <f>IF(NORMALIZADO!CL88="","",NORMALIZADO!CL88)</f>
        <v/>
      </c>
      <c r="P89" s="17" t="str">
        <f t="shared" si="22"/>
        <v/>
      </c>
      <c r="Q89" s="17">
        <f t="shared" si="23"/>
        <v>0</v>
      </c>
      <c r="R89" s="17">
        <f t="shared" si="24"/>
        <v>0</v>
      </c>
      <c r="S89" s="17">
        <f t="shared" si="25"/>
        <v>0</v>
      </c>
      <c r="T89" s="17" t="str">
        <f>IF(ISNUMBER(MATRIZ_174!O88),IFERROR((K89+M89+MATRIZ_174!O88)/3,0),"")</f>
        <v/>
      </c>
      <c r="U89" s="18" t="str">
        <f>IF(ISNUMBER(MATRIZ_174!M88),MIN(100,ROUND(MATRIZ_174!M88,1)),"")</f>
        <v/>
      </c>
      <c r="V89" s="18">
        <f t="shared" si="26"/>
        <v>50</v>
      </c>
      <c r="W89" s="18">
        <f>IFERROR(IF(MATRIZ_174!R88=0,65,IF(MATRIZ_174!R88/MATRIZ_174!Q88&gt;=2,35,IF(MATRIZ_174!R88/MATRIZ_174!Q88&gt;=0.5,50,65))),65)</f>
        <v>65</v>
      </c>
      <c r="X89" s="18" t="str">
        <f>IF(ISNUMBER(MATRIZ_174!O88),MIN(100,IF(MATRIZ_174!O88=0,70,30)+IF(MATRIZ_174!U88="",0,0.3*(100-MATRIZ_174!U88*100))),"")</f>
        <v/>
      </c>
      <c r="Y89" s="18">
        <f>IF(OR(MATRIZ_174!P88="ASOCIACION",MATRIZ_174!P88="PENDIENTE"),65,40)</f>
        <v>65</v>
      </c>
      <c r="Z89" s="19" t="str">
        <f t="shared" si="27"/>
        <v>—</v>
      </c>
      <c r="AA89" s="20">
        <f t="shared" si="28"/>
        <v>60</v>
      </c>
      <c r="AB89" s="21" t="str">
        <f t="shared" si="29"/>
        <v>—</v>
      </c>
      <c r="AC89" s="13" t="str">
        <f t="shared" si="30"/>
        <v>⬜  Pendiente de instrumento</v>
      </c>
      <c r="AD89" s="13" t="str">
        <f>IF(MATRIZ_174!U88="","",IF(MATRIZ_174!U88=0,"🚫  Inh. vigente OSCE",""))</f>
        <v/>
      </c>
      <c r="AE89" s="22">
        <f>IFERROR(MATRIZ_174!W88,0)</f>
        <v>0</v>
      </c>
      <c r="AF89" s="22">
        <f>IFERROR(MATRIZ_174!X88,0)</f>
        <v>0</v>
      </c>
      <c r="AG89" s="22">
        <f>IFERROR(MATRIZ_174!Y88,0)</f>
        <v>0</v>
      </c>
      <c r="AH89" s="22">
        <f>IFERROR(MATRIZ_174!Z88,0)</f>
        <v>0</v>
      </c>
      <c r="AI89" s="17">
        <f>IFERROR(MATRIZ_174!AP88,"N/A")</f>
        <v>0</v>
      </c>
      <c r="AJ89" s="17" t="str">
        <f>IFERROR(MATRIZ_174!AO88,"N/A")</f>
        <v>N/A</v>
      </c>
      <c r="AK89" s="23" t="str">
        <f t="shared" si="31"/>
        <v>N/A</v>
      </c>
      <c r="AL89" s="24" t="str">
        <f t="shared" si="32"/>
        <v>—</v>
      </c>
    </row>
    <row r="90" spans="1:38" ht="16.05" customHeight="1" x14ac:dyDescent="0.3">
      <c r="A90" s="13" t="s">
        <v>262</v>
      </c>
      <c r="B90" s="14" t="s">
        <v>263</v>
      </c>
      <c r="C90" s="13" t="s">
        <v>249</v>
      </c>
      <c r="D90" s="15">
        <v>0</v>
      </c>
      <c r="E90" s="16" t="str">
        <f>IF(NORMALIZADO!CB89="","",NORMALIZADO!CB89)</f>
        <v/>
      </c>
      <c r="F90" s="17" t="str">
        <f>IF(NORMALIZADO!CC89="","",NORMALIZADO!CC89)</f>
        <v/>
      </c>
      <c r="G90" s="17">
        <f>IF(NORMALIZADO!CD89="",IFERROR(MATRIZ_174!U89*100,""),NORMALIZADO!CD89)</f>
        <v>100</v>
      </c>
      <c r="H90" s="16" t="str">
        <f>IF(NORMALIZADO!CE89="","",NORMALIZADO!CE89)</f>
        <v/>
      </c>
      <c r="I90" s="17" t="str">
        <f>IF(NORMALIZADO!CF89="","",NORMALIZADO!CF89)</f>
        <v/>
      </c>
      <c r="J90" s="17" t="str">
        <f>IF(NORMALIZADO!CG89="","",NORMALIZADO!CG89)</f>
        <v/>
      </c>
      <c r="K90" s="16" t="str">
        <f>IF(NORMALIZADO!CH89="","",NORMALIZADO!CH89)</f>
        <v/>
      </c>
      <c r="L90" s="16" t="str">
        <f>IF(NORMALIZADO!CI89="","",NORMALIZADO!CI89)</f>
        <v/>
      </c>
      <c r="M90" s="16" t="str">
        <f>IF(NORMALIZADO!CJ89="","",NORMALIZADO!CJ89)</f>
        <v/>
      </c>
      <c r="N90" s="16" t="str">
        <f>IF(NORMALIZADO!CK89="","",NORMALIZADO!CK89)</f>
        <v/>
      </c>
      <c r="O90" s="16" t="str">
        <f>IF(NORMALIZADO!CL89="","",NORMALIZADO!CL89)</f>
        <v/>
      </c>
      <c r="P90" s="17" t="str">
        <f t="shared" si="22"/>
        <v/>
      </c>
      <c r="Q90" s="17">
        <f t="shared" si="23"/>
        <v>0</v>
      </c>
      <c r="R90" s="17">
        <f t="shared" si="24"/>
        <v>0</v>
      </c>
      <c r="S90" s="17">
        <f t="shared" si="25"/>
        <v>0</v>
      </c>
      <c r="T90" s="17" t="str">
        <f>IF(ISNUMBER(MATRIZ_174!O89),IFERROR((K90+M90+MATRIZ_174!O89)/3,0),"")</f>
        <v/>
      </c>
      <c r="U90" s="18" t="str">
        <f>IF(ISNUMBER(MATRIZ_174!M89),MIN(100,ROUND(MATRIZ_174!M89,1)),"")</f>
        <v/>
      </c>
      <c r="V90" s="18">
        <f t="shared" si="26"/>
        <v>50</v>
      </c>
      <c r="W90" s="18">
        <f>IFERROR(IF(MATRIZ_174!R89=0,65,IF(MATRIZ_174!R89/MATRIZ_174!Q89&gt;=2,35,IF(MATRIZ_174!R89/MATRIZ_174!Q89&gt;=0.5,50,65))),65)</f>
        <v>65</v>
      </c>
      <c r="X90" s="18" t="str">
        <f>IF(ISNUMBER(MATRIZ_174!O89),MIN(100,IF(MATRIZ_174!O89=0,70,30)+IF(MATRIZ_174!U89="",0,0.3*(100-MATRIZ_174!U89*100))),"")</f>
        <v/>
      </c>
      <c r="Y90" s="18">
        <f>IF(OR(MATRIZ_174!P89="ASOCIACION",MATRIZ_174!P89="PENDIENTE"),65,40)</f>
        <v>65</v>
      </c>
      <c r="Z90" s="19" t="str">
        <f t="shared" si="27"/>
        <v>—</v>
      </c>
      <c r="AA90" s="20">
        <f t="shared" si="28"/>
        <v>60</v>
      </c>
      <c r="AB90" s="21" t="str">
        <f t="shared" si="29"/>
        <v>—</v>
      </c>
      <c r="AC90" s="13" t="str">
        <f t="shared" si="30"/>
        <v>⬜  Pendiente de instrumento</v>
      </c>
      <c r="AD90" s="13" t="str">
        <f>IF(MATRIZ_174!U89="","",IF(MATRIZ_174!U89=0,"🚫  Inh. vigente OSCE",""))</f>
        <v/>
      </c>
      <c r="AE90" s="22">
        <f>IFERROR(MATRIZ_174!W89,0)</f>
        <v>0</v>
      </c>
      <c r="AF90" s="22">
        <f>IFERROR(MATRIZ_174!X89,0)</f>
        <v>0</v>
      </c>
      <c r="AG90" s="22">
        <f>IFERROR(MATRIZ_174!Y89,0)</f>
        <v>0</v>
      </c>
      <c r="AH90" s="22">
        <f>IFERROR(MATRIZ_174!Z89,0)</f>
        <v>0</v>
      </c>
      <c r="AI90" s="17">
        <f>IFERROR(MATRIZ_174!AP89,"N/A")</f>
        <v>0</v>
      </c>
      <c r="AJ90" s="17" t="str">
        <f>IFERROR(MATRIZ_174!AO89,"N/A")</f>
        <v>N/A</v>
      </c>
      <c r="AK90" s="23" t="str">
        <f t="shared" si="31"/>
        <v>N/A</v>
      </c>
      <c r="AL90" s="24" t="str">
        <f t="shared" si="32"/>
        <v>—</v>
      </c>
    </row>
    <row r="91" spans="1:38" ht="16.05" customHeight="1" x14ac:dyDescent="0.3">
      <c r="A91" s="13" t="s">
        <v>264</v>
      </c>
      <c r="B91" s="14" t="s">
        <v>265</v>
      </c>
      <c r="C91" s="13" t="s">
        <v>77</v>
      </c>
      <c r="D91" s="15">
        <v>0</v>
      </c>
      <c r="E91" s="16" t="str">
        <f>IF(NORMALIZADO!CB90="","",NORMALIZADO!CB90)</f>
        <v/>
      </c>
      <c r="F91" s="17" t="str">
        <f>IF(NORMALIZADO!CC90="","",NORMALIZADO!CC90)</f>
        <v/>
      </c>
      <c r="G91" s="17">
        <f>IF(NORMALIZADO!CD90="",IFERROR(MATRIZ_174!U90*100,""),NORMALIZADO!CD90)</f>
        <v>100</v>
      </c>
      <c r="H91" s="16" t="str">
        <f>IF(NORMALIZADO!CE90="","",NORMALIZADO!CE90)</f>
        <v/>
      </c>
      <c r="I91" s="17" t="str">
        <f>IF(NORMALIZADO!CF90="","",NORMALIZADO!CF90)</f>
        <v/>
      </c>
      <c r="J91" s="17" t="str">
        <f>IF(NORMALIZADO!CG90="","",NORMALIZADO!CG90)</f>
        <v/>
      </c>
      <c r="K91" s="16" t="str">
        <f>IF(NORMALIZADO!CH90="","",NORMALIZADO!CH90)</f>
        <v/>
      </c>
      <c r="L91" s="16" t="str">
        <f>IF(NORMALIZADO!CI90="","",NORMALIZADO!CI90)</f>
        <v/>
      </c>
      <c r="M91" s="16" t="str">
        <f>IF(NORMALIZADO!CJ90="","",NORMALIZADO!CJ90)</f>
        <v/>
      </c>
      <c r="N91" s="16" t="str">
        <f>IF(NORMALIZADO!CK90="","",NORMALIZADO!CK90)</f>
        <v/>
      </c>
      <c r="O91" s="16" t="str">
        <f>IF(NORMALIZADO!CL90="","",NORMALIZADO!CL90)</f>
        <v/>
      </c>
      <c r="P91" s="17" t="str">
        <f t="shared" si="22"/>
        <v/>
      </c>
      <c r="Q91" s="17">
        <f t="shared" si="23"/>
        <v>0</v>
      </c>
      <c r="R91" s="17">
        <f t="shared" si="24"/>
        <v>0</v>
      </c>
      <c r="S91" s="17">
        <f t="shared" si="25"/>
        <v>0</v>
      </c>
      <c r="T91" s="17" t="str">
        <f>IF(ISNUMBER(MATRIZ_174!O90),IFERROR((K91+M91+MATRIZ_174!O90)/3,0),"")</f>
        <v/>
      </c>
      <c r="U91" s="18" t="str">
        <f>IF(ISNUMBER(MATRIZ_174!M90),MIN(100,ROUND(MATRIZ_174!M90,1)),"")</f>
        <v/>
      </c>
      <c r="V91" s="18">
        <f t="shared" si="26"/>
        <v>50</v>
      </c>
      <c r="W91" s="18">
        <f>IFERROR(IF(MATRIZ_174!R90=0,65,IF(MATRIZ_174!R90/MATRIZ_174!Q90&gt;=2,35,IF(MATRIZ_174!R90/MATRIZ_174!Q90&gt;=0.5,50,65))),65)</f>
        <v>65</v>
      </c>
      <c r="X91" s="18" t="str">
        <f>IF(ISNUMBER(MATRIZ_174!O90),MIN(100,IF(MATRIZ_174!O90=0,70,30)+IF(MATRIZ_174!U90="",0,0.3*(100-MATRIZ_174!U90*100))),"")</f>
        <v/>
      </c>
      <c r="Y91" s="18">
        <f>IF(OR(MATRIZ_174!P90="ASOCIACION",MATRIZ_174!P90="PENDIENTE"),65,40)</f>
        <v>65</v>
      </c>
      <c r="Z91" s="19" t="str">
        <f t="shared" si="27"/>
        <v>—</v>
      </c>
      <c r="AA91" s="20">
        <f t="shared" si="28"/>
        <v>60</v>
      </c>
      <c r="AB91" s="21" t="str">
        <f t="shared" si="29"/>
        <v>—</v>
      </c>
      <c r="AC91" s="13" t="str">
        <f t="shared" si="30"/>
        <v>⬜  Pendiente de instrumento</v>
      </c>
      <c r="AD91" s="13" t="str">
        <f>IF(MATRIZ_174!U90="","",IF(MATRIZ_174!U90=0,"🚫  Inh. vigente OSCE",""))</f>
        <v/>
      </c>
      <c r="AE91" s="22">
        <f>IFERROR(MATRIZ_174!W90,0)</f>
        <v>0</v>
      </c>
      <c r="AF91" s="22">
        <f>IFERROR(MATRIZ_174!X90,0)</f>
        <v>0</v>
      </c>
      <c r="AG91" s="22">
        <f>IFERROR(MATRIZ_174!Y90,0)</f>
        <v>0</v>
      </c>
      <c r="AH91" s="22">
        <f>IFERROR(MATRIZ_174!Z90,0)</f>
        <v>0</v>
      </c>
      <c r="AI91" s="17">
        <f>IFERROR(MATRIZ_174!AP90,"N/A")</f>
        <v>0</v>
      </c>
      <c r="AJ91" s="17" t="str">
        <f>IFERROR(MATRIZ_174!AO90,"N/A")</f>
        <v>N/A</v>
      </c>
      <c r="AK91" s="23" t="str">
        <f t="shared" si="31"/>
        <v>N/A</v>
      </c>
      <c r="AL91" s="24" t="str">
        <f t="shared" si="32"/>
        <v>—</v>
      </c>
    </row>
    <row r="92" spans="1:38" ht="16.05" customHeight="1" x14ac:dyDescent="0.3">
      <c r="A92" s="13" t="s">
        <v>266</v>
      </c>
      <c r="B92" s="14" t="s">
        <v>267</v>
      </c>
      <c r="C92" s="13" t="s">
        <v>77</v>
      </c>
      <c r="D92" s="15">
        <v>0</v>
      </c>
      <c r="E92" s="16" t="str">
        <f>IF(NORMALIZADO!CB91="","",NORMALIZADO!CB91)</f>
        <v/>
      </c>
      <c r="F92" s="17" t="str">
        <f>IF(NORMALIZADO!CC91="","",NORMALIZADO!CC91)</f>
        <v/>
      </c>
      <c r="G92" s="17">
        <f>IF(NORMALIZADO!CD91="",IFERROR(MATRIZ_174!U91*100,""),NORMALIZADO!CD91)</f>
        <v>100</v>
      </c>
      <c r="H92" s="16" t="str">
        <f>IF(NORMALIZADO!CE91="","",NORMALIZADO!CE91)</f>
        <v/>
      </c>
      <c r="I92" s="17" t="str">
        <f>IF(NORMALIZADO!CF91="","",NORMALIZADO!CF91)</f>
        <v/>
      </c>
      <c r="J92" s="17" t="str">
        <f>IF(NORMALIZADO!CG91="","",NORMALIZADO!CG91)</f>
        <v/>
      </c>
      <c r="K92" s="16" t="str">
        <f>IF(NORMALIZADO!CH91="","",NORMALIZADO!CH91)</f>
        <v/>
      </c>
      <c r="L92" s="16" t="str">
        <f>IF(NORMALIZADO!CI91="","",NORMALIZADO!CI91)</f>
        <v/>
      </c>
      <c r="M92" s="16" t="str">
        <f>IF(NORMALIZADO!CJ91="","",NORMALIZADO!CJ91)</f>
        <v/>
      </c>
      <c r="N92" s="16" t="str">
        <f>IF(NORMALIZADO!CK91="","",NORMALIZADO!CK91)</f>
        <v/>
      </c>
      <c r="O92" s="16" t="str">
        <f>IF(NORMALIZADO!CL91="","",NORMALIZADO!CL91)</f>
        <v/>
      </c>
      <c r="P92" s="17" t="str">
        <f t="shared" si="22"/>
        <v/>
      </c>
      <c r="Q92" s="17">
        <f t="shared" si="23"/>
        <v>0</v>
      </c>
      <c r="R92" s="17">
        <f t="shared" si="24"/>
        <v>0</v>
      </c>
      <c r="S92" s="17">
        <f t="shared" si="25"/>
        <v>0</v>
      </c>
      <c r="T92" s="17" t="str">
        <f>IF(ISNUMBER(MATRIZ_174!O91),IFERROR((K92+M92+MATRIZ_174!O91)/3,0),"")</f>
        <v/>
      </c>
      <c r="U92" s="18" t="str">
        <f>IF(ISNUMBER(MATRIZ_174!M91),MIN(100,ROUND(MATRIZ_174!M91,1)),"")</f>
        <v/>
      </c>
      <c r="V92" s="18">
        <f t="shared" si="26"/>
        <v>50</v>
      </c>
      <c r="W92" s="18">
        <f>IFERROR(IF(MATRIZ_174!R91=0,65,IF(MATRIZ_174!R91/MATRIZ_174!Q91&gt;=2,35,IF(MATRIZ_174!R91/MATRIZ_174!Q91&gt;=0.5,50,65))),65)</f>
        <v>65</v>
      </c>
      <c r="X92" s="18" t="str">
        <f>IF(ISNUMBER(MATRIZ_174!O91),MIN(100,IF(MATRIZ_174!O91=0,70,30)+IF(MATRIZ_174!U91="",0,0.3*(100-MATRIZ_174!U91*100))),"")</f>
        <v/>
      </c>
      <c r="Y92" s="18">
        <f>IF(OR(MATRIZ_174!P91="ASOCIACION",MATRIZ_174!P91="PENDIENTE"),65,40)</f>
        <v>65</v>
      </c>
      <c r="Z92" s="19" t="str">
        <f t="shared" si="27"/>
        <v>—</v>
      </c>
      <c r="AA92" s="20">
        <f t="shared" si="28"/>
        <v>60</v>
      </c>
      <c r="AB92" s="21" t="str">
        <f t="shared" si="29"/>
        <v>—</v>
      </c>
      <c r="AC92" s="13" t="str">
        <f t="shared" si="30"/>
        <v>⬜  Pendiente de instrumento</v>
      </c>
      <c r="AD92" s="13" t="str">
        <f>IF(MATRIZ_174!U91="","",IF(MATRIZ_174!U91=0,"🚫  Inh. vigente OSCE",""))</f>
        <v/>
      </c>
      <c r="AE92" s="22">
        <f>IFERROR(MATRIZ_174!W91,0)</f>
        <v>0</v>
      </c>
      <c r="AF92" s="22">
        <f>IFERROR(MATRIZ_174!X91,0)</f>
        <v>0</v>
      </c>
      <c r="AG92" s="22">
        <f>IFERROR(MATRIZ_174!Y91,0)</f>
        <v>0</v>
      </c>
      <c r="AH92" s="22">
        <f>IFERROR(MATRIZ_174!Z91,0)</f>
        <v>0</v>
      </c>
      <c r="AI92" s="17">
        <f>IFERROR(MATRIZ_174!AP91,"N/A")</f>
        <v>0</v>
      </c>
      <c r="AJ92" s="17" t="str">
        <f>IFERROR(MATRIZ_174!AO91,"N/A")</f>
        <v>N/A</v>
      </c>
      <c r="AK92" s="23" t="str">
        <f t="shared" si="31"/>
        <v>N/A</v>
      </c>
      <c r="AL92" s="24" t="str">
        <f t="shared" si="32"/>
        <v>—</v>
      </c>
    </row>
    <row r="93" spans="1:38" ht="16.05" customHeight="1" x14ac:dyDescent="0.3">
      <c r="A93" s="13" t="s">
        <v>268</v>
      </c>
      <c r="B93" s="14" t="s">
        <v>269</v>
      </c>
      <c r="C93" s="13" t="s">
        <v>150</v>
      </c>
      <c r="D93" s="15">
        <v>4792670.9000000004</v>
      </c>
      <c r="E93" s="16" t="str">
        <f>IF(NORMALIZADO!CB92="","",NORMALIZADO!CB92)</f>
        <v/>
      </c>
      <c r="F93" s="17" t="str">
        <f>IF(NORMALIZADO!CC92="","",NORMALIZADO!CC92)</f>
        <v/>
      </c>
      <c r="G93" s="17">
        <f>IF(NORMALIZADO!CD92="",IFERROR(MATRIZ_174!U92*100,""),NORMALIZADO!CD92)</f>
        <v>100</v>
      </c>
      <c r="H93" s="16" t="str">
        <f>IF(NORMALIZADO!CE92="","",NORMALIZADO!CE92)</f>
        <v/>
      </c>
      <c r="I93" s="17" t="str">
        <f>IF(NORMALIZADO!CF92="","",NORMALIZADO!CF92)</f>
        <v/>
      </c>
      <c r="J93" s="17" t="str">
        <f>IF(NORMALIZADO!CG92="","",NORMALIZADO!CG92)</f>
        <v/>
      </c>
      <c r="K93" s="16" t="str">
        <f>IF(NORMALIZADO!CH92="","",NORMALIZADO!CH92)</f>
        <v/>
      </c>
      <c r="L93" s="16" t="str">
        <f>IF(NORMALIZADO!CI92="","",NORMALIZADO!CI92)</f>
        <v/>
      </c>
      <c r="M93" s="16" t="str">
        <f>IF(NORMALIZADO!CJ92="","",NORMALIZADO!CJ92)</f>
        <v/>
      </c>
      <c r="N93" s="16" t="str">
        <f>IF(NORMALIZADO!CK92="","",NORMALIZADO!CK92)</f>
        <v/>
      </c>
      <c r="O93" s="16" t="str">
        <f>IF(NORMALIZADO!CL92="","",NORMALIZADO!CL92)</f>
        <v/>
      </c>
      <c r="P93" s="17" t="str">
        <f t="shared" si="22"/>
        <v/>
      </c>
      <c r="Q93" s="17">
        <f t="shared" si="23"/>
        <v>0</v>
      </c>
      <c r="R93" s="17">
        <f t="shared" si="24"/>
        <v>0</v>
      </c>
      <c r="S93" s="17">
        <f t="shared" si="25"/>
        <v>0</v>
      </c>
      <c r="T93" s="17" t="str">
        <f>IF(ISNUMBER(MATRIZ_174!O92),IFERROR((K93+M93+MATRIZ_174!O92)/3,0),"")</f>
        <v/>
      </c>
      <c r="U93" s="18">
        <f>IF(ISNUMBER(MATRIZ_174!M92),MIN(100,ROUND(MATRIZ_174!M92,1)),"")</f>
        <v>50</v>
      </c>
      <c r="V93" s="18">
        <f t="shared" si="26"/>
        <v>50</v>
      </c>
      <c r="W93" s="18">
        <f>IFERROR(IF(MATRIZ_174!R92=0,65,IF(MATRIZ_174!R92/MATRIZ_174!Q92&gt;=2,35,IF(MATRIZ_174!R92/MATRIZ_174!Q92&gt;=0.5,50,65))),65)</f>
        <v>65</v>
      </c>
      <c r="X93" s="18" t="str">
        <f>IF(ISNUMBER(MATRIZ_174!O92),MIN(100,IF(MATRIZ_174!O92=0,70,30)+IF(MATRIZ_174!U92="",0,0.3*(100-MATRIZ_174!U92*100))),"")</f>
        <v/>
      </c>
      <c r="Y93" s="18">
        <f>IF(OR(MATRIZ_174!P92="ASOCIACION",MATRIZ_174!P92="PENDIENTE"),65,40)</f>
        <v>65</v>
      </c>
      <c r="Z93" s="19" t="str">
        <f t="shared" si="27"/>
        <v>—</v>
      </c>
      <c r="AA93" s="20">
        <f t="shared" si="28"/>
        <v>57.5</v>
      </c>
      <c r="AB93" s="21" t="str">
        <f t="shared" si="29"/>
        <v>—</v>
      </c>
      <c r="AC93" s="13" t="str">
        <f t="shared" si="30"/>
        <v>⬜  Pendiente de instrumento</v>
      </c>
      <c r="AD93" s="13" t="str">
        <f>IF(MATRIZ_174!U92="","",IF(MATRIZ_174!U92=0,"🚫  Inh. vigente OSCE",""))</f>
        <v/>
      </c>
      <c r="AE93" s="22">
        <f>IFERROR(MATRIZ_174!W92,0)</f>
        <v>1</v>
      </c>
      <c r="AF93" s="22">
        <f>IFERROR(MATRIZ_174!X92,0)</f>
        <v>0</v>
      </c>
      <c r="AG93" s="22">
        <f>IFERROR(MATRIZ_174!Y92,0)</f>
        <v>0</v>
      </c>
      <c r="AH93" s="22">
        <f>IFERROR(MATRIZ_174!Z92,0)</f>
        <v>0</v>
      </c>
      <c r="AI93" s="17">
        <f>IFERROR(MATRIZ_174!AP92,"N/A")</f>
        <v>0.3125</v>
      </c>
      <c r="AJ93" s="17" t="str">
        <f>IFERROR(MATRIZ_174!AO92,"N/A")</f>
        <v>N/A</v>
      </c>
      <c r="AK93" s="23" t="str">
        <f t="shared" si="31"/>
        <v>N/A</v>
      </c>
      <c r="AL93" s="24" t="str">
        <f t="shared" si="32"/>
        <v>—</v>
      </c>
    </row>
    <row r="94" spans="1:38" ht="16.05" customHeight="1" x14ac:dyDescent="0.3">
      <c r="A94" s="13" t="s">
        <v>270</v>
      </c>
      <c r="B94" s="14" t="s">
        <v>271</v>
      </c>
      <c r="C94" s="13" t="s">
        <v>139</v>
      </c>
      <c r="D94" s="15">
        <v>0</v>
      </c>
      <c r="E94" s="16" t="str">
        <f>IF(NORMALIZADO!CB93="","",NORMALIZADO!CB93)</f>
        <v/>
      </c>
      <c r="F94" s="17" t="str">
        <f>IF(NORMALIZADO!CC93="","",NORMALIZADO!CC93)</f>
        <v/>
      </c>
      <c r="G94" s="17">
        <f>IF(NORMALIZADO!CD93="",IFERROR(MATRIZ_174!U93*100,""),NORMALIZADO!CD93)</f>
        <v>100</v>
      </c>
      <c r="H94" s="16" t="str">
        <f>IF(NORMALIZADO!CE93="","",NORMALIZADO!CE93)</f>
        <v/>
      </c>
      <c r="I94" s="17" t="str">
        <f>IF(NORMALIZADO!CF93="","",NORMALIZADO!CF93)</f>
        <v/>
      </c>
      <c r="J94" s="17" t="str">
        <f>IF(NORMALIZADO!CG93="","",NORMALIZADO!CG93)</f>
        <v/>
      </c>
      <c r="K94" s="16" t="str">
        <f>IF(NORMALIZADO!CH93="","",NORMALIZADO!CH93)</f>
        <v/>
      </c>
      <c r="L94" s="16" t="str">
        <f>IF(NORMALIZADO!CI93="","",NORMALIZADO!CI93)</f>
        <v/>
      </c>
      <c r="M94" s="16" t="str">
        <f>IF(NORMALIZADO!CJ93="","",NORMALIZADO!CJ93)</f>
        <v/>
      </c>
      <c r="N94" s="16" t="str">
        <f>IF(NORMALIZADO!CK93="","",NORMALIZADO!CK93)</f>
        <v/>
      </c>
      <c r="O94" s="16" t="str">
        <f>IF(NORMALIZADO!CL93="","",NORMALIZADO!CL93)</f>
        <v/>
      </c>
      <c r="P94" s="17" t="str">
        <f t="shared" si="22"/>
        <v/>
      </c>
      <c r="Q94" s="17">
        <f t="shared" si="23"/>
        <v>0</v>
      </c>
      <c r="R94" s="17">
        <f t="shared" si="24"/>
        <v>0</v>
      </c>
      <c r="S94" s="17">
        <f t="shared" si="25"/>
        <v>0</v>
      </c>
      <c r="T94" s="17" t="str">
        <f>IF(ISNUMBER(MATRIZ_174!O93),IFERROR((K94+M94+MATRIZ_174!O93)/3,0),"")</f>
        <v/>
      </c>
      <c r="U94" s="18" t="str">
        <f>IF(ISNUMBER(MATRIZ_174!M93),MIN(100,ROUND(MATRIZ_174!M93,1)),"")</f>
        <v/>
      </c>
      <c r="V94" s="18">
        <f t="shared" si="26"/>
        <v>50</v>
      </c>
      <c r="W94" s="18">
        <f>IFERROR(IF(MATRIZ_174!R93=0,65,IF(MATRIZ_174!R93/MATRIZ_174!Q93&gt;=2,35,IF(MATRIZ_174!R93/MATRIZ_174!Q93&gt;=0.5,50,65))),65)</f>
        <v>65</v>
      </c>
      <c r="X94" s="18" t="str">
        <f>IF(ISNUMBER(MATRIZ_174!O93),MIN(100,IF(MATRIZ_174!O93=0,70,30)+IF(MATRIZ_174!U93="",0,0.3*(100-MATRIZ_174!U93*100))),"")</f>
        <v/>
      </c>
      <c r="Y94" s="18">
        <f>IF(OR(MATRIZ_174!P93="ASOCIACION",MATRIZ_174!P93="PENDIENTE"),65,40)</f>
        <v>65</v>
      </c>
      <c r="Z94" s="19" t="str">
        <f t="shared" si="27"/>
        <v>—</v>
      </c>
      <c r="AA94" s="20">
        <f t="shared" si="28"/>
        <v>60</v>
      </c>
      <c r="AB94" s="21" t="str">
        <f t="shared" si="29"/>
        <v>—</v>
      </c>
      <c r="AC94" s="13" t="str">
        <f t="shared" si="30"/>
        <v>⬜  Pendiente de instrumento</v>
      </c>
      <c r="AD94" s="13" t="str">
        <f>IF(MATRIZ_174!U93="","",IF(MATRIZ_174!U93=0,"🚫  Inh. vigente OSCE",""))</f>
        <v/>
      </c>
      <c r="AE94" s="22">
        <f>IFERROR(MATRIZ_174!W93,0)</f>
        <v>0</v>
      </c>
      <c r="AF94" s="22">
        <f>IFERROR(MATRIZ_174!X93,0)</f>
        <v>0</v>
      </c>
      <c r="AG94" s="22">
        <f>IFERROR(MATRIZ_174!Y93,0)</f>
        <v>0</v>
      </c>
      <c r="AH94" s="22">
        <f>IFERROR(MATRIZ_174!Z93,0)</f>
        <v>0</v>
      </c>
      <c r="AI94" s="17">
        <f>IFERROR(MATRIZ_174!AP93,"N/A")</f>
        <v>0</v>
      </c>
      <c r="AJ94" s="17" t="str">
        <f>IFERROR(MATRIZ_174!AO93,"N/A")</f>
        <v>N/A</v>
      </c>
      <c r="AK94" s="23" t="str">
        <f t="shared" si="31"/>
        <v>N/A</v>
      </c>
      <c r="AL94" s="24" t="str">
        <f t="shared" si="32"/>
        <v>—</v>
      </c>
    </row>
    <row r="95" spans="1:38" ht="16.05" customHeight="1" x14ac:dyDescent="0.3">
      <c r="A95" s="13" t="s">
        <v>272</v>
      </c>
      <c r="B95" s="14" t="s">
        <v>273</v>
      </c>
      <c r="C95" s="13" t="s">
        <v>139</v>
      </c>
      <c r="D95" s="15">
        <v>1888972.42</v>
      </c>
      <c r="E95" s="16" t="str">
        <f>IF(NORMALIZADO!CB94="","",NORMALIZADO!CB94)</f>
        <v/>
      </c>
      <c r="F95" s="17" t="str">
        <f>IF(NORMALIZADO!CC94="","",NORMALIZADO!CC94)</f>
        <v/>
      </c>
      <c r="G95" s="17">
        <f>IF(NORMALIZADO!CD94="",IFERROR(MATRIZ_174!U94*100,""),NORMALIZADO!CD94)</f>
        <v>100</v>
      </c>
      <c r="H95" s="16" t="str">
        <f>IF(NORMALIZADO!CE94="","",NORMALIZADO!CE94)</f>
        <v/>
      </c>
      <c r="I95" s="17" t="str">
        <f>IF(NORMALIZADO!CF94="","",NORMALIZADO!CF94)</f>
        <v/>
      </c>
      <c r="J95" s="17" t="str">
        <f>IF(NORMALIZADO!CG94="","",NORMALIZADO!CG94)</f>
        <v/>
      </c>
      <c r="K95" s="16" t="str">
        <f>IF(NORMALIZADO!CH94="","",NORMALIZADO!CH94)</f>
        <v/>
      </c>
      <c r="L95" s="16" t="str">
        <f>IF(NORMALIZADO!CI94="","",NORMALIZADO!CI94)</f>
        <v/>
      </c>
      <c r="M95" s="16" t="str">
        <f>IF(NORMALIZADO!CJ94="","",NORMALIZADO!CJ94)</f>
        <v/>
      </c>
      <c r="N95" s="16" t="str">
        <f>IF(NORMALIZADO!CK94="","",NORMALIZADO!CK94)</f>
        <v/>
      </c>
      <c r="O95" s="16" t="str">
        <f>IF(NORMALIZADO!CL94="","",NORMALIZADO!CL94)</f>
        <v/>
      </c>
      <c r="P95" s="17" t="str">
        <f t="shared" si="22"/>
        <v/>
      </c>
      <c r="Q95" s="17">
        <f t="shared" si="23"/>
        <v>0</v>
      </c>
      <c r="R95" s="17">
        <f t="shared" si="24"/>
        <v>0</v>
      </c>
      <c r="S95" s="17">
        <f t="shared" si="25"/>
        <v>0</v>
      </c>
      <c r="T95" s="17" t="str">
        <f>IF(ISNUMBER(MATRIZ_174!O94),IFERROR((K95+M95+MATRIZ_174!O94)/3,0),"")</f>
        <v/>
      </c>
      <c r="U95" s="18">
        <f>IF(ISNUMBER(MATRIZ_174!M94),MIN(100,ROUND(MATRIZ_174!M94,1)),"")</f>
        <v>50</v>
      </c>
      <c r="V95" s="18">
        <f t="shared" si="26"/>
        <v>50</v>
      </c>
      <c r="W95" s="18">
        <f>IFERROR(IF(MATRIZ_174!R94=0,65,IF(MATRIZ_174!R94/MATRIZ_174!Q94&gt;=2,35,IF(MATRIZ_174!R94/MATRIZ_174!Q94&gt;=0.5,50,65))),65)</f>
        <v>65</v>
      </c>
      <c r="X95" s="18" t="str">
        <f>IF(ISNUMBER(MATRIZ_174!O94),MIN(100,IF(MATRIZ_174!O94=0,70,30)+IF(MATRIZ_174!U94="",0,0.3*(100-MATRIZ_174!U94*100))),"")</f>
        <v/>
      </c>
      <c r="Y95" s="18">
        <f>IF(OR(MATRIZ_174!P94="ASOCIACION",MATRIZ_174!P94="PENDIENTE"),65,40)</f>
        <v>65</v>
      </c>
      <c r="Z95" s="19" t="str">
        <f t="shared" si="27"/>
        <v>—</v>
      </c>
      <c r="AA95" s="20">
        <f t="shared" si="28"/>
        <v>57.5</v>
      </c>
      <c r="AB95" s="21" t="str">
        <f t="shared" si="29"/>
        <v>—</v>
      </c>
      <c r="AC95" s="13" t="str">
        <f t="shared" si="30"/>
        <v>⬜  Pendiente de instrumento</v>
      </c>
      <c r="AD95" s="13" t="str">
        <f>IF(MATRIZ_174!U94="","",IF(MATRIZ_174!U94=0,"🚫  Inh. vigente OSCE",""))</f>
        <v/>
      </c>
      <c r="AE95" s="22">
        <f>IFERROR(MATRIZ_174!W94,0)</f>
        <v>1</v>
      </c>
      <c r="AF95" s="22">
        <f>IFERROR(MATRIZ_174!X94,0)</f>
        <v>0</v>
      </c>
      <c r="AG95" s="22">
        <f>IFERROR(MATRIZ_174!Y94,0)</f>
        <v>0</v>
      </c>
      <c r="AH95" s="22">
        <f>IFERROR(MATRIZ_174!Z94,0)</f>
        <v>0</v>
      </c>
      <c r="AI95" s="17">
        <f>IFERROR(MATRIZ_174!AP94,"N/A")</f>
        <v>0.3125</v>
      </c>
      <c r="AJ95" s="17" t="str">
        <f>IFERROR(MATRIZ_174!AO94,"N/A")</f>
        <v>N/A</v>
      </c>
      <c r="AK95" s="23" t="str">
        <f t="shared" si="31"/>
        <v>N/A</v>
      </c>
      <c r="AL95" s="24" t="str">
        <f t="shared" si="32"/>
        <v>—</v>
      </c>
    </row>
    <row r="96" spans="1:38" ht="16.05" customHeight="1" x14ac:dyDescent="0.3">
      <c r="A96" s="13" t="s">
        <v>274</v>
      </c>
      <c r="B96" s="14" t="s">
        <v>275</v>
      </c>
      <c r="C96" s="13" t="s">
        <v>119</v>
      </c>
      <c r="D96" s="15">
        <v>0</v>
      </c>
      <c r="E96" s="16" t="str">
        <f>IF(NORMALIZADO!CB95="","",NORMALIZADO!CB95)</f>
        <v/>
      </c>
      <c r="F96" s="17" t="str">
        <f>IF(NORMALIZADO!CC95="","",NORMALIZADO!CC95)</f>
        <v/>
      </c>
      <c r="G96" s="17">
        <f>IF(NORMALIZADO!CD95="",IFERROR(MATRIZ_174!U95*100,""),NORMALIZADO!CD95)</f>
        <v>100</v>
      </c>
      <c r="H96" s="16" t="str">
        <f>IF(NORMALIZADO!CE95="","",NORMALIZADO!CE95)</f>
        <v/>
      </c>
      <c r="I96" s="17" t="str">
        <f>IF(NORMALIZADO!CF95="","",NORMALIZADO!CF95)</f>
        <v/>
      </c>
      <c r="J96" s="17" t="str">
        <f>IF(NORMALIZADO!CG95="","",NORMALIZADO!CG95)</f>
        <v/>
      </c>
      <c r="K96" s="16" t="str">
        <f>IF(NORMALIZADO!CH95="","",NORMALIZADO!CH95)</f>
        <v/>
      </c>
      <c r="L96" s="16" t="str">
        <f>IF(NORMALIZADO!CI95="","",NORMALIZADO!CI95)</f>
        <v/>
      </c>
      <c r="M96" s="16" t="str">
        <f>IF(NORMALIZADO!CJ95="","",NORMALIZADO!CJ95)</f>
        <v/>
      </c>
      <c r="N96" s="16" t="str">
        <f>IF(NORMALIZADO!CK95="","",NORMALIZADO!CK95)</f>
        <v/>
      </c>
      <c r="O96" s="16" t="str">
        <f>IF(NORMALIZADO!CL95="","",NORMALIZADO!CL95)</f>
        <v/>
      </c>
      <c r="P96" s="17" t="str">
        <f t="shared" si="22"/>
        <v/>
      </c>
      <c r="Q96" s="17">
        <f t="shared" si="23"/>
        <v>0</v>
      </c>
      <c r="R96" s="17">
        <f t="shared" si="24"/>
        <v>0</v>
      </c>
      <c r="S96" s="17">
        <f t="shared" si="25"/>
        <v>0</v>
      </c>
      <c r="T96" s="17" t="str">
        <f>IF(ISNUMBER(MATRIZ_174!O95),IFERROR((K96+M96+MATRIZ_174!O95)/3,0),"")</f>
        <v/>
      </c>
      <c r="U96" s="18" t="str">
        <f>IF(ISNUMBER(MATRIZ_174!M95),MIN(100,ROUND(MATRIZ_174!M95,1)),"")</f>
        <v/>
      </c>
      <c r="V96" s="18">
        <f t="shared" si="26"/>
        <v>50</v>
      </c>
      <c r="W96" s="18">
        <f>IFERROR(IF(MATRIZ_174!R95=0,65,IF(MATRIZ_174!R95/MATRIZ_174!Q95&gt;=2,35,IF(MATRIZ_174!R95/MATRIZ_174!Q95&gt;=0.5,50,65))),65)</f>
        <v>65</v>
      </c>
      <c r="X96" s="18" t="str">
        <f>IF(ISNUMBER(MATRIZ_174!O95),MIN(100,IF(MATRIZ_174!O95=0,70,30)+IF(MATRIZ_174!U95="",0,0.3*(100-MATRIZ_174!U95*100))),"")</f>
        <v/>
      </c>
      <c r="Y96" s="18">
        <f>IF(OR(MATRIZ_174!P95="ASOCIACION",MATRIZ_174!P95="PENDIENTE"),65,40)</f>
        <v>65</v>
      </c>
      <c r="Z96" s="19" t="str">
        <f t="shared" si="27"/>
        <v>—</v>
      </c>
      <c r="AA96" s="20">
        <f t="shared" si="28"/>
        <v>60</v>
      </c>
      <c r="AB96" s="21" t="str">
        <f t="shared" si="29"/>
        <v>—</v>
      </c>
      <c r="AC96" s="13" t="str">
        <f t="shared" si="30"/>
        <v>⬜  Pendiente de instrumento</v>
      </c>
      <c r="AD96" s="13" t="str">
        <f>IF(MATRIZ_174!U95="","",IF(MATRIZ_174!U95=0,"🚫  Inh. vigente OSCE",""))</f>
        <v/>
      </c>
      <c r="AE96" s="22">
        <f>IFERROR(MATRIZ_174!W95,0)</f>
        <v>0</v>
      </c>
      <c r="AF96" s="22">
        <f>IFERROR(MATRIZ_174!X95,0)</f>
        <v>0</v>
      </c>
      <c r="AG96" s="22">
        <f>IFERROR(MATRIZ_174!Y95,0)</f>
        <v>0</v>
      </c>
      <c r="AH96" s="22">
        <f>IFERROR(MATRIZ_174!Z95,0)</f>
        <v>0</v>
      </c>
      <c r="AI96" s="17">
        <f>IFERROR(MATRIZ_174!AP95,"N/A")</f>
        <v>0</v>
      </c>
      <c r="AJ96" s="17" t="str">
        <f>IFERROR(MATRIZ_174!AO95,"N/A")</f>
        <v>N/A</v>
      </c>
      <c r="AK96" s="23" t="str">
        <f t="shared" si="31"/>
        <v>N/A</v>
      </c>
      <c r="AL96" s="24" t="str">
        <f t="shared" si="32"/>
        <v>—</v>
      </c>
    </row>
    <row r="97" spans="1:38" ht="16.05" customHeight="1" x14ac:dyDescent="0.3">
      <c r="A97" s="13" t="s">
        <v>276</v>
      </c>
      <c r="B97" s="14" t="s">
        <v>277</v>
      </c>
      <c r="C97" s="13" t="s">
        <v>119</v>
      </c>
      <c r="D97" s="15">
        <v>0</v>
      </c>
      <c r="E97" s="16" t="str">
        <f>IF(NORMALIZADO!CB96="","",NORMALIZADO!CB96)</f>
        <v/>
      </c>
      <c r="F97" s="17" t="str">
        <f>IF(NORMALIZADO!CC96="","",NORMALIZADO!CC96)</f>
        <v/>
      </c>
      <c r="G97" s="17">
        <f>IF(NORMALIZADO!CD96="",IFERROR(MATRIZ_174!U96*100,""),NORMALIZADO!CD96)</f>
        <v>100</v>
      </c>
      <c r="H97" s="16" t="str">
        <f>IF(NORMALIZADO!CE96="","",NORMALIZADO!CE96)</f>
        <v/>
      </c>
      <c r="I97" s="17" t="str">
        <f>IF(NORMALIZADO!CF96="","",NORMALIZADO!CF96)</f>
        <v/>
      </c>
      <c r="J97" s="17" t="str">
        <f>IF(NORMALIZADO!CG96="","",NORMALIZADO!CG96)</f>
        <v/>
      </c>
      <c r="K97" s="16" t="str">
        <f>IF(NORMALIZADO!CH96="","",NORMALIZADO!CH96)</f>
        <v/>
      </c>
      <c r="L97" s="16" t="str">
        <f>IF(NORMALIZADO!CI96="","",NORMALIZADO!CI96)</f>
        <v/>
      </c>
      <c r="M97" s="16" t="str">
        <f>IF(NORMALIZADO!CJ96="","",NORMALIZADO!CJ96)</f>
        <v/>
      </c>
      <c r="N97" s="16" t="str">
        <f>IF(NORMALIZADO!CK96="","",NORMALIZADO!CK96)</f>
        <v/>
      </c>
      <c r="O97" s="16" t="str">
        <f>IF(NORMALIZADO!CL96="","",NORMALIZADO!CL96)</f>
        <v/>
      </c>
      <c r="P97" s="17" t="str">
        <f t="shared" si="22"/>
        <v/>
      </c>
      <c r="Q97" s="17">
        <f t="shared" si="23"/>
        <v>0</v>
      </c>
      <c r="R97" s="17">
        <f t="shared" si="24"/>
        <v>0</v>
      </c>
      <c r="S97" s="17">
        <f t="shared" si="25"/>
        <v>0</v>
      </c>
      <c r="T97" s="17" t="str">
        <f>IF(ISNUMBER(MATRIZ_174!O96),IFERROR((K97+M97+MATRIZ_174!O96)/3,0),"")</f>
        <v/>
      </c>
      <c r="U97" s="18" t="str">
        <f>IF(ISNUMBER(MATRIZ_174!M96),MIN(100,ROUND(MATRIZ_174!M96,1)),"")</f>
        <v/>
      </c>
      <c r="V97" s="18">
        <f t="shared" si="26"/>
        <v>50</v>
      </c>
      <c r="W97" s="18">
        <f>IFERROR(IF(MATRIZ_174!R96=0,65,IF(MATRIZ_174!R96/MATRIZ_174!Q96&gt;=2,35,IF(MATRIZ_174!R96/MATRIZ_174!Q96&gt;=0.5,50,65))),65)</f>
        <v>65</v>
      </c>
      <c r="X97" s="18" t="str">
        <f>IF(ISNUMBER(MATRIZ_174!O96),MIN(100,IF(MATRIZ_174!O96=0,70,30)+IF(MATRIZ_174!U96="",0,0.3*(100-MATRIZ_174!U96*100))),"")</f>
        <v/>
      </c>
      <c r="Y97" s="18">
        <f>IF(OR(MATRIZ_174!P96="ASOCIACION",MATRIZ_174!P96="PENDIENTE"),65,40)</f>
        <v>65</v>
      </c>
      <c r="Z97" s="19" t="str">
        <f t="shared" si="27"/>
        <v>—</v>
      </c>
      <c r="AA97" s="20">
        <f t="shared" si="28"/>
        <v>60</v>
      </c>
      <c r="AB97" s="21" t="str">
        <f t="shared" si="29"/>
        <v>—</v>
      </c>
      <c r="AC97" s="13" t="str">
        <f t="shared" si="30"/>
        <v>⬜  Pendiente de instrumento</v>
      </c>
      <c r="AD97" s="13" t="str">
        <f>IF(MATRIZ_174!U96="","",IF(MATRIZ_174!U96=0,"🚫  Inh. vigente OSCE",""))</f>
        <v/>
      </c>
      <c r="AE97" s="22">
        <f>IFERROR(MATRIZ_174!W96,0)</f>
        <v>0</v>
      </c>
      <c r="AF97" s="22">
        <f>IFERROR(MATRIZ_174!X96,0)</f>
        <v>0</v>
      </c>
      <c r="AG97" s="22">
        <f>IFERROR(MATRIZ_174!Y96,0)</f>
        <v>0</v>
      </c>
      <c r="AH97" s="22">
        <f>IFERROR(MATRIZ_174!Z96,0)</f>
        <v>0</v>
      </c>
      <c r="AI97" s="17">
        <f>IFERROR(MATRIZ_174!AP96,"N/A")</f>
        <v>0</v>
      </c>
      <c r="AJ97" s="17" t="str">
        <f>IFERROR(MATRIZ_174!AO96,"N/A")</f>
        <v>N/A</v>
      </c>
      <c r="AK97" s="23" t="str">
        <f t="shared" si="31"/>
        <v>N/A</v>
      </c>
      <c r="AL97" s="24" t="str">
        <f t="shared" si="32"/>
        <v>—</v>
      </c>
    </row>
    <row r="98" spans="1:38" ht="16.05" customHeight="1" x14ac:dyDescent="0.3">
      <c r="A98" s="13" t="s">
        <v>278</v>
      </c>
      <c r="B98" s="14" t="s">
        <v>279</v>
      </c>
      <c r="C98" s="13" t="s">
        <v>119</v>
      </c>
      <c r="D98" s="15">
        <v>0</v>
      </c>
      <c r="E98" s="16" t="str">
        <f>IF(NORMALIZADO!CB97="","",NORMALIZADO!CB97)</f>
        <v/>
      </c>
      <c r="F98" s="17" t="str">
        <f>IF(NORMALIZADO!CC97="","",NORMALIZADO!CC97)</f>
        <v/>
      </c>
      <c r="G98" s="17">
        <f>IF(NORMALIZADO!CD97="",IFERROR(MATRIZ_174!U97*100,""),NORMALIZADO!CD97)</f>
        <v>100</v>
      </c>
      <c r="H98" s="16" t="str">
        <f>IF(NORMALIZADO!CE97="","",NORMALIZADO!CE97)</f>
        <v/>
      </c>
      <c r="I98" s="17" t="str">
        <f>IF(NORMALIZADO!CF97="","",NORMALIZADO!CF97)</f>
        <v/>
      </c>
      <c r="J98" s="17" t="str">
        <f>IF(NORMALIZADO!CG97="","",NORMALIZADO!CG97)</f>
        <v/>
      </c>
      <c r="K98" s="16" t="str">
        <f>IF(NORMALIZADO!CH97="","",NORMALIZADO!CH97)</f>
        <v/>
      </c>
      <c r="L98" s="16" t="str">
        <f>IF(NORMALIZADO!CI97="","",NORMALIZADO!CI97)</f>
        <v/>
      </c>
      <c r="M98" s="16" t="str">
        <f>IF(NORMALIZADO!CJ97="","",NORMALIZADO!CJ97)</f>
        <v/>
      </c>
      <c r="N98" s="16" t="str">
        <f>IF(NORMALIZADO!CK97="","",NORMALIZADO!CK97)</f>
        <v/>
      </c>
      <c r="O98" s="16" t="str">
        <f>IF(NORMALIZADO!CL97="","",NORMALIZADO!CL97)</f>
        <v/>
      </c>
      <c r="P98" s="17" t="str">
        <f t="shared" si="22"/>
        <v/>
      </c>
      <c r="Q98" s="17">
        <f t="shared" si="23"/>
        <v>0</v>
      </c>
      <c r="R98" s="17">
        <f t="shared" si="24"/>
        <v>0</v>
      </c>
      <c r="S98" s="17">
        <f t="shared" si="25"/>
        <v>0</v>
      </c>
      <c r="T98" s="17" t="str">
        <f>IF(ISNUMBER(MATRIZ_174!O97),IFERROR((K98+M98+MATRIZ_174!O97)/3,0),"")</f>
        <v/>
      </c>
      <c r="U98" s="18" t="str">
        <f>IF(ISNUMBER(MATRIZ_174!M97),MIN(100,ROUND(MATRIZ_174!M97,1)),"")</f>
        <v/>
      </c>
      <c r="V98" s="18">
        <f t="shared" si="26"/>
        <v>50</v>
      </c>
      <c r="W98" s="18">
        <f>IFERROR(IF(MATRIZ_174!R97=0,65,IF(MATRIZ_174!R97/MATRIZ_174!Q97&gt;=2,35,IF(MATRIZ_174!R97/MATRIZ_174!Q97&gt;=0.5,50,65))),65)</f>
        <v>65</v>
      </c>
      <c r="X98" s="18" t="str">
        <f>IF(ISNUMBER(MATRIZ_174!O97),MIN(100,IF(MATRIZ_174!O97=0,70,30)+IF(MATRIZ_174!U97="",0,0.3*(100-MATRIZ_174!U97*100))),"")</f>
        <v/>
      </c>
      <c r="Y98" s="18">
        <f>IF(OR(MATRIZ_174!P97="ASOCIACION",MATRIZ_174!P97="PENDIENTE"),65,40)</f>
        <v>65</v>
      </c>
      <c r="Z98" s="19" t="str">
        <f t="shared" si="27"/>
        <v>—</v>
      </c>
      <c r="AA98" s="20">
        <f t="shared" si="28"/>
        <v>60</v>
      </c>
      <c r="AB98" s="21" t="str">
        <f t="shared" si="29"/>
        <v>—</v>
      </c>
      <c r="AC98" s="13" t="str">
        <f t="shared" si="30"/>
        <v>⬜  Pendiente de instrumento</v>
      </c>
      <c r="AD98" s="13" t="str">
        <f>IF(MATRIZ_174!U97="","",IF(MATRIZ_174!U97=0,"🚫  Inh. vigente OSCE",""))</f>
        <v/>
      </c>
      <c r="AE98" s="22">
        <f>IFERROR(MATRIZ_174!W97,0)</f>
        <v>0</v>
      </c>
      <c r="AF98" s="22">
        <f>IFERROR(MATRIZ_174!X97,0)</f>
        <v>0</v>
      </c>
      <c r="AG98" s="22">
        <f>IFERROR(MATRIZ_174!Y97,0)</f>
        <v>0</v>
      </c>
      <c r="AH98" s="22">
        <f>IFERROR(MATRIZ_174!Z97,0)</f>
        <v>0</v>
      </c>
      <c r="AI98" s="17">
        <f>IFERROR(MATRIZ_174!AP97,"N/A")</f>
        <v>0</v>
      </c>
      <c r="AJ98" s="17" t="str">
        <f>IFERROR(MATRIZ_174!AO97,"N/A")</f>
        <v>N/A</v>
      </c>
      <c r="AK98" s="23" t="str">
        <f t="shared" si="31"/>
        <v>N/A</v>
      </c>
      <c r="AL98" s="24" t="str">
        <f t="shared" si="32"/>
        <v>—</v>
      </c>
    </row>
    <row r="99" spans="1:38" ht="16.05" customHeight="1" x14ac:dyDescent="0.3">
      <c r="A99" s="13" t="s">
        <v>280</v>
      </c>
      <c r="B99" s="14" t="s">
        <v>281</v>
      </c>
      <c r="C99" s="13" t="s">
        <v>119</v>
      </c>
      <c r="D99" s="15">
        <v>0</v>
      </c>
      <c r="E99" s="16" t="str">
        <f>IF(NORMALIZADO!CB98="","",NORMALIZADO!CB98)</f>
        <v/>
      </c>
      <c r="F99" s="17" t="str">
        <f>IF(NORMALIZADO!CC98="","",NORMALIZADO!CC98)</f>
        <v/>
      </c>
      <c r="G99" s="17">
        <f>IF(NORMALIZADO!CD98="",IFERROR(MATRIZ_174!U98*100,""),NORMALIZADO!CD98)</f>
        <v>100</v>
      </c>
      <c r="H99" s="16" t="str">
        <f>IF(NORMALIZADO!CE98="","",NORMALIZADO!CE98)</f>
        <v/>
      </c>
      <c r="I99" s="17" t="str">
        <f>IF(NORMALIZADO!CF98="","",NORMALIZADO!CF98)</f>
        <v/>
      </c>
      <c r="J99" s="17" t="str">
        <f>IF(NORMALIZADO!CG98="","",NORMALIZADO!CG98)</f>
        <v/>
      </c>
      <c r="K99" s="16" t="str">
        <f>IF(NORMALIZADO!CH98="","",NORMALIZADO!CH98)</f>
        <v/>
      </c>
      <c r="L99" s="16" t="str">
        <f>IF(NORMALIZADO!CI98="","",NORMALIZADO!CI98)</f>
        <v/>
      </c>
      <c r="M99" s="16" t="str">
        <f>IF(NORMALIZADO!CJ98="","",NORMALIZADO!CJ98)</f>
        <v/>
      </c>
      <c r="N99" s="16" t="str">
        <f>IF(NORMALIZADO!CK98="","",NORMALIZADO!CK98)</f>
        <v/>
      </c>
      <c r="O99" s="16" t="str">
        <f>IF(NORMALIZADO!CL98="","",NORMALIZADO!CL98)</f>
        <v/>
      </c>
      <c r="P99" s="17" t="str">
        <f t="shared" si="22"/>
        <v/>
      </c>
      <c r="Q99" s="17">
        <f t="shared" si="23"/>
        <v>0</v>
      </c>
      <c r="R99" s="17">
        <f t="shared" si="24"/>
        <v>0</v>
      </c>
      <c r="S99" s="17">
        <f t="shared" si="25"/>
        <v>0</v>
      </c>
      <c r="T99" s="17" t="str">
        <f>IF(ISNUMBER(MATRIZ_174!O98),IFERROR((K99+M99+MATRIZ_174!O98)/3,0),"")</f>
        <v/>
      </c>
      <c r="U99" s="18" t="str">
        <f>IF(ISNUMBER(MATRIZ_174!M98),MIN(100,ROUND(MATRIZ_174!M98,1)),"")</f>
        <v/>
      </c>
      <c r="V99" s="18">
        <f t="shared" si="26"/>
        <v>50</v>
      </c>
      <c r="W99" s="18">
        <f>IFERROR(IF(MATRIZ_174!R98=0,65,IF(MATRIZ_174!R98/MATRIZ_174!Q98&gt;=2,35,IF(MATRIZ_174!R98/MATRIZ_174!Q98&gt;=0.5,50,65))),65)</f>
        <v>65</v>
      </c>
      <c r="X99" s="18" t="str">
        <f>IF(ISNUMBER(MATRIZ_174!O98),MIN(100,IF(MATRIZ_174!O98=0,70,30)+IF(MATRIZ_174!U98="",0,0.3*(100-MATRIZ_174!U98*100))),"")</f>
        <v/>
      </c>
      <c r="Y99" s="18">
        <f>IF(OR(MATRIZ_174!P98="ASOCIACION",MATRIZ_174!P98="PENDIENTE"),65,40)</f>
        <v>65</v>
      </c>
      <c r="Z99" s="19" t="str">
        <f t="shared" si="27"/>
        <v>—</v>
      </c>
      <c r="AA99" s="20">
        <f t="shared" si="28"/>
        <v>60</v>
      </c>
      <c r="AB99" s="21" t="str">
        <f t="shared" si="29"/>
        <v>—</v>
      </c>
      <c r="AC99" s="13" t="str">
        <f t="shared" si="30"/>
        <v>⬜  Pendiente de instrumento</v>
      </c>
      <c r="AD99" s="13" t="str">
        <f>IF(MATRIZ_174!U98="","",IF(MATRIZ_174!U98=0,"🚫  Inh. vigente OSCE",""))</f>
        <v/>
      </c>
      <c r="AE99" s="22">
        <f>IFERROR(MATRIZ_174!W98,0)</f>
        <v>0</v>
      </c>
      <c r="AF99" s="22">
        <f>IFERROR(MATRIZ_174!X98,0)</f>
        <v>0</v>
      </c>
      <c r="AG99" s="22">
        <f>IFERROR(MATRIZ_174!Y98,0)</f>
        <v>0</v>
      </c>
      <c r="AH99" s="22">
        <f>IFERROR(MATRIZ_174!Z98,0)</f>
        <v>0</v>
      </c>
      <c r="AI99" s="17">
        <f>IFERROR(MATRIZ_174!AP98,"N/A")</f>
        <v>0</v>
      </c>
      <c r="AJ99" s="17" t="str">
        <f>IFERROR(MATRIZ_174!AO98,"N/A")</f>
        <v>N/A</v>
      </c>
      <c r="AK99" s="23" t="str">
        <f t="shared" si="31"/>
        <v>N/A</v>
      </c>
      <c r="AL99" s="24" t="str">
        <f t="shared" si="32"/>
        <v>—</v>
      </c>
    </row>
    <row r="100" spans="1:38" ht="16.05" customHeight="1" x14ac:dyDescent="0.3">
      <c r="A100" s="13" t="s">
        <v>282</v>
      </c>
      <c r="B100" s="14" t="s">
        <v>283</v>
      </c>
      <c r="C100" s="13" t="s">
        <v>119</v>
      </c>
      <c r="D100" s="15">
        <v>0</v>
      </c>
      <c r="E100" s="16" t="str">
        <f>IF(NORMALIZADO!CB99="","",NORMALIZADO!CB99)</f>
        <v/>
      </c>
      <c r="F100" s="17" t="str">
        <f>IF(NORMALIZADO!CC99="","",NORMALIZADO!CC99)</f>
        <v/>
      </c>
      <c r="G100" s="17">
        <f>IF(NORMALIZADO!CD99="",IFERROR(MATRIZ_174!U99*100,""),NORMALIZADO!CD99)</f>
        <v>100</v>
      </c>
      <c r="H100" s="16" t="str">
        <f>IF(NORMALIZADO!CE99="","",NORMALIZADO!CE99)</f>
        <v/>
      </c>
      <c r="I100" s="17" t="str">
        <f>IF(NORMALIZADO!CF99="","",NORMALIZADO!CF99)</f>
        <v/>
      </c>
      <c r="J100" s="17" t="str">
        <f>IF(NORMALIZADO!CG99="","",NORMALIZADO!CG99)</f>
        <v/>
      </c>
      <c r="K100" s="16" t="str">
        <f>IF(NORMALIZADO!CH99="","",NORMALIZADO!CH99)</f>
        <v/>
      </c>
      <c r="L100" s="16" t="str">
        <f>IF(NORMALIZADO!CI99="","",NORMALIZADO!CI99)</f>
        <v/>
      </c>
      <c r="M100" s="16" t="str">
        <f>IF(NORMALIZADO!CJ99="","",NORMALIZADO!CJ99)</f>
        <v/>
      </c>
      <c r="N100" s="16" t="str">
        <f>IF(NORMALIZADO!CK99="","",NORMALIZADO!CK99)</f>
        <v/>
      </c>
      <c r="O100" s="16" t="str">
        <f>IF(NORMALIZADO!CL99="","",NORMALIZADO!CL99)</f>
        <v/>
      </c>
      <c r="P100" s="17" t="str">
        <f t="shared" ref="P100:P131" si="33">IFERROR(F100,0)</f>
        <v/>
      </c>
      <c r="Q100" s="17">
        <f t="shared" ref="Q100:Q131" si="34">IFERROR(SQRT(G100*H100),0)</f>
        <v>0</v>
      </c>
      <c r="R100" s="17">
        <f t="shared" ref="R100:R131" si="35">IFERROR((I100+J100+L100)/3,0)</f>
        <v>0</v>
      </c>
      <c r="S100" s="17">
        <f t="shared" ref="S100:S131" si="36">IFERROR((J100+F100)/2,0)</f>
        <v>0</v>
      </c>
      <c r="T100" s="17" t="str">
        <f>IF(ISNUMBER(MATRIZ_174!O99),IFERROR((K100+M100+MATRIZ_174!O99)/3,0),"")</f>
        <v/>
      </c>
      <c r="U100" s="18" t="str">
        <f>IF(ISNUMBER(MATRIZ_174!M99),MIN(100,ROUND(MATRIZ_174!M99,1)),"")</f>
        <v/>
      </c>
      <c r="V100" s="18">
        <f t="shared" ref="V100:V131" si="37">IF(OR(NOT(ISNUMBER(F100)),F100=0),50,F100)</f>
        <v>50</v>
      </c>
      <c r="W100" s="18">
        <f>IFERROR(IF(MATRIZ_174!R99=0,65,IF(MATRIZ_174!R99/MATRIZ_174!Q99&gt;=2,35,IF(MATRIZ_174!R99/MATRIZ_174!Q99&gt;=0.5,50,65))),65)</f>
        <v>65</v>
      </c>
      <c r="X100" s="18" t="str">
        <f>IF(ISNUMBER(MATRIZ_174!O99),MIN(100,IF(MATRIZ_174!O99=0,70,30)+IF(MATRIZ_174!U99="",0,0.3*(100-MATRIZ_174!U99*100))),"")</f>
        <v/>
      </c>
      <c r="Y100" s="18">
        <f>IF(OR(MATRIZ_174!P99="ASOCIACION",MATRIZ_174!P99="PENDIENTE"),65,40)</f>
        <v>65</v>
      </c>
      <c r="Z100" s="19" t="str">
        <f t="shared" ref="Z100:Z131" si="38">IF(COUNT(F100:M100)&lt;8,"—",IFERROR(ROUND(AVERAGE(P100:T100),1),"—"))</f>
        <v>—</v>
      </c>
      <c r="AA100" s="20">
        <f t="shared" ref="AA100:AA131" si="39">IFERROR(ROUND(AVERAGE(U100,V100,W100,X100,Y100),1),0)</f>
        <v>60</v>
      </c>
      <c r="AB100" s="21" t="str">
        <f t="shared" ref="AB100:AB131" si="40">IF(NOT(ISNUMBER(Z100)),"—",IFERROR(ROUND(AA100*(1-Z100/100),1),"—"))</f>
        <v>—</v>
      </c>
      <c r="AC100" s="13" t="str">
        <f t="shared" ref="AC100:AC131" si="41">IF(OR(NOT(ISNUMBER(Z100)),NOT(ISNUMBER(AA100))),"⬜  Pendiente de instrumento",IF(AND(Z100&gt;=50,AA100&lt;50),"🟢  Resilientes",IF(AND(Z100&gt;=50,AA100&gt;=50),"🟠  Expuestas Adaptables",IF(AND(Z100&lt;50,AA100&lt;50),"⬜  Riesgo Latente","🔴  Riesgo Crítico"))))</f>
        <v>⬜  Pendiente de instrumento</v>
      </c>
      <c r="AD100" s="13" t="str">
        <f>IF(MATRIZ_174!U99="","",IF(MATRIZ_174!U99=0,"🚫  Inh. vigente OSCE",""))</f>
        <v/>
      </c>
      <c r="AE100" s="22">
        <f>IFERROR(MATRIZ_174!W99,0)</f>
        <v>0</v>
      </c>
      <c r="AF100" s="22">
        <f>IFERROR(MATRIZ_174!X99,0)</f>
        <v>0</v>
      </c>
      <c r="AG100" s="22">
        <f>IFERROR(MATRIZ_174!Y99,0)</f>
        <v>0</v>
      </c>
      <c r="AH100" s="22">
        <f>IFERROR(MATRIZ_174!Z99,0)</f>
        <v>0</v>
      </c>
      <c r="AI100" s="17">
        <f>IFERROR(MATRIZ_174!AP99,"N/A")</f>
        <v>0</v>
      </c>
      <c r="AJ100" s="17" t="str">
        <f>IFERROR(MATRIZ_174!AO99,"N/A")</f>
        <v>N/A</v>
      </c>
      <c r="AK100" s="23" t="str">
        <f t="shared" ref="AK100:AK131" si="42">IF(COUNT(E100:M100)&lt;7,"N/A",IFERROR(ROUND((POWER(PRODUCT(E100:K100),1/MAX(1,COUNT(E100:K100)))*IF(COUNT(E100:K100)&gt;0,0.875,0)+IFERROR(AVERAGE(L100:M100),0)*IF(COUNT(L100:M100)&gt;0,0.125,0))/(IF(COUNT(E100:K100)&gt;0,0.875,0)+IF(COUNT(L100:M100)&gt;0,0.125,0)),1),"N/A"))</f>
        <v>N/A</v>
      </c>
      <c r="AL100" s="24" t="str">
        <f t="shared" ref="AL100:AL131" si="43">IF(OR(NOT(ISNUMBER(AK100)),NOT(ISNUMBER(AI100))),"—",ROUND(0.7*AK100+0.3*AI100*100,1))</f>
        <v>—</v>
      </c>
    </row>
    <row r="101" spans="1:38" ht="16.05" customHeight="1" x14ac:dyDescent="0.3">
      <c r="A101" s="13" t="s">
        <v>285</v>
      </c>
      <c r="B101" s="14" t="s">
        <v>286</v>
      </c>
      <c r="C101" s="13" t="s">
        <v>80</v>
      </c>
      <c r="D101" s="15">
        <v>0</v>
      </c>
      <c r="E101" s="16" t="str">
        <f>IF(NORMALIZADO!CB100="","",NORMALIZADO!CB100)</f>
        <v/>
      </c>
      <c r="F101" s="17" t="str">
        <f>IF(NORMALIZADO!CC100="","",NORMALIZADO!CC100)</f>
        <v/>
      </c>
      <c r="G101" s="17">
        <f>IF(NORMALIZADO!CD100="",IFERROR(MATRIZ_174!U100*100,""),NORMALIZADO!CD100)</f>
        <v>100</v>
      </c>
      <c r="H101" s="16" t="str">
        <f>IF(NORMALIZADO!CE100="","",NORMALIZADO!CE100)</f>
        <v/>
      </c>
      <c r="I101" s="17" t="str">
        <f>IF(NORMALIZADO!CF100="","",NORMALIZADO!CF100)</f>
        <v/>
      </c>
      <c r="J101" s="17" t="str">
        <f>IF(NORMALIZADO!CG100="","",NORMALIZADO!CG100)</f>
        <v/>
      </c>
      <c r="K101" s="16" t="str">
        <f>IF(NORMALIZADO!CH100="","",NORMALIZADO!CH100)</f>
        <v/>
      </c>
      <c r="L101" s="16" t="str">
        <f>IF(NORMALIZADO!CI100="","",NORMALIZADO!CI100)</f>
        <v/>
      </c>
      <c r="M101" s="16" t="str">
        <f>IF(NORMALIZADO!CJ100="","",NORMALIZADO!CJ100)</f>
        <v/>
      </c>
      <c r="N101" s="16" t="str">
        <f>IF(NORMALIZADO!CK100="","",NORMALIZADO!CK100)</f>
        <v/>
      </c>
      <c r="O101" s="16" t="str">
        <f>IF(NORMALIZADO!CL100="","",NORMALIZADO!CL100)</f>
        <v/>
      </c>
      <c r="P101" s="17" t="str">
        <f t="shared" si="33"/>
        <v/>
      </c>
      <c r="Q101" s="17">
        <f t="shared" si="34"/>
        <v>0</v>
      </c>
      <c r="R101" s="17">
        <f t="shared" si="35"/>
        <v>0</v>
      </c>
      <c r="S101" s="17">
        <f t="shared" si="36"/>
        <v>0</v>
      </c>
      <c r="T101" s="17" t="str">
        <f>IF(ISNUMBER(MATRIZ_174!O100),IFERROR((K101+M101+MATRIZ_174!O100)/3,0),"")</f>
        <v/>
      </c>
      <c r="U101" s="18" t="str">
        <f>IF(ISNUMBER(MATRIZ_174!M100),MIN(100,ROUND(MATRIZ_174!M100,1)),"")</f>
        <v/>
      </c>
      <c r="V101" s="18">
        <f t="shared" si="37"/>
        <v>50</v>
      </c>
      <c r="W101" s="18">
        <f>IFERROR(IF(MATRIZ_174!R100=0,65,IF(MATRIZ_174!R100/MATRIZ_174!Q100&gt;=2,35,IF(MATRIZ_174!R100/MATRIZ_174!Q100&gt;=0.5,50,65))),65)</f>
        <v>65</v>
      </c>
      <c r="X101" s="18" t="str">
        <f>IF(ISNUMBER(MATRIZ_174!O100),MIN(100,IF(MATRIZ_174!O100=0,70,30)+IF(MATRIZ_174!U100="",0,0.3*(100-MATRIZ_174!U100*100))),"")</f>
        <v/>
      </c>
      <c r="Y101" s="18">
        <f>IF(OR(MATRIZ_174!P100="ASOCIACION",MATRIZ_174!P100="PENDIENTE"),65,40)</f>
        <v>65</v>
      </c>
      <c r="Z101" s="19" t="str">
        <f t="shared" si="38"/>
        <v>—</v>
      </c>
      <c r="AA101" s="20">
        <f t="shared" si="39"/>
        <v>60</v>
      </c>
      <c r="AB101" s="21" t="str">
        <f t="shared" si="40"/>
        <v>—</v>
      </c>
      <c r="AC101" s="13" t="str">
        <f t="shared" si="41"/>
        <v>⬜  Pendiente de instrumento</v>
      </c>
      <c r="AD101" s="13" t="str">
        <f>IF(MATRIZ_174!U100="","",IF(MATRIZ_174!U100=0,"🚫  Inh. vigente OSCE",""))</f>
        <v/>
      </c>
      <c r="AE101" s="22">
        <f>IFERROR(MATRIZ_174!W100,0)</f>
        <v>0</v>
      </c>
      <c r="AF101" s="22">
        <f>IFERROR(MATRIZ_174!X100,0)</f>
        <v>0</v>
      </c>
      <c r="AG101" s="22">
        <f>IFERROR(MATRIZ_174!Y100,0)</f>
        <v>0</v>
      </c>
      <c r="AH101" s="22">
        <f>IFERROR(MATRIZ_174!Z100,0)</f>
        <v>0</v>
      </c>
      <c r="AI101" s="17">
        <f>IFERROR(MATRIZ_174!AP100,"N/A")</f>
        <v>0</v>
      </c>
      <c r="AJ101" s="17" t="str">
        <f>IFERROR(MATRIZ_174!AO100,"N/A")</f>
        <v>N/A</v>
      </c>
      <c r="AK101" s="23" t="str">
        <f t="shared" si="42"/>
        <v>N/A</v>
      </c>
      <c r="AL101" s="24" t="str">
        <f t="shared" si="43"/>
        <v>—</v>
      </c>
    </row>
    <row r="102" spans="1:38" ht="16.05" customHeight="1" x14ac:dyDescent="0.3">
      <c r="A102" s="13" t="s">
        <v>287</v>
      </c>
      <c r="B102" s="14" t="s">
        <v>288</v>
      </c>
      <c r="C102" s="13" t="s">
        <v>112</v>
      </c>
      <c r="D102" s="15">
        <v>0</v>
      </c>
      <c r="E102" s="16" t="str">
        <f>IF(NORMALIZADO!CB101="","",NORMALIZADO!CB101)</f>
        <v/>
      </c>
      <c r="F102" s="17" t="str">
        <f>IF(NORMALIZADO!CC101="","",NORMALIZADO!CC101)</f>
        <v/>
      </c>
      <c r="G102" s="17">
        <f>IF(NORMALIZADO!CD101="",IFERROR(MATRIZ_174!U101*100,""),NORMALIZADO!CD101)</f>
        <v>100</v>
      </c>
      <c r="H102" s="16" t="str">
        <f>IF(NORMALIZADO!CE101="","",NORMALIZADO!CE101)</f>
        <v/>
      </c>
      <c r="I102" s="17" t="str">
        <f>IF(NORMALIZADO!CF101="","",NORMALIZADO!CF101)</f>
        <v/>
      </c>
      <c r="J102" s="17" t="str">
        <f>IF(NORMALIZADO!CG101="","",NORMALIZADO!CG101)</f>
        <v/>
      </c>
      <c r="K102" s="16" t="str">
        <f>IF(NORMALIZADO!CH101="","",NORMALIZADO!CH101)</f>
        <v/>
      </c>
      <c r="L102" s="16" t="str">
        <f>IF(NORMALIZADO!CI101="","",NORMALIZADO!CI101)</f>
        <v/>
      </c>
      <c r="M102" s="16" t="str">
        <f>IF(NORMALIZADO!CJ101="","",NORMALIZADO!CJ101)</f>
        <v/>
      </c>
      <c r="N102" s="16" t="str">
        <f>IF(NORMALIZADO!CK101="","",NORMALIZADO!CK101)</f>
        <v/>
      </c>
      <c r="O102" s="16" t="str">
        <f>IF(NORMALIZADO!CL101="","",NORMALIZADO!CL101)</f>
        <v/>
      </c>
      <c r="P102" s="17" t="str">
        <f t="shared" si="33"/>
        <v/>
      </c>
      <c r="Q102" s="17">
        <f t="shared" si="34"/>
        <v>0</v>
      </c>
      <c r="R102" s="17">
        <f t="shared" si="35"/>
        <v>0</v>
      </c>
      <c r="S102" s="17">
        <f t="shared" si="36"/>
        <v>0</v>
      </c>
      <c r="T102" s="17" t="str">
        <f>IF(ISNUMBER(MATRIZ_174!O101),IFERROR((K102+M102+MATRIZ_174!O101)/3,0),"")</f>
        <v/>
      </c>
      <c r="U102" s="18" t="str">
        <f>IF(ISNUMBER(MATRIZ_174!M101),MIN(100,ROUND(MATRIZ_174!M101,1)),"")</f>
        <v/>
      </c>
      <c r="V102" s="18">
        <f t="shared" si="37"/>
        <v>50</v>
      </c>
      <c r="W102" s="18">
        <f>IFERROR(IF(MATRIZ_174!R101=0,65,IF(MATRIZ_174!R101/MATRIZ_174!Q101&gt;=2,35,IF(MATRIZ_174!R101/MATRIZ_174!Q101&gt;=0.5,50,65))),65)</f>
        <v>65</v>
      </c>
      <c r="X102" s="18" t="str">
        <f>IF(ISNUMBER(MATRIZ_174!O101),MIN(100,IF(MATRIZ_174!O101=0,70,30)+IF(MATRIZ_174!U101="",0,0.3*(100-MATRIZ_174!U101*100))),"")</f>
        <v/>
      </c>
      <c r="Y102" s="18">
        <f>IF(OR(MATRIZ_174!P101="ASOCIACION",MATRIZ_174!P101="PENDIENTE"),65,40)</f>
        <v>65</v>
      </c>
      <c r="Z102" s="19" t="str">
        <f t="shared" si="38"/>
        <v>—</v>
      </c>
      <c r="AA102" s="20">
        <f t="shared" si="39"/>
        <v>60</v>
      </c>
      <c r="AB102" s="21" t="str">
        <f t="shared" si="40"/>
        <v>—</v>
      </c>
      <c r="AC102" s="13" t="str">
        <f t="shared" si="41"/>
        <v>⬜  Pendiente de instrumento</v>
      </c>
      <c r="AD102" s="13" t="str">
        <f>IF(MATRIZ_174!U101="","",IF(MATRIZ_174!U101=0,"🚫  Inh. vigente OSCE",""))</f>
        <v/>
      </c>
      <c r="AE102" s="22">
        <f>IFERROR(MATRIZ_174!W101,0)</f>
        <v>0</v>
      </c>
      <c r="AF102" s="22">
        <f>IFERROR(MATRIZ_174!X101,0)</f>
        <v>0</v>
      </c>
      <c r="AG102" s="22">
        <f>IFERROR(MATRIZ_174!Y101,0)</f>
        <v>0</v>
      </c>
      <c r="AH102" s="22">
        <f>IFERROR(MATRIZ_174!Z101,0)</f>
        <v>0</v>
      </c>
      <c r="AI102" s="17">
        <f>IFERROR(MATRIZ_174!AP101,"N/A")</f>
        <v>0</v>
      </c>
      <c r="AJ102" s="17" t="str">
        <f>IFERROR(MATRIZ_174!AO101,"N/A")</f>
        <v>N/A</v>
      </c>
      <c r="AK102" s="23" t="str">
        <f t="shared" si="42"/>
        <v>N/A</v>
      </c>
      <c r="AL102" s="24" t="str">
        <f t="shared" si="43"/>
        <v>—</v>
      </c>
    </row>
    <row r="103" spans="1:38" ht="16.05" customHeight="1" x14ac:dyDescent="0.3">
      <c r="A103" s="13" t="s">
        <v>289</v>
      </c>
      <c r="B103" s="14" t="s">
        <v>290</v>
      </c>
      <c r="C103" s="13" t="s">
        <v>119</v>
      </c>
      <c r="D103" s="15">
        <v>0</v>
      </c>
      <c r="E103" s="16" t="str">
        <f>IF(NORMALIZADO!CB102="","",NORMALIZADO!CB102)</f>
        <v/>
      </c>
      <c r="F103" s="17" t="str">
        <f>IF(NORMALIZADO!CC102="","",NORMALIZADO!CC102)</f>
        <v/>
      </c>
      <c r="G103" s="17">
        <f>IF(NORMALIZADO!CD102="",IFERROR(MATRIZ_174!U102*100,""),NORMALIZADO!CD102)</f>
        <v>100</v>
      </c>
      <c r="H103" s="16" t="str">
        <f>IF(NORMALIZADO!CE102="","",NORMALIZADO!CE102)</f>
        <v/>
      </c>
      <c r="I103" s="17" t="str">
        <f>IF(NORMALIZADO!CF102="","",NORMALIZADO!CF102)</f>
        <v/>
      </c>
      <c r="J103" s="17" t="str">
        <f>IF(NORMALIZADO!CG102="","",NORMALIZADO!CG102)</f>
        <v/>
      </c>
      <c r="K103" s="16" t="str">
        <f>IF(NORMALIZADO!CH102="","",NORMALIZADO!CH102)</f>
        <v/>
      </c>
      <c r="L103" s="16" t="str">
        <f>IF(NORMALIZADO!CI102="","",NORMALIZADO!CI102)</f>
        <v/>
      </c>
      <c r="M103" s="16" t="str">
        <f>IF(NORMALIZADO!CJ102="","",NORMALIZADO!CJ102)</f>
        <v/>
      </c>
      <c r="N103" s="16" t="str">
        <f>IF(NORMALIZADO!CK102="","",NORMALIZADO!CK102)</f>
        <v/>
      </c>
      <c r="O103" s="16" t="str">
        <f>IF(NORMALIZADO!CL102="","",NORMALIZADO!CL102)</f>
        <v/>
      </c>
      <c r="P103" s="17" t="str">
        <f t="shared" si="33"/>
        <v/>
      </c>
      <c r="Q103" s="17">
        <f t="shared" si="34"/>
        <v>0</v>
      </c>
      <c r="R103" s="17">
        <f t="shared" si="35"/>
        <v>0</v>
      </c>
      <c r="S103" s="17">
        <f t="shared" si="36"/>
        <v>0</v>
      </c>
      <c r="T103" s="17" t="str">
        <f>IF(ISNUMBER(MATRIZ_174!O102),IFERROR((K103+M103+MATRIZ_174!O102)/3,0),"")</f>
        <v/>
      </c>
      <c r="U103" s="18" t="str">
        <f>IF(ISNUMBER(MATRIZ_174!M102),MIN(100,ROUND(MATRIZ_174!M102,1)),"")</f>
        <v/>
      </c>
      <c r="V103" s="18">
        <f t="shared" si="37"/>
        <v>50</v>
      </c>
      <c r="W103" s="18">
        <f>IFERROR(IF(MATRIZ_174!R102=0,65,IF(MATRIZ_174!R102/MATRIZ_174!Q102&gt;=2,35,IF(MATRIZ_174!R102/MATRIZ_174!Q102&gt;=0.5,50,65))),65)</f>
        <v>65</v>
      </c>
      <c r="X103" s="18" t="str">
        <f>IF(ISNUMBER(MATRIZ_174!O102),MIN(100,IF(MATRIZ_174!O102=0,70,30)+IF(MATRIZ_174!U102="",0,0.3*(100-MATRIZ_174!U102*100))),"")</f>
        <v/>
      </c>
      <c r="Y103" s="18">
        <f>IF(OR(MATRIZ_174!P102="ASOCIACION",MATRIZ_174!P102="PENDIENTE"),65,40)</f>
        <v>65</v>
      </c>
      <c r="Z103" s="19" t="str">
        <f t="shared" si="38"/>
        <v>—</v>
      </c>
      <c r="AA103" s="20">
        <f t="shared" si="39"/>
        <v>60</v>
      </c>
      <c r="AB103" s="21" t="str">
        <f t="shared" si="40"/>
        <v>—</v>
      </c>
      <c r="AC103" s="13" t="str">
        <f t="shared" si="41"/>
        <v>⬜  Pendiente de instrumento</v>
      </c>
      <c r="AD103" s="13" t="str">
        <f>IF(MATRIZ_174!U102="","",IF(MATRIZ_174!U102=0,"🚫  Inh. vigente OSCE",""))</f>
        <v/>
      </c>
      <c r="AE103" s="22">
        <f>IFERROR(MATRIZ_174!W102,0)</f>
        <v>0</v>
      </c>
      <c r="AF103" s="22">
        <f>IFERROR(MATRIZ_174!X102,0)</f>
        <v>0</v>
      </c>
      <c r="AG103" s="22">
        <f>IFERROR(MATRIZ_174!Y102,0)</f>
        <v>0</v>
      </c>
      <c r="AH103" s="22">
        <f>IFERROR(MATRIZ_174!Z102,0)</f>
        <v>0</v>
      </c>
      <c r="AI103" s="17">
        <f>IFERROR(MATRIZ_174!AP102,"N/A")</f>
        <v>0</v>
      </c>
      <c r="AJ103" s="17" t="str">
        <f>IFERROR(MATRIZ_174!AO102,"N/A")</f>
        <v>N/A</v>
      </c>
      <c r="AK103" s="23" t="str">
        <f t="shared" si="42"/>
        <v>N/A</v>
      </c>
      <c r="AL103" s="24" t="str">
        <f t="shared" si="43"/>
        <v>—</v>
      </c>
    </row>
    <row r="104" spans="1:38" ht="16.05" customHeight="1" x14ac:dyDescent="0.3">
      <c r="A104" s="13" t="s">
        <v>291</v>
      </c>
      <c r="B104" s="14" t="s">
        <v>292</v>
      </c>
      <c r="C104" s="13" t="s">
        <v>192</v>
      </c>
      <c r="D104" s="15">
        <v>0</v>
      </c>
      <c r="E104" s="16" t="str">
        <f>IF(NORMALIZADO!CB103="","",NORMALIZADO!CB103)</f>
        <v/>
      </c>
      <c r="F104" s="17" t="str">
        <f>IF(NORMALIZADO!CC103="","",NORMALIZADO!CC103)</f>
        <v/>
      </c>
      <c r="G104" s="17">
        <f>IF(NORMALIZADO!CD103="",IFERROR(MATRIZ_174!U103*100,""),NORMALIZADO!CD103)</f>
        <v>100</v>
      </c>
      <c r="H104" s="16" t="str">
        <f>IF(NORMALIZADO!CE103="","",NORMALIZADO!CE103)</f>
        <v/>
      </c>
      <c r="I104" s="17" t="str">
        <f>IF(NORMALIZADO!CF103="","",NORMALIZADO!CF103)</f>
        <v/>
      </c>
      <c r="J104" s="17" t="str">
        <f>IF(NORMALIZADO!CG103="","",NORMALIZADO!CG103)</f>
        <v/>
      </c>
      <c r="K104" s="16" t="str">
        <f>IF(NORMALIZADO!CH103="","",NORMALIZADO!CH103)</f>
        <v/>
      </c>
      <c r="L104" s="16" t="str">
        <f>IF(NORMALIZADO!CI103="","",NORMALIZADO!CI103)</f>
        <v/>
      </c>
      <c r="M104" s="16" t="str">
        <f>IF(NORMALIZADO!CJ103="","",NORMALIZADO!CJ103)</f>
        <v/>
      </c>
      <c r="N104" s="16" t="str">
        <f>IF(NORMALIZADO!CK103="","",NORMALIZADO!CK103)</f>
        <v/>
      </c>
      <c r="O104" s="16" t="str">
        <f>IF(NORMALIZADO!CL103="","",NORMALIZADO!CL103)</f>
        <v/>
      </c>
      <c r="P104" s="17" t="str">
        <f t="shared" si="33"/>
        <v/>
      </c>
      <c r="Q104" s="17">
        <f t="shared" si="34"/>
        <v>0</v>
      </c>
      <c r="R104" s="17">
        <f t="shared" si="35"/>
        <v>0</v>
      </c>
      <c r="S104" s="17">
        <f t="shared" si="36"/>
        <v>0</v>
      </c>
      <c r="T104" s="17" t="str">
        <f>IF(ISNUMBER(MATRIZ_174!O103),IFERROR((K104+M104+MATRIZ_174!O103)/3,0),"")</f>
        <v/>
      </c>
      <c r="U104" s="18" t="str">
        <f>IF(ISNUMBER(MATRIZ_174!M103),MIN(100,ROUND(MATRIZ_174!M103,1)),"")</f>
        <v/>
      </c>
      <c r="V104" s="18">
        <f t="shared" si="37"/>
        <v>50</v>
      </c>
      <c r="W104" s="18">
        <f>IFERROR(IF(MATRIZ_174!R103=0,65,IF(MATRIZ_174!R103/MATRIZ_174!Q103&gt;=2,35,IF(MATRIZ_174!R103/MATRIZ_174!Q103&gt;=0.5,50,65))),65)</f>
        <v>65</v>
      </c>
      <c r="X104" s="18" t="str">
        <f>IF(ISNUMBER(MATRIZ_174!O103),MIN(100,IF(MATRIZ_174!O103=0,70,30)+IF(MATRIZ_174!U103="",0,0.3*(100-MATRIZ_174!U103*100))),"")</f>
        <v/>
      </c>
      <c r="Y104" s="18">
        <f>IF(OR(MATRIZ_174!P103="ASOCIACION",MATRIZ_174!P103="PENDIENTE"),65,40)</f>
        <v>65</v>
      </c>
      <c r="Z104" s="19" t="str">
        <f t="shared" si="38"/>
        <v>—</v>
      </c>
      <c r="AA104" s="20">
        <f t="shared" si="39"/>
        <v>60</v>
      </c>
      <c r="AB104" s="21" t="str">
        <f t="shared" si="40"/>
        <v>—</v>
      </c>
      <c r="AC104" s="13" t="str">
        <f t="shared" si="41"/>
        <v>⬜  Pendiente de instrumento</v>
      </c>
      <c r="AD104" s="13" t="str">
        <f>IF(MATRIZ_174!U103="","",IF(MATRIZ_174!U103=0,"🚫  Inh. vigente OSCE",""))</f>
        <v/>
      </c>
      <c r="AE104" s="22">
        <f>IFERROR(MATRIZ_174!W103,0)</f>
        <v>0</v>
      </c>
      <c r="AF104" s="22">
        <f>IFERROR(MATRIZ_174!X103,0)</f>
        <v>0</v>
      </c>
      <c r="AG104" s="22">
        <f>IFERROR(MATRIZ_174!Y103,0)</f>
        <v>0</v>
      </c>
      <c r="AH104" s="22">
        <f>IFERROR(MATRIZ_174!Z103,0)</f>
        <v>0</v>
      </c>
      <c r="AI104" s="17">
        <f>IFERROR(MATRIZ_174!AP103,"N/A")</f>
        <v>0</v>
      </c>
      <c r="AJ104" s="17" t="str">
        <f>IFERROR(MATRIZ_174!AO103,"N/A")</f>
        <v>N/A</v>
      </c>
      <c r="AK104" s="23" t="str">
        <f t="shared" si="42"/>
        <v>N/A</v>
      </c>
      <c r="AL104" s="24" t="str">
        <f t="shared" si="43"/>
        <v>—</v>
      </c>
    </row>
    <row r="105" spans="1:38" ht="16.05" customHeight="1" x14ac:dyDescent="0.3">
      <c r="A105" s="13" t="s">
        <v>293</v>
      </c>
      <c r="B105" s="14" t="s">
        <v>294</v>
      </c>
      <c r="C105" s="13" t="s">
        <v>241</v>
      </c>
      <c r="D105" s="15">
        <v>0</v>
      </c>
      <c r="E105" s="16" t="str">
        <f>IF(NORMALIZADO!CB104="","",NORMALIZADO!CB104)</f>
        <v/>
      </c>
      <c r="F105" s="17" t="str">
        <f>IF(NORMALIZADO!CC104="","",NORMALIZADO!CC104)</f>
        <v/>
      </c>
      <c r="G105" s="17">
        <f>IF(NORMALIZADO!CD104="",IFERROR(MATRIZ_174!U104*100,""),NORMALIZADO!CD104)</f>
        <v>100</v>
      </c>
      <c r="H105" s="16" t="str">
        <f>IF(NORMALIZADO!CE104="","",NORMALIZADO!CE104)</f>
        <v/>
      </c>
      <c r="I105" s="17" t="str">
        <f>IF(NORMALIZADO!CF104="","",NORMALIZADO!CF104)</f>
        <v/>
      </c>
      <c r="J105" s="17" t="str">
        <f>IF(NORMALIZADO!CG104="","",NORMALIZADO!CG104)</f>
        <v/>
      </c>
      <c r="K105" s="16" t="str">
        <f>IF(NORMALIZADO!CH104="","",NORMALIZADO!CH104)</f>
        <v/>
      </c>
      <c r="L105" s="16" t="str">
        <f>IF(NORMALIZADO!CI104="","",NORMALIZADO!CI104)</f>
        <v/>
      </c>
      <c r="M105" s="16" t="str">
        <f>IF(NORMALIZADO!CJ104="","",NORMALIZADO!CJ104)</f>
        <v/>
      </c>
      <c r="N105" s="16" t="str">
        <f>IF(NORMALIZADO!CK104="","",NORMALIZADO!CK104)</f>
        <v/>
      </c>
      <c r="O105" s="16" t="str">
        <f>IF(NORMALIZADO!CL104="","",NORMALIZADO!CL104)</f>
        <v/>
      </c>
      <c r="P105" s="17" t="str">
        <f t="shared" si="33"/>
        <v/>
      </c>
      <c r="Q105" s="17">
        <f t="shared" si="34"/>
        <v>0</v>
      </c>
      <c r="R105" s="17">
        <f t="shared" si="35"/>
        <v>0</v>
      </c>
      <c r="S105" s="17">
        <f t="shared" si="36"/>
        <v>0</v>
      </c>
      <c r="T105" s="17" t="str">
        <f>IF(ISNUMBER(MATRIZ_174!O104),IFERROR((K105+M105+MATRIZ_174!O104)/3,0),"")</f>
        <v/>
      </c>
      <c r="U105" s="18" t="str">
        <f>IF(ISNUMBER(MATRIZ_174!M104),MIN(100,ROUND(MATRIZ_174!M104,1)),"")</f>
        <v/>
      </c>
      <c r="V105" s="18">
        <f t="shared" si="37"/>
        <v>50</v>
      </c>
      <c r="W105" s="18">
        <f>IFERROR(IF(MATRIZ_174!R104=0,65,IF(MATRIZ_174!R104/MATRIZ_174!Q104&gt;=2,35,IF(MATRIZ_174!R104/MATRIZ_174!Q104&gt;=0.5,50,65))),65)</f>
        <v>65</v>
      </c>
      <c r="X105" s="18" t="str">
        <f>IF(ISNUMBER(MATRIZ_174!O104),MIN(100,IF(MATRIZ_174!O104=0,70,30)+IF(MATRIZ_174!U104="",0,0.3*(100-MATRIZ_174!U104*100))),"")</f>
        <v/>
      </c>
      <c r="Y105" s="18">
        <f>IF(OR(MATRIZ_174!P104="ASOCIACION",MATRIZ_174!P104="PENDIENTE"),65,40)</f>
        <v>65</v>
      </c>
      <c r="Z105" s="19" t="str">
        <f t="shared" si="38"/>
        <v>—</v>
      </c>
      <c r="AA105" s="20">
        <f t="shared" si="39"/>
        <v>60</v>
      </c>
      <c r="AB105" s="21" t="str">
        <f t="shared" si="40"/>
        <v>—</v>
      </c>
      <c r="AC105" s="13" t="str">
        <f t="shared" si="41"/>
        <v>⬜  Pendiente de instrumento</v>
      </c>
      <c r="AD105" s="13" t="str">
        <f>IF(MATRIZ_174!U104="","",IF(MATRIZ_174!U104=0,"🚫  Inh. vigente OSCE",""))</f>
        <v/>
      </c>
      <c r="AE105" s="22">
        <f>IFERROR(MATRIZ_174!W104,0)</f>
        <v>0</v>
      </c>
      <c r="AF105" s="22">
        <f>IFERROR(MATRIZ_174!X104,0)</f>
        <v>0</v>
      </c>
      <c r="AG105" s="22">
        <f>IFERROR(MATRIZ_174!Y104,0)</f>
        <v>0</v>
      </c>
      <c r="AH105" s="22">
        <f>IFERROR(MATRIZ_174!Z104,0)</f>
        <v>0</v>
      </c>
      <c r="AI105" s="17">
        <f>IFERROR(MATRIZ_174!AP104,"N/A")</f>
        <v>0</v>
      </c>
      <c r="AJ105" s="17" t="str">
        <f>IFERROR(MATRIZ_174!AO104,"N/A")</f>
        <v>N/A</v>
      </c>
      <c r="AK105" s="23" t="str">
        <f t="shared" si="42"/>
        <v>N/A</v>
      </c>
      <c r="AL105" s="24" t="str">
        <f t="shared" si="43"/>
        <v>—</v>
      </c>
    </row>
    <row r="106" spans="1:38" ht="16.05" customHeight="1" x14ac:dyDescent="0.3">
      <c r="A106" s="13" t="s">
        <v>295</v>
      </c>
      <c r="B106" s="14" t="s">
        <v>296</v>
      </c>
      <c r="C106" s="13" t="s">
        <v>112</v>
      </c>
      <c r="D106" s="15">
        <v>0</v>
      </c>
      <c r="E106" s="16" t="str">
        <f>IF(NORMALIZADO!CB105="","",NORMALIZADO!CB105)</f>
        <v/>
      </c>
      <c r="F106" s="17" t="str">
        <f>IF(NORMALIZADO!CC105="","",NORMALIZADO!CC105)</f>
        <v/>
      </c>
      <c r="G106" s="17">
        <f>IF(NORMALIZADO!CD105="",IFERROR(MATRIZ_174!U105*100,""),NORMALIZADO!CD105)</f>
        <v>100</v>
      </c>
      <c r="H106" s="16" t="str">
        <f>IF(NORMALIZADO!CE105="","",NORMALIZADO!CE105)</f>
        <v/>
      </c>
      <c r="I106" s="17" t="str">
        <f>IF(NORMALIZADO!CF105="","",NORMALIZADO!CF105)</f>
        <v/>
      </c>
      <c r="J106" s="17" t="str">
        <f>IF(NORMALIZADO!CG105="","",NORMALIZADO!CG105)</f>
        <v/>
      </c>
      <c r="K106" s="16" t="str">
        <f>IF(NORMALIZADO!CH105="","",NORMALIZADO!CH105)</f>
        <v/>
      </c>
      <c r="L106" s="16" t="str">
        <f>IF(NORMALIZADO!CI105="","",NORMALIZADO!CI105)</f>
        <v/>
      </c>
      <c r="M106" s="16" t="str">
        <f>IF(NORMALIZADO!CJ105="","",NORMALIZADO!CJ105)</f>
        <v/>
      </c>
      <c r="N106" s="16" t="str">
        <f>IF(NORMALIZADO!CK105="","",NORMALIZADO!CK105)</f>
        <v/>
      </c>
      <c r="O106" s="16" t="str">
        <f>IF(NORMALIZADO!CL105="","",NORMALIZADO!CL105)</f>
        <v/>
      </c>
      <c r="P106" s="17" t="str">
        <f t="shared" si="33"/>
        <v/>
      </c>
      <c r="Q106" s="17">
        <f t="shared" si="34"/>
        <v>0</v>
      </c>
      <c r="R106" s="17">
        <f t="shared" si="35"/>
        <v>0</v>
      </c>
      <c r="S106" s="17">
        <f t="shared" si="36"/>
        <v>0</v>
      </c>
      <c r="T106" s="17" t="str">
        <f>IF(ISNUMBER(MATRIZ_174!O105),IFERROR((K106+M106+MATRIZ_174!O105)/3,0),"")</f>
        <v/>
      </c>
      <c r="U106" s="18" t="str">
        <f>IF(ISNUMBER(MATRIZ_174!M105),MIN(100,ROUND(MATRIZ_174!M105,1)),"")</f>
        <v/>
      </c>
      <c r="V106" s="18">
        <f t="shared" si="37"/>
        <v>50</v>
      </c>
      <c r="W106" s="18">
        <f>IFERROR(IF(MATRIZ_174!R105=0,65,IF(MATRIZ_174!R105/MATRIZ_174!Q105&gt;=2,35,IF(MATRIZ_174!R105/MATRIZ_174!Q105&gt;=0.5,50,65))),65)</f>
        <v>65</v>
      </c>
      <c r="X106" s="18" t="str">
        <f>IF(ISNUMBER(MATRIZ_174!O105),MIN(100,IF(MATRIZ_174!O105=0,70,30)+IF(MATRIZ_174!U105="",0,0.3*(100-MATRIZ_174!U105*100))),"")</f>
        <v/>
      </c>
      <c r="Y106" s="18">
        <f>IF(OR(MATRIZ_174!P105="ASOCIACION",MATRIZ_174!P105="PENDIENTE"),65,40)</f>
        <v>65</v>
      </c>
      <c r="Z106" s="19" t="str">
        <f t="shared" si="38"/>
        <v>—</v>
      </c>
      <c r="AA106" s="20">
        <f t="shared" si="39"/>
        <v>60</v>
      </c>
      <c r="AB106" s="21" t="str">
        <f t="shared" si="40"/>
        <v>—</v>
      </c>
      <c r="AC106" s="13" t="str">
        <f t="shared" si="41"/>
        <v>⬜  Pendiente de instrumento</v>
      </c>
      <c r="AD106" s="13" t="str">
        <f>IF(MATRIZ_174!U105="","",IF(MATRIZ_174!U105=0,"🚫  Inh. vigente OSCE",""))</f>
        <v/>
      </c>
      <c r="AE106" s="22">
        <f>IFERROR(MATRIZ_174!W105,0)</f>
        <v>0</v>
      </c>
      <c r="AF106" s="22">
        <f>IFERROR(MATRIZ_174!X105,0)</f>
        <v>0</v>
      </c>
      <c r="AG106" s="22">
        <f>IFERROR(MATRIZ_174!Y105,0)</f>
        <v>0</v>
      </c>
      <c r="AH106" s="22">
        <f>IFERROR(MATRIZ_174!Z105,0)</f>
        <v>0</v>
      </c>
      <c r="AI106" s="17">
        <f>IFERROR(MATRIZ_174!AP105,"N/A")</f>
        <v>0</v>
      </c>
      <c r="AJ106" s="17" t="str">
        <f>IFERROR(MATRIZ_174!AO105,"N/A")</f>
        <v>N/A</v>
      </c>
      <c r="AK106" s="23" t="str">
        <f t="shared" si="42"/>
        <v>N/A</v>
      </c>
      <c r="AL106" s="24" t="str">
        <f t="shared" si="43"/>
        <v>—</v>
      </c>
    </row>
    <row r="107" spans="1:38" ht="16.05" customHeight="1" x14ac:dyDescent="0.3">
      <c r="A107" s="13" t="s">
        <v>297</v>
      </c>
      <c r="B107" s="14" t="s">
        <v>298</v>
      </c>
      <c r="C107" s="13" t="s">
        <v>139</v>
      </c>
      <c r="D107" s="15">
        <v>2059443.82</v>
      </c>
      <c r="E107" s="16" t="str">
        <f>IF(NORMALIZADO!CB106="","",NORMALIZADO!CB106)</f>
        <v/>
      </c>
      <c r="F107" s="17" t="str">
        <f>IF(NORMALIZADO!CC106="","",NORMALIZADO!CC106)</f>
        <v/>
      </c>
      <c r="G107" s="17">
        <f>IF(NORMALIZADO!CD106="",IFERROR(MATRIZ_174!U106*100,""),NORMALIZADO!CD106)</f>
        <v>100</v>
      </c>
      <c r="H107" s="16" t="str">
        <f>IF(NORMALIZADO!CE106="","",NORMALIZADO!CE106)</f>
        <v/>
      </c>
      <c r="I107" s="17" t="str">
        <f>IF(NORMALIZADO!CF106="","",NORMALIZADO!CF106)</f>
        <v/>
      </c>
      <c r="J107" s="17" t="str">
        <f>IF(NORMALIZADO!CG106="","",NORMALIZADO!CG106)</f>
        <v/>
      </c>
      <c r="K107" s="16" t="str">
        <f>IF(NORMALIZADO!CH106="","",NORMALIZADO!CH106)</f>
        <v/>
      </c>
      <c r="L107" s="16" t="str">
        <f>IF(NORMALIZADO!CI106="","",NORMALIZADO!CI106)</f>
        <v/>
      </c>
      <c r="M107" s="16" t="str">
        <f>IF(NORMALIZADO!CJ106="","",NORMALIZADO!CJ106)</f>
        <v/>
      </c>
      <c r="N107" s="16" t="str">
        <f>IF(NORMALIZADO!CK106="","",NORMALIZADO!CK106)</f>
        <v/>
      </c>
      <c r="O107" s="16" t="str">
        <f>IF(NORMALIZADO!CL106="","",NORMALIZADO!CL106)</f>
        <v/>
      </c>
      <c r="P107" s="17" t="str">
        <f t="shared" si="33"/>
        <v/>
      </c>
      <c r="Q107" s="17">
        <f t="shared" si="34"/>
        <v>0</v>
      </c>
      <c r="R107" s="17">
        <f t="shared" si="35"/>
        <v>0</v>
      </c>
      <c r="S107" s="17">
        <f t="shared" si="36"/>
        <v>0</v>
      </c>
      <c r="T107" s="17">
        <f>IF(ISNUMBER(MATRIZ_174!O106),IFERROR((K107+M107+MATRIZ_174!O106)/3,0),"")</f>
        <v>0</v>
      </c>
      <c r="U107" s="18">
        <f>IF(ISNUMBER(MATRIZ_174!M106),MIN(100,ROUND(MATRIZ_174!M106,1)),"")</f>
        <v>49.6</v>
      </c>
      <c r="V107" s="18">
        <f t="shared" si="37"/>
        <v>50</v>
      </c>
      <c r="W107" s="18">
        <f>IFERROR(IF(MATRIZ_174!R106=0,65,IF(MATRIZ_174!R106/MATRIZ_174!Q106&gt;=2,35,IF(MATRIZ_174!R106/MATRIZ_174!Q106&gt;=0.5,50,65))),65)</f>
        <v>35</v>
      </c>
      <c r="X107" s="18">
        <f>IF(ISNUMBER(MATRIZ_174!O106),MIN(100,IF(MATRIZ_174!O106=0,70,30)+IF(MATRIZ_174!U106="",0,0.3*(100-MATRIZ_174!U106*100))),"")</f>
        <v>30</v>
      </c>
      <c r="Y107" s="18">
        <f>IF(OR(MATRIZ_174!P106="ASOCIACION",MATRIZ_174!P106="PENDIENTE"),65,40)</f>
        <v>65</v>
      </c>
      <c r="Z107" s="19" t="str">
        <f t="shared" si="38"/>
        <v>—</v>
      </c>
      <c r="AA107" s="20">
        <f t="shared" si="39"/>
        <v>45.9</v>
      </c>
      <c r="AB107" s="21" t="str">
        <f t="shared" si="40"/>
        <v>—</v>
      </c>
      <c r="AC107" s="13" t="str">
        <f t="shared" si="41"/>
        <v>⬜  Pendiente de instrumento</v>
      </c>
      <c r="AD107" s="13" t="str">
        <f>IF(MATRIZ_174!U106="","",IF(MATRIZ_174!U106=0,"🚫  Inh. vigente OSCE",""))</f>
        <v/>
      </c>
      <c r="AE107" s="22">
        <f>IFERROR(MATRIZ_174!W106,0)</f>
        <v>1</v>
      </c>
      <c r="AF107" s="22">
        <f>IFERROR(MATRIZ_174!X106,0)</f>
        <v>0</v>
      </c>
      <c r="AG107" s="22">
        <f>IFERROR(MATRIZ_174!Y106,0)</f>
        <v>0</v>
      </c>
      <c r="AH107" s="22">
        <f>IFERROR(MATRIZ_174!Z106,0)</f>
        <v>0</v>
      </c>
      <c r="AI107" s="17">
        <f>IFERROR(MATRIZ_174!AP106,"N/A")</f>
        <v>0.42541666666666672</v>
      </c>
      <c r="AJ107" s="17" t="str">
        <f>IFERROR(MATRIZ_174!AO106,"N/A")</f>
        <v>N/A</v>
      </c>
      <c r="AK107" s="23" t="str">
        <f t="shared" si="42"/>
        <v>N/A</v>
      </c>
      <c r="AL107" s="24" t="str">
        <f t="shared" si="43"/>
        <v>—</v>
      </c>
    </row>
    <row r="108" spans="1:38" ht="16.05" customHeight="1" x14ac:dyDescent="0.3">
      <c r="A108" s="13" t="s">
        <v>299</v>
      </c>
      <c r="B108" s="14" t="s">
        <v>300</v>
      </c>
      <c r="C108" s="13" t="s">
        <v>109</v>
      </c>
      <c r="D108" s="15">
        <v>0</v>
      </c>
      <c r="E108" s="16" t="str">
        <f>IF(NORMALIZADO!CB107="","",NORMALIZADO!CB107)</f>
        <v/>
      </c>
      <c r="F108" s="17" t="str">
        <f>IF(NORMALIZADO!CC107="","",NORMALIZADO!CC107)</f>
        <v/>
      </c>
      <c r="G108" s="17">
        <f>IF(NORMALIZADO!CD107="",IFERROR(MATRIZ_174!U107*100,""),NORMALIZADO!CD107)</f>
        <v>100</v>
      </c>
      <c r="H108" s="16" t="str">
        <f>IF(NORMALIZADO!CE107="","",NORMALIZADO!CE107)</f>
        <v/>
      </c>
      <c r="I108" s="17" t="str">
        <f>IF(NORMALIZADO!CF107="","",NORMALIZADO!CF107)</f>
        <v/>
      </c>
      <c r="J108" s="17" t="str">
        <f>IF(NORMALIZADO!CG107="","",NORMALIZADO!CG107)</f>
        <v/>
      </c>
      <c r="K108" s="16" t="str">
        <f>IF(NORMALIZADO!CH107="","",NORMALIZADO!CH107)</f>
        <v/>
      </c>
      <c r="L108" s="16" t="str">
        <f>IF(NORMALIZADO!CI107="","",NORMALIZADO!CI107)</f>
        <v/>
      </c>
      <c r="M108" s="16" t="str">
        <f>IF(NORMALIZADO!CJ107="","",NORMALIZADO!CJ107)</f>
        <v/>
      </c>
      <c r="N108" s="16" t="str">
        <f>IF(NORMALIZADO!CK107="","",NORMALIZADO!CK107)</f>
        <v/>
      </c>
      <c r="O108" s="16" t="str">
        <f>IF(NORMALIZADO!CL107="","",NORMALIZADO!CL107)</f>
        <v/>
      </c>
      <c r="P108" s="17" t="str">
        <f t="shared" si="33"/>
        <v/>
      </c>
      <c r="Q108" s="17">
        <f t="shared" si="34"/>
        <v>0</v>
      </c>
      <c r="R108" s="17">
        <f t="shared" si="35"/>
        <v>0</v>
      </c>
      <c r="S108" s="17">
        <f t="shared" si="36"/>
        <v>0</v>
      </c>
      <c r="T108" s="17" t="str">
        <f>IF(ISNUMBER(MATRIZ_174!O107),IFERROR((K108+M108+MATRIZ_174!O107)/3,0),"")</f>
        <v/>
      </c>
      <c r="U108" s="18" t="str">
        <f>IF(ISNUMBER(MATRIZ_174!M107),MIN(100,ROUND(MATRIZ_174!M107,1)),"")</f>
        <v/>
      </c>
      <c r="V108" s="18">
        <f t="shared" si="37"/>
        <v>50</v>
      </c>
      <c r="W108" s="18">
        <f>IFERROR(IF(MATRIZ_174!R107=0,65,IF(MATRIZ_174!R107/MATRIZ_174!Q107&gt;=2,35,IF(MATRIZ_174!R107/MATRIZ_174!Q107&gt;=0.5,50,65))),65)</f>
        <v>65</v>
      </c>
      <c r="X108" s="18" t="str">
        <f>IF(ISNUMBER(MATRIZ_174!O107),MIN(100,IF(MATRIZ_174!O107=0,70,30)+IF(MATRIZ_174!U107="",0,0.3*(100-MATRIZ_174!U107*100))),"")</f>
        <v/>
      </c>
      <c r="Y108" s="18">
        <f>IF(OR(MATRIZ_174!P107="ASOCIACION",MATRIZ_174!P107="PENDIENTE"),65,40)</f>
        <v>65</v>
      </c>
      <c r="Z108" s="19" t="str">
        <f t="shared" si="38"/>
        <v>—</v>
      </c>
      <c r="AA108" s="20">
        <f t="shared" si="39"/>
        <v>60</v>
      </c>
      <c r="AB108" s="21" t="str">
        <f t="shared" si="40"/>
        <v>—</v>
      </c>
      <c r="AC108" s="13" t="str">
        <f t="shared" si="41"/>
        <v>⬜  Pendiente de instrumento</v>
      </c>
      <c r="AD108" s="13" t="str">
        <f>IF(MATRIZ_174!U107="","",IF(MATRIZ_174!U107=0,"🚫  Inh. vigente OSCE",""))</f>
        <v/>
      </c>
      <c r="AE108" s="22">
        <f>IFERROR(MATRIZ_174!W107,0)</f>
        <v>0</v>
      </c>
      <c r="AF108" s="22">
        <f>IFERROR(MATRIZ_174!X107,0)</f>
        <v>0</v>
      </c>
      <c r="AG108" s="22">
        <f>IFERROR(MATRIZ_174!Y107,0)</f>
        <v>0</v>
      </c>
      <c r="AH108" s="22">
        <f>IFERROR(MATRIZ_174!Z107,0)</f>
        <v>0</v>
      </c>
      <c r="AI108" s="17">
        <f>IFERROR(MATRIZ_174!AP107,"N/A")</f>
        <v>0</v>
      </c>
      <c r="AJ108" s="17" t="str">
        <f>IFERROR(MATRIZ_174!AO107,"N/A")</f>
        <v>N/A</v>
      </c>
      <c r="AK108" s="23" t="str">
        <f t="shared" si="42"/>
        <v>N/A</v>
      </c>
      <c r="AL108" s="24" t="str">
        <f t="shared" si="43"/>
        <v>—</v>
      </c>
    </row>
    <row r="109" spans="1:38" ht="16.05" customHeight="1" x14ac:dyDescent="0.3">
      <c r="A109" s="13" t="s">
        <v>301</v>
      </c>
      <c r="B109" s="14" t="s">
        <v>302</v>
      </c>
      <c r="C109" s="13" t="s">
        <v>109</v>
      </c>
      <c r="D109" s="15">
        <v>10616860.41</v>
      </c>
      <c r="E109" s="16" t="str">
        <f>IF(NORMALIZADO!CB108="","",NORMALIZADO!CB108)</f>
        <v/>
      </c>
      <c r="F109" s="17" t="str">
        <f>IF(NORMALIZADO!CC108="","",NORMALIZADO!CC108)</f>
        <v/>
      </c>
      <c r="G109" s="17">
        <f>IF(NORMALIZADO!CD108="",IFERROR(MATRIZ_174!U108*100,""),NORMALIZADO!CD108)</f>
        <v>100</v>
      </c>
      <c r="H109" s="16" t="str">
        <f>IF(NORMALIZADO!CE108="","",NORMALIZADO!CE108)</f>
        <v/>
      </c>
      <c r="I109" s="17" t="str">
        <f>IF(NORMALIZADO!CF108="","",NORMALIZADO!CF108)</f>
        <v/>
      </c>
      <c r="J109" s="17" t="str">
        <f>IF(NORMALIZADO!CG108="","",NORMALIZADO!CG108)</f>
        <v/>
      </c>
      <c r="K109" s="16" t="str">
        <f>IF(NORMALIZADO!CH108="","",NORMALIZADO!CH108)</f>
        <v/>
      </c>
      <c r="L109" s="16" t="str">
        <f>IF(NORMALIZADO!CI108="","",NORMALIZADO!CI108)</f>
        <v/>
      </c>
      <c r="M109" s="16" t="str">
        <f>IF(NORMALIZADO!CJ108="","",NORMALIZADO!CJ108)</f>
        <v/>
      </c>
      <c r="N109" s="16" t="str">
        <f>IF(NORMALIZADO!CK108="","",NORMALIZADO!CK108)</f>
        <v/>
      </c>
      <c r="O109" s="16" t="str">
        <f>IF(NORMALIZADO!CL108="","",NORMALIZADO!CL108)</f>
        <v/>
      </c>
      <c r="P109" s="17" t="str">
        <f t="shared" si="33"/>
        <v/>
      </c>
      <c r="Q109" s="17">
        <f t="shared" si="34"/>
        <v>0</v>
      </c>
      <c r="R109" s="17">
        <f t="shared" si="35"/>
        <v>0</v>
      </c>
      <c r="S109" s="17">
        <f t="shared" si="36"/>
        <v>0</v>
      </c>
      <c r="T109" s="17" t="str">
        <f>IF(ISNUMBER(MATRIZ_174!O108),IFERROR((K109+M109+MATRIZ_174!O108)/3,0),"")</f>
        <v/>
      </c>
      <c r="U109" s="18">
        <f>IF(ISNUMBER(MATRIZ_174!M108),MIN(100,ROUND(MATRIZ_174!M108,1)),"")</f>
        <v>50</v>
      </c>
      <c r="V109" s="18">
        <f t="shared" si="37"/>
        <v>50</v>
      </c>
      <c r="W109" s="18">
        <f>IFERROR(IF(MATRIZ_174!R108=0,65,IF(MATRIZ_174!R108/MATRIZ_174!Q108&gt;=2,35,IF(MATRIZ_174!R108/MATRIZ_174!Q108&gt;=0.5,50,65))),65)</f>
        <v>65</v>
      </c>
      <c r="X109" s="18" t="str">
        <f>IF(ISNUMBER(MATRIZ_174!O108),MIN(100,IF(MATRIZ_174!O108=0,70,30)+IF(MATRIZ_174!U108="",0,0.3*(100-MATRIZ_174!U108*100))),"")</f>
        <v/>
      </c>
      <c r="Y109" s="18">
        <f>IF(OR(MATRIZ_174!P108="ASOCIACION",MATRIZ_174!P108="PENDIENTE"),65,40)</f>
        <v>65</v>
      </c>
      <c r="Z109" s="19" t="str">
        <f t="shared" si="38"/>
        <v>—</v>
      </c>
      <c r="AA109" s="20">
        <f t="shared" si="39"/>
        <v>57.5</v>
      </c>
      <c r="AB109" s="21" t="str">
        <f t="shared" si="40"/>
        <v>—</v>
      </c>
      <c r="AC109" s="13" t="str">
        <f t="shared" si="41"/>
        <v>⬜  Pendiente de instrumento</v>
      </c>
      <c r="AD109" s="13" t="str">
        <f>IF(MATRIZ_174!U108="","",IF(MATRIZ_174!U108=0,"🚫  Inh. vigente OSCE",""))</f>
        <v/>
      </c>
      <c r="AE109" s="22">
        <f>IFERROR(MATRIZ_174!W108,0)</f>
        <v>1</v>
      </c>
      <c r="AF109" s="22">
        <f>IFERROR(MATRIZ_174!X108,0)</f>
        <v>0</v>
      </c>
      <c r="AG109" s="22">
        <f>IFERROR(MATRIZ_174!Y108,0)</f>
        <v>0</v>
      </c>
      <c r="AH109" s="22">
        <f>IFERROR(MATRIZ_174!Z108,0)</f>
        <v>0</v>
      </c>
      <c r="AI109" s="17">
        <f>IFERROR(MATRIZ_174!AP108,"N/A")</f>
        <v>0.3125</v>
      </c>
      <c r="AJ109" s="17" t="str">
        <f>IFERROR(MATRIZ_174!AO108,"N/A")</f>
        <v>N/A</v>
      </c>
      <c r="AK109" s="23" t="str">
        <f t="shared" si="42"/>
        <v>N/A</v>
      </c>
      <c r="AL109" s="24" t="str">
        <f t="shared" si="43"/>
        <v>—</v>
      </c>
    </row>
    <row r="110" spans="1:38" ht="16.05" customHeight="1" x14ac:dyDescent="0.3">
      <c r="A110" s="13" t="s">
        <v>303</v>
      </c>
      <c r="B110" s="14" t="s">
        <v>304</v>
      </c>
      <c r="C110" s="13" t="s">
        <v>72</v>
      </c>
      <c r="D110" s="15">
        <v>0</v>
      </c>
      <c r="E110" s="16" t="str">
        <f>IF(NORMALIZADO!CB109="","",NORMALIZADO!CB109)</f>
        <v/>
      </c>
      <c r="F110" s="17" t="str">
        <f>IF(NORMALIZADO!CC109="","",NORMALIZADO!CC109)</f>
        <v/>
      </c>
      <c r="G110" s="17">
        <f>IF(NORMALIZADO!CD109="",IFERROR(MATRIZ_174!U109*100,""),NORMALIZADO!CD109)</f>
        <v>100</v>
      </c>
      <c r="H110" s="16" t="str">
        <f>IF(NORMALIZADO!CE109="","",NORMALIZADO!CE109)</f>
        <v/>
      </c>
      <c r="I110" s="17" t="str">
        <f>IF(NORMALIZADO!CF109="","",NORMALIZADO!CF109)</f>
        <v/>
      </c>
      <c r="J110" s="17" t="str">
        <f>IF(NORMALIZADO!CG109="","",NORMALIZADO!CG109)</f>
        <v/>
      </c>
      <c r="K110" s="16" t="str">
        <f>IF(NORMALIZADO!CH109="","",NORMALIZADO!CH109)</f>
        <v/>
      </c>
      <c r="L110" s="16" t="str">
        <f>IF(NORMALIZADO!CI109="","",NORMALIZADO!CI109)</f>
        <v/>
      </c>
      <c r="M110" s="16" t="str">
        <f>IF(NORMALIZADO!CJ109="","",NORMALIZADO!CJ109)</f>
        <v/>
      </c>
      <c r="N110" s="16" t="str">
        <f>IF(NORMALIZADO!CK109="","",NORMALIZADO!CK109)</f>
        <v/>
      </c>
      <c r="O110" s="16" t="str">
        <f>IF(NORMALIZADO!CL109="","",NORMALIZADO!CL109)</f>
        <v/>
      </c>
      <c r="P110" s="17" t="str">
        <f t="shared" si="33"/>
        <v/>
      </c>
      <c r="Q110" s="17">
        <f t="shared" si="34"/>
        <v>0</v>
      </c>
      <c r="R110" s="17">
        <f t="shared" si="35"/>
        <v>0</v>
      </c>
      <c r="S110" s="17">
        <f t="shared" si="36"/>
        <v>0</v>
      </c>
      <c r="T110" s="17" t="str">
        <f>IF(ISNUMBER(MATRIZ_174!O109),IFERROR((K110+M110+MATRIZ_174!O109)/3,0),"")</f>
        <v/>
      </c>
      <c r="U110" s="18" t="str">
        <f>IF(ISNUMBER(MATRIZ_174!M109),MIN(100,ROUND(MATRIZ_174!M109,1)),"")</f>
        <v/>
      </c>
      <c r="V110" s="18">
        <f t="shared" si="37"/>
        <v>50</v>
      </c>
      <c r="W110" s="18">
        <f>IFERROR(IF(MATRIZ_174!R109=0,65,IF(MATRIZ_174!R109/MATRIZ_174!Q109&gt;=2,35,IF(MATRIZ_174!R109/MATRIZ_174!Q109&gt;=0.5,50,65))),65)</f>
        <v>65</v>
      </c>
      <c r="X110" s="18" t="str">
        <f>IF(ISNUMBER(MATRIZ_174!O109),MIN(100,IF(MATRIZ_174!O109=0,70,30)+IF(MATRIZ_174!U109="",0,0.3*(100-MATRIZ_174!U109*100))),"")</f>
        <v/>
      </c>
      <c r="Y110" s="18">
        <f>IF(OR(MATRIZ_174!P109="ASOCIACION",MATRIZ_174!P109="PENDIENTE"),65,40)</f>
        <v>65</v>
      </c>
      <c r="Z110" s="19" t="str">
        <f t="shared" si="38"/>
        <v>—</v>
      </c>
      <c r="AA110" s="20">
        <f t="shared" si="39"/>
        <v>60</v>
      </c>
      <c r="AB110" s="21" t="str">
        <f t="shared" si="40"/>
        <v>—</v>
      </c>
      <c r="AC110" s="13" t="str">
        <f t="shared" si="41"/>
        <v>⬜  Pendiente de instrumento</v>
      </c>
      <c r="AD110" s="13" t="str">
        <f>IF(MATRIZ_174!U109="","",IF(MATRIZ_174!U109=0,"🚫  Inh. vigente OSCE",""))</f>
        <v/>
      </c>
      <c r="AE110" s="22">
        <f>IFERROR(MATRIZ_174!W109,0)</f>
        <v>0</v>
      </c>
      <c r="AF110" s="22">
        <f>IFERROR(MATRIZ_174!X109,0)</f>
        <v>0</v>
      </c>
      <c r="AG110" s="22">
        <f>IFERROR(MATRIZ_174!Y109,0)</f>
        <v>0</v>
      </c>
      <c r="AH110" s="22">
        <f>IFERROR(MATRIZ_174!Z109,0)</f>
        <v>0</v>
      </c>
      <c r="AI110" s="17">
        <f>IFERROR(MATRIZ_174!AP109,"N/A")</f>
        <v>0</v>
      </c>
      <c r="AJ110" s="17" t="str">
        <f>IFERROR(MATRIZ_174!AO109,"N/A")</f>
        <v>N/A</v>
      </c>
      <c r="AK110" s="23" t="str">
        <f t="shared" si="42"/>
        <v>N/A</v>
      </c>
      <c r="AL110" s="24" t="str">
        <f t="shared" si="43"/>
        <v>—</v>
      </c>
    </row>
    <row r="111" spans="1:38" ht="16.05" customHeight="1" x14ac:dyDescent="0.3">
      <c r="A111" s="13" t="s">
        <v>305</v>
      </c>
      <c r="B111" s="14" t="s">
        <v>306</v>
      </c>
      <c r="C111" s="13" t="s">
        <v>119</v>
      </c>
      <c r="D111" s="15">
        <v>0</v>
      </c>
      <c r="E111" s="16" t="str">
        <f>IF(NORMALIZADO!CB110="","",NORMALIZADO!CB110)</f>
        <v/>
      </c>
      <c r="F111" s="17" t="str">
        <f>IF(NORMALIZADO!CC110="","",NORMALIZADO!CC110)</f>
        <v/>
      </c>
      <c r="G111" s="17">
        <f>IF(NORMALIZADO!CD110="",IFERROR(MATRIZ_174!U110*100,""),NORMALIZADO!CD110)</f>
        <v>100</v>
      </c>
      <c r="H111" s="16" t="str">
        <f>IF(NORMALIZADO!CE110="","",NORMALIZADO!CE110)</f>
        <v/>
      </c>
      <c r="I111" s="17" t="str">
        <f>IF(NORMALIZADO!CF110="","",NORMALIZADO!CF110)</f>
        <v/>
      </c>
      <c r="J111" s="17" t="str">
        <f>IF(NORMALIZADO!CG110="","",NORMALIZADO!CG110)</f>
        <v/>
      </c>
      <c r="K111" s="16" t="str">
        <f>IF(NORMALIZADO!CH110="","",NORMALIZADO!CH110)</f>
        <v/>
      </c>
      <c r="L111" s="16" t="str">
        <f>IF(NORMALIZADO!CI110="","",NORMALIZADO!CI110)</f>
        <v/>
      </c>
      <c r="M111" s="16" t="str">
        <f>IF(NORMALIZADO!CJ110="","",NORMALIZADO!CJ110)</f>
        <v/>
      </c>
      <c r="N111" s="16" t="str">
        <f>IF(NORMALIZADO!CK110="","",NORMALIZADO!CK110)</f>
        <v/>
      </c>
      <c r="O111" s="16" t="str">
        <f>IF(NORMALIZADO!CL110="","",NORMALIZADO!CL110)</f>
        <v/>
      </c>
      <c r="P111" s="17" t="str">
        <f t="shared" si="33"/>
        <v/>
      </c>
      <c r="Q111" s="17">
        <f t="shared" si="34"/>
        <v>0</v>
      </c>
      <c r="R111" s="17">
        <f t="shared" si="35"/>
        <v>0</v>
      </c>
      <c r="S111" s="17">
        <f t="shared" si="36"/>
        <v>0</v>
      </c>
      <c r="T111" s="17" t="str">
        <f>IF(ISNUMBER(MATRIZ_174!O110),IFERROR((K111+M111+MATRIZ_174!O110)/3,0),"")</f>
        <v/>
      </c>
      <c r="U111" s="18" t="str">
        <f>IF(ISNUMBER(MATRIZ_174!M110),MIN(100,ROUND(MATRIZ_174!M110,1)),"")</f>
        <v/>
      </c>
      <c r="V111" s="18">
        <f t="shared" si="37"/>
        <v>50</v>
      </c>
      <c r="W111" s="18">
        <f>IFERROR(IF(MATRIZ_174!R110=0,65,IF(MATRIZ_174!R110/MATRIZ_174!Q110&gt;=2,35,IF(MATRIZ_174!R110/MATRIZ_174!Q110&gt;=0.5,50,65))),65)</f>
        <v>65</v>
      </c>
      <c r="X111" s="18" t="str">
        <f>IF(ISNUMBER(MATRIZ_174!O110),MIN(100,IF(MATRIZ_174!O110=0,70,30)+IF(MATRIZ_174!U110="",0,0.3*(100-MATRIZ_174!U110*100))),"")</f>
        <v/>
      </c>
      <c r="Y111" s="18">
        <f>IF(OR(MATRIZ_174!P110="ASOCIACION",MATRIZ_174!P110="PENDIENTE"),65,40)</f>
        <v>65</v>
      </c>
      <c r="Z111" s="19" t="str">
        <f t="shared" si="38"/>
        <v>—</v>
      </c>
      <c r="AA111" s="20">
        <f t="shared" si="39"/>
        <v>60</v>
      </c>
      <c r="AB111" s="21" t="str">
        <f t="shared" si="40"/>
        <v>—</v>
      </c>
      <c r="AC111" s="13" t="str">
        <f t="shared" si="41"/>
        <v>⬜  Pendiente de instrumento</v>
      </c>
      <c r="AD111" s="13" t="str">
        <f>IF(MATRIZ_174!U110="","",IF(MATRIZ_174!U110=0,"🚫  Inh. vigente OSCE",""))</f>
        <v/>
      </c>
      <c r="AE111" s="22">
        <f>IFERROR(MATRIZ_174!W110,0)</f>
        <v>0</v>
      </c>
      <c r="AF111" s="22">
        <f>IFERROR(MATRIZ_174!X110,0)</f>
        <v>0</v>
      </c>
      <c r="AG111" s="22">
        <f>IFERROR(MATRIZ_174!Y110,0)</f>
        <v>0</v>
      </c>
      <c r="AH111" s="22">
        <f>IFERROR(MATRIZ_174!Z110,0)</f>
        <v>0</v>
      </c>
      <c r="AI111" s="17">
        <f>IFERROR(MATRIZ_174!AP110,"N/A")</f>
        <v>0</v>
      </c>
      <c r="AJ111" s="17" t="str">
        <f>IFERROR(MATRIZ_174!AO110,"N/A")</f>
        <v>N/A</v>
      </c>
      <c r="AK111" s="23" t="str">
        <f t="shared" si="42"/>
        <v>N/A</v>
      </c>
      <c r="AL111" s="24" t="str">
        <f t="shared" si="43"/>
        <v>—</v>
      </c>
    </row>
    <row r="112" spans="1:38" ht="16.05" customHeight="1" x14ac:dyDescent="0.3">
      <c r="A112" s="13" t="s">
        <v>307</v>
      </c>
      <c r="B112" s="14" t="s">
        <v>308</v>
      </c>
      <c r="C112" s="13" t="s">
        <v>112</v>
      </c>
      <c r="D112" s="15">
        <v>0</v>
      </c>
      <c r="E112" s="16" t="str">
        <f>IF(NORMALIZADO!CB111="","",NORMALIZADO!CB111)</f>
        <v/>
      </c>
      <c r="F112" s="17" t="str">
        <f>IF(NORMALIZADO!CC111="","",NORMALIZADO!CC111)</f>
        <v/>
      </c>
      <c r="G112" s="17">
        <f>IF(NORMALIZADO!CD111="",IFERROR(MATRIZ_174!U111*100,""),NORMALIZADO!CD111)</f>
        <v>100</v>
      </c>
      <c r="H112" s="16" t="str">
        <f>IF(NORMALIZADO!CE111="","",NORMALIZADO!CE111)</f>
        <v/>
      </c>
      <c r="I112" s="17" t="str">
        <f>IF(NORMALIZADO!CF111="","",NORMALIZADO!CF111)</f>
        <v/>
      </c>
      <c r="J112" s="17" t="str">
        <f>IF(NORMALIZADO!CG111="","",NORMALIZADO!CG111)</f>
        <v/>
      </c>
      <c r="K112" s="16" t="str">
        <f>IF(NORMALIZADO!CH111="","",NORMALIZADO!CH111)</f>
        <v/>
      </c>
      <c r="L112" s="16" t="str">
        <f>IF(NORMALIZADO!CI111="","",NORMALIZADO!CI111)</f>
        <v/>
      </c>
      <c r="M112" s="16" t="str">
        <f>IF(NORMALIZADO!CJ111="","",NORMALIZADO!CJ111)</f>
        <v/>
      </c>
      <c r="N112" s="16" t="str">
        <f>IF(NORMALIZADO!CK111="","",NORMALIZADO!CK111)</f>
        <v/>
      </c>
      <c r="O112" s="16" t="str">
        <f>IF(NORMALIZADO!CL111="","",NORMALIZADO!CL111)</f>
        <v/>
      </c>
      <c r="P112" s="17" t="str">
        <f t="shared" si="33"/>
        <v/>
      </c>
      <c r="Q112" s="17">
        <f t="shared" si="34"/>
        <v>0</v>
      </c>
      <c r="R112" s="17">
        <f t="shared" si="35"/>
        <v>0</v>
      </c>
      <c r="S112" s="17">
        <f t="shared" si="36"/>
        <v>0</v>
      </c>
      <c r="T112" s="17" t="str">
        <f>IF(ISNUMBER(MATRIZ_174!O111),IFERROR((K112+M112+MATRIZ_174!O111)/3,0),"")</f>
        <v/>
      </c>
      <c r="U112" s="18">
        <f>IF(ISNUMBER(MATRIZ_174!M111),MIN(100,ROUND(MATRIZ_174!M111,1)),"")</f>
        <v>0</v>
      </c>
      <c r="V112" s="18">
        <f t="shared" si="37"/>
        <v>50</v>
      </c>
      <c r="W112" s="18">
        <f>IFERROR(IF(MATRIZ_174!R111=0,65,IF(MATRIZ_174!R111/MATRIZ_174!Q111&gt;=2,35,IF(MATRIZ_174!R111/MATRIZ_174!Q111&gt;=0.5,50,65))),65)</f>
        <v>65</v>
      </c>
      <c r="X112" s="18" t="str">
        <f>IF(ISNUMBER(MATRIZ_174!O111),MIN(100,IF(MATRIZ_174!O111=0,70,30)+IF(MATRIZ_174!U111="",0,0.3*(100-MATRIZ_174!U111*100))),"")</f>
        <v/>
      </c>
      <c r="Y112" s="18">
        <f>IF(OR(MATRIZ_174!P111="ASOCIACION",MATRIZ_174!P111="PENDIENTE"),65,40)</f>
        <v>65</v>
      </c>
      <c r="Z112" s="19" t="str">
        <f t="shared" si="38"/>
        <v>—</v>
      </c>
      <c r="AA112" s="20">
        <f t="shared" si="39"/>
        <v>45</v>
      </c>
      <c r="AB112" s="21" t="str">
        <f t="shared" si="40"/>
        <v>—</v>
      </c>
      <c r="AC112" s="13" t="str">
        <f t="shared" si="41"/>
        <v>⬜  Pendiente de instrumento</v>
      </c>
      <c r="AD112" s="13" t="str">
        <f>IF(MATRIZ_174!U111="","",IF(MATRIZ_174!U111=0,"🚫  Inh. vigente OSCE",""))</f>
        <v/>
      </c>
      <c r="AE112" s="22">
        <f>IFERROR(MATRIZ_174!W111,0)</f>
        <v>0</v>
      </c>
      <c r="AF112" s="22">
        <f>IFERROR(MATRIZ_174!X111,0)</f>
        <v>0</v>
      </c>
      <c r="AG112" s="22">
        <f>IFERROR(MATRIZ_174!Y111,0)</f>
        <v>0</v>
      </c>
      <c r="AH112" s="22">
        <f>IFERROR(MATRIZ_174!Z111,0)</f>
        <v>0</v>
      </c>
      <c r="AI112" s="17">
        <f>IFERROR(MATRIZ_174!AP111,"N/A")</f>
        <v>0</v>
      </c>
      <c r="AJ112" s="17" t="str">
        <f>IFERROR(MATRIZ_174!AO111,"N/A")</f>
        <v>N/A</v>
      </c>
      <c r="AK112" s="23" t="str">
        <f t="shared" si="42"/>
        <v>N/A</v>
      </c>
      <c r="AL112" s="24" t="str">
        <f t="shared" si="43"/>
        <v>—</v>
      </c>
    </row>
    <row r="113" spans="1:38" ht="16.05" customHeight="1" x14ac:dyDescent="0.3">
      <c r="A113" s="13" t="s">
        <v>309</v>
      </c>
      <c r="B113" s="14" t="s">
        <v>310</v>
      </c>
      <c r="C113" s="13" t="s">
        <v>119</v>
      </c>
      <c r="D113" s="15">
        <v>0</v>
      </c>
      <c r="E113" s="16" t="str">
        <f>IF(NORMALIZADO!CB112="","",NORMALIZADO!CB112)</f>
        <v/>
      </c>
      <c r="F113" s="17" t="str">
        <f>IF(NORMALIZADO!CC112="","",NORMALIZADO!CC112)</f>
        <v/>
      </c>
      <c r="G113" s="17">
        <f>IF(NORMALIZADO!CD112="",IFERROR(MATRIZ_174!U112*100,""),NORMALIZADO!CD112)</f>
        <v>100</v>
      </c>
      <c r="H113" s="16" t="str">
        <f>IF(NORMALIZADO!CE112="","",NORMALIZADO!CE112)</f>
        <v/>
      </c>
      <c r="I113" s="17" t="str">
        <f>IF(NORMALIZADO!CF112="","",NORMALIZADO!CF112)</f>
        <v/>
      </c>
      <c r="J113" s="17" t="str">
        <f>IF(NORMALIZADO!CG112="","",NORMALIZADO!CG112)</f>
        <v/>
      </c>
      <c r="K113" s="16" t="str">
        <f>IF(NORMALIZADO!CH112="","",NORMALIZADO!CH112)</f>
        <v/>
      </c>
      <c r="L113" s="16" t="str">
        <f>IF(NORMALIZADO!CI112="","",NORMALIZADO!CI112)</f>
        <v/>
      </c>
      <c r="M113" s="16" t="str">
        <f>IF(NORMALIZADO!CJ112="","",NORMALIZADO!CJ112)</f>
        <v/>
      </c>
      <c r="N113" s="16" t="str">
        <f>IF(NORMALIZADO!CK112="","",NORMALIZADO!CK112)</f>
        <v/>
      </c>
      <c r="O113" s="16" t="str">
        <f>IF(NORMALIZADO!CL112="","",NORMALIZADO!CL112)</f>
        <v/>
      </c>
      <c r="P113" s="17" t="str">
        <f t="shared" si="33"/>
        <v/>
      </c>
      <c r="Q113" s="17">
        <f t="shared" si="34"/>
        <v>0</v>
      </c>
      <c r="R113" s="17">
        <f t="shared" si="35"/>
        <v>0</v>
      </c>
      <c r="S113" s="17">
        <f t="shared" si="36"/>
        <v>0</v>
      </c>
      <c r="T113" s="17" t="str">
        <f>IF(ISNUMBER(MATRIZ_174!O112),IFERROR((K113+M113+MATRIZ_174!O112)/3,0),"")</f>
        <v/>
      </c>
      <c r="U113" s="18" t="str">
        <f>IF(ISNUMBER(MATRIZ_174!M112),MIN(100,ROUND(MATRIZ_174!M112,1)),"")</f>
        <v/>
      </c>
      <c r="V113" s="18">
        <f t="shared" si="37"/>
        <v>50</v>
      </c>
      <c r="W113" s="18">
        <f>IFERROR(IF(MATRIZ_174!R112=0,65,IF(MATRIZ_174!R112/MATRIZ_174!Q112&gt;=2,35,IF(MATRIZ_174!R112/MATRIZ_174!Q112&gt;=0.5,50,65))),65)</f>
        <v>65</v>
      </c>
      <c r="X113" s="18" t="str">
        <f>IF(ISNUMBER(MATRIZ_174!O112),MIN(100,IF(MATRIZ_174!O112=0,70,30)+IF(MATRIZ_174!U112="",0,0.3*(100-MATRIZ_174!U112*100))),"")</f>
        <v/>
      </c>
      <c r="Y113" s="18">
        <f>IF(OR(MATRIZ_174!P112="ASOCIACION",MATRIZ_174!P112="PENDIENTE"),65,40)</f>
        <v>65</v>
      </c>
      <c r="Z113" s="19" t="str">
        <f t="shared" si="38"/>
        <v>—</v>
      </c>
      <c r="AA113" s="20">
        <f t="shared" si="39"/>
        <v>60</v>
      </c>
      <c r="AB113" s="21" t="str">
        <f t="shared" si="40"/>
        <v>—</v>
      </c>
      <c r="AC113" s="13" t="str">
        <f t="shared" si="41"/>
        <v>⬜  Pendiente de instrumento</v>
      </c>
      <c r="AD113" s="13" t="str">
        <f>IF(MATRIZ_174!U112="","",IF(MATRIZ_174!U112=0,"🚫  Inh. vigente OSCE",""))</f>
        <v/>
      </c>
      <c r="AE113" s="22">
        <f>IFERROR(MATRIZ_174!W112,0)</f>
        <v>0</v>
      </c>
      <c r="AF113" s="22">
        <f>IFERROR(MATRIZ_174!X112,0)</f>
        <v>0</v>
      </c>
      <c r="AG113" s="22">
        <f>IFERROR(MATRIZ_174!Y112,0)</f>
        <v>0</v>
      </c>
      <c r="AH113" s="22">
        <f>IFERROR(MATRIZ_174!Z112,0)</f>
        <v>0</v>
      </c>
      <c r="AI113" s="17">
        <f>IFERROR(MATRIZ_174!AP112,"N/A")</f>
        <v>0</v>
      </c>
      <c r="AJ113" s="17" t="str">
        <f>IFERROR(MATRIZ_174!AO112,"N/A")</f>
        <v>N/A</v>
      </c>
      <c r="AK113" s="23" t="str">
        <f t="shared" si="42"/>
        <v>N/A</v>
      </c>
      <c r="AL113" s="24" t="str">
        <f t="shared" si="43"/>
        <v>—</v>
      </c>
    </row>
    <row r="114" spans="1:38" ht="16.05" customHeight="1" x14ac:dyDescent="0.3">
      <c r="A114" s="13" t="s">
        <v>311</v>
      </c>
      <c r="B114" s="14" t="s">
        <v>312</v>
      </c>
      <c r="C114" s="13" t="s">
        <v>150</v>
      </c>
      <c r="D114" s="15">
        <v>0</v>
      </c>
      <c r="E114" s="16" t="str">
        <f>IF(NORMALIZADO!CB113="","",NORMALIZADO!CB113)</f>
        <v/>
      </c>
      <c r="F114" s="17" t="str">
        <f>IF(NORMALIZADO!CC113="","",NORMALIZADO!CC113)</f>
        <v/>
      </c>
      <c r="G114" s="17">
        <f>IF(NORMALIZADO!CD113="",IFERROR(MATRIZ_174!U113*100,""),NORMALIZADO!CD113)</f>
        <v>100</v>
      </c>
      <c r="H114" s="16" t="str">
        <f>IF(NORMALIZADO!CE113="","",NORMALIZADO!CE113)</f>
        <v/>
      </c>
      <c r="I114" s="17" t="str">
        <f>IF(NORMALIZADO!CF113="","",NORMALIZADO!CF113)</f>
        <v/>
      </c>
      <c r="J114" s="17" t="str">
        <f>IF(NORMALIZADO!CG113="","",NORMALIZADO!CG113)</f>
        <v/>
      </c>
      <c r="K114" s="16" t="str">
        <f>IF(NORMALIZADO!CH113="","",NORMALIZADO!CH113)</f>
        <v/>
      </c>
      <c r="L114" s="16" t="str">
        <f>IF(NORMALIZADO!CI113="","",NORMALIZADO!CI113)</f>
        <v/>
      </c>
      <c r="M114" s="16" t="str">
        <f>IF(NORMALIZADO!CJ113="","",NORMALIZADO!CJ113)</f>
        <v/>
      </c>
      <c r="N114" s="16" t="str">
        <f>IF(NORMALIZADO!CK113="","",NORMALIZADO!CK113)</f>
        <v/>
      </c>
      <c r="O114" s="16" t="str">
        <f>IF(NORMALIZADO!CL113="","",NORMALIZADO!CL113)</f>
        <v/>
      </c>
      <c r="P114" s="17" t="str">
        <f t="shared" si="33"/>
        <v/>
      </c>
      <c r="Q114" s="17">
        <f t="shared" si="34"/>
        <v>0</v>
      </c>
      <c r="R114" s="17">
        <f t="shared" si="35"/>
        <v>0</v>
      </c>
      <c r="S114" s="17">
        <f t="shared" si="36"/>
        <v>0</v>
      </c>
      <c r="T114" s="17" t="str">
        <f>IF(ISNUMBER(MATRIZ_174!O113),IFERROR((K114+M114+MATRIZ_174!O113)/3,0),"")</f>
        <v/>
      </c>
      <c r="U114" s="18">
        <f>IF(ISNUMBER(MATRIZ_174!M113),MIN(100,ROUND(MATRIZ_174!M113,1)),"")</f>
        <v>0</v>
      </c>
      <c r="V114" s="18">
        <f t="shared" si="37"/>
        <v>50</v>
      </c>
      <c r="W114" s="18">
        <f>IFERROR(IF(MATRIZ_174!R113=0,65,IF(MATRIZ_174!R113/MATRIZ_174!Q113&gt;=2,35,IF(MATRIZ_174!R113/MATRIZ_174!Q113&gt;=0.5,50,65))),65)</f>
        <v>65</v>
      </c>
      <c r="X114" s="18" t="str">
        <f>IF(ISNUMBER(MATRIZ_174!O113),MIN(100,IF(MATRIZ_174!O113=0,70,30)+IF(MATRIZ_174!U113="",0,0.3*(100-MATRIZ_174!U113*100))),"")</f>
        <v/>
      </c>
      <c r="Y114" s="18">
        <f>IF(OR(MATRIZ_174!P113="ASOCIACION",MATRIZ_174!P113="PENDIENTE"),65,40)</f>
        <v>65</v>
      </c>
      <c r="Z114" s="19" t="str">
        <f t="shared" si="38"/>
        <v>—</v>
      </c>
      <c r="AA114" s="20">
        <f t="shared" si="39"/>
        <v>45</v>
      </c>
      <c r="AB114" s="21" t="str">
        <f t="shared" si="40"/>
        <v>—</v>
      </c>
      <c r="AC114" s="13" t="str">
        <f t="shared" si="41"/>
        <v>⬜  Pendiente de instrumento</v>
      </c>
      <c r="AD114" s="13" t="str">
        <f>IF(MATRIZ_174!U113="","",IF(MATRIZ_174!U113=0,"🚫  Inh. vigente OSCE",""))</f>
        <v/>
      </c>
      <c r="AE114" s="22">
        <f>IFERROR(MATRIZ_174!W113,0)</f>
        <v>0</v>
      </c>
      <c r="AF114" s="22">
        <f>IFERROR(MATRIZ_174!X113,0)</f>
        <v>0</v>
      </c>
      <c r="AG114" s="22">
        <f>IFERROR(MATRIZ_174!Y113,0)</f>
        <v>0</v>
      </c>
      <c r="AH114" s="22">
        <f>IFERROR(MATRIZ_174!Z113,0)</f>
        <v>0</v>
      </c>
      <c r="AI114" s="17">
        <f>IFERROR(MATRIZ_174!AP113,"N/A")</f>
        <v>0</v>
      </c>
      <c r="AJ114" s="17" t="str">
        <f>IFERROR(MATRIZ_174!AO113,"N/A")</f>
        <v>N/A</v>
      </c>
      <c r="AK114" s="23" t="str">
        <f t="shared" si="42"/>
        <v>N/A</v>
      </c>
      <c r="AL114" s="24" t="str">
        <f t="shared" si="43"/>
        <v>—</v>
      </c>
    </row>
    <row r="115" spans="1:38" ht="16.05" customHeight="1" x14ac:dyDescent="0.3">
      <c r="A115" s="13" t="s">
        <v>313</v>
      </c>
      <c r="B115" s="14" t="s">
        <v>314</v>
      </c>
      <c r="C115" s="13" t="s">
        <v>241</v>
      </c>
      <c r="D115" s="15">
        <v>0</v>
      </c>
      <c r="E115" s="16" t="str">
        <f>IF(NORMALIZADO!CB114="","",NORMALIZADO!CB114)</f>
        <v/>
      </c>
      <c r="F115" s="17" t="str">
        <f>IF(NORMALIZADO!CC114="","",NORMALIZADO!CC114)</f>
        <v/>
      </c>
      <c r="G115" s="17">
        <f>IF(NORMALIZADO!CD114="",IFERROR(MATRIZ_174!U114*100,""),NORMALIZADO!CD114)</f>
        <v>100</v>
      </c>
      <c r="H115" s="16" t="str">
        <f>IF(NORMALIZADO!CE114="","",NORMALIZADO!CE114)</f>
        <v/>
      </c>
      <c r="I115" s="17" t="str">
        <f>IF(NORMALIZADO!CF114="","",NORMALIZADO!CF114)</f>
        <v/>
      </c>
      <c r="J115" s="17" t="str">
        <f>IF(NORMALIZADO!CG114="","",NORMALIZADO!CG114)</f>
        <v/>
      </c>
      <c r="K115" s="16" t="str">
        <f>IF(NORMALIZADO!CH114="","",NORMALIZADO!CH114)</f>
        <v/>
      </c>
      <c r="L115" s="16" t="str">
        <f>IF(NORMALIZADO!CI114="","",NORMALIZADO!CI114)</f>
        <v/>
      </c>
      <c r="M115" s="16" t="str">
        <f>IF(NORMALIZADO!CJ114="","",NORMALIZADO!CJ114)</f>
        <v/>
      </c>
      <c r="N115" s="16" t="str">
        <f>IF(NORMALIZADO!CK114="","",NORMALIZADO!CK114)</f>
        <v/>
      </c>
      <c r="O115" s="16" t="str">
        <f>IF(NORMALIZADO!CL114="","",NORMALIZADO!CL114)</f>
        <v/>
      </c>
      <c r="P115" s="17" t="str">
        <f t="shared" si="33"/>
        <v/>
      </c>
      <c r="Q115" s="17">
        <f t="shared" si="34"/>
        <v>0</v>
      </c>
      <c r="R115" s="17">
        <f t="shared" si="35"/>
        <v>0</v>
      </c>
      <c r="S115" s="17">
        <f t="shared" si="36"/>
        <v>0</v>
      </c>
      <c r="T115" s="17" t="str">
        <f>IF(ISNUMBER(MATRIZ_174!O114),IFERROR((K115+M115+MATRIZ_174!O114)/3,0),"")</f>
        <v/>
      </c>
      <c r="U115" s="18" t="str">
        <f>IF(ISNUMBER(MATRIZ_174!M114),MIN(100,ROUND(MATRIZ_174!M114,1)),"")</f>
        <v/>
      </c>
      <c r="V115" s="18">
        <f t="shared" si="37"/>
        <v>50</v>
      </c>
      <c r="W115" s="18">
        <f>IFERROR(IF(MATRIZ_174!R114=0,65,IF(MATRIZ_174!R114/MATRIZ_174!Q114&gt;=2,35,IF(MATRIZ_174!R114/MATRIZ_174!Q114&gt;=0.5,50,65))),65)</f>
        <v>65</v>
      </c>
      <c r="X115" s="18" t="str">
        <f>IF(ISNUMBER(MATRIZ_174!O114),MIN(100,IF(MATRIZ_174!O114=0,70,30)+IF(MATRIZ_174!U114="",0,0.3*(100-MATRIZ_174!U114*100))),"")</f>
        <v/>
      </c>
      <c r="Y115" s="18">
        <f>IF(OR(MATRIZ_174!P114="ASOCIACION",MATRIZ_174!P114="PENDIENTE"),65,40)</f>
        <v>65</v>
      </c>
      <c r="Z115" s="19" t="str">
        <f t="shared" si="38"/>
        <v>—</v>
      </c>
      <c r="AA115" s="20">
        <f t="shared" si="39"/>
        <v>60</v>
      </c>
      <c r="AB115" s="21" t="str">
        <f t="shared" si="40"/>
        <v>—</v>
      </c>
      <c r="AC115" s="13" t="str">
        <f t="shared" si="41"/>
        <v>⬜  Pendiente de instrumento</v>
      </c>
      <c r="AD115" s="13" t="str">
        <f>IF(MATRIZ_174!U114="","",IF(MATRIZ_174!U114=0,"🚫  Inh. vigente OSCE",""))</f>
        <v/>
      </c>
      <c r="AE115" s="22">
        <f>IFERROR(MATRIZ_174!W114,0)</f>
        <v>0</v>
      </c>
      <c r="AF115" s="22">
        <f>IFERROR(MATRIZ_174!X114,0)</f>
        <v>0</v>
      </c>
      <c r="AG115" s="22">
        <f>IFERROR(MATRIZ_174!Y114,0)</f>
        <v>0</v>
      </c>
      <c r="AH115" s="22">
        <f>IFERROR(MATRIZ_174!Z114,0)</f>
        <v>0</v>
      </c>
      <c r="AI115" s="17">
        <f>IFERROR(MATRIZ_174!AP114,"N/A")</f>
        <v>0</v>
      </c>
      <c r="AJ115" s="17" t="str">
        <f>IFERROR(MATRIZ_174!AO114,"N/A")</f>
        <v>N/A</v>
      </c>
      <c r="AK115" s="23" t="str">
        <f t="shared" si="42"/>
        <v>N/A</v>
      </c>
      <c r="AL115" s="24" t="str">
        <f t="shared" si="43"/>
        <v>—</v>
      </c>
    </row>
    <row r="116" spans="1:38" ht="16.05" customHeight="1" x14ac:dyDescent="0.3">
      <c r="A116" s="13" t="s">
        <v>315</v>
      </c>
      <c r="B116" s="14" t="s">
        <v>316</v>
      </c>
      <c r="C116" s="13" t="s">
        <v>139</v>
      </c>
      <c r="D116" s="15">
        <v>0</v>
      </c>
      <c r="E116" s="16" t="str">
        <f>IF(NORMALIZADO!CB115="","",NORMALIZADO!CB115)</f>
        <v/>
      </c>
      <c r="F116" s="17" t="str">
        <f>IF(NORMALIZADO!CC115="","",NORMALIZADO!CC115)</f>
        <v/>
      </c>
      <c r="G116" s="17">
        <f>IF(NORMALIZADO!CD115="",IFERROR(MATRIZ_174!U115*100,""),NORMALIZADO!CD115)</f>
        <v>100</v>
      </c>
      <c r="H116" s="16" t="str">
        <f>IF(NORMALIZADO!CE115="","",NORMALIZADO!CE115)</f>
        <v/>
      </c>
      <c r="I116" s="17" t="str">
        <f>IF(NORMALIZADO!CF115="","",NORMALIZADO!CF115)</f>
        <v/>
      </c>
      <c r="J116" s="17" t="str">
        <f>IF(NORMALIZADO!CG115="","",NORMALIZADO!CG115)</f>
        <v/>
      </c>
      <c r="K116" s="16" t="str">
        <f>IF(NORMALIZADO!CH115="","",NORMALIZADO!CH115)</f>
        <v/>
      </c>
      <c r="L116" s="16" t="str">
        <f>IF(NORMALIZADO!CI115="","",NORMALIZADO!CI115)</f>
        <v/>
      </c>
      <c r="M116" s="16" t="str">
        <f>IF(NORMALIZADO!CJ115="","",NORMALIZADO!CJ115)</f>
        <v/>
      </c>
      <c r="N116" s="16" t="str">
        <f>IF(NORMALIZADO!CK115="","",NORMALIZADO!CK115)</f>
        <v/>
      </c>
      <c r="O116" s="16" t="str">
        <f>IF(NORMALIZADO!CL115="","",NORMALIZADO!CL115)</f>
        <v/>
      </c>
      <c r="P116" s="17" t="str">
        <f t="shared" si="33"/>
        <v/>
      </c>
      <c r="Q116" s="17">
        <f t="shared" si="34"/>
        <v>0</v>
      </c>
      <c r="R116" s="17">
        <f t="shared" si="35"/>
        <v>0</v>
      </c>
      <c r="S116" s="17">
        <f t="shared" si="36"/>
        <v>0</v>
      </c>
      <c r="T116" s="17" t="str">
        <f>IF(ISNUMBER(MATRIZ_174!O115),IFERROR((K116+M116+MATRIZ_174!O115)/3,0),"")</f>
        <v/>
      </c>
      <c r="U116" s="18">
        <f>IF(ISNUMBER(MATRIZ_174!M115),MIN(100,ROUND(MATRIZ_174!M115,1)),"")</f>
        <v>0</v>
      </c>
      <c r="V116" s="18">
        <f t="shared" si="37"/>
        <v>50</v>
      </c>
      <c r="W116" s="18">
        <f>IFERROR(IF(MATRIZ_174!R115=0,65,IF(MATRIZ_174!R115/MATRIZ_174!Q115&gt;=2,35,IF(MATRIZ_174!R115/MATRIZ_174!Q115&gt;=0.5,50,65))),65)</f>
        <v>65</v>
      </c>
      <c r="X116" s="18" t="str">
        <f>IF(ISNUMBER(MATRIZ_174!O115),MIN(100,IF(MATRIZ_174!O115=0,70,30)+IF(MATRIZ_174!U115="",0,0.3*(100-MATRIZ_174!U115*100))),"")</f>
        <v/>
      </c>
      <c r="Y116" s="18">
        <f>IF(OR(MATRIZ_174!P115="ASOCIACION",MATRIZ_174!P115="PENDIENTE"),65,40)</f>
        <v>65</v>
      </c>
      <c r="Z116" s="19" t="str">
        <f t="shared" si="38"/>
        <v>—</v>
      </c>
      <c r="AA116" s="20">
        <f t="shared" si="39"/>
        <v>45</v>
      </c>
      <c r="AB116" s="21" t="str">
        <f t="shared" si="40"/>
        <v>—</v>
      </c>
      <c r="AC116" s="13" t="str">
        <f t="shared" si="41"/>
        <v>⬜  Pendiente de instrumento</v>
      </c>
      <c r="AD116" s="13" t="str">
        <f>IF(MATRIZ_174!U115="","",IF(MATRIZ_174!U115=0,"🚫  Inh. vigente OSCE",""))</f>
        <v/>
      </c>
      <c r="AE116" s="22">
        <f>IFERROR(MATRIZ_174!W115,0)</f>
        <v>0</v>
      </c>
      <c r="AF116" s="22">
        <f>IFERROR(MATRIZ_174!X115,0)</f>
        <v>0</v>
      </c>
      <c r="AG116" s="22">
        <f>IFERROR(MATRIZ_174!Y115,0)</f>
        <v>0</v>
      </c>
      <c r="AH116" s="22">
        <f>IFERROR(MATRIZ_174!Z115,0)</f>
        <v>0</v>
      </c>
      <c r="AI116" s="17">
        <f>IFERROR(MATRIZ_174!AP115,"N/A")</f>
        <v>0</v>
      </c>
      <c r="AJ116" s="17" t="str">
        <f>IFERROR(MATRIZ_174!AO115,"N/A")</f>
        <v>N/A</v>
      </c>
      <c r="AK116" s="23" t="str">
        <f t="shared" si="42"/>
        <v>N/A</v>
      </c>
      <c r="AL116" s="24" t="str">
        <f t="shared" si="43"/>
        <v>—</v>
      </c>
    </row>
    <row r="117" spans="1:38" ht="16.05" customHeight="1" x14ac:dyDescent="0.3">
      <c r="A117" s="13" t="s">
        <v>317</v>
      </c>
      <c r="B117" s="14" t="s">
        <v>318</v>
      </c>
      <c r="C117" s="13" t="s">
        <v>241</v>
      </c>
      <c r="D117" s="15">
        <v>0</v>
      </c>
      <c r="E117" s="16" t="str">
        <f>IF(NORMALIZADO!CB116="","",NORMALIZADO!CB116)</f>
        <v/>
      </c>
      <c r="F117" s="17" t="str">
        <f>IF(NORMALIZADO!CC116="","",NORMALIZADO!CC116)</f>
        <v/>
      </c>
      <c r="G117" s="17">
        <f>IF(NORMALIZADO!CD116="",IFERROR(MATRIZ_174!U116*100,""),NORMALIZADO!CD116)</f>
        <v>100</v>
      </c>
      <c r="H117" s="16" t="str">
        <f>IF(NORMALIZADO!CE116="","",NORMALIZADO!CE116)</f>
        <v/>
      </c>
      <c r="I117" s="17" t="str">
        <f>IF(NORMALIZADO!CF116="","",NORMALIZADO!CF116)</f>
        <v/>
      </c>
      <c r="J117" s="17" t="str">
        <f>IF(NORMALIZADO!CG116="","",NORMALIZADO!CG116)</f>
        <v/>
      </c>
      <c r="K117" s="16" t="str">
        <f>IF(NORMALIZADO!CH116="","",NORMALIZADO!CH116)</f>
        <v/>
      </c>
      <c r="L117" s="16" t="str">
        <f>IF(NORMALIZADO!CI116="","",NORMALIZADO!CI116)</f>
        <v/>
      </c>
      <c r="M117" s="16" t="str">
        <f>IF(NORMALIZADO!CJ116="","",NORMALIZADO!CJ116)</f>
        <v/>
      </c>
      <c r="N117" s="16" t="str">
        <f>IF(NORMALIZADO!CK116="","",NORMALIZADO!CK116)</f>
        <v/>
      </c>
      <c r="O117" s="16" t="str">
        <f>IF(NORMALIZADO!CL116="","",NORMALIZADO!CL116)</f>
        <v/>
      </c>
      <c r="P117" s="17" t="str">
        <f t="shared" si="33"/>
        <v/>
      </c>
      <c r="Q117" s="17">
        <f t="shared" si="34"/>
        <v>0</v>
      </c>
      <c r="R117" s="17">
        <f t="shared" si="35"/>
        <v>0</v>
      </c>
      <c r="S117" s="17">
        <f t="shared" si="36"/>
        <v>0</v>
      </c>
      <c r="T117" s="17" t="str">
        <f>IF(ISNUMBER(MATRIZ_174!O116),IFERROR((K117+M117+MATRIZ_174!O116)/3,0),"")</f>
        <v/>
      </c>
      <c r="U117" s="18" t="str">
        <f>IF(ISNUMBER(MATRIZ_174!M116),MIN(100,ROUND(MATRIZ_174!M116,1)),"")</f>
        <v/>
      </c>
      <c r="V117" s="18">
        <f t="shared" si="37"/>
        <v>50</v>
      </c>
      <c r="W117" s="18">
        <f>IFERROR(IF(MATRIZ_174!R116=0,65,IF(MATRIZ_174!R116/MATRIZ_174!Q116&gt;=2,35,IF(MATRIZ_174!R116/MATRIZ_174!Q116&gt;=0.5,50,65))),65)</f>
        <v>65</v>
      </c>
      <c r="X117" s="18" t="str">
        <f>IF(ISNUMBER(MATRIZ_174!O116),MIN(100,IF(MATRIZ_174!O116=0,70,30)+IF(MATRIZ_174!U116="",0,0.3*(100-MATRIZ_174!U116*100))),"")</f>
        <v/>
      </c>
      <c r="Y117" s="18">
        <f>IF(OR(MATRIZ_174!P116="ASOCIACION",MATRIZ_174!P116="PENDIENTE"),65,40)</f>
        <v>65</v>
      </c>
      <c r="Z117" s="19" t="str">
        <f t="shared" si="38"/>
        <v>—</v>
      </c>
      <c r="AA117" s="20">
        <f t="shared" si="39"/>
        <v>60</v>
      </c>
      <c r="AB117" s="21" t="str">
        <f t="shared" si="40"/>
        <v>—</v>
      </c>
      <c r="AC117" s="13" t="str">
        <f t="shared" si="41"/>
        <v>⬜  Pendiente de instrumento</v>
      </c>
      <c r="AD117" s="13" t="str">
        <f>IF(MATRIZ_174!U116="","",IF(MATRIZ_174!U116=0,"🚫  Inh. vigente OSCE",""))</f>
        <v/>
      </c>
      <c r="AE117" s="22">
        <f>IFERROR(MATRIZ_174!W116,0)</f>
        <v>0</v>
      </c>
      <c r="AF117" s="22">
        <f>IFERROR(MATRIZ_174!X116,0)</f>
        <v>0</v>
      </c>
      <c r="AG117" s="22">
        <f>IFERROR(MATRIZ_174!Y116,0)</f>
        <v>0</v>
      </c>
      <c r="AH117" s="22">
        <f>IFERROR(MATRIZ_174!Z116,0)</f>
        <v>0</v>
      </c>
      <c r="AI117" s="17">
        <f>IFERROR(MATRIZ_174!AP116,"N/A")</f>
        <v>0</v>
      </c>
      <c r="AJ117" s="17" t="str">
        <f>IFERROR(MATRIZ_174!AO116,"N/A")</f>
        <v>N/A</v>
      </c>
      <c r="AK117" s="23" t="str">
        <f t="shared" si="42"/>
        <v>N/A</v>
      </c>
      <c r="AL117" s="24" t="str">
        <f t="shared" si="43"/>
        <v>—</v>
      </c>
    </row>
    <row r="118" spans="1:38" ht="16.05" customHeight="1" x14ac:dyDescent="0.3">
      <c r="A118" s="13" t="s">
        <v>319</v>
      </c>
      <c r="B118" s="14" t="s">
        <v>320</v>
      </c>
      <c r="C118" s="13" t="s">
        <v>179</v>
      </c>
      <c r="D118" s="15">
        <v>0</v>
      </c>
      <c r="E118" s="16" t="str">
        <f>IF(NORMALIZADO!CB117="","",NORMALIZADO!CB117)</f>
        <v/>
      </c>
      <c r="F118" s="17" t="str">
        <f>IF(NORMALIZADO!CC117="","",NORMALIZADO!CC117)</f>
        <v/>
      </c>
      <c r="G118" s="17">
        <f>IF(NORMALIZADO!CD117="",IFERROR(MATRIZ_174!U117*100,""),NORMALIZADO!CD117)</f>
        <v>100</v>
      </c>
      <c r="H118" s="16" t="str">
        <f>IF(NORMALIZADO!CE117="","",NORMALIZADO!CE117)</f>
        <v/>
      </c>
      <c r="I118" s="17" t="str">
        <f>IF(NORMALIZADO!CF117="","",NORMALIZADO!CF117)</f>
        <v/>
      </c>
      <c r="J118" s="17" t="str">
        <f>IF(NORMALIZADO!CG117="","",NORMALIZADO!CG117)</f>
        <v/>
      </c>
      <c r="K118" s="16" t="str">
        <f>IF(NORMALIZADO!CH117="","",NORMALIZADO!CH117)</f>
        <v/>
      </c>
      <c r="L118" s="16" t="str">
        <f>IF(NORMALIZADO!CI117="","",NORMALIZADO!CI117)</f>
        <v/>
      </c>
      <c r="M118" s="16" t="str">
        <f>IF(NORMALIZADO!CJ117="","",NORMALIZADO!CJ117)</f>
        <v/>
      </c>
      <c r="N118" s="16" t="str">
        <f>IF(NORMALIZADO!CK117="","",NORMALIZADO!CK117)</f>
        <v/>
      </c>
      <c r="O118" s="16" t="str">
        <f>IF(NORMALIZADO!CL117="","",NORMALIZADO!CL117)</f>
        <v/>
      </c>
      <c r="P118" s="17" t="str">
        <f t="shared" si="33"/>
        <v/>
      </c>
      <c r="Q118" s="17">
        <f t="shared" si="34"/>
        <v>0</v>
      </c>
      <c r="R118" s="17">
        <f t="shared" si="35"/>
        <v>0</v>
      </c>
      <c r="S118" s="17">
        <f t="shared" si="36"/>
        <v>0</v>
      </c>
      <c r="T118" s="17" t="str">
        <f>IF(ISNUMBER(MATRIZ_174!O117),IFERROR((K118+M118+MATRIZ_174!O117)/3,0),"")</f>
        <v/>
      </c>
      <c r="U118" s="18" t="str">
        <f>IF(ISNUMBER(MATRIZ_174!M117),MIN(100,ROUND(MATRIZ_174!M117,1)),"")</f>
        <v/>
      </c>
      <c r="V118" s="18">
        <f t="shared" si="37"/>
        <v>50</v>
      </c>
      <c r="W118" s="18">
        <f>IFERROR(IF(MATRIZ_174!R117=0,65,IF(MATRIZ_174!R117/MATRIZ_174!Q117&gt;=2,35,IF(MATRIZ_174!R117/MATRIZ_174!Q117&gt;=0.5,50,65))),65)</f>
        <v>65</v>
      </c>
      <c r="X118" s="18" t="str">
        <f>IF(ISNUMBER(MATRIZ_174!O117),MIN(100,IF(MATRIZ_174!O117=0,70,30)+IF(MATRIZ_174!U117="",0,0.3*(100-MATRIZ_174!U117*100))),"")</f>
        <v/>
      </c>
      <c r="Y118" s="18">
        <f>IF(OR(MATRIZ_174!P117="ASOCIACION",MATRIZ_174!P117="PENDIENTE"),65,40)</f>
        <v>65</v>
      </c>
      <c r="Z118" s="19" t="str">
        <f t="shared" si="38"/>
        <v>—</v>
      </c>
      <c r="AA118" s="20">
        <f t="shared" si="39"/>
        <v>60</v>
      </c>
      <c r="AB118" s="21" t="str">
        <f t="shared" si="40"/>
        <v>—</v>
      </c>
      <c r="AC118" s="13" t="str">
        <f t="shared" si="41"/>
        <v>⬜  Pendiente de instrumento</v>
      </c>
      <c r="AD118" s="13" t="str">
        <f>IF(MATRIZ_174!U117="","",IF(MATRIZ_174!U117=0,"🚫  Inh. vigente OSCE",""))</f>
        <v/>
      </c>
      <c r="AE118" s="22">
        <f>IFERROR(MATRIZ_174!W117,0)</f>
        <v>0</v>
      </c>
      <c r="AF118" s="22">
        <f>IFERROR(MATRIZ_174!X117,0)</f>
        <v>0</v>
      </c>
      <c r="AG118" s="22">
        <f>IFERROR(MATRIZ_174!Y117,0)</f>
        <v>0</v>
      </c>
      <c r="AH118" s="22">
        <f>IFERROR(MATRIZ_174!Z117,0)</f>
        <v>0</v>
      </c>
      <c r="AI118" s="17">
        <f>IFERROR(MATRIZ_174!AP117,"N/A")</f>
        <v>0</v>
      </c>
      <c r="AJ118" s="17" t="str">
        <f>IFERROR(MATRIZ_174!AO117,"N/A")</f>
        <v>N/A</v>
      </c>
      <c r="AK118" s="23" t="str">
        <f t="shared" si="42"/>
        <v>N/A</v>
      </c>
      <c r="AL118" s="24" t="str">
        <f t="shared" si="43"/>
        <v>—</v>
      </c>
    </row>
    <row r="119" spans="1:38" ht="16.05" customHeight="1" x14ac:dyDescent="0.3">
      <c r="A119" s="13" t="s">
        <v>321</v>
      </c>
      <c r="B119" s="14" t="s">
        <v>322</v>
      </c>
      <c r="C119" s="13" t="s">
        <v>109</v>
      </c>
      <c r="D119" s="15">
        <v>0</v>
      </c>
      <c r="E119" s="16" t="str">
        <f>IF(NORMALIZADO!CB118="","",NORMALIZADO!CB118)</f>
        <v/>
      </c>
      <c r="F119" s="17" t="str">
        <f>IF(NORMALIZADO!CC118="","",NORMALIZADO!CC118)</f>
        <v/>
      </c>
      <c r="G119" s="17">
        <f>IF(NORMALIZADO!CD118="",IFERROR(MATRIZ_174!U118*100,""),NORMALIZADO!CD118)</f>
        <v>100</v>
      </c>
      <c r="H119" s="16" t="str">
        <f>IF(NORMALIZADO!CE118="","",NORMALIZADO!CE118)</f>
        <v/>
      </c>
      <c r="I119" s="17" t="str">
        <f>IF(NORMALIZADO!CF118="","",NORMALIZADO!CF118)</f>
        <v/>
      </c>
      <c r="J119" s="17" t="str">
        <f>IF(NORMALIZADO!CG118="","",NORMALIZADO!CG118)</f>
        <v/>
      </c>
      <c r="K119" s="16" t="str">
        <f>IF(NORMALIZADO!CH118="","",NORMALIZADO!CH118)</f>
        <v/>
      </c>
      <c r="L119" s="16" t="str">
        <f>IF(NORMALIZADO!CI118="","",NORMALIZADO!CI118)</f>
        <v/>
      </c>
      <c r="M119" s="16" t="str">
        <f>IF(NORMALIZADO!CJ118="","",NORMALIZADO!CJ118)</f>
        <v/>
      </c>
      <c r="N119" s="16" t="str">
        <f>IF(NORMALIZADO!CK118="","",NORMALIZADO!CK118)</f>
        <v/>
      </c>
      <c r="O119" s="16" t="str">
        <f>IF(NORMALIZADO!CL118="","",NORMALIZADO!CL118)</f>
        <v/>
      </c>
      <c r="P119" s="17" t="str">
        <f t="shared" si="33"/>
        <v/>
      </c>
      <c r="Q119" s="17">
        <f t="shared" si="34"/>
        <v>0</v>
      </c>
      <c r="R119" s="17">
        <f t="shared" si="35"/>
        <v>0</v>
      </c>
      <c r="S119" s="17">
        <f t="shared" si="36"/>
        <v>0</v>
      </c>
      <c r="T119" s="17" t="str">
        <f>IF(ISNUMBER(MATRIZ_174!O118),IFERROR((K119+M119+MATRIZ_174!O118)/3,0),"")</f>
        <v/>
      </c>
      <c r="U119" s="18" t="str">
        <f>IF(ISNUMBER(MATRIZ_174!M118),MIN(100,ROUND(MATRIZ_174!M118,1)),"")</f>
        <v/>
      </c>
      <c r="V119" s="18">
        <f t="shared" si="37"/>
        <v>50</v>
      </c>
      <c r="W119" s="18">
        <f>IFERROR(IF(MATRIZ_174!R118=0,65,IF(MATRIZ_174!R118/MATRIZ_174!Q118&gt;=2,35,IF(MATRIZ_174!R118/MATRIZ_174!Q118&gt;=0.5,50,65))),65)</f>
        <v>65</v>
      </c>
      <c r="X119" s="18" t="str">
        <f>IF(ISNUMBER(MATRIZ_174!O118),MIN(100,IF(MATRIZ_174!O118=0,70,30)+IF(MATRIZ_174!U118="",0,0.3*(100-MATRIZ_174!U118*100))),"")</f>
        <v/>
      </c>
      <c r="Y119" s="18">
        <f>IF(OR(MATRIZ_174!P118="ASOCIACION",MATRIZ_174!P118="PENDIENTE"),65,40)</f>
        <v>65</v>
      </c>
      <c r="Z119" s="19" t="str">
        <f t="shared" si="38"/>
        <v>—</v>
      </c>
      <c r="AA119" s="20">
        <f t="shared" si="39"/>
        <v>60</v>
      </c>
      <c r="AB119" s="21" t="str">
        <f t="shared" si="40"/>
        <v>—</v>
      </c>
      <c r="AC119" s="13" t="str">
        <f t="shared" si="41"/>
        <v>⬜  Pendiente de instrumento</v>
      </c>
      <c r="AD119" s="13" t="str">
        <f>IF(MATRIZ_174!U118="","",IF(MATRIZ_174!U118=0,"🚫  Inh. vigente OSCE",""))</f>
        <v/>
      </c>
      <c r="AE119" s="22">
        <f>IFERROR(MATRIZ_174!W118,0)</f>
        <v>0</v>
      </c>
      <c r="AF119" s="22">
        <f>IFERROR(MATRIZ_174!X118,0)</f>
        <v>0</v>
      </c>
      <c r="AG119" s="22">
        <f>IFERROR(MATRIZ_174!Y118,0)</f>
        <v>0</v>
      </c>
      <c r="AH119" s="22">
        <f>IFERROR(MATRIZ_174!Z118,0)</f>
        <v>0</v>
      </c>
      <c r="AI119" s="17">
        <f>IFERROR(MATRIZ_174!AP118,"N/A")</f>
        <v>0</v>
      </c>
      <c r="AJ119" s="17" t="str">
        <f>IFERROR(MATRIZ_174!AO118,"N/A")</f>
        <v>N/A</v>
      </c>
      <c r="AK119" s="23" t="str">
        <f t="shared" si="42"/>
        <v>N/A</v>
      </c>
      <c r="AL119" s="24" t="str">
        <f t="shared" si="43"/>
        <v>—</v>
      </c>
    </row>
    <row r="120" spans="1:38" ht="16.05" customHeight="1" x14ac:dyDescent="0.3">
      <c r="A120" s="13" t="s">
        <v>323</v>
      </c>
      <c r="B120" s="14" t="s">
        <v>324</v>
      </c>
      <c r="C120" s="13" t="s">
        <v>109</v>
      </c>
      <c r="D120" s="15">
        <v>0</v>
      </c>
      <c r="E120" s="16" t="str">
        <f>IF(NORMALIZADO!CB119="","",NORMALIZADO!CB119)</f>
        <v/>
      </c>
      <c r="F120" s="17" t="str">
        <f>IF(NORMALIZADO!CC119="","",NORMALIZADO!CC119)</f>
        <v/>
      </c>
      <c r="G120" s="17">
        <f>IF(NORMALIZADO!CD119="",IFERROR(MATRIZ_174!U119*100,""),NORMALIZADO!CD119)</f>
        <v>100</v>
      </c>
      <c r="H120" s="16" t="str">
        <f>IF(NORMALIZADO!CE119="","",NORMALIZADO!CE119)</f>
        <v/>
      </c>
      <c r="I120" s="17" t="str">
        <f>IF(NORMALIZADO!CF119="","",NORMALIZADO!CF119)</f>
        <v/>
      </c>
      <c r="J120" s="17" t="str">
        <f>IF(NORMALIZADO!CG119="","",NORMALIZADO!CG119)</f>
        <v/>
      </c>
      <c r="K120" s="16" t="str">
        <f>IF(NORMALIZADO!CH119="","",NORMALIZADO!CH119)</f>
        <v/>
      </c>
      <c r="L120" s="16" t="str">
        <f>IF(NORMALIZADO!CI119="","",NORMALIZADO!CI119)</f>
        <v/>
      </c>
      <c r="M120" s="16" t="str">
        <f>IF(NORMALIZADO!CJ119="","",NORMALIZADO!CJ119)</f>
        <v/>
      </c>
      <c r="N120" s="16" t="str">
        <f>IF(NORMALIZADO!CK119="","",NORMALIZADO!CK119)</f>
        <v/>
      </c>
      <c r="O120" s="16" t="str">
        <f>IF(NORMALIZADO!CL119="","",NORMALIZADO!CL119)</f>
        <v/>
      </c>
      <c r="P120" s="17" t="str">
        <f t="shared" si="33"/>
        <v/>
      </c>
      <c r="Q120" s="17">
        <f t="shared" si="34"/>
        <v>0</v>
      </c>
      <c r="R120" s="17">
        <f t="shared" si="35"/>
        <v>0</v>
      </c>
      <c r="S120" s="17">
        <f t="shared" si="36"/>
        <v>0</v>
      </c>
      <c r="T120" s="17" t="str">
        <f>IF(ISNUMBER(MATRIZ_174!O119),IFERROR((K120+M120+MATRIZ_174!O119)/3,0),"")</f>
        <v/>
      </c>
      <c r="U120" s="18" t="str">
        <f>IF(ISNUMBER(MATRIZ_174!M119),MIN(100,ROUND(MATRIZ_174!M119,1)),"")</f>
        <v/>
      </c>
      <c r="V120" s="18">
        <f t="shared" si="37"/>
        <v>50</v>
      </c>
      <c r="W120" s="18">
        <f>IFERROR(IF(MATRIZ_174!R119=0,65,IF(MATRIZ_174!R119/MATRIZ_174!Q119&gt;=2,35,IF(MATRIZ_174!R119/MATRIZ_174!Q119&gt;=0.5,50,65))),65)</f>
        <v>65</v>
      </c>
      <c r="X120" s="18" t="str">
        <f>IF(ISNUMBER(MATRIZ_174!O119),MIN(100,IF(MATRIZ_174!O119=0,70,30)+IF(MATRIZ_174!U119="",0,0.3*(100-MATRIZ_174!U119*100))),"")</f>
        <v/>
      </c>
      <c r="Y120" s="18">
        <f>IF(OR(MATRIZ_174!P119="ASOCIACION",MATRIZ_174!P119="PENDIENTE"),65,40)</f>
        <v>65</v>
      </c>
      <c r="Z120" s="19" t="str">
        <f t="shared" si="38"/>
        <v>—</v>
      </c>
      <c r="AA120" s="20">
        <f t="shared" si="39"/>
        <v>60</v>
      </c>
      <c r="AB120" s="21" t="str">
        <f t="shared" si="40"/>
        <v>—</v>
      </c>
      <c r="AC120" s="13" t="str">
        <f t="shared" si="41"/>
        <v>⬜  Pendiente de instrumento</v>
      </c>
      <c r="AD120" s="13" t="str">
        <f>IF(MATRIZ_174!U119="","",IF(MATRIZ_174!U119=0,"🚫  Inh. vigente OSCE",""))</f>
        <v/>
      </c>
      <c r="AE120" s="22">
        <f>IFERROR(MATRIZ_174!W119,0)</f>
        <v>0</v>
      </c>
      <c r="AF120" s="22">
        <f>IFERROR(MATRIZ_174!X119,0)</f>
        <v>0</v>
      </c>
      <c r="AG120" s="22">
        <f>IFERROR(MATRIZ_174!Y119,0)</f>
        <v>0</v>
      </c>
      <c r="AH120" s="22">
        <f>IFERROR(MATRIZ_174!Z119,0)</f>
        <v>0</v>
      </c>
      <c r="AI120" s="17">
        <f>IFERROR(MATRIZ_174!AP119,"N/A")</f>
        <v>0</v>
      </c>
      <c r="AJ120" s="17" t="str">
        <f>IFERROR(MATRIZ_174!AO119,"N/A")</f>
        <v>N/A</v>
      </c>
      <c r="AK120" s="23" t="str">
        <f t="shared" si="42"/>
        <v>N/A</v>
      </c>
      <c r="AL120" s="24" t="str">
        <f t="shared" si="43"/>
        <v>—</v>
      </c>
    </row>
    <row r="121" spans="1:38" ht="16.05" customHeight="1" x14ac:dyDescent="0.3">
      <c r="A121" s="13" t="s">
        <v>325</v>
      </c>
      <c r="B121" s="14" t="s">
        <v>326</v>
      </c>
      <c r="C121" s="13" t="s">
        <v>150</v>
      </c>
      <c r="D121" s="15">
        <v>0</v>
      </c>
      <c r="E121" s="16" t="str">
        <f>IF(NORMALIZADO!CB120="","",NORMALIZADO!CB120)</f>
        <v/>
      </c>
      <c r="F121" s="17" t="str">
        <f>IF(NORMALIZADO!CC120="","",NORMALIZADO!CC120)</f>
        <v/>
      </c>
      <c r="G121" s="17">
        <f>IF(NORMALIZADO!CD120="",IFERROR(MATRIZ_174!U120*100,""),NORMALIZADO!CD120)</f>
        <v>100</v>
      </c>
      <c r="H121" s="16" t="str">
        <f>IF(NORMALIZADO!CE120="","",NORMALIZADO!CE120)</f>
        <v/>
      </c>
      <c r="I121" s="17" t="str">
        <f>IF(NORMALIZADO!CF120="","",NORMALIZADO!CF120)</f>
        <v/>
      </c>
      <c r="J121" s="17" t="str">
        <f>IF(NORMALIZADO!CG120="","",NORMALIZADO!CG120)</f>
        <v/>
      </c>
      <c r="K121" s="16" t="str">
        <f>IF(NORMALIZADO!CH120="","",NORMALIZADO!CH120)</f>
        <v/>
      </c>
      <c r="L121" s="16" t="str">
        <f>IF(NORMALIZADO!CI120="","",NORMALIZADO!CI120)</f>
        <v/>
      </c>
      <c r="M121" s="16" t="str">
        <f>IF(NORMALIZADO!CJ120="","",NORMALIZADO!CJ120)</f>
        <v/>
      </c>
      <c r="N121" s="16" t="str">
        <f>IF(NORMALIZADO!CK120="","",NORMALIZADO!CK120)</f>
        <v/>
      </c>
      <c r="O121" s="16" t="str">
        <f>IF(NORMALIZADO!CL120="","",NORMALIZADO!CL120)</f>
        <v/>
      </c>
      <c r="P121" s="17" t="str">
        <f t="shared" si="33"/>
        <v/>
      </c>
      <c r="Q121" s="17">
        <f t="shared" si="34"/>
        <v>0</v>
      </c>
      <c r="R121" s="17">
        <f t="shared" si="35"/>
        <v>0</v>
      </c>
      <c r="S121" s="17">
        <f t="shared" si="36"/>
        <v>0</v>
      </c>
      <c r="T121" s="17" t="str">
        <f>IF(ISNUMBER(MATRIZ_174!O120),IFERROR((K121+M121+MATRIZ_174!O120)/3,0),"")</f>
        <v/>
      </c>
      <c r="U121" s="18" t="str">
        <f>IF(ISNUMBER(MATRIZ_174!M120),MIN(100,ROUND(MATRIZ_174!M120,1)),"")</f>
        <v/>
      </c>
      <c r="V121" s="18">
        <f t="shared" si="37"/>
        <v>50</v>
      </c>
      <c r="W121" s="18">
        <f>IFERROR(IF(MATRIZ_174!R120=0,65,IF(MATRIZ_174!R120/MATRIZ_174!Q120&gt;=2,35,IF(MATRIZ_174!R120/MATRIZ_174!Q120&gt;=0.5,50,65))),65)</f>
        <v>65</v>
      </c>
      <c r="X121" s="18" t="str">
        <f>IF(ISNUMBER(MATRIZ_174!O120),MIN(100,IF(MATRIZ_174!O120=0,70,30)+IF(MATRIZ_174!U120="",0,0.3*(100-MATRIZ_174!U120*100))),"")</f>
        <v/>
      </c>
      <c r="Y121" s="18">
        <f>IF(OR(MATRIZ_174!P120="ASOCIACION",MATRIZ_174!P120="PENDIENTE"),65,40)</f>
        <v>65</v>
      </c>
      <c r="Z121" s="19" t="str">
        <f t="shared" si="38"/>
        <v>—</v>
      </c>
      <c r="AA121" s="20">
        <f t="shared" si="39"/>
        <v>60</v>
      </c>
      <c r="AB121" s="21" t="str">
        <f t="shared" si="40"/>
        <v>—</v>
      </c>
      <c r="AC121" s="13" t="str">
        <f t="shared" si="41"/>
        <v>⬜  Pendiente de instrumento</v>
      </c>
      <c r="AD121" s="13" t="str">
        <f>IF(MATRIZ_174!U120="","",IF(MATRIZ_174!U120=0,"🚫  Inh. vigente OSCE",""))</f>
        <v/>
      </c>
      <c r="AE121" s="22">
        <f>IFERROR(MATRIZ_174!W120,0)</f>
        <v>0</v>
      </c>
      <c r="AF121" s="22">
        <f>IFERROR(MATRIZ_174!X120,0)</f>
        <v>0</v>
      </c>
      <c r="AG121" s="22">
        <f>IFERROR(MATRIZ_174!Y120,0)</f>
        <v>0</v>
      </c>
      <c r="AH121" s="22">
        <f>IFERROR(MATRIZ_174!Z120,0)</f>
        <v>0</v>
      </c>
      <c r="AI121" s="17">
        <f>IFERROR(MATRIZ_174!AP120,"N/A")</f>
        <v>0</v>
      </c>
      <c r="AJ121" s="17" t="str">
        <f>IFERROR(MATRIZ_174!AO120,"N/A")</f>
        <v>N/A</v>
      </c>
      <c r="AK121" s="23" t="str">
        <f t="shared" si="42"/>
        <v>N/A</v>
      </c>
      <c r="AL121" s="24" t="str">
        <f t="shared" si="43"/>
        <v>—</v>
      </c>
    </row>
    <row r="122" spans="1:38" ht="16.05" customHeight="1" x14ac:dyDescent="0.3">
      <c r="A122" s="13" t="s">
        <v>327</v>
      </c>
      <c r="B122" s="14" t="s">
        <v>328</v>
      </c>
      <c r="C122" s="13" t="s">
        <v>249</v>
      </c>
      <c r="D122" s="15">
        <v>0</v>
      </c>
      <c r="E122" s="16" t="str">
        <f>IF(NORMALIZADO!CB121="","",NORMALIZADO!CB121)</f>
        <v/>
      </c>
      <c r="F122" s="17" t="str">
        <f>IF(NORMALIZADO!CC121="","",NORMALIZADO!CC121)</f>
        <v/>
      </c>
      <c r="G122" s="17">
        <f>IF(NORMALIZADO!CD121="",IFERROR(MATRIZ_174!U121*100,""),NORMALIZADO!CD121)</f>
        <v>100</v>
      </c>
      <c r="H122" s="16" t="str">
        <f>IF(NORMALIZADO!CE121="","",NORMALIZADO!CE121)</f>
        <v/>
      </c>
      <c r="I122" s="17" t="str">
        <f>IF(NORMALIZADO!CF121="","",NORMALIZADO!CF121)</f>
        <v/>
      </c>
      <c r="J122" s="17" t="str">
        <f>IF(NORMALIZADO!CG121="","",NORMALIZADO!CG121)</f>
        <v/>
      </c>
      <c r="K122" s="16" t="str">
        <f>IF(NORMALIZADO!CH121="","",NORMALIZADO!CH121)</f>
        <v/>
      </c>
      <c r="L122" s="16" t="str">
        <f>IF(NORMALIZADO!CI121="","",NORMALIZADO!CI121)</f>
        <v/>
      </c>
      <c r="M122" s="16" t="str">
        <f>IF(NORMALIZADO!CJ121="","",NORMALIZADO!CJ121)</f>
        <v/>
      </c>
      <c r="N122" s="16" t="str">
        <f>IF(NORMALIZADO!CK121="","",NORMALIZADO!CK121)</f>
        <v/>
      </c>
      <c r="O122" s="16" t="str">
        <f>IF(NORMALIZADO!CL121="","",NORMALIZADO!CL121)</f>
        <v/>
      </c>
      <c r="P122" s="17" t="str">
        <f t="shared" si="33"/>
        <v/>
      </c>
      <c r="Q122" s="17">
        <f t="shared" si="34"/>
        <v>0</v>
      </c>
      <c r="R122" s="17">
        <f t="shared" si="35"/>
        <v>0</v>
      </c>
      <c r="S122" s="17">
        <f t="shared" si="36"/>
        <v>0</v>
      </c>
      <c r="T122" s="17" t="str">
        <f>IF(ISNUMBER(MATRIZ_174!O121),IFERROR((K122+M122+MATRIZ_174!O121)/3,0),"")</f>
        <v/>
      </c>
      <c r="U122" s="18" t="str">
        <f>IF(ISNUMBER(MATRIZ_174!M121),MIN(100,ROUND(MATRIZ_174!M121,1)),"")</f>
        <v/>
      </c>
      <c r="V122" s="18">
        <f t="shared" si="37"/>
        <v>50</v>
      </c>
      <c r="W122" s="18">
        <f>IFERROR(IF(MATRIZ_174!R121=0,65,IF(MATRIZ_174!R121/MATRIZ_174!Q121&gt;=2,35,IF(MATRIZ_174!R121/MATRIZ_174!Q121&gt;=0.5,50,65))),65)</f>
        <v>65</v>
      </c>
      <c r="X122" s="18" t="str">
        <f>IF(ISNUMBER(MATRIZ_174!O121),MIN(100,IF(MATRIZ_174!O121=0,70,30)+IF(MATRIZ_174!U121="",0,0.3*(100-MATRIZ_174!U121*100))),"")</f>
        <v/>
      </c>
      <c r="Y122" s="18">
        <f>IF(OR(MATRIZ_174!P121="ASOCIACION",MATRIZ_174!P121="PENDIENTE"),65,40)</f>
        <v>65</v>
      </c>
      <c r="Z122" s="19" t="str">
        <f t="shared" si="38"/>
        <v>—</v>
      </c>
      <c r="AA122" s="20">
        <f t="shared" si="39"/>
        <v>60</v>
      </c>
      <c r="AB122" s="21" t="str">
        <f t="shared" si="40"/>
        <v>—</v>
      </c>
      <c r="AC122" s="13" t="str">
        <f t="shared" si="41"/>
        <v>⬜  Pendiente de instrumento</v>
      </c>
      <c r="AD122" s="13" t="str">
        <f>IF(MATRIZ_174!U121="","",IF(MATRIZ_174!U121=0,"🚫  Inh. vigente OSCE",""))</f>
        <v/>
      </c>
      <c r="AE122" s="22">
        <f>IFERROR(MATRIZ_174!W121,0)</f>
        <v>0</v>
      </c>
      <c r="AF122" s="22">
        <f>IFERROR(MATRIZ_174!X121,0)</f>
        <v>0</v>
      </c>
      <c r="AG122" s="22">
        <f>IFERROR(MATRIZ_174!Y121,0)</f>
        <v>0</v>
      </c>
      <c r="AH122" s="22">
        <f>IFERROR(MATRIZ_174!Z121,0)</f>
        <v>0</v>
      </c>
      <c r="AI122" s="17">
        <f>IFERROR(MATRIZ_174!AP121,"N/A")</f>
        <v>0</v>
      </c>
      <c r="AJ122" s="17" t="str">
        <f>IFERROR(MATRIZ_174!AO121,"N/A")</f>
        <v>N/A</v>
      </c>
      <c r="AK122" s="23" t="str">
        <f t="shared" si="42"/>
        <v>N/A</v>
      </c>
      <c r="AL122" s="24" t="str">
        <f t="shared" si="43"/>
        <v>—</v>
      </c>
    </row>
    <row r="123" spans="1:38" ht="16.05" customHeight="1" x14ac:dyDescent="0.3">
      <c r="A123" s="13" t="s">
        <v>329</v>
      </c>
      <c r="B123" s="14" t="s">
        <v>330</v>
      </c>
      <c r="C123" s="13" t="s">
        <v>119</v>
      </c>
      <c r="D123" s="15">
        <v>0</v>
      </c>
      <c r="E123" s="16" t="str">
        <f>IF(NORMALIZADO!CB122="","",NORMALIZADO!CB122)</f>
        <v/>
      </c>
      <c r="F123" s="17" t="str">
        <f>IF(NORMALIZADO!CC122="","",NORMALIZADO!CC122)</f>
        <v/>
      </c>
      <c r="G123" s="17">
        <f>IF(NORMALIZADO!CD122="",IFERROR(MATRIZ_174!U122*100,""),NORMALIZADO!CD122)</f>
        <v>100</v>
      </c>
      <c r="H123" s="16" t="str">
        <f>IF(NORMALIZADO!CE122="","",NORMALIZADO!CE122)</f>
        <v/>
      </c>
      <c r="I123" s="17" t="str">
        <f>IF(NORMALIZADO!CF122="","",NORMALIZADO!CF122)</f>
        <v/>
      </c>
      <c r="J123" s="17" t="str">
        <f>IF(NORMALIZADO!CG122="","",NORMALIZADO!CG122)</f>
        <v/>
      </c>
      <c r="K123" s="16" t="str">
        <f>IF(NORMALIZADO!CH122="","",NORMALIZADO!CH122)</f>
        <v/>
      </c>
      <c r="L123" s="16" t="str">
        <f>IF(NORMALIZADO!CI122="","",NORMALIZADO!CI122)</f>
        <v/>
      </c>
      <c r="M123" s="16" t="str">
        <f>IF(NORMALIZADO!CJ122="","",NORMALIZADO!CJ122)</f>
        <v/>
      </c>
      <c r="N123" s="16" t="str">
        <f>IF(NORMALIZADO!CK122="","",NORMALIZADO!CK122)</f>
        <v/>
      </c>
      <c r="O123" s="16" t="str">
        <f>IF(NORMALIZADO!CL122="","",NORMALIZADO!CL122)</f>
        <v/>
      </c>
      <c r="P123" s="17" t="str">
        <f t="shared" si="33"/>
        <v/>
      </c>
      <c r="Q123" s="17">
        <f t="shared" si="34"/>
        <v>0</v>
      </c>
      <c r="R123" s="17">
        <f t="shared" si="35"/>
        <v>0</v>
      </c>
      <c r="S123" s="17">
        <f t="shared" si="36"/>
        <v>0</v>
      </c>
      <c r="T123" s="17" t="str">
        <f>IF(ISNUMBER(MATRIZ_174!O122),IFERROR((K123+M123+MATRIZ_174!O122)/3,0),"")</f>
        <v/>
      </c>
      <c r="U123" s="18" t="str">
        <f>IF(ISNUMBER(MATRIZ_174!M122),MIN(100,ROUND(MATRIZ_174!M122,1)),"")</f>
        <v/>
      </c>
      <c r="V123" s="18">
        <f t="shared" si="37"/>
        <v>50</v>
      </c>
      <c r="W123" s="18">
        <f>IFERROR(IF(MATRIZ_174!R122=0,65,IF(MATRIZ_174!R122/MATRIZ_174!Q122&gt;=2,35,IF(MATRIZ_174!R122/MATRIZ_174!Q122&gt;=0.5,50,65))),65)</f>
        <v>65</v>
      </c>
      <c r="X123" s="18" t="str">
        <f>IF(ISNUMBER(MATRIZ_174!O122),MIN(100,IF(MATRIZ_174!O122=0,70,30)+IF(MATRIZ_174!U122="",0,0.3*(100-MATRIZ_174!U122*100))),"")</f>
        <v/>
      </c>
      <c r="Y123" s="18">
        <f>IF(OR(MATRIZ_174!P122="ASOCIACION",MATRIZ_174!P122="PENDIENTE"),65,40)</f>
        <v>65</v>
      </c>
      <c r="Z123" s="19" t="str">
        <f t="shared" si="38"/>
        <v>—</v>
      </c>
      <c r="AA123" s="20">
        <f t="shared" si="39"/>
        <v>60</v>
      </c>
      <c r="AB123" s="21" t="str">
        <f t="shared" si="40"/>
        <v>—</v>
      </c>
      <c r="AC123" s="13" t="str">
        <f t="shared" si="41"/>
        <v>⬜  Pendiente de instrumento</v>
      </c>
      <c r="AD123" s="13" t="str">
        <f>IF(MATRIZ_174!U122="","",IF(MATRIZ_174!U122=0,"🚫  Inh. vigente OSCE",""))</f>
        <v/>
      </c>
      <c r="AE123" s="22">
        <f>IFERROR(MATRIZ_174!W122,0)</f>
        <v>0</v>
      </c>
      <c r="AF123" s="22">
        <f>IFERROR(MATRIZ_174!X122,0)</f>
        <v>0</v>
      </c>
      <c r="AG123" s="22">
        <f>IFERROR(MATRIZ_174!Y122,0)</f>
        <v>0</v>
      </c>
      <c r="AH123" s="22">
        <f>IFERROR(MATRIZ_174!Z122,0)</f>
        <v>0</v>
      </c>
      <c r="AI123" s="17">
        <f>IFERROR(MATRIZ_174!AP122,"N/A")</f>
        <v>0</v>
      </c>
      <c r="AJ123" s="17" t="str">
        <f>IFERROR(MATRIZ_174!AO122,"N/A")</f>
        <v>N/A</v>
      </c>
      <c r="AK123" s="23" t="str">
        <f t="shared" si="42"/>
        <v>N/A</v>
      </c>
      <c r="AL123" s="24" t="str">
        <f t="shared" si="43"/>
        <v>—</v>
      </c>
    </row>
    <row r="124" spans="1:38" ht="16.05" customHeight="1" x14ac:dyDescent="0.3">
      <c r="A124" s="13" t="s">
        <v>331</v>
      </c>
      <c r="B124" s="14" t="s">
        <v>332</v>
      </c>
      <c r="C124" s="13" t="s">
        <v>77</v>
      </c>
      <c r="D124" s="15">
        <v>0</v>
      </c>
      <c r="E124" s="16" t="str">
        <f>IF(NORMALIZADO!CB123="","",NORMALIZADO!CB123)</f>
        <v/>
      </c>
      <c r="F124" s="17" t="str">
        <f>IF(NORMALIZADO!CC123="","",NORMALIZADO!CC123)</f>
        <v/>
      </c>
      <c r="G124" s="17">
        <f>IF(NORMALIZADO!CD123="",IFERROR(MATRIZ_174!U123*100,""),NORMALIZADO!CD123)</f>
        <v>100</v>
      </c>
      <c r="H124" s="16" t="str">
        <f>IF(NORMALIZADO!CE123="","",NORMALIZADO!CE123)</f>
        <v/>
      </c>
      <c r="I124" s="17" t="str">
        <f>IF(NORMALIZADO!CF123="","",NORMALIZADO!CF123)</f>
        <v/>
      </c>
      <c r="J124" s="17" t="str">
        <f>IF(NORMALIZADO!CG123="","",NORMALIZADO!CG123)</f>
        <v/>
      </c>
      <c r="K124" s="16" t="str">
        <f>IF(NORMALIZADO!CH123="","",NORMALIZADO!CH123)</f>
        <v/>
      </c>
      <c r="L124" s="16" t="str">
        <f>IF(NORMALIZADO!CI123="","",NORMALIZADO!CI123)</f>
        <v/>
      </c>
      <c r="M124" s="16" t="str">
        <f>IF(NORMALIZADO!CJ123="","",NORMALIZADO!CJ123)</f>
        <v/>
      </c>
      <c r="N124" s="16" t="str">
        <f>IF(NORMALIZADO!CK123="","",NORMALIZADO!CK123)</f>
        <v/>
      </c>
      <c r="O124" s="16" t="str">
        <f>IF(NORMALIZADO!CL123="","",NORMALIZADO!CL123)</f>
        <v/>
      </c>
      <c r="P124" s="17" t="str">
        <f t="shared" si="33"/>
        <v/>
      </c>
      <c r="Q124" s="17">
        <f t="shared" si="34"/>
        <v>0</v>
      </c>
      <c r="R124" s="17">
        <f t="shared" si="35"/>
        <v>0</v>
      </c>
      <c r="S124" s="17">
        <f t="shared" si="36"/>
        <v>0</v>
      </c>
      <c r="T124" s="17" t="str">
        <f>IF(ISNUMBER(MATRIZ_174!O123),IFERROR((K124+M124+MATRIZ_174!O123)/3,0),"")</f>
        <v/>
      </c>
      <c r="U124" s="18" t="str">
        <f>IF(ISNUMBER(MATRIZ_174!M123),MIN(100,ROUND(MATRIZ_174!M123,1)),"")</f>
        <v/>
      </c>
      <c r="V124" s="18">
        <f t="shared" si="37"/>
        <v>50</v>
      </c>
      <c r="W124" s="18">
        <f>IFERROR(IF(MATRIZ_174!R123=0,65,IF(MATRIZ_174!R123/MATRIZ_174!Q123&gt;=2,35,IF(MATRIZ_174!R123/MATRIZ_174!Q123&gt;=0.5,50,65))),65)</f>
        <v>65</v>
      </c>
      <c r="X124" s="18" t="str">
        <f>IF(ISNUMBER(MATRIZ_174!O123),MIN(100,IF(MATRIZ_174!O123=0,70,30)+IF(MATRIZ_174!U123="",0,0.3*(100-MATRIZ_174!U123*100))),"")</f>
        <v/>
      </c>
      <c r="Y124" s="18">
        <f>IF(OR(MATRIZ_174!P123="ASOCIACION",MATRIZ_174!P123="PENDIENTE"),65,40)</f>
        <v>65</v>
      </c>
      <c r="Z124" s="19" t="str">
        <f t="shared" si="38"/>
        <v>—</v>
      </c>
      <c r="AA124" s="20">
        <f t="shared" si="39"/>
        <v>60</v>
      </c>
      <c r="AB124" s="21" t="str">
        <f t="shared" si="40"/>
        <v>—</v>
      </c>
      <c r="AC124" s="13" t="str">
        <f t="shared" si="41"/>
        <v>⬜  Pendiente de instrumento</v>
      </c>
      <c r="AD124" s="13" t="str">
        <f>IF(MATRIZ_174!U123="","",IF(MATRIZ_174!U123=0,"🚫  Inh. vigente OSCE",""))</f>
        <v/>
      </c>
      <c r="AE124" s="22">
        <f>IFERROR(MATRIZ_174!W123,0)</f>
        <v>0</v>
      </c>
      <c r="AF124" s="22">
        <f>IFERROR(MATRIZ_174!X123,0)</f>
        <v>0</v>
      </c>
      <c r="AG124" s="22">
        <f>IFERROR(MATRIZ_174!Y123,0)</f>
        <v>0</v>
      </c>
      <c r="AH124" s="22">
        <f>IFERROR(MATRIZ_174!Z123,0)</f>
        <v>0</v>
      </c>
      <c r="AI124" s="17">
        <f>IFERROR(MATRIZ_174!AP123,"N/A")</f>
        <v>0</v>
      </c>
      <c r="AJ124" s="17" t="str">
        <f>IFERROR(MATRIZ_174!AO123,"N/A")</f>
        <v>N/A</v>
      </c>
      <c r="AK124" s="23" t="str">
        <f t="shared" si="42"/>
        <v>N/A</v>
      </c>
      <c r="AL124" s="24" t="str">
        <f t="shared" si="43"/>
        <v>—</v>
      </c>
    </row>
    <row r="125" spans="1:38" ht="16.05" customHeight="1" x14ac:dyDescent="0.3">
      <c r="A125" s="13" t="s">
        <v>333</v>
      </c>
      <c r="B125" s="14" t="s">
        <v>334</v>
      </c>
      <c r="C125" s="13" t="s">
        <v>112</v>
      </c>
      <c r="D125" s="15">
        <v>0</v>
      </c>
      <c r="E125" s="16" t="str">
        <f>IF(NORMALIZADO!CB124="","",NORMALIZADO!CB124)</f>
        <v/>
      </c>
      <c r="F125" s="17" t="str">
        <f>IF(NORMALIZADO!CC124="","",NORMALIZADO!CC124)</f>
        <v/>
      </c>
      <c r="G125" s="17">
        <f>IF(NORMALIZADO!CD124="",IFERROR(MATRIZ_174!U124*100,""),NORMALIZADO!CD124)</f>
        <v>100</v>
      </c>
      <c r="H125" s="16" t="str">
        <f>IF(NORMALIZADO!CE124="","",NORMALIZADO!CE124)</f>
        <v/>
      </c>
      <c r="I125" s="17" t="str">
        <f>IF(NORMALIZADO!CF124="","",NORMALIZADO!CF124)</f>
        <v/>
      </c>
      <c r="J125" s="17" t="str">
        <f>IF(NORMALIZADO!CG124="","",NORMALIZADO!CG124)</f>
        <v/>
      </c>
      <c r="K125" s="16" t="str">
        <f>IF(NORMALIZADO!CH124="","",NORMALIZADO!CH124)</f>
        <v/>
      </c>
      <c r="L125" s="16" t="str">
        <f>IF(NORMALIZADO!CI124="","",NORMALIZADO!CI124)</f>
        <v/>
      </c>
      <c r="M125" s="16" t="str">
        <f>IF(NORMALIZADO!CJ124="","",NORMALIZADO!CJ124)</f>
        <v/>
      </c>
      <c r="N125" s="16" t="str">
        <f>IF(NORMALIZADO!CK124="","",NORMALIZADO!CK124)</f>
        <v/>
      </c>
      <c r="O125" s="16" t="str">
        <f>IF(NORMALIZADO!CL124="","",NORMALIZADO!CL124)</f>
        <v/>
      </c>
      <c r="P125" s="17" t="str">
        <f t="shared" si="33"/>
        <v/>
      </c>
      <c r="Q125" s="17">
        <f t="shared" si="34"/>
        <v>0</v>
      </c>
      <c r="R125" s="17">
        <f t="shared" si="35"/>
        <v>0</v>
      </c>
      <c r="S125" s="17">
        <f t="shared" si="36"/>
        <v>0</v>
      </c>
      <c r="T125" s="17">
        <f>IF(ISNUMBER(MATRIZ_174!O124),IFERROR((K125+M125+MATRIZ_174!O124)/3,0),"")</f>
        <v>0</v>
      </c>
      <c r="U125" s="18">
        <f>IF(ISNUMBER(MATRIZ_174!M124),MIN(100,ROUND(MATRIZ_174!M124,1)),"")</f>
        <v>0</v>
      </c>
      <c r="V125" s="18">
        <f t="shared" si="37"/>
        <v>50</v>
      </c>
      <c r="W125" s="18">
        <f>IFERROR(IF(MATRIZ_174!R124=0,65,IF(MATRIZ_174!R124/MATRIZ_174!Q124&gt;=2,35,IF(MATRIZ_174!R124/MATRIZ_174!Q124&gt;=0.5,50,65))),65)</f>
        <v>35</v>
      </c>
      <c r="X125" s="18">
        <f>IF(ISNUMBER(MATRIZ_174!O124),MIN(100,IF(MATRIZ_174!O124=0,70,30)+IF(MATRIZ_174!U124="",0,0.3*(100-MATRIZ_174!U124*100))),"")</f>
        <v>30</v>
      </c>
      <c r="Y125" s="18">
        <f>IF(OR(MATRIZ_174!P124="ASOCIACION",MATRIZ_174!P124="PENDIENTE"),65,40)</f>
        <v>65</v>
      </c>
      <c r="Z125" s="19" t="str">
        <f t="shared" si="38"/>
        <v>—</v>
      </c>
      <c r="AA125" s="20">
        <f t="shared" si="39"/>
        <v>36</v>
      </c>
      <c r="AB125" s="21" t="str">
        <f t="shared" si="40"/>
        <v>—</v>
      </c>
      <c r="AC125" s="13" t="str">
        <f t="shared" si="41"/>
        <v>⬜  Pendiente de instrumento</v>
      </c>
      <c r="AD125" s="13" t="str">
        <f>IF(MATRIZ_174!U124="","",IF(MATRIZ_174!U124=0,"🚫  Inh. vigente OSCE",""))</f>
        <v/>
      </c>
      <c r="AE125" s="22">
        <f>IFERROR(MATRIZ_174!W124,0)</f>
        <v>1</v>
      </c>
      <c r="AF125" s="22">
        <f>IFERROR(MATRIZ_174!X124,0)</f>
        <v>0</v>
      </c>
      <c r="AG125" s="22">
        <f>IFERROR(MATRIZ_174!Y124,0)</f>
        <v>0</v>
      </c>
      <c r="AH125" s="22">
        <f>IFERROR(MATRIZ_174!Z124,0)</f>
        <v>0</v>
      </c>
      <c r="AI125" s="17">
        <f>IFERROR(MATRIZ_174!AP124,"N/A")</f>
        <v>0.21875</v>
      </c>
      <c r="AJ125" s="17" t="str">
        <f>IFERROR(MATRIZ_174!AO124,"N/A")</f>
        <v>N/A</v>
      </c>
      <c r="AK125" s="23" t="str">
        <f t="shared" si="42"/>
        <v>N/A</v>
      </c>
      <c r="AL125" s="24" t="str">
        <f t="shared" si="43"/>
        <v>—</v>
      </c>
    </row>
    <row r="126" spans="1:38" ht="16.05" customHeight="1" x14ac:dyDescent="0.3">
      <c r="A126" s="13" t="s">
        <v>336</v>
      </c>
      <c r="B126" s="14" t="s">
        <v>337</v>
      </c>
      <c r="C126" s="13" t="s">
        <v>77</v>
      </c>
      <c r="D126" s="15">
        <v>0</v>
      </c>
      <c r="E126" s="16" t="str">
        <f>IF(NORMALIZADO!CB125="","",NORMALIZADO!CB125)</f>
        <v/>
      </c>
      <c r="F126" s="17" t="str">
        <f>IF(NORMALIZADO!CC125="","",NORMALIZADO!CC125)</f>
        <v/>
      </c>
      <c r="G126" s="17">
        <f>IF(NORMALIZADO!CD125="",IFERROR(MATRIZ_174!U125*100,""),NORMALIZADO!CD125)</f>
        <v>100</v>
      </c>
      <c r="H126" s="16" t="str">
        <f>IF(NORMALIZADO!CE125="","",NORMALIZADO!CE125)</f>
        <v/>
      </c>
      <c r="I126" s="17" t="str">
        <f>IF(NORMALIZADO!CF125="","",NORMALIZADO!CF125)</f>
        <v/>
      </c>
      <c r="J126" s="17" t="str">
        <f>IF(NORMALIZADO!CG125="","",NORMALIZADO!CG125)</f>
        <v/>
      </c>
      <c r="K126" s="16" t="str">
        <f>IF(NORMALIZADO!CH125="","",NORMALIZADO!CH125)</f>
        <v/>
      </c>
      <c r="L126" s="16" t="str">
        <f>IF(NORMALIZADO!CI125="","",NORMALIZADO!CI125)</f>
        <v/>
      </c>
      <c r="M126" s="16" t="str">
        <f>IF(NORMALIZADO!CJ125="","",NORMALIZADO!CJ125)</f>
        <v/>
      </c>
      <c r="N126" s="16" t="str">
        <f>IF(NORMALIZADO!CK125="","",NORMALIZADO!CK125)</f>
        <v/>
      </c>
      <c r="O126" s="16" t="str">
        <f>IF(NORMALIZADO!CL125="","",NORMALIZADO!CL125)</f>
        <v/>
      </c>
      <c r="P126" s="17" t="str">
        <f t="shared" si="33"/>
        <v/>
      </c>
      <c r="Q126" s="17">
        <f t="shared" si="34"/>
        <v>0</v>
      </c>
      <c r="R126" s="17">
        <f t="shared" si="35"/>
        <v>0</v>
      </c>
      <c r="S126" s="17">
        <f t="shared" si="36"/>
        <v>0</v>
      </c>
      <c r="T126" s="17" t="str">
        <f>IF(ISNUMBER(MATRIZ_174!O125),IFERROR((K126+M126+MATRIZ_174!O125)/3,0),"")</f>
        <v/>
      </c>
      <c r="U126" s="18" t="str">
        <f>IF(ISNUMBER(MATRIZ_174!M125),MIN(100,ROUND(MATRIZ_174!M125,1)),"")</f>
        <v/>
      </c>
      <c r="V126" s="18">
        <f t="shared" si="37"/>
        <v>50</v>
      </c>
      <c r="W126" s="18">
        <f>IFERROR(IF(MATRIZ_174!R125=0,65,IF(MATRIZ_174!R125/MATRIZ_174!Q125&gt;=2,35,IF(MATRIZ_174!R125/MATRIZ_174!Q125&gt;=0.5,50,65))),65)</f>
        <v>65</v>
      </c>
      <c r="X126" s="18" t="str">
        <f>IF(ISNUMBER(MATRIZ_174!O125),MIN(100,IF(MATRIZ_174!O125=0,70,30)+IF(MATRIZ_174!U125="",0,0.3*(100-MATRIZ_174!U125*100))),"")</f>
        <v/>
      </c>
      <c r="Y126" s="18">
        <f>IF(OR(MATRIZ_174!P125="ASOCIACION",MATRIZ_174!P125="PENDIENTE"),65,40)</f>
        <v>65</v>
      </c>
      <c r="Z126" s="19" t="str">
        <f t="shared" si="38"/>
        <v>—</v>
      </c>
      <c r="AA126" s="20">
        <f t="shared" si="39"/>
        <v>60</v>
      </c>
      <c r="AB126" s="21" t="str">
        <f t="shared" si="40"/>
        <v>—</v>
      </c>
      <c r="AC126" s="13" t="str">
        <f t="shared" si="41"/>
        <v>⬜  Pendiente de instrumento</v>
      </c>
      <c r="AD126" s="13" t="str">
        <f>IF(MATRIZ_174!U125="","",IF(MATRIZ_174!U125=0,"🚫  Inh. vigente OSCE",""))</f>
        <v/>
      </c>
      <c r="AE126" s="22">
        <f>IFERROR(MATRIZ_174!W125,0)</f>
        <v>0</v>
      </c>
      <c r="AF126" s="22">
        <f>IFERROR(MATRIZ_174!X125,0)</f>
        <v>0</v>
      </c>
      <c r="AG126" s="22">
        <f>IFERROR(MATRIZ_174!Y125,0)</f>
        <v>0</v>
      </c>
      <c r="AH126" s="22">
        <f>IFERROR(MATRIZ_174!Z125,0)</f>
        <v>0</v>
      </c>
      <c r="AI126" s="17">
        <f>IFERROR(MATRIZ_174!AP125,"N/A")</f>
        <v>0</v>
      </c>
      <c r="AJ126" s="17" t="str">
        <f>IFERROR(MATRIZ_174!AO125,"N/A")</f>
        <v>N/A</v>
      </c>
      <c r="AK126" s="23" t="str">
        <f t="shared" si="42"/>
        <v>N/A</v>
      </c>
      <c r="AL126" s="24" t="str">
        <f t="shared" si="43"/>
        <v>—</v>
      </c>
    </row>
    <row r="127" spans="1:38" ht="16.05" customHeight="1" x14ac:dyDescent="0.3">
      <c r="A127" s="13" t="s">
        <v>338</v>
      </c>
      <c r="B127" s="14" t="s">
        <v>339</v>
      </c>
      <c r="C127" s="13" t="s">
        <v>77</v>
      </c>
      <c r="D127" s="15">
        <v>0</v>
      </c>
      <c r="E127" s="16" t="str">
        <f>IF(NORMALIZADO!CB126="","",NORMALIZADO!CB126)</f>
        <v/>
      </c>
      <c r="F127" s="17" t="str">
        <f>IF(NORMALIZADO!CC126="","",NORMALIZADO!CC126)</f>
        <v/>
      </c>
      <c r="G127" s="17">
        <f>IF(NORMALIZADO!CD126="",IFERROR(MATRIZ_174!U126*100,""),NORMALIZADO!CD126)</f>
        <v>100</v>
      </c>
      <c r="H127" s="16" t="str">
        <f>IF(NORMALIZADO!CE126="","",NORMALIZADO!CE126)</f>
        <v/>
      </c>
      <c r="I127" s="17" t="str">
        <f>IF(NORMALIZADO!CF126="","",NORMALIZADO!CF126)</f>
        <v/>
      </c>
      <c r="J127" s="17" t="str">
        <f>IF(NORMALIZADO!CG126="","",NORMALIZADO!CG126)</f>
        <v/>
      </c>
      <c r="K127" s="16" t="str">
        <f>IF(NORMALIZADO!CH126="","",NORMALIZADO!CH126)</f>
        <v/>
      </c>
      <c r="L127" s="16" t="str">
        <f>IF(NORMALIZADO!CI126="","",NORMALIZADO!CI126)</f>
        <v/>
      </c>
      <c r="M127" s="16" t="str">
        <f>IF(NORMALIZADO!CJ126="","",NORMALIZADO!CJ126)</f>
        <v/>
      </c>
      <c r="N127" s="16" t="str">
        <f>IF(NORMALIZADO!CK126="","",NORMALIZADO!CK126)</f>
        <v/>
      </c>
      <c r="O127" s="16" t="str">
        <f>IF(NORMALIZADO!CL126="","",NORMALIZADO!CL126)</f>
        <v/>
      </c>
      <c r="P127" s="17" t="str">
        <f t="shared" si="33"/>
        <v/>
      </c>
      <c r="Q127" s="17">
        <f t="shared" si="34"/>
        <v>0</v>
      </c>
      <c r="R127" s="17">
        <f t="shared" si="35"/>
        <v>0</v>
      </c>
      <c r="S127" s="17">
        <f t="shared" si="36"/>
        <v>0</v>
      </c>
      <c r="T127" s="17" t="str">
        <f>IF(ISNUMBER(MATRIZ_174!O126),IFERROR((K127+M127+MATRIZ_174!O126)/3,0),"")</f>
        <v/>
      </c>
      <c r="U127" s="18" t="str">
        <f>IF(ISNUMBER(MATRIZ_174!M126),MIN(100,ROUND(MATRIZ_174!M126,1)),"")</f>
        <v/>
      </c>
      <c r="V127" s="18">
        <f t="shared" si="37"/>
        <v>50</v>
      </c>
      <c r="W127" s="18">
        <f>IFERROR(IF(MATRIZ_174!R126=0,65,IF(MATRIZ_174!R126/MATRIZ_174!Q126&gt;=2,35,IF(MATRIZ_174!R126/MATRIZ_174!Q126&gt;=0.5,50,65))),65)</f>
        <v>65</v>
      </c>
      <c r="X127" s="18" t="str">
        <f>IF(ISNUMBER(MATRIZ_174!O126),MIN(100,IF(MATRIZ_174!O126=0,70,30)+IF(MATRIZ_174!U126="",0,0.3*(100-MATRIZ_174!U126*100))),"")</f>
        <v/>
      </c>
      <c r="Y127" s="18">
        <f>IF(OR(MATRIZ_174!P126="ASOCIACION",MATRIZ_174!P126="PENDIENTE"),65,40)</f>
        <v>65</v>
      </c>
      <c r="Z127" s="19" t="str">
        <f t="shared" si="38"/>
        <v>—</v>
      </c>
      <c r="AA127" s="20">
        <f t="shared" si="39"/>
        <v>60</v>
      </c>
      <c r="AB127" s="21" t="str">
        <f t="shared" si="40"/>
        <v>—</v>
      </c>
      <c r="AC127" s="13" t="str">
        <f t="shared" si="41"/>
        <v>⬜  Pendiente de instrumento</v>
      </c>
      <c r="AD127" s="13" t="str">
        <f>IF(MATRIZ_174!U126="","",IF(MATRIZ_174!U126=0,"🚫  Inh. vigente OSCE",""))</f>
        <v/>
      </c>
      <c r="AE127" s="22">
        <f>IFERROR(MATRIZ_174!W126,0)</f>
        <v>0</v>
      </c>
      <c r="AF127" s="22">
        <f>IFERROR(MATRIZ_174!X126,0)</f>
        <v>0</v>
      </c>
      <c r="AG127" s="22">
        <f>IFERROR(MATRIZ_174!Y126,0)</f>
        <v>0</v>
      </c>
      <c r="AH127" s="22">
        <f>IFERROR(MATRIZ_174!Z126,0)</f>
        <v>0</v>
      </c>
      <c r="AI127" s="17">
        <f>IFERROR(MATRIZ_174!AP126,"N/A")</f>
        <v>0</v>
      </c>
      <c r="AJ127" s="17" t="str">
        <f>IFERROR(MATRIZ_174!AO126,"N/A")</f>
        <v>N/A</v>
      </c>
      <c r="AK127" s="23" t="str">
        <f t="shared" si="42"/>
        <v>N/A</v>
      </c>
      <c r="AL127" s="24" t="str">
        <f t="shared" si="43"/>
        <v>—</v>
      </c>
    </row>
    <row r="128" spans="1:38" ht="16.05" customHeight="1" x14ac:dyDescent="0.3">
      <c r="A128" s="13" t="s">
        <v>340</v>
      </c>
      <c r="B128" s="14" t="s">
        <v>341</v>
      </c>
      <c r="C128" s="13" t="s">
        <v>77</v>
      </c>
      <c r="D128" s="15">
        <v>0</v>
      </c>
      <c r="E128" s="16" t="str">
        <f>IF(NORMALIZADO!CB127="","",NORMALIZADO!CB127)</f>
        <v/>
      </c>
      <c r="F128" s="17" t="str">
        <f>IF(NORMALIZADO!CC127="","",NORMALIZADO!CC127)</f>
        <v/>
      </c>
      <c r="G128" s="17">
        <f>IF(NORMALIZADO!CD127="",IFERROR(MATRIZ_174!U127*100,""),NORMALIZADO!CD127)</f>
        <v>100</v>
      </c>
      <c r="H128" s="16" t="str">
        <f>IF(NORMALIZADO!CE127="","",NORMALIZADO!CE127)</f>
        <v/>
      </c>
      <c r="I128" s="17" t="str">
        <f>IF(NORMALIZADO!CF127="","",NORMALIZADO!CF127)</f>
        <v/>
      </c>
      <c r="J128" s="17" t="str">
        <f>IF(NORMALIZADO!CG127="","",NORMALIZADO!CG127)</f>
        <v/>
      </c>
      <c r="K128" s="16" t="str">
        <f>IF(NORMALIZADO!CH127="","",NORMALIZADO!CH127)</f>
        <v/>
      </c>
      <c r="L128" s="16" t="str">
        <f>IF(NORMALIZADO!CI127="","",NORMALIZADO!CI127)</f>
        <v/>
      </c>
      <c r="M128" s="16" t="str">
        <f>IF(NORMALIZADO!CJ127="","",NORMALIZADO!CJ127)</f>
        <v/>
      </c>
      <c r="N128" s="16" t="str">
        <f>IF(NORMALIZADO!CK127="","",NORMALIZADO!CK127)</f>
        <v/>
      </c>
      <c r="O128" s="16" t="str">
        <f>IF(NORMALIZADO!CL127="","",NORMALIZADO!CL127)</f>
        <v/>
      </c>
      <c r="P128" s="17" t="str">
        <f t="shared" si="33"/>
        <v/>
      </c>
      <c r="Q128" s="17">
        <f t="shared" si="34"/>
        <v>0</v>
      </c>
      <c r="R128" s="17">
        <f t="shared" si="35"/>
        <v>0</v>
      </c>
      <c r="S128" s="17">
        <f t="shared" si="36"/>
        <v>0</v>
      </c>
      <c r="T128" s="17" t="str">
        <f>IF(ISNUMBER(MATRIZ_174!O127),IFERROR((K128+M128+MATRIZ_174!O127)/3,0),"")</f>
        <v/>
      </c>
      <c r="U128" s="18" t="str">
        <f>IF(ISNUMBER(MATRIZ_174!M127),MIN(100,ROUND(MATRIZ_174!M127,1)),"")</f>
        <v/>
      </c>
      <c r="V128" s="18">
        <f t="shared" si="37"/>
        <v>50</v>
      </c>
      <c r="W128" s="18">
        <f>IFERROR(IF(MATRIZ_174!R127=0,65,IF(MATRIZ_174!R127/MATRIZ_174!Q127&gt;=2,35,IF(MATRIZ_174!R127/MATRIZ_174!Q127&gt;=0.5,50,65))),65)</f>
        <v>65</v>
      </c>
      <c r="X128" s="18" t="str">
        <f>IF(ISNUMBER(MATRIZ_174!O127),MIN(100,IF(MATRIZ_174!O127=0,70,30)+IF(MATRIZ_174!U127="",0,0.3*(100-MATRIZ_174!U127*100))),"")</f>
        <v/>
      </c>
      <c r="Y128" s="18">
        <f>IF(OR(MATRIZ_174!P127="ASOCIACION",MATRIZ_174!P127="PENDIENTE"),65,40)</f>
        <v>65</v>
      </c>
      <c r="Z128" s="19" t="str">
        <f t="shared" si="38"/>
        <v>—</v>
      </c>
      <c r="AA128" s="20">
        <f t="shared" si="39"/>
        <v>60</v>
      </c>
      <c r="AB128" s="21" t="str">
        <f t="shared" si="40"/>
        <v>—</v>
      </c>
      <c r="AC128" s="13" t="str">
        <f t="shared" si="41"/>
        <v>⬜  Pendiente de instrumento</v>
      </c>
      <c r="AD128" s="13" t="str">
        <f>IF(MATRIZ_174!U127="","",IF(MATRIZ_174!U127=0,"🚫  Inh. vigente OSCE",""))</f>
        <v/>
      </c>
      <c r="AE128" s="22">
        <f>IFERROR(MATRIZ_174!W127,0)</f>
        <v>0</v>
      </c>
      <c r="AF128" s="22">
        <f>IFERROR(MATRIZ_174!X127,0)</f>
        <v>0</v>
      </c>
      <c r="AG128" s="22">
        <f>IFERROR(MATRIZ_174!Y127,0)</f>
        <v>0</v>
      </c>
      <c r="AH128" s="22">
        <f>IFERROR(MATRIZ_174!Z127,0)</f>
        <v>0</v>
      </c>
      <c r="AI128" s="17">
        <f>IFERROR(MATRIZ_174!AP127,"N/A")</f>
        <v>0</v>
      </c>
      <c r="AJ128" s="17" t="str">
        <f>IFERROR(MATRIZ_174!AO127,"N/A")</f>
        <v>N/A</v>
      </c>
      <c r="AK128" s="23" t="str">
        <f t="shared" si="42"/>
        <v>N/A</v>
      </c>
      <c r="AL128" s="24" t="str">
        <f t="shared" si="43"/>
        <v>—</v>
      </c>
    </row>
    <row r="129" spans="1:38" ht="16.05" customHeight="1" x14ac:dyDescent="0.3">
      <c r="A129" s="13" t="s">
        <v>342</v>
      </c>
      <c r="B129" s="14" t="s">
        <v>343</v>
      </c>
      <c r="C129" s="13" t="s">
        <v>112</v>
      </c>
      <c r="D129" s="15">
        <v>6983136.6699999999</v>
      </c>
      <c r="E129" s="16" t="str">
        <f>IF(NORMALIZADO!CB128="","",NORMALIZADO!CB128)</f>
        <v/>
      </c>
      <c r="F129" s="17" t="str">
        <f>IF(NORMALIZADO!CC128="","",NORMALIZADO!CC128)</f>
        <v/>
      </c>
      <c r="G129" s="17">
        <f>IF(NORMALIZADO!CD128="",IFERROR(MATRIZ_174!U128*100,""),NORMALIZADO!CD128)</f>
        <v>100</v>
      </c>
      <c r="H129" s="16" t="str">
        <f>IF(NORMALIZADO!CE128="","",NORMALIZADO!CE128)</f>
        <v/>
      </c>
      <c r="I129" s="17" t="str">
        <f>IF(NORMALIZADO!CF128="","",NORMALIZADO!CF128)</f>
        <v/>
      </c>
      <c r="J129" s="17" t="str">
        <f>IF(NORMALIZADO!CG128="","",NORMALIZADO!CG128)</f>
        <v/>
      </c>
      <c r="K129" s="16" t="str">
        <f>IF(NORMALIZADO!CH128="","",NORMALIZADO!CH128)</f>
        <v/>
      </c>
      <c r="L129" s="16" t="str">
        <f>IF(NORMALIZADO!CI128="","",NORMALIZADO!CI128)</f>
        <v/>
      </c>
      <c r="M129" s="16" t="str">
        <f>IF(NORMALIZADO!CJ128="","",NORMALIZADO!CJ128)</f>
        <v/>
      </c>
      <c r="N129" s="16" t="str">
        <f>IF(NORMALIZADO!CK128="","",NORMALIZADO!CK128)</f>
        <v/>
      </c>
      <c r="O129" s="16" t="str">
        <f>IF(NORMALIZADO!CL128="","",NORMALIZADO!CL128)</f>
        <v/>
      </c>
      <c r="P129" s="17" t="str">
        <f t="shared" si="33"/>
        <v/>
      </c>
      <c r="Q129" s="17">
        <f t="shared" si="34"/>
        <v>0</v>
      </c>
      <c r="R129" s="17">
        <f t="shared" si="35"/>
        <v>0</v>
      </c>
      <c r="S129" s="17">
        <f t="shared" si="36"/>
        <v>0</v>
      </c>
      <c r="T129" s="17" t="str">
        <f>IF(ISNUMBER(MATRIZ_174!O128),IFERROR((K129+M129+MATRIZ_174!O128)/3,0),"")</f>
        <v/>
      </c>
      <c r="U129" s="18">
        <f>IF(ISNUMBER(MATRIZ_174!M128),MIN(100,ROUND(MATRIZ_174!M128,1)),"")</f>
        <v>50</v>
      </c>
      <c r="V129" s="18">
        <f t="shared" si="37"/>
        <v>50</v>
      </c>
      <c r="W129" s="18">
        <f>IFERROR(IF(MATRIZ_174!R128=0,65,IF(MATRIZ_174!R128/MATRIZ_174!Q128&gt;=2,35,IF(MATRIZ_174!R128/MATRIZ_174!Q128&gt;=0.5,50,65))),65)</f>
        <v>65</v>
      </c>
      <c r="X129" s="18" t="str">
        <f>IF(ISNUMBER(MATRIZ_174!O128),MIN(100,IF(MATRIZ_174!O128=0,70,30)+IF(MATRIZ_174!U128="",0,0.3*(100-MATRIZ_174!U128*100))),"")</f>
        <v/>
      </c>
      <c r="Y129" s="18">
        <f>IF(OR(MATRIZ_174!P128="ASOCIACION",MATRIZ_174!P128="PENDIENTE"),65,40)</f>
        <v>65</v>
      </c>
      <c r="Z129" s="19" t="str">
        <f t="shared" si="38"/>
        <v>—</v>
      </c>
      <c r="AA129" s="20">
        <f t="shared" si="39"/>
        <v>57.5</v>
      </c>
      <c r="AB129" s="21" t="str">
        <f t="shared" si="40"/>
        <v>—</v>
      </c>
      <c r="AC129" s="13" t="str">
        <f t="shared" si="41"/>
        <v>⬜  Pendiente de instrumento</v>
      </c>
      <c r="AD129" s="13" t="str">
        <f>IF(MATRIZ_174!U128="","",IF(MATRIZ_174!U128=0,"🚫  Inh. vigente OSCE",""))</f>
        <v/>
      </c>
      <c r="AE129" s="22">
        <f>IFERROR(MATRIZ_174!W128,0)</f>
        <v>1</v>
      </c>
      <c r="AF129" s="22">
        <f>IFERROR(MATRIZ_174!X128,0)</f>
        <v>0</v>
      </c>
      <c r="AG129" s="22">
        <f>IFERROR(MATRIZ_174!Y128,0)</f>
        <v>0</v>
      </c>
      <c r="AH129" s="22">
        <f>IFERROR(MATRIZ_174!Z128,0)</f>
        <v>0</v>
      </c>
      <c r="AI129" s="17">
        <f>IFERROR(MATRIZ_174!AP128,"N/A")</f>
        <v>0.3125</v>
      </c>
      <c r="AJ129" s="17" t="str">
        <f>IFERROR(MATRIZ_174!AO128,"N/A")</f>
        <v>N/A</v>
      </c>
      <c r="AK129" s="23" t="str">
        <f t="shared" si="42"/>
        <v>N/A</v>
      </c>
      <c r="AL129" s="24" t="str">
        <f t="shared" si="43"/>
        <v>—</v>
      </c>
    </row>
    <row r="130" spans="1:38" ht="16.05" customHeight="1" x14ac:dyDescent="0.3">
      <c r="A130" s="13" t="s">
        <v>344</v>
      </c>
      <c r="B130" s="14" t="s">
        <v>345</v>
      </c>
      <c r="C130" s="13" t="s">
        <v>109</v>
      </c>
      <c r="D130" s="15">
        <v>0</v>
      </c>
      <c r="E130" s="16" t="str">
        <f>IF(NORMALIZADO!CB129="","",NORMALIZADO!CB129)</f>
        <v/>
      </c>
      <c r="F130" s="17" t="str">
        <f>IF(NORMALIZADO!CC129="","",NORMALIZADO!CC129)</f>
        <v/>
      </c>
      <c r="G130" s="17">
        <f>IF(NORMALIZADO!CD129="",IFERROR(MATRIZ_174!U129*100,""),NORMALIZADO!CD129)</f>
        <v>100</v>
      </c>
      <c r="H130" s="16" t="str">
        <f>IF(NORMALIZADO!CE129="","",NORMALIZADO!CE129)</f>
        <v/>
      </c>
      <c r="I130" s="17" t="str">
        <f>IF(NORMALIZADO!CF129="","",NORMALIZADO!CF129)</f>
        <v/>
      </c>
      <c r="J130" s="17" t="str">
        <f>IF(NORMALIZADO!CG129="","",NORMALIZADO!CG129)</f>
        <v/>
      </c>
      <c r="K130" s="16" t="str">
        <f>IF(NORMALIZADO!CH129="","",NORMALIZADO!CH129)</f>
        <v/>
      </c>
      <c r="L130" s="16" t="str">
        <f>IF(NORMALIZADO!CI129="","",NORMALIZADO!CI129)</f>
        <v/>
      </c>
      <c r="M130" s="16" t="str">
        <f>IF(NORMALIZADO!CJ129="","",NORMALIZADO!CJ129)</f>
        <v/>
      </c>
      <c r="N130" s="16" t="str">
        <f>IF(NORMALIZADO!CK129="","",NORMALIZADO!CK129)</f>
        <v/>
      </c>
      <c r="O130" s="16" t="str">
        <f>IF(NORMALIZADO!CL129="","",NORMALIZADO!CL129)</f>
        <v/>
      </c>
      <c r="P130" s="17" t="str">
        <f t="shared" si="33"/>
        <v/>
      </c>
      <c r="Q130" s="17">
        <f t="shared" si="34"/>
        <v>0</v>
      </c>
      <c r="R130" s="17">
        <f t="shared" si="35"/>
        <v>0</v>
      </c>
      <c r="S130" s="17">
        <f t="shared" si="36"/>
        <v>0</v>
      </c>
      <c r="T130" s="17" t="str">
        <f>IF(ISNUMBER(MATRIZ_174!O129),IFERROR((K130+M130+MATRIZ_174!O129)/3,0),"")</f>
        <v/>
      </c>
      <c r="U130" s="18" t="str">
        <f>IF(ISNUMBER(MATRIZ_174!M129),MIN(100,ROUND(MATRIZ_174!M129,1)),"")</f>
        <v/>
      </c>
      <c r="V130" s="18">
        <f t="shared" si="37"/>
        <v>50</v>
      </c>
      <c r="W130" s="18">
        <f>IFERROR(IF(MATRIZ_174!R129=0,65,IF(MATRIZ_174!R129/MATRIZ_174!Q129&gt;=2,35,IF(MATRIZ_174!R129/MATRIZ_174!Q129&gt;=0.5,50,65))),65)</f>
        <v>65</v>
      </c>
      <c r="X130" s="18" t="str">
        <f>IF(ISNUMBER(MATRIZ_174!O129),MIN(100,IF(MATRIZ_174!O129=0,70,30)+IF(MATRIZ_174!U129="",0,0.3*(100-MATRIZ_174!U129*100))),"")</f>
        <v/>
      </c>
      <c r="Y130" s="18">
        <f>IF(OR(MATRIZ_174!P129="ASOCIACION",MATRIZ_174!P129="PENDIENTE"),65,40)</f>
        <v>65</v>
      </c>
      <c r="Z130" s="19" t="str">
        <f t="shared" si="38"/>
        <v>—</v>
      </c>
      <c r="AA130" s="20">
        <f t="shared" si="39"/>
        <v>60</v>
      </c>
      <c r="AB130" s="21" t="str">
        <f t="shared" si="40"/>
        <v>—</v>
      </c>
      <c r="AC130" s="13" t="str">
        <f t="shared" si="41"/>
        <v>⬜  Pendiente de instrumento</v>
      </c>
      <c r="AD130" s="13" t="str">
        <f>IF(MATRIZ_174!U129="","",IF(MATRIZ_174!U129=0,"🚫  Inh. vigente OSCE",""))</f>
        <v/>
      </c>
      <c r="AE130" s="22">
        <f>IFERROR(MATRIZ_174!W129,0)</f>
        <v>0</v>
      </c>
      <c r="AF130" s="22">
        <f>IFERROR(MATRIZ_174!X129,0)</f>
        <v>0</v>
      </c>
      <c r="AG130" s="22">
        <f>IFERROR(MATRIZ_174!Y129,0)</f>
        <v>0</v>
      </c>
      <c r="AH130" s="22">
        <f>IFERROR(MATRIZ_174!Z129,0)</f>
        <v>0</v>
      </c>
      <c r="AI130" s="17">
        <f>IFERROR(MATRIZ_174!AP129,"N/A")</f>
        <v>0</v>
      </c>
      <c r="AJ130" s="17" t="str">
        <f>IFERROR(MATRIZ_174!AO129,"N/A")</f>
        <v>N/A</v>
      </c>
      <c r="AK130" s="23" t="str">
        <f t="shared" si="42"/>
        <v>N/A</v>
      </c>
      <c r="AL130" s="24" t="str">
        <f t="shared" si="43"/>
        <v>—</v>
      </c>
    </row>
    <row r="131" spans="1:38" ht="16.05" customHeight="1" x14ac:dyDescent="0.3">
      <c r="A131" s="13" t="s">
        <v>346</v>
      </c>
      <c r="B131" s="14" t="s">
        <v>347</v>
      </c>
      <c r="C131" s="13" t="s">
        <v>249</v>
      </c>
      <c r="D131" s="15">
        <v>0</v>
      </c>
      <c r="E131" s="16" t="str">
        <f>IF(NORMALIZADO!CB130="","",NORMALIZADO!CB130)</f>
        <v/>
      </c>
      <c r="F131" s="17" t="str">
        <f>IF(NORMALIZADO!CC130="","",NORMALIZADO!CC130)</f>
        <v/>
      </c>
      <c r="G131" s="17">
        <f>IF(NORMALIZADO!CD130="",IFERROR(MATRIZ_174!U130*100,""),NORMALIZADO!CD130)</f>
        <v>100</v>
      </c>
      <c r="H131" s="16" t="str">
        <f>IF(NORMALIZADO!CE130="","",NORMALIZADO!CE130)</f>
        <v/>
      </c>
      <c r="I131" s="17" t="str">
        <f>IF(NORMALIZADO!CF130="","",NORMALIZADO!CF130)</f>
        <v/>
      </c>
      <c r="J131" s="17" t="str">
        <f>IF(NORMALIZADO!CG130="","",NORMALIZADO!CG130)</f>
        <v/>
      </c>
      <c r="K131" s="16" t="str">
        <f>IF(NORMALIZADO!CH130="","",NORMALIZADO!CH130)</f>
        <v/>
      </c>
      <c r="L131" s="16" t="str">
        <f>IF(NORMALIZADO!CI130="","",NORMALIZADO!CI130)</f>
        <v/>
      </c>
      <c r="M131" s="16" t="str">
        <f>IF(NORMALIZADO!CJ130="","",NORMALIZADO!CJ130)</f>
        <v/>
      </c>
      <c r="N131" s="16" t="str">
        <f>IF(NORMALIZADO!CK130="","",NORMALIZADO!CK130)</f>
        <v/>
      </c>
      <c r="O131" s="16" t="str">
        <f>IF(NORMALIZADO!CL130="","",NORMALIZADO!CL130)</f>
        <v/>
      </c>
      <c r="P131" s="17" t="str">
        <f t="shared" si="33"/>
        <v/>
      </c>
      <c r="Q131" s="17">
        <f t="shared" si="34"/>
        <v>0</v>
      </c>
      <c r="R131" s="17">
        <f t="shared" si="35"/>
        <v>0</v>
      </c>
      <c r="S131" s="17">
        <f t="shared" si="36"/>
        <v>0</v>
      </c>
      <c r="T131" s="17">
        <f>IF(ISNUMBER(MATRIZ_174!O130),IFERROR((K131+M131+MATRIZ_174!O130)/3,0),"")</f>
        <v>0</v>
      </c>
      <c r="U131" s="18">
        <f>IF(ISNUMBER(MATRIZ_174!M130),MIN(100,ROUND(MATRIZ_174!M130,1)),"")</f>
        <v>0</v>
      </c>
      <c r="V131" s="18">
        <f t="shared" si="37"/>
        <v>50</v>
      </c>
      <c r="W131" s="18">
        <f>IFERROR(IF(MATRIZ_174!R130=0,65,IF(MATRIZ_174!R130/MATRIZ_174!Q130&gt;=2,35,IF(MATRIZ_174!R130/MATRIZ_174!Q130&gt;=0.5,50,65))),65)</f>
        <v>50</v>
      </c>
      <c r="X131" s="18">
        <f>IF(ISNUMBER(MATRIZ_174!O130),MIN(100,IF(MATRIZ_174!O130=0,70,30)+IF(MATRIZ_174!U130="",0,0.3*(100-MATRIZ_174!U130*100))),"")</f>
        <v>30</v>
      </c>
      <c r="Y131" s="18">
        <f>IF(OR(MATRIZ_174!P130="ASOCIACION",MATRIZ_174!P130="PENDIENTE"),65,40)</f>
        <v>65</v>
      </c>
      <c r="Z131" s="19" t="str">
        <f t="shared" si="38"/>
        <v>—</v>
      </c>
      <c r="AA131" s="20">
        <f t="shared" si="39"/>
        <v>39</v>
      </c>
      <c r="AB131" s="21" t="str">
        <f t="shared" si="40"/>
        <v>—</v>
      </c>
      <c r="AC131" s="13" t="str">
        <f t="shared" si="41"/>
        <v>⬜  Pendiente de instrumento</v>
      </c>
      <c r="AD131" s="13" t="str">
        <f>IF(MATRIZ_174!U130="","",IF(MATRIZ_174!U130=0,"🚫  Inh. vigente OSCE",""))</f>
        <v/>
      </c>
      <c r="AE131" s="22">
        <f>IFERROR(MATRIZ_174!W130,0)</f>
        <v>1</v>
      </c>
      <c r="AF131" s="22">
        <f>IFERROR(MATRIZ_174!X130,0)</f>
        <v>0</v>
      </c>
      <c r="AG131" s="22">
        <f>IFERROR(MATRIZ_174!Y130,0)</f>
        <v>0</v>
      </c>
      <c r="AH131" s="22">
        <f>IFERROR(MATRIZ_174!Z130,0)</f>
        <v>0</v>
      </c>
      <c r="AI131" s="17">
        <f>IFERROR(MATRIZ_174!AP130,"N/A")</f>
        <v>0.21875</v>
      </c>
      <c r="AJ131" s="17" t="str">
        <f>IFERROR(MATRIZ_174!AO130,"N/A")</f>
        <v>N/A</v>
      </c>
      <c r="AK131" s="23" t="str">
        <f t="shared" si="42"/>
        <v>N/A</v>
      </c>
      <c r="AL131" s="24" t="str">
        <f t="shared" si="43"/>
        <v>—</v>
      </c>
    </row>
    <row r="132" spans="1:38" ht="16.05" customHeight="1" x14ac:dyDescent="0.3">
      <c r="A132" s="13" t="s">
        <v>349</v>
      </c>
      <c r="B132" s="14" t="s">
        <v>350</v>
      </c>
      <c r="C132" s="13" t="s">
        <v>77</v>
      </c>
      <c r="D132" s="15">
        <v>0</v>
      </c>
      <c r="E132" s="16" t="str">
        <f>IF(NORMALIZADO!CB131="","",NORMALIZADO!CB131)</f>
        <v/>
      </c>
      <c r="F132" s="17" t="str">
        <f>IF(NORMALIZADO!CC131="","",NORMALIZADO!CC131)</f>
        <v/>
      </c>
      <c r="G132" s="17">
        <f>IF(NORMALIZADO!CD131="",IFERROR(MATRIZ_174!U131*100,""),NORMALIZADO!CD131)</f>
        <v>100</v>
      </c>
      <c r="H132" s="16" t="str">
        <f>IF(NORMALIZADO!CE131="","",NORMALIZADO!CE131)</f>
        <v/>
      </c>
      <c r="I132" s="17" t="str">
        <f>IF(NORMALIZADO!CF131="","",NORMALIZADO!CF131)</f>
        <v/>
      </c>
      <c r="J132" s="17" t="str">
        <f>IF(NORMALIZADO!CG131="","",NORMALIZADO!CG131)</f>
        <v/>
      </c>
      <c r="K132" s="16" t="str">
        <f>IF(NORMALIZADO!CH131="","",NORMALIZADO!CH131)</f>
        <v/>
      </c>
      <c r="L132" s="16" t="str">
        <f>IF(NORMALIZADO!CI131="","",NORMALIZADO!CI131)</f>
        <v/>
      </c>
      <c r="M132" s="16" t="str">
        <f>IF(NORMALIZADO!CJ131="","",NORMALIZADO!CJ131)</f>
        <v/>
      </c>
      <c r="N132" s="16" t="str">
        <f>IF(NORMALIZADO!CK131="","",NORMALIZADO!CK131)</f>
        <v/>
      </c>
      <c r="O132" s="16" t="str">
        <f>IF(NORMALIZADO!CL131="","",NORMALIZADO!CL131)</f>
        <v/>
      </c>
      <c r="P132" s="17" t="str">
        <f t="shared" ref="P132:P163" si="44">IFERROR(F132,0)</f>
        <v/>
      </c>
      <c r="Q132" s="17">
        <f t="shared" ref="Q132:Q163" si="45">IFERROR(SQRT(G132*H132),0)</f>
        <v>0</v>
      </c>
      <c r="R132" s="17">
        <f t="shared" ref="R132:R163" si="46">IFERROR((I132+J132+L132)/3,0)</f>
        <v>0</v>
      </c>
      <c r="S132" s="17">
        <f t="shared" ref="S132:S163" si="47">IFERROR((J132+F132)/2,0)</f>
        <v>0</v>
      </c>
      <c r="T132" s="17" t="str">
        <f>IF(ISNUMBER(MATRIZ_174!O131),IFERROR((K132+M132+MATRIZ_174!O131)/3,0),"")</f>
        <v/>
      </c>
      <c r="U132" s="18" t="str">
        <f>IF(ISNUMBER(MATRIZ_174!M131),MIN(100,ROUND(MATRIZ_174!M131,1)),"")</f>
        <v/>
      </c>
      <c r="V132" s="18">
        <f t="shared" ref="V132:V163" si="48">IF(OR(NOT(ISNUMBER(F132)),F132=0),50,F132)</f>
        <v>50</v>
      </c>
      <c r="W132" s="18">
        <f>IFERROR(IF(MATRIZ_174!R131=0,65,IF(MATRIZ_174!R131/MATRIZ_174!Q131&gt;=2,35,IF(MATRIZ_174!R131/MATRIZ_174!Q131&gt;=0.5,50,65))),65)</f>
        <v>65</v>
      </c>
      <c r="X132" s="18" t="str">
        <f>IF(ISNUMBER(MATRIZ_174!O131),MIN(100,IF(MATRIZ_174!O131=0,70,30)+IF(MATRIZ_174!U131="",0,0.3*(100-MATRIZ_174!U131*100))),"")</f>
        <v/>
      </c>
      <c r="Y132" s="18">
        <f>IF(OR(MATRIZ_174!P131="ASOCIACION",MATRIZ_174!P131="PENDIENTE"),65,40)</f>
        <v>65</v>
      </c>
      <c r="Z132" s="19" t="str">
        <f t="shared" ref="Z132:Z163" si="49">IF(COUNT(F132:M132)&lt;8,"—",IFERROR(ROUND(AVERAGE(P132:T132),1),"—"))</f>
        <v>—</v>
      </c>
      <c r="AA132" s="20">
        <f t="shared" ref="AA132:AA163" si="50">IFERROR(ROUND(AVERAGE(U132,V132,W132,X132,Y132),1),0)</f>
        <v>60</v>
      </c>
      <c r="AB132" s="21" t="str">
        <f t="shared" ref="AB132:AB163" si="51">IF(NOT(ISNUMBER(Z132)),"—",IFERROR(ROUND(AA132*(1-Z132/100),1),"—"))</f>
        <v>—</v>
      </c>
      <c r="AC132" s="13" t="str">
        <f t="shared" ref="AC132:AC163" si="52">IF(OR(NOT(ISNUMBER(Z132)),NOT(ISNUMBER(AA132))),"⬜  Pendiente de instrumento",IF(AND(Z132&gt;=50,AA132&lt;50),"🟢  Resilientes",IF(AND(Z132&gt;=50,AA132&gt;=50),"🟠  Expuestas Adaptables",IF(AND(Z132&lt;50,AA132&lt;50),"⬜  Riesgo Latente","🔴  Riesgo Crítico"))))</f>
        <v>⬜  Pendiente de instrumento</v>
      </c>
      <c r="AD132" s="13" t="str">
        <f>IF(MATRIZ_174!U131="","",IF(MATRIZ_174!U131=0,"🚫  Inh. vigente OSCE",""))</f>
        <v/>
      </c>
      <c r="AE132" s="22">
        <f>IFERROR(MATRIZ_174!W131,0)</f>
        <v>0</v>
      </c>
      <c r="AF132" s="22">
        <f>IFERROR(MATRIZ_174!X131,0)</f>
        <v>0</v>
      </c>
      <c r="AG132" s="22">
        <f>IFERROR(MATRIZ_174!Y131,0)</f>
        <v>0</v>
      </c>
      <c r="AH132" s="22">
        <f>IFERROR(MATRIZ_174!Z131,0)</f>
        <v>0</v>
      </c>
      <c r="AI132" s="17">
        <f>IFERROR(MATRIZ_174!AP131,"N/A")</f>
        <v>0</v>
      </c>
      <c r="AJ132" s="17" t="str">
        <f>IFERROR(MATRIZ_174!AO131,"N/A")</f>
        <v>N/A</v>
      </c>
      <c r="AK132" s="23" t="str">
        <f t="shared" ref="AK132:AK163" si="53">IF(COUNT(E132:M132)&lt;7,"N/A",IFERROR(ROUND((POWER(PRODUCT(E132:K132),1/MAX(1,COUNT(E132:K132)))*IF(COUNT(E132:K132)&gt;0,0.875,0)+IFERROR(AVERAGE(L132:M132),0)*IF(COUNT(L132:M132)&gt;0,0.125,0))/(IF(COUNT(E132:K132)&gt;0,0.875,0)+IF(COUNT(L132:M132)&gt;0,0.125,0)),1),"N/A"))</f>
        <v>N/A</v>
      </c>
      <c r="AL132" s="24" t="str">
        <f t="shared" ref="AL132:AL163" si="54">IF(OR(NOT(ISNUMBER(AK132)),NOT(ISNUMBER(AI132))),"—",ROUND(0.7*AK132+0.3*AI132*100,1))</f>
        <v>—</v>
      </c>
    </row>
    <row r="133" spans="1:38" ht="16.05" customHeight="1" x14ac:dyDescent="0.3">
      <c r="A133" s="13" t="s">
        <v>351</v>
      </c>
      <c r="B133" s="14" t="s">
        <v>352</v>
      </c>
      <c r="C133" s="13" t="s">
        <v>109</v>
      </c>
      <c r="D133" s="15">
        <v>0</v>
      </c>
      <c r="E133" s="16" t="str">
        <f>IF(NORMALIZADO!CB132="","",NORMALIZADO!CB132)</f>
        <v/>
      </c>
      <c r="F133" s="17" t="str">
        <f>IF(NORMALIZADO!CC132="","",NORMALIZADO!CC132)</f>
        <v/>
      </c>
      <c r="G133" s="17">
        <f>IF(NORMALIZADO!CD132="",IFERROR(MATRIZ_174!U132*100,""),NORMALIZADO!CD132)</f>
        <v>100</v>
      </c>
      <c r="H133" s="16" t="str">
        <f>IF(NORMALIZADO!CE132="","",NORMALIZADO!CE132)</f>
        <v/>
      </c>
      <c r="I133" s="17" t="str">
        <f>IF(NORMALIZADO!CF132="","",NORMALIZADO!CF132)</f>
        <v/>
      </c>
      <c r="J133" s="17" t="str">
        <f>IF(NORMALIZADO!CG132="","",NORMALIZADO!CG132)</f>
        <v/>
      </c>
      <c r="K133" s="16" t="str">
        <f>IF(NORMALIZADO!CH132="","",NORMALIZADO!CH132)</f>
        <v/>
      </c>
      <c r="L133" s="16" t="str">
        <f>IF(NORMALIZADO!CI132="","",NORMALIZADO!CI132)</f>
        <v/>
      </c>
      <c r="M133" s="16" t="str">
        <f>IF(NORMALIZADO!CJ132="","",NORMALIZADO!CJ132)</f>
        <v/>
      </c>
      <c r="N133" s="16" t="str">
        <f>IF(NORMALIZADO!CK132="","",NORMALIZADO!CK132)</f>
        <v/>
      </c>
      <c r="O133" s="16" t="str">
        <f>IF(NORMALIZADO!CL132="","",NORMALIZADO!CL132)</f>
        <v/>
      </c>
      <c r="P133" s="17" t="str">
        <f t="shared" si="44"/>
        <v/>
      </c>
      <c r="Q133" s="17">
        <f t="shared" si="45"/>
        <v>0</v>
      </c>
      <c r="R133" s="17">
        <f t="shared" si="46"/>
        <v>0</v>
      </c>
      <c r="S133" s="17">
        <f t="shared" si="47"/>
        <v>0</v>
      </c>
      <c r="T133" s="17" t="str">
        <f>IF(ISNUMBER(MATRIZ_174!O132),IFERROR((K133+M133+MATRIZ_174!O132)/3,0),"")</f>
        <v/>
      </c>
      <c r="U133" s="18" t="str">
        <f>IF(ISNUMBER(MATRIZ_174!M132),MIN(100,ROUND(MATRIZ_174!M132,1)),"")</f>
        <v/>
      </c>
      <c r="V133" s="18">
        <f t="shared" si="48"/>
        <v>50</v>
      </c>
      <c r="W133" s="18">
        <f>IFERROR(IF(MATRIZ_174!R132=0,65,IF(MATRIZ_174!R132/MATRIZ_174!Q132&gt;=2,35,IF(MATRIZ_174!R132/MATRIZ_174!Q132&gt;=0.5,50,65))),65)</f>
        <v>65</v>
      </c>
      <c r="X133" s="18" t="str">
        <f>IF(ISNUMBER(MATRIZ_174!O132),MIN(100,IF(MATRIZ_174!O132=0,70,30)+IF(MATRIZ_174!U132="",0,0.3*(100-MATRIZ_174!U132*100))),"")</f>
        <v/>
      </c>
      <c r="Y133" s="18">
        <f>IF(OR(MATRIZ_174!P132="ASOCIACION",MATRIZ_174!P132="PENDIENTE"),65,40)</f>
        <v>65</v>
      </c>
      <c r="Z133" s="19" t="str">
        <f t="shared" si="49"/>
        <v>—</v>
      </c>
      <c r="AA133" s="20">
        <f t="shared" si="50"/>
        <v>60</v>
      </c>
      <c r="AB133" s="21" t="str">
        <f t="shared" si="51"/>
        <v>—</v>
      </c>
      <c r="AC133" s="13" t="str">
        <f t="shared" si="52"/>
        <v>⬜  Pendiente de instrumento</v>
      </c>
      <c r="AD133" s="13" t="str">
        <f>IF(MATRIZ_174!U132="","",IF(MATRIZ_174!U132=0,"🚫  Inh. vigente OSCE",""))</f>
        <v/>
      </c>
      <c r="AE133" s="22">
        <f>IFERROR(MATRIZ_174!W132,0)</f>
        <v>0</v>
      </c>
      <c r="AF133" s="22">
        <f>IFERROR(MATRIZ_174!X132,0)</f>
        <v>0</v>
      </c>
      <c r="AG133" s="22">
        <f>IFERROR(MATRIZ_174!Y132,0)</f>
        <v>0</v>
      </c>
      <c r="AH133" s="22">
        <f>IFERROR(MATRIZ_174!Z132,0)</f>
        <v>0</v>
      </c>
      <c r="AI133" s="17">
        <f>IFERROR(MATRIZ_174!AP132,"N/A")</f>
        <v>0</v>
      </c>
      <c r="AJ133" s="17" t="str">
        <f>IFERROR(MATRIZ_174!AO132,"N/A")</f>
        <v>N/A</v>
      </c>
      <c r="AK133" s="23" t="str">
        <f t="shared" si="53"/>
        <v>N/A</v>
      </c>
      <c r="AL133" s="24" t="str">
        <f t="shared" si="54"/>
        <v>—</v>
      </c>
    </row>
    <row r="134" spans="1:38" ht="16.05" customHeight="1" x14ac:dyDescent="0.3">
      <c r="A134" s="13" t="s">
        <v>353</v>
      </c>
      <c r="B134" s="14" t="s">
        <v>354</v>
      </c>
      <c r="C134" s="13" t="s">
        <v>103</v>
      </c>
      <c r="D134" s="15">
        <v>0</v>
      </c>
      <c r="E134" s="16" t="str">
        <f>IF(NORMALIZADO!CB133="","",NORMALIZADO!CB133)</f>
        <v/>
      </c>
      <c r="F134" s="17" t="str">
        <f>IF(NORMALIZADO!CC133="","",NORMALIZADO!CC133)</f>
        <v/>
      </c>
      <c r="G134" s="17">
        <f>IF(NORMALIZADO!CD133="",IFERROR(MATRIZ_174!U133*100,""),NORMALIZADO!CD133)</f>
        <v>100</v>
      </c>
      <c r="H134" s="16" t="str">
        <f>IF(NORMALIZADO!CE133="","",NORMALIZADO!CE133)</f>
        <v/>
      </c>
      <c r="I134" s="17" t="str">
        <f>IF(NORMALIZADO!CF133="","",NORMALIZADO!CF133)</f>
        <v/>
      </c>
      <c r="J134" s="17" t="str">
        <f>IF(NORMALIZADO!CG133="","",NORMALIZADO!CG133)</f>
        <v/>
      </c>
      <c r="K134" s="16" t="str">
        <f>IF(NORMALIZADO!CH133="","",NORMALIZADO!CH133)</f>
        <v/>
      </c>
      <c r="L134" s="16" t="str">
        <f>IF(NORMALIZADO!CI133="","",NORMALIZADO!CI133)</f>
        <v/>
      </c>
      <c r="M134" s="16" t="str">
        <f>IF(NORMALIZADO!CJ133="","",NORMALIZADO!CJ133)</f>
        <v/>
      </c>
      <c r="N134" s="16" t="str">
        <f>IF(NORMALIZADO!CK133="","",NORMALIZADO!CK133)</f>
        <v/>
      </c>
      <c r="O134" s="16" t="str">
        <f>IF(NORMALIZADO!CL133="","",NORMALIZADO!CL133)</f>
        <v/>
      </c>
      <c r="P134" s="17" t="str">
        <f t="shared" si="44"/>
        <v/>
      </c>
      <c r="Q134" s="17">
        <f t="shared" si="45"/>
        <v>0</v>
      </c>
      <c r="R134" s="17">
        <f t="shared" si="46"/>
        <v>0</v>
      </c>
      <c r="S134" s="17">
        <f t="shared" si="47"/>
        <v>0</v>
      </c>
      <c r="T134" s="17" t="str">
        <f>IF(ISNUMBER(MATRIZ_174!O133),IFERROR((K134+M134+MATRIZ_174!O133)/3,0),"")</f>
        <v/>
      </c>
      <c r="U134" s="18" t="str">
        <f>IF(ISNUMBER(MATRIZ_174!M133),MIN(100,ROUND(MATRIZ_174!M133,1)),"")</f>
        <v/>
      </c>
      <c r="V134" s="18">
        <f t="shared" si="48"/>
        <v>50</v>
      </c>
      <c r="W134" s="18">
        <f>IFERROR(IF(MATRIZ_174!R133=0,65,IF(MATRIZ_174!R133/MATRIZ_174!Q133&gt;=2,35,IF(MATRIZ_174!R133/MATRIZ_174!Q133&gt;=0.5,50,65))),65)</f>
        <v>65</v>
      </c>
      <c r="X134" s="18" t="str">
        <f>IF(ISNUMBER(MATRIZ_174!O133),MIN(100,IF(MATRIZ_174!O133=0,70,30)+IF(MATRIZ_174!U133="",0,0.3*(100-MATRIZ_174!U133*100))),"")</f>
        <v/>
      </c>
      <c r="Y134" s="18">
        <f>IF(OR(MATRIZ_174!P133="ASOCIACION",MATRIZ_174!P133="PENDIENTE"),65,40)</f>
        <v>65</v>
      </c>
      <c r="Z134" s="19" t="str">
        <f t="shared" si="49"/>
        <v>—</v>
      </c>
      <c r="AA134" s="20">
        <f t="shared" si="50"/>
        <v>60</v>
      </c>
      <c r="AB134" s="21" t="str">
        <f t="shared" si="51"/>
        <v>—</v>
      </c>
      <c r="AC134" s="13" t="str">
        <f t="shared" si="52"/>
        <v>⬜  Pendiente de instrumento</v>
      </c>
      <c r="AD134" s="13" t="str">
        <f>IF(MATRIZ_174!U133="","",IF(MATRIZ_174!U133=0,"🚫  Inh. vigente OSCE",""))</f>
        <v/>
      </c>
      <c r="AE134" s="22">
        <f>IFERROR(MATRIZ_174!W133,0)</f>
        <v>0</v>
      </c>
      <c r="AF134" s="22">
        <f>IFERROR(MATRIZ_174!X133,0)</f>
        <v>0</v>
      </c>
      <c r="AG134" s="22">
        <f>IFERROR(MATRIZ_174!Y133,0)</f>
        <v>0</v>
      </c>
      <c r="AH134" s="22">
        <f>IFERROR(MATRIZ_174!Z133,0)</f>
        <v>0</v>
      </c>
      <c r="AI134" s="17">
        <f>IFERROR(MATRIZ_174!AP133,"N/A")</f>
        <v>0</v>
      </c>
      <c r="AJ134" s="17" t="str">
        <f>IFERROR(MATRIZ_174!AO133,"N/A")</f>
        <v>N/A</v>
      </c>
      <c r="AK134" s="23" t="str">
        <f t="shared" si="53"/>
        <v>N/A</v>
      </c>
      <c r="AL134" s="24" t="str">
        <f t="shared" si="54"/>
        <v>—</v>
      </c>
    </row>
    <row r="135" spans="1:38" ht="16.05" customHeight="1" x14ac:dyDescent="0.3">
      <c r="A135" s="13" t="s">
        <v>355</v>
      </c>
      <c r="B135" s="14" t="s">
        <v>356</v>
      </c>
      <c r="C135" s="13" t="s">
        <v>77</v>
      </c>
      <c r="D135" s="15">
        <v>0</v>
      </c>
      <c r="E135" s="16" t="str">
        <f>IF(NORMALIZADO!CB134="","",NORMALIZADO!CB134)</f>
        <v/>
      </c>
      <c r="F135" s="17" t="str">
        <f>IF(NORMALIZADO!CC134="","",NORMALIZADO!CC134)</f>
        <v/>
      </c>
      <c r="G135" s="17">
        <f>IF(NORMALIZADO!CD134="",IFERROR(MATRIZ_174!U134*100,""),NORMALIZADO!CD134)</f>
        <v>100</v>
      </c>
      <c r="H135" s="16" t="str">
        <f>IF(NORMALIZADO!CE134="","",NORMALIZADO!CE134)</f>
        <v/>
      </c>
      <c r="I135" s="17" t="str">
        <f>IF(NORMALIZADO!CF134="","",NORMALIZADO!CF134)</f>
        <v/>
      </c>
      <c r="J135" s="17" t="str">
        <f>IF(NORMALIZADO!CG134="","",NORMALIZADO!CG134)</f>
        <v/>
      </c>
      <c r="K135" s="16" t="str">
        <f>IF(NORMALIZADO!CH134="","",NORMALIZADO!CH134)</f>
        <v/>
      </c>
      <c r="L135" s="16" t="str">
        <f>IF(NORMALIZADO!CI134="","",NORMALIZADO!CI134)</f>
        <v/>
      </c>
      <c r="M135" s="16" t="str">
        <f>IF(NORMALIZADO!CJ134="","",NORMALIZADO!CJ134)</f>
        <v/>
      </c>
      <c r="N135" s="16" t="str">
        <f>IF(NORMALIZADO!CK134="","",NORMALIZADO!CK134)</f>
        <v/>
      </c>
      <c r="O135" s="16" t="str">
        <f>IF(NORMALIZADO!CL134="","",NORMALIZADO!CL134)</f>
        <v/>
      </c>
      <c r="P135" s="17" t="str">
        <f t="shared" si="44"/>
        <v/>
      </c>
      <c r="Q135" s="17">
        <f t="shared" si="45"/>
        <v>0</v>
      </c>
      <c r="R135" s="17">
        <f t="shared" si="46"/>
        <v>0</v>
      </c>
      <c r="S135" s="17">
        <f t="shared" si="47"/>
        <v>0</v>
      </c>
      <c r="T135" s="17">
        <f>IF(ISNUMBER(MATRIZ_174!O134),IFERROR((K135+M135+MATRIZ_174!O134)/3,0),"")</f>
        <v>0</v>
      </c>
      <c r="U135" s="18" t="str">
        <f>IF(ISNUMBER(MATRIZ_174!M134),MIN(100,ROUND(MATRIZ_174!M134,1)),"")</f>
        <v/>
      </c>
      <c r="V135" s="18">
        <f t="shared" si="48"/>
        <v>50</v>
      </c>
      <c r="W135" s="18">
        <f>IFERROR(IF(MATRIZ_174!R134=0,65,IF(MATRIZ_174!R134/MATRIZ_174!Q134&gt;=2,35,IF(MATRIZ_174!R134/MATRIZ_174!Q134&gt;=0.5,50,65))),65)</f>
        <v>35</v>
      </c>
      <c r="X135" s="18">
        <f>IF(ISNUMBER(MATRIZ_174!O134),MIN(100,IF(MATRIZ_174!O134=0,70,30)+IF(MATRIZ_174!U134="",0,0.3*(100-MATRIZ_174!U134*100))),"")</f>
        <v>30</v>
      </c>
      <c r="Y135" s="18">
        <f>IF(OR(MATRIZ_174!P134="ASOCIACION",MATRIZ_174!P134="PENDIENTE"),65,40)</f>
        <v>65</v>
      </c>
      <c r="Z135" s="19" t="str">
        <f t="shared" si="49"/>
        <v>—</v>
      </c>
      <c r="AA135" s="20">
        <f t="shared" si="50"/>
        <v>45</v>
      </c>
      <c r="AB135" s="21" t="str">
        <f t="shared" si="51"/>
        <v>—</v>
      </c>
      <c r="AC135" s="13" t="str">
        <f t="shared" si="52"/>
        <v>⬜  Pendiente de instrumento</v>
      </c>
      <c r="AD135" s="13" t="str">
        <f>IF(MATRIZ_174!U134="","",IF(MATRIZ_174!U134=0,"🚫  Inh. vigente OSCE",""))</f>
        <v/>
      </c>
      <c r="AE135" s="22">
        <f>IFERROR(MATRIZ_174!W134,0)</f>
        <v>1</v>
      </c>
      <c r="AF135" s="22">
        <f>IFERROR(MATRIZ_174!X134,0)</f>
        <v>0</v>
      </c>
      <c r="AG135" s="22">
        <f>IFERROR(MATRIZ_174!Y134,0)</f>
        <v>0</v>
      </c>
      <c r="AH135" s="22">
        <f>IFERROR(MATRIZ_174!Z134,0)</f>
        <v>0</v>
      </c>
      <c r="AI135" s="17">
        <f>IFERROR(MATRIZ_174!AP134,"N/A")</f>
        <v>0.375</v>
      </c>
      <c r="AJ135" s="17" t="str">
        <f>IFERROR(MATRIZ_174!AO134,"N/A")</f>
        <v>N/A</v>
      </c>
      <c r="AK135" s="23" t="str">
        <f t="shared" si="53"/>
        <v>N/A</v>
      </c>
      <c r="AL135" s="24" t="str">
        <f t="shared" si="54"/>
        <v>—</v>
      </c>
    </row>
    <row r="136" spans="1:38" ht="16.05" customHeight="1" x14ac:dyDescent="0.3">
      <c r="A136" s="13" t="s">
        <v>358</v>
      </c>
      <c r="B136" s="14" t="s">
        <v>359</v>
      </c>
      <c r="C136" s="13" t="s">
        <v>139</v>
      </c>
      <c r="D136" s="15">
        <v>4575551.37</v>
      </c>
      <c r="E136" s="16" t="str">
        <f>IF(NORMALIZADO!CB135="","",NORMALIZADO!CB135)</f>
        <v/>
      </c>
      <c r="F136" s="17" t="str">
        <f>IF(NORMALIZADO!CC135="","",NORMALIZADO!CC135)</f>
        <v/>
      </c>
      <c r="G136" s="17">
        <f>IF(NORMALIZADO!CD135="",IFERROR(MATRIZ_174!U135*100,""),NORMALIZADO!CD135)</f>
        <v>100</v>
      </c>
      <c r="H136" s="16" t="str">
        <f>IF(NORMALIZADO!CE135="","",NORMALIZADO!CE135)</f>
        <v/>
      </c>
      <c r="I136" s="17" t="str">
        <f>IF(NORMALIZADO!CF135="","",NORMALIZADO!CF135)</f>
        <v/>
      </c>
      <c r="J136" s="17" t="str">
        <f>IF(NORMALIZADO!CG135="","",NORMALIZADO!CG135)</f>
        <v/>
      </c>
      <c r="K136" s="16" t="str">
        <f>IF(NORMALIZADO!CH135="","",NORMALIZADO!CH135)</f>
        <v/>
      </c>
      <c r="L136" s="16" t="str">
        <f>IF(NORMALIZADO!CI135="","",NORMALIZADO!CI135)</f>
        <v/>
      </c>
      <c r="M136" s="16" t="str">
        <f>IF(NORMALIZADO!CJ135="","",NORMALIZADO!CJ135)</f>
        <v/>
      </c>
      <c r="N136" s="16" t="str">
        <f>IF(NORMALIZADO!CK135="","",NORMALIZADO!CK135)</f>
        <v/>
      </c>
      <c r="O136" s="16" t="str">
        <f>IF(NORMALIZADO!CL135="","",NORMALIZADO!CL135)</f>
        <v/>
      </c>
      <c r="P136" s="17" t="str">
        <f t="shared" si="44"/>
        <v/>
      </c>
      <c r="Q136" s="17">
        <f t="shared" si="45"/>
        <v>0</v>
      </c>
      <c r="R136" s="17">
        <f t="shared" si="46"/>
        <v>0</v>
      </c>
      <c r="S136" s="17">
        <f t="shared" si="47"/>
        <v>0</v>
      </c>
      <c r="T136" s="17">
        <f>IF(ISNUMBER(MATRIZ_174!O135),IFERROR((K136+M136+MATRIZ_174!O135)/3,0),"")</f>
        <v>0</v>
      </c>
      <c r="U136" s="18">
        <f>IF(ISNUMBER(MATRIZ_174!M135),MIN(100,ROUND(MATRIZ_174!M135,1)),"")</f>
        <v>66.900000000000006</v>
      </c>
      <c r="V136" s="18">
        <f t="shared" si="48"/>
        <v>50</v>
      </c>
      <c r="W136" s="18">
        <f>IFERROR(IF(MATRIZ_174!R135=0,65,IF(MATRIZ_174!R135/MATRIZ_174!Q135&gt;=2,35,IF(MATRIZ_174!R135/MATRIZ_174!Q135&gt;=0.5,50,65))),65)</f>
        <v>50</v>
      </c>
      <c r="X136" s="18">
        <f>IF(ISNUMBER(MATRIZ_174!O135),MIN(100,IF(MATRIZ_174!O135=0,70,30)+IF(MATRIZ_174!U135="",0,0.3*(100-MATRIZ_174!U135*100))),"")</f>
        <v>30</v>
      </c>
      <c r="Y136" s="18">
        <f>IF(OR(MATRIZ_174!P135="ASOCIACION",MATRIZ_174!P135="PENDIENTE"),65,40)</f>
        <v>65</v>
      </c>
      <c r="Z136" s="19" t="str">
        <f t="shared" si="49"/>
        <v>—</v>
      </c>
      <c r="AA136" s="20">
        <f t="shared" si="50"/>
        <v>52.4</v>
      </c>
      <c r="AB136" s="21" t="str">
        <f t="shared" si="51"/>
        <v>—</v>
      </c>
      <c r="AC136" s="13" t="str">
        <f t="shared" si="52"/>
        <v>⬜  Pendiente de instrumento</v>
      </c>
      <c r="AD136" s="13" t="str">
        <f>IF(MATRIZ_174!U135="","",IF(MATRIZ_174!U135=0,"🚫  Inh. vigente OSCE",""))</f>
        <v/>
      </c>
      <c r="AE136" s="22">
        <f>IFERROR(MATRIZ_174!W135,0)</f>
        <v>1</v>
      </c>
      <c r="AF136" s="22">
        <f>IFERROR(MATRIZ_174!X135,0)</f>
        <v>0</v>
      </c>
      <c r="AG136" s="22">
        <f>IFERROR(MATRIZ_174!Y135,0)</f>
        <v>0</v>
      </c>
      <c r="AH136" s="22">
        <f>IFERROR(MATRIZ_174!Z135,0)</f>
        <v>0</v>
      </c>
      <c r="AI136" s="17">
        <f>IFERROR(MATRIZ_174!AP135,"N/A")</f>
        <v>0.49750000000000005</v>
      </c>
      <c r="AJ136" s="17" t="str">
        <f>IFERROR(MATRIZ_174!AO135,"N/A")</f>
        <v>N/A</v>
      </c>
      <c r="AK136" s="23" t="str">
        <f t="shared" si="53"/>
        <v>N/A</v>
      </c>
      <c r="AL136" s="24" t="str">
        <f t="shared" si="54"/>
        <v>—</v>
      </c>
    </row>
    <row r="137" spans="1:38" ht="16.05" customHeight="1" x14ac:dyDescent="0.3">
      <c r="A137" s="13" t="s">
        <v>361</v>
      </c>
      <c r="B137" s="14" t="s">
        <v>362</v>
      </c>
      <c r="C137" s="13" t="s">
        <v>77</v>
      </c>
      <c r="D137" s="15">
        <v>0</v>
      </c>
      <c r="E137" s="16" t="str">
        <f>IF(NORMALIZADO!CB136="","",NORMALIZADO!CB136)</f>
        <v/>
      </c>
      <c r="F137" s="17" t="str">
        <f>IF(NORMALIZADO!CC136="","",NORMALIZADO!CC136)</f>
        <v/>
      </c>
      <c r="G137" s="17">
        <f>IF(NORMALIZADO!CD136="",IFERROR(MATRIZ_174!U136*100,""),NORMALIZADO!CD136)</f>
        <v>100</v>
      </c>
      <c r="H137" s="16" t="str">
        <f>IF(NORMALIZADO!CE136="","",NORMALIZADO!CE136)</f>
        <v/>
      </c>
      <c r="I137" s="17" t="str">
        <f>IF(NORMALIZADO!CF136="","",NORMALIZADO!CF136)</f>
        <v/>
      </c>
      <c r="J137" s="17" t="str">
        <f>IF(NORMALIZADO!CG136="","",NORMALIZADO!CG136)</f>
        <v/>
      </c>
      <c r="K137" s="16" t="str">
        <f>IF(NORMALIZADO!CH136="","",NORMALIZADO!CH136)</f>
        <v/>
      </c>
      <c r="L137" s="16" t="str">
        <f>IF(NORMALIZADO!CI136="","",NORMALIZADO!CI136)</f>
        <v/>
      </c>
      <c r="M137" s="16" t="str">
        <f>IF(NORMALIZADO!CJ136="","",NORMALIZADO!CJ136)</f>
        <v/>
      </c>
      <c r="N137" s="16" t="str">
        <f>IF(NORMALIZADO!CK136="","",NORMALIZADO!CK136)</f>
        <v/>
      </c>
      <c r="O137" s="16" t="str">
        <f>IF(NORMALIZADO!CL136="","",NORMALIZADO!CL136)</f>
        <v/>
      </c>
      <c r="P137" s="17" t="str">
        <f t="shared" si="44"/>
        <v/>
      </c>
      <c r="Q137" s="17">
        <f t="shared" si="45"/>
        <v>0</v>
      </c>
      <c r="R137" s="17">
        <f t="shared" si="46"/>
        <v>0</v>
      </c>
      <c r="S137" s="17">
        <f t="shared" si="47"/>
        <v>0</v>
      </c>
      <c r="T137" s="17" t="str">
        <f>IF(ISNUMBER(MATRIZ_174!O136),IFERROR((K137+M137+MATRIZ_174!O136)/3,0),"")</f>
        <v/>
      </c>
      <c r="U137" s="18" t="str">
        <f>IF(ISNUMBER(MATRIZ_174!M136),MIN(100,ROUND(MATRIZ_174!M136,1)),"")</f>
        <v/>
      </c>
      <c r="V137" s="18">
        <f t="shared" si="48"/>
        <v>50</v>
      </c>
      <c r="W137" s="18">
        <f>IFERROR(IF(MATRIZ_174!R136=0,65,IF(MATRIZ_174!R136/MATRIZ_174!Q136&gt;=2,35,IF(MATRIZ_174!R136/MATRIZ_174!Q136&gt;=0.5,50,65))),65)</f>
        <v>65</v>
      </c>
      <c r="X137" s="18" t="str">
        <f>IF(ISNUMBER(MATRIZ_174!O136),MIN(100,IF(MATRIZ_174!O136=0,70,30)+IF(MATRIZ_174!U136="",0,0.3*(100-MATRIZ_174!U136*100))),"")</f>
        <v/>
      </c>
      <c r="Y137" s="18">
        <f>IF(OR(MATRIZ_174!P136="ASOCIACION",MATRIZ_174!P136="PENDIENTE"),65,40)</f>
        <v>65</v>
      </c>
      <c r="Z137" s="19" t="str">
        <f t="shared" si="49"/>
        <v>—</v>
      </c>
      <c r="AA137" s="20">
        <f t="shared" si="50"/>
        <v>60</v>
      </c>
      <c r="AB137" s="21" t="str">
        <f t="shared" si="51"/>
        <v>—</v>
      </c>
      <c r="AC137" s="13" t="str">
        <f t="shared" si="52"/>
        <v>⬜  Pendiente de instrumento</v>
      </c>
      <c r="AD137" s="13" t="str">
        <f>IF(MATRIZ_174!U136="","",IF(MATRIZ_174!U136=0,"🚫  Inh. vigente OSCE",""))</f>
        <v/>
      </c>
      <c r="AE137" s="22">
        <f>IFERROR(MATRIZ_174!W136,0)</f>
        <v>0</v>
      </c>
      <c r="AF137" s="22">
        <f>IFERROR(MATRIZ_174!X136,0)</f>
        <v>0</v>
      </c>
      <c r="AG137" s="22">
        <f>IFERROR(MATRIZ_174!Y136,0)</f>
        <v>0</v>
      </c>
      <c r="AH137" s="22">
        <f>IFERROR(MATRIZ_174!Z136,0)</f>
        <v>0</v>
      </c>
      <c r="AI137" s="17">
        <f>IFERROR(MATRIZ_174!AP136,"N/A")</f>
        <v>0</v>
      </c>
      <c r="AJ137" s="17" t="str">
        <f>IFERROR(MATRIZ_174!AO136,"N/A")</f>
        <v>N/A</v>
      </c>
      <c r="AK137" s="23" t="str">
        <f t="shared" si="53"/>
        <v>N/A</v>
      </c>
      <c r="AL137" s="24" t="str">
        <f t="shared" si="54"/>
        <v>—</v>
      </c>
    </row>
    <row r="138" spans="1:38" ht="16.05" customHeight="1" x14ac:dyDescent="0.3">
      <c r="A138" s="13" t="s">
        <v>363</v>
      </c>
      <c r="B138" s="14" t="s">
        <v>364</v>
      </c>
      <c r="C138" s="13" t="s">
        <v>80</v>
      </c>
      <c r="D138" s="15">
        <v>0</v>
      </c>
      <c r="E138" s="16" t="str">
        <f>IF(NORMALIZADO!CB137="","",NORMALIZADO!CB137)</f>
        <v/>
      </c>
      <c r="F138" s="17" t="str">
        <f>IF(NORMALIZADO!CC137="","",NORMALIZADO!CC137)</f>
        <v/>
      </c>
      <c r="G138" s="17">
        <f>IF(NORMALIZADO!CD137="",IFERROR(MATRIZ_174!U137*100,""),NORMALIZADO!CD137)</f>
        <v>100</v>
      </c>
      <c r="H138" s="16" t="str">
        <f>IF(NORMALIZADO!CE137="","",NORMALIZADO!CE137)</f>
        <v/>
      </c>
      <c r="I138" s="17" t="str">
        <f>IF(NORMALIZADO!CF137="","",NORMALIZADO!CF137)</f>
        <v/>
      </c>
      <c r="J138" s="17" t="str">
        <f>IF(NORMALIZADO!CG137="","",NORMALIZADO!CG137)</f>
        <v/>
      </c>
      <c r="K138" s="16" t="str">
        <f>IF(NORMALIZADO!CH137="","",NORMALIZADO!CH137)</f>
        <v/>
      </c>
      <c r="L138" s="16" t="str">
        <f>IF(NORMALIZADO!CI137="","",NORMALIZADO!CI137)</f>
        <v/>
      </c>
      <c r="M138" s="16" t="str">
        <f>IF(NORMALIZADO!CJ137="","",NORMALIZADO!CJ137)</f>
        <v/>
      </c>
      <c r="N138" s="16" t="str">
        <f>IF(NORMALIZADO!CK137="","",NORMALIZADO!CK137)</f>
        <v/>
      </c>
      <c r="O138" s="16" t="str">
        <f>IF(NORMALIZADO!CL137="","",NORMALIZADO!CL137)</f>
        <v/>
      </c>
      <c r="P138" s="17" t="str">
        <f t="shared" si="44"/>
        <v/>
      </c>
      <c r="Q138" s="17">
        <f t="shared" si="45"/>
        <v>0</v>
      </c>
      <c r="R138" s="17">
        <f t="shared" si="46"/>
        <v>0</v>
      </c>
      <c r="S138" s="17">
        <f t="shared" si="47"/>
        <v>0</v>
      </c>
      <c r="T138" s="17" t="str">
        <f>IF(ISNUMBER(MATRIZ_174!O137),IFERROR((K138+M138+MATRIZ_174!O137)/3,0),"")</f>
        <v/>
      </c>
      <c r="U138" s="18" t="str">
        <f>IF(ISNUMBER(MATRIZ_174!M137),MIN(100,ROUND(MATRIZ_174!M137,1)),"")</f>
        <v/>
      </c>
      <c r="V138" s="18">
        <f t="shared" si="48"/>
        <v>50</v>
      </c>
      <c r="W138" s="18">
        <f>IFERROR(IF(MATRIZ_174!R137=0,65,IF(MATRIZ_174!R137/MATRIZ_174!Q137&gt;=2,35,IF(MATRIZ_174!R137/MATRIZ_174!Q137&gt;=0.5,50,65))),65)</f>
        <v>65</v>
      </c>
      <c r="X138" s="18" t="str">
        <f>IF(ISNUMBER(MATRIZ_174!O137),MIN(100,IF(MATRIZ_174!O137=0,70,30)+IF(MATRIZ_174!U137="",0,0.3*(100-MATRIZ_174!U137*100))),"")</f>
        <v/>
      </c>
      <c r="Y138" s="18">
        <f>IF(OR(MATRIZ_174!P137="ASOCIACION",MATRIZ_174!P137="PENDIENTE"),65,40)</f>
        <v>65</v>
      </c>
      <c r="Z138" s="19" t="str">
        <f t="shared" si="49"/>
        <v>—</v>
      </c>
      <c r="AA138" s="20">
        <f t="shared" si="50"/>
        <v>60</v>
      </c>
      <c r="AB138" s="21" t="str">
        <f t="shared" si="51"/>
        <v>—</v>
      </c>
      <c r="AC138" s="13" t="str">
        <f t="shared" si="52"/>
        <v>⬜  Pendiente de instrumento</v>
      </c>
      <c r="AD138" s="13" t="str">
        <f>IF(MATRIZ_174!U137="","",IF(MATRIZ_174!U137=0,"🚫  Inh. vigente OSCE",""))</f>
        <v/>
      </c>
      <c r="AE138" s="22">
        <f>IFERROR(MATRIZ_174!W137,0)</f>
        <v>0</v>
      </c>
      <c r="AF138" s="22">
        <f>IFERROR(MATRIZ_174!X137,0)</f>
        <v>0</v>
      </c>
      <c r="AG138" s="22">
        <f>IFERROR(MATRIZ_174!Y137,0)</f>
        <v>0</v>
      </c>
      <c r="AH138" s="22">
        <f>IFERROR(MATRIZ_174!Z137,0)</f>
        <v>0</v>
      </c>
      <c r="AI138" s="17">
        <f>IFERROR(MATRIZ_174!AP137,"N/A")</f>
        <v>0</v>
      </c>
      <c r="AJ138" s="17" t="str">
        <f>IFERROR(MATRIZ_174!AO137,"N/A")</f>
        <v>N/A</v>
      </c>
      <c r="AK138" s="23" t="str">
        <f t="shared" si="53"/>
        <v>N/A</v>
      </c>
      <c r="AL138" s="24" t="str">
        <f t="shared" si="54"/>
        <v>—</v>
      </c>
    </row>
    <row r="139" spans="1:38" ht="16.05" customHeight="1" x14ac:dyDescent="0.3">
      <c r="A139" s="13" t="s">
        <v>365</v>
      </c>
      <c r="B139" s="14" t="s">
        <v>366</v>
      </c>
      <c r="C139" s="13" t="s">
        <v>112</v>
      </c>
      <c r="D139" s="15">
        <v>80500</v>
      </c>
      <c r="E139" s="16" t="str">
        <f>IF(NORMALIZADO!CB138="","",NORMALIZADO!CB138)</f>
        <v/>
      </c>
      <c r="F139" s="17" t="str">
        <f>IF(NORMALIZADO!CC138="","",NORMALIZADO!CC138)</f>
        <v/>
      </c>
      <c r="G139" s="17">
        <f>IF(NORMALIZADO!CD138="",IFERROR(MATRIZ_174!U138*100,""),NORMALIZADO!CD138)</f>
        <v>100</v>
      </c>
      <c r="H139" s="16" t="str">
        <f>IF(NORMALIZADO!CE138="","",NORMALIZADO!CE138)</f>
        <v/>
      </c>
      <c r="I139" s="17" t="str">
        <f>IF(NORMALIZADO!CF138="","",NORMALIZADO!CF138)</f>
        <v/>
      </c>
      <c r="J139" s="17" t="str">
        <f>IF(NORMALIZADO!CG138="","",NORMALIZADO!CG138)</f>
        <v/>
      </c>
      <c r="K139" s="16" t="str">
        <f>IF(NORMALIZADO!CH138="","",NORMALIZADO!CH138)</f>
        <v/>
      </c>
      <c r="L139" s="16" t="str">
        <f>IF(NORMALIZADO!CI138="","",NORMALIZADO!CI138)</f>
        <v/>
      </c>
      <c r="M139" s="16" t="str">
        <f>IF(NORMALIZADO!CJ138="","",NORMALIZADO!CJ138)</f>
        <v/>
      </c>
      <c r="N139" s="16" t="str">
        <f>IF(NORMALIZADO!CK138="","",NORMALIZADO!CK138)</f>
        <v/>
      </c>
      <c r="O139" s="16" t="str">
        <f>IF(NORMALIZADO!CL138="","",NORMALIZADO!CL138)</f>
        <v/>
      </c>
      <c r="P139" s="17" t="str">
        <f t="shared" si="44"/>
        <v/>
      </c>
      <c r="Q139" s="17">
        <f t="shared" si="45"/>
        <v>0</v>
      </c>
      <c r="R139" s="17">
        <f t="shared" si="46"/>
        <v>0</v>
      </c>
      <c r="S139" s="17">
        <f t="shared" si="47"/>
        <v>0</v>
      </c>
      <c r="T139" s="17" t="str">
        <f>IF(ISNUMBER(MATRIZ_174!O138),IFERROR((K139+M139+MATRIZ_174!O138)/3,0),"")</f>
        <v/>
      </c>
      <c r="U139" s="18">
        <f>IF(ISNUMBER(MATRIZ_174!M138),MIN(100,ROUND(MATRIZ_174!M138,1)),"")</f>
        <v>50</v>
      </c>
      <c r="V139" s="18">
        <f t="shared" si="48"/>
        <v>50</v>
      </c>
      <c r="W139" s="18">
        <f>IFERROR(IF(MATRIZ_174!R138=0,65,IF(MATRIZ_174!R138/MATRIZ_174!Q138&gt;=2,35,IF(MATRIZ_174!R138/MATRIZ_174!Q138&gt;=0.5,50,65))),65)</f>
        <v>65</v>
      </c>
      <c r="X139" s="18" t="str">
        <f>IF(ISNUMBER(MATRIZ_174!O138),MIN(100,IF(MATRIZ_174!O138=0,70,30)+IF(MATRIZ_174!U138="",0,0.3*(100-MATRIZ_174!U138*100))),"")</f>
        <v/>
      </c>
      <c r="Y139" s="18">
        <f>IF(OR(MATRIZ_174!P138="ASOCIACION",MATRIZ_174!P138="PENDIENTE"),65,40)</f>
        <v>65</v>
      </c>
      <c r="Z139" s="19" t="str">
        <f t="shared" si="49"/>
        <v>—</v>
      </c>
      <c r="AA139" s="20">
        <f t="shared" si="50"/>
        <v>57.5</v>
      </c>
      <c r="AB139" s="21" t="str">
        <f t="shared" si="51"/>
        <v>—</v>
      </c>
      <c r="AC139" s="13" t="str">
        <f t="shared" si="52"/>
        <v>⬜  Pendiente de instrumento</v>
      </c>
      <c r="AD139" s="13" t="str">
        <f>IF(MATRIZ_174!U138="","",IF(MATRIZ_174!U138=0,"🚫  Inh. vigente OSCE",""))</f>
        <v/>
      </c>
      <c r="AE139" s="22">
        <f>IFERROR(MATRIZ_174!W138,0)</f>
        <v>0</v>
      </c>
      <c r="AF139" s="22">
        <f>IFERROR(MATRIZ_174!X138,0)</f>
        <v>0</v>
      </c>
      <c r="AG139" s="22">
        <f>IFERROR(MATRIZ_174!Y138,0)</f>
        <v>0</v>
      </c>
      <c r="AH139" s="22">
        <f>IFERROR(MATRIZ_174!Z138,0)</f>
        <v>0</v>
      </c>
      <c r="AI139" s="17">
        <f>IFERROR(MATRIZ_174!AP138,"N/A")</f>
        <v>0.25</v>
      </c>
      <c r="AJ139" s="17" t="str">
        <f>IFERROR(MATRIZ_174!AO138,"N/A")</f>
        <v>N/A</v>
      </c>
      <c r="AK139" s="23" t="str">
        <f t="shared" si="53"/>
        <v>N/A</v>
      </c>
      <c r="AL139" s="24" t="str">
        <f t="shared" si="54"/>
        <v>—</v>
      </c>
    </row>
    <row r="140" spans="1:38" ht="16.05" customHeight="1" x14ac:dyDescent="0.3">
      <c r="A140" s="13" t="s">
        <v>367</v>
      </c>
      <c r="B140" s="14" t="s">
        <v>368</v>
      </c>
      <c r="C140" s="13" t="s">
        <v>192</v>
      </c>
      <c r="D140" s="15">
        <v>0</v>
      </c>
      <c r="E140" s="16" t="str">
        <f>IF(NORMALIZADO!CB139="","",NORMALIZADO!CB139)</f>
        <v/>
      </c>
      <c r="F140" s="17" t="str">
        <f>IF(NORMALIZADO!CC139="","",NORMALIZADO!CC139)</f>
        <v/>
      </c>
      <c r="G140" s="17">
        <f>IF(NORMALIZADO!CD139="",IFERROR(MATRIZ_174!U139*100,""),NORMALIZADO!CD139)</f>
        <v>100</v>
      </c>
      <c r="H140" s="16" t="str">
        <f>IF(NORMALIZADO!CE139="","",NORMALIZADO!CE139)</f>
        <v/>
      </c>
      <c r="I140" s="17" t="str">
        <f>IF(NORMALIZADO!CF139="","",NORMALIZADO!CF139)</f>
        <v/>
      </c>
      <c r="J140" s="17" t="str">
        <f>IF(NORMALIZADO!CG139="","",NORMALIZADO!CG139)</f>
        <v/>
      </c>
      <c r="K140" s="16" t="str">
        <f>IF(NORMALIZADO!CH139="","",NORMALIZADO!CH139)</f>
        <v/>
      </c>
      <c r="L140" s="16" t="str">
        <f>IF(NORMALIZADO!CI139="","",NORMALIZADO!CI139)</f>
        <v/>
      </c>
      <c r="M140" s="16" t="str">
        <f>IF(NORMALIZADO!CJ139="","",NORMALIZADO!CJ139)</f>
        <v/>
      </c>
      <c r="N140" s="16" t="str">
        <f>IF(NORMALIZADO!CK139="","",NORMALIZADO!CK139)</f>
        <v/>
      </c>
      <c r="O140" s="16" t="str">
        <f>IF(NORMALIZADO!CL139="","",NORMALIZADO!CL139)</f>
        <v/>
      </c>
      <c r="P140" s="17" t="str">
        <f t="shared" si="44"/>
        <v/>
      </c>
      <c r="Q140" s="17">
        <f t="shared" si="45"/>
        <v>0</v>
      </c>
      <c r="R140" s="17">
        <f t="shared" si="46"/>
        <v>0</v>
      </c>
      <c r="S140" s="17">
        <f t="shared" si="47"/>
        <v>0</v>
      </c>
      <c r="T140" s="17" t="str">
        <f>IF(ISNUMBER(MATRIZ_174!O139),IFERROR((K140+M140+MATRIZ_174!O139)/3,0),"")</f>
        <v/>
      </c>
      <c r="U140" s="18" t="str">
        <f>IF(ISNUMBER(MATRIZ_174!M139),MIN(100,ROUND(MATRIZ_174!M139,1)),"")</f>
        <v/>
      </c>
      <c r="V140" s="18">
        <f t="shared" si="48"/>
        <v>50</v>
      </c>
      <c r="W140" s="18">
        <f>IFERROR(IF(MATRIZ_174!R139=0,65,IF(MATRIZ_174!R139/MATRIZ_174!Q139&gt;=2,35,IF(MATRIZ_174!R139/MATRIZ_174!Q139&gt;=0.5,50,65))),65)</f>
        <v>65</v>
      </c>
      <c r="X140" s="18" t="str">
        <f>IF(ISNUMBER(MATRIZ_174!O139),MIN(100,IF(MATRIZ_174!O139=0,70,30)+IF(MATRIZ_174!U139="",0,0.3*(100-MATRIZ_174!U139*100))),"")</f>
        <v/>
      </c>
      <c r="Y140" s="18">
        <f>IF(OR(MATRIZ_174!P139="ASOCIACION",MATRIZ_174!P139="PENDIENTE"),65,40)</f>
        <v>65</v>
      </c>
      <c r="Z140" s="19" t="str">
        <f t="shared" si="49"/>
        <v>—</v>
      </c>
      <c r="AA140" s="20">
        <f t="shared" si="50"/>
        <v>60</v>
      </c>
      <c r="AB140" s="21" t="str">
        <f t="shared" si="51"/>
        <v>—</v>
      </c>
      <c r="AC140" s="13" t="str">
        <f t="shared" si="52"/>
        <v>⬜  Pendiente de instrumento</v>
      </c>
      <c r="AD140" s="13" t="str">
        <f>IF(MATRIZ_174!U139="","",IF(MATRIZ_174!U139=0,"🚫  Inh. vigente OSCE",""))</f>
        <v/>
      </c>
      <c r="AE140" s="22">
        <f>IFERROR(MATRIZ_174!W139,0)</f>
        <v>0</v>
      </c>
      <c r="AF140" s="22">
        <f>IFERROR(MATRIZ_174!X139,0)</f>
        <v>0</v>
      </c>
      <c r="AG140" s="22">
        <f>IFERROR(MATRIZ_174!Y139,0)</f>
        <v>0</v>
      </c>
      <c r="AH140" s="22">
        <f>IFERROR(MATRIZ_174!Z139,0)</f>
        <v>0</v>
      </c>
      <c r="AI140" s="17">
        <f>IFERROR(MATRIZ_174!AP139,"N/A")</f>
        <v>0</v>
      </c>
      <c r="AJ140" s="17" t="str">
        <f>IFERROR(MATRIZ_174!AO139,"N/A")</f>
        <v>N/A</v>
      </c>
      <c r="AK140" s="23" t="str">
        <f t="shared" si="53"/>
        <v>N/A</v>
      </c>
      <c r="AL140" s="24" t="str">
        <f t="shared" si="54"/>
        <v>—</v>
      </c>
    </row>
    <row r="141" spans="1:38" ht="16.05" customHeight="1" x14ac:dyDescent="0.3">
      <c r="A141" s="13" t="s">
        <v>369</v>
      </c>
      <c r="B141" s="14" t="s">
        <v>370</v>
      </c>
      <c r="C141" s="13" t="s">
        <v>77</v>
      </c>
      <c r="D141" s="15">
        <v>0</v>
      </c>
      <c r="E141" s="16" t="str">
        <f>IF(NORMALIZADO!CB140="","",NORMALIZADO!CB140)</f>
        <v/>
      </c>
      <c r="F141" s="17" t="str">
        <f>IF(NORMALIZADO!CC140="","",NORMALIZADO!CC140)</f>
        <v/>
      </c>
      <c r="G141" s="17">
        <f>IF(NORMALIZADO!CD140="",IFERROR(MATRIZ_174!U140*100,""),NORMALIZADO!CD140)</f>
        <v>100</v>
      </c>
      <c r="H141" s="16" t="str">
        <f>IF(NORMALIZADO!CE140="","",NORMALIZADO!CE140)</f>
        <v/>
      </c>
      <c r="I141" s="17" t="str">
        <f>IF(NORMALIZADO!CF140="","",NORMALIZADO!CF140)</f>
        <v/>
      </c>
      <c r="J141" s="17" t="str">
        <f>IF(NORMALIZADO!CG140="","",NORMALIZADO!CG140)</f>
        <v/>
      </c>
      <c r="K141" s="16" t="str">
        <f>IF(NORMALIZADO!CH140="","",NORMALIZADO!CH140)</f>
        <v/>
      </c>
      <c r="L141" s="16" t="str">
        <f>IF(NORMALIZADO!CI140="","",NORMALIZADO!CI140)</f>
        <v/>
      </c>
      <c r="M141" s="16" t="str">
        <f>IF(NORMALIZADO!CJ140="","",NORMALIZADO!CJ140)</f>
        <v/>
      </c>
      <c r="N141" s="16" t="str">
        <f>IF(NORMALIZADO!CK140="","",NORMALIZADO!CK140)</f>
        <v/>
      </c>
      <c r="O141" s="16" t="str">
        <f>IF(NORMALIZADO!CL140="","",NORMALIZADO!CL140)</f>
        <v/>
      </c>
      <c r="P141" s="17" t="str">
        <f t="shared" si="44"/>
        <v/>
      </c>
      <c r="Q141" s="17">
        <f t="shared" si="45"/>
        <v>0</v>
      </c>
      <c r="R141" s="17">
        <f t="shared" si="46"/>
        <v>0</v>
      </c>
      <c r="S141" s="17">
        <f t="shared" si="47"/>
        <v>0</v>
      </c>
      <c r="T141" s="17" t="str">
        <f>IF(ISNUMBER(MATRIZ_174!O140),IFERROR((K141+M141+MATRIZ_174!O140)/3,0),"")</f>
        <v/>
      </c>
      <c r="U141" s="18">
        <f>IF(ISNUMBER(MATRIZ_174!M140),MIN(100,ROUND(MATRIZ_174!M140,1)),"")</f>
        <v>0</v>
      </c>
      <c r="V141" s="18">
        <f t="shared" si="48"/>
        <v>50</v>
      </c>
      <c r="W141" s="18">
        <f>IFERROR(IF(MATRIZ_174!R140=0,65,IF(MATRIZ_174!R140/MATRIZ_174!Q140&gt;=2,35,IF(MATRIZ_174!R140/MATRIZ_174!Q140&gt;=0.5,50,65))),65)</f>
        <v>65</v>
      </c>
      <c r="X141" s="18" t="str">
        <f>IF(ISNUMBER(MATRIZ_174!O140),MIN(100,IF(MATRIZ_174!O140=0,70,30)+IF(MATRIZ_174!U140="",0,0.3*(100-MATRIZ_174!U140*100))),"")</f>
        <v/>
      </c>
      <c r="Y141" s="18">
        <f>IF(OR(MATRIZ_174!P140="ASOCIACION",MATRIZ_174!P140="PENDIENTE"),65,40)</f>
        <v>65</v>
      </c>
      <c r="Z141" s="19" t="str">
        <f t="shared" si="49"/>
        <v>—</v>
      </c>
      <c r="AA141" s="20">
        <f t="shared" si="50"/>
        <v>45</v>
      </c>
      <c r="AB141" s="21" t="str">
        <f t="shared" si="51"/>
        <v>—</v>
      </c>
      <c r="AC141" s="13" t="str">
        <f t="shared" si="52"/>
        <v>⬜  Pendiente de instrumento</v>
      </c>
      <c r="AD141" s="13" t="str">
        <f>IF(MATRIZ_174!U140="","",IF(MATRIZ_174!U140=0,"🚫  Inh. vigente OSCE",""))</f>
        <v/>
      </c>
      <c r="AE141" s="22">
        <f>IFERROR(MATRIZ_174!W140,0)</f>
        <v>0</v>
      </c>
      <c r="AF141" s="22">
        <f>IFERROR(MATRIZ_174!X140,0)</f>
        <v>0</v>
      </c>
      <c r="AG141" s="22">
        <f>IFERROR(MATRIZ_174!Y140,0)</f>
        <v>0</v>
      </c>
      <c r="AH141" s="22">
        <f>IFERROR(MATRIZ_174!Z140,0)</f>
        <v>0</v>
      </c>
      <c r="AI141" s="17">
        <f>IFERROR(MATRIZ_174!AP140,"N/A")</f>
        <v>0</v>
      </c>
      <c r="AJ141" s="17" t="str">
        <f>IFERROR(MATRIZ_174!AO140,"N/A")</f>
        <v>N/A</v>
      </c>
      <c r="AK141" s="23" t="str">
        <f t="shared" si="53"/>
        <v>N/A</v>
      </c>
      <c r="AL141" s="24" t="str">
        <f t="shared" si="54"/>
        <v>—</v>
      </c>
    </row>
    <row r="142" spans="1:38" ht="16.05" customHeight="1" x14ac:dyDescent="0.3">
      <c r="A142" s="13" t="s">
        <v>371</v>
      </c>
      <c r="B142" s="14" t="s">
        <v>372</v>
      </c>
      <c r="C142" s="13" t="s">
        <v>80</v>
      </c>
      <c r="D142" s="15">
        <v>0</v>
      </c>
      <c r="E142" s="16" t="str">
        <f>IF(NORMALIZADO!CB141="","",NORMALIZADO!CB141)</f>
        <v/>
      </c>
      <c r="F142" s="17" t="str">
        <f>IF(NORMALIZADO!CC141="","",NORMALIZADO!CC141)</f>
        <v/>
      </c>
      <c r="G142" s="17">
        <f>IF(NORMALIZADO!CD141="",IFERROR(MATRIZ_174!U141*100,""),NORMALIZADO!CD141)</f>
        <v>100</v>
      </c>
      <c r="H142" s="16" t="str">
        <f>IF(NORMALIZADO!CE141="","",NORMALIZADO!CE141)</f>
        <v/>
      </c>
      <c r="I142" s="17" t="str">
        <f>IF(NORMALIZADO!CF141="","",NORMALIZADO!CF141)</f>
        <v/>
      </c>
      <c r="J142" s="17" t="str">
        <f>IF(NORMALIZADO!CG141="","",NORMALIZADO!CG141)</f>
        <v/>
      </c>
      <c r="K142" s="16" t="str">
        <f>IF(NORMALIZADO!CH141="","",NORMALIZADO!CH141)</f>
        <v/>
      </c>
      <c r="L142" s="16" t="str">
        <f>IF(NORMALIZADO!CI141="","",NORMALIZADO!CI141)</f>
        <v/>
      </c>
      <c r="M142" s="16" t="str">
        <f>IF(NORMALIZADO!CJ141="","",NORMALIZADO!CJ141)</f>
        <v/>
      </c>
      <c r="N142" s="16" t="str">
        <f>IF(NORMALIZADO!CK141="","",NORMALIZADO!CK141)</f>
        <v/>
      </c>
      <c r="O142" s="16" t="str">
        <f>IF(NORMALIZADO!CL141="","",NORMALIZADO!CL141)</f>
        <v/>
      </c>
      <c r="P142" s="17" t="str">
        <f t="shared" si="44"/>
        <v/>
      </c>
      <c r="Q142" s="17">
        <f t="shared" si="45"/>
        <v>0</v>
      </c>
      <c r="R142" s="17">
        <f t="shared" si="46"/>
        <v>0</v>
      </c>
      <c r="S142" s="17">
        <f t="shared" si="47"/>
        <v>0</v>
      </c>
      <c r="T142" s="17" t="str">
        <f>IF(ISNUMBER(MATRIZ_174!O141),IFERROR((K142+M142+MATRIZ_174!O141)/3,0),"")</f>
        <v/>
      </c>
      <c r="U142" s="18" t="str">
        <f>IF(ISNUMBER(MATRIZ_174!M141),MIN(100,ROUND(MATRIZ_174!M141,1)),"")</f>
        <v/>
      </c>
      <c r="V142" s="18">
        <f t="shared" si="48"/>
        <v>50</v>
      </c>
      <c r="W142" s="18">
        <f>IFERROR(IF(MATRIZ_174!R141=0,65,IF(MATRIZ_174!R141/MATRIZ_174!Q141&gt;=2,35,IF(MATRIZ_174!R141/MATRIZ_174!Q141&gt;=0.5,50,65))),65)</f>
        <v>65</v>
      </c>
      <c r="X142" s="18" t="str">
        <f>IF(ISNUMBER(MATRIZ_174!O141),MIN(100,IF(MATRIZ_174!O141=0,70,30)+IF(MATRIZ_174!U141="",0,0.3*(100-MATRIZ_174!U141*100))),"")</f>
        <v/>
      </c>
      <c r="Y142" s="18">
        <f>IF(OR(MATRIZ_174!P141="ASOCIACION",MATRIZ_174!P141="PENDIENTE"),65,40)</f>
        <v>65</v>
      </c>
      <c r="Z142" s="19" t="str">
        <f t="shared" si="49"/>
        <v>—</v>
      </c>
      <c r="AA142" s="20">
        <f t="shared" si="50"/>
        <v>60</v>
      </c>
      <c r="AB142" s="21" t="str">
        <f t="shared" si="51"/>
        <v>—</v>
      </c>
      <c r="AC142" s="13" t="str">
        <f t="shared" si="52"/>
        <v>⬜  Pendiente de instrumento</v>
      </c>
      <c r="AD142" s="13" t="str">
        <f>IF(MATRIZ_174!U141="","",IF(MATRIZ_174!U141=0,"🚫  Inh. vigente OSCE",""))</f>
        <v/>
      </c>
      <c r="AE142" s="22">
        <f>IFERROR(MATRIZ_174!W141,0)</f>
        <v>0</v>
      </c>
      <c r="AF142" s="22">
        <f>IFERROR(MATRIZ_174!X141,0)</f>
        <v>0</v>
      </c>
      <c r="AG142" s="22">
        <f>IFERROR(MATRIZ_174!Y141,0)</f>
        <v>0</v>
      </c>
      <c r="AH142" s="22">
        <f>IFERROR(MATRIZ_174!Z141,0)</f>
        <v>0</v>
      </c>
      <c r="AI142" s="17">
        <f>IFERROR(MATRIZ_174!AP141,"N/A")</f>
        <v>0</v>
      </c>
      <c r="AJ142" s="17" t="str">
        <f>IFERROR(MATRIZ_174!AO141,"N/A")</f>
        <v>N/A</v>
      </c>
      <c r="AK142" s="23" t="str">
        <f t="shared" si="53"/>
        <v>N/A</v>
      </c>
      <c r="AL142" s="24" t="str">
        <f t="shared" si="54"/>
        <v>—</v>
      </c>
    </row>
    <row r="143" spans="1:38" ht="16.05" customHeight="1" x14ac:dyDescent="0.3">
      <c r="A143" s="13" t="s">
        <v>373</v>
      </c>
      <c r="B143" s="14" t="s">
        <v>374</v>
      </c>
      <c r="C143" s="13" t="s">
        <v>80</v>
      </c>
      <c r="D143" s="15">
        <v>0</v>
      </c>
      <c r="E143" s="16" t="str">
        <f>IF(NORMALIZADO!CB142="","",NORMALIZADO!CB142)</f>
        <v/>
      </c>
      <c r="F143" s="17" t="str">
        <f>IF(NORMALIZADO!CC142="","",NORMALIZADO!CC142)</f>
        <v/>
      </c>
      <c r="G143" s="17">
        <f>IF(NORMALIZADO!CD142="",IFERROR(MATRIZ_174!U142*100,""),NORMALIZADO!CD142)</f>
        <v>100</v>
      </c>
      <c r="H143" s="16" t="str">
        <f>IF(NORMALIZADO!CE142="","",NORMALIZADO!CE142)</f>
        <v/>
      </c>
      <c r="I143" s="17" t="str">
        <f>IF(NORMALIZADO!CF142="","",NORMALIZADO!CF142)</f>
        <v/>
      </c>
      <c r="J143" s="17" t="str">
        <f>IF(NORMALIZADO!CG142="","",NORMALIZADO!CG142)</f>
        <v/>
      </c>
      <c r="K143" s="16" t="str">
        <f>IF(NORMALIZADO!CH142="","",NORMALIZADO!CH142)</f>
        <v/>
      </c>
      <c r="L143" s="16" t="str">
        <f>IF(NORMALIZADO!CI142="","",NORMALIZADO!CI142)</f>
        <v/>
      </c>
      <c r="M143" s="16" t="str">
        <f>IF(NORMALIZADO!CJ142="","",NORMALIZADO!CJ142)</f>
        <v/>
      </c>
      <c r="N143" s="16" t="str">
        <f>IF(NORMALIZADO!CK142="","",NORMALIZADO!CK142)</f>
        <v/>
      </c>
      <c r="O143" s="16" t="str">
        <f>IF(NORMALIZADO!CL142="","",NORMALIZADO!CL142)</f>
        <v/>
      </c>
      <c r="P143" s="17" t="str">
        <f t="shared" si="44"/>
        <v/>
      </c>
      <c r="Q143" s="17">
        <f t="shared" si="45"/>
        <v>0</v>
      </c>
      <c r="R143" s="17">
        <f t="shared" si="46"/>
        <v>0</v>
      </c>
      <c r="S143" s="17">
        <f t="shared" si="47"/>
        <v>0</v>
      </c>
      <c r="T143" s="17" t="str">
        <f>IF(ISNUMBER(MATRIZ_174!O142),IFERROR((K143+M143+MATRIZ_174!O142)/3,0),"")</f>
        <v/>
      </c>
      <c r="U143" s="18" t="str">
        <f>IF(ISNUMBER(MATRIZ_174!M142),MIN(100,ROUND(MATRIZ_174!M142,1)),"")</f>
        <v/>
      </c>
      <c r="V143" s="18">
        <f t="shared" si="48"/>
        <v>50</v>
      </c>
      <c r="W143" s="18">
        <f>IFERROR(IF(MATRIZ_174!R142=0,65,IF(MATRIZ_174!R142/MATRIZ_174!Q142&gt;=2,35,IF(MATRIZ_174!R142/MATRIZ_174!Q142&gt;=0.5,50,65))),65)</f>
        <v>65</v>
      </c>
      <c r="X143" s="18" t="str">
        <f>IF(ISNUMBER(MATRIZ_174!O142),MIN(100,IF(MATRIZ_174!O142=0,70,30)+IF(MATRIZ_174!U142="",0,0.3*(100-MATRIZ_174!U142*100))),"")</f>
        <v/>
      </c>
      <c r="Y143" s="18">
        <f>IF(OR(MATRIZ_174!P142="ASOCIACION",MATRIZ_174!P142="PENDIENTE"),65,40)</f>
        <v>65</v>
      </c>
      <c r="Z143" s="19" t="str">
        <f t="shared" si="49"/>
        <v>—</v>
      </c>
      <c r="AA143" s="20">
        <f t="shared" si="50"/>
        <v>60</v>
      </c>
      <c r="AB143" s="21" t="str">
        <f t="shared" si="51"/>
        <v>—</v>
      </c>
      <c r="AC143" s="13" t="str">
        <f t="shared" si="52"/>
        <v>⬜  Pendiente de instrumento</v>
      </c>
      <c r="AD143" s="13" t="str">
        <f>IF(MATRIZ_174!U142="","",IF(MATRIZ_174!U142=0,"🚫  Inh. vigente OSCE",""))</f>
        <v/>
      </c>
      <c r="AE143" s="22">
        <f>IFERROR(MATRIZ_174!W142,0)</f>
        <v>0</v>
      </c>
      <c r="AF143" s="22">
        <f>IFERROR(MATRIZ_174!X142,0)</f>
        <v>0</v>
      </c>
      <c r="AG143" s="22">
        <f>IFERROR(MATRIZ_174!Y142,0)</f>
        <v>0</v>
      </c>
      <c r="AH143" s="22">
        <f>IFERROR(MATRIZ_174!Z142,0)</f>
        <v>0</v>
      </c>
      <c r="AI143" s="17">
        <f>IFERROR(MATRIZ_174!AP142,"N/A")</f>
        <v>0</v>
      </c>
      <c r="AJ143" s="17" t="str">
        <f>IFERROR(MATRIZ_174!AO142,"N/A")</f>
        <v>N/A</v>
      </c>
      <c r="AK143" s="23" t="str">
        <f t="shared" si="53"/>
        <v>N/A</v>
      </c>
      <c r="AL143" s="24" t="str">
        <f t="shared" si="54"/>
        <v>—</v>
      </c>
    </row>
    <row r="144" spans="1:38" ht="16.05" customHeight="1" x14ac:dyDescent="0.3">
      <c r="A144" s="13" t="s">
        <v>375</v>
      </c>
      <c r="B144" s="14" t="s">
        <v>376</v>
      </c>
      <c r="C144" s="13" t="s">
        <v>139</v>
      </c>
      <c r="D144" s="15">
        <v>852880.44</v>
      </c>
      <c r="E144" s="16" t="str">
        <f>IF(NORMALIZADO!CB143="","",NORMALIZADO!CB143)</f>
        <v/>
      </c>
      <c r="F144" s="17" t="str">
        <f>IF(NORMALIZADO!CC143="","",NORMALIZADO!CC143)</f>
        <v/>
      </c>
      <c r="G144" s="17">
        <f>IF(NORMALIZADO!CD143="",IFERROR(MATRIZ_174!U143*100,""),NORMALIZADO!CD143)</f>
        <v>100</v>
      </c>
      <c r="H144" s="16" t="str">
        <f>IF(NORMALIZADO!CE143="","",NORMALIZADO!CE143)</f>
        <v/>
      </c>
      <c r="I144" s="17" t="str">
        <f>IF(NORMALIZADO!CF143="","",NORMALIZADO!CF143)</f>
        <v/>
      </c>
      <c r="J144" s="17" t="str">
        <f>IF(NORMALIZADO!CG143="","",NORMALIZADO!CG143)</f>
        <v/>
      </c>
      <c r="K144" s="16" t="str">
        <f>IF(NORMALIZADO!CH143="","",NORMALIZADO!CH143)</f>
        <v/>
      </c>
      <c r="L144" s="16" t="str">
        <f>IF(NORMALIZADO!CI143="","",NORMALIZADO!CI143)</f>
        <v/>
      </c>
      <c r="M144" s="16" t="str">
        <f>IF(NORMALIZADO!CJ143="","",NORMALIZADO!CJ143)</f>
        <v/>
      </c>
      <c r="N144" s="16" t="str">
        <f>IF(NORMALIZADO!CK143="","",NORMALIZADO!CK143)</f>
        <v/>
      </c>
      <c r="O144" s="16" t="str">
        <f>IF(NORMALIZADO!CL143="","",NORMALIZADO!CL143)</f>
        <v/>
      </c>
      <c r="P144" s="17" t="str">
        <f t="shared" si="44"/>
        <v/>
      </c>
      <c r="Q144" s="17">
        <f t="shared" si="45"/>
        <v>0</v>
      </c>
      <c r="R144" s="17">
        <f t="shared" si="46"/>
        <v>0</v>
      </c>
      <c r="S144" s="17">
        <f t="shared" si="47"/>
        <v>0</v>
      </c>
      <c r="T144" s="17">
        <f>IF(ISNUMBER(MATRIZ_174!O143),IFERROR((K144+M144+MATRIZ_174!O143)/3,0),"")</f>
        <v>0</v>
      </c>
      <c r="U144" s="18">
        <f>IF(ISNUMBER(MATRIZ_174!M143),MIN(100,ROUND(MATRIZ_174!M143,1)),"")</f>
        <v>71</v>
      </c>
      <c r="V144" s="18">
        <f t="shared" si="48"/>
        <v>50</v>
      </c>
      <c r="W144" s="18">
        <f>IFERROR(IF(MATRIZ_174!R143=0,65,IF(MATRIZ_174!R143/MATRIZ_174!Q143&gt;=2,35,IF(MATRIZ_174!R143/MATRIZ_174!Q143&gt;=0.5,50,65))),65)</f>
        <v>35</v>
      </c>
      <c r="X144" s="18">
        <f>IF(ISNUMBER(MATRIZ_174!O143),MIN(100,IF(MATRIZ_174!O143=0,70,30)+IF(MATRIZ_174!U143="",0,0.3*(100-MATRIZ_174!U143*100))),"")</f>
        <v>30</v>
      </c>
      <c r="Y144" s="18">
        <f>IF(OR(MATRIZ_174!P143="ASOCIACION",MATRIZ_174!P143="PENDIENTE"),65,40)</f>
        <v>65</v>
      </c>
      <c r="Z144" s="19" t="str">
        <f t="shared" si="49"/>
        <v>—</v>
      </c>
      <c r="AA144" s="20">
        <f t="shared" si="50"/>
        <v>50.2</v>
      </c>
      <c r="AB144" s="21" t="str">
        <f t="shared" si="51"/>
        <v>—</v>
      </c>
      <c r="AC144" s="13" t="str">
        <f t="shared" si="52"/>
        <v>⬜  Pendiente de instrumento</v>
      </c>
      <c r="AD144" s="13" t="str">
        <f>IF(MATRIZ_174!U143="","",IF(MATRIZ_174!U143=0,"🚫  Inh. vigente OSCE",""))</f>
        <v/>
      </c>
      <c r="AE144" s="22">
        <f>IFERROR(MATRIZ_174!W143,0)</f>
        <v>1</v>
      </c>
      <c r="AF144" s="22">
        <f>IFERROR(MATRIZ_174!X143,0)</f>
        <v>0</v>
      </c>
      <c r="AG144" s="22">
        <f>IFERROR(MATRIZ_174!Y143,0)</f>
        <v>0</v>
      </c>
      <c r="AH144" s="22">
        <f>IFERROR(MATRIZ_174!Z143,0)</f>
        <v>0</v>
      </c>
      <c r="AI144" s="17">
        <f>IFERROR(MATRIZ_174!AP143,"N/A")</f>
        <v>0.51458333333333328</v>
      </c>
      <c r="AJ144" s="17" t="str">
        <f>IFERROR(MATRIZ_174!AO143,"N/A")</f>
        <v>N/A</v>
      </c>
      <c r="AK144" s="23" t="str">
        <f t="shared" si="53"/>
        <v>N/A</v>
      </c>
      <c r="AL144" s="24" t="str">
        <f t="shared" si="54"/>
        <v>—</v>
      </c>
    </row>
    <row r="145" spans="1:38" ht="16.05" customHeight="1" x14ac:dyDescent="0.3">
      <c r="A145" s="13" t="s">
        <v>377</v>
      </c>
      <c r="B145" s="14" t="s">
        <v>378</v>
      </c>
      <c r="C145" s="13" t="s">
        <v>80</v>
      </c>
      <c r="D145" s="15">
        <v>0</v>
      </c>
      <c r="E145" s="16" t="str">
        <f>IF(NORMALIZADO!CB144="","",NORMALIZADO!CB144)</f>
        <v/>
      </c>
      <c r="F145" s="17" t="str">
        <f>IF(NORMALIZADO!CC144="","",NORMALIZADO!CC144)</f>
        <v/>
      </c>
      <c r="G145" s="17">
        <f>IF(NORMALIZADO!CD144="",IFERROR(MATRIZ_174!U144*100,""),NORMALIZADO!CD144)</f>
        <v>100</v>
      </c>
      <c r="H145" s="16" t="str">
        <f>IF(NORMALIZADO!CE144="","",NORMALIZADO!CE144)</f>
        <v/>
      </c>
      <c r="I145" s="17" t="str">
        <f>IF(NORMALIZADO!CF144="","",NORMALIZADO!CF144)</f>
        <v/>
      </c>
      <c r="J145" s="17" t="str">
        <f>IF(NORMALIZADO!CG144="","",NORMALIZADO!CG144)</f>
        <v/>
      </c>
      <c r="K145" s="16" t="str">
        <f>IF(NORMALIZADO!CH144="","",NORMALIZADO!CH144)</f>
        <v/>
      </c>
      <c r="L145" s="16" t="str">
        <f>IF(NORMALIZADO!CI144="","",NORMALIZADO!CI144)</f>
        <v/>
      </c>
      <c r="M145" s="16" t="str">
        <f>IF(NORMALIZADO!CJ144="","",NORMALIZADO!CJ144)</f>
        <v/>
      </c>
      <c r="N145" s="16" t="str">
        <f>IF(NORMALIZADO!CK144="","",NORMALIZADO!CK144)</f>
        <v/>
      </c>
      <c r="O145" s="16" t="str">
        <f>IF(NORMALIZADO!CL144="","",NORMALIZADO!CL144)</f>
        <v/>
      </c>
      <c r="P145" s="17" t="str">
        <f t="shared" si="44"/>
        <v/>
      </c>
      <c r="Q145" s="17">
        <f t="shared" si="45"/>
        <v>0</v>
      </c>
      <c r="R145" s="17">
        <f t="shared" si="46"/>
        <v>0</v>
      </c>
      <c r="S145" s="17">
        <f t="shared" si="47"/>
        <v>0</v>
      </c>
      <c r="T145" s="17" t="str">
        <f>IF(ISNUMBER(MATRIZ_174!O144),IFERROR((K145+M145+MATRIZ_174!O144)/3,0),"")</f>
        <v/>
      </c>
      <c r="U145" s="18" t="str">
        <f>IF(ISNUMBER(MATRIZ_174!M144),MIN(100,ROUND(MATRIZ_174!M144,1)),"")</f>
        <v/>
      </c>
      <c r="V145" s="18">
        <f t="shared" si="48"/>
        <v>50</v>
      </c>
      <c r="W145" s="18">
        <f>IFERROR(IF(MATRIZ_174!R144=0,65,IF(MATRIZ_174!R144/MATRIZ_174!Q144&gt;=2,35,IF(MATRIZ_174!R144/MATRIZ_174!Q144&gt;=0.5,50,65))),65)</f>
        <v>65</v>
      </c>
      <c r="X145" s="18" t="str">
        <f>IF(ISNUMBER(MATRIZ_174!O144),MIN(100,IF(MATRIZ_174!O144=0,70,30)+IF(MATRIZ_174!U144="",0,0.3*(100-MATRIZ_174!U144*100))),"")</f>
        <v/>
      </c>
      <c r="Y145" s="18">
        <f>IF(OR(MATRIZ_174!P144="ASOCIACION",MATRIZ_174!P144="PENDIENTE"),65,40)</f>
        <v>65</v>
      </c>
      <c r="Z145" s="19" t="str">
        <f t="shared" si="49"/>
        <v>—</v>
      </c>
      <c r="AA145" s="20">
        <f t="shared" si="50"/>
        <v>60</v>
      </c>
      <c r="AB145" s="21" t="str">
        <f t="shared" si="51"/>
        <v>—</v>
      </c>
      <c r="AC145" s="13" t="str">
        <f t="shared" si="52"/>
        <v>⬜  Pendiente de instrumento</v>
      </c>
      <c r="AD145" s="13" t="str">
        <f>IF(MATRIZ_174!U144="","",IF(MATRIZ_174!U144=0,"🚫  Inh. vigente OSCE",""))</f>
        <v/>
      </c>
      <c r="AE145" s="22">
        <f>IFERROR(MATRIZ_174!W144,0)</f>
        <v>0</v>
      </c>
      <c r="AF145" s="22">
        <f>IFERROR(MATRIZ_174!X144,0)</f>
        <v>0</v>
      </c>
      <c r="AG145" s="22">
        <f>IFERROR(MATRIZ_174!Y144,0)</f>
        <v>0</v>
      </c>
      <c r="AH145" s="22">
        <f>IFERROR(MATRIZ_174!Z144,0)</f>
        <v>0</v>
      </c>
      <c r="AI145" s="17">
        <f>IFERROR(MATRIZ_174!AP144,"N/A")</f>
        <v>0</v>
      </c>
      <c r="AJ145" s="17" t="str">
        <f>IFERROR(MATRIZ_174!AO144,"N/A")</f>
        <v>N/A</v>
      </c>
      <c r="AK145" s="23" t="str">
        <f t="shared" si="53"/>
        <v>N/A</v>
      </c>
      <c r="AL145" s="24" t="str">
        <f t="shared" si="54"/>
        <v>—</v>
      </c>
    </row>
    <row r="146" spans="1:38" ht="16.05" customHeight="1" x14ac:dyDescent="0.3">
      <c r="A146" s="13" t="s">
        <v>379</v>
      </c>
      <c r="B146" s="14" t="s">
        <v>380</v>
      </c>
      <c r="C146" s="13" t="s">
        <v>80</v>
      </c>
      <c r="D146" s="15">
        <v>0</v>
      </c>
      <c r="E146" s="16" t="str">
        <f>IF(NORMALIZADO!CB145="","",NORMALIZADO!CB145)</f>
        <v/>
      </c>
      <c r="F146" s="17" t="str">
        <f>IF(NORMALIZADO!CC145="","",NORMALIZADO!CC145)</f>
        <v/>
      </c>
      <c r="G146" s="17">
        <f>IF(NORMALIZADO!CD145="",IFERROR(MATRIZ_174!U145*100,""),NORMALIZADO!CD145)</f>
        <v>100</v>
      </c>
      <c r="H146" s="16" t="str">
        <f>IF(NORMALIZADO!CE145="","",NORMALIZADO!CE145)</f>
        <v/>
      </c>
      <c r="I146" s="17" t="str">
        <f>IF(NORMALIZADO!CF145="","",NORMALIZADO!CF145)</f>
        <v/>
      </c>
      <c r="J146" s="17" t="str">
        <f>IF(NORMALIZADO!CG145="","",NORMALIZADO!CG145)</f>
        <v/>
      </c>
      <c r="K146" s="16" t="str">
        <f>IF(NORMALIZADO!CH145="","",NORMALIZADO!CH145)</f>
        <v/>
      </c>
      <c r="L146" s="16" t="str">
        <f>IF(NORMALIZADO!CI145="","",NORMALIZADO!CI145)</f>
        <v/>
      </c>
      <c r="M146" s="16" t="str">
        <f>IF(NORMALIZADO!CJ145="","",NORMALIZADO!CJ145)</f>
        <v/>
      </c>
      <c r="N146" s="16" t="str">
        <f>IF(NORMALIZADO!CK145="","",NORMALIZADO!CK145)</f>
        <v/>
      </c>
      <c r="O146" s="16" t="str">
        <f>IF(NORMALIZADO!CL145="","",NORMALIZADO!CL145)</f>
        <v/>
      </c>
      <c r="P146" s="17" t="str">
        <f t="shared" si="44"/>
        <v/>
      </c>
      <c r="Q146" s="17">
        <f t="shared" si="45"/>
        <v>0</v>
      </c>
      <c r="R146" s="17">
        <f t="shared" si="46"/>
        <v>0</v>
      </c>
      <c r="S146" s="17">
        <f t="shared" si="47"/>
        <v>0</v>
      </c>
      <c r="T146" s="17" t="str">
        <f>IF(ISNUMBER(MATRIZ_174!O145),IFERROR((K146+M146+MATRIZ_174!O145)/3,0),"")</f>
        <v/>
      </c>
      <c r="U146" s="18" t="str">
        <f>IF(ISNUMBER(MATRIZ_174!M145),MIN(100,ROUND(MATRIZ_174!M145,1)),"")</f>
        <v/>
      </c>
      <c r="V146" s="18">
        <f t="shared" si="48"/>
        <v>50</v>
      </c>
      <c r="W146" s="18">
        <f>IFERROR(IF(MATRIZ_174!R145=0,65,IF(MATRIZ_174!R145/MATRIZ_174!Q145&gt;=2,35,IF(MATRIZ_174!R145/MATRIZ_174!Q145&gt;=0.5,50,65))),65)</f>
        <v>65</v>
      </c>
      <c r="X146" s="18" t="str">
        <f>IF(ISNUMBER(MATRIZ_174!O145),MIN(100,IF(MATRIZ_174!O145=0,70,30)+IF(MATRIZ_174!U145="",0,0.3*(100-MATRIZ_174!U145*100))),"")</f>
        <v/>
      </c>
      <c r="Y146" s="18">
        <f>IF(OR(MATRIZ_174!P145="ASOCIACION",MATRIZ_174!P145="PENDIENTE"),65,40)</f>
        <v>65</v>
      </c>
      <c r="Z146" s="19" t="str">
        <f t="shared" si="49"/>
        <v>—</v>
      </c>
      <c r="AA146" s="20">
        <f t="shared" si="50"/>
        <v>60</v>
      </c>
      <c r="AB146" s="21" t="str">
        <f t="shared" si="51"/>
        <v>—</v>
      </c>
      <c r="AC146" s="13" t="str">
        <f t="shared" si="52"/>
        <v>⬜  Pendiente de instrumento</v>
      </c>
      <c r="AD146" s="13" t="str">
        <f>IF(MATRIZ_174!U145="","",IF(MATRIZ_174!U145=0,"🚫  Inh. vigente OSCE",""))</f>
        <v/>
      </c>
      <c r="AE146" s="22">
        <f>IFERROR(MATRIZ_174!W145,0)</f>
        <v>0</v>
      </c>
      <c r="AF146" s="22">
        <f>IFERROR(MATRIZ_174!X145,0)</f>
        <v>0</v>
      </c>
      <c r="AG146" s="22">
        <f>IFERROR(MATRIZ_174!Y145,0)</f>
        <v>0</v>
      </c>
      <c r="AH146" s="22">
        <f>IFERROR(MATRIZ_174!Z145,0)</f>
        <v>0</v>
      </c>
      <c r="AI146" s="17">
        <f>IFERROR(MATRIZ_174!AP145,"N/A")</f>
        <v>0</v>
      </c>
      <c r="AJ146" s="17" t="str">
        <f>IFERROR(MATRIZ_174!AO145,"N/A")</f>
        <v>N/A</v>
      </c>
      <c r="AK146" s="23" t="str">
        <f t="shared" si="53"/>
        <v>N/A</v>
      </c>
      <c r="AL146" s="24" t="str">
        <f t="shared" si="54"/>
        <v>—</v>
      </c>
    </row>
    <row r="147" spans="1:38" ht="16.05" customHeight="1" x14ac:dyDescent="0.3">
      <c r="A147" s="13" t="s">
        <v>381</v>
      </c>
      <c r="B147" s="14" t="s">
        <v>382</v>
      </c>
      <c r="C147" s="13" t="s">
        <v>77</v>
      </c>
      <c r="D147" s="15">
        <v>332555.15999999997</v>
      </c>
      <c r="E147" s="16" t="str">
        <f>IF(NORMALIZADO!CB146="","",NORMALIZADO!CB146)</f>
        <v/>
      </c>
      <c r="F147" s="17" t="str">
        <f>IF(NORMALIZADO!CC146="","",NORMALIZADO!CC146)</f>
        <v/>
      </c>
      <c r="G147" s="17">
        <f>IF(NORMALIZADO!CD146="",IFERROR(MATRIZ_174!U146*100,""),NORMALIZADO!CD146)</f>
        <v>100</v>
      </c>
      <c r="H147" s="16" t="str">
        <f>IF(NORMALIZADO!CE146="","",NORMALIZADO!CE146)</f>
        <v/>
      </c>
      <c r="I147" s="17" t="str">
        <f>IF(NORMALIZADO!CF146="","",NORMALIZADO!CF146)</f>
        <v/>
      </c>
      <c r="J147" s="17" t="str">
        <f>IF(NORMALIZADO!CG146="","",NORMALIZADO!CG146)</f>
        <v/>
      </c>
      <c r="K147" s="16" t="str">
        <f>IF(NORMALIZADO!CH146="","",NORMALIZADO!CH146)</f>
        <v/>
      </c>
      <c r="L147" s="16" t="str">
        <f>IF(NORMALIZADO!CI146="","",NORMALIZADO!CI146)</f>
        <v/>
      </c>
      <c r="M147" s="16" t="str">
        <f>IF(NORMALIZADO!CJ146="","",NORMALIZADO!CJ146)</f>
        <v/>
      </c>
      <c r="N147" s="16" t="str">
        <f>IF(NORMALIZADO!CK146="","",NORMALIZADO!CK146)</f>
        <v/>
      </c>
      <c r="O147" s="16" t="str">
        <f>IF(NORMALIZADO!CL146="","",NORMALIZADO!CL146)</f>
        <v/>
      </c>
      <c r="P147" s="17" t="str">
        <f t="shared" si="44"/>
        <v/>
      </c>
      <c r="Q147" s="17">
        <f t="shared" si="45"/>
        <v>0</v>
      </c>
      <c r="R147" s="17">
        <f t="shared" si="46"/>
        <v>0</v>
      </c>
      <c r="S147" s="17">
        <f t="shared" si="47"/>
        <v>0</v>
      </c>
      <c r="T147" s="17">
        <f>IF(ISNUMBER(MATRIZ_174!O146),IFERROR((K147+M147+MATRIZ_174!O146)/3,0),"")</f>
        <v>0</v>
      </c>
      <c r="U147" s="18">
        <f>IF(ISNUMBER(MATRIZ_174!M146),MIN(100,ROUND(MATRIZ_174!M146,1)),"")</f>
        <v>100</v>
      </c>
      <c r="V147" s="18">
        <f t="shared" si="48"/>
        <v>50</v>
      </c>
      <c r="W147" s="18">
        <f>IFERROR(IF(MATRIZ_174!R146=0,65,IF(MATRIZ_174!R146/MATRIZ_174!Q146&gt;=2,35,IF(MATRIZ_174!R146/MATRIZ_174!Q146&gt;=0.5,50,65))),65)</f>
        <v>35</v>
      </c>
      <c r="X147" s="18">
        <f>IF(ISNUMBER(MATRIZ_174!O146),MIN(100,IF(MATRIZ_174!O146=0,70,30)+IF(MATRIZ_174!U146="",0,0.3*(100-MATRIZ_174!U146*100))),"")</f>
        <v>30</v>
      </c>
      <c r="Y147" s="18">
        <f>IF(OR(MATRIZ_174!P146="ASOCIACION",MATRIZ_174!P146="PENDIENTE"),65,40)</f>
        <v>65</v>
      </c>
      <c r="Z147" s="19" t="str">
        <f t="shared" si="49"/>
        <v>—</v>
      </c>
      <c r="AA147" s="20">
        <f t="shared" si="50"/>
        <v>56</v>
      </c>
      <c r="AB147" s="21" t="str">
        <f t="shared" si="51"/>
        <v>—</v>
      </c>
      <c r="AC147" s="13" t="str">
        <f t="shared" si="52"/>
        <v>⬜  Pendiente de instrumento</v>
      </c>
      <c r="AD147" s="13" t="str">
        <f>IF(MATRIZ_174!U146="","",IF(MATRIZ_174!U146=0,"🚫  Inh. vigente OSCE",""))</f>
        <v/>
      </c>
      <c r="AE147" s="22">
        <f>IFERROR(MATRIZ_174!W146,0)</f>
        <v>1</v>
      </c>
      <c r="AF147" s="22">
        <f>IFERROR(MATRIZ_174!X146,0)</f>
        <v>0</v>
      </c>
      <c r="AG147" s="22">
        <f>IFERROR(MATRIZ_174!Y146,0)</f>
        <v>0</v>
      </c>
      <c r="AH147" s="22">
        <f>IFERROR(MATRIZ_174!Z146,0)</f>
        <v>0</v>
      </c>
      <c r="AI147" s="17">
        <f>IFERROR(MATRIZ_174!AP146,"N/A")</f>
        <v>0.63541666666666663</v>
      </c>
      <c r="AJ147" s="17" t="str">
        <f>IFERROR(MATRIZ_174!AO146,"N/A")</f>
        <v>N/A</v>
      </c>
      <c r="AK147" s="23" t="str">
        <f t="shared" si="53"/>
        <v>N/A</v>
      </c>
      <c r="AL147" s="24" t="str">
        <f t="shared" si="54"/>
        <v>—</v>
      </c>
    </row>
    <row r="148" spans="1:38" ht="16.05" customHeight="1" x14ac:dyDescent="0.3">
      <c r="A148" s="13" t="s">
        <v>383</v>
      </c>
      <c r="B148" s="14" t="s">
        <v>384</v>
      </c>
      <c r="C148" s="13" t="s">
        <v>241</v>
      </c>
      <c r="D148" s="15">
        <v>271980.69</v>
      </c>
      <c r="E148" s="16" t="str">
        <f>IF(NORMALIZADO!CB147="","",NORMALIZADO!CB147)</f>
        <v/>
      </c>
      <c r="F148" s="17" t="str">
        <f>IF(NORMALIZADO!CC147="","",NORMALIZADO!CC147)</f>
        <v/>
      </c>
      <c r="G148" s="17">
        <f>IF(NORMALIZADO!CD147="",IFERROR(MATRIZ_174!U147*100,""),NORMALIZADO!CD147)</f>
        <v>100</v>
      </c>
      <c r="H148" s="16" t="str">
        <f>IF(NORMALIZADO!CE147="","",NORMALIZADO!CE147)</f>
        <v/>
      </c>
      <c r="I148" s="17" t="str">
        <f>IF(NORMALIZADO!CF147="","",NORMALIZADO!CF147)</f>
        <v/>
      </c>
      <c r="J148" s="17" t="str">
        <f>IF(NORMALIZADO!CG147="","",NORMALIZADO!CG147)</f>
        <v/>
      </c>
      <c r="K148" s="16" t="str">
        <f>IF(NORMALIZADO!CH147="","",NORMALIZADO!CH147)</f>
        <v/>
      </c>
      <c r="L148" s="16" t="str">
        <f>IF(NORMALIZADO!CI147="","",NORMALIZADO!CI147)</f>
        <v/>
      </c>
      <c r="M148" s="16" t="str">
        <f>IF(NORMALIZADO!CJ147="","",NORMALIZADO!CJ147)</f>
        <v/>
      </c>
      <c r="N148" s="16" t="str">
        <f>IF(NORMALIZADO!CK147="","",NORMALIZADO!CK147)</f>
        <v/>
      </c>
      <c r="O148" s="16" t="str">
        <f>IF(NORMALIZADO!CL147="","",NORMALIZADO!CL147)</f>
        <v/>
      </c>
      <c r="P148" s="17" t="str">
        <f t="shared" si="44"/>
        <v/>
      </c>
      <c r="Q148" s="17">
        <f t="shared" si="45"/>
        <v>0</v>
      </c>
      <c r="R148" s="17">
        <f t="shared" si="46"/>
        <v>0</v>
      </c>
      <c r="S148" s="17">
        <f t="shared" si="47"/>
        <v>0</v>
      </c>
      <c r="T148" s="17" t="str">
        <f>IF(ISNUMBER(MATRIZ_174!O147),IFERROR((K148+M148+MATRIZ_174!O147)/3,0),"")</f>
        <v/>
      </c>
      <c r="U148" s="18">
        <f>IF(ISNUMBER(MATRIZ_174!M147),MIN(100,ROUND(MATRIZ_174!M147,1)),"")</f>
        <v>50</v>
      </c>
      <c r="V148" s="18">
        <f t="shared" si="48"/>
        <v>50</v>
      </c>
      <c r="W148" s="18">
        <f>IFERROR(IF(MATRIZ_174!R147=0,65,IF(MATRIZ_174!R147/MATRIZ_174!Q147&gt;=2,35,IF(MATRIZ_174!R147/MATRIZ_174!Q147&gt;=0.5,50,65))),65)</f>
        <v>65</v>
      </c>
      <c r="X148" s="18" t="str">
        <f>IF(ISNUMBER(MATRIZ_174!O147),MIN(100,IF(MATRIZ_174!O147=0,70,30)+IF(MATRIZ_174!U147="",0,0.3*(100-MATRIZ_174!U147*100))),"")</f>
        <v/>
      </c>
      <c r="Y148" s="18">
        <f>IF(OR(MATRIZ_174!P147="ASOCIACION",MATRIZ_174!P147="PENDIENTE"),65,40)</f>
        <v>65</v>
      </c>
      <c r="Z148" s="19" t="str">
        <f t="shared" si="49"/>
        <v>—</v>
      </c>
      <c r="AA148" s="20">
        <f t="shared" si="50"/>
        <v>57.5</v>
      </c>
      <c r="AB148" s="21" t="str">
        <f t="shared" si="51"/>
        <v>—</v>
      </c>
      <c r="AC148" s="13" t="str">
        <f t="shared" si="52"/>
        <v>⬜  Pendiente de instrumento</v>
      </c>
      <c r="AD148" s="13" t="str">
        <f>IF(MATRIZ_174!U147="","",IF(MATRIZ_174!U147=0,"🚫  Inh. vigente OSCE",""))</f>
        <v/>
      </c>
      <c r="AE148" s="22">
        <f>IFERROR(MATRIZ_174!W147,0)</f>
        <v>0</v>
      </c>
      <c r="AF148" s="22">
        <f>IFERROR(MATRIZ_174!X147,0)</f>
        <v>0</v>
      </c>
      <c r="AG148" s="22">
        <f>IFERROR(MATRIZ_174!Y147,0)</f>
        <v>0</v>
      </c>
      <c r="AH148" s="22">
        <f>IFERROR(MATRIZ_174!Z147,0)</f>
        <v>0</v>
      </c>
      <c r="AI148" s="17">
        <f>IFERROR(MATRIZ_174!AP147,"N/A")</f>
        <v>0.25</v>
      </c>
      <c r="AJ148" s="17" t="str">
        <f>IFERROR(MATRIZ_174!AO147,"N/A")</f>
        <v>N/A</v>
      </c>
      <c r="AK148" s="23" t="str">
        <f t="shared" si="53"/>
        <v>N/A</v>
      </c>
      <c r="AL148" s="24" t="str">
        <f t="shared" si="54"/>
        <v>—</v>
      </c>
    </row>
    <row r="149" spans="1:38" ht="16.05" customHeight="1" x14ac:dyDescent="0.3">
      <c r="A149" s="13" t="s">
        <v>385</v>
      </c>
      <c r="B149" s="14" t="s">
        <v>386</v>
      </c>
      <c r="C149" s="13" t="s">
        <v>80</v>
      </c>
      <c r="D149" s="15">
        <v>0</v>
      </c>
      <c r="E149" s="16" t="str">
        <f>IF(NORMALIZADO!CB148="","",NORMALIZADO!CB148)</f>
        <v/>
      </c>
      <c r="F149" s="17" t="str">
        <f>IF(NORMALIZADO!CC148="","",NORMALIZADO!CC148)</f>
        <v/>
      </c>
      <c r="G149" s="17">
        <f>IF(NORMALIZADO!CD148="",IFERROR(MATRIZ_174!U148*100,""),NORMALIZADO!CD148)</f>
        <v>100</v>
      </c>
      <c r="H149" s="16" t="str">
        <f>IF(NORMALIZADO!CE148="","",NORMALIZADO!CE148)</f>
        <v/>
      </c>
      <c r="I149" s="17" t="str">
        <f>IF(NORMALIZADO!CF148="","",NORMALIZADO!CF148)</f>
        <v/>
      </c>
      <c r="J149" s="17" t="str">
        <f>IF(NORMALIZADO!CG148="","",NORMALIZADO!CG148)</f>
        <v/>
      </c>
      <c r="K149" s="16" t="str">
        <f>IF(NORMALIZADO!CH148="","",NORMALIZADO!CH148)</f>
        <v/>
      </c>
      <c r="L149" s="16" t="str">
        <f>IF(NORMALIZADO!CI148="","",NORMALIZADO!CI148)</f>
        <v/>
      </c>
      <c r="M149" s="16" t="str">
        <f>IF(NORMALIZADO!CJ148="","",NORMALIZADO!CJ148)</f>
        <v/>
      </c>
      <c r="N149" s="16" t="str">
        <f>IF(NORMALIZADO!CK148="","",NORMALIZADO!CK148)</f>
        <v/>
      </c>
      <c r="O149" s="16" t="str">
        <f>IF(NORMALIZADO!CL148="","",NORMALIZADO!CL148)</f>
        <v/>
      </c>
      <c r="P149" s="17" t="str">
        <f t="shared" si="44"/>
        <v/>
      </c>
      <c r="Q149" s="17">
        <f t="shared" si="45"/>
        <v>0</v>
      </c>
      <c r="R149" s="17">
        <f t="shared" si="46"/>
        <v>0</v>
      </c>
      <c r="S149" s="17">
        <f t="shared" si="47"/>
        <v>0</v>
      </c>
      <c r="T149" s="17" t="str">
        <f>IF(ISNUMBER(MATRIZ_174!O148),IFERROR((K149+M149+MATRIZ_174!O148)/3,0),"")</f>
        <v/>
      </c>
      <c r="U149" s="18" t="str">
        <f>IF(ISNUMBER(MATRIZ_174!M148),MIN(100,ROUND(MATRIZ_174!M148,1)),"")</f>
        <v/>
      </c>
      <c r="V149" s="18">
        <f t="shared" si="48"/>
        <v>50</v>
      </c>
      <c r="W149" s="18">
        <f>IFERROR(IF(MATRIZ_174!R148=0,65,IF(MATRIZ_174!R148/MATRIZ_174!Q148&gt;=2,35,IF(MATRIZ_174!R148/MATRIZ_174!Q148&gt;=0.5,50,65))),65)</f>
        <v>65</v>
      </c>
      <c r="X149" s="18" t="str">
        <f>IF(ISNUMBER(MATRIZ_174!O148),MIN(100,IF(MATRIZ_174!O148=0,70,30)+IF(MATRIZ_174!U148="",0,0.3*(100-MATRIZ_174!U148*100))),"")</f>
        <v/>
      </c>
      <c r="Y149" s="18">
        <f>IF(OR(MATRIZ_174!P148="ASOCIACION",MATRIZ_174!P148="PENDIENTE"),65,40)</f>
        <v>65</v>
      </c>
      <c r="Z149" s="19" t="str">
        <f t="shared" si="49"/>
        <v>—</v>
      </c>
      <c r="AA149" s="20">
        <f t="shared" si="50"/>
        <v>60</v>
      </c>
      <c r="AB149" s="21" t="str">
        <f t="shared" si="51"/>
        <v>—</v>
      </c>
      <c r="AC149" s="13" t="str">
        <f t="shared" si="52"/>
        <v>⬜  Pendiente de instrumento</v>
      </c>
      <c r="AD149" s="13" t="str">
        <f>IF(MATRIZ_174!U148="","",IF(MATRIZ_174!U148=0,"🚫  Inh. vigente OSCE",""))</f>
        <v/>
      </c>
      <c r="AE149" s="22">
        <f>IFERROR(MATRIZ_174!W148,0)</f>
        <v>0</v>
      </c>
      <c r="AF149" s="22">
        <f>IFERROR(MATRIZ_174!X148,0)</f>
        <v>0</v>
      </c>
      <c r="AG149" s="22">
        <f>IFERROR(MATRIZ_174!Y148,0)</f>
        <v>0</v>
      </c>
      <c r="AH149" s="22">
        <f>IFERROR(MATRIZ_174!Z148,0)</f>
        <v>0</v>
      </c>
      <c r="AI149" s="17">
        <f>IFERROR(MATRIZ_174!AP148,"N/A")</f>
        <v>0</v>
      </c>
      <c r="AJ149" s="17" t="str">
        <f>IFERROR(MATRIZ_174!AO148,"N/A")</f>
        <v>N/A</v>
      </c>
      <c r="AK149" s="23" t="str">
        <f t="shared" si="53"/>
        <v>N/A</v>
      </c>
      <c r="AL149" s="24" t="str">
        <f t="shared" si="54"/>
        <v>—</v>
      </c>
    </row>
    <row r="150" spans="1:38" ht="16.05" customHeight="1" x14ac:dyDescent="0.3">
      <c r="A150" s="13" t="s">
        <v>387</v>
      </c>
      <c r="B150" s="14" t="s">
        <v>388</v>
      </c>
      <c r="C150" s="13" t="s">
        <v>150</v>
      </c>
      <c r="D150" s="15">
        <v>0</v>
      </c>
      <c r="E150" s="16" t="str">
        <f>IF(NORMALIZADO!CB149="","",NORMALIZADO!CB149)</f>
        <v/>
      </c>
      <c r="F150" s="17" t="str">
        <f>IF(NORMALIZADO!CC149="","",NORMALIZADO!CC149)</f>
        <v/>
      </c>
      <c r="G150" s="17">
        <f>IF(NORMALIZADO!CD149="",IFERROR(MATRIZ_174!U149*100,""),NORMALIZADO!CD149)</f>
        <v>100</v>
      </c>
      <c r="H150" s="16" t="str">
        <f>IF(NORMALIZADO!CE149="","",NORMALIZADO!CE149)</f>
        <v/>
      </c>
      <c r="I150" s="17" t="str">
        <f>IF(NORMALIZADO!CF149="","",NORMALIZADO!CF149)</f>
        <v/>
      </c>
      <c r="J150" s="17" t="str">
        <f>IF(NORMALIZADO!CG149="","",NORMALIZADO!CG149)</f>
        <v/>
      </c>
      <c r="K150" s="16" t="str">
        <f>IF(NORMALIZADO!CH149="","",NORMALIZADO!CH149)</f>
        <v/>
      </c>
      <c r="L150" s="16" t="str">
        <f>IF(NORMALIZADO!CI149="","",NORMALIZADO!CI149)</f>
        <v/>
      </c>
      <c r="M150" s="16" t="str">
        <f>IF(NORMALIZADO!CJ149="","",NORMALIZADO!CJ149)</f>
        <v/>
      </c>
      <c r="N150" s="16" t="str">
        <f>IF(NORMALIZADO!CK149="","",NORMALIZADO!CK149)</f>
        <v/>
      </c>
      <c r="O150" s="16" t="str">
        <f>IF(NORMALIZADO!CL149="","",NORMALIZADO!CL149)</f>
        <v/>
      </c>
      <c r="P150" s="17" t="str">
        <f t="shared" si="44"/>
        <v/>
      </c>
      <c r="Q150" s="17">
        <f t="shared" si="45"/>
        <v>0</v>
      </c>
      <c r="R150" s="17">
        <f t="shared" si="46"/>
        <v>0</v>
      </c>
      <c r="S150" s="17">
        <f t="shared" si="47"/>
        <v>0</v>
      </c>
      <c r="T150" s="17">
        <f>IF(ISNUMBER(MATRIZ_174!O149),IFERROR((K150+M150+MATRIZ_174!O149)/3,0),"")</f>
        <v>0</v>
      </c>
      <c r="U150" s="18">
        <f>IF(ISNUMBER(MATRIZ_174!M149),MIN(100,ROUND(MATRIZ_174!M149,1)),"")</f>
        <v>0</v>
      </c>
      <c r="V150" s="18">
        <f t="shared" si="48"/>
        <v>50</v>
      </c>
      <c r="W150" s="18">
        <f>IFERROR(IF(MATRIZ_174!R149=0,65,IF(MATRIZ_174!R149/MATRIZ_174!Q149&gt;=2,35,IF(MATRIZ_174!R149/MATRIZ_174!Q149&gt;=0.5,50,65))),65)</f>
        <v>35</v>
      </c>
      <c r="X150" s="18">
        <f>IF(ISNUMBER(MATRIZ_174!O149),MIN(100,IF(MATRIZ_174!O149=0,70,30)+IF(MATRIZ_174!U149="",0,0.3*(100-MATRIZ_174!U149*100))),"")</f>
        <v>30</v>
      </c>
      <c r="Y150" s="18">
        <f>IF(OR(MATRIZ_174!P149="ASOCIACION",MATRIZ_174!P149="PENDIENTE"),65,40)</f>
        <v>65</v>
      </c>
      <c r="Z150" s="19" t="str">
        <f t="shared" si="49"/>
        <v>—</v>
      </c>
      <c r="AA150" s="20">
        <f t="shared" si="50"/>
        <v>36</v>
      </c>
      <c r="AB150" s="21" t="str">
        <f t="shared" si="51"/>
        <v>—</v>
      </c>
      <c r="AC150" s="13" t="str">
        <f t="shared" si="52"/>
        <v>⬜  Pendiente de instrumento</v>
      </c>
      <c r="AD150" s="13" t="str">
        <f>IF(MATRIZ_174!U149="","",IF(MATRIZ_174!U149=0,"🚫  Inh. vigente OSCE",""))</f>
        <v/>
      </c>
      <c r="AE150" s="22">
        <f>IFERROR(MATRIZ_174!W149,0)</f>
        <v>1</v>
      </c>
      <c r="AF150" s="22">
        <f>IFERROR(MATRIZ_174!X149,0)</f>
        <v>0</v>
      </c>
      <c r="AG150" s="22">
        <f>IFERROR(MATRIZ_174!Y149,0)</f>
        <v>0</v>
      </c>
      <c r="AH150" s="22">
        <f>IFERROR(MATRIZ_174!Z149,0)</f>
        <v>0</v>
      </c>
      <c r="AI150" s="17">
        <f>IFERROR(MATRIZ_174!AP149,"N/A")</f>
        <v>0.21875</v>
      </c>
      <c r="AJ150" s="17" t="str">
        <f>IFERROR(MATRIZ_174!AO149,"N/A")</f>
        <v>N/A</v>
      </c>
      <c r="AK150" s="23" t="str">
        <f t="shared" si="53"/>
        <v>N/A</v>
      </c>
      <c r="AL150" s="24" t="str">
        <f t="shared" si="54"/>
        <v>—</v>
      </c>
    </row>
    <row r="151" spans="1:38" ht="16.05" customHeight="1" x14ac:dyDescent="0.3">
      <c r="A151" s="13" t="s">
        <v>389</v>
      </c>
      <c r="B151" s="14" t="s">
        <v>390</v>
      </c>
      <c r="C151" s="13" t="s">
        <v>103</v>
      </c>
      <c r="D151" s="15">
        <v>0</v>
      </c>
      <c r="E151" s="16" t="str">
        <f>IF(NORMALIZADO!CB150="","",NORMALIZADO!CB150)</f>
        <v/>
      </c>
      <c r="F151" s="17" t="str">
        <f>IF(NORMALIZADO!CC150="","",NORMALIZADO!CC150)</f>
        <v/>
      </c>
      <c r="G151" s="17">
        <f>IF(NORMALIZADO!CD150="",IFERROR(MATRIZ_174!U150*100,""),NORMALIZADO!CD150)</f>
        <v>100</v>
      </c>
      <c r="H151" s="16" t="str">
        <f>IF(NORMALIZADO!CE150="","",NORMALIZADO!CE150)</f>
        <v/>
      </c>
      <c r="I151" s="17" t="str">
        <f>IF(NORMALIZADO!CF150="","",NORMALIZADO!CF150)</f>
        <v/>
      </c>
      <c r="J151" s="17" t="str">
        <f>IF(NORMALIZADO!CG150="","",NORMALIZADO!CG150)</f>
        <v/>
      </c>
      <c r="K151" s="16" t="str">
        <f>IF(NORMALIZADO!CH150="","",NORMALIZADO!CH150)</f>
        <v/>
      </c>
      <c r="L151" s="16" t="str">
        <f>IF(NORMALIZADO!CI150="","",NORMALIZADO!CI150)</f>
        <v/>
      </c>
      <c r="M151" s="16" t="str">
        <f>IF(NORMALIZADO!CJ150="","",NORMALIZADO!CJ150)</f>
        <v/>
      </c>
      <c r="N151" s="16" t="str">
        <f>IF(NORMALIZADO!CK150="","",NORMALIZADO!CK150)</f>
        <v/>
      </c>
      <c r="O151" s="16" t="str">
        <f>IF(NORMALIZADO!CL150="","",NORMALIZADO!CL150)</f>
        <v/>
      </c>
      <c r="P151" s="17" t="str">
        <f t="shared" si="44"/>
        <v/>
      </c>
      <c r="Q151" s="17">
        <f t="shared" si="45"/>
        <v>0</v>
      </c>
      <c r="R151" s="17">
        <f t="shared" si="46"/>
        <v>0</v>
      </c>
      <c r="S151" s="17">
        <f t="shared" si="47"/>
        <v>0</v>
      </c>
      <c r="T151" s="17" t="str">
        <f>IF(ISNUMBER(MATRIZ_174!O150),IFERROR((K151+M151+MATRIZ_174!O150)/3,0),"")</f>
        <v/>
      </c>
      <c r="U151" s="18" t="str">
        <f>IF(ISNUMBER(MATRIZ_174!M150),MIN(100,ROUND(MATRIZ_174!M150,1)),"")</f>
        <v/>
      </c>
      <c r="V151" s="18">
        <f t="shared" si="48"/>
        <v>50</v>
      </c>
      <c r="W151" s="18">
        <f>IFERROR(IF(MATRIZ_174!R150=0,65,IF(MATRIZ_174!R150/MATRIZ_174!Q150&gt;=2,35,IF(MATRIZ_174!R150/MATRIZ_174!Q150&gt;=0.5,50,65))),65)</f>
        <v>65</v>
      </c>
      <c r="X151" s="18" t="str">
        <f>IF(ISNUMBER(MATRIZ_174!O150),MIN(100,IF(MATRIZ_174!O150=0,70,30)+IF(MATRIZ_174!U150="",0,0.3*(100-MATRIZ_174!U150*100))),"")</f>
        <v/>
      </c>
      <c r="Y151" s="18">
        <f>IF(OR(MATRIZ_174!P150="ASOCIACION",MATRIZ_174!P150="PENDIENTE"),65,40)</f>
        <v>65</v>
      </c>
      <c r="Z151" s="19" t="str">
        <f t="shared" si="49"/>
        <v>—</v>
      </c>
      <c r="AA151" s="20">
        <f t="shared" si="50"/>
        <v>60</v>
      </c>
      <c r="AB151" s="21" t="str">
        <f t="shared" si="51"/>
        <v>—</v>
      </c>
      <c r="AC151" s="13" t="str">
        <f t="shared" si="52"/>
        <v>⬜  Pendiente de instrumento</v>
      </c>
      <c r="AD151" s="13" t="str">
        <f>IF(MATRIZ_174!U150="","",IF(MATRIZ_174!U150=0,"🚫  Inh. vigente OSCE",""))</f>
        <v/>
      </c>
      <c r="AE151" s="22">
        <f>IFERROR(MATRIZ_174!W150,0)</f>
        <v>0</v>
      </c>
      <c r="AF151" s="22">
        <f>IFERROR(MATRIZ_174!X150,0)</f>
        <v>0</v>
      </c>
      <c r="AG151" s="22">
        <f>IFERROR(MATRIZ_174!Y150,0)</f>
        <v>0</v>
      </c>
      <c r="AH151" s="22">
        <f>IFERROR(MATRIZ_174!Z150,0)</f>
        <v>0</v>
      </c>
      <c r="AI151" s="17">
        <f>IFERROR(MATRIZ_174!AP150,"N/A")</f>
        <v>0</v>
      </c>
      <c r="AJ151" s="17" t="str">
        <f>IFERROR(MATRIZ_174!AO150,"N/A")</f>
        <v>N/A</v>
      </c>
      <c r="AK151" s="23" t="str">
        <f t="shared" si="53"/>
        <v>N/A</v>
      </c>
      <c r="AL151" s="24" t="str">
        <f t="shared" si="54"/>
        <v>—</v>
      </c>
    </row>
    <row r="152" spans="1:38" ht="16.05" customHeight="1" x14ac:dyDescent="0.3">
      <c r="A152" s="13" t="s">
        <v>391</v>
      </c>
      <c r="B152" s="14" t="s">
        <v>392</v>
      </c>
      <c r="C152" s="13" t="s">
        <v>179</v>
      </c>
      <c r="D152" s="15">
        <v>0</v>
      </c>
      <c r="E152" s="16" t="str">
        <f>IF(NORMALIZADO!CB151="","",NORMALIZADO!CB151)</f>
        <v/>
      </c>
      <c r="F152" s="17" t="str">
        <f>IF(NORMALIZADO!CC151="","",NORMALIZADO!CC151)</f>
        <v/>
      </c>
      <c r="G152" s="17">
        <f>IF(NORMALIZADO!CD151="",IFERROR(MATRIZ_174!U151*100,""),NORMALIZADO!CD151)</f>
        <v>100</v>
      </c>
      <c r="H152" s="16" t="str">
        <f>IF(NORMALIZADO!CE151="","",NORMALIZADO!CE151)</f>
        <v/>
      </c>
      <c r="I152" s="17" t="str">
        <f>IF(NORMALIZADO!CF151="","",NORMALIZADO!CF151)</f>
        <v/>
      </c>
      <c r="J152" s="17" t="str">
        <f>IF(NORMALIZADO!CG151="","",NORMALIZADO!CG151)</f>
        <v/>
      </c>
      <c r="K152" s="16" t="str">
        <f>IF(NORMALIZADO!CH151="","",NORMALIZADO!CH151)</f>
        <v/>
      </c>
      <c r="L152" s="16" t="str">
        <f>IF(NORMALIZADO!CI151="","",NORMALIZADO!CI151)</f>
        <v/>
      </c>
      <c r="M152" s="16" t="str">
        <f>IF(NORMALIZADO!CJ151="","",NORMALIZADO!CJ151)</f>
        <v/>
      </c>
      <c r="N152" s="16" t="str">
        <f>IF(NORMALIZADO!CK151="","",NORMALIZADO!CK151)</f>
        <v/>
      </c>
      <c r="O152" s="16" t="str">
        <f>IF(NORMALIZADO!CL151="","",NORMALIZADO!CL151)</f>
        <v/>
      </c>
      <c r="P152" s="17" t="str">
        <f t="shared" si="44"/>
        <v/>
      </c>
      <c r="Q152" s="17">
        <f t="shared" si="45"/>
        <v>0</v>
      </c>
      <c r="R152" s="17">
        <f t="shared" si="46"/>
        <v>0</v>
      </c>
      <c r="S152" s="17">
        <f t="shared" si="47"/>
        <v>0</v>
      </c>
      <c r="T152" s="17" t="str">
        <f>IF(ISNUMBER(MATRIZ_174!O151),IFERROR((K152+M152+MATRIZ_174!O151)/3,0),"")</f>
        <v/>
      </c>
      <c r="U152" s="18" t="str">
        <f>IF(ISNUMBER(MATRIZ_174!M151),MIN(100,ROUND(MATRIZ_174!M151,1)),"")</f>
        <v/>
      </c>
      <c r="V152" s="18">
        <f t="shared" si="48"/>
        <v>50</v>
      </c>
      <c r="W152" s="18">
        <f>IFERROR(IF(MATRIZ_174!R151=0,65,IF(MATRIZ_174!R151/MATRIZ_174!Q151&gt;=2,35,IF(MATRIZ_174!R151/MATRIZ_174!Q151&gt;=0.5,50,65))),65)</f>
        <v>65</v>
      </c>
      <c r="X152" s="18" t="str">
        <f>IF(ISNUMBER(MATRIZ_174!O151),MIN(100,IF(MATRIZ_174!O151=0,70,30)+IF(MATRIZ_174!U151="",0,0.3*(100-MATRIZ_174!U151*100))),"")</f>
        <v/>
      </c>
      <c r="Y152" s="18">
        <f>IF(OR(MATRIZ_174!P151="ASOCIACION",MATRIZ_174!P151="PENDIENTE"),65,40)</f>
        <v>65</v>
      </c>
      <c r="Z152" s="19" t="str">
        <f t="shared" si="49"/>
        <v>—</v>
      </c>
      <c r="AA152" s="20">
        <f t="shared" si="50"/>
        <v>60</v>
      </c>
      <c r="AB152" s="21" t="str">
        <f t="shared" si="51"/>
        <v>—</v>
      </c>
      <c r="AC152" s="13" t="str">
        <f t="shared" si="52"/>
        <v>⬜  Pendiente de instrumento</v>
      </c>
      <c r="AD152" s="13" t="str">
        <f>IF(MATRIZ_174!U151="","",IF(MATRIZ_174!U151=0,"🚫  Inh. vigente OSCE",""))</f>
        <v/>
      </c>
      <c r="AE152" s="22">
        <f>IFERROR(MATRIZ_174!W151,0)</f>
        <v>0</v>
      </c>
      <c r="AF152" s="22">
        <f>IFERROR(MATRIZ_174!X151,0)</f>
        <v>0</v>
      </c>
      <c r="AG152" s="22">
        <f>IFERROR(MATRIZ_174!Y151,0)</f>
        <v>0</v>
      </c>
      <c r="AH152" s="22">
        <f>IFERROR(MATRIZ_174!Z151,0)</f>
        <v>0</v>
      </c>
      <c r="AI152" s="17">
        <f>IFERROR(MATRIZ_174!AP151,"N/A")</f>
        <v>0</v>
      </c>
      <c r="AJ152" s="17" t="str">
        <f>IFERROR(MATRIZ_174!AO151,"N/A")</f>
        <v>N/A</v>
      </c>
      <c r="AK152" s="23" t="str">
        <f t="shared" si="53"/>
        <v>N/A</v>
      </c>
      <c r="AL152" s="24" t="str">
        <f t="shared" si="54"/>
        <v>—</v>
      </c>
    </row>
    <row r="153" spans="1:38" ht="16.05" customHeight="1" x14ac:dyDescent="0.3">
      <c r="A153" s="13" t="s">
        <v>393</v>
      </c>
      <c r="B153" s="14" t="s">
        <v>394</v>
      </c>
      <c r="C153" s="13" t="s">
        <v>80</v>
      </c>
      <c r="D153" s="15">
        <v>0</v>
      </c>
      <c r="E153" s="16" t="str">
        <f>IF(NORMALIZADO!CB152="","",NORMALIZADO!CB152)</f>
        <v/>
      </c>
      <c r="F153" s="17" t="str">
        <f>IF(NORMALIZADO!CC152="","",NORMALIZADO!CC152)</f>
        <v/>
      </c>
      <c r="G153" s="17">
        <f>IF(NORMALIZADO!CD152="",IFERROR(MATRIZ_174!U152*100,""),NORMALIZADO!CD152)</f>
        <v>100</v>
      </c>
      <c r="H153" s="16" t="str">
        <f>IF(NORMALIZADO!CE152="","",NORMALIZADO!CE152)</f>
        <v/>
      </c>
      <c r="I153" s="17" t="str">
        <f>IF(NORMALIZADO!CF152="","",NORMALIZADO!CF152)</f>
        <v/>
      </c>
      <c r="J153" s="17" t="str">
        <f>IF(NORMALIZADO!CG152="","",NORMALIZADO!CG152)</f>
        <v/>
      </c>
      <c r="K153" s="16" t="str">
        <f>IF(NORMALIZADO!CH152="","",NORMALIZADO!CH152)</f>
        <v/>
      </c>
      <c r="L153" s="16" t="str">
        <f>IF(NORMALIZADO!CI152="","",NORMALIZADO!CI152)</f>
        <v/>
      </c>
      <c r="M153" s="16" t="str">
        <f>IF(NORMALIZADO!CJ152="","",NORMALIZADO!CJ152)</f>
        <v/>
      </c>
      <c r="N153" s="16" t="str">
        <f>IF(NORMALIZADO!CK152="","",NORMALIZADO!CK152)</f>
        <v/>
      </c>
      <c r="O153" s="16" t="str">
        <f>IF(NORMALIZADO!CL152="","",NORMALIZADO!CL152)</f>
        <v/>
      </c>
      <c r="P153" s="17" t="str">
        <f t="shared" si="44"/>
        <v/>
      </c>
      <c r="Q153" s="17">
        <f t="shared" si="45"/>
        <v>0</v>
      </c>
      <c r="R153" s="17">
        <f t="shared" si="46"/>
        <v>0</v>
      </c>
      <c r="S153" s="17">
        <f t="shared" si="47"/>
        <v>0</v>
      </c>
      <c r="T153" s="17" t="str">
        <f>IF(ISNUMBER(MATRIZ_174!O152),IFERROR((K153+M153+MATRIZ_174!O152)/3,0),"")</f>
        <v/>
      </c>
      <c r="U153" s="18" t="str">
        <f>IF(ISNUMBER(MATRIZ_174!M152),MIN(100,ROUND(MATRIZ_174!M152,1)),"")</f>
        <v/>
      </c>
      <c r="V153" s="18">
        <f t="shared" si="48"/>
        <v>50</v>
      </c>
      <c r="W153" s="18">
        <f>IFERROR(IF(MATRIZ_174!R152=0,65,IF(MATRIZ_174!R152/MATRIZ_174!Q152&gt;=2,35,IF(MATRIZ_174!R152/MATRIZ_174!Q152&gt;=0.5,50,65))),65)</f>
        <v>65</v>
      </c>
      <c r="X153" s="18" t="str">
        <f>IF(ISNUMBER(MATRIZ_174!O152),MIN(100,IF(MATRIZ_174!O152=0,70,30)+IF(MATRIZ_174!U152="",0,0.3*(100-MATRIZ_174!U152*100))),"")</f>
        <v/>
      </c>
      <c r="Y153" s="18">
        <f>IF(OR(MATRIZ_174!P152="ASOCIACION",MATRIZ_174!P152="PENDIENTE"),65,40)</f>
        <v>65</v>
      </c>
      <c r="Z153" s="19" t="str">
        <f t="shared" si="49"/>
        <v>—</v>
      </c>
      <c r="AA153" s="20">
        <f t="shared" si="50"/>
        <v>60</v>
      </c>
      <c r="AB153" s="21" t="str">
        <f t="shared" si="51"/>
        <v>—</v>
      </c>
      <c r="AC153" s="13" t="str">
        <f t="shared" si="52"/>
        <v>⬜  Pendiente de instrumento</v>
      </c>
      <c r="AD153" s="13" t="str">
        <f>IF(MATRIZ_174!U152="","",IF(MATRIZ_174!U152=0,"🚫  Inh. vigente OSCE",""))</f>
        <v/>
      </c>
      <c r="AE153" s="22">
        <f>IFERROR(MATRIZ_174!W152,0)</f>
        <v>0</v>
      </c>
      <c r="AF153" s="22">
        <f>IFERROR(MATRIZ_174!X152,0)</f>
        <v>0</v>
      </c>
      <c r="AG153" s="22">
        <f>IFERROR(MATRIZ_174!Y152,0)</f>
        <v>0</v>
      </c>
      <c r="AH153" s="22">
        <f>IFERROR(MATRIZ_174!Z152,0)</f>
        <v>0</v>
      </c>
      <c r="AI153" s="17">
        <f>IFERROR(MATRIZ_174!AP152,"N/A")</f>
        <v>0</v>
      </c>
      <c r="AJ153" s="17" t="str">
        <f>IFERROR(MATRIZ_174!AO152,"N/A")</f>
        <v>N/A</v>
      </c>
      <c r="AK153" s="23" t="str">
        <f t="shared" si="53"/>
        <v>N/A</v>
      </c>
      <c r="AL153" s="24" t="str">
        <f t="shared" si="54"/>
        <v>—</v>
      </c>
    </row>
    <row r="154" spans="1:38" ht="16.05" customHeight="1" x14ac:dyDescent="0.3">
      <c r="A154" s="13" t="s">
        <v>395</v>
      </c>
      <c r="B154" s="14" t="s">
        <v>396</v>
      </c>
      <c r="C154" s="13" t="s">
        <v>80</v>
      </c>
      <c r="D154" s="15">
        <v>0</v>
      </c>
      <c r="E154" s="16" t="str">
        <f>IF(NORMALIZADO!CB153="","",NORMALIZADO!CB153)</f>
        <v/>
      </c>
      <c r="F154" s="17" t="str">
        <f>IF(NORMALIZADO!CC153="","",NORMALIZADO!CC153)</f>
        <v/>
      </c>
      <c r="G154" s="17">
        <f>IF(NORMALIZADO!CD153="",IFERROR(MATRIZ_174!U153*100,""),NORMALIZADO!CD153)</f>
        <v>100</v>
      </c>
      <c r="H154" s="16" t="str">
        <f>IF(NORMALIZADO!CE153="","",NORMALIZADO!CE153)</f>
        <v/>
      </c>
      <c r="I154" s="17" t="str">
        <f>IF(NORMALIZADO!CF153="","",NORMALIZADO!CF153)</f>
        <v/>
      </c>
      <c r="J154" s="17" t="str">
        <f>IF(NORMALIZADO!CG153="","",NORMALIZADO!CG153)</f>
        <v/>
      </c>
      <c r="K154" s="16" t="str">
        <f>IF(NORMALIZADO!CH153="","",NORMALIZADO!CH153)</f>
        <v/>
      </c>
      <c r="L154" s="16" t="str">
        <f>IF(NORMALIZADO!CI153="","",NORMALIZADO!CI153)</f>
        <v/>
      </c>
      <c r="M154" s="16" t="str">
        <f>IF(NORMALIZADO!CJ153="","",NORMALIZADO!CJ153)</f>
        <v/>
      </c>
      <c r="N154" s="16" t="str">
        <f>IF(NORMALIZADO!CK153="","",NORMALIZADO!CK153)</f>
        <v/>
      </c>
      <c r="O154" s="16" t="str">
        <f>IF(NORMALIZADO!CL153="","",NORMALIZADO!CL153)</f>
        <v/>
      </c>
      <c r="P154" s="17" t="str">
        <f t="shared" si="44"/>
        <v/>
      </c>
      <c r="Q154" s="17">
        <f t="shared" si="45"/>
        <v>0</v>
      </c>
      <c r="R154" s="17">
        <f t="shared" si="46"/>
        <v>0</v>
      </c>
      <c r="S154" s="17">
        <f t="shared" si="47"/>
        <v>0</v>
      </c>
      <c r="T154" s="17" t="str">
        <f>IF(ISNUMBER(MATRIZ_174!O153),IFERROR((K154+M154+MATRIZ_174!O153)/3,0),"")</f>
        <v/>
      </c>
      <c r="U154" s="18" t="str">
        <f>IF(ISNUMBER(MATRIZ_174!M153),MIN(100,ROUND(MATRIZ_174!M153,1)),"")</f>
        <v/>
      </c>
      <c r="V154" s="18">
        <f t="shared" si="48"/>
        <v>50</v>
      </c>
      <c r="W154" s="18">
        <f>IFERROR(IF(MATRIZ_174!R153=0,65,IF(MATRIZ_174!R153/MATRIZ_174!Q153&gt;=2,35,IF(MATRIZ_174!R153/MATRIZ_174!Q153&gt;=0.5,50,65))),65)</f>
        <v>65</v>
      </c>
      <c r="X154" s="18" t="str">
        <f>IF(ISNUMBER(MATRIZ_174!O153),MIN(100,IF(MATRIZ_174!O153=0,70,30)+IF(MATRIZ_174!U153="",0,0.3*(100-MATRIZ_174!U153*100))),"")</f>
        <v/>
      </c>
      <c r="Y154" s="18">
        <f>IF(OR(MATRIZ_174!P153="ASOCIACION",MATRIZ_174!P153="PENDIENTE"),65,40)</f>
        <v>65</v>
      </c>
      <c r="Z154" s="19" t="str">
        <f t="shared" si="49"/>
        <v>—</v>
      </c>
      <c r="AA154" s="20">
        <f t="shared" si="50"/>
        <v>60</v>
      </c>
      <c r="AB154" s="21" t="str">
        <f t="shared" si="51"/>
        <v>—</v>
      </c>
      <c r="AC154" s="13" t="str">
        <f t="shared" si="52"/>
        <v>⬜  Pendiente de instrumento</v>
      </c>
      <c r="AD154" s="13" t="str">
        <f>IF(MATRIZ_174!U153="","",IF(MATRIZ_174!U153=0,"🚫  Inh. vigente OSCE",""))</f>
        <v/>
      </c>
      <c r="AE154" s="22">
        <f>IFERROR(MATRIZ_174!W153,0)</f>
        <v>0</v>
      </c>
      <c r="AF154" s="22">
        <f>IFERROR(MATRIZ_174!X153,0)</f>
        <v>0</v>
      </c>
      <c r="AG154" s="22">
        <f>IFERROR(MATRIZ_174!Y153,0)</f>
        <v>0</v>
      </c>
      <c r="AH154" s="22">
        <f>IFERROR(MATRIZ_174!Z153,0)</f>
        <v>0</v>
      </c>
      <c r="AI154" s="17">
        <f>IFERROR(MATRIZ_174!AP153,"N/A")</f>
        <v>0</v>
      </c>
      <c r="AJ154" s="17" t="str">
        <f>IFERROR(MATRIZ_174!AO153,"N/A")</f>
        <v>N/A</v>
      </c>
      <c r="AK154" s="23" t="str">
        <f t="shared" si="53"/>
        <v>N/A</v>
      </c>
      <c r="AL154" s="24" t="str">
        <f t="shared" si="54"/>
        <v>—</v>
      </c>
    </row>
    <row r="155" spans="1:38" ht="16.05" customHeight="1" x14ac:dyDescent="0.3">
      <c r="A155" s="13" t="s">
        <v>397</v>
      </c>
      <c r="B155" s="14" t="s">
        <v>398</v>
      </c>
      <c r="C155" s="13" t="s">
        <v>77</v>
      </c>
      <c r="D155" s="15">
        <v>0</v>
      </c>
      <c r="E155" s="16" t="str">
        <f>IF(NORMALIZADO!CB154="","",NORMALIZADO!CB154)</f>
        <v/>
      </c>
      <c r="F155" s="17" t="str">
        <f>IF(NORMALIZADO!CC154="","",NORMALIZADO!CC154)</f>
        <v/>
      </c>
      <c r="G155" s="17">
        <f>IF(NORMALIZADO!CD154="",IFERROR(MATRIZ_174!U154*100,""),NORMALIZADO!CD154)</f>
        <v>100</v>
      </c>
      <c r="H155" s="16" t="str">
        <f>IF(NORMALIZADO!CE154="","",NORMALIZADO!CE154)</f>
        <v/>
      </c>
      <c r="I155" s="17" t="str">
        <f>IF(NORMALIZADO!CF154="","",NORMALIZADO!CF154)</f>
        <v/>
      </c>
      <c r="J155" s="17" t="str">
        <f>IF(NORMALIZADO!CG154="","",NORMALIZADO!CG154)</f>
        <v/>
      </c>
      <c r="K155" s="16" t="str">
        <f>IF(NORMALIZADO!CH154="","",NORMALIZADO!CH154)</f>
        <v/>
      </c>
      <c r="L155" s="16" t="str">
        <f>IF(NORMALIZADO!CI154="","",NORMALIZADO!CI154)</f>
        <v/>
      </c>
      <c r="M155" s="16" t="str">
        <f>IF(NORMALIZADO!CJ154="","",NORMALIZADO!CJ154)</f>
        <v/>
      </c>
      <c r="N155" s="16" t="str">
        <f>IF(NORMALIZADO!CK154="","",NORMALIZADO!CK154)</f>
        <v/>
      </c>
      <c r="O155" s="16" t="str">
        <f>IF(NORMALIZADO!CL154="","",NORMALIZADO!CL154)</f>
        <v/>
      </c>
      <c r="P155" s="17" t="str">
        <f t="shared" si="44"/>
        <v/>
      </c>
      <c r="Q155" s="17">
        <f t="shared" si="45"/>
        <v>0</v>
      </c>
      <c r="R155" s="17">
        <f t="shared" si="46"/>
        <v>0</v>
      </c>
      <c r="S155" s="17">
        <f t="shared" si="47"/>
        <v>0</v>
      </c>
      <c r="T155" s="17">
        <f>IF(ISNUMBER(MATRIZ_174!O154),IFERROR((K155+M155+MATRIZ_174!O154)/3,0),"")</f>
        <v>0</v>
      </c>
      <c r="U155" s="18">
        <f>IF(ISNUMBER(MATRIZ_174!M154),MIN(100,ROUND(MATRIZ_174!M154,1)),"")</f>
        <v>0</v>
      </c>
      <c r="V155" s="18">
        <f t="shared" si="48"/>
        <v>50</v>
      </c>
      <c r="W155" s="18">
        <f>IFERROR(IF(MATRIZ_174!R154=0,65,IF(MATRIZ_174!R154/MATRIZ_174!Q154&gt;=2,35,IF(MATRIZ_174!R154/MATRIZ_174!Q154&gt;=0.5,50,65))),65)</f>
        <v>35</v>
      </c>
      <c r="X155" s="18">
        <f>IF(ISNUMBER(MATRIZ_174!O154),MIN(100,IF(MATRIZ_174!O154=0,70,30)+IF(MATRIZ_174!U154="",0,0.3*(100-MATRIZ_174!U154*100))),"")</f>
        <v>30</v>
      </c>
      <c r="Y155" s="18">
        <f>IF(OR(MATRIZ_174!P154="ASOCIACION",MATRIZ_174!P154="PENDIENTE"),65,40)</f>
        <v>65</v>
      </c>
      <c r="Z155" s="19" t="str">
        <f t="shared" si="49"/>
        <v>—</v>
      </c>
      <c r="AA155" s="20">
        <f t="shared" si="50"/>
        <v>36</v>
      </c>
      <c r="AB155" s="21" t="str">
        <f t="shared" si="51"/>
        <v>—</v>
      </c>
      <c r="AC155" s="13" t="str">
        <f t="shared" si="52"/>
        <v>⬜  Pendiente de instrumento</v>
      </c>
      <c r="AD155" s="13" t="str">
        <f>IF(MATRIZ_174!U154="","",IF(MATRIZ_174!U154=0,"🚫  Inh. vigente OSCE",""))</f>
        <v/>
      </c>
      <c r="AE155" s="22">
        <f>IFERROR(MATRIZ_174!W154,0)</f>
        <v>1</v>
      </c>
      <c r="AF155" s="22">
        <f>IFERROR(MATRIZ_174!X154,0)</f>
        <v>0</v>
      </c>
      <c r="AG155" s="22">
        <f>IFERROR(MATRIZ_174!Y154,0)</f>
        <v>0</v>
      </c>
      <c r="AH155" s="22">
        <f>IFERROR(MATRIZ_174!Z154,0)</f>
        <v>0</v>
      </c>
      <c r="AI155" s="17">
        <f>IFERROR(MATRIZ_174!AP154,"N/A")</f>
        <v>0.11875000000000001</v>
      </c>
      <c r="AJ155" s="17" t="str">
        <f>IFERROR(MATRIZ_174!AO154,"N/A")</f>
        <v>N/A</v>
      </c>
      <c r="AK155" s="23" t="str">
        <f t="shared" si="53"/>
        <v>N/A</v>
      </c>
      <c r="AL155" s="24" t="str">
        <f t="shared" si="54"/>
        <v>—</v>
      </c>
    </row>
    <row r="156" spans="1:38" ht="16.05" customHeight="1" x14ac:dyDescent="0.3">
      <c r="A156" s="13" t="s">
        <v>399</v>
      </c>
      <c r="B156" s="14" t="s">
        <v>400</v>
      </c>
      <c r="C156" s="13" t="s">
        <v>109</v>
      </c>
      <c r="D156" s="15">
        <v>0</v>
      </c>
      <c r="E156" s="16" t="str">
        <f>IF(NORMALIZADO!CB155="","",NORMALIZADO!CB155)</f>
        <v/>
      </c>
      <c r="F156" s="17" t="str">
        <f>IF(NORMALIZADO!CC155="","",NORMALIZADO!CC155)</f>
        <v/>
      </c>
      <c r="G156" s="17">
        <f>IF(NORMALIZADO!CD155="",IFERROR(MATRIZ_174!U155*100,""),NORMALIZADO!CD155)</f>
        <v>100</v>
      </c>
      <c r="H156" s="16" t="str">
        <f>IF(NORMALIZADO!CE155="","",NORMALIZADO!CE155)</f>
        <v/>
      </c>
      <c r="I156" s="17" t="str">
        <f>IF(NORMALIZADO!CF155="","",NORMALIZADO!CF155)</f>
        <v/>
      </c>
      <c r="J156" s="17" t="str">
        <f>IF(NORMALIZADO!CG155="","",NORMALIZADO!CG155)</f>
        <v/>
      </c>
      <c r="K156" s="16" t="str">
        <f>IF(NORMALIZADO!CH155="","",NORMALIZADO!CH155)</f>
        <v/>
      </c>
      <c r="L156" s="16" t="str">
        <f>IF(NORMALIZADO!CI155="","",NORMALIZADO!CI155)</f>
        <v/>
      </c>
      <c r="M156" s="16" t="str">
        <f>IF(NORMALIZADO!CJ155="","",NORMALIZADO!CJ155)</f>
        <v/>
      </c>
      <c r="N156" s="16" t="str">
        <f>IF(NORMALIZADO!CK155="","",NORMALIZADO!CK155)</f>
        <v/>
      </c>
      <c r="O156" s="16" t="str">
        <f>IF(NORMALIZADO!CL155="","",NORMALIZADO!CL155)</f>
        <v/>
      </c>
      <c r="P156" s="17" t="str">
        <f t="shared" si="44"/>
        <v/>
      </c>
      <c r="Q156" s="17">
        <f t="shared" si="45"/>
        <v>0</v>
      </c>
      <c r="R156" s="17">
        <f t="shared" si="46"/>
        <v>0</v>
      </c>
      <c r="S156" s="17">
        <f t="shared" si="47"/>
        <v>0</v>
      </c>
      <c r="T156" s="17" t="str">
        <f>IF(ISNUMBER(MATRIZ_174!O155),IFERROR((K156+M156+MATRIZ_174!O155)/3,0),"")</f>
        <v/>
      </c>
      <c r="U156" s="18" t="str">
        <f>IF(ISNUMBER(MATRIZ_174!M155),MIN(100,ROUND(MATRIZ_174!M155,1)),"")</f>
        <v/>
      </c>
      <c r="V156" s="18">
        <f t="shared" si="48"/>
        <v>50</v>
      </c>
      <c r="W156" s="18">
        <f>IFERROR(IF(MATRIZ_174!R155=0,65,IF(MATRIZ_174!R155/MATRIZ_174!Q155&gt;=2,35,IF(MATRIZ_174!R155/MATRIZ_174!Q155&gt;=0.5,50,65))),65)</f>
        <v>65</v>
      </c>
      <c r="X156" s="18" t="str">
        <f>IF(ISNUMBER(MATRIZ_174!O155),MIN(100,IF(MATRIZ_174!O155=0,70,30)+IF(MATRIZ_174!U155="",0,0.3*(100-MATRIZ_174!U155*100))),"")</f>
        <v/>
      </c>
      <c r="Y156" s="18">
        <f>IF(OR(MATRIZ_174!P155="ASOCIACION",MATRIZ_174!P155="PENDIENTE"),65,40)</f>
        <v>65</v>
      </c>
      <c r="Z156" s="19" t="str">
        <f t="shared" si="49"/>
        <v>—</v>
      </c>
      <c r="AA156" s="20">
        <f t="shared" si="50"/>
        <v>60</v>
      </c>
      <c r="AB156" s="21" t="str">
        <f t="shared" si="51"/>
        <v>—</v>
      </c>
      <c r="AC156" s="13" t="str">
        <f t="shared" si="52"/>
        <v>⬜  Pendiente de instrumento</v>
      </c>
      <c r="AD156" s="13" t="str">
        <f>IF(MATRIZ_174!U155="","",IF(MATRIZ_174!U155=0,"🚫  Inh. vigente OSCE",""))</f>
        <v/>
      </c>
      <c r="AE156" s="22">
        <f>IFERROR(MATRIZ_174!W155,0)</f>
        <v>0</v>
      </c>
      <c r="AF156" s="22">
        <f>IFERROR(MATRIZ_174!X155,0)</f>
        <v>0</v>
      </c>
      <c r="AG156" s="22">
        <f>IFERROR(MATRIZ_174!Y155,0)</f>
        <v>0</v>
      </c>
      <c r="AH156" s="22">
        <f>IFERROR(MATRIZ_174!Z155,0)</f>
        <v>0</v>
      </c>
      <c r="AI156" s="17">
        <f>IFERROR(MATRIZ_174!AP155,"N/A")</f>
        <v>0</v>
      </c>
      <c r="AJ156" s="17" t="str">
        <f>IFERROR(MATRIZ_174!AO155,"N/A")</f>
        <v>N/A</v>
      </c>
      <c r="AK156" s="23" t="str">
        <f t="shared" si="53"/>
        <v>N/A</v>
      </c>
      <c r="AL156" s="24" t="str">
        <f t="shared" si="54"/>
        <v>—</v>
      </c>
    </row>
    <row r="157" spans="1:38" ht="16.05" customHeight="1" x14ac:dyDescent="0.3">
      <c r="A157" s="13" t="s">
        <v>401</v>
      </c>
      <c r="B157" s="14" t="s">
        <v>402</v>
      </c>
      <c r="C157" s="13" t="s">
        <v>179</v>
      </c>
      <c r="D157" s="15">
        <v>0</v>
      </c>
      <c r="E157" s="16" t="str">
        <f>IF(NORMALIZADO!CB156="","",NORMALIZADO!CB156)</f>
        <v/>
      </c>
      <c r="F157" s="17" t="str">
        <f>IF(NORMALIZADO!CC156="","",NORMALIZADO!CC156)</f>
        <v/>
      </c>
      <c r="G157" s="17">
        <f>IF(NORMALIZADO!CD156="",IFERROR(MATRIZ_174!U156*100,""),NORMALIZADO!CD156)</f>
        <v>100</v>
      </c>
      <c r="H157" s="16" t="str">
        <f>IF(NORMALIZADO!CE156="","",NORMALIZADO!CE156)</f>
        <v/>
      </c>
      <c r="I157" s="17" t="str">
        <f>IF(NORMALIZADO!CF156="","",NORMALIZADO!CF156)</f>
        <v/>
      </c>
      <c r="J157" s="17" t="str">
        <f>IF(NORMALIZADO!CG156="","",NORMALIZADO!CG156)</f>
        <v/>
      </c>
      <c r="K157" s="16" t="str">
        <f>IF(NORMALIZADO!CH156="","",NORMALIZADO!CH156)</f>
        <v/>
      </c>
      <c r="L157" s="16" t="str">
        <f>IF(NORMALIZADO!CI156="","",NORMALIZADO!CI156)</f>
        <v/>
      </c>
      <c r="M157" s="16" t="str">
        <f>IF(NORMALIZADO!CJ156="","",NORMALIZADO!CJ156)</f>
        <v/>
      </c>
      <c r="N157" s="16" t="str">
        <f>IF(NORMALIZADO!CK156="","",NORMALIZADO!CK156)</f>
        <v/>
      </c>
      <c r="O157" s="16" t="str">
        <f>IF(NORMALIZADO!CL156="","",NORMALIZADO!CL156)</f>
        <v/>
      </c>
      <c r="P157" s="17" t="str">
        <f t="shared" si="44"/>
        <v/>
      </c>
      <c r="Q157" s="17">
        <f t="shared" si="45"/>
        <v>0</v>
      </c>
      <c r="R157" s="17">
        <f t="shared" si="46"/>
        <v>0</v>
      </c>
      <c r="S157" s="17">
        <f t="shared" si="47"/>
        <v>0</v>
      </c>
      <c r="T157" s="17" t="str">
        <f>IF(ISNUMBER(MATRIZ_174!O156),IFERROR((K157+M157+MATRIZ_174!O156)/3,0),"")</f>
        <v/>
      </c>
      <c r="U157" s="18" t="str">
        <f>IF(ISNUMBER(MATRIZ_174!M156),MIN(100,ROUND(MATRIZ_174!M156,1)),"")</f>
        <v/>
      </c>
      <c r="V157" s="18">
        <f t="shared" si="48"/>
        <v>50</v>
      </c>
      <c r="W157" s="18">
        <f>IFERROR(IF(MATRIZ_174!R156=0,65,IF(MATRIZ_174!R156/MATRIZ_174!Q156&gt;=2,35,IF(MATRIZ_174!R156/MATRIZ_174!Q156&gt;=0.5,50,65))),65)</f>
        <v>65</v>
      </c>
      <c r="X157" s="18" t="str">
        <f>IF(ISNUMBER(MATRIZ_174!O156),MIN(100,IF(MATRIZ_174!O156=0,70,30)+IF(MATRIZ_174!U156="",0,0.3*(100-MATRIZ_174!U156*100))),"")</f>
        <v/>
      </c>
      <c r="Y157" s="18">
        <f>IF(OR(MATRIZ_174!P156="ASOCIACION",MATRIZ_174!P156="PENDIENTE"),65,40)</f>
        <v>65</v>
      </c>
      <c r="Z157" s="19" t="str">
        <f t="shared" si="49"/>
        <v>—</v>
      </c>
      <c r="AA157" s="20">
        <f t="shared" si="50"/>
        <v>60</v>
      </c>
      <c r="AB157" s="21" t="str">
        <f t="shared" si="51"/>
        <v>—</v>
      </c>
      <c r="AC157" s="13" t="str">
        <f t="shared" si="52"/>
        <v>⬜  Pendiente de instrumento</v>
      </c>
      <c r="AD157" s="13" t="str">
        <f>IF(MATRIZ_174!U156="","",IF(MATRIZ_174!U156=0,"🚫  Inh. vigente OSCE",""))</f>
        <v/>
      </c>
      <c r="AE157" s="22">
        <f>IFERROR(MATRIZ_174!W156,0)</f>
        <v>0</v>
      </c>
      <c r="AF157" s="22">
        <f>IFERROR(MATRIZ_174!X156,0)</f>
        <v>0</v>
      </c>
      <c r="AG157" s="22">
        <f>IFERROR(MATRIZ_174!Y156,0)</f>
        <v>0</v>
      </c>
      <c r="AH157" s="22">
        <f>IFERROR(MATRIZ_174!Z156,0)</f>
        <v>0</v>
      </c>
      <c r="AI157" s="17">
        <f>IFERROR(MATRIZ_174!AP156,"N/A")</f>
        <v>0</v>
      </c>
      <c r="AJ157" s="17" t="str">
        <f>IFERROR(MATRIZ_174!AO156,"N/A")</f>
        <v>N/A</v>
      </c>
      <c r="AK157" s="23" t="str">
        <f t="shared" si="53"/>
        <v>N/A</v>
      </c>
      <c r="AL157" s="24" t="str">
        <f t="shared" si="54"/>
        <v>—</v>
      </c>
    </row>
    <row r="158" spans="1:38" ht="16.05" customHeight="1" x14ac:dyDescent="0.3">
      <c r="A158" s="13" t="s">
        <v>403</v>
      </c>
      <c r="B158" s="14" t="s">
        <v>404</v>
      </c>
      <c r="C158" s="13" t="s">
        <v>139</v>
      </c>
      <c r="D158" s="15">
        <v>76135.47</v>
      </c>
      <c r="E158" s="16" t="str">
        <f>IF(NORMALIZADO!CB157="","",NORMALIZADO!CB157)</f>
        <v/>
      </c>
      <c r="F158" s="17" t="str">
        <f>IF(NORMALIZADO!CC157="","",NORMALIZADO!CC157)</f>
        <v/>
      </c>
      <c r="G158" s="17">
        <f>IF(NORMALIZADO!CD157="",IFERROR(MATRIZ_174!U157*100,""),NORMALIZADO!CD157)</f>
        <v>100</v>
      </c>
      <c r="H158" s="16" t="str">
        <f>IF(NORMALIZADO!CE157="","",NORMALIZADO!CE157)</f>
        <v/>
      </c>
      <c r="I158" s="17" t="str">
        <f>IF(NORMALIZADO!CF157="","",NORMALIZADO!CF157)</f>
        <v/>
      </c>
      <c r="J158" s="17" t="str">
        <f>IF(NORMALIZADO!CG157="","",NORMALIZADO!CG157)</f>
        <v/>
      </c>
      <c r="K158" s="16" t="str">
        <f>IF(NORMALIZADO!CH157="","",NORMALIZADO!CH157)</f>
        <v/>
      </c>
      <c r="L158" s="16" t="str">
        <f>IF(NORMALIZADO!CI157="","",NORMALIZADO!CI157)</f>
        <v/>
      </c>
      <c r="M158" s="16" t="str">
        <f>IF(NORMALIZADO!CJ157="","",NORMALIZADO!CJ157)</f>
        <v/>
      </c>
      <c r="N158" s="16" t="str">
        <f>IF(NORMALIZADO!CK157="","",NORMALIZADO!CK157)</f>
        <v/>
      </c>
      <c r="O158" s="16" t="str">
        <f>IF(NORMALIZADO!CL157="","",NORMALIZADO!CL157)</f>
        <v/>
      </c>
      <c r="P158" s="17" t="str">
        <f t="shared" si="44"/>
        <v/>
      </c>
      <c r="Q158" s="17">
        <f t="shared" si="45"/>
        <v>0</v>
      </c>
      <c r="R158" s="17">
        <f t="shared" si="46"/>
        <v>0</v>
      </c>
      <c r="S158" s="17">
        <f t="shared" si="47"/>
        <v>0</v>
      </c>
      <c r="T158" s="17">
        <f>IF(ISNUMBER(MATRIZ_174!O157),IFERROR((K158+M158+MATRIZ_174!O157)/3,0),"")</f>
        <v>0</v>
      </c>
      <c r="U158" s="18">
        <f>IF(ISNUMBER(MATRIZ_174!M157),MIN(100,ROUND(MATRIZ_174!M157,1)),"")</f>
        <v>8.1</v>
      </c>
      <c r="V158" s="18">
        <f t="shared" si="48"/>
        <v>50</v>
      </c>
      <c r="W158" s="18">
        <f>IFERROR(IF(MATRIZ_174!R157=0,65,IF(MATRIZ_174!R157/MATRIZ_174!Q157&gt;=2,35,IF(MATRIZ_174!R157/MATRIZ_174!Q157&gt;=0.5,50,65))),65)</f>
        <v>35</v>
      </c>
      <c r="X158" s="18">
        <f>IF(ISNUMBER(MATRIZ_174!O157),MIN(100,IF(MATRIZ_174!O157=0,70,30)+IF(MATRIZ_174!U157="",0,0.3*(100-MATRIZ_174!U157*100))),"")</f>
        <v>30</v>
      </c>
      <c r="Y158" s="18">
        <f>IF(OR(MATRIZ_174!P157="ASOCIACION",MATRIZ_174!P157="PENDIENTE"),65,40)</f>
        <v>65</v>
      </c>
      <c r="Z158" s="19" t="str">
        <f t="shared" si="49"/>
        <v>—</v>
      </c>
      <c r="AA158" s="20">
        <f t="shared" si="50"/>
        <v>37.6</v>
      </c>
      <c r="AB158" s="21" t="str">
        <f t="shared" si="51"/>
        <v>—</v>
      </c>
      <c r="AC158" s="13" t="str">
        <f t="shared" si="52"/>
        <v>⬜  Pendiente de instrumento</v>
      </c>
      <c r="AD158" s="13" t="str">
        <f>IF(MATRIZ_174!U157="","",IF(MATRIZ_174!U157=0,"🚫  Inh. vigente OSCE",""))</f>
        <v/>
      </c>
      <c r="AE158" s="22">
        <f>IFERROR(MATRIZ_174!W157,0)</f>
        <v>1</v>
      </c>
      <c r="AF158" s="22">
        <f>IFERROR(MATRIZ_174!X157,0)</f>
        <v>0</v>
      </c>
      <c r="AG158" s="22">
        <f>IFERROR(MATRIZ_174!Y157,0)</f>
        <v>0</v>
      </c>
      <c r="AH158" s="22">
        <f>IFERROR(MATRIZ_174!Z157,0)</f>
        <v>0</v>
      </c>
      <c r="AI158" s="17">
        <f>IFERROR(MATRIZ_174!AP157,"N/A")</f>
        <v>0.2525</v>
      </c>
      <c r="AJ158" s="17" t="str">
        <f>IFERROR(MATRIZ_174!AO157,"N/A")</f>
        <v>N/A</v>
      </c>
      <c r="AK158" s="23" t="str">
        <f t="shared" si="53"/>
        <v>N/A</v>
      </c>
      <c r="AL158" s="24" t="str">
        <f t="shared" si="54"/>
        <v>—</v>
      </c>
    </row>
    <row r="159" spans="1:38" ht="16.05" customHeight="1" x14ac:dyDescent="0.3">
      <c r="A159" s="13" t="s">
        <v>406</v>
      </c>
      <c r="B159" s="14" t="s">
        <v>407</v>
      </c>
      <c r="C159" s="13" t="s">
        <v>77</v>
      </c>
      <c r="D159" s="15">
        <v>0</v>
      </c>
      <c r="E159" s="16" t="str">
        <f>IF(NORMALIZADO!CB158="","",NORMALIZADO!CB158)</f>
        <v/>
      </c>
      <c r="F159" s="17" t="str">
        <f>IF(NORMALIZADO!CC158="","",NORMALIZADO!CC158)</f>
        <v/>
      </c>
      <c r="G159" s="17">
        <f>IF(NORMALIZADO!CD158="",IFERROR(MATRIZ_174!U158*100,""),NORMALIZADO!CD158)</f>
        <v>100</v>
      </c>
      <c r="H159" s="16" t="str">
        <f>IF(NORMALIZADO!CE158="","",NORMALIZADO!CE158)</f>
        <v/>
      </c>
      <c r="I159" s="17" t="str">
        <f>IF(NORMALIZADO!CF158="","",NORMALIZADO!CF158)</f>
        <v/>
      </c>
      <c r="J159" s="17" t="str">
        <f>IF(NORMALIZADO!CG158="","",NORMALIZADO!CG158)</f>
        <v/>
      </c>
      <c r="K159" s="16" t="str">
        <f>IF(NORMALIZADO!CH158="","",NORMALIZADO!CH158)</f>
        <v/>
      </c>
      <c r="L159" s="16" t="str">
        <f>IF(NORMALIZADO!CI158="","",NORMALIZADO!CI158)</f>
        <v/>
      </c>
      <c r="M159" s="16" t="str">
        <f>IF(NORMALIZADO!CJ158="","",NORMALIZADO!CJ158)</f>
        <v/>
      </c>
      <c r="N159" s="16" t="str">
        <f>IF(NORMALIZADO!CK158="","",NORMALIZADO!CK158)</f>
        <v/>
      </c>
      <c r="O159" s="16" t="str">
        <f>IF(NORMALIZADO!CL158="","",NORMALIZADO!CL158)</f>
        <v/>
      </c>
      <c r="P159" s="17" t="str">
        <f t="shared" si="44"/>
        <v/>
      </c>
      <c r="Q159" s="17">
        <f t="shared" si="45"/>
        <v>0</v>
      </c>
      <c r="R159" s="17">
        <f t="shared" si="46"/>
        <v>0</v>
      </c>
      <c r="S159" s="17">
        <f t="shared" si="47"/>
        <v>0</v>
      </c>
      <c r="T159" s="17" t="str">
        <f>IF(ISNUMBER(MATRIZ_174!O158),IFERROR((K159+M159+MATRIZ_174!O158)/3,0),"")</f>
        <v/>
      </c>
      <c r="U159" s="18" t="str">
        <f>IF(ISNUMBER(MATRIZ_174!M158),MIN(100,ROUND(MATRIZ_174!M158,1)),"")</f>
        <v/>
      </c>
      <c r="V159" s="18">
        <f t="shared" si="48"/>
        <v>50</v>
      </c>
      <c r="W159" s="18">
        <f>IFERROR(IF(MATRIZ_174!R158=0,65,IF(MATRIZ_174!R158/MATRIZ_174!Q158&gt;=2,35,IF(MATRIZ_174!R158/MATRIZ_174!Q158&gt;=0.5,50,65))),65)</f>
        <v>65</v>
      </c>
      <c r="X159" s="18" t="str">
        <f>IF(ISNUMBER(MATRIZ_174!O158),MIN(100,IF(MATRIZ_174!O158=0,70,30)+IF(MATRIZ_174!U158="",0,0.3*(100-MATRIZ_174!U158*100))),"")</f>
        <v/>
      </c>
      <c r="Y159" s="18">
        <f>IF(OR(MATRIZ_174!P158="ASOCIACION",MATRIZ_174!P158="PENDIENTE"),65,40)</f>
        <v>65</v>
      </c>
      <c r="Z159" s="19" t="str">
        <f t="shared" si="49"/>
        <v>—</v>
      </c>
      <c r="AA159" s="20">
        <f t="shared" si="50"/>
        <v>60</v>
      </c>
      <c r="AB159" s="21" t="str">
        <f t="shared" si="51"/>
        <v>—</v>
      </c>
      <c r="AC159" s="13" t="str">
        <f t="shared" si="52"/>
        <v>⬜  Pendiente de instrumento</v>
      </c>
      <c r="AD159" s="13" t="str">
        <f>IF(MATRIZ_174!U158="","",IF(MATRIZ_174!U158=0,"🚫  Inh. vigente OSCE",""))</f>
        <v/>
      </c>
      <c r="AE159" s="22">
        <f>IFERROR(MATRIZ_174!W158,0)</f>
        <v>0</v>
      </c>
      <c r="AF159" s="22">
        <f>IFERROR(MATRIZ_174!X158,0)</f>
        <v>0</v>
      </c>
      <c r="AG159" s="22">
        <f>IFERROR(MATRIZ_174!Y158,0)</f>
        <v>0</v>
      </c>
      <c r="AH159" s="22">
        <f>IFERROR(MATRIZ_174!Z158,0)</f>
        <v>0</v>
      </c>
      <c r="AI159" s="17">
        <f>IFERROR(MATRIZ_174!AP158,"N/A")</f>
        <v>0</v>
      </c>
      <c r="AJ159" s="17" t="str">
        <f>IFERROR(MATRIZ_174!AO158,"N/A")</f>
        <v>N/A</v>
      </c>
      <c r="AK159" s="23" t="str">
        <f t="shared" si="53"/>
        <v>N/A</v>
      </c>
      <c r="AL159" s="24" t="str">
        <f t="shared" si="54"/>
        <v>—</v>
      </c>
    </row>
    <row r="160" spans="1:38" ht="16.05" customHeight="1" x14ac:dyDescent="0.3">
      <c r="A160" s="13" t="s">
        <v>408</v>
      </c>
      <c r="B160" s="14" t="s">
        <v>409</v>
      </c>
      <c r="C160" s="13" t="s">
        <v>139</v>
      </c>
      <c r="D160" s="15">
        <v>0</v>
      </c>
      <c r="E160" s="16" t="str">
        <f>IF(NORMALIZADO!CB159="","",NORMALIZADO!CB159)</f>
        <v/>
      </c>
      <c r="F160" s="17" t="str">
        <f>IF(NORMALIZADO!CC159="","",NORMALIZADO!CC159)</f>
        <v/>
      </c>
      <c r="G160" s="17">
        <f>IF(NORMALIZADO!CD159="",IFERROR(MATRIZ_174!U159*100,""),NORMALIZADO!CD159)</f>
        <v>100</v>
      </c>
      <c r="H160" s="16" t="str">
        <f>IF(NORMALIZADO!CE159="","",NORMALIZADO!CE159)</f>
        <v/>
      </c>
      <c r="I160" s="17" t="str">
        <f>IF(NORMALIZADO!CF159="","",NORMALIZADO!CF159)</f>
        <v/>
      </c>
      <c r="J160" s="17" t="str">
        <f>IF(NORMALIZADO!CG159="","",NORMALIZADO!CG159)</f>
        <v/>
      </c>
      <c r="K160" s="16" t="str">
        <f>IF(NORMALIZADO!CH159="","",NORMALIZADO!CH159)</f>
        <v/>
      </c>
      <c r="L160" s="16" t="str">
        <f>IF(NORMALIZADO!CI159="","",NORMALIZADO!CI159)</f>
        <v/>
      </c>
      <c r="M160" s="16" t="str">
        <f>IF(NORMALIZADO!CJ159="","",NORMALIZADO!CJ159)</f>
        <v/>
      </c>
      <c r="N160" s="16" t="str">
        <f>IF(NORMALIZADO!CK159="","",NORMALIZADO!CK159)</f>
        <v/>
      </c>
      <c r="O160" s="16" t="str">
        <f>IF(NORMALIZADO!CL159="","",NORMALIZADO!CL159)</f>
        <v/>
      </c>
      <c r="P160" s="17" t="str">
        <f t="shared" si="44"/>
        <v/>
      </c>
      <c r="Q160" s="17">
        <f t="shared" si="45"/>
        <v>0</v>
      </c>
      <c r="R160" s="17">
        <f t="shared" si="46"/>
        <v>0</v>
      </c>
      <c r="S160" s="17">
        <f t="shared" si="47"/>
        <v>0</v>
      </c>
      <c r="T160" s="17" t="str">
        <f>IF(ISNUMBER(MATRIZ_174!O159),IFERROR((K160+M160+MATRIZ_174!O159)/3,0),"")</f>
        <v/>
      </c>
      <c r="U160" s="18" t="str">
        <f>IF(ISNUMBER(MATRIZ_174!M159),MIN(100,ROUND(MATRIZ_174!M159,1)),"")</f>
        <v/>
      </c>
      <c r="V160" s="18">
        <f t="shared" si="48"/>
        <v>50</v>
      </c>
      <c r="W160" s="18">
        <f>IFERROR(IF(MATRIZ_174!R159=0,65,IF(MATRIZ_174!R159/MATRIZ_174!Q159&gt;=2,35,IF(MATRIZ_174!R159/MATRIZ_174!Q159&gt;=0.5,50,65))),65)</f>
        <v>65</v>
      </c>
      <c r="X160" s="18" t="str">
        <f>IF(ISNUMBER(MATRIZ_174!O159),MIN(100,IF(MATRIZ_174!O159=0,70,30)+IF(MATRIZ_174!U159="",0,0.3*(100-MATRIZ_174!U159*100))),"")</f>
        <v/>
      </c>
      <c r="Y160" s="18">
        <f>IF(OR(MATRIZ_174!P159="ASOCIACION",MATRIZ_174!P159="PENDIENTE"),65,40)</f>
        <v>65</v>
      </c>
      <c r="Z160" s="19" t="str">
        <f t="shared" si="49"/>
        <v>—</v>
      </c>
      <c r="AA160" s="20">
        <f t="shared" si="50"/>
        <v>60</v>
      </c>
      <c r="AB160" s="21" t="str">
        <f t="shared" si="51"/>
        <v>—</v>
      </c>
      <c r="AC160" s="13" t="str">
        <f t="shared" si="52"/>
        <v>⬜  Pendiente de instrumento</v>
      </c>
      <c r="AD160" s="13" t="str">
        <f>IF(MATRIZ_174!U159="","",IF(MATRIZ_174!U159=0,"🚫  Inh. vigente OSCE",""))</f>
        <v/>
      </c>
      <c r="AE160" s="22">
        <f>IFERROR(MATRIZ_174!W159,0)</f>
        <v>0</v>
      </c>
      <c r="AF160" s="22">
        <f>IFERROR(MATRIZ_174!X159,0)</f>
        <v>0</v>
      </c>
      <c r="AG160" s="22">
        <f>IFERROR(MATRIZ_174!Y159,0)</f>
        <v>0</v>
      </c>
      <c r="AH160" s="22">
        <f>IFERROR(MATRIZ_174!Z159,0)</f>
        <v>0</v>
      </c>
      <c r="AI160" s="17">
        <f>IFERROR(MATRIZ_174!AP159,"N/A")</f>
        <v>0</v>
      </c>
      <c r="AJ160" s="17" t="str">
        <f>IFERROR(MATRIZ_174!AO159,"N/A")</f>
        <v>N/A</v>
      </c>
      <c r="AK160" s="23" t="str">
        <f t="shared" si="53"/>
        <v>N/A</v>
      </c>
      <c r="AL160" s="24" t="str">
        <f t="shared" si="54"/>
        <v>—</v>
      </c>
    </row>
    <row r="161" spans="1:38" ht="16.05" customHeight="1" x14ac:dyDescent="0.3">
      <c r="A161" s="13" t="s">
        <v>410</v>
      </c>
      <c r="B161" s="14" t="s">
        <v>411</v>
      </c>
      <c r="C161" s="13" t="s">
        <v>103</v>
      </c>
      <c r="D161" s="15">
        <v>0</v>
      </c>
      <c r="E161" s="16" t="str">
        <f>IF(NORMALIZADO!CB160="","",NORMALIZADO!CB160)</f>
        <v/>
      </c>
      <c r="F161" s="17" t="str">
        <f>IF(NORMALIZADO!CC160="","",NORMALIZADO!CC160)</f>
        <v/>
      </c>
      <c r="G161" s="17">
        <f>IF(NORMALIZADO!CD160="",IFERROR(MATRIZ_174!U160*100,""),NORMALIZADO!CD160)</f>
        <v>100</v>
      </c>
      <c r="H161" s="16" t="str">
        <f>IF(NORMALIZADO!CE160="","",NORMALIZADO!CE160)</f>
        <v/>
      </c>
      <c r="I161" s="17" t="str">
        <f>IF(NORMALIZADO!CF160="","",NORMALIZADO!CF160)</f>
        <v/>
      </c>
      <c r="J161" s="17" t="str">
        <f>IF(NORMALIZADO!CG160="","",NORMALIZADO!CG160)</f>
        <v/>
      </c>
      <c r="K161" s="16" t="str">
        <f>IF(NORMALIZADO!CH160="","",NORMALIZADO!CH160)</f>
        <v/>
      </c>
      <c r="L161" s="16" t="str">
        <f>IF(NORMALIZADO!CI160="","",NORMALIZADO!CI160)</f>
        <v/>
      </c>
      <c r="M161" s="16" t="str">
        <f>IF(NORMALIZADO!CJ160="","",NORMALIZADO!CJ160)</f>
        <v/>
      </c>
      <c r="N161" s="16" t="str">
        <f>IF(NORMALIZADO!CK160="","",NORMALIZADO!CK160)</f>
        <v/>
      </c>
      <c r="O161" s="16" t="str">
        <f>IF(NORMALIZADO!CL160="","",NORMALIZADO!CL160)</f>
        <v/>
      </c>
      <c r="P161" s="17" t="str">
        <f t="shared" si="44"/>
        <v/>
      </c>
      <c r="Q161" s="17">
        <f t="shared" si="45"/>
        <v>0</v>
      </c>
      <c r="R161" s="17">
        <f t="shared" si="46"/>
        <v>0</v>
      </c>
      <c r="S161" s="17">
        <f t="shared" si="47"/>
        <v>0</v>
      </c>
      <c r="T161" s="17" t="str">
        <f>IF(ISNUMBER(MATRIZ_174!O160),IFERROR((K161+M161+MATRIZ_174!O160)/3,0),"")</f>
        <v/>
      </c>
      <c r="U161" s="18" t="str">
        <f>IF(ISNUMBER(MATRIZ_174!M160),MIN(100,ROUND(MATRIZ_174!M160,1)),"")</f>
        <v/>
      </c>
      <c r="V161" s="18">
        <f t="shared" si="48"/>
        <v>50</v>
      </c>
      <c r="W161" s="18">
        <f>IFERROR(IF(MATRIZ_174!R160=0,65,IF(MATRIZ_174!R160/MATRIZ_174!Q160&gt;=2,35,IF(MATRIZ_174!R160/MATRIZ_174!Q160&gt;=0.5,50,65))),65)</f>
        <v>65</v>
      </c>
      <c r="X161" s="18" t="str">
        <f>IF(ISNUMBER(MATRIZ_174!O160),MIN(100,IF(MATRIZ_174!O160=0,70,30)+IF(MATRIZ_174!U160="",0,0.3*(100-MATRIZ_174!U160*100))),"")</f>
        <v/>
      </c>
      <c r="Y161" s="18">
        <f>IF(OR(MATRIZ_174!P160="ASOCIACION",MATRIZ_174!P160="PENDIENTE"),65,40)</f>
        <v>65</v>
      </c>
      <c r="Z161" s="19" t="str">
        <f t="shared" si="49"/>
        <v>—</v>
      </c>
      <c r="AA161" s="20">
        <f t="shared" si="50"/>
        <v>60</v>
      </c>
      <c r="AB161" s="21" t="str">
        <f t="shared" si="51"/>
        <v>—</v>
      </c>
      <c r="AC161" s="13" t="str">
        <f t="shared" si="52"/>
        <v>⬜  Pendiente de instrumento</v>
      </c>
      <c r="AD161" s="13" t="str">
        <f>IF(MATRIZ_174!U160="","",IF(MATRIZ_174!U160=0,"🚫  Inh. vigente OSCE",""))</f>
        <v/>
      </c>
      <c r="AE161" s="22">
        <f>IFERROR(MATRIZ_174!W160,0)</f>
        <v>0</v>
      </c>
      <c r="AF161" s="22">
        <f>IFERROR(MATRIZ_174!X160,0)</f>
        <v>0</v>
      </c>
      <c r="AG161" s="22">
        <f>IFERROR(MATRIZ_174!Y160,0)</f>
        <v>0</v>
      </c>
      <c r="AH161" s="22">
        <f>IFERROR(MATRIZ_174!Z160,0)</f>
        <v>0</v>
      </c>
      <c r="AI161" s="17">
        <f>IFERROR(MATRIZ_174!AP160,"N/A")</f>
        <v>0</v>
      </c>
      <c r="AJ161" s="17" t="str">
        <f>IFERROR(MATRIZ_174!AO160,"N/A")</f>
        <v>N/A</v>
      </c>
      <c r="AK161" s="23" t="str">
        <f t="shared" si="53"/>
        <v>N/A</v>
      </c>
      <c r="AL161" s="24" t="str">
        <f t="shared" si="54"/>
        <v>—</v>
      </c>
    </row>
    <row r="162" spans="1:38" ht="16.05" customHeight="1" x14ac:dyDescent="0.3">
      <c r="A162" s="13" t="s">
        <v>413</v>
      </c>
      <c r="B162" s="14" t="s">
        <v>414</v>
      </c>
      <c r="C162" s="13" t="s">
        <v>179</v>
      </c>
      <c r="D162" s="15">
        <v>0</v>
      </c>
      <c r="E162" s="16" t="str">
        <f>IF(NORMALIZADO!CB161="","",NORMALIZADO!CB161)</f>
        <v/>
      </c>
      <c r="F162" s="17" t="str">
        <f>IF(NORMALIZADO!CC161="","",NORMALIZADO!CC161)</f>
        <v/>
      </c>
      <c r="G162" s="17">
        <f>IF(NORMALIZADO!CD161="",IFERROR(MATRIZ_174!U161*100,""),NORMALIZADO!CD161)</f>
        <v>100</v>
      </c>
      <c r="H162" s="16" t="str">
        <f>IF(NORMALIZADO!CE161="","",NORMALIZADO!CE161)</f>
        <v/>
      </c>
      <c r="I162" s="17" t="str">
        <f>IF(NORMALIZADO!CF161="","",NORMALIZADO!CF161)</f>
        <v/>
      </c>
      <c r="J162" s="17" t="str">
        <f>IF(NORMALIZADO!CG161="","",NORMALIZADO!CG161)</f>
        <v/>
      </c>
      <c r="K162" s="16" t="str">
        <f>IF(NORMALIZADO!CH161="","",NORMALIZADO!CH161)</f>
        <v/>
      </c>
      <c r="L162" s="16" t="str">
        <f>IF(NORMALIZADO!CI161="","",NORMALIZADO!CI161)</f>
        <v/>
      </c>
      <c r="M162" s="16" t="str">
        <f>IF(NORMALIZADO!CJ161="","",NORMALIZADO!CJ161)</f>
        <v/>
      </c>
      <c r="N162" s="16" t="str">
        <f>IF(NORMALIZADO!CK161="","",NORMALIZADO!CK161)</f>
        <v/>
      </c>
      <c r="O162" s="16" t="str">
        <f>IF(NORMALIZADO!CL161="","",NORMALIZADO!CL161)</f>
        <v/>
      </c>
      <c r="P162" s="17" t="str">
        <f t="shared" si="44"/>
        <v/>
      </c>
      <c r="Q162" s="17">
        <f t="shared" si="45"/>
        <v>0</v>
      </c>
      <c r="R162" s="17">
        <f t="shared" si="46"/>
        <v>0</v>
      </c>
      <c r="S162" s="17">
        <f t="shared" si="47"/>
        <v>0</v>
      </c>
      <c r="T162" s="17" t="str">
        <f>IF(ISNUMBER(MATRIZ_174!O161),IFERROR((K162+M162+MATRIZ_174!O161)/3,0),"")</f>
        <v/>
      </c>
      <c r="U162" s="18" t="str">
        <f>IF(ISNUMBER(MATRIZ_174!M161),MIN(100,ROUND(MATRIZ_174!M161,1)),"")</f>
        <v/>
      </c>
      <c r="V162" s="18">
        <f t="shared" si="48"/>
        <v>50</v>
      </c>
      <c r="W162" s="18">
        <f>IFERROR(IF(MATRIZ_174!R161=0,65,IF(MATRIZ_174!R161/MATRIZ_174!Q161&gt;=2,35,IF(MATRIZ_174!R161/MATRIZ_174!Q161&gt;=0.5,50,65))),65)</f>
        <v>65</v>
      </c>
      <c r="X162" s="18" t="str">
        <f>IF(ISNUMBER(MATRIZ_174!O161),MIN(100,IF(MATRIZ_174!O161=0,70,30)+IF(MATRIZ_174!U161="",0,0.3*(100-MATRIZ_174!U161*100))),"")</f>
        <v/>
      </c>
      <c r="Y162" s="18">
        <f>IF(OR(MATRIZ_174!P161="ASOCIACION",MATRIZ_174!P161="PENDIENTE"),65,40)</f>
        <v>65</v>
      </c>
      <c r="Z162" s="19" t="str">
        <f t="shared" si="49"/>
        <v>—</v>
      </c>
      <c r="AA162" s="20">
        <f t="shared" si="50"/>
        <v>60</v>
      </c>
      <c r="AB162" s="21" t="str">
        <f t="shared" si="51"/>
        <v>—</v>
      </c>
      <c r="AC162" s="13" t="str">
        <f t="shared" si="52"/>
        <v>⬜  Pendiente de instrumento</v>
      </c>
      <c r="AD162" s="13" t="str">
        <f>IF(MATRIZ_174!U161="","",IF(MATRIZ_174!U161=0,"🚫  Inh. vigente OSCE",""))</f>
        <v/>
      </c>
      <c r="AE162" s="22">
        <f>IFERROR(MATRIZ_174!W161,0)</f>
        <v>0</v>
      </c>
      <c r="AF162" s="22">
        <f>IFERROR(MATRIZ_174!X161,0)</f>
        <v>0</v>
      </c>
      <c r="AG162" s="22">
        <f>IFERROR(MATRIZ_174!Y161,0)</f>
        <v>0</v>
      </c>
      <c r="AH162" s="22">
        <f>IFERROR(MATRIZ_174!Z161,0)</f>
        <v>0</v>
      </c>
      <c r="AI162" s="17">
        <f>IFERROR(MATRIZ_174!AP161,"N/A")</f>
        <v>0</v>
      </c>
      <c r="AJ162" s="17" t="str">
        <f>IFERROR(MATRIZ_174!AO161,"N/A")</f>
        <v>N/A</v>
      </c>
      <c r="AK162" s="23" t="str">
        <f t="shared" si="53"/>
        <v>N/A</v>
      </c>
      <c r="AL162" s="24" t="str">
        <f t="shared" si="54"/>
        <v>—</v>
      </c>
    </row>
    <row r="163" spans="1:38" ht="16.05" customHeight="1" x14ac:dyDescent="0.3">
      <c r="A163" s="13" t="s">
        <v>415</v>
      </c>
      <c r="B163" s="14" t="s">
        <v>416</v>
      </c>
      <c r="C163" s="13" t="s">
        <v>103</v>
      </c>
      <c r="D163" s="15">
        <v>0</v>
      </c>
      <c r="E163" s="16" t="str">
        <f>IF(NORMALIZADO!CB162="","",NORMALIZADO!CB162)</f>
        <v/>
      </c>
      <c r="F163" s="17" t="str">
        <f>IF(NORMALIZADO!CC162="","",NORMALIZADO!CC162)</f>
        <v/>
      </c>
      <c r="G163" s="17">
        <f>IF(NORMALIZADO!CD162="",IFERROR(MATRIZ_174!U162*100,""),NORMALIZADO!CD162)</f>
        <v>100</v>
      </c>
      <c r="H163" s="16" t="str">
        <f>IF(NORMALIZADO!CE162="","",NORMALIZADO!CE162)</f>
        <v/>
      </c>
      <c r="I163" s="17" t="str">
        <f>IF(NORMALIZADO!CF162="","",NORMALIZADO!CF162)</f>
        <v/>
      </c>
      <c r="J163" s="17" t="str">
        <f>IF(NORMALIZADO!CG162="","",NORMALIZADO!CG162)</f>
        <v/>
      </c>
      <c r="K163" s="16" t="str">
        <f>IF(NORMALIZADO!CH162="","",NORMALIZADO!CH162)</f>
        <v/>
      </c>
      <c r="L163" s="16" t="str">
        <f>IF(NORMALIZADO!CI162="","",NORMALIZADO!CI162)</f>
        <v/>
      </c>
      <c r="M163" s="16" t="str">
        <f>IF(NORMALIZADO!CJ162="","",NORMALIZADO!CJ162)</f>
        <v/>
      </c>
      <c r="N163" s="16" t="str">
        <f>IF(NORMALIZADO!CK162="","",NORMALIZADO!CK162)</f>
        <v/>
      </c>
      <c r="O163" s="16" t="str">
        <f>IF(NORMALIZADO!CL162="","",NORMALIZADO!CL162)</f>
        <v/>
      </c>
      <c r="P163" s="17" t="str">
        <f t="shared" si="44"/>
        <v/>
      </c>
      <c r="Q163" s="17">
        <f t="shared" si="45"/>
        <v>0</v>
      </c>
      <c r="R163" s="17">
        <f t="shared" si="46"/>
        <v>0</v>
      </c>
      <c r="S163" s="17">
        <f t="shared" si="47"/>
        <v>0</v>
      </c>
      <c r="T163" s="17" t="str">
        <f>IF(ISNUMBER(MATRIZ_174!O162),IFERROR((K163+M163+MATRIZ_174!O162)/3,0),"")</f>
        <v/>
      </c>
      <c r="U163" s="18" t="str">
        <f>IF(ISNUMBER(MATRIZ_174!M162),MIN(100,ROUND(MATRIZ_174!M162,1)),"")</f>
        <v/>
      </c>
      <c r="V163" s="18">
        <f t="shared" si="48"/>
        <v>50</v>
      </c>
      <c r="W163" s="18">
        <f>IFERROR(IF(MATRIZ_174!R162=0,65,IF(MATRIZ_174!R162/MATRIZ_174!Q162&gt;=2,35,IF(MATRIZ_174!R162/MATRIZ_174!Q162&gt;=0.5,50,65))),65)</f>
        <v>65</v>
      </c>
      <c r="X163" s="18" t="str">
        <f>IF(ISNUMBER(MATRIZ_174!O162),MIN(100,IF(MATRIZ_174!O162=0,70,30)+IF(MATRIZ_174!U162="",0,0.3*(100-MATRIZ_174!U162*100))),"")</f>
        <v/>
      </c>
      <c r="Y163" s="18">
        <f>IF(OR(MATRIZ_174!P162="ASOCIACION",MATRIZ_174!P162="PENDIENTE"),65,40)</f>
        <v>65</v>
      </c>
      <c r="Z163" s="19" t="str">
        <f t="shared" si="49"/>
        <v>—</v>
      </c>
      <c r="AA163" s="20">
        <f t="shared" si="50"/>
        <v>60</v>
      </c>
      <c r="AB163" s="21" t="str">
        <f t="shared" si="51"/>
        <v>—</v>
      </c>
      <c r="AC163" s="13" t="str">
        <f t="shared" si="52"/>
        <v>⬜  Pendiente de instrumento</v>
      </c>
      <c r="AD163" s="13" t="str">
        <f>IF(MATRIZ_174!U162="","",IF(MATRIZ_174!U162=0,"🚫  Inh. vigente OSCE",""))</f>
        <v/>
      </c>
      <c r="AE163" s="22">
        <f>IFERROR(MATRIZ_174!W162,0)</f>
        <v>0</v>
      </c>
      <c r="AF163" s="22">
        <f>IFERROR(MATRIZ_174!X162,0)</f>
        <v>0</v>
      </c>
      <c r="AG163" s="22">
        <f>IFERROR(MATRIZ_174!Y162,0)</f>
        <v>0</v>
      </c>
      <c r="AH163" s="22">
        <f>IFERROR(MATRIZ_174!Z162,0)</f>
        <v>0</v>
      </c>
      <c r="AI163" s="17">
        <f>IFERROR(MATRIZ_174!AP162,"N/A")</f>
        <v>0</v>
      </c>
      <c r="AJ163" s="17" t="str">
        <f>IFERROR(MATRIZ_174!AO162,"N/A")</f>
        <v>N/A</v>
      </c>
      <c r="AK163" s="23" t="str">
        <f t="shared" si="53"/>
        <v>N/A</v>
      </c>
      <c r="AL163" s="24" t="str">
        <f t="shared" si="54"/>
        <v>—</v>
      </c>
    </row>
    <row r="164" spans="1:38" ht="16.05" customHeight="1" x14ac:dyDescent="0.3">
      <c r="A164" s="13" t="s">
        <v>417</v>
      </c>
      <c r="B164" s="14" t="s">
        <v>418</v>
      </c>
      <c r="C164" s="13" t="s">
        <v>150</v>
      </c>
      <c r="D164" s="15">
        <v>1501109.51</v>
      </c>
      <c r="E164" s="16" t="str">
        <f>IF(NORMALIZADO!CB163="","",NORMALIZADO!CB163)</f>
        <v/>
      </c>
      <c r="F164" s="17" t="str">
        <f>IF(NORMALIZADO!CC163="","",NORMALIZADO!CC163)</f>
        <v/>
      </c>
      <c r="G164" s="17">
        <f>IF(NORMALIZADO!CD163="",IFERROR(MATRIZ_174!U163*100,""),NORMALIZADO!CD163)</f>
        <v>100</v>
      </c>
      <c r="H164" s="16" t="str">
        <f>IF(NORMALIZADO!CE163="","",NORMALIZADO!CE163)</f>
        <v/>
      </c>
      <c r="I164" s="17" t="str">
        <f>IF(NORMALIZADO!CF163="","",NORMALIZADO!CF163)</f>
        <v/>
      </c>
      <c r="J164" s="17" t="str">
        <f>IF(NORMALIZADO!CG163="","",NORMALIZADO!CG163)</f>
        <v/>
      </c>
      <c r="K164" s="16" t="str">
        <f>IF(NORMALIZADO!CH163="","",NORMALIZADO!CH163)</f>
        <v/>
      </c>
      <c r="L164" s="16" t="str">
        <f>IF(NORMALIZADO!CI163="","",NORMALIZADO!CI163)</f>
        <v/>
      </c>
      <c r="M164" s="16" t="str">
        <f>IF(NORMALIZADO!CJ163="","",NORMALIZADO!CJ163)</f>
        <v/>
      </c>
      <c r="N164" s="16" t="str">
        <f>IF(NORMALIZADO!CK163="","",NORMALIZADO!CK163)</f>
        <v/>
      </c>
      <c r="O164" s="16" t="str">
        <f>IF(NORMALIZADO!CL163="","",NORMALIZADO!CL163)</f>
        <v/>
      </c>
      <c r="P164" s="17" t="str">
        <f t="shared" ref="P164:P177" si="55">IFERROR(F164,0)</f>
        <v/>
      </c>
      <c r="Q164" s="17">
        <f t="shared" ref="Q164:Q177" si="56">IFERROR(SQRT(G164*H164),0)</f>
        <v>0</v>
      </c>
      <c r="R164" s="17">
        <f t="shared" ref="R164:R177" si="57">IFERROR((I164+J164+L164)/3,0)</f>
        <v>0</v>
      </c>
      <c r="S164" s="17">
        <f t="shared" ref="S164:S177" si="58">IFERROR((J164+F164)/2,0)</f>
        <v>0</v>
      </c>
      <c r="T164" s="17" t="str">
        <f>IF(ISNUMBER(MATRIZ_174!O163),IFERROR((K164+M164+MATRIZ_174!O163)/3,0),"")</f>
        <v/>
      </c>
      <c r="U164" s="18">
        <f>IF(ISNUMBER(MATRIZ_174!M163),MIN(100,ROUND(MATRIZ_174!M163,1)),"")</f>
        <v>50</v>
      </c>
      <c r="V164" s="18">
        <f t="shared" ref="V164:V177" si="59">IF(OR(NOT(ISNUMBER(F164)),F164=0),50,F164)</f>
        <v>50</v>
      </c>
      <c r="W164" s="18">
        <f>IFERROR(IF(MATRIZ_174!R163=0,65,IF(MATRIZ_174!R163/MATRIZ_174!Q163&gt;=2,35,IF(MATRIZ_174!R163/MATRIZ_174!Q163&gt;=0.5,50,65))),65)</f>
        <v>65</v>
      </c>
      <c r="X164" s="18" t="str">
        <f>IF(ISNUMBER(MATRIZ_174!O163),MIN(100,IF(MATRIZ_174!O163=0,70,30)+IF(MATRIZ_174!U163="",0,0.3*(100-MATRIZ_174!U163*100))),"")</f>
        <v/>
      </c>
      <c r="Y164" s="18">
        <f>IF(OR(MATRIZ_174!P163="ASOCIACION",MATRIZ_174!P163="PENDIENTE"),65,40)</f>
        <v>65</v>
      </c>
      <c r="Z164" s="19" t="str">
        <f t="shared" ref="Z164:Z177" si="60">IF(COUNT(F164:M164)&lt;8,"—",IFERROR(ROUND(AVERAGE(P164:T164),1),"—"))</f>
        <v>—</v>
      </c>
      <c r="AA164" s="20">
        <f t="shared" ref="AA164:AA177" si="61">IFERROR(ROUND(AVERAGE(U164,V164,W164,X164,Y164),1),0)</f>
        <v>57.5</v>
      </c>
      <c r="AB164" s="21" t="str">
        <f t="shared" ref="AB164:AB177" si="62">IF(NOT(ISNUMBER(Z164)),"—",IFERROR(ROUND(AA164*(1-Z164/100),1),"—"))</f>
        <v>—</v>
      </c>
      <c r="AC164" s="13" t="str">
        <f t="shared" ref="AC164:AC177" si="63">IF(OR(NOT(ISNUMBER(Z164)),NOT(ISNUMBER(AA164))),"⬜  Pendiente de instrumento",IF(AND(Z164&gt;=50,AA164&lt;50),"🟢  Resilientes",IF(AND(Z164&gt;=50,AA164&gt;=50),"🟠  Expuestas Adaptables",IF(AND(Z164&lt;50,AA164&lt;50),"⬜  Riesgo Latente","🔴  Riesgo Crítico"))))</f>
        <v>⬜  Pendiente de instrumento</v>
      </c>
      <c r="AD164" s="13" t="str">
        <f>IF(MATRIZ_174!U163="","",IF(MATRIZ_174!U163=0,"🚫  Inh. vigente OSCE",""))</f>
        <v/>
      </c>
      <c r="AE164" s="22">
        <f>IFERROR(MATRIZ_174!W163,0)</f>
        <v>1</v>
      </c>
      <c r="AF164" s="22">
        <f>IFERROR(MATRIZ_174!X163,0)</f>
        <v>0</v>
      </c>
      <c r="AG164" s="22">
        <f>IFERROR(MATRIZ_174!Y163,0)</f>
        <v>0</v>
      </c>
      <c r="AH164" s="22">
        <f>IFERROR(MATRIZ_174!Z163,0)</f>
        <v>0</v>
      </c>
      <c r="AI164" s="17">
        <f>IFERROR(MATRIZ_174!AP163,"N/A")</f>
        <v>0.3125</v>
      </c>
      <c r="AJ164" s="17" t="str">
        <f>IFERROR(MATRIZ_174!AO163,"N/A")</f>
        <v>N/A</v>
      </c>
      <c r="AK164" s="23" t="str">
        <f t="shared" ref="AK164:AK177" si="64">IF(COUNT(E164:M164)&lt;7,"N/A",IFERROR(ROUND((POWER(PRODUCT(E164:K164),1/MAX(1,COUNT(E164:K164)))*IF(COUNT(E164:K164)&gt;0,0.875,0)+IFERROR(AVERAGE(L164:M164),0)*IF(COUNT(L164:M164)&gt;0,0.125,0))/(IF(COUNT(E164:K164)&gt;0,0.875,0)+IF(COUNT(L164:M164)&gt;0,0.125,0)),1),"N/A"))</f>
        <v>N/A</v>
      </c>
      <c r="AL164" s="24" t="str">
        <f t="shared" ref="AL164:AL177" si="65">IF(OR(NOT(ISNUMBER(AK164)),NOT(ISNUMBER(AI164))),"—",ROUND(0.7*AK164+0.3*AI164*100,1))</f>
        <v>—</v>
      </c>
    </row>
    <row r="165" spans="1:38" ht="16.05" customHeight="1" x14ac:dyDescent="0.3">
      <c r="A165" s="13" t="s">
        <v>419</v>
      </c>
      <c r="B165" s="14" t="s">
        <v>420</v>
      </c>
      <c r="C165" s="13" t="s">
        <v>112</v>
      </c>
      <c r="D165" s="15">
        <v>0</v>
      </c>
      <c r="E165" s="16" t="str">
        <f>IF(NORMALIZADO!CB164="","",NORMALIZADO!CB164)</f>
        <v/>
      </c>
      <c r="F165" s="17" t="str">
        <f>IF(NORMALIZADO!CC164="","",NORMALIZADO!CC164)</f>
        <v/>
      </c>
      <c r="G165" s="17">
        <f>IF(NORMALIZADO!CD164="",IFERROR(MATRIZ_174!U164*100,""),NORMALIZADO!CD164)</f>
        <v>100</v>
      </c>
      <c r="H165" s="16" t="str">
        <f>IF(NORMALIZADO!CE164="","",NORMALIZADO!CE164)</f>
        <v/>
      </c>
      <c r="I165" s="17" t="str">
        <f>IF(NORMALIZADO!CF164="","",NORMALIZADO!CF164)</f>
        <v/>
      </c>
      <c r="J165" s="17" t="str">
        <f>IF(NORMALIZADO!CG164="","",NORMALIZADO!CG164)</f>
        <v/>
      </c>
      <c r="K165" s="16" t="str">
        <f>IF(NORMALIZADO!CH164="","",NORMALIZADO!CH164)</f>
        <v/>
      </c>
      <c r="L165" s="16" t="str">
        <f>IF(NORMALIZADO!CI164="","",NORMALIZADO!CI164)</f>
        <v/>
      </c>
      <c r="M165" s="16" t="str">
        <f>IF(NORMALIZADO!CJ164="","",NORMALIZADO!CJ164)</f>
        <v/>
      </c>
      <c r="N165" s="16" t="str">
        <f>IF(NORMALIZADO!CK164="","",NORMALIZADO!CK164)</f>
        <v/>
      </c>
      <c r="O165" s="16" t="str">
        <f>IF(NORMALIZADO!CL164="","",NORMALIZADO!CL164)</f>
        <v/>
      </c>
      <c r="P165" s="17" t="str">
        <f t="shared" si="55"/>
        <v/>
      </c>
      <c r="Q165" s="17">
        <f t="shared" si="56"/>
        <v>0</v>
      </c>
      <c r="R165" s="17">
        <f t="shared" si="57"/>
        <v>0</v>
      </c>
      <c r="S165" s="17">
        <f t="shared" si="58"/>
        <v>0</v>
      </c>
      <c r="T165" s="17" t="str">
        <f>IF(ISNUMBER(MATRIZ_174!O164),IFERROR((K165+M165+MATRIZ_174!O164)/3,0),"")</f>
        <v/>
      </c>
      <c r="U165" s="18" t="str">
        <f>IF(ISNUMBER(MATRIZ_174!M164),MIN(100,ROUND(MATRIZ_174!M164,1)),"")</f>
        <v/>
      </c>
      <c r="V165" s="18">
        <f t="shared" si="59"/>
        <v>50</v>
      </c>
      <c r="W165" s="18">
        <f>IFERROR(IF(MATRIZ_174!R164=0,65,IF(MATRIZ_174!R164/MATRIZ_174!Q164&gt;=2,35,IF(MATRIZ_174!R164/MATRIZ_174!Q164&gt;=0.5,50,65))),65)</f>
        <v>65</v>
      </c>
      <c r="X165" s="18" t="str">
        <f>IF(ISNUMBER(MATRIZ_174!O164),MIN(100,IF(MATRIZ_174!O164=0,70,30)+IF(MATRIZ_174!U164="",0,0.3*(100-MATRIZ_174!U164*100))),"")</f>
        <v/>
      </c>
      <c r="Y165" s="18">
        <f>IF(OR(MATRIZ_174!P164="ASOCIACION",MATRIZ_174!P164="PENDIENTE"),65,40)</f>
        <v>65</v>
      </c>
      <c r="Z165" s="19" t="str">
        <f t="shared" si="60"/>
        <v>—</v>
      </c>
      <c r="AA165" s="20">
        <f t="shared" si="61"/>
        <v>60</v>
      </c>
      <c r="AB165" s="21" t="str">
        <f t="shared" si="62"/>
        <v>—</v>
      </c>
      <c r="AC165" s="13" t="str">
        <f t="shared" si="63"/>
        <v>⬜  Pendiente de instrumento</v>
      </c>
      <c r="AD165" s="13" t="str">
        <f>IF(MATRIZ_174!U164="","",IF(MATRIZ_174!U164=0,"🚫  Inh. vigente OSCE",""))</f>
        <v/>
      </c>
      <c r="AE165" s="22">
        <f>IFERROR(MATRIZ_174!W164,0)</f>
        <v>0</v>
      </c>
      <c r="AF165" s="22">
        <f>IFERROR(MATRIZ_174!X164,0)</f>
        <v>0</v>
      </c>
      <c r="AG165" s="22">
        <f>IFERROR(MATRIZ_174!Y164,0)</f>
        <v>0</v>
      </c>
      <c r="AH165" s="22">
        <f>IFERROR(MATRIZ_174!Z164,0)</f>
        <v>0</v>
      </c>
      <c r="AI165" s="17">
        <f>IFERROR(MATRIZ_174!AP164,"N/A")</f>
        <v>0</v>
      </c>
      <c r="AJ165" s="17" t="str">
        <f>IFERROR(MATRIZ_174!AO164,"N/A")</f>
        <v>N/A</v>
      </c>
      <c r="AK165" s="23" t="str">
        <f t="shared" si="64"/>
        <v>N/A</v>
      </c>
      <c r="AL165" s="24" t="str">
        <f t="shared" si="65"/>
        <v>—</v>
      </c>
    </row>
    <row r="166" spans="1:38" ht="16.05" customHeight="1" x14ac:dyDescent="0.3">
      <c r="A166" s="13" t="s">
        <v>421</v>
      </c>
      <c r="B166" s="14" t="s">
        <v>422</v>
      </c>
      <c r="C166" s="13" t="s">
        <v>179</v>
      </c>
      <c r="D166" s="15">
        <v>0</v>
      </c>
      <c r="E166" s="16" t="str">
        <f>IF(NORMALIZADO!CB165="","",NORMALIZADO!CB165)</f>
        <v/>
      </c>
      <c r="F166" s="17" t="str">
        <f>IF(NORMALIZADO!CC165="","",NORMALIZADO!CC165)</f>
        <v/>
      </c>
      <c r="G166" s="17">
        <f>IF(NORMALIZADO!CD165="",IFERROR(MATRIZ_174!U165*100,""),NORMALIZADO!CD165)</f>
        <v>100</v>
      </c>
      <c r="H166" s="16" t="str">
        <f>IF(NORMALIZADO!CE165="","",NORMALIZADO!CE165)</f>
        <v/>
      </c>
      <c r="I166" s="17" t="str">
        <f>IF(NORMALIZADO!CF165="","",NORMALIZADO!CF165)</f>
        <v/>
      </c>
      <c r="J166" s="17" t="str">
        <f>IF(NORMALIZADO!CG165="","",NORMALIZADO!CG165)</f>
        <v/>
      </c>
      <c r="K166" s="16" t="str">
        <f>IF(NORMALIZADO!CH165="","",NORMALIZADO!CH165)</f>
        <v/>
      </c>
      <c r="L166" s="16" t="str">
        <f>IF(NORMALIZADO!CI165="","",NORMALIZADO!CI165)</f>
        <v/>
      </c>
      <c r="M166" s="16" t="str">
        <f>IF(NORMALIZADO!CJ165="","",NORMALIZADO!CJ165)</f>
        <v/>
      </c>
      <c r="N166" s="16" t="str">
        <f>IF(NORMALIZADO!CK165="","",NORMALIZADO!CK165)</f>
        <v/>
      </c>
      <c r="O166" s="16" t="str">
        <f>IF(NORMALIZADO!CL165="","",NORMALIZADO!CL165)</f>
        <v/>
      </c>
      <c r="P166" s="17" t="str">
        <f t="shared" si="55"/>
        <v/>
      </c>
      <c r="Q166" s="17">
        <f t="shared" si="56"/>
        <v>0</v>
      </c>
      <c r="R166" s="17">
        <f t="shared" si="57"/>
        <v>0</v>
      </c>
      <c r="S166" s="17">
        <f t="shared" si="58"/>
        <v>0</v>
      </c>
      <c r="T166" s="17" t="str">
        <f>IF(ISNUMBER(MATRIZ_174!O165),IFERROR((K166+M166+MATRIZ_174!O165)/3,0),"")</f>
        <v/>
      </c>
      <c r="U166" s="18" t="str">
        <f>IF(ISNUMBER(MATRIZ_174!M165),MIN(100,ROUND(MATRIZ_174!M165,1)),"")</f>
        <v/>
      </c>
      <c r="V166" s="18">
        <f t="shared" si="59"/>
        <v>50</v>
      </c>
      <c r="W166" s="18">
        <f>IFERROR(IF(MATRIZ_174!R165=0,65,IF(MATRIZ_174!R165/MATRIZ_174!Q165&gt;=2,35,IF(MATRIZ_174!R165/MATRIZ_174!Q165&gt;=0.5,50,65))),65)</f>
        <v>65</v>
      </c>
      <c r="X166" s="18" t="str">
        <f>IF(ISNUMBER(MATRIZ_174!O165),MIN(100,IF(MATRIZ_174!O165=0,70,30)+IF(MATRIZ_174!U165="",0,0.3*(100-MATRIZ_174!U165*100))),"")</f>
        <v/>
      </c>
      <c r="Y166" s="18">
        <f>IF(OR(MATRIZ_174!P165="ASOCIACION",MATRIZ_174!P165="PENDIENTE"),65,40)</f>
        <v>65</v>
      </c>
      <c r="Z166" s="19" t="str">
        <f t="shared" si="60"/>
        <v>—</v>
      </c>
      <c r="AA166" s="20">
        <f t="shared" si="61"/>
        <v>60</v>
      </c>
      <c r="AB166" s="21" t="str">
        <f t="shared" si="62"/>
        <v>—</v>
      </c>
      <c r="AC166" s="13" t="str">
        <f t="shared" si="63"/>
        <v>⬜  Pendiente de instrumento</v>
      </c>
      <c r="AD166" s="13" t="str">
        <f>IF(MATRIZ_174!U165="","",IF(MATRIZ_174!U165=0,"🚫  Inh. vigente OSCE",""))</f>
        <v/>
      </c>
      <c r="AE166" s="22">
        <f>IFERROR(MATRIZ_174!W165,0)</f>
        <v>0</v>
      </c>
      <c r="AF166" s="22">
        <f>IFERROR(MATRIZ_174!X165,0)</f>
        <v>0</v>
      </c>
      <c r="AG166" s="22">
        <f>IFERROR(MATRIZ_174!Y165,0)</f>
        <v>0</v>
      </c>
      <c r="AH166" s="22">
        <f>IFERROR(MATRIZ_174!Z165,0)</f>
        <v>0</v>
      </c>
      <c r="AI166" s="17">
        <f>IFERROR(MATRIZ_174!AP165,"N/A")</f>
        <v>0</v>
      </c>
      <c r="AJ166" s="17" t="str">
        <f>IFERROR(MATRIZ_174!AO165,"N/A")</f>
        <v>N/A</v>
      </c>
      <c r="AK166" s="23" t="str">
        <f t="shared" si="64"/>
        <v>N/A</v>
      </c>
      <c r="AL166" s="24" t="str">
        <f t="shared" si="65"/>
        <v>—</v>
      </c>
    </row>
    <row r="167" spans="1:38" ht="16.05" customHeight="1" x14ac:dyDescent="0.3">
      <c r="A167" s="13" t="s">
        <v>423</v>
      </c>
      <c r="B167" s="14" t="s">
        <v>424</v>
      </c>
      <c r="C167" s="13" t="s">
        <v>241</v>
      </c>
      <c r="D167" s="15">
        <v>0</v>
      </c>
      <c r="E167" s="16" t="str">
        <f>IF(NORMALIZADO!CB166="","",NORMALIZADO!CB166)</f>
        <v/>
      </c>
      <c r="F167" s="17" t="str">
        <f>IF(NORMALIZADO!CC166="","",NORMALIZADO!CC166)</f>
        <v/>
      </c>
      <c r="G167" s="17">
        <f>IF(NORMALIZADO!CD166="",IFERROR(MATRIZ_174!U166*100,""),NORMALIZADO!CD166)</f>
        <v>100</v>
      </c>
      <c r="H167" s="16" t="str">
        <f>IF(NORMALIZADO!CE166="","",NORMALIZADO!CE166)</f>
        <v/>
      </c>
      <c r="I167" s="17" t="str">
        <f>IF(NORMALIZADO!CF166="","",NORMALIZADO!CF166)</f>
        <v/>
      </c>
      <c r="J167" s="17" t="str">
        <f>IF(NORMALIZADO!CG166="","",NORMALIZADO!CG166)</f>
        <v/>
      </c>
      <c r="K167" s="16" t="str">
        <f>IF(NORMALIZADO!CH166="","",NORMALIZADO!CH166)</f>
        <v/>
      </c>
      <c r="L167" s="16" t="str">
        <f>IF(NORMALIZADO!CI166="","",NORMALIZADO!CI166)</f>
        <v/>
      </c>
      <c r="M167" s="16" t="str">
        <f>IF(NORMALIZADO!CJ166="","",NORMALIZADO!CJ166)</f>
        <v/>
      </c>
      <c r="N167" s="16" t="str">
        <f>IF(NORMALIZADO!CK166="","",NORMALIZADO!CK166)</f>
        <v/>
      </c>
      <c r="O167" s="16" t="str">
        <f>IF(NORMALIZADO!CL166="","",NORMALIZADO!CL166)</f>
        <v/>
      </c>
      <c r="P167" s="17" t="str">
        <f t="shared" si="55"/>
        <v/>
      </c>
      <c r="Q167" s="17">
        <f t="shared" si="56"/>
        <v>0</v>
      </c>
      <c r="R167" s="17">
        <f t="shared" si="57"/>
        <v>0</v>
      </c>
      <c r="S167" s="17">
        <f t="shared" si="58"/>
        <v>0</v>
      </c>
      <c r="T167" s="17" t="str">
        <f>IF(ISNUMBER(MATRIZ_174!O166),IFERROR((K167+M167+MATRIZ_174!O166)/3,0),"")</f>
        <v/>
      </c>
      <c r="U167" s="18" t="str">
        <f>IF(ISNUMBER(MATRIZ_174!M166),MIN(100,ROUND(MATRIZ_174!M166,1)),"")</f>
        <v/>
      </c>
      <c r="V167" s="18">
        <f t="shared" si="59"/>
        <v>50</v>
      </c>
      <c r="W167" s="18">
        <f>IFERROR(IF(MATRIZ_174!R166=0,65,IF(MATRIZ_174!R166/MATRIZ_174!Q166&gt;=2,35,IF(MATRIZ_174!R166/MATRIZ_174!Q166&gt;=0.5,50,65))),65)</f>
        <v>65</v>
      </c>
      <c r="X167" s="18" t="str">
        <f>IF(ISNUMBER(MATRIZ_174!O166),MIN(100,IF(MATRIZ_174!O166=0,70,30)+IF(MATRIZ_174!U166="",0,0.3*(100-MATRIZ_174!U166*100))),"")</f>
        <v/>
      </c>
      <c r="Y167" s="18">
        <f>IF(OR(MATRIZ_174!P166="ASOCIACION",MATRIZ_174!P166="PENDIENTE"),65,40)</f>
        <v>65</v>
      </c>
      <c r="Z167" s="19" t="str">
        <f t="shared" si="60"/>
        <v>—</v>
      </c>
      <c r="AA167" s="20">
        <f t="shared" si="61"/>
        <v>60</v>
      </c>
      <c r="AB167" s="21" t="str">
        <f t="shared" si="62"/>
        <v>—</v>
      </c>
      <c r="AC167" s="13" t="str">
        <f t="shared" si="63"/>
        <v>⬜  Pendiente de instrumento</v>
      </c>
      <c r="AD167" s="13" t="str">
        <f>IF(MATRIZ_174!U166="","",IF(MATRIZ_174!U166=0,"🚫  Inh. vigente OSCE",""))</f>
        <v/>
      </c>
      <c r="AE167" s="22">
        <f>IFERROR(MATRIZ_174!W166,0)</f>
        <v>0</v>
      </c>
      <c r="AF167" s="22">
        <f>IFERROR(MATRIZ_174!X166,0)</f>
        <v>0</v>
      </c>
      <c r="AG167" s="22">
        <f>IFERROR(MATRIZ_174!Y166,0)</f>
        <v>0</v>
      </c>
      <c r="AH167" s="22">
        <f>IFERROR(MATRIZ_174!Z166,0)</f>
        <v>0</v>
      </c>
      <c r="AI167" s="17">
        <f>IFERROR(MATRIZ_174!AP166,"N/A")</f>
        <v>0</v>
      </c>
      <c r="AJ167" s="17" t="str">
        <f>IFERROR(MATRIZ_174!AO166,"N/A")</f>
        <v>N/A</v>
      </c>
      <c r="AK167" s="23" t="str">
        <f t="shared" si="64"/>
        <v>N/A</v>
      </c>
      <c r="AL167" s="24" t="str">
        <f t="shared" si="65"/>
        <v>—</v>
      </c>
    </row>
    <row r="168" spans="1:38" ht="16.05" customHeight="1" x14ac:dyDescent="0.3">
      <c r="A168" s="13" t="s">
        <v>425</v>
      </c>
      <c r="B168" s="14" t="s">
        <v>426</v>
      </c>
      <c r="C168" s="13" t="s">
        <v>139</v>
      </c>
      <c r="D168" s="15">
        <v>0</v>
      </c>
      <c r="E168" s="16" t="str">
        <f>IF(NORMALIZADO!CB167="","",NORMALIZADO!CB167)</f>
        <v/>
      </c>
      <c r="F168" s="17" t="str">
        <f>IF(NORMALIZADO!CC167="","",NORMALIZADO!CC167)</f>
        <v/>
      </c>
      <c r="G168" s="17">
        <f>IF(NORMALIZADO!CD167="",IFERROR(MATRIZ_174!U167*100,""),NORMALIZADO!CD167)</f>
        <v>100</v>
      </c>
      <c r="H168" s="16" t="str">
        <f>IF(NORMALIZADO!CE167="","",NORMALIZADO!CE167)</f>
        <v/>
      </c>
      <c r="I168" s="17" t="str">
        <f>IF(NORMALIZADO!CF167="","",NORMALIZADO!CF167)</f>
        <v/>
      </c>
      <c r="J168" s="17" t="str">
        <f>IF(NORMALIZADO!CG167="","",NORMALIZADO!CG167)</f>
        <v/>
      </c>
      <c r="K168" s="16" t="str">
        <f>IF(NORMALIZADO!CH167="","",NORMALIZADO!CH167)</f>
        <v/>
      </c>
      <c r="L168" s="16" t="str">
        <f>IF(NORMALIZADO!CI167="","",NORMALIZADO!CI167)</f>
        <v/>
      </c>
      <c r="M168" s="16" t="str">
        <f>IF(NORMALIZADO!CJ167="","",NORMALIZADO!CJ167)</f>
        <v/>
      </c>
      <c r="N168" s="16" t="str">
        <f>IF(NORMALIZADO!CK167="","",NORMALIZADO!CK167)</f>
        <v/>
      </c>
      <c r="O168" s="16" t="str">
        <f>IF(NORMALIZADO!CL167="","",NORMALIZADO!CL167)</f>
        <v/>
      </c>
      <c r="P168" s="17" t="str">
        <f t="shared" si="55"/>
        <v/>
      </c>
      <c r="Q168" s="17">
        <f t="shared" si="56"/>
        <v>0</v>
      </c>
      <c r="R168" s="17">
        <f t="shared" si="57"/>
        <v>0</v>
      </c>
      <c r="S168" s="17">
        <f t="shared" si="58"/>
        <v>0</v>
      </c>
      <c r="T168" s="17" t="str">
        <f>IF(ISNUMBER(MATRIZ_174!O167),IFERROR((K168+M168+MATRIZ_174!O167)/3,0),"")</f>
        <v/>
      </c>
      <c r="U168" s="18">
        <f>IF(ISNUMBER(MATRIZ_174!M167),MIN(100,ROUND(MATRIZ_174!M167,1)),"")</f>
        <v>0</v>
      </c>
      <c r="V168" s="18">
        <f t="shared" si="59"/>
        <v>50</v>
      </c>
      <c r="W168" s="18">
        <f>IFERROR(IF(MATRIZ_174!R167=0,65,IF(MATRIZ_174!R167/MATRIZ_174!Q167&gt;=2,35,IF(MATRIZ_174!R167/MATRIZ_174!Q167&gt;=0.5,50,65))),65)</f>
        <v>65</v>
      </c>
      <c r="X168" s="18" t="str">
        <f>IF(ISNUMBER(MATRIZ_174!O167),MIN(100,IF(MATRIZ_174!O167=0,70,30)+IF(MATRIZ_174!U167="",0,0.3*(100-MATRIZ_174!U167*100))),"")</f>
        <v/>
      </c>
      <c r="Y168" s="18">
        <f>IF(OR(MATRIZ_174!P167="ASOCIACION",MATRIZ_174!P167="PENDIENTE"),65,40)</f>
        <v>65</v>
      </c>
      <c r="Z168" s="19" t="str">
        <f t="shared" si="60"/>
        <v>—</v>
      </c>
      <c r="AA168" s="20">
        <f t="shared" si="61"/>
        <v>45</v>
      </c>
      <c r="AB168" s="21" t="str">
        <f t="shared" si="62"/>
        <v>—</v>
      </c>
      <c r="AC168" s="13" t="str">
        <f t="shared" si="63"/>
        <v>⬜  Pendiente de instrumento</v>
      </c>
      <c r="AD168" s="13" t="str">
        <f>IF(MATRIZ_174!U167="","",IF(MATRIZ_174!U167=0,"🚫  Inh. vigente OSCE",""))</f>
        <v/>
      </c>
      <c r="AE168" s="22">
        <f>IFERROR(MATRIZ_174!W167,0)</f>
        <v>0</v>
      </c>
      <c r="AF168" s="22">
        <f>IFERROR(MATRIZ_174!X167,0)</f>
        <v>0</v>
      </c>
      <c r="AG168" s="22">
        <f>IFERROR(MATRIZ_174!Y167,0)</f>
        <v>0</v>
      </c>
      <c r="AH168" s="22">
        <f>IFERROR(MATRIZ_174!Z167,0)</f>
        <v>0</v>
      </c>
      <c r="AI168" s="17">
        <f>IFERROR(MATRIZ_174!AP167,"N/A")</f>
        <v>0</v>
      </c>
      <c r="AJ168" s="17" t="str">
        <f>IFERROR(MATRIZ_174!AO167,"N/A")</f>
        <v>N/A</v>
      </c>
      <c r="AK168" s="23" t="str">
        <f t="shared" si="64"/>
        <v>N/A</v>
      </c>
      <c r="AL168" s="24" t="str">
        <f t="shared" si="65"/>
        <v>—</v>
      </c>
    </row>
    <row r="169" spans="1:38" ht="16.05" customHeight="1" x14ac:dyDescent="0.3">
      <c r="A169" s="13" t="s">
        <v>427</v>
      </c>
      <c r="B169" s="14" t="s">
        <v>428</v>
      </c>
      <c r="C169" s="13" t="s">
        <v>112</v>
      </c>
      <c r="D169" s="15">
        <v>0</v>
      </c>
      <c r="E169" s="16" t="str">
        <f>IF(NORMALIZADO!CB168="","",NORMALIZADO!CB168)</f>
        <v/>
      </c>
      <c r="F169" s="17" t="str">
        <f>IF(NORMALIZADO!CC168="","",NORMALIZADO!CC168)</f>
        <v/>
      </c>
      <c r="G169" s="17">
        <f>IF(NORMALIZADO!CD168="",IFERROR(MATRIZ_174!U168*100,""),NORMALIZADO!CD168)</f>
        <v>100</v>
      </c>
      <c r="H169" s="16" t="str">
        <f>IF(NORMALIZADO!CE168="","",NORMALIZADO!CE168)</f>
        <v/>
      </c>
      <c r="I169" s="17" t="str">
        <f>IF(NORMALIZADO!CF168="","",NORMALIZADO!CF168)</f>
        <v/>
      </c>
      <c r="J169" s="17" t="str">
        <f>IF(NORMALIZADO!CG168="","",NORMALIZADO!CG168)</f>
        <v/>
      </c>
      <c r="K169" s="16" t="str">
        <f>IF(NORMALIZADO!CH168="","",NORMALIZADO!CH168)</f>
        <v/>
      </c>
      <c r="L169" s="16" t="str">
        <f>IF(NORMALIZADO!CI168="","",NORMALIZADO!CI168)</f>
        <v/>
      </c>
      <c r="M169" s="16" t="str">
        <f>IF(NORMALIZADO!CJ168="","",NORMALIZADO!CJ168)</f>
        <v/>
      </c>
      <c r="N169" s="16" t="str">
        <f>IF(NORMALIZADO!CK168="","",NORMALIZADO!CK168)</f>
        <v/>
      </c>
      <c r="O169" s="16" t="str">
        <f>IF(NORMALIZADO!CL168="","",NORMALIZADO!CL168)</f>
        <v/>
      </c>
      <c r="P169" s="17" t="str">
        <f t="shared" si="55"/>
        <v/>
      </c>
      <c r="Q169" s="17">
        <f t="shared" si="56"/>
        <v>0</v>
      </c>
      <c r="R169" s="17">
        <f t="shared" si="57"/>
        <v>0</v>
      </c>
      <c r="S169" s="17">
        <f t="shared" si="58"/>
        <v>0</v>
      </c>
      <c r="T169" s="17" t="str">
        <f>IF(ISNUMBER(MATRIZ_174!O168),IFERROR((K169+M169+MATRIZ_174!O168)/3,0),"")</f>
        <v/>
      </c>
      <c r="U169" s="18">
        <f>IF(ISNUMBER(MATRIZ_174!M168),MIN(100,ROUND(MATRIZ_174!M168,1)),"")</f>
        <v>0</v>
      </c>
      <c r="V169" s="18">
        <f t="shared" si="59"/>
        <v>50</v>
      </c>
      <c r="W169" s="18">
        <f>IFERROR(IF(MATRIZ_174!R168=0,65,IF(MATRIZ_174!R168/MATRIZ_174!Q168&gt;=2,35,IF(MATRIZ_174!R168/MATRIZ_174!Q168&gt;=0.5,50,65))),65)</f>
        <v>65</v>
      </c>
      <c r="X169" s="18" t="str">
        <f>IF(ISNUMBER(MATRIZ_174!O168),MIN(100,IF(MATRIZ_174!O168=0,70,30)+IF(MATRIZ_174!U168="",0,0.3*(100-MATRIZ_174!U168*100))),"")</f>
        <v/>
      </c>
      <c r="Y169" s="18">
        <f>IF(OR(MATRIZ_174!P168="ASOCIACION",MATRIZ_174!P168="PENDIENTE"),65,40)</f>
        <v>65</v>
      </c>
      <c r="Z169" s="19" t="str">
        <f t="shared" si="60"/>
        <v>—</v>
      </c>
      <c r="AA169" s="20">
        <f t="shared" si="61"/>
        <v>45</v>
      </c>
      <c r="AB169" s="21" t="str">
        <f t="shared" si="62"/>
        <v>—</v>
      </c>
      <c r="AC169" s="13" t="str">
        <f t="shared" si="63"/>
        <v>⬜  Pendiente de instrumento</v>
      </c>
      <c r="AD169" s="13" t="str">
        <f>IF(MATRIZ_174!U168="","",IF(MATRIZ_174!U168=0,"🚫  Inh. vigente OSCE",""))</f>
        <v/>
      </c>
      <c r="AE169" s="22">
        <f>IFERROR(MATRIZ_174!W168,0)</f>
        <v>0</v>
      </c>
      <c r="AF169" s="22">
        <f>IFERROR(MATRIZ_174!X168,0)</f>
        <v>0</v>
      </c>
      <c r="AG169" s="22">
        <f>IFERROR(MATRIZ_174!Y168,0)</f>
        <v>0</v>
      </c>
      <c r="AH169" s="22">
        <f>IFERROR(MATRIZ_174!Z168,0)</f>
        <v>0</v>
      </c>
      <c r="AI169" s="17">
        <f>IFERROR(MATRIZ_174!AP168,"N/A")</f>
        <v>0</v>
      </c>
      <c r="AJ169" s="17" t="str">
        <f>IFERROR(MATRIZ_174!AO168,"N/A")</f>
        <v>N/A</v>
      </c>
      <c r="AK169" s="23" t="str">
        <f t="shared" si="64"/>
        <v>N/A</v>
      </c>
      <c r="AL169" s="24" t="str">
        <f t="shared" si="65"/>
        <v>—</v>
      </c>
    </row>
    <row r="170" spans="1:38" ht="16.05" customHeight="1" x14ac:dyDescent="0.3">
      <c r="A170" s="13" t="s">
        <v>429</v>
      </c>
      <c r="B170" s="14" t="s">
        <v>430</v>
      </c>
      <c r="C170" s="13" t="s">
        <v>150</v>
      </c>
      <c r="D170" s="15">
        <v>0</v>
      </c>
      <c r="E170" s="16" t="str">
        <f>IF(NORMALIZADO!CB169="","",NORMALIZADO!CB169)</f>
        <v/>
      </c>
      <c r="F170" s="17" t="str">
        <f>IF(NORMALIZADO!CC169="","",NORMALIZADO!CC169)</f>
        <v/>
      </c>
      <c r="G170" s="17">
        <f>IF(NORMALIZADO!CD169="",IFERROR(MATRIZ_174!U169*100,""),NORMALIZADO!CD169)</f>
        <v>100</v>
      </c>
      <c r="H170" s="16" t="str">
        <f>IF(NORMALIZADO!CE169="","",NORMALIZADO!CE169)</f>
        <v/>
      </c>
      <c r="I170" s="17" t="str">
        <f>IF(NORMALIZADO!CF169="","",NORMALIZADO!CF169)</f>
        <v/>
      </c>
      <c r="J170" s="17" t="str">
        <f>IF(NORMALIZADO!CG169="","",NORMALIZADO!CG169)</f>
        <v/>
      </c>
      <c r="K170" s="16" t="str">
        <f>IF(NORMALIZADO!CH169="","",NORMALIZADO!CH169)</f>
        <v/>
      </c>
      <c r="L170" s="16" t="str">
        <f>IF(NORMALIZADO!CI169="","",NORMALIZADO!CI169)</f>
        <v/>
      </c>
      <c r="M170" s="16" t="str">
        <f>IF(NORMALIZADO!CJ169="","",NORMALIZADO!CJ169)</f>
        <v/>
      </c>
      <c r="N170" s="16" t="str">
        <f>IF(NORMALIZADO!CK169="","",NORMALIZADO!CK169)</f>
        <v/>
      </c>
      <c r="O170" s="16" t="str">
        <f>IF(NORMALIZADO!CL169="","",NORMALIZADO!CL169)</f>
        <v/>
      </c>
      <c r="P170" s="17" t="str">
        <f t="shared" si="55"/>
        <v/>
      </c>
      <c r="Q170" s="17">
        <f t="shared" si="56"/>
        <v>0</v>
      </c>
      <c r="R170" s="17">
        <f t="shared" si="57"/>
        <v>0</v>
      </c>
      <c r="S170" s="17">
        <f t="shared" si="58"/>
        <v>0</v>
      </c>
      <c r="T170" s="17" t="str">
        <f>IF(ISNUMBER(MATRIZ_174!O169),IFERROR((K170+M170+MATRIZ_174!O169)/3,0),"")</f>
        <v/>
      </c>
      <c r="U170" s="18" t="str">
        <f>IF(ISNUMBER(MATRIZ_174!M169),MIN(100,ROUND(MATRIZ_174!M169,1)),"")</f>
        <v/>
      </c>
      <c r="V170" s="18">
        <f t="shared" si="59"/>
        <v>50</v>
      </c>
      <c r="W170" s="18">
        <f>IFERROR(IF(MATRIZ_174!R169=0,65,IF(MATRIZ_174!R169/MATRIZ_174!Q169&gt;=2,35,IF(MATRIZ_174!R169/MATRIZ_174!Q169&gt;=0.5,50,65))),65)</f>
        <v>65</v>
      </c>
      <c r="X170" s="18" t="str">
        <f>IF(ISNUMBER(MATRIZ_174!O169),MIN(100,IF(MATRIZ_174!O169=0,70,30)+IF(MATRIZ_174!U169="",0,0.3*(100-MATRIZ_174!U169*100))),"")</f>
        <v/>
      </c>
      <c r="Y170" s="18">
        <f>IF(OR(MATRIZ_174!P169="ASOCIACION",MATRIZ_174!P169="PENDIENTE"),65,40)</f>
        <v>65</v>
      </c>
      <c r="Z170" s="19" t="str">
        <f t="shared" si="60"/>
        <v>—</v>
      </c>
      <c r="AA170" s="20">
        <f t="shared" si="61"/>
        <v>60</v>
      </c>
      <c r="AB170" s="21" t="str">
        <f t="shared" si="62"/>
        <v>—</v>
      </c>
      <c r="AC170" s="13" t="str">
        <f t="shared" si="63"/>
        <v>⬜  Pendiente de instrumento</v>
      </c>
      <c r="AD170" s="13" t="str">
        <f>IF(MATRIZ_174!U169="","",IF(MATRIZ_174!U169=0,"🚫  Inh. vigente OSCE",""))</f>
        <v/>
      </c>
      <c r="AE170" s="22">
        <f>IFERROR(MATRIZ_174!W169,0)</f>
        <v>0</v>
      </c>
      <c r="AF170" s="22">
        <f>IFERROR(MATRIZ_174!X169,0)</f>
        <v>0</v>
      </c>
      <c r="AG170" s="22">
        <f>IFERROR(MATRIZ_174!Y169,0)</f>
        <v>0</v>
      </c>
      <c r="AH170" s="22">
        <f>IFERROR(MATRIZ_174!Z169,0)</f>
        <v>0</v>
      </c>
      <c r="AI170" s="17">
        <f>IFERROR(MATRIZ_174!AP169,"N/A")</f>
        <v>0</v>
      </c>
      <c r="AJ170" s="17" t="str">
        <f>IFERROR(MATRIZ_174!AO169,"N/A")</f>
        <v>N/A</v>
      </c>
      <c r="AK170" s="23" t="str">
        <f t="shared" si="64"/>
        <v>N/A</v>
      </c>
      <c r="AL170" s="24" t="str">
        <f t="shared" si="65"/>
        <v>—</v>
      </c>
    </row>
    <row r="171" spans="1:38" ht="16.05" customHeight="1" x14ac:dyDescent="0.3">
      <c r="A171" s="13" t="s">
        <v>431</v>
      </c>
      <c r="B171" s="14" t="s">
        <v>432</v>
      </c>
      <c r="C171" s="13" t="s">
        <v>109</v>
      </c>
      <c r="D171" s="15">
        <v>0</v>
      </c>
      <c r="E171" s="16" t="str">
        <f>IF(NORMALIZADO!CB170="","",NORMALIZADO!CB170)</f>
        <v/>
      </c>
      <c r="F171" s="17" t="str">
        <f>IF(NORMALIZADO!CC170="","",NORMALIZADO!CC170)</f>
        <v/>
      </c>
      <c r="G171" s="17">
        <f>IF(NORMALIZADO!CD170="",IFERROR(MATRIZ_174!U170*100,""),NORMALIZADO!CD170)</f>
        <v>100</v>
      </c>
      <c r="H171" s="16" t="str">
        <f>IF(NORMALIZADO!CE170="","",NORMALIZADO!CE170)</f>
        <v/>
      </c>
      <c r="I171" s="17" t="str">
        <f>IF(NORMALIZADO!CF170="","",NORMALIZADO!CF170)</f>
        <v/>
      </c>
      <c r="J171" s="17" t="str">
        <f>IF(NORMALIZADO!CG170="","",NORMALIZADO!CG170)</f>
        <v/>
      </c>
      <c r="K171" s="16" t="str">
        <f>IF(NORMALIZADO!CH170="","",NORMALIZADO!CH170)</f>
        <v/>
      </c>
      <c r="L171" s="16" t="str">
        <f>IF(NORMALIZADO!CI170="","",NORMALIZADO!CI170)</f>
        <v/>
      </c>
      <c r="M171" s="16" t="str">
        <f>IF(NORMALIZADO!CJ170="","",NORMALIZADO!CJ170)</f>
        <v/>
      </c>
      <c r="N171" s="16" t="str">
        <f>IF(NORMALIZADO!CK170="","",NORMALIZADO!CK170)</f>
        <v/>
      </c>
      <c r="O171" s="16" t="str">
        <f>IF(NORMALIZADO!CL170="","",NORMALIZADO!CL170)</f>
        <v/>
      </c>
      <c r="P171" s="17" t="str">
        <f t="shared" si="55"/>
        <v/>
      </c>
      <c r="Q171" s="17">
        <f t="shared" si="56"/>
        <v>0</v>
      </c>
      <c r="R171" s="17">
        <f t="shared" si="57"/>
        <v>0</v>
      </c>
      <c r="S171" s="17">
        <f t="shared" si="58"/>
        <v>0</v>
      </c>
      <c r="T171" s="17" t="str">
        <f>IF(ISNUMBER(MATRIZ_174!O170),IFERROR((K171+M171+MATRIZ_174!O170)/3,0),"")</f>
        <v/>
      </c>
      <c r="U171" s="18">
        <f>IF(ISNUMBER(MATRIZ_174!M170),MIN(100,ROUND(MATRIZ_174!M170,1)),"")</f>
        <v>0</v>
      </c>
      <c r="V171" s="18">
        <f t="shared" si="59"/>
        <v>50</v>
      </c>
      <c r="W171" s="18">
        <f>IFERROR(IF(MATRIZ_174!R170=0,65,IF(MATRIZ_174!R170/MATRIZ_174!Q170&gt;=2,35,IF(MATRIZ_174!R170/MATRIZ_174!Q170&gt;=0.5,50,65))),65)</f>
        <v>65</v>
      </c>
      <c r="X171" s="18" t="str">
        <f>IF(ISNUMBER(MATRIZ_174!O170),MIN(100,IF(MATRIZ_174!O170=0,70,30)+IF(MATRIZ_174!U170="",0,0.3*(100-MATRIZ_174!U170*100))),"")</f>
        <v/>
      </c>
      <c r="Y171" s="18">
        <f>IF(OR(MATRIZ_174!P170="ASOCIACION",MATRIZ_174!P170="PENDIENTE"),65,40)</f>
        <v>65</v>
      </c>
      <c r="Z171" s="19" t="str">
        <f t="shared" si="60"/>
        <v>—</v>
      </c>
      <c r="AA171" s="20">
        <f t="shared" si="61"/>
        <v>45</v>
      </c>
      <c r="AB171" s="21" t="str">
        <f t="shared" si="62"/>
        <v>—</v>
      </c>
      <c r="AC171" s="13" t="str">
        <f t="shared" si="63"/>
        <v>⬜  Pendiente de instrumento</v>
      </c>
      <c r="AD171" s="13" t="str">
        <f>IF(MATRIZ_174!U170="","",IF(MATRIZ_174!U170=0,"🚫  Inh. vigente OSCE",""))</f>
        <v/>
      </c>
      <c r="AE171" s="22">
        <f>IFERROR(MATRIZ_174!W170,0)</f>
        <v>0</v>
      </c>
      <c r="AF171" s="22">
        <f>IFERROR(MATRIZ_174!X170,0)</f>
        <v>0</v>
      </c>
      <c r="AG171" s="22">
        <f>IFERROR(MATRIZ_174!Y170,0)</f>
        <v>0</v>
      </c>
      <c r="AH171" s="22">
        <f>IFERROR(MATRIZ_174!Z170,0)</f>
        <v>0</v>
      </c>
      <c r="AI171" s="17">
        <f>IFERROR(MATRIZ_174!AP170,"N/A")</f>
        <v>0</v>
      </c>
      <c r="AJ171" s="17" t="str">
        <f>IFERROR(MATRIZ_174!AO170,"N/A")</f>
        <v>N/A</v>
      </c>
      <c r="AK171" s="23" t="str">
        <f t="shared" si="64"/>
        <v>N/A</v>
      </c>
      <c r="AL171" s="24" t="str">
        <f t="shared" si="65"/>
        <v>—</v>
      </c>
    </row>
    <row r="172" spans="1:38" ht="16.05" customHeight="1" x14ac:dyDescent="0.3">
      <c r="A172" s="13" t="s">
        <v>433</v>
      </c>
      <c r="B172" s="14" t="s">
        <v>434</v>
      </c>
      <c r="C172" s="13" t="s">
        <v>139</v>
      </c>
      <c r="D172" s="15">
        <v>0</v>
      </c>
      <c r="E172" s="16" t="str">
        <f>IF(NORMALIZADO!CB171="","",NORMALIZADO!CB171)</f>
        <v/>
      </c>
      <c r="F172" s="17" t="str">
        <f>IF(NORMALIZADO!CC171="","",NORMALIZADO!CC171)</f>
        <v/>
      </c>
      <c r="G172" s="17">
        <f>IF(NORMALIZADO!CD171="",IFERROR(MATRIZ_174!U171*100,""),NORMALIZADO!CD171)</f>
        <v>100</v>
      </c>
      <c r="H172" s="16" t="str">
        <f>IF(NORMALIZADO!CE171="","",NORMALIZADO!CE171)</f>
        <v/>
      </c>
      <c r="I172" s="17" t="str">
        <f>IF(NORMALIZADO!CF171="","",NORMALIZADO!CF171)</f>
        <v/>
      </c>
      <c r="J172" s="17" t="str">
        <f>IF(NORMALIZADO!CG171="","",NORMALIZADO!CG171)</f>
        <v/>
      </c>
      <c r="K172" s="16" t="str">
        <f>IF(NORMALIZADO!CH171="","",NORMALIZADO!CH171)</f>
        <v/>
      </c>
      <c r="L172" s="16" t="str">
        <f>IF(NORMALIZADO!CI171="","",NORMALIZADO!CI171)</f>
        <v/>
      </c>
      <c r="M172" s="16" t="str">
        <f>IF(NORMALIZADO!CJ171="","",NORMALIZADO!CJ171)</f>
        <v/>
      </c>
      <c r="N172" s="16" t="str">
        <f>IF(NORMALIZADO!CK171="","",NORMALIZADO!CK171)</f>
        <v/>
      </c>
      <c r="O172" s="16" t="str">
        <f>IF(NORMALIZADO!CL171="","",NORMALIZADO!CL171)</f>
        <v/>
      </c>
      <c r="P172" s="17" t="str">
        <f t="shared" si="55"/>
        <v/>
      </c>
      <c r="Q172" s="17">
        <f t="shared" si="56"/>
        <v>0</v>
      </c>
      <c r="R172" s="17">
        <f t="shared" si="57"/>
        <v>0</v>
      </c>
      <c r="S172" s="17">
        <f t="shared" si="58"/>
        <v>0</v>
      </c>
      <c r="T172" s="17">
        <f>IF(ISNUMBER(MATRIZ_174!O171),IFERROR((K172+M172+MATRIZ_174!O171)/3,0),"")</f>
        <v>0</v>
      </c>
      <c r="U172" s="18" t="str">
        <f>IF(ISNUMBER(MATRIZ_174!M171),MIN(100,ROUND(MATRIZ_174!M171,1)),"")</f>
        <v/>
      </c>
      <c r="V172" s="18">
        <f t="shared" si="59"/>
        <v>50</v>
      </c>
      <c r="W172" s="18">
        <f>IFERROR(IF(MATRIZ_174!R171=0,65,IF(MATRIZ_174!R171/MATRIZ_174!Q171&gt;=2,35,IF(MATRIZ_174!R171/MATRIZ_174!Q171&gt;=0.5,50,65))),65)</f>
        <v>50</v>
      </c>
      <c r="X172" s="18">
        <f>IF(ISNUMBER(MATRIZ_174!O171),MIN(100,IF(MATRIZ_174!O171=0,70,30)+IF(MATRIZ_174!U171="",0,0.3*(100-MATRIZ_174!U171*100))),"")</f>
        <v>30</v>
      </c>
      <c r="Y172" s="18">
        <f>IF(OR(MATRIZ_174!P171="ASOCIACION",MATRIZ_174!P171="PENDIENTE"),65,40)</f>
        <v>65</v>
      </c>
      <c r="Z172" s="19" t="str">
        <f t="shared" si="60"/>
        <v>—</v>
      </c>
      <c r="AA172" s="20">
        <f t="shared" si="61"/>
        <v>48.8</v>
      </c>
      <c r="AB172" s="21" t="str">
        <f t="shared" si="62"/>
        <v>—</v>
      </c>
      <c r="AC172" s="13" t="str">
        <f t="shared" si="63"/>
        <v>⬜  Pendiente de instrumento</v>
      </c>
      <c r="AD172" s="13" t="str">
        <f>IF(MATRIZ_174!U171="","",IF(MATRIZ_174!U171=0,"🚫  Inh. vigente OSCE",""))</f>
        <v/>
      </c>
      <c r="AE172" s="22">
        <f>IFERROR(MATRIZ_174!W171,0)</f>
        <v>1</v>
      </c>
      <c r="AF172" s="22">
        <f>IFERROR(MATRIZ_174!X171,0)</f>
        <v>0</v>
      </c>
      <c r="AG172" s="22">
        <f>IFERROR(MATRIZ_174!Y171,0)</f>
        <v>0</v>
      </c>
      <c r="AH172" s="22">
        <f>IFERROR(MATRIZ_174!Z171,0)</f>
        <v>0</v>
      </c>
      <c r="AI172" s="17">
        <f>IFERROR(MATRIZ_174!AP171,"N/A")</f>
        <v>0.26071428571428573</v>
      </c>
      <c r="AJ172" s="17" t="str">
        <f>IFERROR(MATRIZ_174!AO171,"N/A")</f>
        <v>N/A</v>
      </c>
      <c r="AK172" s="23" t="str">
        <f t="shared" si="64"/>
        <v>N/A</v>
      </c>
      <c r="AL172" s="24" t="str">
        <f t="shared" si="65"/>
        <v>—</v>
      </c>
    </row>
    <row r="173" spans="1:38" ht="16.05" customHeight="1" x14ac:dyDescent="0.3">
      <c r="A173" s="13" t="s">
        <v>435</v>
      </c>
      <c r="B173" s="14" t="s">
        <v>436</v>
      </c>
      <c r="C173" s="13" t="s">
        <v>112</v>
      </c>
      <c r="D173" s="15">
        <v>0</v>
      </c>
      <c r="E173" s="16" t="str">
        <f>IF(NORMALIZADO!CB172="","",NORMALIZADO!CB172)</f>
        <v/>
      </c>
      <c r="F173" s="17" t="str">
        <f>IF(NORMALIZADO!CC172="","",NORMALIZADO!CC172)</f>
        <v/>
      </c>
      <c r="G173" s="17">
        <f>IF(NORMALIZADO!CD172="",IFERROR(MATRIZ_174!U172*100,""),NORMALIZADO!CD172)</f>
        <v>100</v>
      </c>
      <c r="H173" s="16" t="str">
        <f>IF(NORMALIZADO!CE172="","",NORMALIZADO!CE172)</f>
        <v/>
      </c>
      <c r="I173" s="17" t="str">
        <f>IF(NORMALIZADO!CF172="","",NORMALIZADO!CF172)</f>
        <v/>
      </c>
      <c r="J173" s="17" t="str">
        <f>IF(NORMALIZADO!CG172="","",NORMALIZADO!CG172)</f>
        <v/>
      </c>
      <c r="K173" s="16" t="str">
        <f>IF(NORMALIZADO!CH172="","",NORMALIZADO!CH172)</f>
        <v/>
      </c>
      <c r="L173" s="16" t="str">
        <f>IF(NORMALIZADO!CI172="","",NORMALIZADO!CI172)</f>
        <v/>
      </c>
      <c r="M173" s="16" t="str">
        <f>IF(NORMALIZADO!CJ172="","",NORMALIZADO!CJ172)</f>
        <v/>
      </c>
      <c r="N173" s="16" t="str">
        <f>IF(NORMALIZADO!CK172="","",NORMALIZADO!CK172)</f>
        <v/>
      </c>
      <c r="O173" s="16" t="str">
        <f>IF(NORMALIZADO!CL172="","",NORMALIZADO!CL172)</f>
        <v/>
      </c>
      <c r="P173" s="17" t="str">
        <f t="shared" si="55"/>
        <v/>
      </c>
      <c r="Q173" s="17">
        <f t="shared" si="56"/>
        <v>0</v>
      </c>
      <c r="R173" s="17">
        <f t="shared" si="57"/>
        <v>0</v>
      </c>
      <c r="S173" s="17">
        <f t="shared" si="58"/>
        <v>0</v>
      </c>
      <c r="T173" s="17" t="str">
        <f>IF(ISNUMBER(MATRIZ_174!O172),IFERROR((K173+M173+MATRIZ_174!O172)/3,0),"")</f>
        <v/>
      </c>
      <c r="U173" s="18" t="str">
        <f>IF(ISNUMBER(MATRIZ_174!M172),MIN(100,ROUND(MATRIZ_174!M172,1)),"")</f>
        <v/>
      </c>
      <c r="V173" s="18">
        <f t="shared" si="59"/>
        <v>50</v>
      </c>
      <c r="W173" s="18">
        <f>IFERROR(IF(MATRIZ_174!R172=0,65,IF(MATRIZ_174!R172/MATRIZ_174!Q172&gt;=2,35,IF(MATRIZ_174!R172/MATRIZ_174!Q172&gt;=0.5,50,65))),65)</f>
        <v>65</v>
      </c>
      <c r="X173" s="18" t="str">
        <f>IF(ISNUMBER(MATRIZ_174!O172),MIN(100,IF(MATRIZ_174!O172=0,70,30)+IF(MATRIZ_174!U172="",0,0.3*(100-MATRIZ_174!U172*100))),"")</f>
        <v/>
      </c>
      <c r="Y173" s="18">
        <f>IF(OR(MATRIZ_174!P172="ASOCIACION",MATRIZ_174!P172="PENDIENTE"),65,40)</f>
        <v>65</v>
      </c>
      <c r="Z173" s="19" t="str">
        <f t="shared" si="60"/>
        <v>—</v>
      </c>
      <c r="AA173" s="20">
        <f t="shared" si="61"/>
        <v>60</v>
      </c>
      <c r="AB173" s="21" t="str">
        <f t="shared" si="62"/>
        <v>—</v>
      </c>
      <c r="AC173" s="13" t="str">
        <f t="shared" si="63"/>
        <v>⬜  Pendiente de instrumento</v>
      </c>
      <c r="AD173" s="13" t="str">
        <f>IF(MATRIZ_174!U172="","",IF(MATRIZ_174!U172=0,"🚫  Inh. vigente OSCE",""))</f>
        <v/>
      </c>
      <c r="AE173" s="22">
        <f>IFERROR(MATRIZ_174!W172,0)</f>
        <v>0</v>
      </c>
      <c r="AF173" s="22">
        <f>IFERROR(MATRIZ_174!X172,0)</f>
        <v>0</v>
      </c>
      <c r="AG173" s="22">
        <f>IFERROR(MATRIZ_174!Y172,0)</f>
        <v>0</v>
      </c>
      <c r="AH173" s="22">
        <f>IFERROR(MATRIZ_174!Z172,0)</f>
        <v>0</v>
      </c>
      <c r="AI173" s="17">
        <f>IFERROR(MATRIZ_174!AP172,"N/A")</f>
        <v>0</v>
      </c>
      <c r="AJ173" s="17" t="str">
        <f>IFERROR(MATRIZ_174!AO172,"N/A")</f>
        <v>N/A</v>
      </c>
      <c r="AK173" s="23" t="str">
        <f t="shared" si="64"/>
        <v>N/A</v>
      </c>
      <c r="AL173" s="24" t="str">
        <f t="shared" si="65"/>
        <v>—</v>
      </c>
    </row>
    <row r="174" spans="1:38" ht="16.05" customHeight="1" x14ac:dyDescent="0.3">
      <c r="A174" s="13" t="s">
        <v>437</v>
      </c>
      <c r="B174" s="14" t="s">
        <v>438</v>
      </c>
      <c r="C174" s="13" t="s">
        <v>179</v>
      </c>
      <c r="D174" s="15">
        <v>0</v>
      </c>
      <c r="E174" s="16" t="str">
        <f>IF(NORMALIZADO!CB173="","",NORMALIZADO!CB173)</f>
        <v/>
      </c>
      <c r="F174" s="17" t="str">
        <f>IF(NORMALIZADO!CC173="","",NORMALIZADO!CC173)</f>
        <v/>
      </c>
      <c r="G174" s="17">
        <f>IF(NORMALIZADO!CD173="",IFERROR(MATRIZ_174!U173*100,""),NORMALIZADO!CD173)</f>
        <v>100</v>
      </c>
      <c r="H174" s="16" t="str">
        <f>IF(NORMALIZADO!CE173="","",NORMALIZADO!CE173)</f>
        <v/>
      </c>
      <c r="I174" s="17" t="str">
        <f>IF(NORMALIZADO!CF173="","",NORMALIZADO!CF173)</f>
        <v/>
      </c>
      <c r="J174" s="17" t="str">
        <f>IF(NORMALIZADO!CG173="","",NORMALIZADO!CG173)</f>
        <v/>
      </c>
      <c r="K174" s="16" t="str">
        <f>IF(NORMALIZADO!CH173="","",NORMALIZADO!CH173)</f>
        <v/>
      </c>
      <c r="L174" s="16" t="str">
        <f>IF(NORMALIZADO!CI173="","",NORMALIZADO!CI173)</f>
        <v/>
      </c>
      <c r="M174" s="16" t="str">
        <f>IF(NORMALIZADO!CJ173="","",NORMALIZADO!CJ173)</f>
        <v/>
      </c>
      <c r="N174" s="16" t="str">
        <f>IF(NORMALIZADO!CK173="","",NORMALIZADO!CK173)</f>
        <v/>
      </c>
      <c r="O174" s="16" t="str">
        <f>IF(NORMALIZADO!CL173="","",NORMALIZADO!CL173)</f>
        <v/>
      </c>
      <c r="P174" s="17" t="str">
        <f t="shared" si="55"/>
        <v/>
      </c>
      <c r="Q174" s="17">
        <f t="shared" si="56"/>
        <v>0</v>
      </c>
      <c r="R174" s="17">
        <f t="shared" si="57"/>
        <v>0</v>
      </c>
      <c r="S174" s="17">
        <f t="shared" si="58"/>
        <v>0</v>
      </c>
      <c r="T174" s="17" t="str">
        <f>IF(ISNUMBER(MATRIZ_174!O173),IFERROR((K174+M174+MATRIZ_174!O173)/3,0),"")</f>
        <v/>
      </c>
      <c r="U174" s="18" t="str">
        <f>IF(ISNUMBER(MATRIZ_174!M173),MIN(100,ROUND(MATRIZ_174!M173,1)),"")</f>
        <v/>
      </c>
      <c r="V174" s="18">
        <f t="shared" si="59"/>
        <v>50</v>
      </c>
      <c r="W174" s="18">
        <f>IFERROR(IF(MATRIZ_174!R173=0,65,IF(MATRIZ_174!R173/MATRIZ_174!Q173&gt;=2,35,IF(MATRIZ_174!R173/MATRIZ_174!Q173&gt;=0.5,50,65))),65)</f>
        <v>65</v>
      </c>
      <c r="X174" s="18" t="str">
        <f>IF(ISNUMBER(MATRIZ_174!O173),MIN(100,IF(MATRIZ_174!O173=0,70,30)+IF(MATRIZ_174!U173="",0,0.3*(100-MATRIZ_174!U173*100))),"")</f>
        <v/>
      </c>
      <c r="Y174" s="18">
        <f>IF(OR(MATRIZ_174!P173="ASOCIACION",MATRIZ_174!P173="PENDIENTE"),65,40)</f>
        <v>65</v>
      </c>
      <c r="Z174" s="19" t="str">
        <f t="shared" si="60"/>
        <v>—</v>
      </c>
      <c r="AA174" s="20">
        <f t="shared" si="61"/>
        <v>60</v>
      </c>
      <c r="AB174" s="21" t="str">
        <f t="shared" si="62"/>
        <v>—</v>
      </c>
      <c r="AC174" s="13" t="str">
        <f t="shared" si="63"/>
        <v>⬜  Pendiente de instrumento</v>
      </c>
      <c r="AD174" s="13" t="str">
        <f>IF(MATRIZ_174!U173="","",IF(MATRIZ_174!U173=0,"🚫  Inh. vigente OSCE",""))</f>
        <v/>
      </c>
      <c r="AE174" s="22">
        <f>IFERROR(MATRIZ_174!W173,0)</f>
        <v>0</v>
      </c>
      <c r="AF174" s="22">
        <f>IFERROR(MATRIZ_174!X173,0)</f>
        <v>0</v>
      </c>
      <c r="AG174" s="22">
        <f>IFERROR(MATRIZ_174!Y173,0)</f>
        <v>0</v>
      </c>
      <c r="AH174" s="22">
        <f>IFERROR(MATRIZ_174!Z173,0)</f>
        <v>0</v>
      </c>
      <c r="AI174" s="17">
        <f>IFERROR(MATRIZ_174!AP173,"N/A")</f>
        <v>0</v>
      </c>
      <c r="AJ174" s="17" t="str">
        <f>IFERROR(MATRIZ_174!AO173,"N/A")</f>
        <v>N/A</v>
      </c>
      <c r="AK174" s="23" t="str">
        <f t="shared" si="64"/>
        <v>N/A</v>
      </c>
      <c r="AL174" s="24" t="str">
        <f t="shared" si="65"/>
        <v>—</v>
      </c>
    </row>
    <row r="175" spans="1:38" ht="16.05" customHeight="1" x14ac:dyDescent="0.3">
      <c r="A175" s="13" t="s">
        <v>439</v>
      </c>
      <c r="B175" s="14"/>
      <c r="C175" s="13"/>
      <c r="D175" s="15">
        <v>0</v>
      </c>
      <c r="E175" s="16" t="str">
        <f>IF(NORMALIZADO!CB174="","",NORMALIZADO!CB174)</f>
        <v/>
      </c>
      <c r="F175" s="17" t="str">
        <f>IF(NORMALIZADO!CC174="","",NORMALIZADO!CC174)</f>
        <v/>
      </c>
      <c r="G175" s="17">
        <f>IF(NORMALIZADO!CD174="",IFERROR(MATRIZ_174!U174*100,""),NORMALIZADO!CD174)</f>
        <v>100</v>
      </c>
      <c r="H175" s="16" t="str">
        <f>IF(NORMALIZADO!CE174="","",NORMALIZADO!CE174)</f>
        <v/>
      </c>
      <c r="I175" s="17" t="str">
        <f>IF(NORMALIZADO!CF174="","",NORMALIZADO!CF174)</f>
        <v/>
      </c>
      <c r="J175" s="17" t="str">
        <f>IF(NORMALIZADO!CG174="","",NORMALIZADO!CG174)</f>
        <v/>
      </c>
      <c r="K175" s="16" t="str">
        <f>IF(NORMALIZADO!CH174="","",NORMALIZADO!CH174)</f>
        <v/>
      </c>
      <c r="L175" s="16" t="str">
        <f>IF(NORMALIZADO!CI174="","",NORMALIZADO!CI174)</f>
        <v/>
      </c>
      <c r="M175" s="16" t="str">
        <f>IF(NORMALIZADO!CJ174="","",NORMALIZADO!CJ174)</f>
        <v/>
      </c>
      <c r="N175" s="16" t="str">
        <f>IF(NORMALIZADO!CK174="","",NORMALIZADO!CK174)</f>
        <v/>
      </c>
      <c r="O175" s="16" t="str">
        <f>IF(NORMALIZADO!CL174="","",NORMALIZADO!CL174)</f>
        <v/>
      </c>
      <c r="P175" s="17" t="str">
        <f t="shared" si="55"/>
        <v/>
      </c>
      <c r="Q175" s="17">
        <f t="shared" si="56"/>
        <v>0</v>
      </c>
      <c r="R175" s="17">
        <f t="shared" si="57"/>
        <v>0</v>
      </c>
      <c r="S175" s="17">
        <f t="shared" si="58"/>
        <v>0</v>
      </c>
      <c r="T175" s="17" t="str">
        <f>IF(ISNUMBER(MATRIZ_174!O174),IFERROR((K175+M175+MATRIZ_174!O174)/3,0),"")</f>
        <v/>
      </c>
      <c r="U175" s="18" t="str">
        <f>IF(ISNUMBER(MATRIZ_174!M174),MIN(100,ROUND(MATRIZ_174!M174,1)),"")</f>
        <v/>
      </c>
      <c r="V175" s="18">
        <f t="shared" si="59"/>
        <v>50</v>
      </c>
      <c r="W175" s="18">
        <f>IFERROR(IF(MATRIZ_174!R174=0,65,IF(MATRIZ_174!R174/MATRIZ_174!Q174&gt;=2,35,IF(MATRIZ_174!R174/MATRIZ_174!Q174&gt;=0.5,50,65))),65)</f>
        <v>65</v>
      </c>
      <c r="X175" s="18" t="str">
        <f>IF(ISNUMBER(MATRIZ_174!O174),MIN(100,IF(MATRIZ_174!O174=0,70,30)+IF(MATRIZ_174!U174="",0,0.3*(100-MATRIZ_174!U174*100))),"")</f>
        <v/>
      </c>
      <c r="Y175" s="18">
        <f>IF(OR(MATRIZ_174!P174="ASOCIACION",MATRIZ_174!P174="PENDIENTE"),65,40)</f>
        <v>65</v>
      </c>
      <c r="Z175" s="19" t="str">
        <f t="shared" si="60"/>
        <v>—</v>
      </c>
      <c r="AA175" s="20">
        <f t="shared" si="61"/>
        <v>60</v>
      </c>
      <c r="AB175" s="21" t="str">
        <f t="shared" si="62"/>
        <v>—</v>
      </c>
      <c r="AC175" s="13" t="str">
        <f t="shared" si="63"/>
        <v>⬜  Pendiente de instrumento</v>
      </c>
      <c r="AD175" s="13" t="str">
        <f>IF(MATRIZ_174!U174="","",IF(MATRIZ_174!U174=0,"🚫  Inh. vigente OSCE",""))</f>
        <v/>
      </c>
      <c r="AE175" s="22">
        <f>IFERROR(MATRIZ_174!W174,0)</f>
        <v>0</v>
      </c>
      <c r="AF175" s="22">
        <f>IFERROR(MATRIZ_174!X174,0)</f>
        <v>0</v>
      </c>
      <c r="AG175" s="22">
        <f>IFERROR(MATRIZ_174!Y174,0)</f>
        <v>0</v>
      </c>
      <c r="AH175" s="22">
        <f>IFERROR(MATRIZ_174!Z174,0)</f>
        <v>0</v>
      </c>
      <c r="AI175" s="17">
        <f>IFERROR(MATRIZ_174!AP174,"N/A")</f>
        <v>0</v>
      </c>
      <c r="AJ175" s="17" t="str">
        <f>IFERROR(MATRIZ_174!AO174,"N/A")</f>
        <v>N/A</v>
      </c>
      <c r="AK175" s="23" t="str">
        <f t="shared" si="64"/>
        <v>N/A</v>
      </c>
      <c r="AL175" s="24" t="str">
        <f t="shared" si="65"/>
        <v>—</v>
      </c>
    </row>
    <row r="176" spans="1:38" ht="16.05" customHeight="1" x14ac:dyDescent="0.3">
      <c r="A176" s="13" t="s">
        <v>441</v>
      </c>
      <c r="B176" s="14" t="s">
        <v>442</v>
      </c>
      <c r="C176" s="13" t="s">
        <v>109</v>
      </c>
      <c r="D176" s="15">
        <v>3861667.52</v>
      </c>
      <c r="E176" s="16" t="str">
        <f>IF(NORMALIZADO!CB175="","",NORMALIZADO!CB175)</f>
        <v/>
      </c>
      <c r="F176" s="17" t="str">
        <f>IF(NORMALIZADO!CC175="","",NORMALIZADO!CC175)</f>
        <v/>
      </c>
      <c r="G176" s="17">
        <f>IF(NORMALIZADO!CD175="",IFERROR(MATRIZ_174!U175*100,""),NORMALIZADO!CD175)</f>
        <v>100</v>
      </c>
      <c r="H176" s="16" t="str">
        <f>IF(NORMALIZADO!CE175="","",NORMALIZADO!CE175)</f>
        <v/>
      </c>
      <c r="I176" s="17" t="str">
        <f>IF(NORMALIZADO!CF175="","",NORMALIZADO!CF175)</f>
        <v/>
      </c>
      <c r="J176" s="17" t="str">
        <f>IF(NORMALIZADO!CG175="","",NORMALIZADO!CG175)</f>
        <v/>
      </c>
      <c r="K176" s="16" t="str">
        <f>IF(NORMALIZADO!CH175="","",NORMALIZADO!CH175)</f>
        <v/>
      </c>
      <c r="L176" s="16" t="str">
        <f>IF(NORMALIZADO!CI175="","",NORMALIZADO!CI175)</f>
        <v/>
      </c>
      <c r="M176" s="16" t="str">
        <f>IF(NORMALIZADO!CJ175="","",NORMALIZADO!CJ175)</f>
        <v/>
      </c>
      <c r="N176" s="16" t="str">
        <f>IF(NORMALIZADO!CK175="","",NORMALIZADO!CK175)</f>
        <v/>
      </c>
      <c r="O176" s="16" t="str">
        <f>IF(NORMALIZADO!CL175="","",NORMALIZADO!CL175)</f>
        <v/>
      </c>
      <c r="P176" s="17" t="str">
        <f t="shared" si="55"/>
        <v/>
      </c>
      <c r="Q176" s="17">
        <f t="shared" si="56"/>
        <v>0</v>
      </c>
      <c r="R176" s="17">
        <f t="shared" si="57"/>
        <v>0</v>
      </c>
      <c r="S176" s="17">
        <f t="shared" si="58"/>
        <v>0</v>
      </c>
      <c r="T176" s="17" t="str">
        <f>IF(ISNUMBER(MATRIZ_174!O175),IFERROR((K176+M176+MATRIZ_174!O175)/3,0),"")</f>
        <v/>
      </c>
      <c r="U176" s="18">
        <f>IF(ISNUMBER(MATRIZ_174!M175),MIN(100,ROUND(MATRIZ_174!M175,1)),"")</f>
        <v>50</v>
      </c>
      <c r="V176" s="18">
        <f t="shared" si="59"/>
        <v>50</v>
      </c>
      <c r="W176" s="18">
        <f>IFERROR(IF(MATRIZ_174!R175=0,65,IF(MATRIZ_174!R175/MATRIZ_174!Q175&gt;=2,35,IF(MATRIZ_174!R175/MATRIZ_174!Q175&gt;=0.5,50,65))),65)</f>
        <v>65</v>
      </c>
      <c r="X176" s="18" t="str">
        <f>IF(ISNUMBER(MATRIZ_174!O175),MIN(100,IF(MATRIZ_174!O175=0,70,30)+IF(MATRIZ_174!U175="",0,0.3*(100-MATRIZ_174!U175*100))),"")</f>
        <v/>
      </c>
      <c r="Y176" s="18">
        <f>IF(OR(MATRIZ_174!P175="ASOCIACION",MATRIZ_174!P175="PENDIENTE"),65,40)</f>
        <v>65</v>
      </c>
      <c r="Z176" s="19" t="str">
        <f t="shared" si="60"/>
        <v>—</v>
      </c>
      <c r="AA176" s="20">
        <f t="shared" si="61"/>
        <v>57.5</v>
      </c>
      <c r="AB176" s="21" t="str">
        <f t="shared" si="62"/>
        <v>—</v>
      </c>
      <c r="AC176" s="13" t="str">
        <f t="shared" si="63"/>
        <v>⬜  Pendiente de instrumento</v>
      </c>
      <c r="AD176" s="13" t="str">
        <f>IF(MATRIZ_174!U175="","",IF(MATRIZ_174!U175=0,"🚫  Inh. vigente OSCE",""))</f>
        <v/>
      </c>
      <c r="AE176" s="22">
        <f>IFERROR(MATRIZ_174!W175,0)</f>
        <v>1</v>
      </c>
      <c r="AF176" s="22">
        <f>IFERROR(MATRIZ_174!X175,0)</f>
        <v>0</v>
      </c>
      <c r="AG176" s="22">
        <f>IFERROR(MATRIZ_174!Y175,0)</f>
        <v>0</v>
      </c>
      <c r="AH176" s="22">
        <f>IFERROR(MATRIZ_174!Z175,0)</f>
        <v>0</v>
      </c>
      <c r="AI176" s="17">
        <f>IFERROR(MATRIZ_174!AP175,"N/A")</f>
        <v>0.3125</v>
      </c>
      <c r="AJ176" s="17" t="str">
        <f>IFERROR(MATRIZ_174!AO175,"N/A")</f>
        <v>N/A</v>
      </c>
      <c r="AK176" s="23" t="str">
        <f t="shared" si="64"/>
        <v>N/A</v>
      </c>
      <c r="AL176" s="24" t="str">
        <f t="shared" si="65"/>
        <v>—</v>
      </c>
    </row>
    <row r="177" spans="1:38" ht="16.05" customHeight="1" x14ac:dyDescent="0.3">
      <c r="A177" s="13" t="s">
        <v>443</v>
      </c>
      <c r="B177" s="14" t="s">
        <v>444</v>
      </c>
      <c r="C177" s="13" t="s">
        <v>112</v>
      </c>
      <c r="D177" s="15">
        <v>0</v>
      </c>
      <c r="E177" s="16" t="str">
        <f>IF(NORMALIZADO!CB176="","",NORMALIZADO!CB176)</f>
        <v/>
      </c>
      <c r="F177" s="17" t="str">
        <f>IF(NORMALIZADO!CC176="","",NORMALIZADO!CC176)</f>
        <v/>
      </c>
      <c r="G177" s="17">
        <f>IF(NORMALIZADO!CD176="",IFERROR(MATRIZ_174!U176*100,""),NORMALIZADO!CD176)</f>
        <v>100</v>
      </c>
      <c r="H177" s="16" t="str">
        <f>IF(NORMALIZADO!CE176="","",NORMALIZADO!CE176)</f>
        <v/>
      </c>
      <c r="I177" s="17" t="str">
        <f>IF(NORMALIZADO!CF176="","",NORMALIZADO!CF176)</f>
        <v/>
      </c>
      <c r="J177" s="17" t="str">
        <f>IF(NORMALIZADO!CG176="","",NORMALIZADO!CG176)</f>
        <v/>
      </c>
      <c r="K177" s="16" t="str">
        <f>IF(NORMALIZADO!CH176="","",NORMALIZADO!CH176)</f>
        <v/>
      </c>
      <c r="L177" s="16" t="str">
        <f>IF(NORMALIZADO!CI176="","",NORMALIZADO!CI176)</f>
        <v/>
      </c>
      <c r="M177" s="16" t="str">
        <f>IF(NORMALIZADO!CJ176="","",NORMALIZADO!CJ176)</f>
        <v/>
      </c>
      <c r="N177" s="16" t="str">
        <f>IF(NORMALIZADO!CK176="","",NORMALIZADO!CK176)</f>
        <v/>
      </c>
      <c r="O177" s="16" t="str">
        <f>IF(NORMALIZADO!CL176="","",NORMALIZADO!CL176)</f>
        <v/>
      </c>
      <c r="P177" s="17" t="str">
        <f t="shared" si="55"/>
        <v/>
      </c>
      <c r="Q177" s="17">
        <f t="shared" si="56"/>
        <v>0</v>
      </c>
      <c r="R177" s="17">
        <f t="shared" si="57"/>
        <v>0</v>
      </c>
      <c r="S177" s="17">
        <f t="shared" si="58"/>
        <v>0</v>
      </c>
      <c r="T177" s="17" t="str">
        <f>IF(ISNUMBER(MATRIZ_174!O176),IFERROR((K177+M177+MATRIZ_174!O176)/3,0),"")</f>
        <v/>
      </c>
      <c r="U177" s="18">
        <f>IF(ISNUMBER(MATRIZ_174!M176),MIN(100,ROUND(MATRIZ_174!M176,1)),"")</f>
        <v>0</v>
      </c>
      <c r="V177" s="18">
        <f t="shared" si="59"/>
        <v>50</v>
      </c>
      <c r="W177" s="18">
        <f>IFERROR(IF(MATRIZ_174!R176=0,65,IF(MATRIZ_174!R176/MATRIZ_174!Q176&gt;=2,35,IF(MATRIZ_174!R176/MATRIZ_174!Q176&gt;=0.5,50,65))),65)</f>
        <v>65</v>
      </c>
      <c r="X177" s="18" t="str">
        <f>IF(ISNUMBER(MATRIZ_174!O176),MIN(100,IF(MATRIZ_174!O176=0,70,30)+IF(MATRIZ_174!U176="",0,0.3*(100-MATRIZ_174!U176*100))),"")</f>
        <v/>
      </c>
      <c r="Y177" s="18">
        <f>IF(OR(MATRIZ_174!P176="ASOCIACION",MATRIZ_174!P176="PENDIENTE"),65,40)</f>
        <v>65</v>
      </c>
      <c r="Z177" s="19" t="str">
        <f t="shared" si="60"/>
        <v>—</v>
      </c>
      <c r="AA177" s="20">
        <f t="shared" si="61"/>
        <v>45</v>
      </c>
      <c r="AB177" s="21" t="str">
        <f t="shared" si="62"/>
        <v>—</v>
      </c>
      <c r="AC177" s="13" t="str">
        <f t="shared" si="63"/>
        <v>⬜  Pendiente de instrumento</v>
      </c>
      <c r="AD177" s="13" t="str">
        <f>IF(MATRIZ_174!U176="","",IF(MATRIZ_174!U176=0,"🚫  Inh. vigente OSCE",""))</f>
        <v/>
      </c>
      <c r="AE177" s="22">
        <f>IFERROR(MATRIZ_174!W176,0)</f>
        <v>0</v>
      </c>
      <c r="AF177" s="22">
        <f>IFERROR(MATRIZ_174!X176,0)</f>
        <v>0</v>
      </c>
      <c r="AG177" s="22">
        <f>IFERROR(MATRIZ_174!Y176,0)</f>
        <v>0</v>
      </c>
      <c r="AH177" s="22">
        <f>IFERROR(MATRIZ_174!Z176,0)</f>
        <v>0</v>
      </c>
      <c r="AI177" s="17">
        <f>IFERROR(MATRIZ_174!AP176,"N/A")</f>
        <v>0</v>
      </c>
      <c r="AJ177" s="17" t="str">
        <f>IFERROR(MATRIZ_174!AO176,"N/A")</f>
        <v>N/A</v>
      </c>
      <c r="AK177" s="23" t="str">
        <f t="shared" si="64"/>
        <v>N/A</v>
      </c>
      <c r="AL177" s="24" t="str">
        <f t="shared" si="65"/>
        <v>—</v>
      </c>
    </row>
    <row r="178" spans="1:38" ht="22.05" customHeight="1" x14ac:dyDescent="0.3">
      <c r="A178" s="72" t="s">
        <v>935</v>
      </c>
      <c r="B178" s="73"/>
      <c r="C178" s="73"/>
      <c r="D178" s="74"/>
      <c r="E178" s="25"/>
      <c r="F178" s="25"/>
      <c r="G178" s="25"/>
      <c r="H178" s="25"/>
      <c r="I178" s="25"/>
      <c r="J178" s="25"/>
      <c r="K178" s="25"/>
      <c r="L178" s="25"/>
      <c r="M178" s="25"/>
      <c r="N178" s="25"/>
      <c r="O178" s="25"/>
      <c r="P178" s="25"/>
      <c r="Q178" s="25"/>
      <c r="R178" s="25"/>
      <c r="S178" s="25"/>
      <c r="T178" s="25"/>
      <c r="U178" s="25"/>
      <c r="V178" s="25"/>
      <c r="W178" s="25"/>
      <c r="X178" s="25"/>
      <c r="Y178" s="25"/>
      <c r="Z178" s="26" t="str">
        <f>IFERROR(AVERAGE(Z4:Z177),"—")</f>
        <v>—</v>
      </c>
      <c r="AA178" s="26">
        <f>IFERROR(AVERAGE(AA4:AA177),"—")</f>
        <v>56.687931034482752</v>
      </c>
      <c r="AB178" s="26" t="str">
        <f>IFERROR(AVERAGE(AB4:AB177),"—")</f>
        <v>—</v>
      </c>
      <c r="AC178" s="25" t="s">
        <v>936</v>
      </c>
      <c r="AD178" s="25"/>
      <c r="AE178" s="25"/>
      <c r="AF178" s="25"/>
      <c r="AG178" s="25"/>
      <c r="AH178" s="25"/>
      <c r="AI178" s="25"/>
      <c r="AJ178" s="25"/>
      <c r="AK178" s="25"/>
      <c r="AL178" s="26" t="str">
        <f>IFERROR(AVERAGE(AL4:AL177),"—")</f>
        <v>—</v>
      </c>
    </row>
    <row r="180" spans="1:38" ht="30" customHeight="1" x14ac:dyDescent="0.3">
      <c r="A180" s="75" t="s">
        <v>1077</v>
      </c>
      <c r="B180" s="65"/>
      <c r="C180" s="65"/>
      <c r="D180" s="65"/>
      <c r="E180" s="65"/>
      <c r="F180" s="65"/>
      <c r="G180" s="65"/>
      <c r="H180" s="65"/>
      <c r="I180" s="65"/>
      <c r="J180" s="65"/>
      <c r="K180" s="65"/>
      <c r="L180" s="65"/>
      <c r="M180" s="65"/>
      <c r="N180" s="65"/>
      <c r="O180" s="65"/>
      <c r="P180" s="65"/>
      <c r="Q180" s="65"/>
      <c r="R180" s="65"/>
      <c r="S180" s="65"/>
      <c r="T180" s="65"/>
      <c r="U180" s="65"/>
      <c r="V180" s="65"/>
      <c r="W180" s="65"/>
      <c r="X180" s="65"/>
      <c r="Y180" s="65"/>
      <c r="Z180" s="65"/>
      <c r="AA180" s="65"/>
      <c r="AB180" s="65"/>
      <c r="AC180" s="65"/>
      <c r="AD180" s="65"/>
      <c r="AE180" s="65"/>
      <c r="AF180" s="65"/>
      <c r="AG180" s="65"/>
      <c r="AH180" s="65"/>
      <c r="AI180" s="65"/>
      <c r="AJ180" s="65"/>
      <c r="AK180" s="65"/>
      <c r="AL180" s="65"/>
    </row>
    <row r="182" spans="1:38" x14ac:dyDescent="0.3">
      <c r="A182" s="55" t="s">
        <v>1529</v>
      </c>
    </row>
    <row r="183" spans="1:38" x14ac:dyDescent="0.3">
      <c r="A183" t="s">
        <v>607</v>
      </c>
      <c r="B183">
        <f>COUNT(E$4:E$177)</f>
        <v>0</v>
      </c>
      <c r="C183" t="str">
        <f t="shared" ref="C183:C197" si="66">IF(B183=174,"completo",IF(B183=0,"pendiente","parcial"))</f>
        <v>pendiente</v>
      </c>
    </row>
    <row r="184" spans="1:38" x14ac:dyDescent="0.3">
      <c r="A184" t="s">
        <v>1078</v>
      </c>
      <c r="B184">
        <f>COUNT(F$4:F$177)</f>
        <v>0</v>
      </c>
      <c r="C184" t="str">
        <f t="shared" si="66"/>
        <v>pendiente</v>
      </c>
    </row>
    <row r="185" spans="1:38" x14ac:dyDescent="0.3">
      <c r="A185" t="s">
        <v>1530</v>
      </c>
      <c r="B185">
        <f>COUNT(G$4:G$177)</f>
        <v>174</v>
      </c>
      <c r="C185" t="str">
        <f t="shared" si="66"/>
        <v>completo</v>
      </c>
    </row>
    <row r="186" spans="1:38" x14ac:dyDescent="0.3">
      <c r="A186" t="s">
        <v>1079</v>
      </c>
      <c r="B186">
        <f>COUNT(H$4:H$177)</f>
        <v>0</v>
      </c>
      <c r="C186" t="str">
        <f t="shared" si="66"/>
        <v>pendiente</v>
      </c>
    </row>
    <row r="187" spans="1:38" x14ac:dyDescent="0.3">
      <c r="A187" t="s">
        <v>710</v>
      </c>
      <c r="B187">
        <f>COUNT(I$4:I$177)</f>
        <v>0</v>
      </c>
      <c r="C187" t="str">
        <f t="shared" si="66"/>
        <v>pendiente</v>
      </c>
    </row>
    <row r="188" spans="1:38" x14ac:dyDescent="0.3">
      <c r="A188" t="s">
        <v>1080</v>
      </c>
      <c r="B188">
        <f>COUNT(J$4:J$177)</f>
        <v>0</v>
      </c>
      <c r="C188" t="str">
        <f t="shared" si="66"/>
        <v>pendiente</v>
      </c>
    </row>
    <row r="189" spans="1:38" x14ac:dyDescent="0.3">
      <c r="A189" t="s">
        <v>1081</v>
      </c>
      <c r="B189">
        <f>COUNT(K$4:K$177)</f>
        <v>0</v>
      </c>
      <c r="C189" t="str">
        <f t="shared" si="66"/>
        <v>pendiente</v>
      </c>
    </row>
    <row r="190" spans="1:38" x14ac:dyDescent="0.3">
      <c r="A190" t="s">
        <v>909</v>
      </c>
      <c r="B190">
        <f>COUNT(L$4:L$177)</f>
        <v>0</v>
      </c>
      <c r="C190" t="str">
        <f t="shared" si="66"/>
        <v>pendiente</v>
      </c>
    </row>
    <row r="191" spans="1:38" x14ac:dyDescent="0.3">
      <c r="A191" t="s">
        <v>1082</v>
      </c>
      <c r="B191">
        <f>COUNT(M$4:M$177)</f>
        <v>0</v>
      </c>
      <c r="C191" t="str">
        <f t="shared" si="66"/>
        <v>pendiente</v>
      </c>
    </row>
    <row r="192" spans="1:38" x14ac:dyDescent="0.3">
      <c r="A192" t="s">
        <v>1083</v>
      </c>
      <c r="B192">
        <f>COUNT(N$4:N$177)</f>
        <v>0</v>
      </c>
      <c r="C192" t="str">
        <f t="shared" si="66"/>
        <v>pendiente</v>
      </c>
    </row>
    <row r="193" spans="1:3" x14ac:dyDescent="0.3">
      <c r="A193" t="s">
        <v>1084</v>
      </c>
      <c r="B193">
        <f>COUNT(O$4:O$177)</f>
        <v>0</v>
      </c>
      <c r="C193" t="str">
        <f t="shared" si="66"/>
        <v>pendiente</v>
      </c>
    </row>
    <row r="194" spans="1:3" x14ac:dyDescent="0.3">
      <c r="A194" t="s">
        <v>1088</v>
      </c>
      <c r="B194">
        <f>COUNT(NORMALIZADO!BV3:BV176)</f>
        <v>0</v>
      </c>
      <c r="C194" t="str">
        <f t="shared" si="66"/>
        <v>pendiente</v>
      </c>
    </row>
    <row r="195" spans="1:3" x14ac:dyDescent="0.3">
      <c r="A195" t="s">
        <v>1085</v>
      </c>
      <c r="B195">
        <f>COUNT(NORMALIZADO!BW3:BW176)</f>
        <v>0</v>
      </c>
      <c r="C195" t="str">
        <f t="shared" si="66"/>
        <v>pendiente</v>
      </c>
    </row>
    <row r="196" spans="1:3" x14ac:dyDescent="0.3">
      <c r="A196" t="s">
        <v>1086</v>
      </c>
      <c r="B196">
        <f>COUNT(NORMALIZADO!BX3:BX176)</f>
        <v>0</v>
      </c>
      <c r="C196" t="str">
        <f t="shared" si="66"/>
        <v>pendiente</v>
      </c>
    </row>
    <row r="197" spans="1:3" x14ac:dyDescent="0.3">
      <c r="A197" t="s">
        <v>1087</v>
      </c>
      <c r="B197">
        <f>COUNT(NORMALIZADO!BY3:BY176)</f>
        <v>0</v>
      </c>
      <c r="C197" t="str">
        <f t="shared" si="66"/>
        <v>pendiente</v>
      </c>
    </row>
    <row r="198" spans="1:3" x14ac:dyDescent="0.3">
      <c r="A198" t="s">
        <v>1531</v>
      </c>
      <c r="B198">
        <f>COUNT(AK4:AK177)</f>
        <v>0</v>
      </c>
      <c r="C198" t="str">
        <f>IF(B198=0,"pendiente",IF(B198=174,"completo","parcial"))</f>
        <v>pendiente</v>
      </c>
    </row>
    <row r="199" spans="1:3" x14ac:dyDescent="0.3">
      <c r="A199" t="s">
        <v>1532</v>
      </c>
      <c r="B199">
        <f>COUNT(Z4:Z177)</f>
        <v>0</v>
      </c>
      <c r="C199" t="str">
        <f>IF(B199=0,"pendiente",IF(B199=174,"completo","parcial"))</f>
        <v>pendiente</v>
      </c>
    </row>
    <row r="201" spans="1:3" x14ac:dyDescent="0.3">
      <c r="A201" t="s">
        <v>1094</v>
      </c>
    </row>
  </sheetData>
  <mergeCells count="4">
    <mergeCell ref="A1:AL1"/>
    <mergeCell ref="A178:D178"/>
    <mergeCell ref="A180:AL180"/>
    <mergeCell ref="A2:AL2"/>
  </mergeCells>
  <pageMargins left="0.75" right="0.75" top="1" bottom="1" header="0.5" footer="0.5"/>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57"/>
  <sheetViews>
    <sheetView topLeftCell="A16" workbookViewId="0">
      <selection activeCell="A3" sqref="A3"/>
    </sheetView>
  </sheetViews>
  <sheetFormatPr baseColWidth="10" defaultColWidth="8.88671875" defaultRowHeight="14.4" x14ac:dyDescent="0.3"/>
  <cols>
    <col min="1" max="1" width="12" customWidth="1"/>
    <col min="2" max="2" width="24" customWidth="1"/>
    <col min="3" max="3" width="48" customWidth="1"/>
    <col min="4" max="4" width="16" customWidth="1"/>
  </cols>
  <sheetData>
    <row r="1" spans="1:4" ht="28.05" customHeight="1" x14ac:dyDescent="0.3">
      <c r="A1" s="65" t="s">
        <v>937</v>
      </c>
      <c r="B1" s="65"/>
      <c r="C1" s="65"/>
      <c r="D1" s="65"/>
    </row>
    <row r="2" spans="1:4" x14ac:dyDescent="0.3">
      <c r="A2" s="65" t="s">
        <v>938</v>
      </c>
      <c r="B2" s="65"/>
      <c r="C2" s="65"/>
      <c r="D2" s="65"/>
    </row>
    <row r="3" spans="1:4" x14ac:dyDescent="0.3">
      <c r="A3" t="s">
        <v>939</v>
      </c>
      <c r="B3" t="s">
        <v>940</v>
      </c>
    </row>
    <row r="4" spans="1:4" x14ac:dyDescent="0.3">
      <c r="A4" t="s">
        <v>941</v>
      </c>
      <c r="B4" t="s">
        <v>942</v>
      </c>
    </row>
    <row r="5" spans="1:4" x14ac:dyDescent="0.3">
      <c r="A5" t="s">
        <v>943</v>
      </c>
      <c r="B5" t="s">
        <v>944</v>
      </c>
    </row>
    <row r="6" spans="1:4" x14ac:dyDescent="0.3">
      <c r="A6" t="s">
        <v>945</v>
      </c>
      <c r="B6" t="s">
        <v>946</v>
      </c>
    </row>
    <row r="7" spans="1:4" x14ac:dyDescent="0.3">
      <c r="A7" t="s">
        <v>947</v>
      </c>
      <c r="B7" t="s">
        <v>948</v>
      </c>
    </row>
    <row r="8" spans="1:4" x14ac:dyDescent="0.3">
      <c r="A8" t="s">
        <v>949</v>
      </c>
      <c r="B8" t="s">
        <v>950</v>
      </c>
    </row>
    <row r="10" spans="1:4" x14ac:dyDescent="0.3">
      <c r="A10" s="65" t="s">
        <v>951</v>
      </c>
      <c r="B10" s="65"/>
      <c r="C10" s="65"/>
      <c r="D10" s="65"/>
    </row>
    <row r="11" spans="1:4" x14ac:dyDescent="0.3">
      <c r="A11" t="s">
        <v>952</v>
      </c>
      <c r="B11" t="s">
        <v>953</v>
      </c>
      <c r="C11" t="s">
        <v>954</v>
      </c>
      <c r="D11" t="s">
        <v>955</v>
      </c>
    </row>
    <row r="12" spans="1:4" ht="18" customHeight="1" x14ac:dyDescent="0.3">
      <c r="A12" t="s">
        <v>956</v>
      </c>
      <c r="B12" t="s">
        <v>957</v>
      </c>
      <c r="C12" t="s">
        <v>958</v>
      </c>
      <c r="D12">
        <v>20</v>
      </c>
    </row>
    <row r="13" spans="1:4" ht="18" customHeight="1" x14ac:dyDescent="0.3">
      <c r="A13" t="s">
        <v>959</v>
      </c>
      <c r="B13" t="s">
        <v>960</v>
      </c>
      <c r="C13" t="s">
        <v>961</v>
      </c>
      <c r="D13">
        <v>16</v>
      </c>
    </row>
    <row r="14" spans="1:4" ht="18" customHeight="1" x14ac:dyDescent="0.3">
      <c r="A14" t="s">
        <v>962</v>
      </c>
      <c r="B14" t="s">
        <v>963</v>
      </c>
      <c r="C14" t="s">
        <v>964</v>
      </c>
      <c r="D14">
        <v>12</v>
      </c>
    </row>
    <row r="15" spans="1:4" ht="18" customHeight="1" x14ac:dyDescent="0.3">
      <c r="A15" t="s">
        <v>965</v>
      </c>
      <c r="B15" t="s">
        <v>966</v>
      </c>
      <c r="C15" t="s">
        <v>967</v>
      </c>
      <c r="D15">
        <v>8</v>
      </c>
    </row>
    <row r="16" spans="1:4" ht="18" customHeight="1" x14ac:dyDescent="0.3">
      <c r="A16" t="s">
        <v>968</v>
      </c>
      <c r="B16" t="s">
        <v>969</v>
      </c>
      <c r="C16" t="s">
        <v>970</v>
      </c>
      <c r="D16">
        <v>12</v>
      </c>
    </row>
    <row r="17" spans="1:4" ht="18" customHeight="1" x14ac:dyDescent="0.3">
      <c r="A17" t="s">
        <v>971</v>
      </c>
      <c r="B17" t="s">
        <v>972</v>
      </c>
      <c r="C17" t="s">
        <v>973</v>
      </c>
      <c r="D17">
        <v>8</v>
      </c>
    </row>
    <row r="18" spans="1:4" ht="18" customHeight="1" x14ac:dyDescent="0.3">
      <c r="A18" t="s">
        <v>974</v>
      </c>
      <c r="B18" t="s">
        <v>975</v>
      </c>
      <c r="C18" t="s">
        <v>976</v>
      </c>
      <c r="D18">
        <v>4</v>
      </c>
    </row>
    <row r="19" spans="1:4" ht="19.95" customHeight="1" x14ac:dyDescent="0.3">
      <c r="A19" t="s">
        <v>977</v>
      </c>
      <c r="B19" s="65" t="s">
        <v>978</v>
      </c>
      <c r="C19" s="65"/>
      <c r="D19">
        <v>20</v>
      </c>
    </row>
    <row r="20" spans="1:4" x14ac:dyDescent="0.3">
      <c r="A20" t="s">
        <v>979</v>
      </c>
      <c r="D20">
        <f>SUM(D12:D19)</f>
        <v>100</v>
      </c>
    </row>
    <row r="21" spans="1:4" x14ac:dyDescent="0.3">
      <c r="A21" s="65"/>
      <c r="B21" s="65"/>
      <c r="C21" s="65"/>
      <c r="D21" s="65"/>
    </row>
    <row r="22" spans="1:4" x14ac:dyDescent="0.3">
      <c r="A22" t="s">
        <v>980</v>
      </c>
    </row>
    <row r="23" spans="1:4" x14ac:dyDescent="0.3">
      <c r="A23" s="65"/>
      <c r="B23" s="65"/>
      <c r="C23" s="65"/>
      <c r="D23" s="65"/>
    </row>
    <row r="24" spans="1:4" x14ac:dyDescent="0.3">
      <c r="A24" s="77" t="s">
        <v>981</v>
      </c>
      <c r="B24" s="65"/>
      <c r="C24" s="65"/>
      <c r="D24" s="65"/>
    </row>
    <row r="25" spans="1:4" x14ac:dyDescent="0.3">
      <c r="A25" s="52" t="s">
        <v>982</v>
      </c>
    </row>
    <row r="26" spans="1:4" ht="43.2" customHeight="1" x14ac:dyDescent="0.3">
      <c r="A26" s="27" t="s">
        <v>983</v>
      </c>
      <c r="B26" s="27" t="s">
        <v>984</v>
      </c>
      <c r="C26" s="27" t="s">
        <v>985</v>
      </c>
    </row>
    <row r="27" spans="1:4" ht="43.2" customHeight="1" x14ac:dyDescent="0.3">
      <c r="A27" s="28" t="s">
        <v>986</v>
      </c>
      <c r="B27" s="29" t="s">
        <v>987</v>
      </c>
      <c r="C27" s="27" t="s">
        <v>988</v>
      </c>
    </row>
    <row r="28" spans="1:4" ht="28.8" customHeight="1" x14ac:dyDescent="0.3">
      <c r="A28" s="14"/>
      <c r="B28" s="14"/>
      <c r="C28" s="13"/>
    </row>
    <row r="29" spans="1:4" ht="43.2" customHeight="1" x14ac:dyDescent="0.3">
      <c r="A29" s="28" t="s">
        <v>989</v>
      </c>
      <c r="B29" s="29" t="s">
        <v>1538</v>
      </c>
      <c r="C29" s="27" t="s">
        <v>988</v>
      </c>
    </row>
    <row r="30" spans="1:4" ht="28.8" customHeight="1" x14ac:dyDescent="0.3">
      <c r="A30" s="14"/>
      <c r="B30" s="14"/>
      <c r="C30" s="13"/>
    </row>
    <row r="31" spans="1:4" ht="28.8" customHeight="1" x14ac:dyDescent="0.3">
      <c r="A31" s="28" t="s">
        <v>990</v>
      </c>
      <c r="B31" s="29" t="s">
        <v>991</v>
      </c>
      <c r="C31" s="27" t="s">
        <v>988</v>
      </c>
    </row>
    <row r="32" spans="1:4" x14ac:dyDescent="0.3">
      <c r="A32" s="14"/>
      <c r="B32" s="14"/>
      <c r="C32" s="13"/>
    </row>
    <row r="33" spans="1:3" ht="28.8" customHeight="1" x14ac:dyDescent="0.3">
      <c r="A33" s="30" t="s">
        <v>992</v>
      </c>
      <c r="B33" s="31" t="s">
        <v>993</v>
      </c>
      <c r="C33" s="32" t="s">
        <v>994</v>
      </c>
    </row>
    <row r="34" spans="1:3" ht="28.8" customHeight="1" x14ac:dyDescent="0.3">
      <c r="A34" s="33" t="s">
        <v>995</v>
      </c>
      <c r="B34" s="34" t="s">
        <v>996</v>
      </c>
      <c r="C34" s="35" t="s">
        <v>994</v>
      </c>
    </row>
    <row r="35" spans="1:3" ht="28.8" customHeight="1" x14ac:dyDescent="0.3">
      <c r="A35" s="30" t="s">
        <v>997</v>
      </c>
      <c r="B35" s="31" t="s">
        <v>998</v>
      </c>
      <c r="C35" s="32" t="s">
        <v>994</v>
      </c>
    </row>
    <row r="36" spans="1:3" ht="28.8" customHeight="1" x14ac:dyDescent="0.3">
      <c r="A36" s="33" t="s">
        <v>999</v>
      </c>
      <c r="B36" s="34" t="s">
        <v>1000</v>
      </c>
      <c r="C36" s="35" t="s">
        <v>994</v>
      </c>
    </row>
    <row r="37" spans="1:3" ht="28.8" customHeight="1" x14ac:dyDescent="0.3">
      <c r="A37" s="30" t="s">
        <v>1001</v>
      </c>
      <c r="B37" s="31" t="s">
        <v>1002</v>
      </c>
      <c r="C37" s="32" t="s">
        <v>994</v>
      </c>
    </row>
    <row r="38" spans="1:3" ht="28.8" customHeight="1" x14ac:dyDescent="0.3">
      <c r="A38" s="33" t="s">
        <v>1003</v>
      </c>
      <c r="B38" s="34" t="s">
        <v>1004</v>
      </c>
      <c r="C38" s="35" t="s">
        <v>988</v>
      </c>
    </row>
    <row r="39" spans="1:3" ht="43.2" customHeight="1" x14ac:dyDescent="0.3">
      <c r="A39" s="14"/>
      <c r="B39" s="14"/>
      <c r="C39" s="13"/>
    </row>
    <row r="40" spans="1:3" ht="28.8" customHeight="1" x14ac:dyDescent="0.3">
      <c r="A40" s="33" t="s">
        <v>1005</v>
      </c>
      <c r="B40" s="34" t="s">
        <v>1006</v>
      </c>
      <c r="C40" s="35" t="s">
        <v>994</v>
      </c>
    </row>
    <row r="41" spans="1:3" ht="43.2" customHeight="1" x14ac:dyDescent="0.3">
      <c r="A41" s="30" t="s">
        <v>1007</v>
      </c>
      <c r="B41" s="31" t="s">
        <v>1008</v>
      </c>
      <c r="C41" s="32" t="s">
        <v>994</v>
      </c>
    </row>
    <row r="42" spans="1:3" ht="43.2" customHeight="1" x14ac:dyDescent="0.3">
      <c r="A42" s="33" t="s">
        <v>1009</v>
      </c>
      <c r="B42" s="34" t="s">
        <v>1010</v>
      </c>
      <c r="C42" s="35" t="s">
        <v>994</v>
      </c>
    </row>
    <row r="43" spans="1:3" ht="43.2" customHeight="1" x14ac:dyDescent="0.3">
      <c r="A43" s="30" t="s">
        <v>1011</v>
      </c>
      <c r="B43" s="31" t="s">
        <v>1075</v>
      </c>
      <c r="C43" s="32" t="s">
        <v>994</v>
      </c>
    </row>
    <row r="44" spans="1:3" ht="28.8" customHeight="1" x14ac:dyDescent="0.3">
      <c r="A44" s="33" t="s">
        <v>1012</v>
      </c>
      <c r="B44" s="34" t="s">
        <v>1013</v>
      </c>
      <c r="C44" s="35" t="s">
        <v>994</v>
      </c>
    </row>
    <row r="45" spans="1:3" ht="28.8" customHeight="1" x14ac:dyDescent="0.3">
      <c r="A45" s="30" t="s">
        <v>1014</v>
      </c>
      <c r="B45" s="31" t="s">
        <v>1015</v>
      </c>
      <c r="C45" s="32" t="s">
        <v>988</v>
      </c>
    </row>
    <row r="46" spans="1:3" x14ac:dyDescent="0.3">
      <c r="A46" s="14"/>
      <c r="B46" s="14"/>
      <c r="C46" s="13"/>
    </row>
    <row r="47" spans="1:3" ht="28.8" customHeight="1" x14ac:dyDescent="0.3">
      <c r="A47" s="30" t="s">
        <v>1016</v>
      </c>
      <c r="B47" s="31"/>
      <c r="C47" s="32" t="s">
        <v>500</v>
      </c>
    </row>
    <row r="48" spans="1:3" ht="28.8" customHeight="1" x14ac:dyDescent="0.3">
      <c r="A48" s="33" t="s">
        <v>1017</v>
      </c>
      <c r="B48" s="34" t="s">
        <v>1018</v>
      </c>
      <c r="C48" s="35" t="s">
        <v>1019</v>
      </c>
    </row>
    <row r="49" spans="1:2" x14ac:dyDescent="0.3">
      <c r="A49" t="s">
        <v>1020</v>
      </c>
      <c r="B49" t="s">
        <v>1074</v>
      </c>
    </row>
    <row r="50" spans="1:2" x14ac:dyDescent="0.3">
      <c r="A50" t="s">
        <v>1021</v>
      </c>
      <c r="B50" t="s">
        <v>1022</v>
      </c>
    </row>
    <row r="51" spans="1:2" x14ac:dyDescent="0.3">
      <c r="A51" t="s">
        <v>1023</v>
      </c>
      <c r="B51" t="s">
        <v>1024</v>
      </c>
    </row>
    <row r="53" spans="1:2" x14ac:dyDescent="0.3">
      <c r="A53" t="s">
        <v>1090</v>
      </c>
      <c r="B53" t="s">
        <v>1091</v>
      </c>
    </row>
    <row r="54" spans="1:2" x14ac:dyDescent="0.3">
      <c r="A54" s="55" t="s">
        <v>1535</v>
      </c>
    </row>
    <row r="55" spans="1:2" ht="374.4" x14ac:dyDescent="0.3">
      <c r="A55" s="56" t="s">
        <v>1536</v>
      </c>
    </row>
    <row r="56" spans="1:2" x14ac:dyDescent="0.3">
      <c r="A56" s="55" t="s">
        <v>1539</v>
      </c>
    </row>
    <row r="57" spans="1:2" ht="244.8" x14ac:dyDescent="0.3">
      <c r="A57" s="56" t="s">
        <v>1540</v>
      </c>
    </row>
  </sheetData>
  <mergeCells count="7">
    <mergeCell ref="A1:D1"/>
    <mergeCell ref="A23:D23"/>
    <mergeCell ref="B19:C19"/>
    <mergeCell ref="A21:D21"/>
    <mergeCell ref="A24:D24"/>
    <mergeCell ref="A2:D2"/>
    <mergeCell ref="A10:D10"/>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S180"/>
  <sheetViews>
    <sheetView workbookViewId="0">
      <pane xSplit="2" ySplit="2" topLeftCell="C3" activePane="bottomRight" state="frozen"/>
      <selection sqref="A1:AL1"/>
      <selection pane="topRight" sqref="A1:AL1"/>
      <selection pane="bottomLeft" sqref="A1:AL1"/>
      <selection pane="bottomRight" activeCell="A4" sqref="A4"/>
    </sheetView>
  </sheetViews>
  <sheetFormatPr baseColWidth="10" defaultColWidth="8.88671875" defaultRowHeight="14.4" x14ac:dyDescent="0.3"/>
  <cols>
    <col min="1" max="1" width="14" customWidth="1"/>
    <col min="2" max="2" width="65.6640625" bestFit="1" customWidth="1"/>
    <col min="3" max="3" width="14" customWidth="1"/>
    <col min="4" max="4" width="12" customWidth="1"/>
    <col min="5" max="5" width="14" customWidth="1"/>
    <col min="6" max="6" width="8" customWidth="1"/>
    <col min="7" max="7" width="9" customWidth="1"/>
    <col min="8" max="12" width="14" customWidth="1"/>
    <col min="13" max="13" width="10" customWidth="1"/>
    <col min="14" max="15" width="14" customWidth="1"/>
    <col min="16" max="16" width="12" customWidth="1"/>
    <col min="17" max="20" width="14" customWidth="1"/>
    <col min="23" max="26" width="22" customWidth="1"/>
    <col min="27" max="40" width="20" customWidth="1"/>
    <col min="41" max="42" width="16" customWidth="1"/>
  </cols>
  <sheetData>
    <row r="1" spans="1:45" ht="28.05" customHeight="1" x14ac:dyDescent="0.3">
      <c r="A1" s="65" t="s">
        <v>0</v>
      </c>
      <c r="B1" s="65"/>
      <c r="C1" s="65"/>
      <c r="D1" s="65"/>
      <c r="E1" s="65"/>
      <c r="F1" s="65"/>
      <c r="G1" s="65"/>
      <c r="H1" s="65"/>
      <c r="I1" s="65"/>
      <c r="J1" s="65"/>
      <c r="K1" s="65"/>
      <c r="L1" s="65"/>
      <c r="M1" s="65"/>
      <c r="N1" s="65"/>
      <c r="O1" s="65"/>
      <c r="P1" s="65"/>
      <c r="Q1" s="65"/>
      <c r="R1" s="65"/>
      <c r="S1" s="65"/>
      <c r="W1" t="s">
        <v>1</v>
      </c>
      <c r="X1" t="s">
        <v>2</v>
      </c>
      <c r="Y1" t="s">
        <v>3</v>
      </c>
      <c r="Z1" t="s">
        <v>4</v>
      </c>
      <c r="AA1" t="s">
        <v>5</v>
      </c>
      <c r="AB1" t="s">
        <v>6</v>
      </c>
      <c r="AC1" t="s">
        <v>7</v>
      </c>
      <c r="AD1" t="s">
        <v>8</v>
      </c>
      <c r="AE1" t="s">
        <v>9</v>
      </c>
      <c r="AF1" t="s">
        <v>10</v>
      </c>
      <c r="AG1" t="s">
        <v>11</v>
      </c>
      <c r="AH1" t="s">
        <v>12</v>
      </c>
      <c r="AI1" t="s">
        <v>13</v>
      </c>
      <c r="AJ1" t="s">
        <v>14</v>
      </c>
      <c r="AK1" t="s">
        <v>15</v>
      </c>
      <c r="AL1" t="s">
        <v>16</v>
      </c>
      <c r="AM1" t="s">
        <v>17</v>
      </c>
      <c r="AN1" t="s">
        <v>18</v>
      </c>
      <c r="AO1" t="s">
        <v>19</v>
      </c>
      <c r="AP1" t="s">
        <v>20</v>
      </c>
    </row>
    <row r="2" spans="1:45" s="50" customFormat="1" ht="100.05" customHeight="1" x14ac:dyDescent="0.3">
      <c r="A2" s="50" t="s">
        <v>21</v>
      </c>
      <c r="B2" s="50" t="s">
        <v>22</v>
      </c>
      <c r="C2" s="50" t="s">
        <v>23</v>
      </c>
      <c r="D2" s="50" t="s">
        <v>24</v>
      </c>
      <c r="E2" s="50" t="s">
        <v>25</v>
      </c>
      <c r="F2" s="50" t="s">
        <v>26</v>
      </c>
      <c r="G2" s="50" t="s">
        <v>27</v>
      </c>
      <c r="H2" s="50" t="s">
        <v>28</v>
      </c>
      <c r="I2" s="50" t="s">
        <v>29</v>
      </c>
      <c r="J2" s="50" t="s">
        <v>30</v>
      </c>
      <c r="K2" s="50" t="s">
        <v>31</v>
      </c>
      <c r="L2" s="50" t="s">
        <v>32</v>
      </c>
      <c r="M2" s="50" t="s">
        <v>33</v>
      </c>
      <c r="N2" s="50" t="s">
        <v>34</v>
      </c>
      <c r="O2" s="50" t="s">
        <v>35</v>
      </c>
      <c r="P2" s="50" t="s">
        <v>36</v>
      </c>
      <c r="Q2" s="50" t="s">
        <v>37</v>
      </c>
      <c r="R2" s="50" t="s">
        <v>38</v>
      </c>
      <c r="S2" s="50" t="s">
        <v>39</v>
      </c>
      <c r="T2" s="50" t="s">
        <v>40</v>
      </c>
      <c r="U2" s="50" t="s">
        <v>41</v>
      </c>
      <c r="V2" s="50" t="s">
        <v>42</v>
      </c>
      <c r="W2" s="50" t="s">
        <v>43</v>
      </c>
      <c r="X2" s="50" t="s">
        <v>44</v>
      </c>
      <c r="Y2" s="50" t="s">
        <v>45</v>
      </c>
      <c r="Z2" s="50" t="s">
        <v>46</v>
      </c>
      <c r="AA2" s="50" t="s">
        <v>47</v>
      </c>
      <c r="AB2" s="50" t="s">
        <v>48</v>
      </c>
      <c r="AC2" s="50" t="s">
        <v>49</v>
      </c>
      <c r="AD2" s="50" t="s">
        <v>50</v>
      </c>
      <c r="AE2" s="50" t="s">
        <v>51</v>
      </c>
      <c r="AF2" s="50" t="s">
        <v>52</v>
      </c>
      <c r="AG2" s="50" t="s">
        <v>53</v>
      </c>
      <c r="AH2" s="50" t="s">
        <v>54</v>
      </c>
      <c r="AI2" s="50" t="s">
        <v>55</v>
      </c>
      <c r="AJ2" s="50" t="s">
        <v>56</v>
      </c>
      <c r="AK2" s="50" t="s">
        <v>57</v>
      </c>
      <c r="AL2" s="50" t="s">
        <v>58</v>
      </c>
      <c r="AM2" s="50" t="s">
        <v>59</v>
      </c>
      <c r="AN2" s="50" t="s">
        <v>60</v>
      </c>
      <c r="AO2" s="50" t="s">
        <v>1071</v>
      </c>
      <c r="AP2" s="50" t="s">
        <v>61</v>
      </c>
      <c r="AQ2" s="50" t="s">
        <v>1537</v>
      </c>
      <c r="AR2" s="50" t="s">
        <v>1541</v>
      </c>
      <c r="AS2" s="50" t="s">
        <v>1542</v>
      </c>
    </row>
    <row r="3" spans="1:45" ht="16.05" customHeight="1" x14ac:dyDescent="0.3">
      <c r="A3" t="s">
        <v>62</v>
      </c>
      <c r="B3" t="s">
        <v>63</v>
      </c>
      <c r="C3" t="s">
        <v>64</v>
      </c>
      <c r="D3" t="s">
        <v>65</v>
      </c>
      <c r="E3">
        <v>5107246.6199999992</v>
      </c>
      <c r="F3">
        <v>38</v>
      </c>
      <c r="G3" t="s">
        <v>66</v>
      </c>
      <c r="J3" t="s">
        <v>67</v>
      </c>
      <c r="L3">
        <v>2553623.31</v>
      </c>
      <c r="M3">
        <f>IF(E3&gt;0,ROUND(L3/E3*100,1),"")</f>
        <v>50</v>
      </c>
      <c r="N3" t="s">
        <v>68</v>
      </c>
      <c r="O3" t="str">
        <f>IF(AND(H3="",I3=""),"",IF(H3="SI",1,0)*0.6+IF(I3="SI",1,0)*0.4)</f>
        <v/>
      </c>
      <c r="P3" t="s">
        <v>68</v>
      </c>
      <c r="S3">
        <f t="shared" ref="S3:S34" si="0">IFERROR(ROUND(AP3*100,1),"N/A")</f>
        <v>31.3</v>
      </c>
      <c r="T3" t="str">
        <f t="shared" ref="T3:T34" si="1">IF(NOT(ISNUMBER(S3)),"—",IF(AQ3&lt;6,"⬜  Parcial · Inst. 2 pendiente",IF(S3&lt;34,"🔴 Crítico",IF(S3&lt;67,"🟡 Vulnerable","🟢 Preparado"))))</f>
        <v>⬜  Parcial · Inst. 2 pendiente</v>
      </c>
      <c r="U3" s="53">
        <v>1</v>
      </c>
      <c r="V3" t="s">
        <v>69</v>
      </c>
      <c r="W3">
        <f>IF(NORMALIZADO!BV3="",1,NORMALIZADO!BV3)</f>
        <v>1</v>
      </c>
      <c r="X3">
        <f>IF(NORMALIZADO!BW3="",0,NORMALIZADO!BW3)</f>
        <v>0</v>
      </c>
      <c r="Y3">
        <f>IF(NORMALIZADO!BX3="",0,NORMALIZADO!BX3)</f>
        <v>0</v>
      </c>
      <c r="Z3">
        <f>IF(NORMALIZADO!BY3="",0,NORMALIZADO!BY3)</f>
        <v>0</v>
      </c>
      <c r="AO3" t="str">
        <f t="shared" ref="AO3:AO34" si="2">IFERROR(AVERAGE(AA3,AB3,AC3,AD3,AE3,AF3,AG3,AH3,AI3,AJ3,AK3,AL3,AM3,AN3),"N/A")</f>
        <v>N/A</v>
      </c>
      <c r="AP3">
        <f>IFERROR((IF(ISNUMBER(M3),M3/100*PONDERADORES!$D$12,0)+IF(ISNUMBER(SCORECARDS!H3),SCORECARDS!H3/100*PONDERADORES!$D$13,0)+IF(ISNUMBER(SCORECARDS!I3),SCORECARDS!I3/100*PONDERADORES!$D$14,0)+IF(ISNUMBER(SCORECARDS!J3),SCORECARDS!J3/100*PONDERADORES!$D$15,0)+IF(ISNUMBER(ISCAM_Score!K4),ISCAM_Score!K4/100*PONDERADORES!$D$16,0)+IF(ISNUMBER(O3),O3*PONDERADORES!$D$17,0)+IF(ISNUMBER(AVERAGE(W3:Z3)),AVERAGE(W3:Z3)/2*PONDERADORES!$D$19,0))/(IF(ISNUMBER(M3),PONDERADORES!$D$12,0)+IF(ISNUMBER(SCORECARDS!H3),PONDERADORES!$D$13,0)+IF(ISNUMBER(SCORECARDS!I3),PONDERADORES!$D$14,0)+IF(ISNUMBER(SCORECARDS!J3),PONDERADORES!$D$15,0)+IF(ISNUMBER(ISCAM_Score!K4),PONDERADORES!$D$16,0)+IF(ISNUMBER(O3),PONDERADORES!$D$17,0)+IF(ISNUMBER(AVERAGE(W3:Z3)),PONDERADORES!$D$19,0)),"N/A")</f>
        <v>0.3125</v>
      </c>
      <c r="AQ3">
        <f>IF(ISNUMBER(M3),1,0)+IF(ISNUMBER(SCORECARDS!H3),1,0)+IF(ISNUMBER(SCORECARDS!I3),1,0)+IF(ISNUMBER(SCORECARDS!J3),1,0)+IF(ISNUMBER(ISCAM_Score!K4),1,0)+IF(ISNUMBER(O3),1,0)+IF(COUNT(W3:Z3)&gt;0,1,0)</f>
        <v>2</v>
      </c>
    </row>
    <row r="4" spans="1:45" ht="16.05" customHeight="1" x14ac:dyDescent="0.3">
      <c r="A4" t="s">
        <v>70</v>
      </c>
      <c r="B4" t="s">
        <v>71</v>
      </c>
      <c r="C4" t="s">
        <v>72</v>
      </c>
      <c r="D4" t="s">
        <v>73</v>
      </c>
      <c r="G4" t="s">
        <v>74</v>
      </c>
      <c r="J4" t="s">
        <v>67</v>
      </c>
      <c r="M4" t="str">
        <f t="shared" ref="M4:M67" si="3">IF(E4&gt;0,ROUND(L4/E4*100,1),"")</f>
        <v/>
      </c>
      <c r="N4" t="s">
        <v>68</v>
      </c>
      <c r="O4" t="str">
        <f t="shared" ref="O4:O67" si="4">IF(AND(H4="",I4=""),"",IF(H4="SI",1,0)*0.6+IF(I4="SI",1,0)*0.4)</f>
        <v/>
      </c>
      <c r="P4" t="s">
        <v>68</v>
      </c>
      <c r="S4">
        <f t="shared" si="0"/>
        <v>0</v>
      </c>
      <c r="T4" t="str">
        <f t="shared" si="1"/>
        <v>⬜  Parcial · Inst. 2 pendiente</v>
      </c>
      <c r="U4" s="53">
        <v>1</v>
      </c>
      <c r="V4" t="s">
        <v>69</v>
      </c>
      <c r="W4">
        <f>IF(NORMALIZADO!BV4="",0,NORMALIZADO!BV4)</f>
        <v>0</v>
      </c>
      <c r="X4">
        <f>IF(NORMALIZADO!BW4="",0,NORMALIZADO!BW4)</f>
        <v>0</v>
      </c>
      <c r="Y4">
        <f>IF(NORMALIZADO!BX4="",0,NORMALIZADO!BX4)</f>
        <v>0</v>
      </c>
      <c r="Z4">
        <f>IF(NORMALIZADO!BY4="",0,NORMALIZADO!BY4)</f>
        <v>0</v>
      </c>
      <c r="AO4" t="str">
        <f t="shared" si="2"/>
        <v>N/A</v>
      </c>
      <c r="AP4">
        <f>IFERROR((IF(ISNUMBER(M4),M4/100*PONDERADORES!$D$12,0)+IF(ISNUMBER(SCORECARDS!H4),SCORECARDS!H4/100*PONDERADORES!$D$13,0)+IF(ISNUMBER(SCORECARDS!I4),SCORECARDS!I4/100*PONDERADORES!$D$14,0)+IF(ISNUMBER(SCORECARDS!J4),SCORECARDS!J4/100*PONDERADORES!$D$15,0)+IF(ISNUMBER(ISCAM_Score!K5),ISCAM_Score!K5/100*PONDERADORES!$D$16,0)+IF(ISNUMBER(O4),O4*PONDERADORES!$D$17,0)+IF(ISNUMBER(AVERAGE(W4:Z4)),AVERAGE(W4:Z4)/2*PONDERADORES!$D$19,0))/(IF(ISNUMBER(M4),PONDERADORES!$D$12,0)+IF(ISNUMBER(SCORECARDS!H4),PONDERADORES!$D$13,0)+IF(ISNUMBER(SCORECARDS!I4),PONDERADORES!$D$14,0)+IF(ISNUMBER(SCORECARDS!J4),PONDERADORES!$D$15,0)+IF(ISNUMBER(ISCAM_Score!K5),PONDERADORES!$D$16,0)+IF(ISNUMBER(O4),PONDERADORES!$D$17,0)+IF(ISNUMBER(AVERAGE(W4:Z4)),PONDERADORES!$D$19,0)),"N/A")</f>
        <v>0</v>
      </c>
      <c r="AQ4">
        <f>IF(ISNUMBER(M4),1,0)+IF(ISNUMBER(SCORECARDS!H4),1,0)+IF(ISNUMBER(SCORECARDS!I4),1,0)+IF(ISNUMBER(SCORECARDS!J4),1,0)+IF(ISNUMBER(ISCAM_Score!K5),1,0)+IF(ISNUMBER(O4),1,0)+IF(COUNT(W4:Z4)&gt;0,1,0)</f>
        <v>1</v>
      </c>
    </row>
    <row r="5" spans="1:45" ht="16.05" customHeight="1" x14ac:dyDescent="0.3">
      <c r="A5" t="s">
        <v>75</v>
      </c>
      <c r="B5" t="s">
        <v>76</v>
      </c>
      <c r="C5" t="s">
        <v>77</v>
      </c>
      <c r="E5">
        <v>9603968.1199999992</v>
      </c>
      <c r="F5">
        <v>41</v>
      </c>
      <c r="G5" t="s">
        <v>66</v>
      </c>
      <c r="J5" t="s">
        <v>67</v>
      </c>
      <c r="L5">
        <v>4801984.0599999996</v>
      </c>
      <c r="M5">
        <f t="shared" si="3"/>
        <v>50</v>
      </c>
      <c r="N5" t="s">
        <v>68</v>
      </c>
      <c r="O5" t="str">
        <f t="shared" si="4"/>
        <v/>
      </c>
      <c r="P5" t="s">
        <v>68</v>
      </c>
      <c r="S5">
        <f t="shared" si="0"/>
        <v>31.3</v>
      </c>
      <c r="T5" t="str">
        <f t="shared" si="1"/>
        <v>⬜  Parcial · Inst. 2 pendiente</v>
      </c>
      <c r="U5" s="53">
        <v>1</v>
      </c>
      <c r="V5" t="s">
        <v>69</v>
      </c>
      <c r="W5">
        <f>IF(NORMALIZADO!BV5="",1,NORMALIZADO!BV5)</f>
        <v>1</v>
      </c>
      <c r="X5">
        <f>IF(NORMALIZADO!BW5="",0,NORMALIZADO!BW5)</f>
        <v>0</v>
      </c>
      <c r="Y5">
        <f>IF(NORMALIZADO!BX5="",0,NORMALIZADO!BX5)</f>
        <v>0</v>
      </c>
      <c r="Z5">
        <f>IF(NORMALIZADO!BY5="",0,NORMALIZADO!BY5)</f>
        <v>0</v>
      </c>
      <c r="AO5" t="str">
        <f t="shared" si="2"/>
        <v>N/A</v>
      </c>
      <c r="AP5">
        <f>IFERROR((IF(ISNUMBER(M5),M5/100*PONDERADORES!$D$12,0)+IF(ISNUMBER(SCORECARDS!H5),SCORECARDS!H5/100*PONDERADORES!$D$13,0)+IF(ISNUMBER(SCORECARDS!I5),SCORECARDS!I5/100*PONDERADORES!$D$14,0)+IF(ISNUMBER(SCORECARDS!J5),SCORECARDS!J5/100*PONDERADORES!$D$15,0)+IF(ISNUMBER(ISCAM_Score!K6),ISCAM_Score!K6/100*PONDERADORES!$D$16,0)+IF(ISNUMBER(O5),O5*PONDERADORES!$D$17,0)+IF(ISNUMBER(AVERAGE(W5:Z5)),AVERAGE(W5:Z5)/2*PONDERADORES!$D$19,0))/(IF(ISNUMBER(M5),PONDERADORES!$D$12,0)+IF(ISNUMBER(SCORECARDS!H5),PONDERADORES!$D$13,0)+IF(ISNUMBER(SCORECARDS!I5),PONDERADORES!$D$14,0)+IF(ISNUMBER(SCORECARDS!J5),PONDERADORES!$D$15,0)+IF(ISNUMBER(ISCAM_Score!K6),PONDERADORES!$D$16,0)+IF(ISNUMBER(O5),PONDERADORES!$D$17,0)+IF(ISNUMBER(AVERAGE(W5:Z5)),PONDERADORES!$D$19,0)),"N/A")</f>
        <v>0.3125</v>
      </c>
      <c r="AQ5">
        <f>IF(ISNUMBER(M5),1,0)+IF(ISNUMBER(SCORECARDS!H5),1,0)+IF(ISNUMBER(SCORECARDS!I5),1,0)+IF(ISNUMBER(SCORECARDS!J5),1,0)+IF(ISNUMBER(ISCAM_Score!K6),1,0)+IF(ISNUMBER(O5),1,0)+IF(COUNT(W5:Z5)&gt;0,1,0)</f>
        <v>2</v>
      </c>
    </row>
    <row r="6" spans="1:45" ht="16.05" customHeight="1" x14ac:dyDescent="0.3">
      <c r="A6" t="s">
        <v>78</v>
      </c>
      <c r="B6" t="s">
        <v>79</v>
      </c>
      <c r="C6" t="s">
        <v>80</v>
      </c>
      <c r="G6" t="s">
        <v>74</v>
      </c>
      <c r="H6" t="s">
        <v>66</v>
      </c>
      <c r="J6" t="s">
        <v>67</v>
      </c>
      <c r="M6" t="str">
        <f t="shared" si="3"/>
        <v/>
      </c>
      <c r="N6" t="s">
        <v>68</v>
      </c>
      <c r="O6">
        <f t="shared" si="4"/>
        <v>0.6</v>
      </c>
      <c r="P6" t="s">
        <v>68</v>
      </c>
      <c r="Q6">
        <v>44</v>
      </c>
      <c r="R6">
        <v>44</v>
      </c>
      <c r="S6">
        <f t="shared" si="0"/>
        <v>26.1</v>
      </c>
      <c r="T6" t="str">
        <f t="shared" si="1"/>
        <v>⬜  Parcial · Inst. 2 pendiente</v>
      </c>
      <c r="U6" s="53">
        <v>1</v>
      </c>
      <c r="V6" t="s">
        <v>69</v>
      </c>
      <c r="W6">
        <f>IF(NORMALIZADO!BV6="",1,NORMALIZADO!BV6)</f>
        <v>1</v>
      </c>
      <c r="X6">
        <f>IF(NORMALIZADO!BW6="",0,NORMALIZADO!BW6)</f>
        <v>0</v>
      </c>
      <c r="Y6">
        <f>IF(NORMALIZADO!BX6="",0,NORMALIZADO!BX6)</f>
        <v>0</v>
      </c>
      <c r="Z6">
        <f>IF(NORMALIZADO!BY6="",0,NORMALIZADO!BY6)</f>
        <v>0</v>
      </c>
      <c r="AO6" t="str">
        <f t="shared" si="2"/>
        <v>N/A</v>
      </c>
      <c r="AP6">
        <f>IFERROR((IF(ISNUMBER(M6),M6/100*PONDERADORES!$D$12,0)+IF(ISNUMBER(SCORECARDS!H6),SCORECARDS!H6/100*PONDERADORES!$D$13,0)+IF(ISNUMBER(SCORECARDS!I6),SCORECARDS!I6/100*PONDERADORES!$D$14,0)+IF(ISNUMBER(SCORECARDS!J6),SCORECARDS!J6/100*PONDERADORES!$D$15,0)+IF(ISNUMBER(ISCAM_Score!K7),ISCAM_Score!K7/100*PONDERADORES!$D$16,0)+IF(ISNUMBER(O6),O6*PONDERADORES!$D$17,0)+IF(ISNUMBER(AVERAGE(W6:Z6)),AVERAGE(W6:Z6)/2*PONDERADORES!$D$19,0))/(IF(ISNUMBER(M6),PONDERADORES!$D$12,0)+IF(ISNUMBER(SCORECARDS!H6),PONDERADORES!$D$13,0)+IF(ISNUMBER(SCORECARDS!I6),PONDERADORES!$D$14,0)+IF(ISNUMBER(SCORECARDS!J6),PONDERADORES!$D$15,0)+IF(ISNUMBER(ISCAM_Score!K7),PONDERADORES!$D$16,0)+IF(ISNUMBER(O6),PONDERADORES!$D$17,0)+IF(ISNUMBER(AVERAGE(W6:Z6)),PONDERADORES!$D$19,0)),"N/A")</f>
        <v>0.26071428571428573</v>
      </c>
      <c r="AQ6">
        <f>IF(ISNUMBER(M6),1,0)+IF(ISNUMBER(SCORECARDS!H6),1,0)+IF(ISNUMBER(SCORECARDS!I6),1,0)+IF(ISNUMBER(SCORECARDS!J6),1,0)+IF(ISNUMBER(ISCAM_Score!K7),1,0)+IF(ISNUMBER(O6),1,0)+IF(COUNT(W6:Z6)&gt;0,1,0)</f>
        <v>2</v>
      </c>
      <c r="AR6" t="s">
        <v>1543</v>
      </c>
      <c r="AS6" t="s">
        <v>1544</v>
      </c>
    </row>
    <row r="7" spans="1:45" ht="16.05" customHeight="1" x14ac:dyDescent="0.3">
      <c r="A7" t="s">
        <v>81</v>
      </c>
      <c r="B7" t="s">
        <v>82</v>
      </c>
      <c r="C7" t="s">
        <v>80</v>
      </c>
      <c r="D7" t="s">
        <v>65</v>
      </c>
      <c r="G7" t="s">
        <v>74</v>
      </c>
      <c r="H7" t="s">
        <v>66</v>
      </c>
      <c r="J7" t="s">
        <v>67</v>
      </c>
      <c r="K7" t="s">
        <v>83</v>
      </c>
      <c r="M7" t="str">
        <f t="shared" si="3"/>
        <v/>
      </c>
      <c r="N7" t="s">
        <v>68</v>
      </c>
      <c r="O7">
        <f t="shared" si="4"/>
        <v>0.6</v>
      </c>
      <c r="P7" t="s">
        <v>68</v>
      </c>
      <c r="Q7">
        <v>100</v>
      </c>
      <c r="R7">
        <v>218</v>
      </c>
      <c r="S7">
        <f t="shared" si="0"/>
        <v>26.1</v>
      </c>
      <c r="T7" t="str">
        <f t="shared" si="1"/>
        <v>⬜  Parcial · Inst. 2 pendiente</v>
      </c>
      <c r="U7" s="53">
        <v>1</v>
      </c>
      <c r="V7" t="s">
        <v>69</v>
      </c>
      <c r="W7">
        <f>IF(NORMALIZADO!BV7="",1,NORMALIZADO!BV7)</f>
        <v>1</v>
      </c>
      <c r="X7">
        <f>IF(NORMALIZADO!BW7="",0,NORMALIZADO!BW7)</f>
        <v>0</v>
      </c>
      <c r="Y7">
        <f>IF(NORMALIZADO!BX7="",0,NORMALIZADO!BX7)</f>
        <v>0</v>
      </c>
      <c r="Z7">
        <f>IF(NORMALIZADO!BY7="",0,NORMALIZADO!BY7)</f>
        <v>0</v>
      </c>
      <c r="AO7" t="str">
        <f t="shared" si="2"/>
        <v>N/A</v>
      </c>
      <c r="AP7">
        <f>IFERROR((IF(ISNUMBER(M7),M7/100*PONDERADORES!$D$12,0)+IF(ISNUMBER(SCORECARDS!H7),SCORECARDS!H7/100*PONDERADORES!$D$13,0)+IF(ISNUMBER(SCORECARDS!I7),SCORECARDS!I7/100*PONDERADORES!$D$14,0)+IF(ISNUMBER(SCORECARDS!J7),SCORECARDS!J7/100*PONDERADORES!$D$15,0)+IF(ISNUMBER(ISCAM_Score!K8),ISCAM_Score!K8/100*PONDERADORES!$D$16,0)+IF(ISNUMBER(O7),O7*PONDERADORES!$D$17,0)+IF(ISNUMBER(AVERAGE(W7:Z7)),AVERAGE(W7:Z7)/2*PONDERADORES!$D$19,0))/(IF(ISNUMBER(M7),PONDERADORES!$D$12,0)+IF(ISNUMBER(SCORECARDS!H7),PONDERADORES!$D$13,0)+IF(ISNUMBER(SCORECARDS!I7),PONDERADORES!$D$14,0)+IF(ISNUMBER(SCORECARDS!J7),PONDERADORES!$D$15,0)+IF(ISNUMBER(ISCAM_Score!K8),PONDERADORES!$D$16,0)+IF(ISNUMBER(O7),PONDERADORES!$D$17,0)+IF(ISNUMBER(AVERAGE(W7:Z7)),PONDERADORES!$D$19,0)),"N/A")</f>
        <v>0.26071428571428573</v>
      </c>
      <c r="AQ7">
        <f>IF(ISNUMBER(M7),1,0)+IF(ISNUMBER(SCORECARDS!H7),1,0)+IF(ISNUMBER(SCORECARDS!I7),1,0)+IF(ISNUMBER(SCORECARDS!J7),1,0)+IF(ISNUMBER(ISCAM_Score!K8),1,0)+IF(ISNUMBER(O7),1,0)+IF(COUNT(W7:Z7)&gt;0,1,0)</f>
        <v>2</v>
      </c>
      <c r="AR7" t="s">
        <v>1545</v>
      </c>
    </row>
    <row r="8" spans="1:45" ht="16.05" customHeight="1" x14ac:dyDescent="0.3">
      <c r="A8" t="s">
        <v>84</v>
      </c>
      <c r="B8" t="s">
        <v>85</v>
      </c>
      <c r="C8" t="s">
        <v>80</v>
      </c>
      <c r="D8" t="s">
        <v>65</v>
      </c>
      <c r="E8">
        <v>2477083.5</v>
      </c>
      <c r="F8">
        <v>14</v>
      </c>
      <c r="G8" t="s">
        <v>66</v>
      </c>
      <c r="J8" t="s">
        <v>67</v>
      </c>
      <c r="L8">
        <v>1238541.75</v>
      </c>
      <c r="M8">
        <f t="shared" si="3"/>
        <v>50</v>
      </c>
      <c r="N8" t="s">
        <v>68</v>
      </c>
      <c r="O8" t="str">
        <f t="shared" si="4"/>
        <v/>
      </c>
      <c r="P8" t="s">
        <v>68</v>
      </c>
      <c r="S8">
        <f t="shared" si="0"/>
        <v>31.3</v>
      </c>
      <c r="T8" t="str">
        <f t="shared" si="1"/>
        <v>⬜  Parcial · Inst. 2 pendiente</v>
      </c>
      <c r="U8" s="53">
        <v>1</v>
      </c>
      <c r="V8" t="s">
        <v>69</v>
      </c>
      <c r="W8">
        <f>IF(NORMALIZADO!BV8="",1,NORMALIZADO!BV8)</f>
        <v>1</v>
      </c>
      <c r="X8">
        <f>IF(NORMALIZADO!BW8="",0,NORMALIZADO!BW8)</f>
        <v>0</v>
      </c>
      <c r="Y8">
        <f>IF(NORMALIZADO!BX8="",0,NORMALIZADO!BX8)</f>
        <v>0</v>
      </c>
      <c r="Z8">
        <f>IF(NORMALIZADO!BY8="",0,NORMALIZADO!BY8)</f>
        <v>0</v>
      </c>
      <c r="AO8" t="str">
        <f t="shared" si="2"/>
        <v>N/A</v>
      </c>
      <c r="AP8">
        <f>IFERROR((IF(ISNUMBER(M8),M8/100*PONDERADORES!$D$12,0)+IF(ISNUMBER(SCORECARDS!H8),SCORECARDS!H8/100*PONDERADORES!$D$13,0)+IF(ISNUMBER(SCORECARDS!I8),SCORECARDS!I8/100*PONDERADORES!$D$14,0)+IF(ISNUMBER(SCORECARDS!J8),SCORECARDS!J8/100*PONDERADORES!$D$15,0)+IF(ISNUMBER(ISCAM_Score!K9),ISCAM_Score!K9/100*PONDERADORES!$D$16,0)+IF(ISNUMBER(O8),O8*PONDERADORES!$D$17,0)+IF(ISNUMBER(AVERAGE(W8:Z8)),AVERAGE(W8:Z8)/2*PONDERADORES!$D$19,0))/(IF(ISNUMBER(M8),PONDERADORES!$D$12,0)+IF(ISNUMBER(SCORECARDS!H8),PONDERADORES!$D$13,0)+IF(ISNUMBER(SCORECARDS!I8),PONDERADORES!$D$14,0)+IF(ISNUMBER(SCORECARDS!J8),PONDERADORES!$D$15,0)+IF(ISNUMBER(ISCAM_Score!K9),PONDERADORES!$D$16,0)+IF(ISNUMBER(O8),PONDERADORES!$D$17,0)+IF(ISNUMBER(AVERAGE(W8:Z8)),PONDERADORES!$D$19,0)),"N/A")</f>
        <v>0.3125</v>
      </c>
      <c r="AQ8">
        <f>IF(ISNUMBER(M8),1,0)+IF(ISNUMBER(SCORECARDS!H8),1,0)+IF(ISNUMBER(SCORECARDS!I8),1,0)+IF(ISNUMBER(SCORECARDS!J8),1,0)+IF(ISNUMBER(ISCAM_Score!K9),1,0)+IF(ISNUMBER(O8),1,0)+IF(COUNT(W8:Z8)&gt;0,1,0)</f>
        <v>2</v>
      </c>
    </row>
    <row r="9" spans="1:45" ht="16.05" customHeight="1" x14ac:dyDescent="0.3">
      <c r="A9" t="s">
        <v>86</v>
      </c>
      <c r="B9" t="s">
        <v>87</v>
      </c>
      <c r="C9" t="s">
        <v>80</v>
      </c>
      <c r="D9" t="s">
        <v>65</v>
      </c>
      <c r="E9">
        <v>1689820.33</v>
      </c>
      <c r="F9">
        <v>5</v>
      </c>
      <c r="G9" t="s">
        <v>66</v>
      </c>
      <c r="J9" t="s">
        <v>67</v>
      </c>
      <c r="L9">
        <v>0</v>
      </c>
      <c r="M9">
        <f t="shared" si="3"/>
        <v>0</v>
      </c>
      <c r="N9" t="s">
        <v>68</v>
      </c>
      <c r="O9" t="str">
        <f t="shared" si="4"/>
        <v/>
      </c>
      <c r="P9" t="s">
        <v>68</v>
      </c>
      <c r="S9">
        <f t="shared" si="0"/>
        <v>0</v>
      </c>
      <c r="T9" t="str">
        <f t="shared" si="1"/>
        <v>⬜  Parcial · Inst. 2 pendiente</v>
      </c>
      <c r="U9" s="53">
        <v>1</v>
      </c>
      <c r="V9" t="s">
        <v>69</v>
      </c>
      <c r="W9">
        <f>IF(NORMALIZADO!BV9="",0,NORMALIZADO!BV9)</f>
        <v>0</v>
      </c>
      <c r="X9">
        <f>IF(NORMALIZADO!BW9="",0,NORMALIZADO!BW9)</f>
        <v>0</v>
      </c>
      <c r="Y9">
        <f>IF(NORMALIZADO!BX9="",0,NORMALIZADO!BX9)</f>
        <v>0</v>
      </c>
      <c r="Z9">
        <f>IF(NORMALIZADO!BY9="",0,NORMALIZADO!BY9)</f>
        <v>0</v>
      </c>
      <c r="AO9" t="str">
        <f t="shared" si="2"/>
        <v>N/A</v>
      </c>
      <c r="AP9">
        <f>IFERROR((IF(ISNUMBER(M9),M9/100*PONDERADORES!$D$12,0)+IF(ISNUMBER(SCORECARDS!H9),SCORECARDS!H9/100*PONDERADORES!$D$13,0)+IF(ISNUMBER(SCORECARDS!I9),SCORECARDS!I9/100*PONDERADORES!$D$14,0)+IF(ISNUMBER(SCORECARDS!J9),SCORECARDS!J9/100*PONDERADORES!$D$15,0)+IF(ISNUMBER(ISCAM_Score!K10),ISCAM_Score!K10/100*PONDERADORES!$D$16,0)+IF(ISNUMBER(O9),O9*PONDERADORES!$D$17,0)+IF(ISNUMBER(AVERAGE(W9:Z9)),AVERAGE(W9:Z9)/2*PONDERADORES!$D$19,0))/(IF(ISNUMBER(M9),PONDERADORES!$D$12,0)+IF(ISNUMBER(SCORECARDS!H9),PONDERADORES!$D$13,0)+IF(ISNUMBER(SCORECARDS!I9),PONDERADORES!$D$14,0)+IF(ISNUMBER(SCORECARDS!J9),PONDERADORES!$D$15,0)+IF(ISNUMBER(ISCAM_Score!K10),PONDERADORES!$D$16,0)+IF(ISNUMBER(O9),PONDERADORES!$D$17,0)+IF(ISNUMBER(AVERAGE(W9:Z9)),PONDERADORES!$D$19,0)),"N/A")</f>
        <v>0</v>
      </c>
      <c r="AQ9">
        <f>IF(ISNUMBER(M9),1,0)+IF(ISNUMBER(SCORECARDS!H9),1,0)+IF(ISNUMBER(SCORECARDS!I9),1,0)+IF(ISNUMBER(SCORECARDS!J9),1,0)+IF(ISNUMBER(ISCAM_Score!K10),1,0)+IF(ISNUMBER(O9),1,0)+IF(COUNT(W9:Z9)&gt;0,1,0)</f>
        <v>2</v>
      </c>
    </row>
    <row r="10" spans="1:45" ht="16.05" customHeight="1" x14ac:dyDescent="0.3">
      <c r="A10" t="s">
        <v>88</v>
      </c>
      <c r="B10" t="s">
        <v>89</v>
      </c>
      <c r="C10" t="s">
        <v>80</v>
      </c>
      <c r="D10" t="s">
        <v>65</v>
      </c>
      <c r="G10" t="s">
        <v>74</v>
      </c>
      <c r="H10" t="s">
        <v>66</v>
      </c>
      <c r="I10" t="s">
        <v>66</v>
      </c>
      <c r="J10" t="s">
        <v>67</v>
      </c>
      <c r="K10" t="s">
        <v>83</v>
      </c>
      <c r="M10" t="str">
        <f t="shared" si="3"/>
        <v/>
      </c>
      <c r="N10" t="s">
        <v>68</v>
      </c>
      <c r="O10">
        <f t="shared" si="4"/>
        <v>1</v>
      </c>
      <c r="P10" t="s">
        <v>68</v>
      </c>
      <c r="Q10">
        <v>177</v>
      </c>
      <c r="R10">
        <v>469</v>
      </c>
      <c r="S10">
        <f t="shared" si="0"/>
        <v>37.5</v>
      </c>
      <c r="T10" t="str">
        <f t="shared" si="1"/>
        <v>⬜  Parcial · Inst. 2 pendiente</v>
      </c>
      <c r="U10" s="53">
        <v>1</v>
      </c>
      <c r="V10" t="s">
        <v>69</v>
      </c>
      <c r="W10">
        <f>IF(NORMALIZADO!BV10="",1,NORMALIZADO!BV10)</f>
        <v>1</v>
      </c>
      <c r="X10">
        <f>IF(NORMALIZADO!BW10="",0,NORMALIZADO!BW10)</f>
        <v>0</v>
      </c>
      <c r="Y10">
        <f>IF(NORMALIZADO!BX10="",0,NORMALIZADO!BX10)</f>
        <v>0</v>
      </c>
      <c r="Z10">
        <f>IF(NORMALIZADO!BY10="",0,NORMALIZADO!BY10)</f>
        <v>0</v>
      </c>
      <c r="AO10" t="str">
        <f t="shared" si="2"/>
        <v>N/A</v>
      </c>
      <c r="AP10">
        <f>IFERROR((IF(ISNUMBER(M10),M10/100*PONDERADORES!$D$12,0)+IF(ISNUMBER(SCORECARDS!H10),SCORECARDS!H10/100*PONDERADORES!$D$13,0)+IF(ISNUMBER(SCORECARDS!I10),SCORECARDS!I10/100*PONDERADORES!$D$14,0)+IF(ISNUMBER(SCORECARDS!J10),SCORECARDS!J10/100*PONDERADORES!$D$15,0)+IF(ISNUMBER(ISCAM_Score!K11),ISCAM_Score!K11/100*PONDERADORES!$D$16,0)+IF(ISNUMBER(O10),O10*PONDERADORES!$D$17,0)+IF(ISNUMBER(AVERAGE(W10:Z10)),AVERAGE(W10:Z10)/2*PONDERADORES!$D$19,0))/(IF(ISNUMBER(M10),PONDERADORES!$D$12,0)+IF(ISNUMBER(SCORECARDS!H10),PONDERADORES!$D$13,0)+IF(ISNUMBER(SCORECARDS!I10),PONDERADORES!$D$14,0)+IF(ISNUMBER(SCORECARDS!J10),PONDERADORES!$D$15,0)+IF(ISNUMBER(ISCAM_Score!K11),PONDERADORES!$D$16,0)+IF(ISNUMBER(O10),PONDERADORES!$D$17,0)+IF(ISNUMBER(AVERAGE(W10:Z10)),PONDERADORES!$D$19,0)),"N/A")</f>
        <v>0.375</v>
      </c>
      <c r="AQ10">
        <f>IF(ISNUMBER(M10),1,0)+IF(ISNUMBER(SCORECARDS!H10),1,0)+IF(ISNUMBER(SCORECARDS!I10),1,0)+IF(ISNUMBER(SCORECARDS!J10),1,0)+IF(ISNUMBER(ISCAM_Score!K11),1,0)+IF(ISNUMBER(O10),1,0)+IF(COUNT(W10:Z10)&gt;0,1,0)</f>
        <v>2</v>
      </c>
      <c r="AR10" t="s">
        <v>1546</v>
      </c>
      <c r="AS10" t="s">
        <v>1547</v>
      </c>
    </row>
    <row r="11" spans="1:45" ht="16.05" customHeight="1" x14ac:dyDescent="0.3">
      <c r="A11" t="s">
        <v>90</v>
      </c>
      <c r="B11" t="s">
        <v>91</v>
      </c>
      <c r="C11" t="s">
        <v>80</v>
      </c>
      <c r="D11" t="s">
        <v>65</v>
      </c>
      <c r="E11">
        <v>681394.36</v>
      </c>
      <c r="F11">
        <v>6</v>
      </c>
      <c r="G11" t="s">
        <v>66</v>
      </c>
      <c r="J11" t="s">
        <v>67</v>
      </c>
      <c r="L11">
        <v>0</v>
      </c>
      <c r="M11">
        <f t="shared" si="3"/>
        <v>0</v>
      </c>
      <c r="N11" t="s">
        <v>68</v>
      </c>
      <c r="O11" t="str">
        <f t="shared" si="4"/>
        <v/>
      </c>
      <c r="P11" t="s">
        <v>68</v>
      </c>
      <c r="S11">
        <f t="shared" si="0"/>
        <v>0</v>
      </c>
      <c r="T11" t="str">
        <f t="shared" si="1"/>
        <v>⬜  Parcial · Inst. 2 pendiente</v>
      </c>
      <c r="U11" s="53">
        <v>1</v>
      </c>
      <c r="V11" t="s">
        <v>69</v>
      </c>
      <c r="W11">
        <f>IF(NORMALIZADO!BV11="",0,NORMALIZADO!BV11)</f>
        <v>0</v>
      </c>
      <c r="X11">
        <f>IF(NORMALIZADO!BW11="",0,NORMALIZADO!BW11)</f>
        <v>0</v>
      </c>
      <c r="Y11">
        <f>IF(NORMALIZADO!BX11="",0,NORMALIZADO!BX11)</f>
        <v>0</v>
      </c>
      <c r="Z11">
        <f>IF(NORMALIZADO!BY11="",0,NORMALIZADO!BY11)</f>
        <v>0</v>
      </c>
      <c r="AO11" t="str">
        <f t="shared" si="2"/>
        <v>N/A</v>
      </c>
      <c r="AP11">
        <f>IFERROR((IF(ISNUMBER(M11),M11/100*PONDERADORES!$D$12,0)+IF(ISNUMBER(SCORECARDS!H11),SCORECARDS!H11/100*PONDERADORES!$D$13,0)+IF(ISNUMBER(SCORECARDS!I11),SCORECARDS!I11/100*PONDERADORES!$D$14,0)+IF(ISNUMBER(SCORECARDS!J11),SCORECARDS!J11/100*PONDERADORES!$D$15,0)+IF(ISNUMBER(ISCAM_Score!K12),ISCAM_Score!K12/100*PONDERADORES!$D$16,0)+IF(ISNUMBER(O11),O11*PONDERADORES!$D$17,0)+IF(ISNUMBER(AVERAGE(W11:Z11)),AVERAGE(W11:Z11)/2*PONDERADORES!$D$19,0))/(IF(ISNUMBER(M11),PONDERADORES!$D$12,0)+IF(ISNUMBER(SCORECARDS!H11),PONDERADORES!$D$13,0)+IF(ISNUMBER(SCORECARDS!I11),PONDERADORES!$D$14,0)+IF(ISNUMBER(SCORECARDS!J11),PONDERADORES!$D$15,0)+IF(ISNUMBER(ISCAM_Score!K12),PONDERADORES!$D$16,0)+IF(ISNUMBER(O11),PONDERADORES!$D$17,0)+IF(ISNUMBER(AVERAGE(W11:Z11)),PONDERADORES!$D$19,0)),"N/A")</f>
        <v>0</v>
      </c>
      <c r="AQ11">
        <f>IF(ISNUMBER(M11),1,0)+IF(ISNUMBER(SCORECARDS!H11),1,0)+IF(ISNUMBER(SCORECARDS!I11),1,0)+IF(ISNUMBER(SCORECARDS!J11),1,0)+IF(ISNUMBER(ISCAM_Score!K12),1,0)+IF(ISNUMBER(O11),1,0)+IF(COUNT(W11:Z11)&gt;0,1,0)</f>
        <v>2</v>
      </c>
    </row>
    <row r="12" spans="1:45" ht="16.05" customHeight="1" x14ac:dyDescent="0.3">
      <c r="A12" t="s">
        <v>92</v>
      </c>
      <c r="B12" t="s">
        <v>93</v>
      </c>
      <c r="C12" t="s">
        <v>80</v>
      </c>
      <c r="D12" t="s">
        <v>65</v>
      </c>
      <c r="E12">
        <v>4445611.5999999978</v>
      </c>
      <c r="F12">
        <v>33</v>
      </c>
      <c r="G12" t="s">
        <v>66</v>
      </c>
      <c r="H12" t="s">
        <v>66</v>
      </c>
      <c r="I12" t="s">
        <v>66</v>
      </c>
      <c r="J12" t="s">
        <v>67</v>
      </c>
      <c r="K12" t="s">
        <v>83</v>
      </c>
      <c r="L12">
        <v>894391.27</v>
      </c>
      <c r="M12">
        <f t="shared" si="3"/>
        <v>20.100000000000001</v>
      </c>
      <c r="N12" t="s">
        <v>68</v>
      </c>
      <c r="O12">
        <f t="shared" si="4"/>
        <v>1</v>
      </c>
      <c r="P12" t="s">
        <v>68</v>
      </c>
      <c r="Q12">
        <v>660</v>
      </c>
      <c r="R12">
        <v>1670</v>
      </c>
      <c r="S12">
        <f t="shared" si="0"/>
        <v>30.3</v>
      </c>
      <c r="T12" t="str">
        <f t="shared" si="1"/>
        <v>⬜  Parcial · Inst. 2 pendiente</v>
      </c>
      <c r="U12" s="54">
        <v>0.75</v>
      </c>
      <c r="V12" t="s">
        <v>94</v>
      </c>
      <c r="W12">
        <f>IF(NORMALIZADO!BV12="",1,NORMALIZADO!BV12)</f>
        <v>1</v>
      </c>
      <c r="X12">
        <f>IF(NORMALIZADO!BW12="",0,NORMALIZADO!BW12)</f>
        <v>0</v>
      </c>
      <c r="Y12">
        <f>IF(NORMALIZADO!BX12="",0,NORMALIZADO!BX12)</f>
        <v>0</v>
      </c>
      <c r="Z12">
        <f>IF(NORMALIZADO!BY12="",0,NORMALIZADO!BY12)</f>
        <v>0</v>
      </c>
      <c r="AO12" t="str">
        <f t="shared" si="2"/>
        <v>N/A</v>
      </c>
      <c r="AP12">
        <f>IFERROR((IF(ISNUMBER(M12),M12/100*PONDERADORES!$D$12,0)+IF(ISNUMBER(SCORECARDS!H12),SCORECARDS!H12/100*PONDERADORES!$D$13,0)+IF(ISNUMBER(SCORECARDS!I12),SCORECARDS!I12/100*PONDERADORES!$D$14,0)+IF(ISNUMBER(SCORECARDS!J12),SCORECARDS!J12/100*PONDERADORES!$D$15,0)+IF(ISNUMBER(ISCAM_Score!K13),ISCAM_Score!K13/100*PONDERADORES!$D$16,0)+IF(ISNUMBER(O12),O12*PONDERADORES!$D$17,0)+IF(ISNUMBER(AVERAGE(W12:Z12)),AVERAGE(W12:Z12)/2*PONDERADORES!$D$19,0))/(IF(ISNUMBER(M12),PONDERADORES!$D$12,0)+IF(ISNUMBER(SCORECARDS!H12),PONDERADORES!$D$13,0)+IF(ISNUMBER(SCORECARDS!I12),PONDERADORES!$D$14,0)+IF(ISNUMBER(SCORECARDS!J12),PONDERADORES!$D$15,0)+IF(ISNUMBER(ISCAM_Score!K13),PONDERADORES!$D$16,0)+IF(ISNUMBER(O12),PONDERADORES!$D$17,0)+IF(ISNUMBER(AVERAGE(W12:Z12)),PONDERADORES!$D$19,0)),"N/A")</f>
        <v>0.30249999999999999</v>
      </c>
      <c r="AQ12">
        <f>IF(ISNUMBER(M12),1,0)+IF(ISNUMBER(SCORECARDS!H12),1,0)+IF(ISNUMBER(SCORECARDS!I12),1,0)+IF(ISNUMBER(SCORECARDS!J12),1,0)+IF(ISNUMBER(ISCAM_Score!K13),1,0)+IF(ISNUMBER(O12),1,0)+IF(COUNT(W12:Z12)&gt;0,1,0)</f>
        <v>3</v>
      </c>
      <c r="AR12" t="s">
        <v>1548</v>
      </c>
      <c r="AS12" t="s">
        <v>1549</v>
      </c>
    </row>
    <row r="13" spans="1:45" ht="16.05" customHeight="1" x14ac:dyDescent="0.3">
      <c r="A13" t="s">
        <v>95</v>
      </c>
      <c r="B13" t="s">
        <v>96</v>
      </c>
      <c r="C13" t="s">
        <v>80</v>
      </c>
      <c r="D13" t="s">
        <v>65</v>
      </c>
      <c r="G13" t="s">
        <v>74</v>
      </c>
      <c r="H13" t="s">
        <v>66</v>
      </c>
      <c r="I13" t="s">
        <v>74</v>
      </c>
      <c r="J13" t="s">
        <v>67</v>
      </c>
      <c r="K13" t="s">
        <v>83</v>
      </c>
      <c r="M13" t="str">
        <f t="shared" si="3"/>
        <v/>
      </c>
      <c r="N13" t="s">
        <v>68</v>
      </c>
      <c r="O13">
        <f t="shared" si="4"/>
        <v>0.6</v>
      </c>
      <c r="P13" t="s">
        <v>68</v>
      </c>
      <c r="Q13">
        <v>49</v>
      </c>
      <c r="R13">
        <v>136.9</v>
      </c>
      <c r="S13">
        <f t="shared" si="0"/>
        <v>26.1</v>
      </c>
      <c r="T13" t="str">
        <f t="shared" si="1"/>
        <v>⬜  Parcial · Inst. 2 pendiente</v>
      </c>
      <c r="U13" s="53">
        <v>1</v>
      </c>
      <c r="V13" t="s">
        <v>69</v>
      </c>
      <c r="W13">
        <f>IF(NORMALIZADO!BV13="",1,NORMALIZADO!BV13)</f>
        <v>1</v>
      </c>
      <c r="X13">
        <f>IF(NORMALIZADO!BW13="",0,NORMALIZADO!BW13)</f>
        <v>0</v>
      </c>
      <c r="Y13">
        <f>IF(NORMALIZADO!BX13="",0,NORMALIZADO!BX13)</f>
        <v>0</v>
      </c>
      <c r="Z13">
        <f>IF(NORMALIZADO!BY13="",0,NORMALIZADO!BY13)</f>
        <v>0</v>
      </c>
      <c r="AO13" t="str">
        <f t="shared" si="2"/>
        <v>N/A</v>
      </c>
      <c r="AP13">
        <f>IFERROR((IF(ISNUMBER(M13),M13/100*PONDERADORES!$D$12,0)+IF(ISNUMBER(SCORECARDS!H13),SCORECARDS!H13/100*PONDERADORES!$D$13,0)+IF(ISNUMBER(SCORECARDS!I13),SCORECARDS!I13/100*PONDERADORES!$D$14,0)+IF(ISNUMBER(SCORECARDS!J13),SCORECARDS!J13/100*PONDERADORES!$D$15,0)+IF(ISNUMBER(ISCAM_Score!K14),ISCAM_Score!K14/100*PONDERADORES!$D$16,0)+IF(ISNUMBER(O13),O13*PONDERADORES!$D$17,0)+IF(ISNUMBER(AVERAGE(W13:Z13)),AVERAGE(W13:Z13)/2*PONDERADORES!$D$19,0))/(IF(ISNUMBER(M13),PONDERADORES!$D$12,0)+IF(ISNUMBER(SCORECARDS!H13),PONDERADORES!$D$13,0)+IF(ISNUMBER(SCORECARDS!I13),PONDERADORES!$D$14,0)+IF(ISNUMBER(SCORECARDS!J13),PONDERADORES!$D$15,0)+IF(ISNUMBER(ISCAM_Score!K14),PONDERADORES!$D$16,0)+IF(ISNUMBER(O13),PONDERADORES!$D$17,0)+IF(ISNUMBER(AVERAGE(W13:Z13)),PONDERADORES!$D$19,0)),"N/A")</f>
        <v>0.26071428571428573</v>
      </c>
      <c r="AQ13">
        <f>IF(ISNUMBER(M13),1,0)+IF(ISNUMBER(SCORECARDS!H13),1,0)+IF(ISNUMBER(SCORECARDS!I13),1,0)+IF(ISNUMBER(SCORECARDS!J13),1,0)+IF(ISNUMBER(ISCAM_Score!K14),1,0)+IF(ISNUMBER(O13),1,0)+IF(COUNT(W13:Z13)&gt;0,1,0)</f>
        <v>2</v>
      </c>
      <c r="AR13" t="s">
        <v>1550</v>
      </c>
      <c r="AS13" t="s">
        <v>1551</v>
      </c>
    </row>
    <row r="14" spans="1:45" ht="16.05" customHeight="1" x14ac:dyDescent="0.3">
      <c r="A14" t="s">
        <v>97</v>
      </c>
      <c r="B14" t="s">
        <v>98</v>
      </c>
      <c r="C14" t="s">
        <v>72</v>
      </c>
      <c r="D14" t="s">
        <v>73</v>
      </c>
      <c r="E14">
        <v>4030694.66</v>
      </c>
      <c r="F14">
        <v>14</v>
      </c>
      <c r="G14" t="s">
        <v>66</v>
      </c>
      <c r="J14" t="s">
        <v>67</v>
      </c>
      <c r="L14">
        <v>2015347.33</v>
      </c>
      <c r="M14">
        <f t="shared" si="3"/>
        <v>50</v>
      </c>
      <c r="N14" t="s">
        <v>68</v>
      </c>
      <c r="O14" t="str">
        <f t="shared" si="4"/>
        <v/>
      </c>
      <c r="P14" t="s">
        <v>68</v>
      </c>
      <c r="S14">
        <f t="shared" si="0"/>
        <v>31.3</v>
      </c>
      <c r="T14" t="str">
        <f t="shared" si="1"/>
        <v>⬜  Parcial · Inst. 2 pendiente</v>
      </c>
      <c r="U14" s="53">
        <v>1</v>
      </c>
      <c r="V14" t="s">
        <v>69</v>
      </c>
      <c r="W14">
        <f>IF(NORMALIZADO!BV14="",1,NORMALIZADO!BV14)</f>
        <v>1</v>
      </c>
      <c r="X14">
        <f>IF(NORMALIZADO!BW14="",0,NORMALIZADO!BW14)</f>
        <v>0</v>
      </c>
      <c r="Y14">
        <f>IF(NORMALIZADO!BX14="",0,NORMALIZADO!BX14)</f>
        <v>0</v>
      </c>
      <c r="Z14">
        <f>IF(NORMALIZADO!BY14="",0,NORMALIZADO!BY14)</f>
        <v>0</v>
      </c>
      <c r="AO14" t="str">
        <f t="shared" si="2"/>
        <v>N/A</v>
      </c>
      <c r="AP14">
        <f>IFERROR((IF(ISNUMBER(M14),M14/100*PONDERADORES!$D$12,0)+IF(ISNUMBER(SCORECARDS!H14),SCORECARDS!H14/100*PONDERADORES!$D$13,0)+IF(ISNUMBER(SCORECARDS!I14),SCORECARDS!I14/100*PONDERADORES!$D$14,0)+IF(ISNUMBER(SCORECARDS!J14),SCORECARDS!J14/100*PONDERADORES!$D$15,0)+IF(ISNUMBER(ISCAM_Score!K15),ISCAM_Score!K15/100*PONDERADORES!$D$16,0)+IF(ISNUMBER(O14),O14*PONDERADORES!$D$17,0)+IF(ISNUMBER(AVERAGE(W14:Z14)),AVERAGE(W14:Z14)/2*PONDERADORES!$D$19,0))/(IF(ISNUMBER(M14),PONDERADORES!$D$12,0)+IF(ISNUMBER(SCORECARDS!H14),PONDERADORES!$D$13,0)+IF(ISNUMBER(SCORECARDS!I14),PONDERADORES!$D$14,0)+IF(ISNUMBER(SCORECARDS!J14),PONDERADORES!$D$15,0)+IF(ISNUMBER(ISCAM_Score!K15),PONDERADORES!$D$16,0)+IF(ISNUMBER(O14),PONDERADORES!$D$17,0)+IF(ISNUMBER(AVERAGE(W14:Z14)),PONDERADORES!$D$19,0)),"N/A")</f>
        <v>0.3125</v>
      </c>
      <c r="AQ14">
        <f>IF(ISNUMBER(M14),1,0)+IF(ISNUMBER(SCORECARDS!H14),1,0)+IF(ISNUMBER(SCORECARDS!I14),1,0)+IF(ISNUMBER(SCORECARDS!J14),1,0)+IF(ISNUMBER(ISCAM_Score!K15),1,0)+IF(ISNUMBER(O14),1,0)+IF(COUNT(W14:Z14)&gt;0,1,0)</f>
        <v>2</v>
      </c>
    </row>
    <row r="15" spans="1:45" ht="16.05" customHeight="1" x14ac:dyDescent="0.3">
      <c r="A15" t="s">
        <v>99</v>
      </c>
      <c r="B15" t="s">
        <v>100</v>
      </c>
      <c r="C15" t="s">
        <v>64</v>
      </c>
      <c r="D15" t="s">
        <v>65</v>
      </c>
      <c r="G15" t="s">
        <v>74</v>
      </c>
      <c r="J15" t="s">
        <v>67</v>
      </c>
      <c r="M15" t="str">
        <f t="shared" si="3"/>
        <v/>
      </c>
      <c r="N15" t="s">
        <v>68</v>
      </c>
      <c r="O15" t="str">
        <f t="shared" si="4"/>
        <v/>
      </c>
      <c r="P15" t="s">
        <v>68</v>
      </c>
      <c r="S15">
        <f t="shared" si="0"/>
        <v>0</v>
      </c>
      <c r="T15" t="str">
        <f t="shared" si="1"/>
        <v>⬜  Parcial · Inst. 2 pendiente</v>
      </c>
      <c r="U15" s="53">
        <v>1</v>
      </c>
      <c r="V15" t="s">
        <v>69</v>
      </c>
      <c r="W15">
        <f>IF(NORMALIZADO!BV15="",0,NORMALIZADO!BV15)</f>
        <v>0</v>
      </c>
      <c r="X15">
        <f>IF(NORMALIZADO!BW15="",0,NORMALIZADO!BW15)</f>
        <v>0</v>
      </c>
      <c r="Y15">
        <f>IF(NORMALIZADO!BX15="",0,NORMALIZADO!BX15)</f>
        <v>0</v>
      </c>
      <c r="Z15">
        <f>IF(NORMALIZADO!BY15="",0,NORMALIZADO!BY15)</f>
        <v>0</v>
      </c>
      <c r="AO15" t="str">
        <f t="shared" si="2"/>
        <v>N/A</v>
      </c>
      <c r="AP15">
        <f>IFERROR((IF(ISNUMBER(M15),M15/100*PONDERADORES!$D$12,0)+IF(ISNUMBER(SCORECARDS!H15),SCORECARDS!H15/100*PONDERADORES!$D$13,0)+IF(ISNUMBER(SCORECARDS!I15),SCORECARDS!I15/100*PONDERADORES!$D$14,0)+IF(ISNUMBER(SCORECARDS!J15),SCORECARDS!J15/100*PONDERADORES!$D$15,0)+IF(ISNUMBER(ISCAM_Score!K16),ISCAM_Score!K16/100*PONDERADORES!$D$16,0)+IF(ISNUMBER(O15),O15*PONDERADORES!$D$17,0)+IF(ISNUMBER(AVERAGE(W15:Z15)),AVERAGE(W15:Z15)/2*PONDERADORES!$D$19,0))/(IF(ISNUMBER(M15),PONDERADORES!$D$12,0)+IF(ISNUMBER(SCORECARDS!H15),PONDERADORES!$D$13,0)+IF(ISNUMBER(SCORECARDS!I15),PONDERADORES!$D$14,0)+IF(ISNUMBER(SCORECARDS!J15),PONDERADORES!$D$15,0)+IF(ISNUMBER(ISCAM_Score!K16),PONDERADORES!$D$16,0)+IF(ISNUMBER(O15),PONDERADORES!$D$17,0)+IF(ISNUMBER(AVERAGE(W15:Z15)),PONDERADORES!$D$19,0)),"N/A")</f>
        <v>0</v>
      </c>
      <c r="AQ15">
        <f>IF(ISNUMBER(M15),1,0)+IF(ISNUMBER(SCORECARDS!H15),1,0)+IF(ISNUMBER(SCORECARDS!I15),1,0)+IF(ISNUMBER(SCORECARDS!J15),1,0)+IF(ISNUMBER(ISCAM_Score!K16),1,0)+IF(ISNUMBER(O15),1,0)+IF(COUNT(W15:Z15)&gt;0,1,0)</f>
        <v>1</v>
      </c>
    </row>
    <row r="16" spans="1:45" ht="16.05" customHeight="1" x14ac:dyDescent="0.3">
      <c r="A16" t="s">
        <v>101</v>
      </c>
      <c r="B16" t="s">
        <v>102</v>
      </c>
      <c r="C16" t="s">
        <v>103</v>
      </c>
      <c r="D16" t="s">
        <v>65</v>
      </c>
      <c r="G16" t="s">
        <v>74</v>
      </c>
      <c r="J16" t="s">
        <v>67</v>
      </c>
      <c r="M16" t="str">
        <f t="shared" si="3"/>
        <v/>
      </c>
      <c r="N16" t="s">
        <v>68</v>
      </c>
      <c r="O16" t="str">
        <f t="shared" si="4"/>
        <v/>
      </c>
      <c r="P16" t="s">
        <v>68</v>
      </c>
      <c r="S16">
        <f t="shared" si="0"/>
        <v>0</v>
      </c>
      <c r="T16" t="str">
        <f t="shared" si="1"/>
        <v>⬜  Parcial · Inst. 2 pendiente</v>
      </c>
      <c r="U16" s="53">
        <v>1</v>
      </c>
      <c r="V16" t="s">
        <v>69</v>
      </c>
      <c r="W16">
        <f>IF(NORMALIZADO!BV16="",0,NORMALIZADO!BV16)</f>
        <v>0</v>
      </c>
      <c r="X16">
        <f>IF(NORMALIZADO!BW16="",0,NORMALIZADO!BW16)</f>
        <v>0</v>
      </c>
      <c r="Y16">
        <f>IF(NORMALIZADO!BX16="",0,NORMALIZADO!BX16)</f>
        <v>0</v>
      </c>
      <c r="Z16">
        <f>IF(NORMALIZADO!BY16="",0,NORMALIZADO!BY16)</f>
        <v>0</v>
      </c>
      <c r="AO16" t="str">
        <f t="shared" si="2"/>
        <v>N/A</v>
      </c>
      <c r="AP16">
        <f>IFERROR((IF(ISNUMBER(M16),M16/100*PONDERADORES!$D$12,0)+IF(ISNUMBER(SCORECARDS!H16),SCORECARDS!H16/100*PONDERADORES!$D$13,0)+IF(ISNUMBER(SCORECARDS!I16),SCORECARDS!I16/100*PONDERADORES!$D$14,0)+IF(ISNUMBER(SCORECARDS!J16),SCORECARDS!J16/100*PONDERADORES!$D$15,0)+IF(ISNUMBER(ISCAM_Score!K17),ISCAM_Score!K17/100*PONDERADORES!$D$16,0)+IF(ISNUMBER(O16),O16*PONDERADORES!$D$17,0)+IF(ISNUMBER(AVERAGE(W16:Z16)),AVERAGE(W16:Z16)/2*PONDERADORES!$D$19,0))/(IF(ISNUMBER(M16),PONDERADORES!$D$12,0)+IF(ISNUMBER(SCORECARDS!H16),PONDERADORES!$D$13,0)+IF(ISNUMBER(SCORECARDS!I16),PONDERADORES!$D$14,0)+IF(ISNUMBER(SCORECARDS!J16),PONDERADORES!$D$15,0)+IF(ISNUMBER(ISCAM_Score!K17),PONDERADORES!$D$16,0)+IF(ISNUMBER(O16),PONDERADORES!$D$17,0)+IF(ISNUMBER(AVERAGE(W16:Z16)),PONDERADORES!$D$19,0)),"N/A")</f>
        <v>0</v>
      </c>
      <c r="AQ16">
        <f>IF(ISNUMBER(M16),1,0)+IF(ISNUMBER(SCORECARDS!H16),1,0)+IF(ISNUMBER(SCORECARDS!I16),1,0)+IF(ISNUMBER(SCORECARDS!J16),1,0)+IF(ISNUMBER(ISCAM_Score!K17),1,0)+IF(ISNUMBER(O16),1,0)+IF(COUNT(W16:Z16)&gt;0,1,0)</f>
        <v>1</v>
      </c>
    </row>
    <row r="17" spans="1:45" ht="16.05" customHeight="1" x14ac:dyDescent="0.3">
      <c r="A17" t="s">
        <v>104</v>
      </c>
      <c r="B17" t="s">
        <v>105</v>
      </c>
      <c r="C17" t="s">
        <v>80</v>
      </c>
      <c r="G17" t="s">
        <v>74</v>
      </c>
      <c r="H17" t="s">
        <v>66</v>
      </c>
      <c r="J17" t="s">
        <v>106</v>
      </c>
      <c r="M17" t="str">
        <f t="shared" si="3"/>
        <v/>
      </c>
      <c r="N17" t="s">
        <v>68</v>
      </c>
      <c r="O17">
        <f t="shared" si="4"/>
        <v>0.6</v>
      </c>
      <c r="P17" t="s">
        <v>68</v>
      </c>
      <c r="Q17">
        <v>74</v>
      </c>
      <c r="R17">
        <v>150</v>
      </c>
      <c r="S17">
        <f t="shared" si="0"/>
        <v>26.1</v>
      </c>
      <c r="T17" t="str">
        <f t="shared" si="1"/>
        <v>⬜  Parcial · Inst. 2 pendiente</v>
      </c>
      <c r="U17" s="53">
        <v>1</v>
      </c>
      <c r="V17" t="s">
        <v>69</v>
      </c>
      <c r="W17">
        <f>IF(NORMALIZADO!BV17="",1,NORMALIZADO!BV17)</f>
        <v>1</v>
      </c>
      <c r="X17">
        <f>IF(NORMALIZADO!BW17="",0,NORMALIZADO!BW17)</f>
        <v>0</v>
      </c>
      <c r="Y17">
        <f>IF(NORMALIZADO!BX17="",0,NORMALIZADO!BX17)</f>
        <v>0</v>
      </c>
      <c r="Z17">
        <f>IF(NORMALIZADO!BY17="",0,NORMALIZADO!BY17)</f>
        <v>0</v>
      </c>
      <c r="AO17" t="str">
        <f t="shared" si="2"/>
        <v>N/A</v>
      </c>
      <c r="AP17">
        <f>IFERROR((IF(ISNUMBER(M17),M17/100*PONDERADORES!$D$12,0)+IF(ISNUMBER(SCORECARDS!H17),SCORECARDS!H17/100*PONDERADORES!$D$13,0)+IF(ISNUMBER(SCORECARDS!I17),SCORECARDS!I17/100*PONDERADORES!$D$14,0)+IF(ISNUMBER(SCORECARDS!J17),SCORECARDS!J17/100*PONDERADORES!$D$15,0)+IF(ISNUMBER(ISCAM_Score!K18),ISCAM_Score!K18/100*PONDERADORES!$D$16,0)+IF(ISNUMBER(O17),O17*PONDERADORES!$D$17,0)+IF(ISNUMBER(AVERAGE(W17:Z17)),AVERAGE(W17:Z17)/2*PONDERADORES!$D$19,0))/(IF(ISNUMBER(M17),PONDERADORES!$D$12,0)+IF(ISNUMBER(SCORECARDS!H17),PONDERADORES!$D$13,0)+IF(ISNUMBER(SCORECARDS!I17),PONDERADORES!$D$14,0)+IF(ISNUMBER(SCORECARDS!J17),PONDERADORES!$D$15,0)+IF(ISNUMBER(ISCAM_Score!K18),PONDERADORES!$D$16,0)+IF(ISNUMBER(O17),PONDERADORES!$D$17,0)+IF(ISNUMBER(AVERAGE(W17:Z17)),PONDERADORES!$D$19,0)),"N/A")</f>
        <v>0.26071428571428573</v>
      </c>
      <c r="AQ17">
        <f>IF(ISNUMBER(M17),1,0)+IF(ISNUMBER(SCORECARDS!H17),1,0)+IF(ISNUMBER(SCORECARDS!I17),1,0)+IF(ISNUMBER(SCORECARDS!J17),1,0)+IF(ISNUMBER(ISCAM_Score!K18),1,0)+IF(ISNUMBER(O17),1,0)+IF(COUNT(W17:Z17)&gt;0,1,0)</f>
        <v>2</v>
      </c>
      <c r="AR17" t="s">
        <v>1543</v>
      </c>
      <c r="AS17" t="s">
        <v>1544</v>
      </c>
    </row>
    <row r="18" spans="1:45" ht="16.05" customHeight="1" x14ac:dyDescent="0.3">
      <c r="A18" t="s">
        <v>107</v>
      </c>
      <c r="B18" t="s">
        <v>108</v>
      </c>
      <c r="C18" t="s">
        <v>109</v>
      </c>
      <c r="D18" t="s">
        <v>73</v>
      </c>
      <c r="G18" t="s">
        <v>74</v>
      </c>
      <c r="J18" t="s">
        <v>67</v>
      </c>
      <c r="M18" t="str">
        <f t="shared" si="3"/>
        <v/>
      </c>
      <c r="N18" t="s">
        <v>68</v>
      </c>
      <c r="O18" t="str">
        <f t="shared" si="4"/>
        <v/>
      </c>
      <c r="P18" t="s">
        <v>68</v>
      </c>
      <c r="S18">
        <f t="shared" si="0"/>
        <v>0</v>
      </c>
      <c r="T18" t="str">
        <f t="shared" si="1"/>
        <v>⬜  Parcial · Inst. 2 pendiente</v>
      </c>
      <c r="U18" s="53">
        <v>1</v>
      </c>
      <c r="V18" t="s">
        <v>69</v>
      </c>
      <c r="W18">
        <f>IF(NORMALIZADO!BV18="",0,NORMALIZADO!BV18)</f>
        <v>0</v>
      </c>
      <c r="X18">
        <f>IF(NORMALIZADO!BW18="",0,NORMALIZADO!BW18)</f>
        <v>0</v>
      </c>
      <c r="Y18">
        <f>IF(NORMALIZADO!BX18="",0,NORMALIZADO!BX18)</f>
        <v>0</v>
      </c>
      <c r="Z18">
        <f>IF(NORMALIZADO!BY18="",0,NORMALIZADO!BY18)</f>
        <v>0</v>
      </c>
      <c r="AO18" t="str">
        <f t="shared" si="2"/>
        <v>N/A</v>
      </c>
      <c r="AP18">
        <f>IFERROR((IF(ISNUMBER(M18),M18/100*PONDERADORES!$D$12,0)+IF(ISNUMBER(SCORECARDS!H18),SCORECARDS!H18/100*PONDERADORES!$D$13,0)+IF(ISNUMBER(SCORECARDS!I18),SCORECARDS!I18/100*PONDERADORES!$D$14,0)+IF(ISNUMBER(SCORECARDS!J18),SCORECARDS!J18/100*PONDERADORES!$D$15,0)+IF(ISNUMBER(ISCAM_Score!K19),ISCAM_Score!K19/100*PONDERADORES!$D$16,0)+IF(ISNUMBER(O18),O18*PONDERADORES!$D$17,0)+IF(ISNUMBER(AVERAGE(W18:Z18)),AVERAGE(W18:Z18)/2*PONDERADORES!$D$19,0))/(IF(ISNUMBER(M18),PONDERADORES!$D$12,0)+IF(ISNUMBER(SCORECARDS!H18),PONDERADORES!$D$13,0)+IF(ISNUMBER(SCORECARDS!I18),PONDERADORES!$D$14,0)+IF(ISNUMBER(SCORECARDS!J18),PONDERADORES!$D$15,0)+IF(ISNUMBER(ISCAM_Score!K19),PONDERADORES!$D$16,0)+IF(ISNUMBER(O18),PONDERADORES!$D$17,0)+IF(ISNUMBER(AVERAGE(W18:Z18)),PONDERADORES!$D$19,0)),"N/A")</f>
        <v>0</v>
      </c>
      <c r="AQ18">
        <f>IF(ISNUMBER(M18),1,0)+IF(ISNUMBER(SCORECARDS!H18),1,0)+IF(ISNUMBER(SCORECARDS!I18),1,0)+IF(ISNUMBER(SCORECARDS!J18),1,0)+IF(ISNUMBER(ISCAM_Score!K19),1,0)+IF(ISNUMBER(O18),1,0)+IF(COUNT(W18:Z18)&gt;0,1,0)</f>
        <v>1</v>
      </c>
    </row>
    <row r="19" spans="1:45" ht="16.05" customHeight="1" x14ac:dyDescent="0.3">
      <c r="A19" t="s">
        <v>110</v>
      </c>
      <c r="B19" t="s">
        <v>111</v>
      </c>
      <c r="C19" t="s">
        <v>112</v>
      </c>
      <c r="D19" t="s">
        <v>65</v>
      </c>
      <c r="E19">
        <v>9070756.8800000008</v>
      </c>
      <c r="F19">
        <v>41</v>
      </c>
      <c r="G19" t="s">
        <v>66</v>
      </c>
      <c r="J19" t="s">
        <v>67</v>
      </c>
      <c r="L19">
        <v>4535378.4400000004</v>
      </c>
      <c r="M19">
        <f t="shared" si="3"/>
        <v>50</v>
      </c>
      <c r="N19" t="s">
        <v>68</v>
      </c>
      <c r="O19" t="str">
        <f t="shared" si="4"/>
        <v/>
      </c>
      <c r="P19" t="s">
        <v>68</v>
      </c>
      <c r="S19">
        <f t="shared" si="0"/>
        <v>31.3</v>
      </c>
      <c r="T19" t="str">
        <f t="shared" si="1"/>
        <v>⬜  Parcial · Inst. 2 pendiente</v>
      </c>
      <c r="U19" s="53">
        <v>1</v>
      </c>
      <c r="V19" t="s">
        <v>69</v>
      </c>
      <c r="W19">
        <f>IF(NORMALIZADO!BV19="",1,NORMALIZADO!BV19)</f>
        <v>1</v>
      </c>
      <c r="X19">
        <f>IF(NORMALIZADO!BW19="",0,NORMALIZADO!BW19)</f>
        <v>0</v>
      </c>
      <c r="Y19">
        <f>IF(NORMALIZADO!BX19="",0,NORMALIZADO!BX19)</f>
        <v>0</v>
      </c>
      <c r="Z19">
        <f>IF(NORMALIZADO!BY19="",0,NORMALIZADO!BY19)</f>
        <v>0</v>
      </c>
      <c r="AO19" t="str">
        <f t="shared" si="2"/>
        <v>N/A</v>
      </c>
      <c r="AP19">
        <f>IFERROR((IF(ISNUMBER(M19),M19/100*PONDERADORES!$D$12,0)+IF(ISNUMBER(SCORECARDS!H19),SCORECARDS!H19/100*PONDERADORES!$D$13,0)+IF(ISNUMBER(SCORECARDS!I19),SCORECARDS!I19/100*PONDERADORES!$D$14,0)+IF(ISNUMBER(SCORECARDS!J19),SCORECARDS!J19/100*PONDERADORES!$D$15,0)+IF(ISNUMBER(ISCAM_Score!K20),ISCAM_Score!K20/100*PONDERADORES!$D$16,0)+IF(ISNUMBER(O19),O19*PONDERADORES!$D$17,0)+IF(ISNUMBER(AVERAGE(W19:Z19)),AVERAGE(W19:Z19)/2*PONDERADORES!$D$19,0))/(IF(ISNUMBER(M19),PONDERADORES!$D$12,0)+IF(ISNUMBER(SCORECARDS!H19),PONDERADORES!$D$13,0)+IF(ISNUMBER(SCORECARDS!I19),PONDERADORES!$D$14,0)+IF(ISNUMBER(SCORECARDS!J19),PONDERADORES!$D$15,0)+IF(ISNUMBER(ISCAM_Score!K20),PONDERADORES!$D$16,0)+IF(ISNUMBER(O19),PONDERADORES!$D$17,0)+IF(ISNUMBER(AVERAGE(W19:Z19)),PONDERADORES!$D$19,0)),"N/A")</f>
        <v>0.3125</v>
      </c>
      <c r="AQ19">
        <f>IF(ISNUMBER(M19),1,0)+IF(ISNUMBER(SCORECARDS!H19),1,0)+IF(ISNUMBER(SCORECARDS!I19),1,0)+IF(ISNUMBER(SCORECARDS!J19),1,0)+IF(ISNUMBER(ISCAM_Score!K20),1,0)+IF(ISNUMBER(O19),1,0)+IF(COUNT(W19:Z19)&gt;0,1,0)</f>
        <v>2</v>
      </c>
    </row>
    <row r="20" spans="1:45" ht="16.05" customHeight="1" x14ac:dyDescent="0.3">
      <c r="A20" t="s">
        <v>113</v>
      </c>
      <c r="B20" t="s">
        <v>114</v>
      </c>
      <c r="C20" t="s">
        <v>80</v>
      </c>
      <c r="G20" t="s">
        <v>74</v>
      </c>
      <c r="H20" t="s">
        <v>66</v>
      </c>
      <c r="J20" t="s">
        <v>67</v>
      </c>
      <c r="M20" t="str">
        <f t="shared" si="3"/>
        <v/>
      </c>
      <c r="N20" t="s">
        <v>68</v>
      </c>
      <c r="O20">
        <f t="shared" si="4"/>
        <v>0.6</v>
      </c>
      <c r="P20" t="s">
        <v>68</v>
      </c>
      <c r="Q20">
        <v>36</v>
      </c>
      <c r="R20">
        <v>38</v>
      </c>
      <c r="S20">
        <f t="shared" si="0"/>
        <v>26.1</v>
      </c>
      <c r="T20" t="str">
        <f t="shared" si="1"/>
        <v>⬜  Parcial · Inst. 2 pendiente</v>
      </c>
      <c r="U20" s="53">
        <v>1</v>
      </c>
      <c r="V20" t="s">
        <v>69</v>
      </c>
      <c r="W20">
        <f>IF(NORMALIZADO!BV20="",1,NORMALIZADO!BV20)</f>
        <v>1</v>
      </c>
      <c r="X20">
        <f>IF(NORMALIZADO!BW20="",0,NORMALIZADO!BW20)</f>
        <v>0</v>
      </c>
      <c r="Y20">
        <f>IF(NORMALIZADO!BX20="",0,NORMALIZADO!BX20)</f>
        <v>0</v>
      </c>
      <c r="Z20">
        <f>IF(NORMALIZADO!BY20="",0,NORMALIZADO!BY20)</f>
        <v>0</v>
      </c>
      <c r="AO20" t="str">
        <f t="shared" si="2"/>
        <v>N/A</v>
      </c>
      <c r="AP20">
        <f>IFERROR((IF(ISNUMBER(M20),M20/100*PONDERADORES!$D$12,0)+IF(ISNUMBER(SCORECARDS!H20),SCORECARDS!H20/100*PONDERADORES!$D$13,0)+IF(ISNUMBER(SCORECARDS!I20),SCORECARDS!I20/100*PONDERADORES!$D$14,0)+IF(ISNUMBER(SCORECARDS!J20),SCORECARDS!J20/100*PONDERADORES!$D$15,0)+IF(ISNUMBER(ISCAM_Score!K21),ISCAM_Score!K21/100*PONDERADORES!$D$16,0)+IF(ISNUMBER(O20),O20*PONDERADORES!$D$17,0)+IF(ISNUMBER(AVERAGE(W20:Z20)),AVERAGE(W20:Z20)/2*PONDERADORES!$D$19,0))/(IF(ISNUMBER(M20),PONDERADORES!$D$12,0)+IF(ISNUMBER(SCORECARDS!H20),PONDERADORES!$D$13,0)+IF(ISNUMBER(SCORECARDS!I20),PONDERADORES!$D$14,0)+IF(ISNUMBER(SCORECARDS!J20),PONDERADORES!$D$15,0)+IF(ISNUMBER(ISCAM_Score!K21),PONDERADORES!$D$16,0)+IF(ISNUMBER(O20),PONDERADORES!$D$17,0)+IF(ISNUMBER(AVERAGE(W20:Z20)),PONDERADORES!$D$19,0)),"N/A")</f>
        <v>0.26071428571428573</v>
      </c>
      <c r="AQ20">
        <f>IF(ISNUMBER(M20),1,0)+IF(ISNUMBER(SCORECARDS!H20),1,0)+IF(ISNUMBER(SCORECARDS!I20),1,0)+IF(ISNUMBER(SCORECARDS!J20),1,0)+IF(ISNUMBER(ISCAM_Score!K21),1,0)+IF(ISNUMBER(O20),1,0)+IF(COUNT(W20:Z20)&gt;0,1,0)</f>
        <v>2</v>
      </c>
      <c r="AR20" t="s">
        <v>1543</v>
      </c>
      <c r="AS20" t="s">
        <v>1544</v>
      </c>
    </row>
    <row r="21" spans="1:45" ht="16.05" customHeight="1" x14ac:dyDescent="0.3">
      <c r="A21" t="s">
        <v>115</v>
      </c>
      <c r="B21" t="s">
        <v>116</v>
      </c>
      <c r="C21" t="s">
        <v>109</v>
      </c>
      <c r="D21" t="s">
        <v>73</v>
      </c>
      <c r="G21" t="s">
        <v>74</v>
      </c>
      <c r="J21" t="s">
        <v>106</v>
      </c>
      <c r="M21" t="str">
        <f t="shared" si="3"/>
        <v/>
      </c>
      <c r="N21" t="s">
        <v>68</v>
      </c>
      <c r="O21" t="str">
        <f t="shared" si="4"/>
        <v/>
      </c>
      <c r="P21" t="s">
        <v>68</v>
      </c>
      <c r="S21">
        <f t="shared" si="0"/>
        <v>0</v>
      </c>
      <c r="T21" t="str">
        <f t="shared" si="1"/>
        <v>⬜  Parcial · Inst. 2 pendiente</v>
      </c>
      <c r="U21" s="53">
        <v>1</v>
      </c>
      <c r="V21" t="s">
        <v>69</v>
      </c>
      <c r="W21">
        <f>IF(NORMALIZADO!BV21="",0,NORMALIZADO!BV21)</f>
        <v>0</v>
      </c>
      <c r="X21">
        <f>IF(NORMALIZADO!BW21="",0,NORMALIZADO!BW21)</f>
        <v>0</v>
      </c>
      <c r="Y21">
        <f>IF(NORMALIZADO!BX21="",0,NORMALIZADO!BX21)</f>
        <v>0</v>
      </c>
      <c r="Z21">
        <f>IF(NORMALIZADO!BY21="",0,NORMALIZADO!BY21)</f>
        <v>0</v>
      </c>
      <c r="AO21" t="str">
        <f t="shared" si="2"/>
        <v>N/A</v>
      </c>
      <c r="AP21">
        <f>IFERROR((IF(ISNUMBER(M21),M21/100*PONDERADORES!$D$12,0)+IF(ISNUMBER(SCORECARDS!H21),SCORECARDS!H21/100*PONDERADORES!$D$13,0)+IF(ISNUMBER(SCORECARDS!I21),SCORECARDS!I21/100*PONDERADORES!$D$14,0)+IF(ISNUMBER(SCORECARDS!J21),SCORECARDS!J21/100*PONDERADORES!$D$15,0)+IF(ISNUMBER(ISCAM_Score!K22),ISCAM_Score!K22/100*PONDERADORES!$D$16,0)+IF(ISNUMBER(O21),O21*PONDERADORES!$D$17,0)+IF(ISNUMBER(AVERAGE(W21:Z21)),AVERAGE(W21:Z21)/2*PONDERADORES!$D$19,0))/(IF(ISNUMBER(M21),PONDERADORES!$D$12,0)+IF(ISNUMBER(SCORECARDS!H21),PONDERADORES!$D$13,0)+IF(ISNUMBER(SCORECARDS!I21),PONDERADORES!$D$14,0)+IF(ISNUMBER(SCORECARDS!J21),PONDERADORES!$D$15,0)+IF(ISNUMBER(ISCAM_Score!K22),PONDERADORES!$D$16,0)+IF(ISNUMBER(O21),PONDERADORES!$D$17,0)+IF(ISNUMBER(AVERAGE(W21:Z21)),PONDERADORES!$D$19,0)),"N/A")</f>
        <v>0</v>
      </c>
      <c r="AQ21">
        <f>IF(ISNUMBER(M21),1,0)+IF(ISNUMBER(SCORECARDS!H21),1,0)+IF(ISNUMBER(SCORECARDS!I21),1,0)+IF(ISNUMBER(SCORECARDS!J21),1,0)+IF(ISNUMBER(ISCAM_Score!K22),1,0)+IF(ISNUMBER(O21),1,0)+IF(COUNT(W21:Z21)&gt;0,1,0)</f>
        <v>1</v>
      </c>
    </row>
    <row r="22" spans="1:45" ht="16.05" customHeight="1" x14ac:dyDescent="0.3">
      <c r="A22" t="s">
        <v>117</v>
      </c>
      <c r="B22" t="s">
        <v>118</v>
      </c>
      <c r="C22" t="s">
        <v>119</v>
      </c>
      <c r="D22" t="s">
        <v>65</v>
      </c>
      <c r="G22" t="s">
        <v>74</v>
      </c>
      <c r="J22" t="s">
        <v>67</v>
      </c>
      <c r="M22" t="str">
        <f t="shared" si="3"/>
        <v/>
      </c>
      <c r="N22" t="s">
        <v>68</v>
      </c>
      <c r="O22" t="str">
        <f t="shared" si="4"/>
        <v/>
      </c>
      <c r="P22" t="s">
        <v>68</v>
      </c>
      <c r="S22">
        <f t="shared" si="0"/>
        <v>0</v>
      </c>
      <c r="T22" t="str">
        <f t="shared" si="1"/>
        <v>⬜  Parcial · Inst. 2 pendiente</v>
      </c>
      <c r="U22" s="53">
        <v>1</v>
      </c>
      <c r="V22" t="s">
        <v>69</v>
      </c>
      <c r="W22">
        <f>IF(NORMALIZADO!BV22="",0,NORMALIZADO!BV22)</f>
        <v>0</v>
      </c>
      <c r="X22">
        <f>IF(NORMALIZADO!BW22="",0,NORMALIZADO!BW22)</f>
        <v>0</v>
      </c>
      <c r="Y22">
        <f>IF(NORMALIZADO!BX22="",0,NORMALIZADO!BX22)</f>
        <v>0</v>
      </c>
      <c r="Z22">
        <f>IF(NORMALIZADO!BY22="",0,NORMALIZADO!BY22)</f>
        <v>0</v>
      </c>
      <c r="AO22" t="str">
        <f t="shared" si="2"/>
        <v>N/A</v>
      </c>
      <c r="AP22">
        <f>IFERROR((IF(ISNUMBER(M22),M22/100*PONDERADORES!$D$12,0)+IF(ISNUMBER(SCORECARDS!H22),SCORECARDS!H22/100*PONDERADORES!$D$13,0)+IF(ISNUMBER(SCORECARDS!I22),SCORECARDS!I22/100*PONDERADORES!$D$14,0)+IF(ISNUMBER(SCORECARDS!J22),SCORECARDS!J22/100*PONDERADORES!$D$15,0)+IF(ISNUMBER(ISCAM_Score!K23),ISCAM_Score!K23/100*PONDERADORES!$D$16,0)+IF(ISNUMBER(O22),O22*PONDERADORES!$D$17,0)+IF(ISNUMBER(AVERAGE(W22:Z22)),AVERAGE(W22:Z22)/2*PONDERADORES!$D$19,0))/(IF(ISNUMBER(M22),PONDERADORES!$D$12,0)+IF(ISNUMBER(SCORECARDS!H22),PONDERADORES!$D$13,0)+IF(ISNUMBER(SCORECARDS!I22),PONDERADORES!$D$14,0)+IF(ISNUMBER(SCORECARDS!J22),PONDERADORES!$D$15,0)+IF(ISNUMBER(ISCAM_Score!K23),PONDERADORES!$D$16,0)+IF(ISNUMBER(O22),PONDERADORES!$D$17,0)+IF(ISNUMBER(AVERAGE(W22:Z22)),PONDERADORES!$D$19,0)),"N/A")</f>
        <v>0</v>
      </c>
      <c r="AQ22">
        <f>IF(ISNUMBER(M22),1,0)+IF(ISNUMBER(SCORECARDS!H22),1,0)+IF(ISNUMBER(SCORECARDS!I22),1,0)+IF(ISNUMBER(SCORECARDS!J22),1,0)+IF(ISNUMBER(ISCAM_Score!K23),1,0)+IF(ISNUMBER(O22),1,0)+IF(COUNT(W22:Z22)&gt;0,1,0)</f>
        <v>1</v>
      </c>
    </row>
    <row r="23" spans="1:45" ht="16.05" customHeight="1" x14ac:dyDescent="0.3">
      <c r="A23" t="s">
        <v>120</v>
      </c>
      <c r="B23" t="s">
        <v>121</v>
      </c>
      <c r="C23" t="s">
        <v>109</v>
      </c>
      <c r="D23" t="s">
        <v>73</v>
      </c>
      <c r="G23" t="s">
        <v>74</v>
      </c>
      <c r="J23" t="s">
        <v>67</v>
      </c>
      <c r="M23" t="str">
        <f t="shared" si="3"/>
        <v/>
      </c>
      <c r="N23" t="s">
        <v>68</v>
      </c>
      <c r="O23" t="str">
        <f t="shared" si="4"/>
        <v/>
      </c>
      <c r="P23" t="s">
        <v>68</v>
      </c>
      <c r="S23">
        <f t="shared" si="0"/>
        <v>0</v>
      </c>
      <c r="T23" t="str">
        <f t="shared" si="1"/>
        <v>⬜  Parcial · Inst. 2 pendiente</v>
      </c>
      <c r="U23" s="53">
        <v>1</v>
      </c>
      <c r="V23" t="s">
        <v>69</v>
      </c>
      <c r="W23">
        <f>IF(NORMALIZADO!BV23="",0,NORMALIZADO!BV23)</f>
        <v>0</v>
      </c>
      <c r="X23">
        <f>IF(NORMALIZADO!BW23="",0,NORMALIZADO!BW23)</f>
        <v>0</v>
      </c>
      <c r="Y23">
        <f>IF(NORMALIZADO!BX23="",0,NORMALIZADO!BX23)</f>
        <v>0</v>
      </c>
      <c r="Z23">
        <f>IF(NORMALIZADO!BY23="",0,NORMALIZADO!BY23)</f>
        <v>0</v>
      </c>
      <c r="AO23" t="str">
        <f t="shared" si="2"/>
        <v>N/A</v>
      </c>
      <c r="AP23">
        <f>IFERROR((IF(ISNUMBER(M23),M23/100*PONDERADORES!$D$12,0)+IF(ISNUMBER(SCORECARDS!H23),SCORECARDS!H23/100*PONDERADORES!$D$13,0)+IF(ISNUMBER(SCORECARDS!I23),SCORECARDS!I23/100*PONDERADORES!$D$14,0)+IF(ISNUMBER(SCORECARDS!J23),SCORECARDS!J23/100*PONDERADORES!$D$15,0)+IF(ISNUMBER(ISCAM_Score!K24),ISCAM_Score!K24/100*PONDERADORES!$D$16,0)+IF(ISNUMBER(O23),O23*PONDERADORES!$D$17,0)+IF(ISNUMBER(AVERAGE(W23:Z23)),AVERAGE(W23:Z23)/2*PONDERADORES!$D$19,0))/(IF(ISNUMBER(M23),PONDERADORES!$D$12,0)+IF(ISNUMBER(SCORECARDS!H23),PONDERADORES!$D$13,0)+IF(ISNUMBER(SCORECARDS!I23),PONDERADORES!$D$14,0)+IF(ISNUMBER(SCORECARDS!J23),PONDERADORES!$D$15,0)+IF(ISNUMBER(ISCAM_Score!K24),PONDERADORES!$D$16,0)+IF(ISNUMBER(O23),PONDERADORES!$D$17,0)+IF(ISNUMBER(AVERAGE(W23:Z23)),PONDERADORES!$D$19,0)),"N/A")</f>
        <v>0</v>
      </c>
      <c r="AQ23">
        <f>IF(ISNUMBER(M23),1,0)+IF(ISNUMBER(SCORECARDS!H23),1,0)+IF(ISNUMBER(SCORECARDS!I23),1,0)+IF(ISNUMBER(SCORECARDS!J23),1,0)+IF(ISNUMBER(ISCAM_Score!K24),1,0)+IF(ISNUMBER(O23),1,0)+IF(COUNT(W23:Z23)&gt;0,1,0)</f>
        <v>1</v>
      </c>
    </row>
    <row r="24" spans="1:45" ht="16.05" customHeight="1" x14ac:dyDescent="0.3">
      <c r="A24" t="s">
        <v>122</v>
      </c>
      <c r="B24" t="s">
        <v>123</v>
      </c>
      <c r="C24" t="s">
        <v>109</v>
      </c>
      <c r="D24" t="s">
        <v>73</v>
      </c>
      <c r="G24" t="s">
        <v>74</v>
      </c>
      <c r="J24" t="s">
        <v>124</v>
      </c>
      <c r="M24" t="str">
        <f t="shared" si="3"/>
        <v/>
      </c>
      <c r="N24" t="s">
        <v>68</v>
      </c>
      <c r="O24" t="str">
        <f t="shared" si="4"/>
        <v/>
      </c>
      <c r="P24" t="s">
        <v>68</v>
      </c>
      <c r="S24">
        <f t="shared" si="0"/>
        <v>0</v>
      </c>
      <c r="T24" t="str">
        <f t="shared" si="1"/>
        <v>⬜  Parcial · Inst. 2 pendiente</v>
      </c>
      <c r="U24" s="53">
        <v>1</v>
      </c>
      <c r="V24" t="s">
        <v>69</v>
      </c>
      <c r="W24">
        <f>IF(NORMALIZADO!BV24="",0,NORMALIZADO!BV24)</f>
        <v>0</v>
      </c>
      <c r="X24">
        <f>IF(NORMALIZADO!BW24="",0,NORMALIZADO!BW24)</f>
        <v>0</v>
      </c>
      <c r="Y24">
        <f>IF(NORMALIZADO!BX24="",0,NORMALIZADO!BX24)</f>
        <v>0</v>
      </c>
      <c r="Z24">
        <f>IF(NORMALIZADO!BY24="",0,NORMALIZADO!BY24)</f>
        <v>0</v>
      </c>
      <c r="AO24" t="str">
        <f t="shared" si="2"/>
        <v>N/A</v>
      </c>
      <c r="AP24">
        <f>IFERROR((IF(ISNUMBER(M24),M24/100*PONDERADORES!$D$12,0)+IF(ISNUMBER(SCORECARDS!H24),SCORECARDS!H24/100*PONDERADORES!$D$13,0)+IF(ISNUMBER(SCORECARDS!I24),SCORECARDS!I24/100*PONDERADORES!$D$14,0)+IF(ISNUMBER(SCORECARDS!J24),SCORECARDS!J24/100*PONDERADORES!$D$15,0)+IF(ISNUMBER(ISCAM_Score!K25),ISCAM_Score!K25/100*PONDERADORES!$D$16,0)+IF(ISNUMBER(O24),O24*PONDERADORES!$D$17,0)+IF(ISNUMBER(AVERAGE(W24:Z24)),AVERAGE(W24:Z24)/2*PONDERADORES!$D$19,0))/(IF(ISNUMBER(M24),PONDERADORES!$D$12,0)+IF(ISNUMBER(SCORECARDS!H24),PONDERADORES!$D$13,0)+IF(ISNUMBER(SCORECARDS!I24),PONDERADORES!$D$14,0)+IF(ISNUMBER(SCORECARDS!J24),PONDERADORES!$D$15,0)+IF(ISNUMBER(ISCAM_Score!K25),PONDERADORES!$D$16,0)+IF(ISNUMBER(O24),PONDERADORES!$D$17,0)+IF(ISNUMBER(AVERAGE(W24:Z24)),PONDERADORES!$D$19,0)),"N/A")</f>
        <v>0</v>
      </c>
      <c r="AQ24">
        <f>IF(ISNUMBER(M24),1,0)+IF(ISNUMBER(SCORECARDS!H24),1,0)+IF(ISNUMBER(SCORECARDS!I24),1,0)+IF(ISNUMBER(SCORECARDS!J24),1,0)+IF(ISNUMBER(ISCAM_Score!K25),1,0)+IF(ISNUMBER(O24),1,0)+IF(COUNT(W24:Z24)&gt;0,1,0)</f>
        <v>1</v>
      </c>
    </row>
    <row r="25" spans="1:45" ht="16.05" customHeight="1" x14ac:dyDescent="0.3">
      <c r="A25" t="s">
        <v>125</v>
      </c>
      <c r="B25" t="s">
        <v>126</v>
      </c>
      <c r="C25" t="s">
        <v>109</v>
      </c>
      <c r="D25" t="s">
        <v>73</v>
      </c>
      <c r="G25" t="s">
        <v>74</v>
      </c>
      <c r="J25" t="s">
        <v>67</v>
      </c>
      <c r="M25" t="str">
        <f t="shared" si="3"/>
        <v/>
      </c>
      <c r="N25" t="s">
        <v>68</v>
      </c>
      <c r="O25" t="str">
        <f t="shared" si="4"/>
        <v/>
      </c>
      <c r="P25" t="s">
        <v>68</v>
      </c>
      <c r="S25">
        <f t="shared" si="0"/>
        <v>0</v>
      </c>
      <c r="T25" t="str">
        <f t="shared" si="1"/>
        <v>⬜  Parcial · Inst. 2 pendiente</v>
      </c>
      <c r="U25" s="53">
        <v>1</v>
      </c>
      <c r="V25" t="s">
        <v>69</v>
      </c>
      <c r="W25">
        <f>IF(NORMALIZADO!BV25="",0,NORMALIZADO!BV25)</f>
        <v>0</v>
      </c>
      <c r="X25">
        <f>IF(NORMALIZADO!BW25="",0,NORMALIZADO!BW25)</f>
        <v>0</v>
      </c>
      <c r="Y25">
        <f>IF(NORMALIZADO!BX25="",0,NORMALIZADO!BX25)</f>
        <v>0</v>
      </c>
      <c r="Z25">
        <f>IF(NORMALIZADO!BY25="",0,NORMALIZADO!BY25)</f>
        <v>0</v>
      </c>
      <c r="AO25" t="str">
        <f t="shared" si="2"/>
        <v>N/A</v>
      </c>
      <c r="AP25">
        <f>IFERROR((IF(ISNUMBER(M25),M25/100*PONDERADORES!$D$12,0)+IF(ISNUMBER(SCORECARDS!H25),SCORECARDS!H25/100*PONDERADORES!$D$13,0)+IF(ISNUMBER(SCORECARDS!I25),SCORECARDS!I25/100*PONDERADORES!$D$14,0)+IF(ISNUMBER(SCORECARDS!J25),SCORECARDS!J25/100*PONDERADORES!$D$15,0)+IF(ISNUMBER(ISCAM_Score!K26),ISCAM_Score!K26/100*PONDERADORES!$D$16,0)+IF(ISNUMBER(O25),O25*PONDERADORES!$D$17,0)+IF(ISNUMBER(AVERAGE(W25:Z25)),AVERAGE(W25:Z25)/2*PONDERADORES!$D$19,0))/(IF(ISNUMBER(M25),PONDERADORES!$D$12,0)+IF(ISNUMBER(SCORECARDS!H25),PONDERADORES!$D$13,0)+IF(ISNUMBER(SCORECARDS!I25),PONDERADORES!$D$14,0)+IF(ISNUMBER(SCORECARDS!J25),PONDERADORES!$D$15,0)+IF(ISNUMBER(ISCAM_Score!K26),PONDERADORES!$D$16,0)+IF(ISNUMBER(O25),PONDERADORES!$D$17,0)+IF(ISNUMBER(AVERAGE(W25:Z25)),PONDERADORES!$D$19,0)),"N/A")</f>
        <v>0</v>
      </c>
      <c r="AQ25">
        <f>IF(ISNUMBER(M25),1,0)+IF(ISNUMBER(SCORECARDS!H25),1,0)+IF(ISNUMBER(SCORECARDS!I25),1,0)+IF(ISNUMBER(SCORECARDS!J25),1,0)+IF(ISNUMBER(ISCAM_Score!K26),1,0)+IF(ISNUMBER(O25),1,0)+IF(COUNT(W25:Z25)&gt;0,1,0)</f>
        <v>1</v>
      </c>
    </row>
    <row r="26" spans="1:45" ht="16.05" customHeight="1" x14ac:dyDescent="0.3">
      <c r="A26" t="s">
        <v>127</v>
      </c>
      <c r="B26" t="s">
        <v>128</v>
      </c>
      <c r="C26" t="s">
        <v>109</v>
      </c>
      <c r="D26" t="s">
        <v>65</v>
      </c>
      <c r="G26" t="s">
        <v>74</v>
      </c>
      <c r="J26" t="s">
        <v>67</v>
      </c>
      <c r="M26" t="str">
        <f t="shared" si="3"/>
        <v/>
      </c>
      <c r="N26" t="s">
        <v>68</v>
      </c>
      <c r="O26" t="str">
        <f t="shared" si="4"/>
        <v/>
      </c>
      <c r="P26" t="s">
        <v>68</v>
      </c>
      <c r="S26">
        <f t="shared" si="0"/>
        <v>0</v>
      </c>
      <c r="T26" t="str">
        <f t="shared" si="1"/>
        <v>⬜  Parcial · Inst. 2 pendiente</v>
      </c>
      <c r="U26" s="53">
        <v>1</v>
      </c>
      <c r="V26" t="s">
        <v>69</v>
      </c>
      <c r="W26">
        <f>IF(NORMALIZADO!BV26="",0,NORMALIZADO!BV26)</f>
        <v>0</v>
      </c>
      <c r="X26">
        <f>IF(NORMALIZADO!BW26="",0,NORMALIZADO!BW26)</f>
        <v>0</v>
      </c>
      <c r="Y26">
        <f>IF(NORMALIZADO!BX26="",0,NORMALIZADO!BX26)</f>
        <v>0</v>
      </c>
      <c r="Z26">
        <f>IF(NORMALIZADO!BY26="",0,NORMALIZADO!BY26)</f>
        <v>0</v>
      </c>
      <c r="AO26" t="str">
        <f t="shared" si="2"/>
        <v>N/A</v>
      </c>
      <c r="AP26">
        <f>IFERROR((IF(ISNUMBER(M26),M26/100*PONDERADORES!$D$12,0)+IF(ISNUMBER(SCORECARDS!H26),SCORECARDS!H26/100*PONDERADORES!$D$13,0)+IF(ISNUMBER(SCORECARDS!I26),SCORECARDS!I26/100*PONDERADORES!$D$14,0)+IF(ISNUMBER(SCORECARDS!J26),SCORECARDS!J26/100*PONDERADORES!$D$15,0)+IF(ISNUMBER(ISCAM_Score!K27),ISCAM_Score!K27/100*PONDERADORES!$D$16,0)+IF(ISNUMBER(O26),O26*PONDERADORES!$D$17,0)+IF(ISNUMBER(AVERAGE(W26:Z26)),AVERAGE(W26:Z26)/2*PONDERADORES!$D$19,0))/(IF(ISNUMBER(M26),PONDERADORES!$D$12,0)+IF(ISNUMBER(SCORECARDS!H26),PONDERADORES!$D$13,0)+IF(ISNUMBER(SCORECARDS!I26),PONDERADORES!$D$14,0)+IF(ISNUMBER(SCORECARDS!J26),PONDERADORES!$D$15,0)+IF(ISNUMBER(ISCAM_Score!K27),PONDERADORES!$D$16,0)+IF(ISNUMBER(O26),PONDERADORES!$D$17,0)+IF(ISNUMBER(AVERAGE(W26:Z26)),PONDERADORES!$D$19,0)),"N/A")</f>
        <v>0</v>
      </c>
      <c r="AQ26">
        <f>IF(ISNUMBER(M26),1,0)+IF(ISNUMBER(SCORECARDS!H26),1,0)+IF(ISNUMBER(SCORECARDS!I26),1,0)+IF(ISNUMBER(SCORECARDS!J26),1,0)+IF(ISNUMBER(ISCAM_Score!K27),1,0)+IF(ISNUMBER(O26),1,0)+IF(COUNT(W26:Z26)&gt;0,1,0)</f>
        <v>1</v>
      </c>
    </row>
    <row r="27" spans="1:45" ht="16.05" customHeight="1" x14ac:dyDescent="0.3">
      <c r="A27" t="s">
        <v>129</v>
      </c>
      <c r="B27" t="s">
        <v>130</v>
      </c>
      <c r="C27" t="s">
        <v>109</v>
      </c>
      <c r="D27" t="s">
        <v>73</v>
      </c>
      <c r="G27" t="s">
        <v>74</v>
      </c>
      <c r="J27" t="s">
        <v>67</v>
      </c>
      <c r="M27" t="str">
        <f t="shared" si="3"/>
        <v/>
      </c>
      <c r="N27" t="s">
        <v>68</v>
      </c>
      <c r="O27" t="str">
        <f t="shared" si="4"/>
        <v/>
      </c>
      <c r="P27" t="s">
        <v>68</v>
      </c>
      <c r="S27">
        <f t="shared" si="0"/>
        <v>0</v>
      </c>
      <c r="T27" t="str">
        <f t="shared" si="1"/>
        <v>⬜  Parcial · Inst. 2 pendiente</v>
      </c>
      <c r="U27" s="53">
        <v>1</v>
      </c>
      <c r="V27" t="s">
        <v>69</v>
      </c>
      <c r="W27">
        <f>IF(NORMALIZADO!BV27="",0,NORMALIZADO!BV27)</f>
        <v>0</v>
      </c>
      <c r="X27">
        <f>IF(NORMALIZADO!BW27="",0,NORMALIZADO!BW27)</f>
        <v>0</v>
      </c>
      <c r="Y27">
        <f>IF(NORMALIZADO!BX27="",0,NORMALIZADO!BX27)</f>
        <v>0</v>
      </c>
      <c r="Z27">
        <f>IF(NORMALIZADO!BY27="",0,NORMALIZADO!BY27)</f>
        <v>0</v>
      </c>
      <c r="AO27" t="str">
        <f t="shared" si="2"/>
        <v>N/A</v>
      </c>
      <c r="AP27">
        <f>IFERROR((IF(ISNUMBER(M27),M27/100*PONDERADORES!$D$12,0)+IF(ISNUMBER(SCORECARDS!H27),SCORECARDS!H27/100*PONDERADORES!$D$13,0)+IF(ISNUMBER(SCORECARDS!I27),SCORECARDS!I27/100*PONDERADORES!$D$14,0)+IF(ISNUMBER(SCORECARDS!J27),SCORECARDS!J27/100*PONDERADORES!$D$15,0)+IF(ISNUMBER(ISCAM_Score!K28),ISCAM_Score!K28/100*PONDERADORES!$D$16,0)+IF(ISNUMBER(O27),O27*PONDERADORES!$D$17,0)+IF(ISNUMBER(AVERAGE(W27:Z27)),AVERAGE(W27:Z27)/2*PONDERADORES!$D$19,0))/(IF(ISNUMBER(M27),PONDERADORES!$D$12,0)+IF(ISNUMBER(SCORECARDS!H27),PONDERADORES!$D$13,0)+IF(ISNUMBER(SCORECARDS!I27),PONDERADORES!$D$14,0)+IF(ISNUMBER(SCORECARDS!J27),PONDERADORES!$D$15,0)+IF(ISNUMBER(ISCAM_Score!K28),PONDERADORES!$D$16,0)+IF(ISNUMBER(O27),PONDERADORES!$D$17,0)+IF(ISNUMBER(AVERAGE(W27:Z27)),PONDERADORES!$D$19,0)),"N/A")</f>
        <v>0</v>
      </c>
      <c r="AQ27">
        <f>IF(ISNUMBER(M27),1,0)+IF(ISNUMBER(SCORECARDS!H27),1,0)+IF(ISNUMBER(SCORECARDS!I27),1,0)+IF(ISNUMBER(SCORECARDS!J27),1,0)+IF(ISNUMBER(ISCAM_Score!K28),1,0)+IF(ISNUMBER(O27),1,0)+IF(COUNT(W27:Z27)&gt;0,1,0)</f>
        <v>1</v>
      </c>
    </row>
    <row r="28" spans="1:45" ht="16.05" customHeight="1" x14ac:dyDescent="0.3">
      <c r="A28" t="s">
        <v>131</v>
      </c>
      <c r="B28" t="s">
        <v>132</v>
      </c>
      <c r="C28" t="s">
        <v>109</v>
      </c>
      <c r="D28" t="s">
        <v>73</v>
      </c>
      <c r="G28" t="s">
        <v>74</v>
      </c>
      <c r="J28" t="s">
        <v>67</v>
      </c>
      <c r="M28" t="str">
        <f t="shared" si="3"/>
        <v/>
      </c>
      <c r="N28" t="s">
        <v>68</v>
      </c>
      <c r="O28" t="str">
        <f t="shared" si="4"/>
        <v/>
      </c>
      <c r="P28" t="s">
        <v>68</v>
      </c>
      <c r="S28">
        <f t="shared" si="0"/>
        <v>0</v>
      </c>
      <c r="T28" t="str">
        <f t="shared" si="1"/>
        <v>⬜  Parcial · Inst. 2 pendiente</v>
      </c>
      <c r="U28" s="53">
        <v>1</v>
      </c>
      <c r="V28" t="s">
        <v>69</v>
      </c>
      <c r="W28">
        <f>IF(NORMALIZADO!BV28="",0,NORMALIZADO!BV28)</f>
        <v>0</v>
      </c>
      <c r="X28">
        <f>IF(NORMALIZADO!BW28="",0,NORMALIZADO!BW28)</f>
        <v>0</v>
      </c>
      <c r="Y28">
        <f>IF(NORMALIZADO!BX28="",0,NORMALIZADO!BX28)</f>
        <v>0</v>
      </c>
      <c r="Z28">
        <f>IF(NORMALIZADO!BY28="",0,NORMALIZADO!BY28)</f>
        <v>0</v>
      </c>
      <c r="AO28" t="str">
        <f t="shared" si="2"/>
        <v>N/A</v>
      </c>
      <c r="AP28">
        <f>IFERROR((IF(ISNUMBER(M28),M28/100*PONDERADORES!$D$12,0)+IF(ISNUMBER(SCORECARDS!H28),SCORECARDS!H28/100*PONDERADORES!$D$13,0)+IF(ISNUMBER(SCORECARDS!I28),SCORECARDS!I28/100*PONDERADORES!$D$14,0)+IF(ISNUMBER(SCORECARDS!J28),SCORECARDS!J28/100*PONDERADORES!$D$15,0)+IF(ISNUMBER(ISCAM_Score!K29),ISCAM_Score!K29/100*PONDERADORES!$D$16,0)+IF(ISNUMBER(O28),O28*PONDERADORES!$D$17,0)+IF(ISNUMBER(AVERAGE(W28:Z28)),AVERAGE(W28:Z28)/2*PONDERADORES!$D$19,0))/(IF(ISNUMBER(M28),PONDERADORES!$D$12,0)+IF(ISNUMBER(SCORECARDS!H28),PONDERADORES!$D$13,0)+IF(ISNUMBER(SCORECARDS!I28),PONDERADORES!$D$14,0)+IF(ISNUMBER(SCORECARDS!J28),PONDERADORES!$D$15,0)+IF(ISNUMBER(ISCAM_Score!K29),PONDERADORES!$D$16,0)+IF(ISNUMBER(O28),PONDERADORES!$D$17,0)+IF(ISNUMBER(AVERAGE(W28:Z28)),PONDERADORES!$D$19,0)),"N/A")</f>
        <v>0</v>
      </c>
      <c r="AQ28">
        <f>IF(ISNUMBER(M28),1,0)+IF(ISNUMBER(SCORECARDS!H28),1,0)+IF(ISNUMBER(SCORECARDS!I28),1,0)+IF(ISNUMBER(SCORECARDS!J28),1,0)+IF(ISNUMBER(ISCAM_Score!K29),1,0)+IF(ISNUMBER(O28),1,0)+IF(COUNT(W28:Z28)&gt;0,1,0)</f>
        <v>1</v>
      </c>
    </row>
    <row r="29" spans="1:45" ht="16.05" customHeight="1" x14ac:dyDescent="0.3">
      <c r="A29" t="s">
        <v>133</v>
      </c>
      <c r="B29" t="s">
        <v>134</v>
      </c>
      <c r="C29" t="s">
        <v>109</v>
      </c>
      <c r="D29" t="s">
        <v>73</v>
      </c>
      <c r="G29" t="s">
        <v>74</v>
      </c>
      <c r="J29" t="s">
        <v>67</v>
      </c>
      <c r="M29" t="str">
        <f t="shared" si="3"/>
        <v/>
      </c>
      <c r="N29" t="s">
        <v>68</v>
      </c>
      <c r="O29" t="str">
        <f t="shared" si="4"/>
        <v/>
      </c>
      <c r="P29" t="s">
        <v>68</v>
      </c>
      <c r="S29">
        <f t="shared" si="0"/>
        <v>0</v>
      </c>
      <c r="T29" t="str">
        <f t="shared" si="1"/>
        <v>⬜  Parcial · Inst. 2 pendiente</v>
      </c>
      <c r="U29" s="53">
        <v>1</v>
      </c>
      <c r="V29" t="s">
        <v>69</v>
      </c>
      <c r="W29">
        <f>IF(NORMALIZADO!BV29="",0,NORMALIZADO!BV29)</f>
        <v>0</v>
      </c>
      <c r="X29">
        <f>IF(NORMALIZADO!BW29="",0,NORMALIZADO!BW29)</f>
        <v>0</v>
      </c>
      <c r="Y29">
        <f>IF(NORMALIZADO!BX29="",0,NORMALIZADO!BX29)</f>
        <v>0</v>
      </c>
      <c r="Z29">
        <f>IF(NORMALIZADO!BY29="",0,NORMALIZADO!BY29)</f>
        <v>0</v>
      </c>
      <c r="AO29" t="str">
        <f t="shared" si="2"/>
        <v>N/A</v>
      </c>
      <c r="AP29">
        <f>IFERROR((IF(ISNUMBER(M29),M29/100*PONDERADORES!$D$12,0)+IF(ISNUMBER(SCORECARDS!H29),SCORECARDS!H29/100*PONDERADORES!$D$13,0)+IF(ISNUMBER(SCORECARDS!I29),SCORECARDS!I29/100*PONDERADORES!$D$14,0)+IF(ISNUMBER(SCORECARDS!J29),SCORECARDS!J29/100*PONDERADORES!$D$15,0)+IF(ISNUMBER(ISCAM_Score!K30),ISCAM_Score!K30/100*PONDERADORES!$D$16,0)+IF(ISNUMBER(O29),O29*PONDERADORES!$D$17,0)+IF(ISNUMBER(AVERAGE(W29:Z29)),AVERAGE(W29:Z29)/2*PONDERADORES!$D$19,0))/(IF(ISNUMBER(M29),PONDERADORES!$D$12,0)+IF(ISNUMBER(SCORECARDS!H29),PONDERADORES!$D$13,0)+IF(ISNUMBER(SCORECARDS!I29),PONDERADORES!$D$14,0)+IF(ISNUMBER(SCORECARDS!J29),PONDERADORES!$D$15,0)+IF(ISNUMBER(ISCAM_Score!K30),PONDERADORES!$D$16,0)+IF(ISNUMBER(O29),PONDERADORES!$D$17,0)+IF(ISNUMBER(AVERAGE(W29:Z29)),PONDERADORES!$D$19,0)),"N/A")</f>
        <v>0</v>
      </c>
      <c r="AQ29">
        <f>IF(ISNUMBER(M29),1,0)+IF(ISNUMBER(SCORECARDS!H29),1,0)+IF(ISNUMBER(SCORECARDS!I29),1,0)+IF(ISNUMBER(SCORECARDS!J29),1,0)+IF(ISNUMBER(ISCAM_Score!K30),1,0)+IF(ISNUMBER(O29),1,0)+IF(COUNT(W29:Z29)&gt;0,1,0)</f>
        <v>1</v>
      </c>
    </row>
    <row r="30" spans="1:45" ht="16.05" customHeight="1" x14ac:dyDescent="0.3">
      <c r="A30" t="s">
        <v>135</v>
      </c>
      <c r="B30" t="s">
        <v>136</v>
      </c>
      <c r="C30" t="s">
        <v>64</v>
      </c>
      <c r="D30" t="s">
        <v>73</v>
      </c>
      <c r="G30" t="s">
        <v>74</v>
      </c>
      <c r="J30" t="s">
        <v>67</v>
      </c>
      <c r="M30" t="str">
        <f t="shared" si="3"/>
        <v/>
      </c>
      <c r="N30" t="s">
        <v>68</v>
      </c>
      <c r="O30" t="str">
        <f t="shared" si="4"/>
        <v/>
      </c>
      <c r="P30" t="s">
        <v>68</v>
      </c>
      <c r="S30">
        <f t="shared" si="0"/>
        <v>0</v>
      </c>
      <c r="T30" t="str">
        <f t="shared" si="1"/>
        <v>⬜  Parcial · Inst. 2 pendiente</v>
      </c>
      <c r="U30" s="53">
        <v>1</v>
      </c>
      <c r="V30" t="s">
        <v>69</v>
      </c>
      <c r="W30">
        <f>IF(NORMALIZADO!BV30="",0,NORMALIZADO!BV30)</f>
        <v>0</v>
      </c>
      <c r="X30">
        <f>IF(NORMALIZADO!BW30="",0,NORMALIZADO!BW30)</f>
        <v>0</v>
      </c>
      <c r="Y30">
        <f>IF(NORMALIZADO!BX30="",0,NORMALIZADO!BX30)</f>
        <v>0</v>
      </c>
      <c r="Z30">
        <f>IF(NORMALIZADO!BY30="",0,NORMALIZADO!BY30)</f>
        <v>0</v>
      </c>
      <c r="AO30" t="str">
        <f t="shared" si="2"/>
        <v>N/A</v>
      </c>
      <c r="AP30">
        <f>IFERROR((IF(ISNUMBER(M30),M30/100*PONDERADORES!$D$12,0)+IF(ISNUMBER(SCORECARDS!H30),SCORECARDS!H30/100*PONDERADORES!$D$13,0)+IF(ISNUMBER(SCORECARDS!I30),SCORECARDS!I30/100*PONDERADORES!$D$14,0)+IF(ISNUMBER(SCORECARDS!J30),SCORECARDS!J30/100*PONDERADORES!$D$15,0)+IF(ISNUMBER(ISCAM_Score!K31),ISCAM_Score!K31/100*PONDERADORES!$D$16,0)+IF(ISNUMBER(O30),O30*PONDERADORES!$D$17,0)+IF(ISNUMBER(AVERAGE(W30:Z30)),AVERAGE(W30:Z30)/2*PONDERADORES!$D$19,0))/(IF(ISNUMBER(M30),PONDERADORES!$D$12,0)+IF(ISNUMBER(SCORECARDS!H30),PONDERADORES!$D$13,0)+IF(ISNUMBER(SCORECARDS!I30),PONDERADORES!$D$14,0)+IF(ISNUMBER(SCORECARDS!J30),PONDERADORES!$D$15,0)+IF(ISNUMBER(ISCAM_Score!K31),PONDERADORES!$D$16,0)+IF(ISNUMBER(O30),PONDERADORES!$D$17,0)+IF(ISNUMBER(AVERAGE(W30:Z30)),PONDERADORES!$D$19,0)),"N/A")</f>
        <v>0</v>
      </c>
      <c r="AQ30">
        <f>IF(ISNUMBER(M30),1,0)+IF(ISNUMBER(SCORECARDS!H30),1,0)+IF(ISNUMBER(SCORECARDS!I30),1,0)+IF(ISNUMBER(SCORECARDS!J30),1,0)+IF(ISNUMBER(ISCAM_Score!K31),1,0)+IF(ISNUMBER(O30),1,0)+IF(COUNT(W30:Z30)&gt;0,1,0)</f>
        <v>1</v>
      </c>
    </row>
    <row r="31" spans="1:45" ht="16.05" customHeight="1" x14ac:dyDescent="0.3">
      <c r="A31" t="s">
        <v>137</v>
      </c>
      <c r="B31" t="s">
        <v>138</v>
      </c>
      <c r="C31" t="s">
        <v>139</v>
      </c>
      <c r="D31" t="s">
        <v>65</v>
      </c>
      <c r="G31" t="s">
        <v>74</v>
      </c>
      <c r="J31" t="s">
        <v>67</v>
      </c>
      <c r="M31" t="str">
        <f t="shared" si="3"/>
        <v/>
      </c>
      <c r="N31" t="s">
        <v>68</v>
      </c>
      <c r="O31" t="str">
        <f t="shared" si="4"/>
        <v/>
      </c>
      <c r="P31" t="s">
        <v>68</v>
      </c>
      <c r="S31">
        <f t="shared" si="0"/>
        <v>0</v>
      </c>
      <c r="T31" t="str">
        <f t="shared" si="1"/>
        <v>⬜  Parcial · Inst. 2 pendiente</v>
      </c>
      <c r="U31" s="53">
        <v>1</v>
      </c>
      <c r="V31" t="s">
        <v>69</v>
      </c>
      <c r="W31">
        <f>IF(NORMALIZADO!BV31="",0,NORMALIZADO!BV31)</f>
        <v>0</v>
      </c>
      <c r="X31">
        <f>IF(NORMALIZADO!BW31="",0,NORMALIZADO!BW31)</f>
        <v>0</v>
      </c>
      <c r="Y31">
        <f>IF(NORMALIZADO!BX31="",0,NORMALIZADO!BX31)</f>
        <v>0</v>
      </c>
      <c r="Z31">
        <f>IF(NORMALIZADO!BY31="",0,NORMALIZADO!BY31)</f>
        <v>0</v>
      </c>
      <c r="AO31" t="str">
        <f t="shared" si="2"/>
        <v>N/A</v>
      </c>
      <c r="AP31">
        <f>IFERROR((IF(ISNUMBER(M31),M31/100*PONDERADORES!$D$12,0)+IF(ISNUMBER(SCORECARDS!H31),SCORECARDS!H31/100*PONDERADORES!$D$13,0)+IF(ISNUMBER(SCORECARDS!I31),SCORECARDS!I31/100*PONDERADORES!$D$14,0)+IF(ISNUMBER(SCORECARDS!J31),SCORECARDS!J31/100*PONDERADORES!$D$15,0)+IF(ISNUMBER(ISCAM_Score!K32),ISCAM_Score!K32/100*PONDERADORES!$D$16,0)+IF(ISNUMBER(O31),O31*PONDERADORES!$D$17,0)+IF(ISNUMBER(AVERAGE(W31:Z31)),AVERAGE(W31:Z31)/2*PONDERADORES!$D$19,0))/(IF(ISNUMBER(M31),PONDERADORES!$D$12,0)+IF(ISNUMBER(SCORECARDS!H31),PONDERADORES!$D$13,0)+IF(ISNUMBER(SCORECARDS!I31),PONDERADORES!$D$14,0)+IF(ISNUMBER(SCORECARDS!J31),PONDERADORES!$D$15,0)+IF(ISNUMBER(ISCAM_Score!K32),PONDERADORES!$D$16,0)+IF(ISNUMBER(O31),PONDERADORES!$D$17,0)+IF(ISNUMBER(AVERAGE(W31:Z31)),PONDERADORES!$D$19,0)),"N/A")</f>
        <v>0</v>
      </c>
      <c r="AQ31">
        <f>IF(ISNUMBER(M31),1,0)+IF(ISNUMBER(SCORECARDS!H31),1,0)+IF(ISNUMBER(SCORECARDS!I31),1,0)+IF(ISNUMBER(SCORECARDS!J31),1,0)+IF(ISNUMBER(ISCAM_Score!K32),1,0)+IF(ISNUMBER(O31),1,0)+IF(COUNT(W31:Z31)&gt;0,1,0)</f>
        <v>1</v>
      </c>
    </row>
    <row r="32" spans="1:45" ht="16.05" customHeight="1" x14ac:dyDescent="0.3">
      <c r="A32" t="s">
        <v>140</v>
      </c>
      <c r="B32" t="s">
        <v>141</v>
      </c>
      <c r="C32" t="s">
        <v>139</v>
      </c>
      <c r="D32" t="s">
        <v>73</v>
      </c>
      <c r="G32" t="s">
        <v>74</v>
      </c>
      <c r="J32" t="s">
        <v>67</v>
      </c>
      <c r="M32" t="str">
        <f t="shared" si="3"/>
        <v/>
      </c>
      <c r="N32" t="s">
        <v>68</v>
      </c>
      <c r="O32" t="str">
        <f t="shared" si="4"/>
        <v/>
      </c>
      <c r="P32" t="s">
        <v>68</v>
      </c>
      <c r="S32">
        <f t="shared" si="0"/>
        <v>0</v>
      </c>
      <c r="T32" t="str">
        <f t="shared" si="1"/>
        <v>⬜  Parcial · Inst. 2 pendiente</v>
      </c>
      <c r="U32" s="53">
        <v>1</v>
      </c>
      <c r="V32" t="s">
        <v>69</v>
      </c>
      <c r="W32">
        <f>IF(NORMALIZADO!BV32="",0,NORMALIZADO!BV32)</f>
        <v>0</v>
      </c>
      <c r="X32">
        <f>IF(NORMALIZADO!BW32="",0,NORMALIZADO!BW32)</f>
        <v>0</v>
      </c>
      <c r="Y32">
        <f>IF(NORMALIZADO!BX32="",0,NORMALIZADO!BX32)</f>
        <v>0</v>
      </c>
      <c r="Z32">
        <f>IF(NORMALIZADO!BY32="",0,NORMALIZADO!BY32)</f>
        <v>0</v>
      </c>
      <c r="AO32" t="str">
        <f t="shared" si="2"/>
        <v>N/A</v>
      </c>
      <c r="AP32">
        <f>IFERROR((IF(ISNUMBER(M32),M32/100*PONDERADORES!$D$12,0)+IF(ISNUMBER(SCORECARDS!H32),SCORECARDS!H32/100*PONDERADORES!$D$13,0)+IF(ISNUMBER(SCORECARDS!I32),SCORECARDS!I32/100*PONDERADORES!$D$14,0)+IF(ISNUMBER(SCORECARDS!J32),SCORECARDS!J32/100*PONDERADORES!$D$15,0)+IF(ISNUMBER(ISCAM_Score!K33),ISCAM_Score!K33/100*PONDERADORES!$D$16,0)+IF(ISNUMBER(O32),O32*PONDERADORES!$D$17,0)+IF(ISNUMBER(AVERAGE(W32:Z32)),AVERAGE(W32:Z32)/2*PONDERADORES!$D$19,0))/(IF(ISNUMBER(M32),PONDERADORES!$D$12,0)+IF(ISNUMBER(SCORECARDS!H32),PONDERADORES!$D$13,0)+IF(ISNUMBER(SCORECARDS!I32),PONDERADORES!$D$14,0)+IF(ISNUMBER(SCORECARDS!J32),PONDERADORES!$D$15,0)+IF(ISNUMBER(ISCAM_Score!K33),PONDERADORES!$D$16,0)+IF(ISNUMBER(O32),PONDERADORES!$D$17,0)+IF(ISNUMBER(AVERAGE(W32:Z32)),PONDERADORES!$D$19,0)),"N/A")</f>
        <v>0</v>
      </c>
      <c r="AQ32">
        <f>IF(ISNUMBER(M32),1,0)+IF(ISNUMBER(SCORECARDS!H32),1,0)+IF(ISNUMBER(SCORECARDS!I32),1,0)+IF(ISNUMBER(SCORECARDS!J32),1,0)+IF(ISNUMBER(ISCAM_Score!K33),1,0)+IF(ISNUMBER(O32),1,0)+IF(COUNT(W32:Z32)&gt;0,1,0)</f>
        <v>1</v>
      </c>
    </row>
    <row r="33" spans="1:45" ht="16.05" customHeight="1" x14ac:dyDescent="0.3">
      <c r="A33" t="s">
        <v>142</v>
      </c>
      <c r="B33" t="s">
        <v>143</v>
      </c>
      <c r="C33" t="s">
        <v>139</v>
      </c>
      <c r="D33" t="s">
        <v>65</v>
      </c>
      <c r="G33" t="s">
        <v>74</v>
      </c>
      <c r="J33" t="s">
        <v>67</v>
      </c>
      <c r="M33" t="str">
        <f t="shared" si="3"/>
        <v/>
      </c>
      <c r="N33" t="s">
        <v>68</v>
      </c>
      <c r="O33" t="str">
        <f t="shared" si="4"/>
        <v/>
      </c>
      <c r="P33" t="s">
        <v>68</v>
      </c>
      <c r="S33">
        <f t="shared" si="0"/>
        <v>0</v>
      </c>
      <c r="T33" t="str">
        <f t="shared" si="1"/>
        <v>⬜  Parcial · Inst. 2 pendiente</v>
      </c>
      <c r="U33" s="53">
        <v>1</v>
      </c>
      <c r="V33" t="s">
        <v>69</v>
      </c>
      <c r="W33">
        <f>IF(NORMALIZADO!BV33="",0,NORMALIZADO!BV33)</f>
        <v>0</v>
      </c>
      <c r="X33">
        <f>IF(NORMALIZADO!BW33="",0,NORMALIZADO!BW33)</f>
        <v>0</v>
      </c>
      <c r="Y33">
        <f>IF(NORMALIZADO!BX33="",0,NORMALIZADO!BX33)</f>
        <v>0</v>
      </c>
      <c r="Z33">
        <f>IF(NORMALIZADO!BY33="",0,NORMALIZADO!BY33)</f>
        <v>0</v>
      </c>
      <c r="AO33" t="str">
        <f t="shared" si="2"/>
        <v>N/A</v>
      </c>
      <c r="AP33">
        <f>IFERROR((IF(ISNUMBER(M33),M33/100*PONDERADORES!$D$12,0)+IF(ISNUMBER(SCORECARDS!H33),SCORECARDS!H33/100*PONDERADORES!$D$13,0)+IF(ISNUMBER(SCORECARDS!I33),SCORECARDS!I33/100*PONDERADORES!$D$14,0)+IF(ISNUMBER(SCORECARDS!J33),SCORECARDS!J33/100*PONDERADORES!$D$15,0)+IF(ISNUMBER(ISCAM_Score!K34),ISCAM_Score!K34/100*PONDERADORES!$D$16,0)+IF(ISNUMBER(O33),O33*PONDERADORES!$D$17,0)+IF(ISNUMBER(AVERAGE(W33:Z33)),AVERAGE(W33:Z33)/2*PONDERADORES!$D$19,0))/(IF(ISNUMBER(M33),PONDERADORES!$D$12,0)+IF(ISNUMBER(SCORECARDS!H33),PONDERADORES!$D$13,0)+IF(ISNUMBER(SCORECARDS!I33),PONDERADORES!$D$14,0)+IF(ISNUMBER(SCORECARDS!J33),PONDERADORES!$D$15,0)+IF(ISNUMBER(ISCAM_Score!K34),PONDERADORES!$D$16,0)+IF(ISNUMBER(O33),PONDERADORES!$D$17,0)+IF(ISNUMBER(AVERAGE(W33:Z33)),PONDERADORES!$D$19,0)),"N/A")</f>
        <v>0</v>
      </c>
      <c r="AQ33">
        <f>IF(ISNUMBER(M33),1,0)+IF(ISNUMBER(SCORECARDS!H33),1,0)+IF(ISNUMBER(SCORECARDS!I33),1,0)+IF(ISNUMBER(SCORECARDS!J33),1,0)+IF(ISNUMBER(ISCAM_Score!K34),1,0)+IF(ISNUMBER(O33),1,0)+IF(COUNT(W33:Z33)&gt;0,1,0)</f>
        <v>1</v>
      </c>
    </row>
    <row r="34" spans="1:45" ht="16.05" customHeight="1" x14ac:dyDescent="0.3">
      <c r="A34" t="s">
        <v>144</v>
      </c>
      <c r="B34" t="s">
        <v>145</v>
      </c>
      <c r="C34" t="s">
        <v>139</v>
      </c>
      <c r="D34" t="s">
        <v>65</v>
      </c>
      <c r="G34" t="s">
        <v>74</v>
      </c>
      <c r="J34" t="s">
        <v>67</v>
      </c>
      <c r="M34" t="str">
        <f t="shared" si="3"/>
        <v/>
      </c>
      <c r="N34" t="s">
        <v>68</v>
      </c>
      <c r="O34" t="str">
        <f t="shared" si="4"/>
        <v/>
      </c>
      <c r="P34" t="s">
        <v>68</v>
      </c>
      <c r="S34">
        <f t="shared" si="0"/>
        <v>0</v>
      </c>
      <c r="T34" t="str">
        <f t="shared" si="1"/>
        <v>⬜  Parcial · Inst. 2 pendiente</v>
      </c>
      <c r="U34" s="53">
        <v>1</v>
      </c>
      <c r="V34" t="s">
        <v>69</v>
      </c>
      <c r="W34">
        <f>IF(NORMALIZADO!BV34="",0,NORMALIZADO!BV34)</f>
        <v>0</v>
      </c>
      <c r="X34">
        <f>IF(NORMALIZADO!BW34="",0,NORMALIZADO!BW34)</f>
        <v>0</v>
      </c>
      <c r="Y34">
        <f>IF(NORMALIZADO!BX34="",0,NORMALIZADO!BX34)</f>
        <v>0</v>
      </c>
      <c r="Z34">
        <f>IF(NORMALIZADO!BY34="",0,NORMALIZADO!BY34)</f>
        <v>0</v>
      </c>
      <c r="AO34" t="str">
        <f t="shared" si="2"/>
        <v>N/A</v>
      </c>
      <c r="AP34">
        <f>IFERROR((IF(ISNUMBER(M34),M34/100*PONDERADORES!$D$12,0)+IF(ISNUMBER(SCORECARDS!H34),SCORECARDS!H34/100*PONDERADORES!$D$13,0)+IF(ISNUMBER(SCORECARDS!I34),SCORECARDS!I34/100*PONDERADORES!$D$14,0)+IF(ISNUMBER(SCORECARDS!J34),SCORECARDS!J34/100*PONDERADORES!$D$15,0)+IF(ISNUMBER(ISCAM_Score!K35),ISCAM_Score!K35/100*PONDERADORES!$D$16,0)+IF(ISNUMBER(O34),O34*PONDERADORES!$D$17,0)+IF(ISNUMBER(AVERAGE(W34:Z34)),AVERAGE(W34:Z34)/2*PONDERADORES!$D$19,0))/(IF(ISNUMBER(M34),PONDERADORES!$D$12,0)+IF(ISNUMBER(SCORECARDS!H34),PONDERADORES!$D$13,0)+IF(ISNUMBER(SCORECARDS!I34),PONDERADORES!$D$14,0)+IF(ISNUMBER(SCORECARDS!J34),PONDERADORES!$D$15,0)+IF(ISNUMBER(ISCAM_Score!K35),PONDERADORES!$D$16,0)+IF(ISNUMBER(O34),PONDERADORES!$D$17,0)+IF(ISNUMBER(AVERAGE(W34:Z34)),PONDERADORES!$D$19,0)),"N/A")</f>
        <v>0</v>
      </c>
      <c r="AQ34">
        <f>IF(ISNUMBER(M34),1,0)+IF(ISNUMBER(SCORECARDS!H34),1,0)+IF(ISNUMBER(SCORECARDS!I34),1,0)+IF(ISNUMBER(SCORECARDS!J34),1,0)+IF(ISNUMBER(ISCAM_Score!K35),1,0)+IF(ISNUMBER(O34),1,0)+IF(COUNT(W34:Z34)&gt;0,1,0)</f>
        <v>1</v>
      </c>
    </row>
    <row r="35" spans="1:45" ht="16.05" customHeight="1" x14ac:dyDescent="0.3">
      <c r="A35" t="s">
        <v>146</v>
      </c>
      <c r="B35" t="s">
        <v>147</v>
      </c>
      <c r="C35" t="s">
        <v>80</v>
      </c>
      <c r="D35" t="s">
        <v>73</v>
      </c>
      <c r="E35">
        <v>1931452.7</v>
      </c>
      <c r="F35">
        <v>7</v>
      </c>
      <c r="G35" t="s">
        <v>66</v>
      </c>
      <c r="J35" t="s">
        <v>67</v>
      </c>
      <c r="L35">
        <v>965726.35</v>
      </c>
      <c r="M35">
        <f t="shared" si="3"/>
        <v>50</v>
      </c>
      <c r="N35" t="s">
        <v>68</v>
      </c>
      <c r="O35" t="str">
        <f t="shared" si="4"/>
        <v/>
      </c>
      <c r="P35" t="s">
        <v>68</v>
      </c>
      <c r="S35">
        <f t="shared" ref="S35:S66" si="5">IFERROR(ROUND(AP35*100,1),"N/A")</f>
        <v>31.3</v>
      </c>
      <c r="T35" t="str">
        <f t="shared" ref="T35:T66" si="6">IF(NOT(ISNUMBER(S35)),"—",IF(AQ35&lt;6,"⬜  Parcial · Inst. 2 pendiente",IF(S35&lt;34,"🔴 Crítico",IF(S35&lt;67,"🟡 Vulnerable","🟢 Preparado"))))</f>
        <v>⬜  Parcial · Inst. 2 pendiente</v>
      </c>
      <c r="U35" s="53">
        <v>1</v>
      </c>
      <c r="V35" t="s">
        <v>69</v>
      </c>
      <c r="W35">
        <f>IF(NORMALIZADO!BV35="",1,NORMALIZADO!BV35)</f>
        <v>1</v>
      </c>
      <c r="X35">
        <f>IF(NORMALIZADO!BW35="",0,NORMALIZADO!BW35)</f>
        <v>0</v>
      </c>
      <c r="Y35">
        <f>IF(NORMALIZADO!BX35="",0,NORMALIZADO!BX35)</f>
        <v>0</v>
      </c>
      <c r="Z35">
        <f>IF(NORMALIZADO!BY35="",0,NORMALIZADO!BY35)</f>
        <v>0</v>
      </c>
      <c r="AO35" t="str">
        <f t="shared" ref="AO35:AO66" si="7">IFERROR(AVERAGE(AA35,AB35,AC35,AD35,AE35,AF35,AG35,AH35,AI35,AJ35,AK35,AL35,AM35,AN35),"N/A")</f>
        <v>N/A</v>
      </c>
      <c r="AP35">
        <f>IFERROR((IF(ISNUMBER(M35),M35/100*PONDERADORES!$D$12,0)+IF(ISNUMBER(SCORECARDS!H35),SCORECARDS!H35/100*PONDERADORES!$D$13,0)+IF(ISNUMBER(SCORECARDS!I35),SCORECARDS!I35/100*PONDERADORES!$D$14,0)+IF(ISNUMBER(SCORECARDS!J35),SCORECARDS!J35/100*PONDERADORES!$D$15,0)+IF(ISNUMBER(ISCAM_Score!K36),ISCAM_Score!K36/100*PONDERADORES!$D$16,0)+IF(ISNUMBER(O35),O35*PONDERADORES!$D$17,0)+IF(ISNUMBER(AVERAGE(W35:Z35)),AVERAGE(W35:Z35)/2*PONDERADORES!$D$19,0))/(IF(ISNUMBER(M35),PONDERADORES!$D$12,0)+IF(ISNUMBER(SCORECARDS!H35),PONDERADORES!$D$13,0)+IF(ISNUMBER(SCORECARDS!I35),PONDERADORES!$D$14,0)+IF(ISNUMBER(SCORECARDS!J35),PONDERADORES!$D$15,0)+IF(ISNUMBER(ISCAM_Score!K36),PONDERADORES!$D$16,0)+IF(ISNUMBER(O35),PONDERADORES!$D$17,0)+IF(ISNUMBER(AVERAGE(W35:Z35)),PONDERADORES!$D$19,0)),"N/A")</f>
        <v>0.3125</v>
      </c>
      <c r="AQ35">
        <f>IF(ISNUMBER(M35),1,0)+IF(ISNUMBER(SCORECARDS!H35),1,0)+IF(ISNUMBER(SCORECARDS!I35),1,0)+IF(ISNUMBER(SCORECARDS!J35),1,0)+IF(ISNUMBER(ISCAM_Score!K36),1,0)+IF(ISNUMBER(O35),1,0)+IF(COUNT(W35:Z35)&gt;0,1,0)</f>
        <v>2</v>
      </c>
    </row>
    <row r="36" spans="1:45" ht="16.05" customHeight="1" x14ac:dyDescent="0.3">
      <c r="A36" t="s">
        <v>148</v>
      </c>
      <c r="B36" t="s">
        <v>149</v>
      </c>
      <c r="C36" t="s">
        <v>150</v>
      </c>
      <c r="D36" t="s">
        <v>65</v>
      </c>
      <c r="E36">
        <v>4538578.93</v>
      </c>
      <c r="F36">
        <v>24</v>
      </c>
      <c r="G36" t="s">
        <v>66</v>
      </c>
      <c r="H36" t="s">
        <v>66</v>
      </c>
      <c r="I36" t="s">
        <v>66</v>
      </c>
      <c r="J36" t="s">
        <v>67</v>
      </c>
      <c r="L36">
        <v>965167.45</v>
      </c>
      <c r="M36">
        <f t="shared" si="3"/>
        <v>21.3</v>
      </c>
      <c r="N36" t="s">
        <v>68</v>
      </c>
      <c r="O36">
        <f t="shared" si="4"/>
        <v>1</v>
      </c>
      <c r="P36" t="s">
        <v>68</v>
      </c>
      <c r="Q36">
        <v>178</v>
      </c>
      <c r="R36">
        <v>437</v>
      </c>
      <c r="S36">
        <f t="shared" si="5"/>
        <v>30.8</v>
      </c>
      <c r="T36" t="str">
        <f t="shared" si="6"/>
        <v>⬜  Parcial · Inst. 2 pendiente</v>
      </c>
      <c r="U36" s="53">
        <v>1</v>
      </c>
      <c r="V36" t="s">
        <v>69</v>
      </c>
      <c r="W36">
        <f>IF(NORMALIZADO!BV36="",1,NORMALIZADO!BV36)</f>
        <v>1</v>
      </c>
      <c r="X36">
        <f>IF(NORMALIZADO!BW36="",0,NORMALIZADO!BW36)</f>
        <v>0</v>
      </c>
      <c r="Y36">
        <f>IF(NORMALIZADO!BX36="",0,NORMALIZADO!BX36)</f>
        <v>0</v>
      </c>
      <c r="Z36">
        <f>IF(NORMALIZADO!BY36="",0,NORMALIZADO!BY36)</f>
        <v>0</v>
      </c>
      <c r="AO36" t="str">
        <f t="shared" si="7"/>
        <v>N/A</v>
      </c>
      <c r="AP36">
        <f>IFERROR((IF(ISNUMBER(M36),M36/100*PONDERADORES!$D$12,0)+IF(ISNUMBER(SCORECARDS!H36),SCORECARDS!H36/100*PONDERADORES!$D$13,0)+IF(ISNUMBER(SCORECARDS!I36),SCORECARDS!I36/100*PONDERADORES!$D$14,0)+IF(ISNUMBER(SCORECARDS!J36),SCORECARDS!J36/100*PONDERADORES!$D$15,0)+IF(ISNUMBER(ISCAM_Score!K37),ISCAM_Score!K37/100*PONDERADORES!$D$16,0)+IF(ISNUMBER(O36),O36*PONDERADORES!$D$17,0)+IF(ISNUMBER(AVERAGE(W36:Z36)),AVERAGE(W36:Z36)/2*PONDERADORES!$D$19,0))/(IF(ISNUMBER(M36),PONDERADORES!$D$12,0)+IF(ISNUMBER(SCORECARDS!H36),PONDERADORES!$D$13,0)+IF(ISNUMBER(SCORECARDS!I36),PONDERADORES!$D$14,0)+IF(ISNUMBER(SCORECARDS!J36),PONDERADORES!$D$15,0)+IF(ISNUMBER(ISCAM_Score!K37),PONDERADORES!$D$16,0)+IF(ISNUMBER(O36),PONDERADORES!$D$17,0)+IF(ISNUMBER(AVERAGE(W36:Z36)),PONDERADORES!$D$19,0)),"N/A")</f>
        <v>0.3075</v>
      </c>
      <c r="AQ36">
        <f>IF(ISNUMBER(M36),1,0)+IF(ISNUMBER(SCORECARDS!H36),1,0)+IF(ISNUMBER(SCORECARDS!I36),1,0)+IF(ISNUMBER(SCORECARDS!J36),1,0)+IF(ISNUMBER(ISCAM_Score!K37),1,0)+IF(ISNUMBER(O36),1,0)+IF(COUNT(W36:Z36)&gt;0,1,0)</f>
        <v>3</v>
      </c>
      <c r="AR36" t="s">
        <v>66</v>
      </c>
      <c r="AS36" t="s">
        <v>66</v>
      </c>
    </row>
    <row r="37" spans="1:45" ht="16.05" customHeight="1" x14ac:dyDescent="0.3">
      <c r="A37" t="s">
        <v>151</v>
      </c>
      <c r="B37" t="s">
        <v>152</v>
      </c>
      <c r="C37" t="s">
        <v>112</v>
      </c>
      <c r="D37" t="s">
        <v>65</v>
      </c>
      <c r="G37" t="s">
        <v>74</v>
      </c>
      <c r="J37" t="s">
        <v>67</v>
      </c>
      <c r="M37" t="str">
        <f t="shared" si="3"/>
        <v/>
      </c>
      <c r="N37" t="s">
        <v>68</v>
      </c>
      <c r="O37" t="str">
        <f t="shared" si="4"/>
        <v/>
      </c>
      <c r="P37" t="s">
        <v>68</v>
      </c>
      <c r="S37">
        <f t="shared" si="5"/>
        <v>0</v>
      </c>
      <c r="T37" t="str">
        <f t="shared" si="6"/>
        <v>⬜  Parcial · Inst. 2 pendiente</v>
      </c>
      <c r="U37" s="53">
        <v>1</v>
      </c>
      <c r="V37" t="s">
        <v>69</v>
      </c>
      <c r="W37">
        <f>IF(NORMALIZADO!BV37="",0,NORMALIZADO!BV37)</f>
        <v>0</v>
      </c>
      <c r="X37">
        <f>IF(NORMALIZADO!BW37="",0,NORMALIZADO!BW37)</f>
        <v>0</v>
      </c>
      <c r="Y37">
        <f>IF(NORMALIZADO!BX37="",0,NORMALIZADO!BX37)</f>
        <v>0</v>
      </c>
      <c r="Z37">
        <f>IF(NORMALIZADO!BY37="",0,NORMALIZADO!BY37)</f>
        <v>0</v>
      </c>
      <c r="AO37" t="str">
        <f t="shared" si="7"/>
        <v>N/A</v>
      </c>
      <c r="AP37">
        <f>IFERROR((IF(ISNUMBER(M37),M37/100*PONDERADORES!$D$12,0)+IF(ISNUMBER(SCORECARDS!H37),SCORECARDS!H37/100*PONDERADORES!$D$13,0)+IF(ISNUMBER(SCORECARDS!I37),SCORECARDS!I37/100*PONDERADORES!$D$14,0)+IF(ISNUMBER(SCORECARDS!J37),SCORECARDS!J37/100*PONDERADORES!$D$15,0)+IF(ISNUMBER(ISCAM_Score!K38),ISCAM_Score!K38/100*PONDERADORES!$D$16,0)+IF(ISNUMBER(O37),O37*PONDERADORES!$D$17,0)+IF(ISNUMBER(AVERAGE(W37:Z37)),AVERAGE(W37:Z37)/2*PONDERADORES!$D$19,0))/(IF(ISNUMBER(M37),PONDERADORES!$D$12,0)+IF(ISNUMBER(SCORECARDS!H37),PONDERADORES!$D$13,0)+IF(ISNUMBER(SCORECARDS!I37),PONDERADORES!$D$14,0)+IF(ISNUMBER(SCORECARDS!J37),PONDERADORES!$D$15,0)+IF(ISNUMBER(ISCAM_Score!K38),PONDERADORES!$D$16,0)+IF(ISNUMBER(O37),PONDERADORES!$D$17,0)+IF(ISNUMBER(AVERAGE(W37:Z37)),PONDERADORES!$D$19,0)),"N/A")</f>
        <v>0</v>
      </c>
      <c r="AQ37">
        <f>IF(ISNUMBER(M37),1,0)+IF(ISNUMBER(SCORECARDS!H37),1,0)+IF(ISNUMBER(SCORECARDS!I37),1,0)+IF(ISNUMBER(SCORECARDS!J37),1,0)+IF(ISNUMBER(ISCAM_Score!K38),1,0)+IF(ISNUMBER(O37),1,0)+IF(COUNT(W37:Z37)&gt;0,1,0)</f>
        <v>1</v>
      </c>
    </row>
    <row r="38" spans="1:45" ht="16.05" customHeight="1" x14ac:dyDescent="0.3">
      <c r="A38" t="s">
        <v>153</v>
      </c>
      <c r="B38" t="s">
        <v>154</v>
      </c>
      <c r="C38" t="s">
        <v>112</v>
      </c>
      <c r="G38" t="s">
        <v>74</v>
      </c>
      <c r="J38" t="s">
        <v>124</v>
      </c>
      <c r="M38" t="str">
        <f t="shared" si="3"/>
        <v/>
      </c>
      <c r="N38" t="s">
        <v>68</v>
      </c>
      <c r="O38" t="str">
        <f t="shared" si="4"/>
        <v/>
      </c>
      <c r="P38" t="s">
        <v>68</v>
      </c>
      <c r="S38">
        <f t="shared" si="5"/>
        <v>0</v>
      </c>
      <c r="T38" t="str">
        <f t="shared" si="6"/>
        <v>⬜  Parcial · Inst. 2 pendiente</v>
      </c>
      <c r="U38" s="53">
        <v>1</v>
      </c>
      <c r="V38" t="s">
        <v>69</v>
      </c>
      <c r="W38">
        <f>IF(NORMALIZADO!BV38="",0,NORMALIZADO!BV38)</f>
        <v>0</v>
      </c>
      <c r="X38">
        <f>IF(NORMALIZADO!BW38="",0,NORMALIZADO!BW38)</f>
        <v>0</v>
      </c>
      <c r="Y38">
        <f>IF(NORMALIZADO!BX38="",0,NORMALIZADO!BX38)</f>
        <v>0</v>
      </c>
      <c r="Z38">
        <f>IF(NORMALIZADO!BY38="",0,NORMALIZADO!BY38)</f>
        <v>0</v>
      </c>
      <c r="AO38" t="str">
        <f t="shared" si="7"/>
        <v>N/A</v>
      </c>
      <c r="AP38">
        <f>IFERROR((IF(ISNUMBER(M38),M38/100*PONDERADORES!$D$12,0)+IF(ISNUMBER(SCORECARDS!H38),SCORECARDS!H38/100*PONDERADORES!$D$13,0)+IF(ISNUMBER(SCORECARDS!I38),SCORECARDS!I38/100*PONDERADORES!$D$14,0)+IF(ISNUMBER(SCORECARDS!J38),SCORECARDS!J38/100*PONDERADORES!$D$15,0)+IF(ISNUMBER(ISCAM_Score!K39),ISCAM_Score!K39/100*PONDERADORES!$D$16,0)+IF(ISNUMBER(O38),O38*PONDERADORES!$D$17,0)+IF(ISNUMBER(AVERAGE(W38:Z38)),AVERAGE(W38:Z38)/2*PONDERADORES!$D$19,0))/(IF(ISNUMBER(M38),PONDERADORES!$D$12,0)+IF(ISNUMBER(SCORECARDS!H38),PONDERADORES!$D$13,0)+IF(ISNUMBER(SCORECARDS!I38),PONDERADORES!$D$14,0)+IF(ISNUMBER(SCORECARDS!J38),PONDERADORES!$D$15,0)+IF(ISNUMBER(ISCAM_Score!K39),PONDERADORES!$D$16,0)+IF(ISNUMBER(O38),PONDERADORES!$D$17,0)+IF(ISNUMBER(AVERAGE(W38:Z38)),PONDERADORES!$D$19,0)),"N/A")</f>
        <v>0</v>
      </c>
      <c r="AQ38">
        <f>IF(ISNUMBER(M38),1,0)+IF(ISNUMBER(SCORECARDS!H38),1,0)+IF(ISNUMBER(SCORECARDS!I38),1,0)+IF(ISNUMBER(SCORECARDS!J38),1,0)+IF(ISNUMBER(ISCAM_Score!K39),1,0)+IF(ISNUMBER(O38),1,0)+IF(COUNT(W38:Z38)&gt;0,1,0)</f>
        <v>1</v>
      </c>
    </row>
    <row r="39" spans="1:45" ht="16.05" customHeight="1" x14ac:dyDescent="0.3">
      <c r="A39" t="s">
        <v>155</v>
      </c>
      <c r="B39" t="s">
        <v>156</v>
      </c>
      <c r="C39" t="s">
        <v>112</v>
      </c>
      <c r="D39" t="s">
        <v>73</v>
      </c>
      <c r="E39">
        <v>1175215.28</v>
      </c>
      <c r="F39">
        <v>7</v>
      </c>
      <c r="G39" t="s">
        <v>66</v>
      </c>
      <c r="J39" t="s">
        <v>67</v>
      </c>
      <c r="L39">
        <v>587607.64</v>
      </c>
      <c r="M39">
        <f t="shared" si="3"/>
        <v>50</v>
      </c>
      <c r="N39" t="s">
        <v>68</v>
      </c>
      <c r="O39" t="str">
        <f t="shared" si="4"/>
        <v/>
      </c>
      <c r="P39" t="s">
        <v>68</v>
      </c>
      <c r="S39">
        <f t="shared" si="5"/>
        <v>31.3</v>
      </c>
      <c r="T39" t="str">
        <f t="shared" si="6"/>
        <v>⬜  Parcial · Inst. 2 pendiente</v>
      </c>
      <c r="U39" s="53">
        <v>1</v>
      </c>
      <c r="V39" t="s">
        <v>69</v>
      </c>
      <c r="W39">
        <f>IF(NORMALIZADO!BV39="",1,NORMALIZADO!BV39)</f>
        <v>1</v>
      </c>
      <c r="X39">
        <f>IF(NORMALIZADO!BW39="",0,NORMALIZADO!BW39)</f>
        <v>0</v>
      </c>
      <c r="Y39">
        <f>IF(NORMALIZADO!BX39="",0,NORMALIZADO!BX39)</f>
        <v>0</v>
      </c>
      <c r="Z39">
        <f>IF(NORMALIZADO!BY39="",0,NORMALIZADO!BY39)</f>
        <v>0</v>
      </c>
      <c r="AO39" t="str">
        <f t="shared" si="7"/>
        <v>N/A</v>
      </c>
      <c r="AP39">
        <f>IFERROR((IF(ISNUMBER(M39),M39/100*PONDERADORES!$D$12,0)+IF(ISNUMBER(SCORECARDS!H39),SCORECARDS!H39/100*PONDERADORES!$D$13,0)+IF(ISNUMBER(SCORECARDS!I39),SCORECARDS!I39/100*PONDERADORES!$D$14,0)+IF(ISNUMBER(SCORECARDS!J39),SCORECARDS!J39/100*PONDERADORES!$D$15,0)+IF(ISNUMBER(ISCAM_Score!K40),ISCAM_Score!K40/100*PONDERADORES!$D$16,0)+IF(ISNUMBER(O39),O39*PONDERADORES!$D$17,0)+IF(ISNUMBER(AVERAGE(W39:Z39)),AVERAGE(W39:Z39)/2*PONDERADORES!$D$19,0))/(IF(ISNUMBER(M39),PONDERADORES!$D$12,0)+IF(ISNUMBER(SCORECARDS!H39),PONDERADORES!$D$13,0)+IF(ISNUMBER(SCORECARDS!I39),PONDERADORES!$D$14,0)+IF(ISNUMBER(SCORECARDS!J39),PONDERADORES!$D$15,0)+IF(ISNUMBER(ISCAM_Score!K40),PONDERADORES!$D$16,0)+IF(ISNUMBER(O39),PONDERADORES!$D$17,0)+IF(ISNUMBER(AVERAGE(W39:Z39)),PONDERADORES!$D$19,0)),"N/A")</f>
        <v>0.3125</v>
      </c>
      <c r="AQ39">
        <f>IF(ISNUMBER(M39),1,0)+IF(ISNUMBER(SCORECARDS!H39),1,0)+IF(ISNUMBER(SCORECARDS!I39),1,0)+IF(ISNUMBER(SCORECARDS!J39),1,0)+IF(ISNUMBER(ISCAM_Score!K40),1,0)+IF(ISNUMBER(O39),1,0)+IF(COUNT(W39:Z39)&gt;0,1,0)</f>
        <v>2</v>
      </c>
    </row>
    <row r="40" spans="1:45" ht="16.05" customHeight="1" x14ac:dyDescent="0.3">
      <c r="A40" t="s">
        <v>157</v>
      </c>
      <c r="B40" t="s">
        <v>158</v>
      </c>
      <c r="C40" t="s">
        <v>112</v>
      </c>
      <c r="D40" t="s">
        <v>73</v>
      </c>
      <c r="E40">
        <v>1684429.98</v>
      </c>
      <c r="F40">
        <v>14</v>
      </c>
      <c r="G40" t="s">
        <v>66</v>
      </c>
      <c r="J40" t="s">
        <v>67</v>
      </c>
      <c r="L40">
        <v>842214.99</v>
      </c>
      <c r="M40">
        <f t="shared" si="3"/>
        <v>50</v>
      </c>
      <c r="N40" t="s">
        <v>68</v>
      </c>
      <c r="O40" t="str">
        <f t="shared" si="4"/>
        <v/>
      </c>
      <c r="P40" t="s">
        <v>68</v>
      </c>
      <c r="S40">
        <f t="shared" si="5"/>
        <v>31.3</v>
      </c>
      <c r="T40" t="str">
        <f t="shared" si="6"/>
        <v>⬜  Parcial · Inst. 2 pendiente</v>
      </c>
      <c r="U40" s="53">
        <v>1</v>
      </c>
      <c r="V40" t="s">
        <v>69</v>
      </c>
      <c r="W40">
        <f>IF(NORMALIZADO!BV40="",1,NORMALIZADO!BV40)</f>
        <v>1</v>
      </c>
      <c r="X40">
        <f>IF(NORMALIZADO!BW40="",0,NORMALIZADO!BW40)</f>
        <v>0</v>
      </c>
      <c r="Y40">
        <f>IF(NORMALIZADO!BX40="",0,NORMALIZADO!BX40)</f>
        <v>0</v>
      </c>
      <c r="Z40">
        <f>IF(NORMALIZADO!BY40="",0,NORMALIZADO!BY40)</f>
        <v>0</v>
      </c>
      <c r="AO40" t="str">
        <f t="shared" si="7"/>
        <v>N/A</v>
      </c>
      <c r="AP40">
        <f>IFERROR((IF(ISNUMBER(M40),M40/100*PONDERADORES!$D$12,0)+IF(ISNUMBER(SCORECARDS!H40),SCORECARDS!H40/100*PONDERADORES!$D$13,0)+IF(ISNUMBER(SCORECARDS!I40),SCORECARDS!I40/100*PONDERADORES!$D$14,0)+IF(ISNUMBER(SCORECARDS!J40),SCORECARDS!J40/100*PONDERADORES!$D$15,0)+IF(ISNUMBER(ISCAM_Score!K41),ISCAM_Score!K41/100*PONDERADORES!$D$16,0)+IF(ISNUMBER(O40),O40*PONDERADORES!$D$17,0)+IF(ISNUMBER(AVERAGE(W40:Z40)),AVERAGE(W40:Z40)/2*PONDERADORES!$D$19,0))/(IF(ISNUMBER(M40),PONDERADORES!$D$12,0)+IF(ISNUMBER(SCORECARDS!H40),PONDERADORES!$D$13,0)+IF(ISNUMBER(SCORECARDS!I40),PONDERADORES!$D$14,0)+IF(ISNUMBER(SCORECARDS!J40),PONDERADORES!$D$15,0)+IF(ISNUMBER(ISCAM_Score!K41),PONDERADORES!$D$16,0)+IF(ISNUMBER(O40),PONDERADORES!$D$17,0)+IF(ISNUMBER(AVERAGE(W40:Z40)),PONDERADORES!$D$19,0)),"N/A")</f>
        <v>0.3125</v>
      </c>
      <c r="AQ40">
        <f>IF(ISNUMBER(M40),1,0)+IF(ISNUMBER(SCORECARDS!H40),1,0)+IF(ISNUMBER(SCORECARDS!I40),1,0)+IF(ISNUMBER(SCORECARDS!J40),1,0)+IF(ISNUMBER(ISCAM_Score!K41),1,0)+IF(ISNUMBER(O40),1,0)+IF(COUNT(W40:Z40)&gt;0,1,0)</f>
        <v>2</v>
      </c>
    </row>
    <row r="41" spans="1:45" ht="16.05" customHeight="1" x14ac:dyDescent="0.3">
      <c r="A41" t="s">
        <v>159</v>
      </c>
      <c r="B41" t="s">
        <v>160</v>
      </c>
      <c r="C41" t="s">
        <v>112</v>
      </c>
      <c r="D41" t="s">
        <v>65</v>
      </c>
      <c r="G41" t="s">
        <v>74</v>
      </c>
      <c r="J41" t="s">
        <v>124</v>
      </c>
      <c r="M41" t="str">
        <f t="shared" si="3"/>
        <v/>
      </c>
      <c r="N41" t="s">
        <v>68</v>
      </c>
      <c r="O41" t="str">
        <f t="shared" si="4"/>
        <v/>
      </c>
      <c r="P41" t="s">
        <v>68</v>
      </c>
      <c r="S41">
        <f t="shared" si="5"/>
        <v>0</v>
      </c>
      <c r="T41" t="str">
        <f t="shared" si="6"/>
        <v>⬜  Parcial · Inst. 2 pendiente</v>
      </c>
      <c r="U41" s="53">
        <v>1</v>
      </c>
      <c r="V41" t="s">
        <v>69</v>
      </c>
      <c r="W41">
        <f>IF(NORMALIZADO!BV41="",0,NORMALIZADO!BV41)</f>
        <v>0</v>
      </c>
      <c r="X41">
        <f>IF(NORMALIZADO!BW41="",0,NORMALIZADO!BW41)</f>
        <v>0</v>
      </c>
      <c r="Y41">
        <f>IF(NORMALIZADO!BX41="",0,NORMALIZADO!BX41)</f>
        <v>0</v>
      </c>
      <c r="Z41">
        <f>IF(NORMALIZADO!BY41="",0,NORMALIZADO!BY41)</f>
        <v>0</v>
      </c>
      <c r="AO41" t="str">
        <f t="shared" si="7"/>
        <v>N/A</v>
      </c>
      <c r="AP41">
        <f>IFERROR((IF(ISNUMBER(M41),M41/100*PONDERADORES!$D$12,0)+IF(ISNUMBER(SCORECARDS!H41),SCORECARDS!H41/100*PONDERADORES!$D$13,0)+IF(ISNUMBER(SCORECARDS!I41),SCORECARDS!I41/100*PONDERADORES!$D$14,0)+IF(ISNUMBER(SCORECARDS!J41),SCORECARDS!J41/100*PONDERADORES!$D$15,0)+IF(ISNUMBER(ISCAM_Score!K42),ISCAM_Score!K42/100*PONDERADORES!$D$16,0)+IF(ISNUMBER(O41),O41*PONDERADORES!$D$17,0)+IF(ISNUMBER(AVERAGE(W41:Z41)),AVERAGE(W41:Z41)/2*PONDERADORES!$D$19,0))/(IF(ISNUMBER(M41),PONDERADORES!$D$12,0)+IF(ISNUMBER(SCORECARDS!H41),PONDERADORES!$D$13,0)+IF(ISNUMBER(SCORECARDS!I41),PONDERADORES!$D$14,0)+IF(ISNUMBER(SCORECARDS!J41),PONDERADORES!$D$15,0)+IF(ISNUMBER(ISCAM_Score!K42),PONDERADORES!$D$16,0)+IF(ISNUMBER(O41),PONDERADORES!$D$17,0)+IF(ISNUMBER(AVERAGE(W41:Z41)),PONDERADORES!$D$19,0)),"N/A")</f>
        <v>0</v>
      </c>
      <c r="AQ41">
        <f>IF(ISNUMBER(M41),1,0)+IF(ISNUMBER(SCORECARDS!H41),1,0)+IF(ISNUMBER(SCORECARDS!I41),1,0)+IF(ISNUMBER(SCORECARDS!J41),1,0)+IF(ISNUMBER(ISCAM_Score!K42),1,0)+IF(ISNUMBER(O41),1,0)+IF(COUNT(W41:Z41)&gt;0,1,0)</f>
        <v>1</v>
      </c>
    </row>
    <row r="42" spans="1:45" ht="16.05" customHeight="1" x14ac:dyDescent="0.3">
      <c r="A42" t="s">
        <v>161</v>
      </c>
      <c r="B42" t="s">
        <v>162</v>
      </c>
      <c r="C42" t="s">
        <v>103</v>
      </c>
      <c r="D42" t="s">
        <v>73</v>
      </c>
      <c r="E42">
        <v>817000</v>
      </c>
      <c r="F42">
        <v>6</v>
      </c>
      <c r="G42" t="s">
        <v>66</v>
      </c>
      <c r="J42" t="s">
        <v>67</v>
      </c>
      <c r="L42">
        <v>408500</v>
      </c>
      <c r="M42">
        <f t="shared" si="3"/>
        <v>50</v>
      </c>
      <c r="N42" t="s">
        <v>68</v>
      </c>
      <c r="O42" t="str">
        <f t="shared" si="4"/>
        <v/>
      </c>
      <c r="P42" t="s">
        <v>68</v>
      </c>
      <c r="S42">
        <f t="shared" si="5"/>
        <v>25</v>
      </c>
      <c r="T42" t="str">
        <f t="shared" si="6"/>
        <v>⬜  Parcial · Inst. 2 pendiente</v>
      </c>
      <c r="U42" s="53">
        <v>1</v>
      </c>
      <c r="V42" t="s">
        <v>69</v>
      </c>
      <c r="W42">
        <f>IF(NORMALIZADO!BV42="",0,NORMALIZADO!BV42)</f>
        <v>0</v>
      </c>
      <c r="X42">
        <f>IF(NORMALIZADO!BW42="",0,NORMALIZADO!BW42)</f>
        <v>0</v>
      </c>
      <c r="Y42">
        <f>IF(NORMALIZADO!BX42="",0,NORMALIZADO!BX42)</f>
        <v>0</v>
      </c>
      <c r="Z42">
        <f>IF(NORMALIZADO!BY42="",0,NORMALIZADO!BY42)</f>
        <v>0</v>
      </c>
      <c r="AO42" t="str">
        <f t="shared" si="7"/>
        <v>N/A</v>
      </c>
      <c r="AP42">
        <f>IFERROR((IF(ISNUMBER(M42),M42/100*PONDERADORES!$D$12,0)+IF(ISNUMBER(SCORECARDS!H42),SCORECARDS!H42/100*PONDERADORES!$D$13,0)+IF(ISNUMBER(SCORECARDS!I42),SCORECARDS!I42/100*PONDERADORES!$D$14,0)+IF(ISNUMBER(SCORECARDS!J42),SCORECARDS!J42/100*PONDERADORES!$D$15,0)+IF(ISNUMBER(ISCAM_Score!K43),ISCAM_Score!K43/100*PONDERADORES!$D$16,0)+IF(ISNUMBER(O42),O42*PONDERADORES!$D$17,0)+IF(ISNUMBER(AVERAGE(W42:Z42)),AVERAGE(W42:Z42)/2*PONDERADORES!$D$19,0))/(IF(ISNUMBER(M42),PONDERADORES!$D$12,0)+IF(ISNUMBER(SCORECARDS!H42),PONDERADORES!$D$13,0)+IF(ISNUMBER(SCORECARDS!I42),PONDERADORES!$D$14,0)+IF(ISNUMBER(SCORECARDS!J42),PONDERADORES!$D$15,0)+IF(ISNUMBER(ISCAM_Score!K43),PONDERADORES!$D$16,0)+IF(ISNUMBER(O42),PONDERADORES!$D$17,0)+IF(ISNUMBER(AVERAGE(W42:Z42)),PONDERADORES!$D$19,0)),"N/A")</f>
        <v>0.25</v>
      </c>
      <c r="AQ42">
        <f>IF(ISNUMBER(M42),1,0)+IF(ISNUMBER(SCORECARDS!H42),1,0)+IF(ISNUMBER(SCORECARDS!I42),1,0)+IF(ISNUMBER(SCORECARDS!J42),1,0)+IF(ISNUMBER(ISCAM_Score!K43),1,0)+IF(ISNUMBER(O42),1,0)+IF(COUNT(W42:Z42)&gt;0,1,0)</f>
        <v>2</v>
      </c>
    </row>
    <row r="43" spans="1:45" ht="16.05" customHeight="1" x14ac:dyDescent="0.3">
      <c r="A43" t="s">
        <v>163</v>
      </c>
      <c r="B43" t="s">
        <v>164</v>
      </c>
      <c r="C43" t="s">
        <v>77</v>
      </c>
      <c r="D43" t="s">
        <v>65</v>
      </c>
      <c r="G43" t="s">
        <v>74</v>
      </c>
      <c r="J43" t="s">
        <v>106</v>
      </c>
      <c r="M43" t="str">
        <f t="shared" si="3"/>
        <v/>
      </c>
      <c r="N43" t="s">
        <v>68</v>
      </c>
      <c r="O43" t="str">
        <f t="shared" si="4"/>
        <v/>
      </c>
      <c r="P43" t="s">
        <v>68</v>
      </c>
      <c r="S43">
        <f t="shared" si="5"/>
        <v>0</v>
      </c>
      <c r="T43" t="str">
        <f t="shared" si="6"/>
        <v>⬜  Parcial · Inst. 2 pendiente</v>
      </c>
      <c r="U43" s="53">
        <v>1</v>
      </c>
      <c r="V43" t="s">
        <v>69</v>
      </c>
      <c r="W43">
        <f>IF(NORMALIZADO!BV43="",0,NORMALIZADO!BV43)</f>
        <v>0</v>
      </c>
      <c r="X43">
        <f>IF(NORMALIZADO!BW43="",0,NORMALIZADO!BW43)</f>
        <v>0</v>
      </c>
      <c r="Y43">
        <f>IF(NORMALIZADO!BX43="",0,NORMALIZADO!BX43)</f>
        <v>0</v>
      </c>
      <c r="Z43">
        <f>IF(NORMALIZADO!BY43="",0,NORMALIZADO!BY43)</f>
        <v>0</v>
      </c>
      <c r="AO43" t="str">
        <f t="shared" si="7"/>
        <v>N/A</v>
      </c>
      <c r="AP43">
        <f>IFERROR((IF(ISNUMBER(M43),M43/100*PONDERADORES!$D$12,0)+IF(ISNUMBER(SCORECARDS!H43),SCORECARDS!H43/100*PONDERADORES!$D$13,0)+IF(ISNUMBER(SCORECARDS!I43),SCORECARDS!I43/100*PONDERADORES!$D$14,0)+IF(ISNUMBER(SCORECARDS!J43),SCORECARDS!J43/100*PONDERADORES!$D$15,0)+IF(ISNUMBER(ISCAM_Score!K44),ISCAM_Score!K44/100*PONDERADORES!$D$16,0)+IF(ISNUMBER(O43),O43*PONDERADORES!$D$17,0)+IF(ISNUMBER(AVERAGE(W43:Z43)),AVERAGE(W43:Z43)/2*PONDERADORES!$D$19,0))/(IF(ISNUMBER(M43),PONDERADORES!$D$12,0)+IF(ISNUMBER(SCORECARDS!H43),PONDERADORES!$D$13,0)+IF(ISNUMBER(SCORECARDS!I43),PONDERADORES!$D$14,0)+IF(ISNUMBER(SCORECARDS!J43),PONDERADORES!$D$15,0)+IF(ISNUMBER(ISCAM_Score!K44),PONDERADORES!$D$16,0)+IF(ISNUMBER(O43),PONDERADORES!$D$17,0)+IF(ISNUMBER(AVERAGE(W43:Z43)),PONDERADORES!$D$19,0)),"N/A")</f>
        <v>0</v>
      </c>
      <c r="AQ43">
        <f>IF(ISNUMBER(M43),1,0)+IF(ISNUMBER(SCORECARDS!H43),1,0)+IF(ISNUMBER(SCORECARDS!I43),1,0)+IF(ISNUMBER(SCORECARDS!J43),1,0)+IF(ISNUMBER(ISCAM_Score!K44),1,0)+IF(ISNUMBER(O43),1,0)+IF(COUNT(W43:Z43)&gt;0,1,0)</f>
        <v>1</v>
      </c>
    </row>
    <row r="44" spans="1:45" ht="16.05" customHeight="1" x14ac:dyDescent="0.3">
      <c r="A44" t="s">
        <v>165</v>
      </c>
      <c r="B44" t="s">
        <v>166</v>
      </c>
      <c r="C44" t="s">
        <v>77</v>
      </c>
      <c r="D44" t="s">
        <v>65</v>
      </c>
      <c r="G44" t="s">
        <v>74</v>
      </c>
      <c r="J44" t="s">
        <v>67</v>
      </c>
      <c r="M44" t="str">
        <f t="shared" si="3"/>
        <v/>
      </c>
      <c r="N44" t="s">
        <v>68</v>
      </c>
      <c r="O44" t="str">
        <f t="shared" si="4"/>
        <v/>
      </c>
      <c r="P44" t="s">
        <v>68</v>
      </c>
      <c r="S44">
        <f t="shared" si="5"/>
        <v>0</v>
      </c>
      <c r="T44" t="str">
        <f t="shared" si="6"/>
        <v>⬜  Parcial · Inst. 2 pendiente</v>
      </c>
      <c r="U44" s="53">
        <v>1</v>
      </c>
      <c r="V44" t="s">
        <v>69</v>
      </c>
      <c r="W44">
        <f>IF(NORMALIZADO!BV44="",0,NORMALIZADO!BV44)</f>
        <v>0</v>
      </c>
      <c r="X44">
        <f>IF(NORMALIZADO!BW44="",0,NORMALIZADO!BW44)</f>
        <v>0</v>
      </c>
      <c r="Y44">
        <f>IF(NORMALIZADO!BX44="",0,NORMALIZADO!BX44)</f>
        <v>0</v>
      </c>
      <c r="Z44">
        <f>IF(NORMALIZADO!BY44="",0,NORMALIZADO!BY44)</f>
        <v>0</v>
      </c>
      <c r="AO44" t="str">
        <f t="shared" si="7"/>
        <v>N/A</v>
      </c>
      <c r="AP44">
        <f>IFERROR((IF(ISNUMBER(M44),M44/100*PONDERADORES!$D$12,0)+IF(ISNUMBER(SCORECARDS!H44),SCORECARDS!H44/100*PONDERADORES!$D$13,0)+IF(ISNUMBER(SCORECARDS!I44),SCORECARDS!I44/100*PONDERADORES!$D$14,0)+IF(ISNUMBER(SCORECARDS!J44),SCORECARDS!J44/100*PONDERADORES!$D$15,0)+IF(ISNUMBER(ISCAM_Score!K45),ISCAM_Score!K45/100*PONDERADORES!$D$16,0)+IF(ISNUMBER(O44),O44*PONDERADORES!$D$17,0)+IF(ISNUMBER(AVERAGE(W44:Z44)),AVERAGE(W44:Z44)/2*PONDERADORES!$D$19,0))/(IF(ISNUMBER(M44),PONDERADORES!$D$12,0)+IF(ISNUMBER(SCORECARDS!H44),PONDERADORES!$D$13,0)+IF(ISNUMBER(SCORECARDS!I44),PONDERADORES!$D$14,0)+IF(ISNUMBER(SCORECARDS!J44),PONDERADORES!$D$15,0)+IF(ISNUMBER(ISCAM_Score!K45),PONDERADORES!$D$16,0)+IF(ISNUMBER(O44),PONDERADORES!$D$17,0)+IF(ISNUMBER(AVERAGE(W44:Z44)),PONDERADORES!$D$19,0)),"N/A")</f>
        <v>0</v>
      </c>
      <c r="AQ44">
        <f>IF(ISNUMBER(M44),1,0)+IF(ISNUMBER(SCORECARDS!H44),1,0)+IF(ISNUMBER(SCORECARDS!I44),1,0)+IF(ISNUMBER(SCORECARDS!J44),1,0)+IF(ISNUMBER(ISCAM_Score!K45),1,0)+IF(ISNUMBER(O44),1,0)+IF(COUNT(W44:Z44)&gt;0,1,0)</f>
        <v>1</v>
      </c>
    </row>
    <row r="45" spans="1:45" ht="16.05" customHeight="1" x14ac:dyDescent="0.3">
      <c r="A45" t="s">
        <v>167</v>
      </c>
      <c r="B45" t="s">
        <v>168</v>
      </c>
      <c r="C45" t="s">
        <v>77</v>
      </c>
      <c r="D45" t="s">
        <v>65</v>
      </c>
      <c r="E45">
        <v>13207692.050000001</v>
      </c>
      <c r="F45">
        <v>41</v>
      </c>
      <c r="G45" t="s">
        <v>66</v>
      </c>
      <c r="J45" t="s">
        <v>67</v>
      </c>
      <c r="L45">
        <v>6603846.0300000003</v>
      </c>
      <c r="M45">
        <f t="shared" si="3"/>
        <v>50</v>
      </c>
      <c r="N45" t="s">
        <v>68</v>
      </c>
      <c r="O45" t="str">
        <f t="shared" si="4"/>
        <v/>
      </c>
      <c r="P45" t="s">
        <v>68</v>
      </c>
      <c r="S45">
        <f t="shared" si="5"/>
        <v>31.3</v>
      </c>
      <c r="T45" t="str">
        <f t="shared" si="6"/>
        <v>⬜  Parcial · Inst. 2 pendiente</v>
      </c>
      <c r="U45" s="53">
        <v>1</v>
      </c>
      <c r="V45" t="s">
        <v>69</v>
      </c>
      <c r="W45">
        <f>IF(NORMALIZADO!BV45="",1,NORMALIZADO!BV45)</f>
        <v>1</v>
      </c>
      <c r="X45">
        <f>IF(NORMALIZADO!BW45="",0,NORMALIZADO!BW45)</f>
        <v>0</v>
      </c>
      <c r="Y45">
        <f>IF(NORMALIZADO!BX45="",0,NORMALIZADO!BX45)</f>
        <v>0</v>
      </c>
      <c r="Z45">
        <f>IF(NORMALIZADO!BY45="",0,NORMALIZADO!BY45)</f>
        <v>0</v>
      </c>
      <c r="AO45" t="str">
        <f t="shared" si="7"/>
        <v>N/A</v>
      </c>
      <c r="AP45">
        <f>IFERROR((IF(ISNUMBER(M45),M45/100*PONDERADORES!$D$12,0)+IF(ISNUMBER(SCORECARDS!H45),SCORECARDS!H45/100*PONDERADORES!$D$13,0)+IF(ISNUMBER(SCORECARDS!I45),SCORECARDS!I45/100*PONDERADORES!$D$14,0)+IF(ISNUMBER(SCORECARDS!J45),SCORECARDS!J45/100*PONDERADORES!$D$15,0)+IF(ISNUMBER(ISCAM_Score!K46),ISCAM_Score!K46/100*PONDERADORES!$D$16,0)+IF(ISNUMBER(O45),O45*PONDERADORES!$D$17,0)+IF(ISNUMBER(AVERAGE(W45:Z45)),AVERAGE(W45:Z45)/2*PONDERADORES!$D$19,0))/(IF(ISNUMBER(M45),PONDERADORES!$D$12,0)+IF(ISNUMBER(SCORECARDS!H45),PONDERADORES!$D$13,0)+IF(ISNUMBER(SCORECARDS!I45),PONDERADORES!$D$14,0)+IF(ISNUMBER(SCORECARDS!J45),PONDERADORES!$D$15,0)+IF(ISNUMBER(ISCAM_Score!K46),PONDERADORES!$D$16,0)+IF(ISNUMBER(O45),PONDERADORES!$D$17,0)+IF(ISNUMBER(AVERAGE(W45:Z45)),PONDERADORES!$D$19,0)),"N/A")</f>
        <v>0.3125</v>
      </c>
      <c r="AQ45">
        <f>IF(ISNUMBER(M45),1,0)+IF(ISNUMBER(SCORECARDS!H45),1,0)+IF(ISNUMBER(SCORECARDS!I45),1,0)+IF(ISNUMBER(SCORECARDS!J45),1,0)+IF(ISNUMBER(ISCAM_Score!K46),1,0)+IF(ISNUMBER(O45),1,0)+IF(COUNT(W45:Z45)&gt;0,1,0)</f>
        <v>2</v>
      </c>
    </row>
    <row r="46" spans="1:45" ht="16.05" customHeight="1" x14ac:dyDescent="0.3">
      <c r="A46" t="s">
        <v>169</v>
      </c>
      <c r="B46" t="s">
        <v>170</v>
      </c>
      <c r="C46" t="s">
        <v>77</v>
      </c>
      <c r="G46" t="s">
        <v>74</v>
      </c>
      <c r="J46" t="s">
        <v>106</v>
      </c>
      <c r="M46" t="str">
        <f t="shared" si="3"/>
        <v/>
      </c>
      <c r="N46" t="s">
        <v>68</v>
      </c>
      <c r="O46" t="str">
        <f t="shared" si="4"/>
        <v/>
      </c>
      <c r="P46" t="s">
        <v>68</v>
      </c>
      <c r="S46">
        <f t="shared" si="5"/>
        <v>0</v>
      </c>
      <c r="T46" t="str">
        <f t="shared" si="6"/>
        <v>⬜  Parcial · Inst. 2 pendiente</v>
      </c>
      <c r="U46" s="53">
        <v>1</v>
      </c>
      <c r="V46" t="s">
        <v>69</v>
      </c>
      <c r="W46">
        <f>IF(NORMALIZADO!BV46="",0,NORMALIZADO!BV46)</f>
        <v>0</v>
      </c>
      <c r="X46">
        <f>IF(NORMALIZADO!BW46="",0,NORMALIZADO!BW46)</f>
        <v>0</v>
      </c>
      <c r="Y46">
        <f>IF(NORMALIZADO!BX46="",0,NORMALIZADO!BX46)</f>
        <v>0</v>
      </c>
      <c r="Z46">
        <f>IF(NORMALIZADO!BY46="",0,NORMALIZADO!BY46)</f>
        <v>0</v>
      </c>
      <c r="AO46" t="str">
        <f t="shared" si="7"/>
        <v>N/A</v>
      </c>
      <c r="AP46">
        <f>IFERROR((IF(ISNUMBER(M46),M46/100*PONDERADORES!$D$12,0)+IF(ISNUMBER(SCORECARDS!H46),SCORECARDS!H46/100*PONDERADORES!$D$13,0)+IF(ISNUMBER(SCORECARDS!I46),SCORECARDS!I46/100*PONDERADORES!$D$14,0)+IF(ISNUMBER(SCORECARDS!J46),SCORECARDS!J46/100*PONDERADORES!$D$15,0)+IF(ISNUMBER(ISCAM_Score!K47),ISCAM_Score!K47/100*PONDERADORES!$D$16,0)+IF(ISNUMBER(O46),O46*PONDERADORES!$D$17,0)+IF(ISNUMBER(AVERAGE(W46:Z46)),AVERAGE(W46:Z46)/2*PONDERADORES!$D$19,0))/(IF(ISNUMBER(M46),PONDERADORES!$D$12,0)+IF(ISNUMBER(SCORECARDS!H46),PONDERADORES!$D$13,0)+IF(ISNUMBER(SCORECARDS!I46),PONDERADORES!$D$14,0)+IF(ISNUMBER(SCORECARDS!J46),PONDERADORES!$D$15,0)+IF(ISNUMBER(ISCAM_Score!K47),PONDERADORES!$D$16,0)+IF(ISNUMBER(O46),PONDERADORES!$D$17,0)+IF(ISNUMBER(AVERAGE(W46:Z46)),PONDERADORES!$D$19,0)),"N/A")</f>
        <v>0</v>
      </c>
      <c r="AQ46">
        <f>IF(ISNUMBER(M46),1,0)+IF(ISNUMBER(SCORECARDS!H46),1,0)+IF(ISNUMBER(SCORECARDS!I46),1,0)+IF(ISNUMBER(SCORECARDS!J46),1,0)+IF(ISNUMBER(ISCAM_Score!K47),1,0)+IF(ISNUMBER(O46),1,0)+IF(COUNT(W46:Z46)&gt;0,1,0)</f>
        <v>1</v>
      </c>
    </row>
    <row r="47" spans="1:45" ht="16.05" customHeight="1" x14ac:dyDescent="0.3">
      <c r="A47" t="s">
        <v>171</v>
      </c>
      <c r="B47" t="s">
        <v>172</v>
      </c>
      <c r="C47" t="s">
        <v>77</v>
      </c>
      <c r="D47" t="s">
        <v>73</v>
      </c>
      <c r="G47" t="s">
        <v>74</v>
      </c>
      <c r="J47" t="s">
        <v>67</v>
      </c>
      <c r="M47" t="str">
        <f t="shared" si="3"/>
        <v/>
      </c>
      <c r="N47" t="s">
        <v>68</v>
      </c>
      <c r="O47" t="str">
        <f t="shared" si="4"/>
        <v/>
      </c>
      <c r="P47" t="s">
        <v>68</v>
      </c>
      <c r="S47">
        <f t="shared" si="5"/>
        <v>0</v>
      </c>
      <c r="T47" t="str">
        <f t="shared" si="6"/>
        <v>⬜  Parcial · Inst. 2 pendiente</v>
      </c>
      <c r="U47" s="53">
        <v>1</v>
      </c>
      <c r="V47" t="s">
        <v>69</v>
      </c>
      <c r="W47">
        <f>IF(NORMALIZADO!BV47="",0,NORMALIZADO!BV47)</f>
        <v>0</v>
      </c>
      <c r="X47">
        <f>IF(NORMALIZADO!BW47="",0,NORMALIZADO!BW47)</f>
        <v>0</v>
      </c>
      <c r="Y47">
        <f>IF(NORMALIZADO!BX47="",0,NORMALIZADO!BX47)</f>
        <v>0</v>
      </c>
      <c r="Z47">
        <f>IF(NORMALIZADO!BY47="",0,NORMALIZADO!BY47)</f>
        <v>0</v>
      </c>
      <c r="AO47" t="str">
        <f t="shared" si="7"/>
        <v>N/A</v>
      </c>
      <c r="AP47">
        <f>IFERROR((IF(ISNUMBER(M47),M47/100*PONDERADORES!$D$12,0)+IF(ISNUMBER(SCORECARDS!H47),SCORECARDS!H47/100*PONDERADORES!$D$13,0)+IF(ISNUMBER(SCORECARDS!I47),SCORECARDS!I47/100*PONDERADORES!$D$14,0)+IF(ISNUMBER(SCORECARDS!J47),SCORECARDS!J47/100*PONDERADORES!$D$15,0)+IF(ISNUMBER(ISCAM_Score!K48),ISCAM_Score!K48/100*PONDERADORES!$D$16,0)+IF(ISNUMBER(O47),O47*PONDERADORES!$D$17,0)+IF(ISNUMBER(AVERAGE(W47:Z47)),AVERAGE(W47:Z47)/2*PONDERADORES!$D$19,0))/(IF(ISNUMBER(M47),PONDERADORES!$D$12,0)+IF(ISNUMBER(SCORECARDS!H47),PONDERADORES!$D$13,0)+IF(ISNUMBER(SCORECARDS!I47),PONDERADORES!$D$14,0)+IF(ISNUMBER(SCORECARDS!J47),PONDERADORES!$D$15,0)+IF(ISNUMBER(ISCAM_Score!K48),PONDERADORES!$D$16,0)+IF(ISNUMBER(O47),PONDERADORES!$D$17,0)+IF(ISNUMBER(AVERAGE(W47:Z47)),PONDERADORES!$D$19,0)),"N/A")</f>
        <v>0</v>
      </c>
      <c r="AQ47">
        <f>IF(ISNUMBER(M47),1,0)+IF(ISNUMBER(SCORECARDS!H47),1,0)+IF(ISNUMBER(SCORECARDS!I47),1,0)+IF(ISNUMBER(SCORECARDS!J47),1,0)+IF(ISNUMBER(ISCAM_Score!K48),1,0)+IF(ISNUMBER(O47),1,0)+IF(COUNT(W47:Z47)&gt;0,1,0)</f>
        <v>1</v>
      </c>
    </row>
    <row r="48" spans="1:45" ht="16.05" customHeight="1" x14ac:dyDescent="0.3">
      <c r="A48" t="s">
        <v>173</v>
      </c>
      <c r="B48" t="s">
        <v>174</v>
      </c>
      <c r="C48" t="s">
        <v>77</v>
      </c>
      <c r="D48" t="s">
        <v>73</v>
      </c>
      <c r="E48">
        <v>30342293.079999998</v>
      </c>
      <c r="F48">
        <v>108</v>
      </c>
      <c r="G48" t="s">
        <v>66</v>
      </c>
      <c r="J48" t="s">
        <v>67</v>
      </c>
      <c r="L48">
        <v>15171146.539999999</v>
      </c>
      <c r="M48">
        <f t="shared" si="3"/>
        <v>50</v>
      </c>
      <c r="N48" t="s">
        <v>68</v>
      </c>
      <c r="O48" t="str">
        <f t="shared" si="4"/>
        <v/>
      </c>
      <c r="P48" t="s">
        <v>68</v>
      </c>
      <c r="S48">
        <f t="shared" si="5"/>
        <v>31.3</v>
      </c>
      <c r="T48" t="str">
        <f t="shared" si="6"/>
        <v>⬜  Parcial · Inst. 2 pendiente</v>
      </c>
      <c r="U48" s="53">
        <v>1</v>
      </c>
      <c r="V48" t="s">
        <v>69</v>
      </c>
      <c r="W48">
        <f>IF(NORMALIZADO!BV48="",1,NORMALIZADO!BV48)</f>
        <v>1</v>
      </c>
      <c r="X48">
        <f>IF(NORMALIZADO!BW48="",0,NORMALIZADO!BW48)</f>
        <v>0</v>
      </c>
      <c r="Y48">
        <f>IF(NORMALIZADO!BX48="",0,NORMALIZADO!BX48)</f>
        <v>0</v>
      </c>
      <c r="Z48">
        <f>IF(NORMALIZADO!BY48="",0,NORMALIZADO!BY48)</f>
        <v>0</v>
      </c>
      <c r="AO48" t="str">
        <f t="shared" si="7"/>
        <v>N/A</v>
      </c>
      <c r="AP48">
        <f>IFERROR((IF(ISNUMBER(M48),M48/100*PONDERADORES!$D$12,0)+IF(ISNUMBER(SCORECARDS!H48),SCORECARDS!H48/100*PONDERADORES!$D$13,0)+IF(ISNUMBER(SCORECARDS!I48),SCORECARDS!I48/100*PONDERADORES!$D$14,0)+IF(ISNUMBER(SCORECARDS!J48),SCORECARDS!J48/100*PONDERADORES!$D$15,0)+IF(ISNUMBER(ISCAM_Score!K49),ISCAM_Score!K49/100*PONDERADORES!$D$16,0)+IF(ISNUMBER(O48),O48*PONDERADORES!$D$17,0)+IF(ISNUMBER(AVERAGE(W48:Z48)),AVERAGE(W48:Z48)/2*PONDERADORES!$D$19,0))/(IF(ISNUMBER(M48),PONDERADORES!$D$12,0)+IF(ISNUMBER(SCORECARDS!H48),PONDERADORES!$D$13,0)+IF(ISNUMBER(SCORECARDS!I48),PONDERADORES!$D$14,0)+IF(ISNUMBER(SCORECARDS!J48),PONDERADORES!$D$15,0)+IF(ISNUMBER(ISCAM_Score!K49),PONDERADORES!$D$16,0)+IF(ISNUMBER(O48),PONDERADORES!$D$17,0)+IF(ISNUMBER(AVERAGE(W48:Z48)),PONDERADORES!$D$19,0)),"N/A")</f>
        <v>0.3125</v>
      </c>
      <c r="AQ48">
        <f>IF(ISNUMBER(M48),1,0)+IF(ISNUMBER(SCORECARDS!H48),1,0)+IF(ISNUMBER(SCORECARDS!I48),1,0)+IF(ISNUMBER(SCORECARDS!J48),1,0)+IF(ISNUMBER(ISCAM_Score!K49),1,0)+IF(ISNUMBER(O48),1,0)+IF(COUNT(W48:Z48)&gt;0,1,0)</f>
        <v>2</v>
      </c>
    </row>
    <row r="49" spans="1:43" ht="16.05" customHeight="1" x14ac:dyDescent="0.3">
      <c r="A49" t="s">
        <v>175</v>
      </c>
      <c r="B49" t="s">
        <v>176</v>
      </c>
      <c r="C49" t="s">
        <v>77</v>
      </c>
      <c r="D49" t="s">
        <v>73</v>
      </c>
      <c r="E49">
        <v>2290978.7000000002</v>
      </c>
      <c r="F49">
        <v>10</v>
      </c>
      <c r="G49" t="s">
        <v>66</v>
      </c>
      <c r="J49" t="s">
        <v>67</v>
      </c>
      <c r="L49">
        <v>1145489.3500000001</v>
      </c>
      <c r="M49">
        <f t="shared" si="3"/>
        <v>50</v>
      </c>
      <c r="N49" t="s">
        <v>68</v>
      </c>
      <c r="O49" t="str">
        <f t="shared" si="4"/>
        <v/>
      </c>
      <c r="P49" t="s">
        <v>68</v>
      </c>
      <c r="S49">
        <f t="shared" si="5"/>
        <v>31.3</v>
      </c>
      <c r="T49" t="str">
        <f t="shared" si="6"/>
        <v>⬜  Parcial · Inst. 2 pendiente</v>
      </c>
      <c r="U49" s="53">
        <v>1</v>
      </c>
      <c r="V49" t="s">
        <v>69</v>
      </c>
      <c r="W49">
        <f>IF(NORMALIZADO!BV49="",1,NORMALIZADO!BV49)</f>
        <v>1</v>
      </c>
      <c r="X49">
        <f>IF(NORMALIZADO!BW49="",0,NORMALIZADO!BW49)</f>
        <v>0</v>
      </c>
      <c r="Y49">
        <f>IF(NORMALIZADO!BX49="",0,NORMALIZADO!BX49)</f>
        <v>0</v>
      </c>
      <c r="Z49">
        <f>IF(NORMALIZADO!BY49="",0,NORMALIZADO!BY49)</f>
        <v>0</v>
      </c>
      <c r="AO49" t="str">
        <f t="shared" si="7"/>
        <v>N/A</v>
      </c>
      <c r="AP49">
        <f>IFERROR((IF(ISNUMBER(M49),M49/100*PONDERADORES!$D$12,0)+IF(ISNUMBER(SCORECARDS!H49),SCORECARDS!H49/100*PONDERADORES!$D$13,0)+IF(ISNUMBER(SCORECARDS!I49),SCORECARDS!I49/100*PONDERADORES!$D$14,0)+IF(ISNUMBER(SCORECARDS!J49),SCORECARDS!J49/100*PONDERADORES!$D$15,0)+IF(ISNUMBER(ISCAM_Score!K50),ISCAM_Score!K50/100*PONDERADORES!$D$16,0)+IF(ISNUMBER(O49),O49*PONDERADORES!$D$17,0)+IF(ISNUMBER(AVERAGE(W49:Z49)),AVERAGE(W49:Z49)/2*PONDERADORES!$D$19,0))/(IF(ISNUMBER(M49),PONDERADORES!$D$12,0)+IF(ISNUMBER(SCORECARDS!H49),PONDERADORES!$D$13,0)+IF(ISNUMBER(SCORECARDS!I49),PONDERADORES!$D$14,0)+IF(ISNUMBER(SCORECARDS!J49),PONDERADORES!$D$15,0)+IF(ISNUMBER(ISCAM_Score!K50),PONDERADORES!$D$16,0)+IF(ISNUMBER(O49),PONDERADORES!$D$17,0)+IF(ISNUMBER(AVERAGE(W49:Z49)),PONDERADORES!$D$19,0)),"N/A")</f>
        <v>0.3125</v>
      </c>
      <c r="AQ49">
        <f>IF(ISNUMBER(M49),1,0)+IF(ISNUMBER(SCORECARDS!H49),1,0)+IF(ISNUMBER(SCORECARDS!I49),1,0)+IF(ISNUMBER(SCORECARDS!J49),1,0)+IF(ISNUMBER(ISCAM_Score!K50),1,0)+IF(ISNUMBER(O49),1,0)+IF(COUNT(W49:Z49)&gt;0,1,0)</f>
        <v>2</v>
      </c>
    </row>
    <row r="50" spans="1:43" ht="16.05" customHeight="1" x14ac:dyDescent="0.3">
      <c r="A50" t="s">
        <v>177</v>
      </c>
      <c r="B50" t="s">
        <v>178</v>
      </c>
      <c r="C50" t="s">
        <v>179</v>
      </c>
      <c r="D50" t="s">
        <v>65</v>
      </c>
      <c r="G50" t="s">
        <v>74</v>
      </c>
      <c r="J50" t="s">
        <v>124</v>
      </c>
      <c r="M50" t="str">
        <f t="shared" si="3"/>
        <v/>
      </c>
      <c r="N50" t="s">
        <v>68</v>
      </c>
      <c r="O50" t="str">
        <f t="shared" si="4"/>
        <v/>
      </c>
      <c r="P50" t="s">
        <v>68</v>
      </c>
      <c r="S50">
        <f t="shared" si="5"/>
        <v>0</v>
      </c>
      <c r="T50" t="str">
        <f t="shared" si="6"/>
        <v>⬜  Parcial · Inst. 2 pendiente</v>
      </c>
      <c r="U50" s="53">
        <v>1</v>
      </c>
      <c r="V50" t="s">
        <v>69</v>
      </c>
      <c r="W50">
        <f>IF(NORMALIZADO!BV50="",0,NORMALIZADO!BV50)</f>
        <v>0</v>
      </c>
      <c r="X50">
        <f>IF(NORMALIZADO!BW50="",0,NORMALIZADO!BW50)</f>
        <v>0</v>
      </c>
      <c r="Y50">
        <f>IF(NORMALIZADO!BX50="",0,NORMALIZADO!BX50)</f>
        <v>0</v>
      </c>
      <c r="Z50">
        <f>IF(NORMALIZADO!BY50="",0,NORMALIZADO!BY50)</f>
        <v>0</v>
      </c>
      <c r="AO50" t="str">
        <f t="shared" si="7"/>
        <v>N/A</v>
      </c>
      <c r="AP50">
        <f>IFERROR((IF(ISNUMBER(M50),M50/100*PONDERADORES!$D$12,0)+IF(ISNUMBER(SCORECARDS!H50),SCORECARDS!H50/100*PONDERADORES!$D$13,0)+IF(ISNUMBER(SCORECARDS!I50),SCORECARDS!I50/100*PONDERADORES!$D$14,0)+IF(ISNUMBER(SCORECARDS!J50),SCORECARDS!J50/100*PONDERADORES!$D$15,0)+IF(ISNUMBER(ISCAM_Score!K51),ISCAM_Score!K51/100*PONDERADORES!$D$16,0)+IF(ISNUMBER(O50),O50*PONDERADORES!$D$17,0)+IF(ISNUMBER(AVERAGE(W50:Z50)),AVERAGE(W50:Z50)/2*PONDERADORES!$D$19,0))/(IF(ISNUMBER(M50),PONDERADORES!$D$12,0)+IF(ISNUMBER(SCORECARDS!H50),PONDERADORES!$D$13,0)+IF(ISNUMBER(SCORECARDS!I50),PONDERADORES!$D$14,0)+IF(ISNUMBER(SCORECARDS!J50),PONDERADORES!$D$15,0)+IF(ISNUMBER(ISCAM_Score!K51),PONDERADORES!$D$16,0)+IF(ISNUMBER(O50),PONDERADORES!$D$17,0)+IF(ISNUMBER(AVERAGE(W50:Z50)),PONDERADORES!$D$19,0)),"N/A")</f>
        <v>0</v>
      </c>
      <c r="AQ50">
        <f>IF(ISNUMBER(M50),1,0)+IF(ISNUMBER(SCORECARDS!H50),1,0)+IF(ISNUMBER(SCORECARDS!I50),1,0)+IF(ISNUMBER(SCORECARDS!J50),1,0)+IF(ISNUMBER(ISCAM_Score!K51),1,0)+IF(ISNUMBER(O50),1,0)+IF(COUNT(W50:Z50)&gt;0,1,0)</f>
        <v>1</v>
      </c>
    </row>
    <row r="51" spans="1:43" ht="16.05" customHeight="1" x14ac:dyDescent="0.3">
      <c r="A51" t="s">
        <v>180</v>
      </c>
      <c r="B51" t="s">
        <v>181</v>
      </c>
      <c r="C51" t="s">
        <v>150</v>
      </c>
      <c r="D51" t="s">
        <v>73</v>
      </c>
      <c r="G51" t="s">
        <v>74</v>
      </c>
      <c r="J51" t="s">
        <v>67</v>
      </c>
      <c r="M51" t="str">
        <f t="shared" si="3"/>
        <v/>
      </c>
      <c r="N51" t="s">
        <v>68</v>
      </c>
      <c r="O51" t="str">
        <f t="shared" si="4"/>
        <v/>
      </c>
      <c r="P51" t="s">
        <v>68</v>
      </c>
      <c r="S51">
        <f t="shared" si="5"/>
        <v>0</v>
      </c>
      <c r="T51" t="str">
        <f t="shared" si="6"/>
        <v>⬜  Parcial · Inst. 2 pendiente</v>
      </c>
      <c r="U51" s="53">
        <v>1</v>
      </c>
      <c r="V51" t="s">
        <v>69</v>
      </c>
      <c r="W51">
        <f>IF(NORMALIZADO!BV51="",0,NORMALIZADO!BV51)</f>
        <v>0</v>
      </c>
      <c r="X51">
        <f>IF(NORMALIZADO!BW51="",0,NORMALIZADO!BW51)</f>
        <v>0</v>
      </c>
      <c r="Y51">
        <f>IF(NORMALIZADO!BX51="",0,NORMALIZADO!BX51)</f>
        <v>0</v>
      </c>
      <c r="Z51">
        <f>IF(NORMALIZADO!BY51="",0,NORMALIZADO!BY51)</f>
        <v>0</v>
      </c>
      <c r="AO51" t="str">
        <f t="shared" si="7"/>
        <v>N/A</v>
      </c>
      <c r="AP51">
        <f>IFERROR((IF(ISNUMBER(M51),M51/100*PONDERADORES!$D$12,0)+IF(ISNUMBER(SCORECARDS!H51),SCORECARDS!H51/100*PONDERADORES!$D$13,0)+IF(ISNUMBER(SCORECARDS!I51),SCORECARDS!I51/100*PONDERADORES!$D$14,0)+IF(ISNUMBER(SCORECARDS!J51),SCORECARDS!J51/100*PONDERADORES!$D$15,0)+IF(ISNUMBER(ISCAM_Score!K52),ISCAM_Score!K52/100*PONDERADORES!$D$16,0)+IF(ISNUMBER(O51),O51*PONDERADORES!$D$17,0)+IF(ISNUMBER(AVERAGE(W51:Z51)),AVERAGE(W51:Z51)/2*PONDERADORES!$D$19,0))/(IF(ISNUMBER(M51),PONDERADORES!$D$12,0)+IF(ISNUMBER(SCORECARDS!H51),PONDERADORES!$D$13,0)+IF(ISNUMBER(SCORECARDS!I51),PONDERADORES!$D$14,0)+IF(ISNUMBER(SCORECARDS!J51),PONDERADORES!$D$15,0)+IF(ISNUMBER(ISCAM_Score!K52),PONDERADORES!$D$16,0)+IF(ISNUMBER(O51),PONDERADORES!$D$17,0)+IF(ISNUMBER(AVERAGE(W51:Z51)),PONDERADORES!$D$19,0)),"N/A")</f>
        <v>0</v>
      </c>
      <c r="AQ51">
        <f>IF(ISNUMBER(M51),1,0)+IF(ISNUMBER(SCORECARDS!H51),1,0)+IF(ISNUMBER(SCORECARDS!I51),1,0)+IF(ISNUMBER(SCORECARDS!J51),1,0)+IF(ISNUMBER(ISCAM_Score!K52),1,0)+IF(ISNUMBER(O51),1,0)+IF(COUNT(W51:Z51)&gt;0,1,0)</f>
        <v>1</v>
      </c>
    </row>
    <row r="52" spans="1:43" ht="16.05" customHeight="1" x14ac:dyDescent="0.3">
      <c r="A52" t="s">
        <v>182</v>
      </c>
      <c r="B52" t="s">
        <v>183</v>
      </c>
      <c r="C52" t="s">
        <v>80</v>
      </c>
      <c r="D52" t="s">
        <v>73</v>
      </c>
      <c r="G52" t="s">
        <v>74</v>
      </c>
      <c r="J52" t="s">
        <v>67</v>
      </c>
      <c r="M52" t="str">
        <f t="shared" si="3"/>
        <v/>
      </c>
      <c r="N52" t="s">
        <v>68</v>
      </c>
      <c r="O52" t="str">
        <f t="shared" si="4"/>
        <v/>
      </c>
      <c r="P52" t="s">
        <v>68</v>
      </c>
      <c r="S52">
        <f t="shared" si="5"/>
        <v>0</v>
      </c>
      <c r="T52" t="str">
        <f t="shared" si="6"/>
        <v>⬜  Parcial · Inst. 2 pendiente</v>
      </c>
      <c r="U52" s="53">
        <v>1</v>
      </c>
      <c r="V52" t="s">
        <v>69</v>
      </c>
      <c r="W52">
        <f>IF(NORMALIZADO!BV52="",0,NORMALIZADO!BV52)</f>
        <v>0</v>
      </c>
      <c r="X52">
        <f>IF(NORMALIZADO!BW52="",0,NORMALIZADO!BW52)</f>
        <v>0</v>
      </c>
      <c r="Y52">
        <f>IF(NORMALIZADO!BX52="",0,NORMALIZADO!BX52)</f>
        <v>0</v>
      </c>
      <c r="Z52">
        <f>IF(NORMALIZADO!BY52="",0,NORMALIZADO!BY52)</f>
        <v>0</v>
      </c>
      <c r="AO52" t="str">
        <f t="shared" si="7"/>
        <v>N/A</v>
      </c>
      <c r="AP52">
        <f>IFERROR((IF(ISNUMBER(M52),M52/100*PONDERADORES!$D$12,0)+IF(ISNUMBER(SCORECARDS!H52),SCORECARDS!H52/100*PONDERADORES!$D$13,0)+IF(ISNUMBER(SCORECARDS!I52),SCORECARDS!I52/100*PONDERADORES!$D$14,0)+IF(ISNUMBER(SCORECARDS!J52),SCORECARDS!J52/100*PONDERADORES!$D$15,0)+IF(ISNUMBER(ISCAM_Score!K53),ISCAM_Score!K53/100*PONDERADORES!$D$16,0)+IF(ISNUMBER(O52),O52*PONDERADORES!$D$17,0)+IF(ISNUMBER(AVERAGE(W52:Z52)),AVERAGE(W52:Z52)/2*PONDERADORES!$D$19,0))/(IF(ISNUMBER(M52),PONDERADORES!$D$12,0)+IF(ISNUMBER(SCORECARDS!H52),PONDERADORES!$D$13,0)+IF(ISNUMBER(SCORECARDS!I52),PONDERADORES!$D$14,0)+IF(ISNUMBER(SCORECARDS!J52),PONDERADORES!$D$15,0)+IF(ISNUMBER(ISCAM_Score!K53),PONDERADORES!$D$16,0)+IF(ISNUMBER(O52),PONDERADORES!$D$17,0)+IF(ISNUMBER(AVERAGE(W52:Z52)),PONDERADORES!$D$19,0)),"N/A")</f>
        <v>0</v>
      </c>
      <c r="AQ52">
        <f>IF(ISNUMBER(M52),1,0)+IF(ISNUMBER(SCORECARDS!H52),1,0)+IF(ISNUMBER(SCORECARDS!I52),1,0)+IF(ISNUMBER(SCORECARDS!J52),1,0)+IF(ISNUMBER(ISCAM_Score!K53),1,0)+IF(ISNUMBER(O52),1,0)+IF(COUNT(W52:Z52)&gt;0,1,0)</f>
        <v>1</v>
      </c>
    </row>
    <row r="53" spans="1:43" ht="16.05" customHeight="1" x14ac:dyDescent="0.3">
      <c r="A53" t="s">
        <v>184</v>
      </c>
      <c r="B53" t="s">
        <v>185</v>
      </c>
      <c r="C53" t="s">
        <v>139</v>
      </c>
      <c r="D53" t="s">
        <v>73</v>
      </c>
      <c r="G53" t="s">
        <v>74</v>
      </c>
      <c r="J53" t="s">
        <v>67</v>
      </c>
      <c r="M53" t="str">
        <f t="shared" si="3"/>
        <v/>
      </c>
      <c r="N53" t="s">
        <v>68</v>
      </c>
      <c r="O53" t="str">
        <f t="shared" si="4"/>
        <v/>
      </c>
      <c r="P53" t="s">
        <v>68</v>
      </c>
      <c r="S53">
        <f t="shared" si="5"/>
        <v>0</v>
      </c>
      <c r="T53" t="str">
        <f t="shared" si="6"/>
        <v>⬜  Parcial · Inst. 2 pendiente</v>
      </c>
      <c r="U53" s="53">
        <v>1</v>
      </c>
      <c r="V53" t="s">
        <v>69</v>
      </c>
      <c r="W53">
        <f>IF(NORMALIZADO!BV53="",0,NORMALIZADO!BV53)</f>
        <v>0</v>
      </c>
      <c r="X53">
        <f>IF(NORMALIZADO!BW53="",0,NORMALIZADO!BW53)</f>
        <v>0</v>
      </c>
      <c r="Y53">
        <f>IF(NORMALIZADO!BX53="",0,NORMALIZADO!BX53)</f>
        <v>0</v>
      </c>
      <c r="Z53">
        <f>IF(NORMALIZADO!BY53="",0,NORMALIZADO!BY53)</f>
        <v>0</v>
      </c>
      <c r="AO53" t="str">
        <f t="shared" si="7"/>
        <v>N/A</v>
      </c>
      <c r="AP53">
        <f>IFERROR((IF(ISNUMBER(M53),M53/100*PONDERADORES!$D$12,0)+IF(ISNUMBER(SCORECARDS!H53),SCORECARDS!H53/100*PONDERADORES!$D$13,0)+IF(ISNUMBER(SCORECARDS!I53),SCORECARDS!I53/100*PONDERADORES!$D$14,0)+IF(ISNUMBER(SCORECARDS!J53),SCORECARDS!J53/100*PONDERADORES!$D$15,0)+IF(ISNUMBER(ISCAM_Score!K54),ISCAM_Score!K54/100*PONDERADORES!$D$16,0)+IF(ISNUMBER(O53),O53*PONDERADORES!$D$17,0)+IF(ISNUMBER(AVERAGE(W53:Z53)),AVERAGE(W53:Z53)/2*PONDERADORES!$D$19,0))/(IF(ISNUMBER(M53),PONDERADORES!$D$12,0)+IF(ISNUMBER(SCORECARDS!H53),PONDERADORES!$D$13,0)+IF(ISNUMBER(SCORECARDS!I53),PONDERADORES!$D$14,0)+IF(ISNUMBER(SCORECARDS!J53),PONDERADORES!$D$15,0)+IF(ISNUMBER(ISCAM_Score!K54),PONDERADORES!$D$16,0)+IF(ISNUMBER(O53),PONDERADORES!$D$17,0)+IF(ISNUMBER(AVERAGE(W53:Z53)),PONDERADORES!$D$19,0)),"N/A")</f>
        <v>0</v>
      </c>
      <c r="AQ53">
        <f>IF(ISNUMBER(M53),1,0)+IF(ISNUMBER(SCORECARDS!H53),1,0)+IF(ISNUMBER(SCORECARDS!I53),1,0)+IF(ISNUMBER(SCORECARDS!J53),1,0)+IF(ISNUMBER(ISCAM_Score!K54),1,0)+IF(ISNUMBER(O53),1,0)+IF(COUNT(W53:Z53)&gt;0,1,0)</f>
        <v>1</v>
      </c>
    </row>
    <row r="54" spans="1:43" ht="16.05" customHeight="1" x14ac:dyDescent="0.3">
      <c r="A54" t="s">
        <v>186</v>
      </c>
      <c r="B54" t="s">
        <v>187</v>
      </c>
      <c r="C54" t="s">
        <v>139</v>
      </c>
      <c r="D54" t="s">
        <v>73</v>
      </c>
      <c r="G54" t="s">
        <v>74</v>
      </c>
      <c r="J54" t="s">
        <v>106</v>
      </c>
      <c r="M54" t="str">
        <f t="shared" si="3"/>
        <v/>
      </c>
      <c r="N54" t="s">
        <v>68</v>
      </c>
      <c r="O54" t="str">
        <f t="shared" si="4"/>
        <v/>
      </c>
      <c r="P54" t="s">
        <v>68</v>
      </c>
      <c r="S54">
        <f t="shared" si="5"/>
        <v>0</v>
      </c>
      <c r="T54" t="str">
        <f t="shared" si="6"/>
        <v>⬜  Parcial · Inst. 2 pendiente</v>
      </c>
      <c r="U54" s="53">
        <v>1</v>
      </c>
      <c r="V54" t="s">
        <v>69</v>
      </c>
      <c r="W54">
        <f>IF(NORMALIZADO!BV54="",0,NORMALIZADO!BV54)</f>
        <v>0</v>
      </c>
      <c r="X54">
        <f>IF(NORMALIZADO!BW54="",0,NORMALIZADO!BW54)</f>
        <v>0</v>
      </c>
      <c r="Y54">
        <f>IF(NORMALIZADO!BX54="",0,NORMALIZADO!BX54)</f>
        <v>0</v>
      </c>
      <c r="Z54">
        <f>IF(NORMALIZADO!BY54="",0,NORMALIZADO!BY54)</f>
        <v>0</v>
      </c>
      <c r="AO54" t="str">
        <f t="shared" si="7"/>
        <v>N/A</v>
      </c>
      <c r="AP54">
        <f>IFERROR((IF(ISNUMBER(M54),M54/100*PONDERADORES!$D$12,0)+IF(ISNUMBER(SCORECARDS!H54),SCORECARDS!H54/100*PONDERADORES!$D$13,0)+IF(ISNUMBER(SCORECARDS!I54),SCORECARDS!I54/100*PONDERADORES!$D$14,0)+IF(ISNUMBER(SCORECARDS!J54),SCORECARDS!J54/100*PONDERADORES!$D$15,0)+IF(ISNUMBER(ISCAM_Score!K55),ISCAM_Score!K55/100*PONDERADORES!$D$16,0)+IF(ISNUMBER(O54),O54*PONDERADORES!$D$17,0)+IF(ISNUMBER(AVERAGE(W54:Z54)),AVERAGE(W54:Z54)/2*PONDERADORES!$D$19,0))/(IF(ISNUMBER(M54),PONDERADORES!$D$12,0)+IF(ISNUMBER(SCORECARDS!H54),PONDERADORES!$D$13,0)+IF(ISNUMBER(SCORECARDS!I54),PONDERADORES!$D$14,0)+IF(ISNUMBER(SCORECARDS!J54),PONDERADORES!$D$15,0)+IF(ISNUMBER(ISCAM_Score!K55),PONDERADORES!$D$16,0)+IF(ISNUMBER(O54),PONDERADORES!$D$17,0)+IF(ISNUMBER(AVERAGE(W54:Z54)),PONDERADORES!$D$19,0)),"N/A")</f>
        <v>0</v>
      </c>
      <c r="AQ54">
        <f>IF(ISNUMBER(M54),1,0)+IF(ISNUMBER(SCORECARDS!H54),1,0)+IF(ISNUMBER(SCORECARDS!I54),1,0)+IF(ISNUMBER(SCORECARDS!J54),1,0)+IF(ISNUMBER(ISCAM_Score!K55),1,0)+IF(ISNUMBER(O54),1,0)+IF(COUNT(W54:Z54)&gt;0,1,0)</f>
        <v>1</v>
      </c>
    </row>
    <row r="55" spans="1:43" ht="16.05" customHeight="1" x14ac:dyDescent="0.3">
      <c r="A55" t="s">
        <v>188</v>
      </c>
      <c r="B55" t="s">
        <v>189</v>
      </c>
      <c r="C55" t="s">
        <v>139</v>
      </c>
      <c r="D55" t="s">
        <v>73</v>
      </c>
      <c r="G55" t="s">
        <v>74</v>
      </c>
      <c r="J55" t="s">
        <v>67</v>
      </c>
      <c r="M55" t="str">
        <f t="shared" si="3"/>
        <v/>
      </c>
      <c r="N55" t="s">
        <v>68</v>
      </c>
      <c r="O55" t="str">
        <f t="shared" si="4"/>
        <v/>
      </c>
      <c r="P55" t="s">
        <v>68</v>
      </c>
      <c r="S55">
        <f t="shared" si="5"/>
        <v>0</v>
      </c>
      <c r="T55" t="str">
        <f t="shared" si="6"/>
        <v>⬜  Parcial · Inst. 2 pendiente</v>
      </c>
      <c r="U55" s="53">
        <v>1</v>
      </c>
      <c r="V55" t="s">
        <v>69</v>
      </c>
      <c r="W55">
        <f>IF(NORMALIZADO!BV55="",0,NORMALIZADO!BV55)</f>
        <v>0</v>
      </c>
      <c r="X55">
        <f>IF(NORMALIZADO!BW55="",0,NORMALIZADO!BW55)</f>
        <v>0</v>
      </c>
      <c r="Y55">
        <f>IF(NORMALIZADO!BX55="",0,NORMALIZADO!BX55)</f>
        <v>0</v>
      </c>
      <c r="Z55">
        <f>IF(NORMALIZADO!BY55="",0,NORMALIZADO!BY55)</f>
        <v>0</v>
      </c>
      <c r="AO55" t="str">
        <f t="shared" si="7"/>
        <v>N/A</v>
      </c>
      <c r="AP55">
        <f>IFERROR((IF(ISNUMBER(M55),M55/100*PONDERADORES!$D$12,0)+IF(ISNUMBER(SCORECARDS!H55),SCORECARDS!H55/100*PONDERADORES!$D$13,0)+IF(ISNUMBER(SCORECARDS!I55),SCORECARDS!I55/100*PONDERADORES!$D$14,0)+IF(ISNUMBER(SCORECARDS!J55),SCORECARDS!J55/100*PONDERADORES!$D$15,0)+IF(ISNUMBER(ISCAM_Score!K56),ISCAM_Score!K56/100*PONDERADORES!$D$16,0)+IF(ISNUMBER(O55),O55*PONDERADORES!$D$17,0)+IF(ISNUMBER(AVERAGE(W55:Z55)),AVERAGE(W55:Z55)/2*PONDERADORES!$D$19,0))/(IF(ISNUMBER(M55),PONDERADORES!$D$12,0)+IF(ISNUMBER(SCORECARDS!H55),PONDERADORES!$D$13,0)+IF(ISNUMBER(SCORECARDS!I55),PONDERADORES!$D$14,0)+IF(ISNUMBER(SCORECARDS!J55),PONDERADORES!$D$15,0)+IF(ISNUMBER(ISCAM_Score!K56),PONDERADORES!$D$16,0)+IF(ISNUMBER(O55),PONDERADORES!$D$17,0)+IF(ISNUMBER(AVERAGE(W55:Z55)),PONDERADORES!$D$19,0)),"N/A")</f>
        <v>0</v>
      </c>
      <c r="AQ55">
        <f>IF(ISNUMBER(M55),1,0)+IF(ISNUMBER(SCORECARDS!H55),1,0)+IF(ISNUMBER(SCORECARDS!I55),1,0)+IF(ISNUMBER(SCORECARDS!J55),1,0)+IF(ISNUMBER(ISCAM_Score!K56),1,0)+IF(ISNUMBER(O55),1,0)+IF(COUNT(W55:Z55)&gt;0,1,0)</f>
        <v>1</v>
      </c>
    </row>
    <row r="56" spans="1:43" ht="16.05" customHeight="1" x14ac:dyDescent="0.3">
      <c r="A56" t="s">
        <v>190</v>
      </c>
      <c r="B56" t="s">
        <v>191</v>
      </c>
      <c r="C56" t="s">
        <v>192</v>
      </c>
      <c r="D56" t="s">
        <v>73</v>
      </c>
      <c r="G56" t="s">
        <v>74</v>
      </c>
      <c r="J56" t="s">
        <v>67</v>
      </c>
      <c r="M56" t="str">
        <f t="shared" si="3"/>
        <v/>
      </c>
      <c r="N56" t="s">
        <v>68</v>
      </c>
      <c r="O56" t="str">
        <f t="shared" si="4"/>
        <v/>
      </c>
      <c r="P56" t="s">
        <v>68</v>
      </c>
      <c r="S56">
        <f t="shared" si="5"/>
        <v>0</v>
      </c>
      <c r="T56" t="str">
        <f t="shared" si="6"/>
        <v>⬜  Parcial · Inst. 2 pendiente</v>
      </c>
      <c r="U56" s="53">
        <v>1</v>
      </c>
      <c r="V56" t="s">
        <v>69</v>
      </c>
      <c r="W56">
        <f>IF(NORMALIZADO!BV56="",0,NORMALIZADO!BV56)</f>
        <v>0</v>
      </c>
      <c r="X56">
        <f>IF(NORMALIZADO!BW56="",0,NORMALIZADO!BW56)</f>
        <v>0</v>
      </c>
      <c r="Y56">
        <f>IF(NORMALIZADO!BX56="",0,NORMALIZADO!BX56)</f>
        <v>0</v>
      </c>
      <c r="Z56">
        <f>IF(NORMALIZADO!BY56="",0,NORMALIZADO!BY56)</f>
        <v>0</v>
      </c>
      <c r="AO56" t="str">
        <f t="shared" si="7"/>
        <v>N/A</v>
      </c>
      <c r="AP56">
        <f>IFERROR((IF(ISNUMBER(M56),M56/100*PONDERADORES!$D$12,0)+IF(ISNUMBER(SCORECARDS!H56),SCORECARDS!H56/100*PONDERADORES!$D$13,0)+IF(ISNUMBER(SCORECARDS!I56),SCORECARDS!I56/100*PONDERADORES!$D$14,0)+IF(ISNUMBER(SCORECARDS!J56),SCORECARDS!J56/100*PONDERADORES!$D$15,0)+IF(ISNUMBER(ISCAM_Score!K57),ISCAM_Score!K57/100*PONDERADORES!$D$16,0)+IF(ISNUMBER(O56),O56*PONDERADORES!$D$17,0)+IF(ISNUMBER(AVERAGE(W56:Z56)),AVERAGE(W56:Z56)/2*PONDERADORES!$D$19,0))/(IF(ISNUMBER(M56),PONDERADORES!$D$12,0)+IF(ISNUMBER(SCORECARDS!H56),PONDERADORES!$D$13,0)+IF(ISNUMBER(SCORECARDS!I56),PONDERADORES!$D$14,0)+IF(ISNUMBER(SCORECARDS!J56),PONDERADORES!$D$15,0)+IF(ISNUMBER(ISCAM_Score!K57),PONDERADORES!$D$16,0)+IF(ISNUMBER(O56),PONDERADORES!$D$17,0)+IF(ISNUMBER(AVERAGE(W56:Z56)),PONDERADORES!$D$19,0)),"N/A")</f>
        <v>0</v>
      </c>
      <c r="AQ56">
        <f>IF(ISNUMBER(M56),1,0)+IF(ISNUMBER(SCORECARDS!H56),1,0)+IF(ISNUMBER(SCORECARDS!I56),1,0)+IF(ISNUMBER(SCORECARDS!J56),1,0)+IF(ISNUMBER(ISCAM_Score!K57),1,0)+IF(ISNUMBER(O56),1,0)+IF(COUNT(W56:Z56)&gt;0,1,0)</f>
        <v>1</v>
      </c>
    </row>
    <row r="57" spans="1:43" ht="16.05" customHeight="1" x14ac:dyDescent="0.3">
      <c r="A57" t="s">
        <v>193</v>
      </c>
      <c r="B57" t="s">
        <v>194</v>
      </c>
      <c r="C57" t="s">
        <v>80</v>
      </c>
      <c r="D57" t="s">
        <v>73</v>
      </c>
      <c r="G57" t="s">
        <v>74</v>
      </c>
      <c r="J57" t="s">
        <v>67</v>
      </c>
      <c r="M57" t="str">
        <f t="shared" si="3"/>
        <v/>
      </c>
      <c r="N57" t="s">
        <v>68</v>
      </c>
      <c r="O57" t="str">
        <f t="shared" si="4"/>
        <v/>
      </c>
      <c r="P57" t="s">
        <v>68</v>
      </c>
      <c r="S57">
        <f t="shared" si="5"/>
        <v>0</v>
      </c>
      <c r="T57" t="str">
        <f t="shared" si="6"/>
        <v>⬜  Parcial · Inst. 2 pendiente</v>
      </c>
      <c r="U57" s="53">
        <v>1</v>
      </c>
      <c r="V57" t="s">
        <v>69</v>
      </c>
      <c r="W57">
        <f>IF(NORMALIZADO!BV57="",0,NORMALIZADO!BV57)</f>
        <v>0</v>
      </c>
      <c r="X57">
        <f>IF(NORMALIZADO!BW57="",0,NORMALIZADO!BW57)</f>
        <v>0</v>
      </c>
      <c r="Y57">
        <f>IF(NORMALIZADO!BX57="",0,NORMALIZADO!BX57)</f>
        <v>0</v>
      </c>
      <c r="Z57">
        <f>IF(NORMALIZADO!BY57="",0,NORMALIZADO!BY57)</f>
        <v>0</v>
      </c>
      <c r="AO57" t="str">
        <f t="shared" si="7"/>
        <v>N/A</v>
      </c>
      <c r="AP57">
        <f>IFERROR((IF(ISNUMBER(M57),M57/100*PONDERADORES!$D$12,0)+IF(ISNUMBER(SCORECARDS!H57),SCORECARDS!H57/100*PONDERADORES!$D$13,0)+IF(ISNUMBER(SCORECARDS!I57),SCORECARDS!I57/100*PONDERADORES!$D$14,0)+IF(ISNUMBER(SCORECARDS!J57),SCORECARDS!J57/100*PONDERADORES!$D$15,0)+IF(ISNUMBER(ISCAM_Score!K58),ISCAM_Score!K58/100*PONDERADORES!$D$16,0)+IF(ISNUMBER(O57),O57*PONDERADORES!$D$17,0)+IF(ISNUMBER(AVERAGE(W57:Z57)),AVERAGE(W57:Z57)/2*PONDERADORES!$D$19,0))/(IF(ISNUMBER(M57),PONDERADORES!$D$12,0)+IF(ISNUMBER(SCORECARDS!H57),PONDERADORES!$D$13,0)+IF(ISNUMBER(SCORECARDS!I57),PONDERADORES!$D$14,0)+IF(ISNUMBER(SCORECARDS!J57),PONDERADORES!$D$15,0)+IF(ISNUMBER(ISCAM_Score!K58),PONDERADORES!$D$16,0)+IF(ISNUMBER(O57),PONDERADORES!$D$17,0)+IF(ISNUMBER(AVERAGE(W57:Z57)),PONDERADORES!$D$19,0)),"N/A")</f>
        <v>0</v>
      </c>
      <c r="AQ57">
        <f>IF(ISNUMBER(M57),1,0)+IF(ISNUMBER(SCORECARDS!H57),1,0)+IF(ISNUMBER(SCORECARDS!I57),1,0)+IF(ISNUMBER(SCORECARDS!J57),1,0)+IF(ISNUMBER(ISCAM_Score!K58),1,0)+IF(ISNUMBER(O57),1,0)+IF(COUNT(W57:Z57)&gt;0,1,0)</f>
        <v>1</v>
      </c>
    </row>
    <row r="58" spans="1:43" ht="16.05" customHeight="1" x14ac:dyDescent="0.3">
      <c r="A58" t="s">
        <v>195</v>
      </c>
      <c r="B58" t="s">
        <v>196</v>
      </c>
      <c r="C58" t="s">
        <v>103</v>
      </c>
      <c r="D58" t="s">
        <v>73</v>
      </c>
      <c r="E58">
        <v>105840</v>
      </c>
      <c r="F58">
        <v>7</v>
      </c>
      <c r="G58" t="s">
        <v>66</v>
      </c>
      <c r="J58" t="s">
        <v>67</v>
      </c>
      <c r="L58">
        <v>52920</v>
      </c>
      <c r="M58">
        <f t="shared" si="3"/>
        <v>50</v>
      </c>
      <c r="N58" t="s">
        <v>68</v>
      </c>
      <c r="O58" t="str">
        <f t="shared" si="4"/>
        <v/>
      </c>
      <c r="P58" t="s">
        <v>68</v>
      </c>
      <c r="S58">
        <f t="shared" si="5"/>
        <v>25</v>
      </c>
      <c r="T58" t="str">
        <f t="shared" si="6"/>
        <v>⬜  Parcial · Inst. 2 pendiente</v>
      </c>
      <c r="U58" s="53">
        <v>1</v>
      </c>
      <c r="V58" t="s">
        <v>69</v>
      </c>
      <c r="W58">
        <f>IF(NORMALIZADO!BV58="",0,NORMALIZADO!BV58)</f>
        <v>0</v>
      </c>
      <c r="X58">
        <f>IF(NORMALIZADO!BW58="",0,NORMALIZADO!BW58)</f>
        <v>0</v>
      </c>
      <c r="Y58">
        <f>IF(NORMALIZADO!BX58="",0,NORMALIZADO!BX58)</f>
        <v>0</v>
      </c>
      <c r="Z58">
        <f>IF(NORMALIZADO!BY58="",0,NORMALIZADO!BY58)</f>
        <v>0</v>
      </c>
      <c r="AO58" t="str">
        <f t="shared" si="7"/>
        <v>N/A</v>
      </c>
      <c r="AP58">
        <f>IFERROR((IF(ISNUMBER(M58),M58/100*PONDERADORES!$D$12,0)+IF(ISNUMBER(SCORECARDS!H58),SCORECARDS!H58/100*PONDERADORES!$D$13,0)+IF(ISNUMBER(SCORECARDS!I58),SCORECARDS!I58/100*PONDERADORES!$D$14,0)+IF(ISNUMBER(SCORECARDS!J58),SCORECARDS!J58/100*PONDERADORES!$D$15,0)+IF(ISNUMBER(ISCAM_Score!K59),ISCAM_Score!K59/100*PONDERADORES!$D$16,0)+IF(ISNUMBER(O58),O58*PONDERADORES!$D$17,0)+IF(ISNUMBER(AVERAGE(W58:Z58)),AVERAGE(W58:Z58)/2*PONDERADORES!$D$19,0))/(IF(ISNUMBER(M58),PONDERADORES!$D$12,0)+IF(ISNUMBER(SCORECARDS!H58),PONDERADORES!$D$13,0)+IF(ISNUMBER(SCORECARDS!I58),PONDERADORES!$D$14,0)+IF(ISNUMBER(SCORECARDS!J58),PONDERADORES!$D$15,0)+IF(ISNUMBER(ISCAM_Score!K59),PONDERADORES!$D$16,0)+IF(ISNUMBER(O58),PONDERADORES!$D$17,0)+IF(ISNUMBER(AVERAGE(W58:Z58)),PONDERADORES!$D$19,0)),"N/A")</f>
        <v>0.25</v>
      </c>
      <c r="AQ58">
        <f>IF(ISNUMBER(M58),1,0)+IF(ISNUMBER(SCORECARDS!H58),1,0)+IF(ISNUMBER(SCORECARDS!I58),1,0)+IF(ISNUMBER(SCORECARDS!J58),1,0)+IF(ISNUMBER(ISCAM_Score!K59),1,0)+IF(ISNUMBER(O58),1,0)+IF(COUNT(W58:Z58)&gt;0,1,0)</f>
        <v>2</v>
      </c>
    </row>
    <row r="59" spans="1:43" ht="16.05" customHeight="1" x14ac:dyDescent="0.3">
      <c r="A59" t="s">
        <v>197</v>
      </c>
      <c r="B59" t="s">
        <v>198</v>
      </c>
      <c r="C59" t="s">
        <v>103</v>
      </c>
      <c r="D59" t="s">
        <v>73</v>
      </c>
      <c r="G59" t="s">
        <v>74</v>
      </c>
      <c r="J59" t="s">
        <v>124</v>
      </c>
      <c r="M59" t="str">
        <f t="shared" si="3"/>
        <v/>
      </c>
      <c r="N59" t="s">
        <v>68</v>
      </c>
      <c r="O59" t="str">
        <f t="shared" si="4"/>
        <v/>
      </c>
      <c r="P59" t="s">
        <v>68</v>
      </c>
      <c r="S59">
        <f t="shared" si="5"/>
        <v>0</v>
      </c>
      <c r="T59" t="str">
        <f t="shared" si="6"/>
        <v>⬜  Parcial · Inst. 2 pendiente</v>
      </c>
      <c r="U59" s="53">
        <v>1</v>
      </c>
      <c r="V59" t="s">
        <v>69</v>
      </c>
      <c r="W59">
        <f>IF(NORMALIZADO!BV59="",0,NORMALIZADO!BV59)</f>
        <v>0</v>
      </c>
      <c r="X59">
        <f>IF(NORMALIZADO!BW59="",0,NORMALIZADO!BW59)</f>
        <v>0</v>
      </c>
      <c r="Y59">
        <f>IF(NORMALIZADO!BX59="",0,NORMALIZADO!BX59)</f>
        <v>0</v>
      </c>
      <c r="Z59">
        <f>IF(NORMALIZADO!BY59="",0,NORMALIZADO!BY59)</f>
        <v>0</v>
      </c>
      <c r="AO59" t="str">
        <f t="shared" si="7"/>
        <v>N/A</v>
      </c>
      <c r="AP59">
        <f>IFERROR((IF(ISNUMBER(M59),M59/100*PONDERADORES!$D$12,0)+IF(ISNUMBER(SCORECARDS!H59),SCORECARDS!H59/100*PONDERADORES!$D$13,0)+IF(ISNUMBER(SCORECARDS!I59),SCORECARDS!I59/100*PONDERADORES!$D$14,0)+IF(ISNUMBER(SCORECARDS!J59),SCORECARDS!J59/100*PONDERADORES!$D$15,0)+IF(ISNUMBER(ISCAM_Score!K60),ISCAM_Score!K60/100*PONDERADORES!$D$16,0)+IF(ISNUMBER(O59),O59*PONDERADORES!$D$17,0)+IF(ISNUMBER(AVERAGE(W59:Z59)),AVERAGE(W59:Z59)/2*PONDERADORES!$D$19,0))/(IF(ISNUMBER(M59),PONDERADORES!$D$12,0)+IF(ISNUMBER(SCORECARDS!H59),PONDERADORES!$D$13,0)+IF(ISNUMBER(SCORECARDS!I59),PONDERADORES!$D$14,0)+IF(ISNUMBER(SCORECARDS!J59),PONDERADORES!$D$15,0)+IF(ISNUMBER(ISCAM_Score!K60),PONDERADORES!$D$16,0)+IF(ISNUMBER(O59),PONDERADORES!$D$17,0)+IF(ISNUMBER(AVERAGE(W59:Z59)),PONDERADORES!$D$19,0)),"N/A")</f>
        <v>0</v>
      </c>
      <c r="AQ59">
        <f>IF(ISNUMBER(M59),1,0)+IF(ISNUMBER(SCORECARDS!H59),1,0)+IF(ISNUMBER(SCORECARDS!I59),1,0)+IF(ISNUMBER(SCORECARDS!J59),1,0)+IF(ISNUMBER(ISCAM_Score!K60),1,0)+IF(ISNUMBER(O59),1,0)+IF(COUNT(W59:Z59)&gt;0,1,0)</f>
        <v>1</v>
      </c>
    </row>
    <row r="60" spans="1:43" ht="16.05" customHeight="1" x14ac:dyDescent="0.3">
      <c r="A60" t="s">
        <v>199</v>
      </c>
      <c r="B60" t="s">
        <v>200</v>
      </c>
      <c r="C60" t="s">
        <v>201</v>
      </c>
      <c r="D60" t="s">
        <v>65</v>
      </c>
      <c r="E60">
        <v>10746930.949999999</v>
      </c>
      <c r="F60">
        <v>59</v>
      </c>
      <c r="G60" t="s">
        <v>66</v>
      </c>
      <c r="J60" t="s">
        <v>67</v>
      </c>
      <c r="L60">
        <v>5373465.4699999997</v>
      </c>
      <c r="M60">
        <f t="shared" si="3"/>
        <v>50</v>
      </c>
      <c r="N60" t="s">
        <v>68</v>
      </c>
      <c r="O60" t="str">
        <f t="shared" si="4"/>
        <v/>
      </c>
      <c r="P60" t="s">
        <v>68</v>
      </c>
      <c r="S60">
        <f t="shared" si="5"/>
        <v>31.3</v>
      </c>
      <c r="T60" t="str">
        <f t="shared" si="6"/>
        <v>⬜  Parcial · Inst. 2 pendiente</v>
      </c>
      <c r="U60" s="53">
        <v>1</v>
      </c>
      <c r="V60" t="s">
        <v>69</v>
      </c>
      <c r="W60">
        <f>IF(NORMALIZADO!BV60="",1,NORMALIZADO!BV60)</f>
        <v>1</v>
      </c>
      <c r="X60">
        <f>IF(NORMALIZADO!BW60="",0,NORMALIZADO!BW60)</f>
        <v>0</v>
      </c>
      <c r="Y60">
        <f>IF(NORMALIZADO!BX60="",0,NORMALIZADO!BX60)</f>
        <v>0</v>
      </c>
      <c r="Z60">
        <f>IF(NORMALIZADO!BY60="",0,NORMALIZADO!BY60)</f>
        <v>0</v>
      </c>
      <c r="AO60" t="str">
        <f t="shared" si="7"/>
        <v>N/A</v>
      </c>
      <c r="AP60">
        <f>IFERROR((IF(ISNUMBER(M60),M60/100*PONDERADORES!$D$12,0)+IF(ISNUMBER(SCORECARDS!H60),SCORECARDS!H60/100*PONDERADORES!$D$13,0)+IF(ISNUMBER(SCORECARDS!I60),SCORECARDS!I60/100*PONDERADORES!$D$14,0)+IF(ISNUMBER(SCORECARDS!J60),SCORECARDS!J60/100*PONDERADORES!$D$15,0)+IF(ISNUMBER(ISCAM_Score!K61),ISCAM_Score!K61/100*PONDERADORES!$D$16,0)+IF(ISNUMBER(O60),O60*PONDERADORES!$D$17,0)+IF(ISNUMBER(AVERAGE(W60:Z60)),AVERAGE(W60:Z60)/2*PONDERADORES!$D$19,0))/(IF(ISNUMBER(M60),PONDERADORES!$D$12,0)+IF(ISNUMBER(SCORECARDS!H60),PONDERADORES!$D$13,0)+IF(ISNUMBER(SCORECARDS!I60),PONDERADORES!$D$14,0)+IF(ISNUMBER(SCORECARDS!J60),PONDERADORES!$D$15,0)+IF(ISNUMBER(ISCAM_Score!K61),PONDERADORES!$D$16,0)+IF(ISNUMBER(O60),PONDERADORES!$D$17,0)+IF(ISNUMBER(AVERAGE(W60:Z60)),PONDERADORES!$D$19,0)),"N/A")</f>
        <v>0.3125</v>
      </c>
      <c r="AQ60">
        <f>IF(ISNUMBER(M60),1,0)+IF(ISNUMBER(SCORECARDS!H60),1,0)+IF(ISNUMBER(SCORECARDS!I60),1,0)+IF(ISNUMBER(SCORECARDS!J60),1,0)+IF(ISNUMBER(ISCAM_Score!K61),1,0)+IF(ISNUMBER(O60),1,0)+IF(COUNT(W60:Z60)&gt;0,1,0)</f>
        <v>2</v>
      </c>
    </row>
    <row r="61" spans="1:43" ht="16.05" customHeight="1" x14ac:dyDescent="0.3">
      <c r="A61" t="s">
        <v>202</v>
      </c>
      <c r="B61" t="s">
        <v>203</v>
      </c>
      <c r="C61" t="s">
        <v>119</v>
      </c>
      <c r="D61" t="s">
        <v>65</v>
      </c>
      <c r="G61" t="s">
        <v>74</v>
      </c>
      <c r="J61" t="s">
        <v>67</v>
      </c>
      <c r="M61" t="str">
        <f t="shared" si="3"/>
        <v/>
      </c>
      <c r="N61" t="s">
        <v>68</v>
      </c>
      <c r="O61" t="str">
        <f t="shared" si="4"/>
        <v/>
      </c>
      <c r="P61" t="s">
        <v>68</v>
      </c>
      <c r="S61">
        <f t="shared" si="5"/>
        <v>0</v>
      </c>
      <c r="T61" t="str">
        <f t="shared" si="6"/>
        <v>⬜  Parcial · Inst. 2 pendiente</v>
      </c>
      <c r="U61" s="53">
        <v>1</v>
      </c>
      <c r="V61" t="s">
        <v>69</v>
      </c>
      <c r="W61">
        <f>IF(NORMALIZADO!BV61="",0,NORMALIZADO!BV61)</f>
        <v>0</v>
      </c>
      <c r="X61">
        <f>IF(NORMALIZADO!BW61="",0,NORMALIZADO!BW61)</f>
        <v>0</v>
      </c>
      <c r="Y61">
        <f>IF(NORMALIZADO!BX61="",0,NORMALIZADO!BX61)</f>
        <v>0</v>
      </c>
      <c r="Z61">
        <f>IF(NORMALIZADO!BY61="",0,NORMALIZADO!BY61)</f>
        <v>0</v>
      </c>
      <c r="AO61" t="str">
        <f t="shared" si="7"/>
        <v>N/A</v>
      </c>
      <c r="AP61">
        <f>IFERROR((IF(ISNUMBER(M61),M61/100*PONDERADORES!$D$12,0)+IF(ISNUMBER(SCORECARDS!H61),SCORECARDS!H61/100*PONDERADORES!$D$13,0)+IF(ISNUMBER(SCORECARDS!I61),SCORECARDS!I61/100*PONDERADORES!$D$14,0)+IF(ISNUMBER(SCORECARDS!J61),SCORECARDS!J61/100*PONDERADORES!$D$15,0)+IF(ISNUMBER(ISCAM_Score!K62),ISCAM_Score!K62/100*PONDERADORES!$D$16,0)+IF(ISNUMBER(O61),O61*PONDERADORES!$D$17,0)+IF(ISNUMBER(AVERAGE(W61:Z61)),AVERAGE(W61:Z61)/2*PONDERADORES!$D$19,0))/(IF(ISNUMBER(M61),PONDERADORES!$D$12,0)+IF(ISNUMBER(SCORECARDS!H61),PONDERADORES!$D$13,0)+IF(ISNUMBER(SCORECARDS!I61),PONDERADORES!$D$14,0)+IF(ISNUMBER(SCORECARDS!J61),PONDERADORES!$D$15,0)+IF(ISNUMBER(ISCAM_Score!K62),PONDERADORES!$D$16,0)+IF(ISNUMBER(O61),PONDERADORES!$D$17,0)+IF(ISNUMBER(AVERAGE(W61:Z61)),PONDERADORES!$D$19,0)),"N/A")</f>
        <v>0</v>
      </c>
      <c r="AQ61">
        <f>IF(ISNUMBER(M61),1,0)+IF(ISNUMBER(SCORECARDS!H61),1,0)+IF(ISNUMBER(SCORECARDS!I61),1,0)+IF(ISNUMBER(SCORECARDS!J61),1,0)+IF(ISNUMBER(ISCAM_Score!K62),1,0)+IF(ISNUMBER(O61),1,0)+IF(COUNT(W61:Z61)&gt;0,1,0)</f>
        <v>1</v>
      </c>
    </row>
    <row r="62" spans="1:43" ht="16.05" customHeight="1" x14ac:dyDescent="0.3">
      <c r="A62" t="s">
        <v>204</v>
      </c>
      <c r="B62" t="s">
        <v>205</v>
      </c>
      <c r="C62" t="s">
        <v>103</v>
      </c>
      <c r="D62" t="s">
        <v>65</v>
      </c>
      <c r="G62" t="s">
        <v>74</v>
      </c>
      <c r="J62" t="s">
        <v>124</v>
      </c>
      <c r="M62" t="str">
        <f t="shared" si="3"/>
        <v/>
      </c>
      <c r="N62" t="s">
        <v>68</v>
      </c>
      <c r="O62" t="str">
        <f t="shared" si="4"/>
        <v/>
      </c>
      <c r="P62" t="s">
        <v>68</v>
      </c>
      <c r="S62">
        <f t="shared" si="5"/>
        <v>0</v>
      </c>
      <c r="T62" t="str">
        <f t="shared" si="6"/>
        <v>⬜  Parcial · Inst. 2 pendiente</v>
      </c>
      <c r="U62" s="53">
        <v>1</v>
      </c>
      <c r="V62" t="s">
        <v>69</v>
      </c>
      <c r="W62">
        <f>IF(NORMALIZADO!BV62="",0,NORMALIZADO!BV62)</f>
        <v>0</v>
      </c>
      <c r="X62">
        <f>IF(NORMALIZADO!BW62="",0,NORMALIZADO!BW62)</f>
        <v>0</v>
      </c>
      <c r="Y62">
        <f>IF(NORMALIZADO!BX62="",0,NORMALIZADO!BX62)</f>
        <v>0</v>
      </c>
      <c r="Z62">
        <f>IF(NORMALIZADO!BY62="",0,NORMALIZADO!BY62)</f>
        <v>0</v>
      </c>
      <c r="AO62" t="str">
        <f t="shared" si="7"/>
        <v>N/A</v>
      </c>
      <c r="AP62">
        <f>IFERROR((IF(ISNUMBER(M62),M62/100*PONDERADORES!$D$12,0)+IF(ISNUMBER(SCORECARDS!H62),SCORECARDS!H62/100*PONDERADORES!$D$13,0)+IF(ISNUMBER(SCORECARDS!I62),SCORECARDS!I62/100*PONDERADORES!$D$14,0)+IF(ISNUMBER(SCORECARDS!J62),SCORECARDS!J62/100*PONDERADORES!$D$15,0)+IF(ISNUMBER(ISCAM_Score!K63),ISCAM_Score!K63/100*PONDERADORES!$D$16,0)+IF(ISNUMBER(O62),O62*PONDERADORES!$D$17,0)+IF(ISNUMBER(AVERAGE(W62:Z62)),AVERAGE(W62:Z62)/2*PONDERADORES!$D$19,0))/(IF(ISNUMBER(M62),PONDERADORES!$D$12,0)+IF(ISNUMBER(SCORECARDS!H62),PONDERADORES!$D$13,0)+IF(ISNUMBER(SCORECARDS!I62),PONDERADORES!$D$14,0)+IF(ISNUMBER(SCORECARDS!J62),PONDERADORES!$D$15,0)+IF(ISNUMBER(ISCAM_Score!K63),PONDERADORES!$D$16,0)+IF(ISNUMBER(O62),PONDERADORES!$D$17,0)+IF(ISNUMBER(AVERAGE(W62:Z62)),PONDERADORES!$D$19,0)),"N/A")</f>
        <v>0</v>
      </c>
      <c r="AQ62">
        <f>IF(ISNUMBER(M62),1,0)+IF(ISNUMBER(SCORECARDS!H62),1,0)+IF(ISNUMBER(SCORECARDS!I62),1,0)+IF(ISNUMBER(SCORECARDS!J62),1,0)+IF(ISNUMBER(ISCAM_Score!K63),1,0)+IF(ISNUMBER(O62),1,0)+IF(COUNT(W62:Z62)&gt;0,1,0)</f>
        <v>1</v>
      </c>
    </row>
    <row r="63" spans="1:43" ht="16.05" customHeight="1" x14ac:dyDescent="0.3">
      <c r="A63" t="s">
        <v>206</v>
      </c>
      <c r="B63" t="s">
        <v>207</v>
      </c>
      <c r="C63" t="s">
        <v>103</v>
      </c>
      <c r="D63" t="s">
        <v>65</v>
      </c>
      <c r="G63" t="s">
        <v>74</v>
      </c>
      <c r="J63" t="s">
        <v>124</v>
      </c>
      <c r="M63" t="str">
        <f t="shared" si="3"/>
        <v/>
      </c>
      <c r="N63" t="s">
        <v>68</v>
      </c>
      <c r="O63" t="str">
        <f t="shared" si="4"/>
        <v/>
      </c>
      <c r="P63" t="s">
        <v>68</v>
      </c>
      <c r="S63">
        <f t="shared" si="5"/>
        <v>0</v>
      </c>
      <c r="T63" t="str">
        <f t="shared" si="6"/>
        <v>⬜  Parcial · Inst. 2 pendiente</v>
      </c>
      <c r="U63" s="53">
        <v>1</v>
      </c>
      <c r="V63" t="s">
        <v>69</v>
      </c>
      <c r="W63">
        <f>IF(NORMALIZADO!BV63="",0,NORMALIZADO!BV63)</f>
        <v>0</v>
      </c>
      <c r="X63">
        <f>IF(NORMALIZADO!BW63="",0,NORMALIZADO!BW63)</f>
        <v>0</v>
      </c>
      <c r="Y63">
        <f>IF(NORMALIZADO!BX63="",0,NORMALIZADO!BX63)</f>
        <v>0</v>
      </c>
      <c r="Z63">
        <f>IF(NORMALIZADO!BY63="",0,NORMALIZADO!BY63)</f>
        <v>0</v>
      </c>
      <c r="AO63" t="str">
        <f t="shared" si="7"/>
        <v>N/A</v>
      </c>
      <c r="AP63">
        <f>IFERROR((IF(ISNUMBER(M63),M63/100*PONDERADORES!$D$12,0)+IF(ISNUMBER(SCORECARDS!H63),SCORECARDS!H63/100*PONDERADORES!$D$13,0)+IF(ISNUMBER(SCORECARDS!I63),SCORECARDS!I63/100*PONDERADORES!$D$14,0)+IF(ISNUMBER(SCORECARDS!J63),SCORECARDS!J63/100*PONDERADORES!$D$15,0)+IF(ISNUMBER(ISCAM_Score!K64),ISCAM_Score!K64/100*PONDERADORES!$D$16,0)+IF(ISNUMBER(O63),O63*PONDERADORES!$D$17,0)+IF(ISNUMBER(AVERAGE(W63:Z63)),AVERAGE(W63:Z63)/2*PONDERADORES!$D$19,0))/(IF(ISNUMBER(M63),PONDERADORES!$D$12,0)+IF(ISNUMBER(SCORECARDS!H63),PONDERADORES!$D$13,0)+IF(ISNUMBER(SCORECARDS!I63),PONDERADORES!$D$14,0)+IF(ISNUMBER(SCORECARDS!J63),PONDERADORES!$D$15,0)+IF(ISNUMBER(ISCAM_Score!K64),PONDERADORES!$D$16,0)+IF(ISNUMBER(O63),PONDERADORES!$D$17,0)+IF(ISNUMBER(AVERAGE(W63:Z63)),PONDERADORES!$D$19,0)),"N/A")</f>
        <v>0</v>
      </c>
      <c r="AQ63">
        <f>IF(ISNUMBER(M63),1,0)+IF(ISNUMBER(SCORECARDS!H63),1,0)+IF(ISNUMBER(SCORECARDS!I63),1,0)+IF(ISNUMBER(SCORECARDS!J63),1,0)+IF(ISNUMBER(ISCAM_Score!K64),1,0)+IF(ISNUMBER(O63),1,0)+IF(COUNT(W63:Z63)&gt;0,1,0)</f>
        <v>1</v>
      </c>
    </row>
    <row r="64" spans="1:43" ht="16.05" customHeight="1" x14ac:dyDescent="0.3">
      <c r="A64" t="s">
        <v>208</v>
      </c>
      <c r="B64" t="s">
        <v>209</v>
      </c>
      <c r="C64" t="s">
        <v>139</v>
      </c>
      <c r="D64" t="s">
        <v>65</v>
      </c>
      <c r="G64" t="s">
        <v>74</v>
      </c>
      <c r="J64" t="s">
        <v>67</v>
      </c>
      <c r="M64" t="str">
        <f t="shared" si="3"/>
        <v/>
      </c>
      <c r="N64" t="s">
        <v>68</v>
      </c>
      <c r="O64" t="str">
        <f t="shared" si="4"/>
        <v/>
      </c>
      <c r="P64" t="s">
        <v>68</v>
      </c>
      <c r="S64">
        <f t="shared" si="5"/>
        <v>0</v>
      </c>
      <c r="T64" t="str">
        <f t="shared" si="6"/>
        <v>⬜  Parcial · Inst. 2 pendiente</v>
      </c>
      <c r="U64" s="53">
        <v>1</v>
      </c>
      <c r="V64" t="s">
        <v>69</v>
      </c>
      <c r="W64">
        <f>IF(NORMALIZADO!BV64="",0,NORMALIZADO!BV64)</f>
        <v>0</v>
      </c>
      <c r="X64">
        <f>IF(NORMALIZADO!BW64="",0,NORMALIZADO!BW64)</f>
        <v>0</v>
      </c>
      <c r="Y64">
        <f>IF(NORMALIZADO!BX64="",0,NORMALIZADO!BX64)</f>
        <v>0</v>
      </c>
      <c r="Z64">
        <f>IF(NORMALIZADO!BY64="",0,NORMALIZADO!BY64)</f>
        <v>0</v>
      </c>
      <c r="AO64" t="str">
        <f t="shared" si="7"/>
        <v>N/A</v>
      </c>
      <c r="AP64">
        <f>IFERROR((IF(ISNUMBER(M64),M64/100*PONDERADORES!$D$12,0)+IF(ISNUMBER(SCORECARDS!H64),SCORECARDS!H64/100*PONDERADORES!$D$13,0)+IF(ISNUMBER(SCORECARDS!I64),SCORECARDS!I64/100*PONDERADORES!$D$14,0)+IF(ISNUMBER(SCORECARDS!J64),SCORECARDS!J64/100*PONDERADORES!$D$15,0)+IF(ISNUMBER(ISCAM_Score!K65),ISCAM_Score!K65/100*PONDERADORES!$D$16,0)+IF(ISNUMBER(O64),O64*PONDERADORES!$D$17,0)+IF(ISNUMBER(AVERAGE(W64:Z64)),AVERAGE(W64:Z64)/2*PONDERADORES!$D$19,0))/(IF(ISNUMBER(M64),PONDERADORES!$D$12,0)+IF(ISNUMBER(SCORECARDS!H64),PONDERADORES!$D$13,0)+IF(ISNUMBER(SCORECARDS!I64),PONDERADORES!$D$14,0)+IF(ISNUMBER(SCORECARDS!J64),PONDERADORES!$D$15,0)+IF(ISNUMBER(ISCAM_Score!K65),PONDERADORES!$D$16,0)+IF(ISNUMBER(O64),PONDERADORES!$D$17,0)+IF(ISNUMBER(AVERAGE(W64:Z64)),PONDERADORES!$D$19,0)),"N/A")</f>
        <v>0</v>
      </c>
      <c r="AQ64">
        <f>IF(ISNUMBER(M64),1,0)+IF(ISNUMBER(SCORECARDS!H64),1,0)+IF(ISNUMBER(SCORECARDS!I64),1,0)+IF(ISNUMBER(SCORECARDS!J64),1,0)+IF(ISNUMBER(ISCAM_Score!K65),1,0)+IF(ISNUMBER(O64),1,0)+IF(COUNT(W64:Z64)&gt;0,1,0)</f>
        <v>1</v>
      </c>
    </row>
    <row r="65" spans="1:45" ht="16.05" customHeight="1" x14ac:dyDescent="0.3">
      <c r="A65" t="s">
        <v>210</v>
      </c>
      <c r="B65" t="s">
        <v>211</v>
      </c>
      <c r="C65" t="s">
        <v>139</v>
      </c>
      <c r="D65" t="s">
        <v>73</v>
      </c>
      <c r="E65">
        <v>1984.05</v>
      </c>
      <c r="F65">
        <v>1</v>
      </c>
      <c r="G65" t="s">
        <v>66</v>
      </c>
      <c r="J65" t="s">
        <v>67</v>
      </c>
      <c r="L65">
        <v>0</v>
      </c>
      <c r="M65">
        <f t="shared" si="3"/>
        <v>0</v>
      </c>
      <c r="N65" t="s">
        <v>68</v>
      </c>
      <c r="O65" t="str">
        <f t="shared" si="4"/>
        <v/>
      </c>
      <c r="P65" t="s">
        <v>68</v>
      </c>
      <c r="S65">
        <f t="shared" si="5"/>
        <v>0</v>
      </c>
      <c r="T65" t="str">
        <f t="shared" si="6"/>
        <v>⬜  Parcial · Inst. 2 pendiente</v>
      </c>
      <c r="U65" s="53">
        <v>1</v>
      </c>
      <c r="V65" t="s">
        <v>69</v>
      </c>
      <c r="W65">
        <f>IF(NORMALIZADO!BV65="",0,NORMALIZADO!BV65)</f>
        <v>0</v>
      </c>
      <c r="X65">
        <f>IF(NORMALIZADO!BW65="",0,NORMALIZADO!BW65)</f>
        <v>0</v>
      </c>
      <c r="Y65">
        <f>IF(NORMALIZADO!BX65="",0,NORMALIZADO!BX65)</f>
        <v>0</v>
      </c>
      <c r="Z65">
        <f>IF(NORMALIZADO!BY65="",0,NORMALIZADO!BY65)</f>
        <v>0</v>
      </c>
      <c r="AO65" t="str">
        <f t="shared" si="7"/>
        <v>N/A</v>
      </c>
      <c r="AP65">
        <f>IFERROR((IF(ISNUMBER(M65),M65/100*PONDERADORES!$D$12,0)+IF(ISNUMBER(SCORECARDS!H65),SCORECARDS!H65/100*PONDERADORES!$D$13,0)+IF(ISNUMBER(SCORECARDS!I65),SCORECARDS!I65/100*PONDERADORES!$D$14,0)+IF(ISNUMBER(SCORECARDS!J65),SCORECARDS!J65/100*PONDERADORES!$D$15,0)+IF(ISNUMBER(ISCAM_Score!K66),ISCAM_Score!K66/100*PONDERADORES!$D$16,0)+IF(ISNUMBER(O65),O65*PONDERADORES!$D$17,0)+IF(ISNUMBER(AVERAGE(W65:Z65)),AVERAGE(W65:Z65)/2*PONDERADORES!$D$19,0))/(IF(ISNUMBER(M65),PONDERADORES!$D$12,0)+IF(ISNUMBER(SCORECARDS!H65),PONDERADORES!$D$13,0)+IF(ISNUMBER(SCORECARDS!I65),PONDERADORES!$D$14,0)+IF(ISNUMBER(SCORECARDS!J65),PONDERADORES!$D$15,0)+IF(ISNUMBER(ISCAM_Score!K66),PONDERADORES!$D$16,0)+IF(ISNUMBER(O65),PONDERADORES!$D$17,0)+IF(ISNUMBER(AVERAGE(W65:Z65)),PONDERADORES!$D$19,0)),"N/A")</f>
        <v>0</v>
      </c>
      <c r="AQ65">
        <f>IF(ISNUMBER(M65),1,0)+IF(ISNUMBER(SCORECARDS!H65),1,0)+IF(ISNUMBER(SCORECARDS!I65),1,0)+IF(ISNUMBER(SCORECARDS!J65),1,0)+IF(ISNUMBER(ISCAM_Score!K66),1,0)+IF(ISNUMBER(O65),1,0)+IF(COUNT(W65:Z65)&gt;0,1,0)</f>
        <v>2</v>
      </c>
    </row>
    <row r="66" spans="1:45" ht="16.05" customHeight="1" x14ac:dyDescent="0.3">
      <c r="A66" t="s">
        <v>212</v>
      </c>
      <c r="B66" t="s">
        <v>213</v>
      </c>
      <c r="C66" t="s">
        <v>80</v>
      </c>
      <c r="D66" t="s">
        <v>65</v>
      </c>
      <c r="G66" t="s">
        <v>74</v>
      </c>
      <c r="J66" t="s">
        <v>67</v>
      </c>
      <c r="M66" t="str">
        <f t="shared" si="3"/>
        <v/>
      </c>
      <c r="N66" t="s">
        <v>68</v>
      </c>
      <c r="O66" t="str">
        <f t="shared" si="4"/>
        <v/>
      </c>
      <c r="P66" t="s">
        <v>68</v>
      </c>
      <c r="S66">
        <f t="shared" si="5"/>
        <v>0</v>
      </c>
      <c r="T66" t="str">
        <f t="shared" si="6"/>
        <v>⬜  Parcial · Inst. 2 pendiente</v>
      </c>
      <c r="U66" s="53">
        <v>1</v>
      </c>
      <c r="V66" t="s">
        <v>69</v>
      </c>
      <c r="W66">
        <f>IF(NORMALIZADO!BV66="",0,NORMALIZADO!BV66)</f>
        <v>0</v>
      </c>
      <c r="X66">
        <f>IF(NORMALIZADO!BW66="",0,NORMALIZADO!BW66)</f>
        <v>0</v>
      </c>
      <c r="Y66">
        <f>IF(NORMALIZADO!BX66="",0,NORMALIZADO!BX66)</f>
        <v>0</v>
      </c>
      <c r="Z66">
        <f>IF(NORMALIZADO!BY66="",0,NORMALIZADO!BY66)</f>
        <v>0</v>
      </c>
      <c r="AO66" t="str">
        <f t="shared" si="7"/>
        <v>N/A</v>
      </c>
      <c r="AP66">
        <f>IFERROR((IF(ISNUMBER(M66),M66/100*PONDERADORES!$D$12,0)+IF(ISNUMBER(SCORECARDS!H66),SCORECARDS!H66/100*PONDERADORES!$D$13,0)+IF(ISNUMBER(SCORECARDS!I66),SCORECARDS!I66/100*PONDERADORES!$D$14,0)+IF(ISNUMBER(SCORECARDS!J66),SCORECARDS!J66/100*PONDERADORES!$D$15,0)+IF(ISNUMBER(ISCAM_Score!K67),ISCAM_Score!K67/100*PONDERADORES!$D$16,0)+IF(ISNUMBER(O66),O66*PONDERADORES!$D$17,0)+IF(ISNUMBER(AVERAGE(W66:Z66)),AVERAGE(W66:Z66)/2*PONDERADORES!$D$19,0))/(IF(ISNUMBER(M66),PONDERADORES!$D$12,0)+IF(ISNUMBER(SCORECARDS!H66),PONDERADORES!$D$13,0)+IF(ISNUMBER(SCORECARDS!I66),PONDERADORES!$D$14,0)+IF(ISNUMBER(SCORECARDS!J66),PONDERADORES!$D$15,0)+IF(ISNUMBER(ISCAM_Score!K67),PONDERADORES!$D$16,0)+IF(ISNUMBER(O66),PONDERADORES!$D$17,0)+IF(ISNUMBER(AVERAGE(W66:Z66)),PONDERADORES!$D$19,0)),"N/A")</f>
        <v>0</v>
      </c>
      <c r="AQ66">
        <f>IF(ISNUMBER(M66),1,0)+IF(ISNUMBER(SCORECARDS!H66),1,0)+IF(ISNUMBER(SCORECARDS!I66),1,0)+IF(ISNUMBER(SCORECARDS!J66),1,0)+IF(ISNUMBER(ISCAM_Score!K67),1,0)+IF(ISNUMBER(O66),1,0)+IF(COUNT(W66:Z66)&gt;0,1,0)</f>
        <v>1</v>
      </c>
    </row>
    <row r="67" spans="1:45" ht="16.05" customHeight="1" x14ac:dyDescent="0.3">
      <c r="A67" t="s">
        <v>214</v>
      </c>
      <c r="B67" t="s">
        <v>215</v>
      </c>
      <c r="C67" t="s">
        <v>112</v>
      </c>
      <c r="D67" t="s">
        <v>65</v>
      </c>
      <c r="G67" t="s">
        <v>74</v>
      </c>
      <c r="J67" t="s">
        <v>67</v>
      </c>
      <c r="M67" t="str">
        <f t="shared" si="3"/>
        <v/>
      </c>
      <c r="N67" t="s">
        <v>68</v>
      </c>
      <c r="O67" t="str">
        <f t="shared" si="4"/>
        <v/>
      </c>
      <c r="P67" t="s">
        <v>68</v>
      </c>
      <c r="S67">
        <f t="shared" ref="S67:S98" si="8">IFERROR(ROUND(AP67*100,1),"N/A")</f>
        <v>0</v>
      </c>
      <c r="T67" t="str">
        <f t="shared" ref="T67:T98" si="9">IF(NOT(ISNUMBER(S67)),"—",IF(AQ67&lt;6,"⬜  Parcial · Inst. 2 pendiente",IF(S67&lt;34,"🔴 Crítico",IF(S67&lt;67,"🟡 Vulnerable","🟢 Preparado"))))</f>
        <v>⬜  Parcial · Inst. 2 pendiente</v>
      </c>
      <c r="U67" s="53">
        <v>1</v>
      </c>
      <c r="V67" t="s">
        <v>69</v>
      </c>
      <c r="W67">
        <f>IF(NORMALIZADO!BV67="",0,NORMALIZADO!BV67)</f>
        <v>0</v>
      </c>
      <c r="X67">
        <f>IF(NORMALIZADO!BW67="",0,NORMALIZADO!BW67)</f>
        <v>0</v>
      </c>
      <c r="Y67">
        <f>IF(NORMALIZADO!BX67="",0,NORMALIZADO!BX67)</f>
        <v>0</v>
      </c>
      <c r="Z67">
        <f>IF(NORMALIZADO!BY67="",0,NORMALIZADO!BY67)</f>
        <v>0</v>
      </c>
      <c r="AO67" t="str">
        <f t="shared" ref="AO67:AO98" si="10">IFERROR(AVERAGE(AA67,AB67,AC67,AD67,AE67,AF67,AG67,AH67,AI67,AJ67,AK67,AL67,AM67,AN67),"N/A")</f>
        <v>N/A</v>
      </c>
      <c r="AP67">
        <f>IFERROR((IF(ISNUMBER(M67),M67/100*PONDERADORES!$D$12,0)+IF(ISNUMBER(SCORECARDS!H67),SCORECARDS!H67/100*PONDERADORES!$D$13,0)+IF(ISNUMBER(SCORECARDS!I67),SCORECARDS!I67/100*PONDERADORES!$D$14,0)+IF(ISNUMBER(SCORECARDS!J67),SCORECARDS!J67/100*PONDERADORES!$D$15,0)+IF(ISNUMBER(ISCAM_Score!K68),ISCAM_Score!K68/100*PONDERADORES!$D$16,0)+IF(ISNUMBER(O67),O67*PONDERADORES!$D$17,0)+IF(ISNUMBER(AVERAGE(W67:Z67)),AVERAGE(W67:Z67)/2*PONDERADORES!$D$19,0))/(IF(ISNUMBER(M67),PONDERADORES!$D$12,0)+IF(ISNUMBER(SCORECARDS!H67),PONDERADORES!$D$13,0)+IF(ISNUMBER(SCORECARDS!I67),PONDERADORES!$D$14,0)+IF(ISNUMBER(SCORECARDS!J67),PONDERADORES!$D$15,0)+IF(ISNUMBER(ISCAM_Score!K68),PONDERADORES!$D$16,0)+IF(ISNUMBER(O67),PONDERADORES!$D$17,0)+IF(ISNUMBER(AVERAGE(W67:Z67)),PONDERADORES!$D$19,0)),"N/A")</f>
        <v>0</v>
      </c>
      <c r="AQ67">
        <f>IF(ISNUMBER(M67),1,0)+IF(ISNUMBER(SCORECARDS!H67),1,0)+IF(ISNUMBER(SCORECARDS!I67),1,0)+IF(ISNUMBER(SCORECARDS!J67),1,0)+IF(ISNUMBER(ISCAM_Score!K68),1,0)+IF(ISNUMBER(O67),1,0)+IF(COUNT(W67:Z67)&gt;0,1,0)</f>
        <v>1</v>
      </c>
    </row>
    <row r="68" spans="1:45" ht="16.05" customHeight="1" x14ac:dyDescent="0.3">
      <c r="A68" t="s">
        <v>216</v>
      </c>
      <c r="B68" t="s">
        <v>217</v>
      </c>
      <c r="C68" t="s">
        <v>112</v>
      </c>
      <c r="D68" t="s">
        <v>65</v>
      </c>
      <c r="G68" t="s">
        <v>74</v>
      </c>
      <c r="J68" t="s">
        <v>67</v>
      </c>
      <c r="M68" t="str">
        <f t="shared" ref="M68:M131" si="11">IF(E68&gt;0,ROUND(L68/E68*100,1),"")</f>
        <v/>
      </c>
      <c r="N68" t="s">
        <v>68</v>
      </c>
      <c r="O68" t="str">
        <f t="shared" ref="O68:O131" si="12">IF(AND(H68="",I68=""),"",IF(H68="SI",1,0)*0.6+IF(I68="SI",1,0)*0.4)</f>
        <v/>
      </c>
      <c r="P68" t="s">
        <v>68</v>
      </c>
      <c r="S68">
        <f t="shared" si="8"/>
        <v>0</v>
      </c>
      <c r="T68" t="str">
        <f t="shared" si="9"/>
        <v>⬜  Parcial · Inst. 2 pendiente</v>
      </c>
      <c r="U68" s="53">
        <v>1</v>
      </c>
      <c r="V68" t="s">
        <v>69</v>
      </c>
      <c r="W68">
        <f>IF(NORMALIZADO!BV68="",0,NORMALIZADO!BV68)</f>
        <v>0</v>
      </c>
      <c r="X68">
        <f>IF(NORMALIZADO!BW68="",0,NORMALIZADO!BW68)</f>
        <v>0</v>
      </c>
      <c r="Y68">
        <f>IF(NORMALIZADO!BX68="",0,NORMALIZADO!BX68)</f>
        <v>0</v>
      </c>
      <c r="Z68">
        <f>IF(NORMALIZADO!BY68="",0,NORMALIZADO!BY68)</f>
        <v>0</v>
      </c>
      <c r="AO68" t="str">
        <f t="shared" si="10"/>
        <v>N/A</v>
      </c>
      <c r="AP68">
        <f>IFERROR((IF(ISNUMBER(M68),M68/100*PONDERADORES!$D$12,0)+IF(ISNUMBER(SCORECARDS!H68),SCORECARDS!H68/100*PONDERADORES!$D$13,0)+IF(ISNUMBER(SCORECARDS!I68),SCORECARDS!I68/100*PONDERADORES!$D$14,0)+IF(ISNUMBER(SCORECARDS!J68),SCORECARDS!J68/100*PONDERADORES!$D$15,0)+IF(ISNUMBER(ISCAM_Score!K69),ISCAM_Score!K69/100*PONDERADORES!$D$16,0)+IF(ISNUMBER(O68),O68*PONDERADORES!$D$17,0)+IF(ISNUMBER(AVERAGE(W68:Z68)),AVERAGE(W68:Z68)/2*PONDERADORES!$D$19,0))/(IF(ISNUMBER(M68),PONDERADORES!$D$12,0)+IF(ISNUMBER(SCORECARDS!H68),PONDERADORES!$D$13,0)+IF(ISNUMBER(SCORECARDS!I68),PONDERADORES!$D$14,0)+IF(ISNUMBER(SCORECARDS!J68),PONDERADORES!$D$15,0)+IF(ISNUMBER(ISCAM_Score!K69),PONDERADORES!$D$16,0)+IF(ISNUMBER(O68),PONDERADORES!$D$17,0)+IF(ISNUMBER(AVERAGE(W68:Z68)),PONDERADORES!$D$19,0)),"N/A")</f>
        <v>0</v>
      </c>
      <c r="AQ68">
        <f>IF(ISNUMBER(M68),1,0)+IF(ISNUMBER(SCORECARDS!H68),1,0)+IF(ISNUMBER(SCORECARDS!I68),1,0)+IF(ISNUMBER(SCORECARDS!J68),1,0)+IF(ISNUMBER(ISCAM_Score!K69),1,0)+IF(ISNUMBER(O68),1,0)+IF(COUNT(W68:Z68)&gt;0,1,0)</f>
        <v>1</v>
      </c>
    </row>
    <row r="69" spans="1:45" ht="16.05" customHeight="1" x14ac:dyDescent="0.3">
      <c r="A69" t="s">
        <v>218</v>
      </c>
      <c r="B69" t="s">
        <v>219</v>
      </c>
      <c r="C69" t="s">
        <v>179</v>
      </c>
      <c r="D69" t="s">
        <v>65</v>
      </c>
      <c r="G69" t="s">
        <v>74</v>
      </c>
      <c r="J69" t="s">
        <v>124</v>
      </c>
      <c r="M69" t="str">
        <f t="shared" si="11"/>
        <v/>
      </c>
      <c r="N69" t="s">
        <v>68</v>
      </c>
      <c r="O69" t="str">
        <f t="shared" si="12"/>
        <v/>
      </c>
      <c r="P69" t="s">
        <v>68</v>
      </c>
      <c r="S69">
        <f t="shared" si="8"/>
        <v>0</v>
      </c>
      <c r="T69" t="str">
        <f t="shared" si="9"/>
        <v>⬜  Parcial · Inst. 2 pendiente</v>
      </c>
      <c r="U69" s="53">
        <v>1</v>
      </c>
      <c r="V69" t="s">
        <v>69</v>
      </c>
      <c r="W69">
        <f>IF(NORMALIZADO!BV69="",0,NORMALIZADO!BV69)</f>
        <v>0</v>
      </c>
      <c r="X69">
        <f>IF(NORMALIZADO!BW69="",0,NORMALIZADO!BW69)</f>
        <v>0</v>
      </c>
      <c r="Y69">
        <f>IF(NORMALIZADO!BX69="",0,NORMALIZADO!BX69)</f>
        <v>0</v>
      </c>
      <c r="Z69">
        <f>IF(NORMALIZADO!BY69="",0,NORMALIZADO!BY69)</f>
        <v>0</v>
      </c>
      <c r="AO69" t="str">
        <f t="shared" si="10"/>
        <v>N/A</v>
      </c>
      <c r="AP69">
        <f>IFERROR((IF(ISNUMBER(M69),M69/100*PONDERADORES!$D$12,0)+IF(ISNUMBER(SCORECARDS!H69),SCORECARDS!H69/100*PONDERADORES!$D$13,0)+IF(ISNUMBER(SCORECARDS!I69),SCORECARDS!I69/100*PONDERADORES!$D$14,0)+IF(ISNUMBER(SCORECARDS!J69),SCORECARDS!J69/100*PONDERADORES!$D$15,0)+IF(ISNUMBER(ISCAM_Score!K70),ISCAM_Score!K70/100*PONDERADORES!$D$16,0)+IF(ISNUMBER(O69),O69*PONDERADORES!$D$17,0)+IF(ISNUMBER(AVERAGE(W69:Z69)),AVERAGE(W69:Z69)/2*PONDERADORES!$D$19,0))/(IF(ISNUMBER(M69),PONDERADORES!$D$12,0)+IF(ISNUMBER(SCORECARDS!H69),PONDERADORES!$D$13,0)+IF(ISNUMBER(SCORECARDS!I69),PONDERADORES!$D$14,0)+IF(ISNUMBER(SCORECARDS!J69),PONDERADORES!$D$15,0)+IF(ISNUMBER(ISCAM_Score!K70),PONDERADORES!$D$16,0)+IF(ISNUMBER(O69),PONDERADORES!$D$17,0)+IF(ISNUMBER(AVERAGE(W69:Z69)),PONDERADORES!$D$19,0)),"N/A")</f>
        <v>0</v>
      </c>
      <c r="AQ69">
        <f>IF(ISNUMBER(M69),1,0)+IF(ISNUMBER(SCORECARDS!H69),1,0)+IF(ISNUMBER(SCORECARDS!I69),1,0)+IF(ISNUMBER(SCORECARDS!J69),1,0)+IF(ISNUMBER(ISCAM_Score!K70),1,0)+IF(ISNUMBER(O69),1,0)+IF(COUNT(W69:Z69)&gt;0,1,0)</f>
        <v>1</v>
      </c>
    </row>
    <row r="70" spans="1:45" ht="16.05" customHeight="1" x14ac:dyDescent="0.3">
      <c r="A70" t="s">
        <v>220</v>
      </c>
      <c r="B70" t="s">
        <v>221</v>
      </c>
      <c r="C70" t="s">
        <v>139</v>
      </c>
      <c r="D70" t="s">
        <v>65</v>
      </c>
      <c r="E70">
        <v>13246408.59</v>
      </c>
      <c r="F70">
        <v>46</v>
      </c>
      <c r="G70" t="s">
        <v>66</v>
      </c>
      <c r="H70" t="s">
        <v>66</v>
      </c>
      <c r="I70" t="s">
        <v>66</v>
      </c>
      <c r="J70" t="s">
        <v>67</v>
      </c>
      <c r="K70" t="s">
        <v>222</v>
      </c>
      <c r="L70">
        <v>7878141.7300000004</v>
      </c>
      <c r="M70">
        <f t="shared" si="11"/>
        <v>59.5</v>
      </c>
      <c r="N70" t="s">
        <v>68</v>
      </c>
      <c r="O70">
        <f t="shared" si="12"/>
        <v>1</v>
      </c>
      <c r="P70" t="s">
        <v>68</v>
      </c>
      <c r="Q70">
        <v>622</v>
      </c>
      <c r="R70">
        <v>4031</v>
      </c>
      <c r="S70">
        <f t="shared" si="8"/>
        <v>46.7</v>
      </c>
      <c r="T70" t="str">
        <f t="shared" si="9"/>
        <v>⬜  Parcial · Inst. 2 pendiente</v>
      </c>
      <c r="U70" s="53">
        <v>1</v>
      </c>
      <c r="V70" t="s">
        <v>69</v>
      </c>
      <c r="W70">
        <f>IF(NORMALIZADO!BV70="",1,NORMALIZADO!BV70)</f>
        <v>1</v>
      </c>
      <c r="X70">
        <f>IF(NORMALIZADO!BW70="",0,NORMALIZADO!BW70)</f>
        <v>0</v>
      </c>
      <c r="Y70">
        <f>IF(NORMALIZADO!BX70="",0,NORMALIZADO!BX70)</f>
        <v>0</v>
      </c>
      <c r="Z70">
        <f>IF(NORMALIZADO!BY70="",0,NORMALIZADO!BY70)</f>
        <v>0</v>
      </c>
      <c r="AO70" t="str">
        <f t="shared" si="10"/>
        <v>N/A</v>
      </c>
      <c r="AP70">
        <f>IFERROR((IF(ISNUMBER(M70),M70/100*PONDERADORES!$D$12,0)+IF(ISNUMBER(SCORECARDS!H70),SCORECARDS!H70/100*PONDERADORES!$D$13,0)+IF(ISNUMBER(SCORECARDS!I70),SCORECARDS!I70/100*PONDERADORES!$D$14,0)+IF(ISNUMBER(SCORECARDS!J70),SCORECARDS!J70/100*PONDERADORES!$D$15,0)+IF(ISNUMBER(ISCAM_Score!K71),ISCAM_Score!K71/100*PONDERADORES!$D$16,0)+IF(ISNUMBER(O70),O70*PONDERADORES!$D$17,0)+IF(ISNUMBER(AVERAGE(W70:Z70)),AVERAGE(W70:Z70)/2*PONDERADORES!$D$19,0))/(IF(ISNUMBER(M70),PONDERADORES!$D$12,0)+IF(ISNUMBER(SCORECARDS!H70),PONDERADORES!$D$13,0)+IF(ISNUMBER(SCORECARDS!I70),PONDERADORES!$D$14,0)+IF(ISNUMBER(SCORECARDS!J70),PONDERADORES!$D$15,0)+IF(ISNUMBER(ISCAM_Score!K71),PONDERADORES!$D$16,0)+IF(ISNUMBER(O70),PONDERADORES!$D$17,0)+IF(ISNUMBER(AVERAGE(W70:Z70)),PONDERADORES!$D$19,0)),"N/A")</f>
        <v>0.46666666666666662</v>
      </c>
      <c r="AQ70">
        <f>IF(ISNUMBER(M70),1,0)+IF(ISNUMBER(SCORECARDS!H70),1,0)+IF(ISNUMBER(SCORECARDS!I70),1,0)+IF(ISNUMBER(SCORECARDS!J70),1,0)+IF(ISNUMBER(ISCAM_Score!K71),1,0)+IF(ISNUMBER(O70),1,0)+IF(COUNT(W70:Z70)&gt;0,1,0)</f>
        <v>3</v>
      </c>
      <c r="AR70" t="s">
        <v>1552</v>
      </c>
      <c r="AS70" t="s">
        <v>1553</v>
      </c>
    </row>
    <row r="71" spans="1:45" ht="16.05" customHeight="1" x14ac:dyDescent="0.3">
      <c r="A71" t="s">
        <v>223</v>
      </c>
      <c r="B71" t="s">
        <v>224</v>
      </c>
      <c r="C71" t="s">
        <v>139</v>
      </c>
      <c r="D71" t="s">
        <v>73</v>
      </c>
      <c r="G71" t="s">
        <v>74</v>
      </c>
      <c r="J71" t="s">
        <v>67</v>
      </c>
      <c r="M71" t="str">
        <f t="shared" si="11"/>
        <v/>
      </c>
      <c r="N71" t="s">
        <v>68</v>
      </c>
      <c r="O71" t="str">
        <f t="shared" si="12"/>
        <v/>
      </c>
      <c r="P71" t="s">
        <v>68</v>
      </c>
      <c r="S71">
        <f t="shared" si="8"/>
        <v>0</v>
      </c>
      <c r="T71" t="str">
        <f t="shared" si="9"/>
        <v>⬜  Parcial · Inst. 2 pendiente</v>
      </c>
      <c r="U71" s="53">
        <v>1</v>
      </c>
      <c r="V71" t="s">
        <v>69</v>
      </c>
      <c r="W71">
        <f>IF(NORMALIZADO!BV71="",0,NORMALIZADO!BV71)</f>
        <v>0</v>
      </c>
      <c r="X71">
        <f>IF(NORMALIZADO!BW71="",0,NORMALIZADO!BW71)</f>
        <v>0</v>
      </c>
      <c r="Y71">
        <f>IF(NORMALIZADO!BX71="",0,NORMALIZADO!BX71)</f>
        <v>0</v>
      </c>
      <c r="Z71">
        <f>IF(NORMALIZADO!BY71="",0,NORMALIZADO!BY71)</f>
        <v>0</v>
      </c>
      <c r="AO71" t="str">
        <f t="shared" si="10"/>
        <v>N/A</v>
      </c>
      <c r="AP71">
        <f>IFERROR((IF(ISNUMBER(M71),M71/100*PONDERADORES!$D$12,0)+IF(ISNUMBER(SCORECARDS!H71),SCORECARDS!H71/100*PONDERADORES!$D$13,0)+IF(ISNUMBER(SCORECARDS!I71),SCORECARDS!I71/100*PONDERADORES!$D$14,0)+IF(ISNUMBER(SCORECARDS!J71),SCORECARDS!J71/100*PONDERADORES!$D$15,0)+IF(ISNUMBER(ISCAM_Score!K72),ISCAM_Score!K72/100*PONDERADORES!$D$16,0)+IF(ISNUMBER(O71),O71*PONDERADORES!$D$17,0)+IF(ISNUMBER(AVERAGE(W71:Z71)),AVERAGE(W71:Z71)/2*PONDERADORES!$D$19,0))/(IF(ISNUMBER(M71),PONDERADORES!$D$12,0)+IF(ISNUMBER(SCORECARDS!H71),PONDERADORES!$D$13,0)+IF(ISNUMBER(SCORECARDS!I71),PONDERADORES!$D$14,0)+IF(ISNUMBER(SCORECARDS!J71),PONDERADORES!$D$15,0)+IF(ISNUMBER(ISCAM_Score!K72),PONDERADORES!$D$16,0)+IF(ISNUMBER(O71),PONDERADORES!$D$17,0)+IF(ISNUMBER(AVERAGE(W71:Z71)),PONDERADORES!$D$19,0)),"N/A")</f>
        <v>0</v>
      </c>
      <c r="AQ71">
        <f>IF(ISNUMBER(M71),1,0)+IF(ISNUMBER(SCORECARDS!H71),1,0)+IF(ISNUMBER(SCORECARDS!I71),1,0)+IF(ISNUMBER(SCORECARDS!J71),1,0)+IF(ISNUMBER(ISCAM_Score!K72),1,0)+IF(ISNUMBER(O71),1,0)+IF(COUNT(W71:Z71)&gt;0,1,0)</f>
        <v>1</v>
      </c>
    </row>
    <row r="72" spans="1:45" ht="16.05" customHeight="1" x14ac:dyDescent="0.3">
      <c r="A72" t="s">
        <v>225</v>
      </c>
      <c r="B72" t="s">
        <v>226</v>
      </c>
      <c r="C72" t="s">
        <v>139</v>
      </c>
      <c r="D72" t="s">
        <v>73</v>
      </c>
      <c r="E72">
        <v>2826075</v>
      </c>
      <c r="F72">
        <v>12</v>
      </c>
      <c r="G72" t="s">
        <v>66</v>
      </c>
      <c r="J72" t="s">
        <v>67</v>
      </c>
      <c r="L72">
        <v>1413037.5</v>
      </c>
      <c r="M72">
        <f t="shared" si="11"/>
        <v>50</v>
      </c>
      <c r="N72" t="s">
        <v>68</v>
      </c>
      <c r="O72" t="str">
        <f t="shared" si="12"/>
        <v/>
      </c>
      <c r="P72" t="s">
        <v>68</v>
      </c>
      <c r="S72">
        <f t="shared" si="8"/>
        <v>31.3</v>
      </c>
      <c r="T72" t="str">
        <f t="shared" si="9"/>
        <v>⬜  Parcial · Inst. 2 pendiente</v>
      </c>
      <c r="U72" s="53">
        <v>1</v>
      </c>
      <c r="V72" t="s">
        <v>69</v>
      </c>
      <c r="W72">
        <f>IF(NORMALIZADO!BV72="",1,NORMALIZADO!BV72)</f>
        <v>1</v>
      </c>
      <c r="X72">
        <f>IF(NORMALIZADO!BW72="",0,NORMALIZADO!BW72)</f>
        <v>0</v>
      </c>
      <c r="Y72">
        <f>IF(NORMALIZADO!BX72="",0,NORMALIZADO!BX72)</f>
        <v>0</v>
      </c>
      <c r="Z72">
        <f>IF(NORMALIZADO!BY72="",0,NORMALIZADO!BY72)</f>
        <v>0</v>
      </c>
      <c r="AO72" t="str">
        <f t="shared" si="10"/>
        <v>N/A</v>
      </c>
      <c r="AP72">
        <f>IFERROR((IF(ISNUMBER(M72),M72/100*PONDERADORES!$D$12,0)+IF(ISNUMBER(SCORECARDS!H72),SCORECARDS!H72/100*PONDERADORES!$D$13,0)+IF(ISNUMBER(SCORECARDS!I72),SCORECARDS!I72/100*PONDERADORES!$D$14,0)+IF(ISNUMBER(SCORECARDS!J72),SCORECARDS!J72/100*PONDERADORES!$D$15,0)+IF(ISNUMBER(ISCAM_Score!K73),ISCAM_Score!K73/100*PONDERADORES!$D$16,0)+IF(ISNUMBER(O72),O72*PONDERADORES!$D$17,0)+IF(ISNUMBER(AVERAGE(W72:Z72)),AVERAGE(W72:Z72)/2*PONDERADORES!$D$19,0))/(IF(ISNUMBER(M72),PONDERADORES!$D$12,0)+IF(ISNUMBER(SCORECARDS!H72),PONDERADORES!$D$13,0)+IF(ISNUMBER(SCORECARDS!I72),PONDERADORES!$D$14,0)+IF(ISNUMBER(SCORECARDS!J72),PONDERADORES!$D$15,0)+IF(ISNUMBER(ISCAM_Score!K73),PONDERADORES!$D$16,0)+IF(ISNUMBER(O72),PONDERADORES!$D$17,0)+IF(ISNUMBER(AVERAGE(W72:Z72)),PONDERADORES!$D$19,0)),"N/A")</f>
        <v>0.3125</v>
      </c>
      <c r="AQ72">
        <f>IF(ISNUMBER(M72),1,0)+IF(ISNUMBER(SCORECARDS!H72),1,0)+IF(ISNUMBER(SCORECARDS!I72),1,0)+IF(ISNUMBER(SCORECARDS!J72),1,0)+IF(ISNUMBER(ISCAM_Score!K73),1,0)+IF(ISNUMBER(O72),1,0)+IF(COUNT(W72:Z72)&gt;0,1,0)</f>
        <v>2</v>
      </c>
    </row>
    <row r="73" spans="1:45" ht="16.05" customHeight="1" x14ac:dyDescent="0.3">
      <c r="A73" t="s">
        <v>227</v>
      </c>
      <c r="B73" t="s">
        <v>228</v>
      </c>
      <c r="C73" t="s">
        <v>139</v>
      </c>
      <c r="D73" t="s">
        <v>65</v>
      </c>
      <c r="E73">
        <v>1187600.46</v>
      </c>
      <c r="F73">
        <v>6</v>
      </c>
      <c r="G73" t="s">
        <v>66</v>
      </c>
      <c r="H73" t="s">
        <v>66</v>
      </c>
      <c r="I73" t="s">
        <v>66</v>
      </c>
      <c r="J73" t="s">
        <v>67</v>
      </c>
      <c r="K73" t="s">
        <v>222</v>
      </c>
      <c r="L73">
        <v>1187600.48</v>
      </c>
      <c r="M73">
        <f t="shared" si="11"/>
        <v>100</v>
      </c>
      <c r="N73" t="s">
        <v>68</v>
      </c>
      <c r="O73">
        <f t="shared" si="12"/>
        <v>1</v>
      </c>
      <c r="P73" t="s">
        <v>68</v>
      </c>
      <c r="Q73">
        <v>416</v>
      </c>
      <c r="R73">
        <v>1248</v>
      </c>
      <c r="S73">
        <f t="shared" si="8"/>
        <v>63.5</v>
      </c>
      <c r="T73" t="str">
        <f t="shared" si="9"/>
        <v>⬜  Parcial · Inst. 2 pendiente</v>
      </c>
      <c r="U73" s="53">
        <v>1</v>
      </c>
      <c r="V73" t="s">
        <v>69</v>
      </c>
      <c r="W73">
        <f>IF(NORMALIZADO!BV73="",1,NORMALIZADO!BV73)</f>
        <v>1</v>
      </c>
      <c r="X73">
        <f>IF(NORMALIZADO!BW73="",0,NORMALIZADO!BW73)</f>
        <v>0</v>
      </c>
      <c r="Y73">
        <f>IF(NORMALIZADO!BX73="",0,NORMALIZADO!BX73)</f>
        <v>0</v>
      </c>
      <c r="Z73">
        <f>IF(NORMALIZADO!BY73="",0,NORMALIZADO!BY73)</f>
        <v>0</v>
      </c>
      <c r="AO73" t="str">
        <f t="shared" si="10"/>
        <v>N/A</v>
      </c>
      <c r="AP73">
        <f>IFERROR((IF(ISNUMBER(M73),M73/100*PONDERADORES!$D$12,0)+IF(ISNUMBER(SCORECARDS!H73),SCORECARDS!H73/100*PONDERADORES!$D$13,0)+IF(ISNUMBER(SCORECARDS!I73),SCORECARDS!I73/100*PONDERADORES!$D$14,0)+IF(ISNUMBER(SCORECARDS!J73),SCORECARDS!J73/100*PONDERADORES!$D$15,0)+IF(ISNUMBER(ISCAM_Score!K74),ISCAM_Score!K74/100*PONDERADORES!$D$16,0)+IF(ISNUMBER(O73),O73*PONDERADORES!$D$17,0)+IF(ISNUMBER(AVERAGE(W73:Z73)),AVERAGE(W73:Z73)/2*PONDERADORES!$D$19,0))/(IF(ISNUMBER(M73),PONDERADORES!$D$12,0)+IF(ISNUMBER(SCORECARDS!H73),PONDERADORES!$D$13,0)+IF(ISNUMBER(SCORECARDS!I73),PONDERADORES!$D$14,0)+IF(ISNUMBER(SCORECARDS!J73),PONDERADORES!$D$15,0)+IF(ISNUMBER(ISCAM_Score!K74),PONDERADORES!$D$16,0)+IF(ISNUMBER(O73),PONDERADORES!$D$17,0)+IF(ISNUMBER(AVERAGE(W73:Z73)),PONDERADORES!$D$19,0)),"N/A")</f>
        <v>0.63541666666666663</v>
      </c>
      <c r="AQ73">
        <f>IF(ISNUMBER(M73),1,0)+IF(ISNUMBER(SCORECARDS!H73),1,0)+IF(ISNUMBER(SCORECARDS!I73),1,0)+IF(ISNUMBER(SCORECARDS!J73),1,0)+IF(ISNUMBER(ISCAM_Score!K74),1,0)+IF(ISNUMBER(O73),1,0)+IF(COUNT(W73:Z73)&gt;0,1,0)</f>
        <v>3</v>
      </c>
      <c r="AR73" t="s">
        <v>1554</v>
      </c>
      <c r="AS73" t="s">
        <v>1555</v>
      </c>
    </row>
    <row r="74" spans="1:45" ht="16.05" customHeight="1" x14ac:dyDescent="0.3">
      <c r="A74" t="s">
        <v>229</v>
      </c>
      <c r="B74" t="s">
        <v>230</v>
      </c>
      <c r="C74" t="s">
        <v>139</v>
      </c>
      <c r="D74" t="s">
        <v>73</v>
      </c>
      <c r="E74">
        <v>24285431.82</v>
      </c>
      <c r="F74">
        <v>111</v>
      </c>
      <c r="G74" t="s">
        <v>66</v>
      </c>
      <c r="J74" t="s">
        <v>67</v>
      </c>
      <c r="L74">
        <v>12142715.91</v>
      </c>
      <c r="M74">
        <f t="shared" si="11"/>
        <v>50</v>
      </c>
      <c r="N74" t="s">
        <v>68</v>
      </c>
      <c r="O74" t="str">
        <f t="shared" si="12"/>
        <v/>
      </c>
      <c r="P74" t="s">
        <v>68</v>
      </c>
      <c r="S74">
        <f t="shared" si="8"/>
        <v>31.3</v>
      </c>
      <c r="T74" t="str">
        <f t="shared" si="9"/>
        <v>⬜  Parcial · Inst. 2 pendiente</v>
      </c>
      <c r="U74" s="53">
        <v>1</v>
      </c>
      <c r="V74" t="s">
        <v>69</v>
      </c>
      <c r="W74">
        <f>IF(NORMALIZADO!BV74="",1,NORMALIZADO!BV74)</f>
        <v>1</v>
      </c>
      <c r="X74">
        <f>IF(NORMALIZADO!BW74="",0,NORMALIZADO!BW74)</f>
        <v>0</v>
      </c>
      <c r="Y74">
        <f>IF(NORMALIZADO!BX74="",0,NORMALIZADO!BX74)</f>
        <v>0</v>
      </c>
      <c r="Z74">
        <f>IF(NORMALIZADO!BY74="",0,NORMALIZADO!BY74)</f>
        <v>0</v>
      </c>
      <c r="AO74" t="str">
        <f t="shared" si="10"/>
        <v>N/A</v>
      </c>
      <c r="AP74">
        <f>IFERROR((IF(ISNUMBER(M74),M74/100*PONDERADORES!$D$12,0)+IF(ISNUMBER(SCORECARDS!H74),SCORECARDS!H74/100*PONDERADORES!$D$13,0)+IF(ISNUMBER(SCORECARDS!I74),SCORECARDS!I74/100*PONDERADORES!$D$14,0)+IF(ISNUMBER(SCORECARDS!J74),SCORECARDS!J74/100*PONDERADORES!$D$15,0)+IF(ISNUMBER(ISCAM_Score!K75),ISCAM_Score!K75/100*PONDERADORES!$D$16,0)+IF(ISNUMBER(O74),O74*PONDERADORES!$D$17,0)+IF(ISNUMBER(AVERAGE(W74:Z74)),AVERAGE(W74:Z74)/2*PONDERADORES!$D$19,0))/(IF(ISNUMBER(M74),PONDERADORES!$D$12,0)+IF(ISNUMBER(SCORECARDS!H74),PONDERADORES!$D$13,0)+IF(ISNUMBER(SCORECARDS!I74),PONDERADORES!$D$14,0)+IF(ISNUMBER(SCORECARDS!J74),PONDERADORES!$D$15,0)+IF(ISNUMBER(ISCAM_Score!K75),PONDERADORES!$D$16,0)+IF(ISNUMBER(O74),PONDERADORES!$D$17,0)+IF(ISNUMBER(AVERAGE(W74:Z74)),PONDERADORES!$D$19,0)),"N/A")</f>
        <v>0.3125</v>
      </c>
      <c r="AQ74">
        <f>IF(ISNUMBER(M74),1,0)+IF(ISNUMBER(SCORECARDS!H74),1,0)+IF(ISNUMBER(SCORECARDS!I74),1,0)+IF(ISNUMBER(SCORECARDS!J74),1,0)+IF(ISNUMBER(ISCAM_Score!K75),1,0)+IF(ISNUMBER(O74),1,0)+IF(COUNT(W74:Z74)&gt;0,1,0)</f>
        <v>2</v>
      </c>
    </row>
    <row r="75" spans="1:45" ht="16.05" customHeight="1" x14ac:dyDescent="0.3">
      <c r="A75" t="s">
        <v>231</v>
      </c>
      <c r="B75" t="s">
        <v>232</v>
      </c>
      <c r="C75" t="s">
        <v>192</v>
      </c>
      <c r="D75" t="s">
        <v>73</v>
      </c>
      <c r="G75" t="s">
        <v>74</v>
      </c>
      <c r="J75" t="s">
        <v>67</v>
      </c>
      <c r="M75" t="str">
        <f t="shared" si="11"/>
        <v/>
      </c>
      <c r="N75" t="s">
        <v>68</v>
      </c>
      <c r="O75" t="str">
        <f t="shared" si="12"/>
        <v/>
      </c>
      <c r="P75" t="s">
        <v>68</v>
      </c>
      <c r="S75">
        <f t="shared" si="8"/>
        <v>0</v>
      </c>
      <c r="T75" t="str">
        <f t="shared" si="9"/>
        <v>⬜  Parcial · Inst. 2 pendiente</v>
      </c>
      <c r="U75" s="53">
        <v>1</v>
      </c>
      <c r="V75" t="s">
        <v>69</v>
      </c>
      <c r="W75">
        <f>IF(NORMALIZADO!BV75="",0,NORMALIZADO!BV75)</f>
        <v>0</v>
      </c>
      <c r="X75">
        <f>IF(NORMALIZADO!BW75="",0,NORMALIZADO!BW75)</f>
        <v>0</v>
      </c>
      <c r="Y75">
        <f>IF(NORMALIZADO!BX75="",0,NORMALIZADO!BX75)</f>
        <v>0</v>
      </c>
      <c r="Z75">
        <f>IF(NORMALIZADO!BY75="",0,NORMALIZADO!BY75)</f>
        <v>0</v>
      </c>
      <c r="AO75" t="str">
        <f t="shared" si="10"/>
        <v>N/A</v>
      </c>
      <c r="AP75">
        <f>IFERROR((IF(ISNUMBER(M75),M75/100*PONDERADORES!$D$12,0)+IF(ISNUMBER(SCORECARDS!H75),SCORECARDS!H75/100*PONDERADORES!$D$13,0)+IF(ISNUMBER(SCORECARDS!I75),SCORECARDS!I75/100*PONDERADORES!$D$14,0)+IF(ISNUMBER(SCORECARDS!J75),SCORECARDS!J75/100*PONDERADORES!$D$15,0)+IF(ISNUMBER(ISCAM_Score!K76),ISCAM_Score!K76/100*PONDERADORES!$D$16,0)+IF(ISNUMBER(O75),O75*PONDERADORES!$D$17,0)+IF(ISNUMBER(AVERAGE(W75:Z75)),AVERAGE(W75:Z75)/2*PONDERADORES!$D$19,0))/(IF(ISNUMBER(M75),PONDERADORES!$D$12,0)+IF(ISNUMBER(SCORECARDS!H75),PONDERADORES!$D$13,0)+IF(ISNUMBER(SCORECARDS!I75),PONDERADORES!$D$14,0)+IF(ISNUMBER(SCORECARDS!J75),PONDERADORES!$D$15,0)+IF(ISNUMBER(ISCAM_Score!K76),PONDERADORES!$D$16,0)+IF(ISNUMBER(O75),PONDERADORES!$D$17,0)+IF(ISNUMBER(AVERAGE(W75:Z75)),PONDERADORES!$D$19,0)),"N/A")</f>
        <v>0</v>
      </c>
      <c r="AQ75">
        <f>IF(ISNUMBER(M75),1,0)+IF(ISNUMBER(SCORECARDS!H75),1,0)+IF(ISNUMBER(SCORECARDS!I75),1,0)+IF(ISNUMBER(SCORECARDS!J75),1,0)+IF(ISNUMBER(ISCAM_Score!K76),1,0)+IF(ISNUMBER(O75),1,0)+IF(COUNT(W75:Z75)&gt;0,1,0)</f>
        <v>1</v>
      </c>
    </row>
    <row r="76" spans="1:45" ht="16.05" customHeight="1" x14ac:dyDescent="0.3">
      <c r="A76" t="s">
        <v>233</v>
      </c>
      <c r="B76" t="s">
        <v>234</v>
      </c>
      <c r="C76" t="s">
        <v>192</v>
      </c>
      <c r="D76" t="s">
        <v>73</v>
      </c>
      <c r="G76" t="s">
        <v>74</v>
      </c>
      <c r="J76" t="s">
        <v>67</v>
      </c>
      <c r="M76" t="str">
        <f t="shared" si="11"/>
        <v/>
      </c>
      <c r="N76" t="s">
        <v>68</v>
      </c>
      <c r="O76" t="str">
        <f t="shared" si="12"/>
        <v/>
      </c>
      <c r="P76" t="s">
        <v>68</v>
      </c>
      <c r="S76">
        <f t="shared" si="8"/>
        <v>0</v>
      </c>
      <c r="T76" t="str">
        <f t="shared" si="9"/>
        <v>⬜  Parcial · Inst. 2 pendiente</v>
      </c>
      <c r="U76" s="53">
        <v>1</v>
      </c>
      <c r="V76" t="s">
        <v>69</v>
      </c>
      <c r="W76">
        <f>IF(NORMALIZADO!BV76="",0,NORMALIZADO!BV76)</f>
        <v>0</v>
      </c>
      <c r="X76">
        <f>IF(NORMALIZADO!BW76="",0,NORMALIZADO!BW76)</f>
        <v>0</v>
      </c>
      <c r="Y76">
        <f>IF(NORMALIZADO!BX76="",0,NORMALIZADO!BX76)</f>
        <v>0</v>
      </c>
      <c r="Z76">
        <f>IF(NORMALIZADO!BY76="",0,NORMALIZADO!BY76)</f>
        <v>0</v>
      </c>
      <c r="AO76" t="str">
        <f t="shared" si="10"/>
        <v>N/A</v>
      </c>
      <c r="AP76">
        <f>IFERROR((IF(ISNUMBER(M76),M76/100*PONDERADORES!$D$12,0)+IF(ISNUMBER(SCORECARDS!H76),SCORECARDS!H76/100*PONDERADORES!$D$13,0)+IF(ISNUMBER(SCORECARDS!I76),SCORECARDS!I76/100*PONDERADORES!$D$14,0)+IF(ISNUMBER(SCORECARDS!J76),SCORECARDS!J76/100*PONDERADORES!$D$15,0)+IF(ISNUMBER(ISCAM_Score!K77),ISCAM_Score!K77/100*PONDERADORES!$D$16,0)+IF(ISNUMBER(O76),O76*PONDERADORES!$D$17,0)+IF(ISNUMBER(AVERAGE(W76:Z76)),AVERAGE(W76:Z76)/2*PONDERADORES!$D$19,0))/(IF(ISNUMBER(M76),PONDERADORES!$D$12,0)+IF(ISNUMBER(SCORECARDS!H76),PONDERADORES!$D$13,0)+IF(ISNUMBER(SCORECARDS!I76),PONDERADORES!$D$14,0)+IF(ISNUMBER(SCORECARDS!J76),PONDERADORES!$D$15,0)+IF(ISNUMBER(ISCAM_Score!K77),PONDERADORES!$D$16,0)+IF(ISNUMBER(O76),PONDERADORES!$D$17,0)+IF(ISNUMBER(AVERAGE(W76:Z76)),PONDERADORES!$D$19,0)),"N/A")</f>
        <v>0</v>
      </c>
      <c r="AQ76">
        <f>IF(ISNUMBER(M76),1,0)+IF(ISNUMBER(SCORECARDS!H76),1,0)+IF(ISNUMBER(SCORECARDS!I76),1,0)+IF(ISNUMBER(SCORECARDS!J76),1,0)+IF(ISNUMBER(ISCAM_Score!K77),1,0)+IF(ISNUMBER(O76),1,0)+IF(COUNT(W76:Z76)&gt;0,1,0)</f>
        <v>1</v>
      </c>
    </row>
    <row r="77" spans="1:45" ht="16.05" customHeight="1" x14ac:dyDescent="0.3">
      <c r="A77" t="s">
        <v>235</v>
      </c>
      <c r="B77" t="s">
        <v>236</v>
      </c>
      <c r="C77" t="s">
        <v>150</v>
      </c>
      <c r="D77" t="s">
        <v>65</v>
      </c>
      <c r="E77">
        <v>16891006.489999998</v>
      </c>
      <c r="F77">
        <v>81</v>
      </c>
      <c r="G77" t="s">
        <v>66</v>
      </c>
      <c r="J77" t="s">
        <v>67</v>
      </c>
      <c r="L77">
        <v>8445503.2400000002</v>
      </c>
      <c r="M77">
        <f t="shared" si="11"/>
        <v>50</v>
      </c>
      <c r="N77" t="s">
        <v>68</v>
      </c>
      <c r="O77" t="str">
        <f t="shared" si="12"/>
        <v/>
      </c>
      <c r="P77" t="s">
        <v>68</v>
      </c>
      <c r="S77">
        <f t="shared" si="8"/>
        <v>31.3</v>
      </c>
      <c r="T77" t="str">
        <f t="shared" si="9"/>
        <v>⬜  Parcial · Inst. 2 pendiente</v>
      </c>
      <c r="U77" s="53">
        <v>1</v>
      </c>
      <c r="V77" t="s">
        <v>69</v>
      </c>
      <c r="W77">
        <f>IF(NORMALIZADO!BV77="",1,NORMALIZADO!BV77)</f>
        <v>1</v>
      </c>
      <c r="X77">
        <f>IF(NORMALIZADO!BW77="",0,NORMALIZADO!BW77)</f>
        <v>0</v>
      </c>
      <c r="Y77">
        <f>IF(NORMALIZADO!BX77="",0,NORMALIZADO!BX77)</f>
        <v>0</v>
      </c>
      <c r="Z77">
        <f>IF(NORMALIZADO!BY77="",0,NORMALIZADO!BY77)</f>
        <v>0</v>
      </c>
      <c r="AO77" t="str">
        <f t="shared" si="10"/>
        <v>N/A</v>
      </c>
      <c r="AP77">
        <f>IFERROR((IF(ISNUMBER(M77),M77/100*PONDERADORES!$D$12,0)+IF(ISNUMBER(SCORECARDS!H77),SCORECARDS!H77/100*PONDERADORES!$D$13,0)+IF(ISNUMBER(SCORECARDS!I77),SCORECARDS!I77/100*PONDERADORES!$D$14,0)+IF(ISNUMBER(SCORECARDS!J77),SCORECARDS!J77/100*PONDERADORES!$D$15,0)+IF(ISNUMBER(ISCAM_Score!K78),ISCAM_Score!K78/100*PONDERADORES!$D$16,0)+IF(ISNUMBER(O77),O77*PONDERADORES!$D$17,0)+IF(ISNUMBER(AVERAGE(W77:Z77)),AVERAGE(W77:Z77)/2*PONDERADORES!$D$19,0))/(IF(ISNUMBER(M77),PONDERADORES!$D$12,0)+IF(ISNUMBER(SCORECARDS!H77),PONDERADORES!$D$13,0)+IF(ISNUMBER(SCORECARDS!I77),PONDERADORES!$D$14,0)+IF(ISNUMBER(SCORECARDS!J77),PONDERADORES!$D$15,0)+IF(ISNUMBER(ISCAM_Score!K78),PONDERADORES!$D$16,0)+IF(ISNUMBER(O77),PONDERADORES!$D$17,0)+IF(ISNUMBER(AVERAGE(W77:Z77)),PONDERADORES!$D$19,0)),"N/A")</f>
        <v>0.3125</v>
      </c>
      <c r="AQ77">
        <f>IF(ISNUMBER(M77),1,0)+IF(ISNUMBER(SCORECARDS!H77),1,0)+IF(ISNUMBER(SCORECARDS!I77),1,0)+IF(ISNUMBER(SCORECARDS!J77),1,0)+IF(ISNUMBER(ISCAM_Score!K78),1,0)+IF(ISNUMBER(O77),1,0)+IF(COUNT(W77:Z77)&gt;0,1,0)</f>
        <v>2</v>
      </c>
    </row>
    <row r="78" spans="1:45" ht="16.05" customHeight="1" x14ac:dyDescent="0.3">
      <c r="A78" t="s">
        <v>237</v>
      </c>
      <c r="B78" t="s">
        <v>238</v>
      </c>
      <c r="C78" t="s">
        <v>119</v>
      </c>
      <c r="D78" t="s">
        <v>73</v>
      </c>
      <c r="G78" t="s">
        <v>74</v>
      </c>
      <c r="J78" t="s">
        <v>106</v>
      </c>
      <c r="M78" t="str">
        <f t="shared" si="11"/>
        <v/>
      </c>
      <c r="N78" t="s">
        <v>68</v>
      </c>
      <c r="O78" t="str">
        <f t="shared" si="12"/>
        <v/>
      </c>
      <c r="P78" t="s">
        <v>68</v>
      </c>
      <c r="S78">
        <f t="shared" si="8"/>
        <v>0</v>
      </c>
      <c r="T78" t="str">
        <f t="shared" si="9"/>
        <v>⬜  Parcial · Inst. 2 pendiente</v>
      </c>
      <c r="U78" s="53">
        <v>1</v>
      </c>
      <c r="V78" t="s">
        <v>69</v>
      </c>
      <c r="W78">
        <f>IF(NORMALIZADO!BV78="",0,NORMALIZADO!BV78)</f>
        <v>0</v>
      </c>
      <c r="X78">
        <f>IF(NORMALIZADO!BW78="",0,NORMALIZADO!BW78)</f>
        <v>0</v>
      </c>
      <c r="Y78">
        <f>IF(NORMALIZADO!BX78="",0,NORMALIZADO!BX78)</f>
        <v>0</v>
      </c>
      <c r="Z78">
        <f>IF(NORMALIZADO!BY78="",0,NORMALIZADO!BY78)</f>
        <v>0</v>
      </c>
      <c r="AO78" t="str">
        <f t="shared" si="10"/>
        <v>N/A</v>
      </c>
      <c r="AP78">
        <f>IFERROR((IF(ISNUMBER(M78),M78/100*PONDERADORES!$D$12,0)+IF(ISNUMBER(SCORECARDS!H78),SCORECARDS!H78/100*PONDERADORES!$D$13,0)+IF(ISNUMBER(SCORECARDS!I78),SCORECARDS!I78/100*PONDERADORES!$D$14,0)+IF(ISNUMBER(SCORECARDS!J78),SCORECARDS!J78/100*PONDERADORES!$D$15,0)+IF(ISNUMBER(ISCAM_Score!K79),ISCAM_Score!K79/100*PONDERADORES!$D$16,0)+IF(ISNUMBER(O78),O78*PONDERADORES!$D$17,0)+IF(ISNUMBER(AVERAGE(W78:Z78)),AVERAGE(W78:Z78)/2*PONDERADORES!$D$19,0))/(IF(ISNUMBER(M78),PONDERADORES!$D$12,0)+IF(ISNUMBER(SCORECARDS!H78),PONDERADORES!$D$13,0)+IF(ISNUMBER(SCORECARDS!I78),PONDERADORES!$D$14,0)+IF(ISNUMBER(SCORECARDS!J78),PONDERADORES!$D$15,0)+IF(ISNUMBER(ISCAM_Score!K79),PONDERADORES!$D$16,0)+IF(ISNUMBER(O78),PONDERADORES!$D$17,0)+IF(ISNUMBER(AVERAGE(W78:Z78)),PONDERADORES!$D$19,0)),"N/A")</f>
        <v>0</v>
      </c>
      <c r="AQ78">
        <f>IF(ISNUMBER(M78),1,0)+IF(ISNUMBER(SCORECARDS!H78),1,0)+IF(ISNUMBER(SCORECARDS!I78),1,0)+IF(ISNUMBER(SCORECARDS!J78),1,0)+IF(ISNUMBER(ISCAM_Score!K79),1,0)+IF(ISNUMBER(O78),1,0)+IF(COUNT(W78:Z78)&gt;0,1,0)</f>
        <v>1</v>
      </c>
    </row>
    <row r="79" spans="1:45" ht="16.05" customHeight="1" x14ac:dyDescent="0.3">
      <c r="A79" t="s">
        <v>239</v>
      </c>
      <c r="B79" t="s">
        <v>240</v>
      </c>
      <c r="C79" t="s">
        <v>241</v>
      </c>
      <c r="D79" t="s">
        <v>73</v>
      </c>
      <c r="G79" t="s">
        <v>74</v>
      </c>
      <c r="J79" t="s">
        <v>67</v>
      </c>
      <c r="M79" t="str">
        <f t="shared" si="11"/>
        <v/>
      </c>
      <c r="N79" t="s">
        <v>68</v>
      </c>
      <c r="O79" t="str">
        <f t="shared" si="12"/>
        <v/>
      </c>
      <c r="P79" t="s">
        <v>68</v>
      </c>
      <c r="S79">
        <f t="shared" si="8"/>
        <v>0</v>
      </c>
      <c r="T79" t="str">
        <f t="shared" si="9"/>
        <v>⬜  Parcial · Inst. 2 pendiente</v>
      </c>
      <c r="U79" s="53">
        <v>1</v>
      </c>
      <c r="V79" t="s">
        <v>69</v>
      </c>
      <c r="W79">
        <f>IF(NORMALIZADO!BV79="",0,NORMALIZADO!BV79)</f>
        <v>0</v>
      </c>
      <c r="X79">
        <f>IF(NORMALIZADO!BW79="",0,NORMALIZADO!BW79)</f>
        <v>0</v>
      </c>
      <c r="Y79">
        <f>IF(NORMALIZADO!BX79="",0,NORMALIZADO!BX79)</f>
        <v>0</v>
      </c>
      <c r="Z79">
        <f>IF(NORMALIZADO!BY79="",0,NORMALIZADO!BY79)</f>
        <v>0</v>
      </c>
      <c r="AO79" t="str">
        <f t="shared" si="10"/>
        <v>N/A</v>
      </c>
      <c r="AP79">
        <f>IFERROR((IF(ISNUMBER(M79),M79/100*PONDERADORES!$D$12,0)+IF(ISNUMBER(SCORECARDS!H79),SCORECARDS!H79/100*PONDERADORES!$D$13,0)+IF(ISNUMBER(SCORECARDS!I79),SCORECARDS!I79/100*PONDERADORES!$D$14,0)+IF(ISNUMBER(SCORECARDS!J79),SCORECARDS!J79/100*PONDERADORES!$D$15,0)+IF(ISNUMBER(ISCAM_Score!K80),ISCAM_Score!K80/100*PONDERADORES!$D$16,0)+IF(ISNUMBER(O79),O79*PONDERADORES!$D$17,0)+IF(ISNUMBER(AVERAGE(W79:Z79)),AVERAGE(W79:Z79)/2*PONDERADORES!$D$19,0))/(IF(ISNUMBER(M79),PONDERADORES!$D$12,0)+IF(ISNUMBER(SCORECARDS!H79),PONDERADORES!$D$13,0)+IF(ISNUMBER(SCORECARDS!I79),PONDERADORES!$D$14,0)+IF(ISNUMBER(SCORECARDS!J79),PONDERADORES!$D$15,0)+IF(ISNUMBER(ISCAM_Score!K80),PONDERADORES!$D$16,0)+IF(ISNUMBER(O79),PONDERADORES!$D$17,0)+IF(ISNUMBER(AVERAGE(W79:Z79)),PONDERADORES!$D$19,0)),"N/A")</f>
        <v>0</v>
      </c>
      <c r="AQ79">
        <f>IF(ISNUMBER(M79),1,0)+IF(ISNUMBER(SCORECARDS!H79),1,0)+IF(ISNUMBER(SCORECARDS!I79),1,0)+IF(ISNUMBER(SCORECARDS!J79),1,0)+IF(ISNUMBER(ISCAM_Score!K80),1,0)+IF(ISNUMBER(O79),1,0)+IF(COUNT(W79:Z79)&gt;0,1,0)</f>
        <v>1</v>
      </c>
    </row>
    <row r="80" spans="1:45" ht="16.05" customHeight="1" x14ac:dyDescent="0.3">
      <c r="A80" t="s">
        <v>242</v>
      </c>
      <c r="B80" t="s">
        <v>243</v>
      </c>
      <c r="C80" t="s">
        <v>112</v>
      </c>
      <c r="D80" t="s">
        <v>65</v>
      </c>
      <c r="G80" t="s">
        <v>74</v>
      </c>
      <c r="H80" t="s">
        <v>66</v>
      </c>
      <c r="I80" t="s">
        <v>74</v>
      </c>
      <c r="J80" t="s">
        <v>106</v>
      </c>
      <c r="K80" t="s">
        <v>244</v>
      </c>
      <c r="M80" t="str">
        <f t="shared" si="11"/>
        <v/>
      </c>
      <c r="N80" t="s">
        <v>68</v>
      </c>
      <c r="O80">
        <f t="shared" si="12"/>
        <v>0.6</v>
      </c>
      <c r="P80" t="s">
        <v>68</v>
      </c>
      <c r="Q80">
        <v>351</v>
      </c>
      <c r="R80">
        <v>1045.5999999999999</v>
      </c>
      <c r="S80">
        <f t="shared" si="8"/>
        <v>26.1</v>
      </c>
      <c r="T80" t="str">
        <f t="shared" si="9"/>
        <v>⬜  Parcial · Inst. 2 pendiente</v>
      </c>
      <c r="U80" s="53">
        <v>1</v>
      </c>
      <c r="V80" t="s">
        <v>69</v>
      </c>
      <c r="W80">
        <f>IF(NORMALIZADO!BV80="",1,NORMALIZADO!BV80)</f>
        <v>1</v>
      </c>
      <c r="X80">
        <f>IF(NORMALIZADO!BW80="",0,NORMALIZADO!BW80)</f>
        <v>0</v>
      </c>
      <c r="Y80">
        <f>IF(NORMALIZADO!BX80="",0,NORMALIZADO!BX80)</f>
        <v>0</v>
      </c>
      <c r="Z80">
        <f>IF(NORMALIZADO!BY80="",0,NORMALIZADO!BY80)</f>
        <v>0</v>
      </c>
      <c r="AO80" t="str">
        <f t="shared" si="10"/>
        <v>N/A</v>
      </c>
      <c r="AP80">
        <f>IFERROR((IF(ISNUMBER(M80),M80/100*PONDERADORES!$D$12,0)+IF(ISNUMBER(SCORECARDS!H80),SCORECARDS!H80/100*PONDERADORES!$D$13,0)+IF(ISNUMBER(SCORECARDS!I80),SCORECARDS!I80/100*PONDERADORES!$D$14,0)+IF(ISNUMBER(SCORECARDS!J80),SCORECARDS!J80/100*PONDERADORES!$D$15,0)+IF(ISNUMBER(ISCAM_Score!K81),ISCAM_Score!K81/100*PONDERADORES!$D$16,0)+IF(ISNUMBER(O80),O80*PONDERADORES!$D$17,0)+IF(ISNUMBER(AVERAGE(W80:Z80)),AVERAGE(W80:Z80)/2*PONDERADORES!$D$19,0))/(IF(ISNUMBER(M80),PONDERADORES!$D$12,0)+IF(ISNUMBER(SCORECARDS!H80),PONDERADORES!$D$13,0)+IF(ISNUMBER(SCORECARDS!I80),PONDERADORES!$D$14,0)+IF(ISNUMBER(SCORECARDS!J80),PONDERADORES!$D$15,0)+IF(ISNUMBER(ISCAM_Score!K81),PONDERADORES!$D$16,0)+IF(ISNUMBER(O80),PONDERADORES!$D$17,0)+IF(ISNUMBER(AVERAGE(W80:Z80)),PONDERADORES!$D$19,0)),"N/A")</f>
        <v>0.26071428571428573</v>
      </c>
      <c r="AQ80">
        <f>IF(ISNUMBER(M80),1,0)+IF(ISNUMBER(SCORECARDS!H80),1,0)+IF(ISNUMBER(SCORECARDS!I80),1,0)+IF(ISNUMBER(SCORECARDS!J80),1,0)+IF(ISNUMBER(ISCAM_Score!K81),1,0)+IF(ISNUMBER(O80),1,0)+IF(COUNT(W80:Z80)&gt;0,1,0)</f>
        <v>2</v>
      </c>
      <c r="AR80" t="s">
        <v>1556</v>
      </c>
      <c r="AS80" t="s">
        <v>74</v>
      </c>
    </row>
    <row r="81" spans="1:43" ht="16.05" customHeight="1" x14ac:dyDescent="0.3">
      <c r="A81" t="s">
        <v>245</v>
      </c>
      <c r="B81" t="s">
        <v>246</v>
      </c>
      <c r="C81" t="s">
        <v>80</v>
      </c>
      <c r="D81" t="s">
        <v>73</v>
      </c>
      <c r="G81" t="s">
        <v>74</v>
      </c>
      <c r="J81" t="s">
        <v>67</v>
      </c>
      <c r="M81" t="str">
        <f t="shared" si="11"/>
        <v/>
      </c>
      <c r="N81" t="s">
        <v>68</v>
      </c>
      <c r="O81" t="str">
        <f t="shared" si="12"/>
        <v/>
      </c>
      <c r="P81" t="s">
        <v>68</v>
      </c>
      <c r="S81">
        <f t="shared" si="8"/>
        <v>0</v>
      </c>
      <c r="T81" t="str">
        <f t="shared" si="9"/>
        <v>⬜  Parcial · Inst. 2 pendiente</v>
      </c>
      <c r="U81" s="53">
        <v>1</v>
      </c>
      <c r="V81" t="s">
        <v>69</v>
      </c>
      <c r="W81">
        <f>IF(NORMALIZADO!BV81="",0,NORMALIZADO!BV81)</f>
        <v>0</v>
      </c>
      <c r="X81">
        <f>IF(NORMALIZADO!BW81="",0,NORMALIZADO!BW81)</f>
        <v>0</v>
      </c>
      <c r="Y81">
        <f>IF(NORMALIZADO!BX81="",0,NORMALIZADO!BX81)</f>
        <v>0</v>
      </c>
      <c r="Z81">
        <f>IF(NORMALIZADO!BY81="",0,NORMALIZADO!BY81)</f>
        <v>0</v>
      </c>
      <c r="AO81" t="str">
        <f t="shared" si="10"/>
        <v>N/A</v>
      </c>
      <c r="AP81">
        <f>IFERROR((IF(ISNUMBER(M81),M81/100*PONDERADORES!$D$12,0)+IF(ISNUMBER(SCORECARDS!H81),SCORECARDS!H81/100*PONDERADORES!$D$13,0)+IF(ISNUMBER(SCORECARDS!I81),SCORECARDS!I81/100*PONDERADORES!$D$14,0)+IF(ISNUMBER(SCORECARDS!J81),SCORECARDS!J81/100*PONDERADORES!$D$15,0)+IF(ISNUMBER(ISCAM_Score!K82),ISCAM_Score!K82/100*PONDERADORES!$D$16,0)+IF(ISNUMBER(O81),O81*PONDERADORES!$D$17,0)+IF(ISNUMBER(AVERAGE(W81:Z81)),AVERAGE(W81:Z81)/2*PONDERADORES!$D$19,0))/(IF(ISNUMBER(M81),PONDERADORES!$D$12,0)+IF(ISNUMBER(SCORECARDS!H81),PONDERADORES!$D$13,0)+IF(ISNUMBER(SCORECARDS!I81),PONDERADORES!$D$14,0)+IF(ISNUMBER(SCORECARDS!J81),PONDERADORES!$D$15,0)+IF(ISNUMBER(ISCAM_Score!K82),PONDERADORES!$D$16,0)+IF(ISNUMBER(O81),PONDERADORES!$D$17,0)+IF(ISNUMBER(AVERAGE(W81:Z81)),PONDERADORES!$D$19,0)),"N/A")</f>
        <v>0</v>
      </c>
      <c r="AQ81">
        <f>IF(ISNUMBER(M81),1,0)+IF(ISNUMBER(SCORECARDS!H81),1,0)+IF(ISNUMBER(SCORECARDS!I81),1,0)+IF(ISNUMBER(SCORECARDS!J81),1,0)+IF(ISNUMBER(ISCAM_Score!K82),1,0)+IF(ISNUMBER(O81),1,0)+IF(COUNT(W81:Z81)&gt;0,1,0)</f>
        <v>1</v>
      </c>
    </row>
    <row r="82" spans="1:43" ht="16.05" customHeight="1" x14ac:dyDescent="0.3">
      <c r="A82" t="s">
        <v>247</v>
      </c>
      <c r="B82" t="s">
        <v>248</v>
      </c>
      <c r="C82" t="s">
        <v>249</v>
      </c>
      <c r="D82" t="s">
        <v>65</v>
      </c>
      <c r="E82">
        <v>1435723.71</v>
      </c>
      <c r="F82">
        <v>10</v>
      </c>
      <c r="G82" t="s">
        <v>66</v>
      </c>
      <c r="J82" t="s">
        <v>67</v>
      </c>
      <c r="L82">
        <v>717861.85</v>
      </c>
      <c r="M82">
        <f t="shared" si="11"/>
        <v>50</v>
      </c>
      <c r="N82" t="s">
        <v>68</v>
      </c>
      <c r="O82" t="str">
        <f t="shared" si="12"/>
        <v/>
      </c>
      <c r="P82" t="s">
        <v>68</v>
      </c>
      <c r="S82">
        <f t="shared" si="8"/>
        <v>31.3</v>
      </c>
      <c r="T82" t="str">
        <f t="shared" si="9"/>
        <v>⬜  Parcial · Inst. 2 pendiente</v>
      </c>
      <c r="U82" s="53">
        <v>1</v>
      </c>
      <c r="V82" t="s">
        <v>69</v>
      </c>
      <c r="W82">
        <f>IF(NORMALIZADO!BV82="",1,NORMALIZADO!BV82)</f>
        <v>1</v>
      </c>
      <c r="X82">
        <f>IF(NORMALIZADO!BW82="",0,NORMALIZADO!BW82)</f>
        <v>0</v>
      </c>
      <c r="Y82">
        <f>IF(NORMALIZADO!BX82="",0,NORMALIZADO!BX82)</f>
        <v>0</v>
      </c>
      <c r="Z82">
        <f>IF(NORMALIZADO!BY82="",0,NORMALIZADO!BY82)</f>
        <v>0</v>
      </c>
      <c r="AO82" t="str">
        <f t="shared" si="10"/>
        <v>N/A</v>
      </c>
      <c r="AP82">
        <f>IFERROR((IF(ISNUMBER(M82),M82/100*PONDERADORES!$D$12,0)+IF(ISNUMBER(SCORECARDS!H82),SCORECARDS!H82/100*PONDERADORES!$D$13,0)+IF(ISNUMBER(SCORECARDS!I82),SCORECARDS!I82/100*PONDERADORES!$D$14,0)+IF(ISNUMBER(SCORECARDS!J82),SCORECARDS!J82/100*PONDERADORES!$D$15,0)+IF(ISNUMBER(ISCAM_Score!K83),ISCAM_Score!K83/100*PONDERADORES!$D$16,0)+IF(ISNUMBER(O82),O82*PONDERADORES!$D$17,0)+IF(ISNUMBER(AVERAGE(W82:Z82)),AVERAGE(W82:Z82)/2*PONDERADORES!$D$19,0))/(IF(ISNUMBER(M82),PONDERADORES!$D$12,0)+IF(ISNUMBER(SCORECARDS!H82),PONDERADORES!$D$13,0)+IF(ISNUMBER(SCORECARDS!I82),PONDERADORES!$D$14,0)+IF(ISNUMBER(SCORECARDS!J82),PONDERADORES!$D$15,0)+IF(ISNUMBER(ISCAM_Score!K83),PONDERADORES!$D$16,0)+IF(ISNUMBER(O82),PONDERADORES!$D$17,0)+IF(ISNUMBER(AVERAGE(W82:Z82)),PONDERADORES!$D$19,0)),"N/A")</f>
        <v>0.3125</v>
      </c>
      <c r="AQ82">
        <f>IF(ISNUMBER(M82),1,0)+IF(ISNUMBER(SCORECARDS!H82),1,0)+IF(ISNUMBER(SCORECARDS!I82),1,0)+IF(ISNUMBER(SCORECARDS!J82),1,0)+IF(ISNUMBER(ISCAM_Score!K83),1,0)+IF(ISNUMBER(O82),1,0)+IF(COUNT(W82:Z82)&gt;0,1,0)</f>
        <v>2</v>
      </c>
    </row>
    <row r="83" spans="1:43" ht="16.05" customHeight="1" x14ac:dyDescent="0.3">
      <c r="A83" t="s">
        <v>250</v>
      </c>
      <c r="B83" t="s">
        <v>251</v>
      </c>
      <c r="C83" t="s">
        <v>249</v>
      </c>
      <c r="D83" t="s">
        <v>65</v>
      </c>
      <c r="G83" t="s">
        <v>74</v>
      </c>
      <c r="J83" t="s">
        <v>67</v>
      </c>
      <c r="M83" t="str">
        <f t="shared" si="11"/>
        <v/>
      </c>
      <c r="N83" t="s">
        <v>68</v>
      </c>
      <c r="O83" t="str">
        <f t="shared" si="12"/>
        <v/>
      </c>
      <c r="P83" t="s">
        <v>68</v>
      </c>
      <c r="S83">
        <f t="shared" si="8"/>
        <v>0</v>
      </c>
      <c r="T83" t="str">
        <f t="shared" si="9"/>
        <v>⬜  Parcial · Inst. 2 pendiente</v>
      </c>
      <c r="U83" s="53">
        <v>1</v>
      </c>
      <c r="V83" t="s">
        <v>69</v>
      </c>
      <c r="W83">
        <f>IF(NORMALIZADO!BV83="",0,NORMALIZADO!BV83)</f>
        <v>0</v>
      </c>
      <c r="X83">
        <f>IF(NORMALIZADO!BW83="",0,NORMALIZADO!BW83)</f>
        <v>0</v>
      </c>
      <c r="Y83">
        <f>IF(NORMALIZADO!BX83="",0,NORMALIZADO!BX83)</f>
        <v>0</v>
      </c>
      <c r="Z83">
        <f>IF(NORMALIZADO!BY83="",0,NORMALIZADO!BY83)</f>
        <v>0</v>
      </c>
      <c r="AO83" t="str">
        <f t="shared" si="10"/>
        <v>N/A</v>
      </c>
      <c r="AP83">
        <f>IFERROR((IF(ISNUMBER(M83),M83/100*PONDERADORES!$D$12,0)+IF(ISNUMBER(SCORECARDS!H83),SCORECARDS!H83/100*PONDERADORES!$D$13,0)+IF(ISNUMBER(SCORECARDS!I83),SCORECARDS!I83/100*PONDERADORES!$D$14,0)+IF(ISNUMBER(SCORECARDS!J83),SCORECARDS!J83/100*PONDERADORES!$D$15,0)+IF(ISNUMBER(ISCAM_Score!K84),ISCAM_Score!K84/100*PONDERADORES!$D$16,0)+IF(ISNUMBER(O83),O83*PONDERADORES!$D$17,0)+IF(ISNUMBER(AVERAGE(W83:Z83)),AVERAGE(W83:Z83)/2*PONDERADORES!$D$19,0))/(IF(ISNUMBER(M83),PONDERADORES!$D$12,0)+IF(ISNUMBER(SCORECARDS!H83),PONDERADORES!$D$13,0)+IF(ISNUMBER(SCORECARDS!I83),PONDERADORES!$D$14,0)+IF(ISNUMBER(SCORECARDS!J83),PONDERADORES!$D$15,0)+IF(ISNUMBER(ISCAM_Score!K84),PONDERADORES!$D$16,0)+IF(ISNUMBER(O83),PONDERADORES!$D$17,0)+IF(ISNUMBER(AVERAGE(W83:Z83)),PONDERADORES!$D$19,0)),"N/A")</f>
        <v>0</v>
      </c>
      <c r="AQ83">
        <f>IF(ISNUMBER(M83),1,0)+IF(ISNUMBER(SCORECARDS!H83),1,0)+IF(ISNUMBER(SCORECARDS!I83),1,0)+IF(ISNUMBER(SCORECARDS!J83),1,0)+IF(ISNUMBER(ISCAM_Score!K84),1,0)+IF(ISNUMBER(O83),1,0)+IF(COUNT(W83:Z83)&gt;0,1,0)</f>
        <v>1</v>
      </c>
    </row>
    <row r="84" spans="1:43" ht="16.05" customHeight="1" x14ac:dyDescent="0.3">
      <c r="A84" t="s">
        <v>252</v>
      </c>
      <c r="B84" t="s">
        <v>253</v>
      </c>
      <c r="C84" t="s">
        <v>77</v>
      </c>
      <c r="D84" t="s">
        <v>73</v>
      </c>
      <c r="E84">
        <v>113466.98</v>
      </c>
      <c r="F84">
        <v>10</v>
      </c>
      <c r="G84" t="s">
        <v>66</v>
      </c>
      <c r="J84" t="s">
        <v>67</v>
      </c>
      <c r="L84">
        <v>0</v>
      </c>
      <c r="M84">
        <f t="shared" si="11"/>
        <v>0</v>
      </c>
      <c r="N84" t="s">
        <v>68</v>
      </c>
      <c r="O84" t="str">
        <f t="shared" si="12"/>
        <v/>
      </c>
      <c r="P84" t="s">
        <v>68</v>
      </c>
      <c r="S84">
        <f t="shared" si="8"/>
        <v>0</v>
      </c>
      <c r="T84" t="str">
        <f t="shared" si="9"/>
        <v>⬜  Parcial · Inst. 2 pendiente</v>
      </c>
      <c r="U84" s="53">
        <v>1</v>
      </c>
      <c r="V84" t="s">
        <v>69</v>
      </c>
      <c r="W84">
        <f>IF(NORMALIZADO!BV84="",0,NORMALIZADO!BV84)</f>
        <v>0</v>
      </c>
      <c r="X84">
        <f>IF(NORMALIZADO!BW84="",0,NORMALIZADO!BW84)</f>
        <v>0</v>
      </c>
      <c r="Y84">
        <f>IF(NORMALIZADO!BX84="",0,NORMALIZADO!BX84)</f>
        <v>0</v>
      </c>
      <c r="Z84">
        <f>IF(NORMALIZADO!BY84="",0,NORMALIZADO!BY84)</f>
        <v>0</v>
      </c>
      <c r="AO84" t="str">
        <f t="shared" si="10"/>
        <v>N/A</v>
      </c>
      <c r="AP84">
        <f>IFERROR((IF(ISNUMBER(M84),M84/100*PONDERADORES!$D$12,0)+IF(ISNUMBER(SCORECARDS!H84),SCORECARDS!H84/100*PONDERADORES!$D$13,0)+IF(ISNUMBER(SCORECARDS!I84),SCORECARDS!I84/100*PONDERADORES!$D$14,0)+IF(ISNUMBER(SCORECARDS!J84),SCORECARDS!J84/100*PONDERADORES!$D$15,0)+IF(ISNUMBER(ISCAM_Score!K85),ISCAM_Score!K85/100*PONDERADORES!$D$16,0)+IF(ISNUMBER(O84),O84*PONDERADORES!$D$17,0)+IF(ISNUMBER(AVERAGE(W84:Z84)),AVERAGE(W84:Z84)/2*PONDERADORES!$D$19,0))/(IF(ISNUMBER(M84),PONDERADORES!$D$12,0)+IF(ISNUMBER(SCORECARDS!H84),PONDERADORES!$D$13,0)+IF(ISNUMBER(SCORECARDS!I84),PONDERADORES!$D$14,0)+IF(ISNUMBER(SCORECARDS!J84),PONDERADORES!$D$15,0)+IF(ISNUMBER(ISCAM_Score!K85),PONDERADORES!$D$16,0)+IF(ISNUMBER(O84),PONDERADORES!$D$17,0)+IF(ISNUMBER(AVERAGE(W84:Z84)),PONDERADORES!$D$19,0)),"N/A")</f>
        <v>0</v>
      </c>
      <c r="AQ84">
        <f>IF(ISNUMBER(M84),1,0)+IF(ISNUMBER(SCORECARDS!H84),1,0)+IF(ISNUMBER(SCORECARDS!I84),1,0)+IF(ISNUMBER(SCORECARDS!J84),1,0)+IF(ISNUMBER(ISCAM_Score!K85),1,0)+IF(ISNUMBER(O84),1,0)+IF(COUNT(W84:Z84)&gt;0,1,0)</f>
        <v>2</v>
      </c>
    </row>
    <row r="85" spans="1:43" ht="16.05" customHeight="1" x14ac:dyDescent="0.3">
      <c r="A85" t="s">
        <v>254</v>
      </c>
      <c r="B85" t="s">
        <v>255</v>
      </c>
      <c r="C85" t="s">
        <v>77</v>
      </c>
      <c r="D85" t="s">
        <v>65</v>
      </c>
      <c r="E85">
        <v>5355025.2299999986</v>
      </c>
      <c r="F85">
        <v>27</v>
      </c>
      <c r="G85" t="s">
        <v>66</v>
      </c>
      <c r="J85" t="s">
        <v>67</v>
      </c>
      <c r="L85">
        <v>2677512.61</v>
      </c>
      <c r="M85">
        <f t="shared" si="11"/>
        <v>50</v>
      </c>
      <c r="N85" t="s">
        <v>68</v>
      </c>
      <c r="O85" t="str">
        <f t="shared" si="12"/>
        <v/>
      </c>
      <c r="P85" t="s">
        <v>68</v>
      </c>
      <c r="S85">
        <f t="shared" si="8"/>
        <v>31.3</v>
      </c>
      <c r="T85" t="str">
        <f t="shared" si="9"/>
        <v>⬜  Parcial · Inst. 2 pendiente</v>
      </c>
      <c r="U85" s="53">
        <v>1</v>
      </c>
      <c r="V85" t="s">
        <v>69</v>
      </c>
      <c r="W85">
        <f>IF(NORMALIZADO!BV85="",1,NORMALIZADO!BV85)</f>
        <v>1</v>
      </c>
      <c r="X85">
        <f>IF(NORMALIZADO!BW85="",0,NORMALIZADO!BW85)</f>
        <v>0</v>
      </c>
      <c r="Y85">
        <f>IF(NORMALIZADO!BX85="",0,NORMALIZADO!BX85)</f>
        <v>0</v>
      </c>
      <c r="Z85">
        <f>IF(NORMALIZADO!BY85="",0,NORMALIZADO!BY85)</f>
        <v>0</v>
      </c>
      <c r="AO85" t="str">
        <f t="shared" si="10"/>
        <v>N/A</v>
      </c>
      <c r="AP85">
        <f>IFERROR((IF(ISNUMBER(M85),M85/100*PONDERADORES!$D$12,0)+IF(ISNUMBER(SCORECARDS!H85),SCORECARDS!H85/100*PONDERADORES!$D$13,0)+IF(ISNUMBER(SCORECARDS!I85),SCORECARDS!I85/100*PONDERADORES!$D$14,0)+IF(ISNUMBER(SCORECARDS!J85),SCORECARDS!J85/100*PONDERADORES!$D$15,0)+IF(ISNUMBER(ISCAM_Score!K86),ISCAM_Score!K86/100*PONDERADORES!$D$16,0)+IF(ISNUMBER(O85),O85*PONDERADORES!$D$17,0)+IF(ISNUMBER(AVERAGE(W85:Z85)),AVERAGE(W85:Z85)/2*PONDERADORES!$D$19,0))/(IF(ISNUMBER(M85),PONDERADORES!$D$12,0)+IF(ISNUMBER(SCORECARDS!H85),PONDERADORES!$D$13,0)+IF(ISNUMBER(SCORECARDS!I85),PONDERADORES!$D$14,0)+IF(ISNUMBER(SCORECARDS!J85),PONDERADORES!$D$15,0)+IF(ISNUMBER(ISCAM_Score!K86),PONDERADORES!$D$16,0)+IF(ISNUMBER(O85),PONDERADORES!$D$17,0)+IF(ISNUMBER(AVERAGE(W85:Z85)),PONDERADORES!$D$19,0)),"N/A")</f>
        <v>0.3125</v>
      </c>
      <c r="AQ85">
        <f>IF(ISNUMBER(M85),1,0)+IF(ISNUMBER(SCORECARDS!H85),1,0)+IF(ISNUMBER(SCORECARDS!I85),1,0)+IF(ISNUMBER(SCORECARDS!J85),1,0)+IF(ISNUMBER(ISCAM_Score!K86),1,0)+IF(ISNUMBER(O85),1,0)+IF(COUNT(W85:Z85)&gt;0,1,0)</f>
        <v>2</v>
      </c>
    </row>
    <row r="86" spans="1:43" ht="16.05" customHeight="1" x14ac:dyDescent="0.3">
      <c r="A86" t="s">
        <v>256</v>
      </c>
      <c r="B86" t="s">
        <v>257</v>
      </c>
      <c r="C86" t="s">
        <v>249</v>
      </c>
      <c r="D86" t="s">
        <v>73</v>
      </c>
      <c r="G86" t="s">
        <v>74</v>
      </c>
      <c r="J86" t="s">
        <v>67</v>
      </c>
      <c r="M86" t="str">
        <f t="shared" si="11"/>
        <v/>
      </c>
      <c r="N86" t="s">
        <v>68</v>
      </c>
      <c r="O86" t="str">
        <f t="shared" si="12"/>
        <v/>
      </c>
      <c r="P86" t="s">
        <v>68</v>
      </c>
      <c r="S86">
        <f t="shared" si="8"/>
        <v>0</v>
      </c>
      <c r="T86" t="str">
        <f t="shared" si="9"/>
        <v>⬜  Parcial · Inst. 2 pendiente</v>
      </c>
      <c r="U86" s="53">
        <v>1</v>
      </c>
      <c r="V86" t="s">
        <v>69</v>
      </c>
      <c r="W86">
        <f>IF(NORMALIZADO!BV86="",0,NORMALIZADO!BV86)</f>
        <v>0</v>
      </c>
      <c r="X86">
        <f>IF(NORMALIZADO!BW86="",0,NORMALIZADO!BW86)</f>
        <v>0</v>
      </c>
      <c r="Y86">
        <f>IF(NORMALIZADO!BX86="",0,NORMALIZADO!BX86)</f>
        <v>0</v>
      </c>
      <c r="Z86">
        <f>IF(NORMALIZADO!BY86="",0,NORMALIZADO!BY86)</f>
        <v>0</v>
      </c>
      <c r="AO86" t="str">
        <f t="shared" si="10"/>
        <v>N/A</v>
      </c>
      <c r="AP86">
        <f>IFERROR((IF(ISNUMBER(M86),M86/100*PONDERADORES!$D$12,0)+IF(ISNUMBER(SCORECARDS!H86),SCORECARDS!H86/100*PONDERADORES!$D$13,0)+IF(ISNUMBER(SCORECARDS!I86),SCORECARDS!I86/100*PONDERADORES!$D$14,0)+IF(ISNUMBER(SCORECARDS!J86),SCORECARDS!J86/100*PONDERADORES!$D$15,0)+IF(ISNUMBER(ISCAM_Score!K87),ISCAM_Score!K87/100*PONDERADORES!$D$16,0)+IF(ISNUMBER(O86),O86*PONDERADORES!$D$17,0)+IF(ISNUMBER(AVERAGE(W86:Z86)),AVERAGE(W86:Z86)/2*PONDERADORES!$D$19,0))/(IF(ISNUMBER(M86),PONDERADORES!$D$12,0)+IF(ISNUMBER(SCORECARDS!H86),PONDERADORES!$D$13,0)+IF(ISNUMBER(SCORECARDS!I86),PONDERADORES!$D$14,0)+IF(ISNUMBER(SCORECARDS!J86),PONDERADORES!$D$15,0)+IF(ISNUMBER(ISCAM_Score!K87),PONDERADORES!$D$16,0)+IF(ISNUMBER(O86),PONDERADORES!$D$17,0)+IF(ISNUMBER(AVERAGE(W86:Z86)),PONDERADORES!$D$19,0)),"N/A")</f>
        <v>0</v>
      </c>
      <c r="AQ86">
        <f>IF(ISNUMBER(M86),1,0)+IF(ISNUMBER(SCORECARDS!H86),1,0)+IF(ISNUMBER(SCORECARDS!I86),1,0)+IF(ISNUMBER(SCORECARDS!J86),1,0)+IF(ISNUMBER(ISCAM_Score!K87),1,0)+IF(ISNUMBER(O86),1,0)+IF(COUNT(W86:Z86)&gt;0,1,0)</f>
        <v>1</v>
      </c>
    </row>
    <row r="87" spans="1:43" ht="16.05" customHeight="1" x14ac:dyDescent="0.3">
      <c r="A87" t="s">
        <v>258</v>
      </c>
      <c r="B87" t="s">
        <v>259</v>
      </c>
      <c r="C87" t="s">
        <v>249</v>
      </c>
      <c r="D87" t="s">
        <v>73</v>
      </c>
      <c r="G87" t="s">
        <v>74</v>
      </c>
      <c r="J87" t="s">
        <v>67</v>
      </c>
      <c r="M87" t="str">
        <f t="shared" si="11"/>
        <v/>
      </c>
      <c r="N87" t="s">
        <v>68</v>
      </c>
      <c r="O87" t="str">
        <f t="shared" si="12"/>
        <v/>
      </c>
      <c r="P87" t="s">
        <v>68</v>
      </c>
      <c r="S87">
        <f t="shared" si="8"/>
        <v>0</v>
      </c>
      <c r="T87" t="str">
        <f t="shared" si="9"/>
        <v>⬜  Parcial · Inst. 2 pendiente</v>
      </c>
      <c r="U87" s="53">
        <v>1</v>
      </c>
      <c r="V87" t="s">
        <v>69</v>
      </c>
      <c r="W87">
        <f>IF(NORMALIZADO!BV87="",0,NORMALIZADO!BV87)</f>
        <v>0</v>
      </c>
      <c r="X87">
        <f>IF(NORMALIZADO!BW87="",0,NORMALIZADO!BW87)</f>
        <v>0</v>
      </c>
      <c r="Y87">
        <f>IF(NORMALIZADO!BX87="",0,NORMALIZADO!BX87)</f>
        <v>0</v>
      </c>
      <c r="Z87">
        <f>IF(NORMALIZADO!BY87="",0,NORMALIZADO!BY87)</f>
        <v>0</v>
      </c>
      <c r="AO87" t="str">
        <f t="shared" si="10"/>
        <v>N/A</v>
      </c>
      <c r="AP87">
        <f>IFERROR((IF(ISNUMBER(M87),M87/100*PONDERADORES!$D$12,0)+IF(ISNUMBER(SCORECARDS!H87),SCORECARDS!H87/100*PONDERADORES!$D$13,0)+IF(ISNUMBER(SCORECARDS!I87),SCORECARDS!I87/100*PONDERADORES!$D$14,0)+IF(ISNUMBER(SCORECARDS!J87),SCORECARDS!J87/100*PONDERADORES!$D$15,0)+IF(ISNUMBER(ISCAM_Score!K88),ISCAM_Score!K88/100*PONDERADORES!$D$16,0)+IF(ISNUMBER(O87),O87*PONDERADORES!$D$17,0)+IF(ISNUMBER(AVERAGE(W87:Z87)),AVERAGE(W87:Z87)/2*PONDERADORES!$D$19,0))/(IF(ISNUMBER(M87),PONDERADORES!$D$12,0)+IF(ISNUMBER(SCORECARDS!H87),PONDERADORES!$D$13,0)+IF(ISNUMBER(SCORECARDS!I87),PONDERADORES!$D$14,0)+IF(ISNUMBER(SCORECARDS!J87),PONDERADORES!$D$15,0)+IF(ISNUMBER(ISCAM_Score!K88),PONDERADORES!$D$16,0)+IF(ISNUMBER(O87),PONDERADORES!$D$17,0)+IF(ISNUMBER(AVERAGE(W87:Z87)),PONDERADORES!$D$19,0)),"N/A")</f>
        <v>0</v>
      </c>
      <c r="AQ87">
        <f>IF(ISNUMBER(M87),1,0)+IF(ISNUMBER(SCORECARDS!H87),1,0)+IF(ISNUMBER(SCORECARDS!I87),1,0)+IF(ISNUMBER(SCORECARDS!J87),1,0)+IF(ISNUMBER(ISCAM_Score!K88),1,0)+IF(ISNUMBER(O87),1,0)+IF(COUNT(W87:Z87)&gt;0,1,0)</f>
        <v>1</v>
      </c>
    </row>
    <row r="88" spans="1:43" ht="16.05" customHeight="1" x14ac:dyDescent="0.3">
      <c r="A88" t="s">
        <v>260</v>
      </c>
      <c r="B88" t="s">
        <v>261</v>
      </c>
      <c r="C88" t="s">
        <v>249</v>
      </c>
      <c r="D88" t="s">
        <v>73</v>
      </c>
      <c r="G88" t="s">
        <v>74</v>
      </c>
      <c r="J88" t="s">
        <v>67</v>
      </c>
      <c r="M88" t="str">
        <f t="shared" si="11"/>
        <v/>
      </c>
      <c r="N88" t="s">
        <v>68</v>
      </c>
      <c r="O88" t="str">
        <f t="shared" si="12"/>
        <v/>
      </c>
      <c r="P88" t="s">
        <v>68</v>
      </c>
      <c r="S88">
        <f t="shared" si="8"/>
        <v>0</v>
      </c>
      <c r="T88" t="str">
        <f t="shared" si="9"/>
        <v>⬜  Parcial · Inst. 2 pendiente</v>
      </c>
      <c r="U88" s="53">
        <v>1</v>
      </c>
      <c r="V88" t="s">
        <v>69</v>
      </c>
      <c r="W88">
        <f>IF(NORMALIZADO!BV88="",0,NORMALIZADO!BV88)</f>
        <v>0</v>
      </c>
      <c r="X88">
        <f>IF(NORMALIZADO!BW88="",0,NORMALIZADO!BW88)</f>
        <v>0</v>
      </c>
      <c r="Y88">
        <f>IF(NORMALIZADO!BX88="",0,NORMALIZADO!BX88)</f>
        <v>0</v>
      </c>
      <c r="Z88">
        <f>IF(NORMALIZADO!BY88="",0,NORMALIZADO!BY88)</f>
        <v>0</v>
      </c>
      <c r="AO88" t="str">
        <f t="shared" si="10"/>
        <v>N/A</v>
      </c>
      <c r="AP88">
        <f>IFERROR((IF(ISNUMBER(M88),M88/100*PONDERADORES!$D$12,0)+IF(ISNUMBER(SCORECARDS!H88),SCORECARDS!H88/100*PONDERADORES!$D$13,0)+IF(ISNUMBER(SCORECARDS!I88),SCORECARDS!I88/100*PONDERADORES!$D$14,0)+IF(ISNUMBER(SCORECARDS!J88),SCORECARDS!J88/100*PONDERADORES!$D$15,0)+IF(ISNUMBER(ISCAM_Score!K89),ISCAM_Score!K89/100*PONDERADORES!$D$16,0)+IF(ISNUMBER(O88),O88*PONDERADORES!$D$17,0)+IF(ISNUMBER(AVERAGE(W88:Z88)),AVERAGE(W88:Z88)/2*PONDERADORES!$D$19,0))/(IF(ISNUMBER(M88),PONDERADORES!$D$12,0)+IF(ISNUMBER(SCORECARDS!H88),PONDERADORES!$D$13,0)+IF(ISNUMBER(SCORECARDS!I88),PONDERADORES!$D$14,0)+IF(ISNUMBER(SCORECARDS!J88),PONDERADORES!$D$15,0)+IF(ISNUMBER(ISCAM_Score!K89),PONDERADORES!$D$16,0)+IF(ISNUMBER(O88),PONDERADORES!$D$17,0)+IF(ISNUMBER(AVERAGE(W88:Z88)),PONDERADORES!$D$19,0)),"N/A")</f>
        <v>0</v>
      </c>
      <c r="AQ88">
        <f>IF(ISNUMBER(M88),1,0)+IF(ISNUMBER(SCORECARDS!H88),1,0)+IF(ISNUMBER(SCORECARDS!I88),1,0)+IF(ISNUMBER(SCORECARDS!J88),1,0)+IF(ISNUMBER(ISCAM_Score!K89),1,0)+IF(ISNUMBER(O88),1,0)+IF(COUNT(W88:Z88)&gt;0,1,0)</f>
        <v>1</v>
      </c>
    </row>
    <row r="89" spans="1:43" ht="16.05" customHeight="1" x14ac:dyDescent="0.3">
      <c r="A89" t="s">
        <v>262</v>
      </c>
      <c r="B89" t="s">
        <v>263</v>
      </c>
      <c r="C89" t="s">
        <v>249</v>
      </c>
      <c r="D89" t="s">
        <v>65</v>
      </c>
      <c r="G89" t="s">
        <v>74</v>
      </c>
      <c r="J89" t="s">
        <v>67</v>
      </c>
      <c r="M89" t="str">
        <f t="shared" si="11"/>
        <v/>
      </c>
      <c r="N89" t="s">
        <v>68</v>
      </c>
      <c r="O89" t="str">
        <f t="shared" si="12"/>
        <v/>
      </c>
      <c r="P89" t="s">
        <v>68</v>
      </c>
      <c r="S89">
        <f t="shared" si="8"/>
        <v>0</v>
      </c>
      <c r="T89" t="str">
        <f t="shared" si="9"/>
        <v>⬜  Parcial · Inst. 2 pendiente</v>
      </c>
      <c r="U89" s="53">
        <v>1</v>
      </c>
      <c r="V89" t="s">
        <v>69</v>
      </c>
      <c r="W89">
        <f>IF(NORMALIZADO!BV89="",0,NORMALIZADO!BV89)</f>
        <v>0</v>
      </c>
      <c r="X89">
        <f>IF(NORMALIZADO!BW89="",0,NORMALIZADO!BW89)</f>
        <v>0</v>
      </c>
      <c r="Y89">
        <f>IF(NORMALIZADO!BX89="",0,NORMALIZADO!BX89)</f>
        <v>0</v>
      </c>
      <c r="Z89">
        <f>IF(NORMALIZADO!BY89="",0,NORMALIZADO!BY89)</f>
        <v>0</v>
      </c>
      <c r="AO89" t="str">
        <f t="shared" si="10"/>
        <v>N/A</v>
      </c>
      <c r="AP89">
        <f>IFERROR((IF(ISNUMBER(M89),M89/100*PONDERADORES!$D$12,0)+IF(ISNUMBER(SCORECARDS!H89),SCORECARDS!H89/100*PONDERADORES!$D$13,0)+IF(ISNUMBER(SCORECARDS!I89),SCORECARDS!I89/100*PONDERADORES!$D$14,0)+IF(ISNUMBER(SCORECARDS!J89),SCORECARDS!J89/100*PONDERADORES!$D$15,0)+IF(ISNUMBER(ISCAM_Score!K90),ISCAM_Score!K90/100*PONDERADORES!$D$16,0)+IF(ISNUMBER(O89),O89*PONDERADORES!$D$17,0)+IF(ISNUMBER(AVERAGE(W89:Z89)),AVERAGE(W89:Z89)/2*PONDERADORES!$D$19,0))/(IF(ISNUMBER(M89),PONDERADORES!$D$12,0)+IF(ISNUMBER(SCORECARDS!H89),PONDERADORES!$D$13,0)+IF(ISNUMBER(SCORECARDS!I89),PONDERADORES!$D$14,0)+IF(ISNUMBER(SCORECARDS!J89),PONDERADORES!$D$15,0)+IF(ISNUMBER(ISCAM_Score!K90),PONDERADORES!$D$16,0)+IF(ISNUMBER(O89),PONDERADORES!$D$17,0)+IF(ISNUMBER(AVERAGE(W89:Z89)),PONDERADORES!$D$19,0)),"N/A")</f>
        <v>0</v>
      </c>
      <c r="AQ89">
        <f>IF(ISNUMBER(M89),1,0)+IF(ISNUMBER(SCORECARDS!H89),1,0)+IF(ISNUMBER(SCORECARDS!I89),1,0)+IF(ISNUMBER(SCORECARDS!J89),1,0)+IF(ISNUMBER(ISCAM_Score!K90),1,0)+IF(ISNUMBER(O89),1,0)+IF(COUNT(W89:Z89)&gt;0,1,0)</f>
        <v>1</v>
      </c>
    </row>
    <row r="90" spans="1:43" ht="16.05" customHeight="1" x14ac:dyDescent="0.3">
      <c r="A90" t="s">
        <v>264</v>
      </c>
      <c r="B90" t="s">
        <v>265</v>
      </c>
      <c r="C90" t="s">
        <v>77</v>
      </c>
      <c r="D90" t="s">
        <v>73</v>
      </c>
      <c r="G90" t="s">
        <v>74</v>
      </c>
      <c r="J90" t="s">
        <v>124</v>
      </c>
      <c r="M90" t="str">
        <f t="shared" si="11"/>
        <v/>
      </c>
      <c r="N90" t="s">
        <v>68</v>
      </c>
      <c r="O90" t="str">
        <f t="shared" si="12"/>
        <v/>
      </c>
      <c r="P90" t="s">
        <v>68</v>
      </c>
      <c r="S90">
        <f t="shared" si="8"/>
        <v>0</v>
      </c>
      <c r="T90" t="str">
        <f t="shared" si="9"/>
        <v>⬜  Parcial · Inst. 2 pendiente</v>
      </c>
      <c r="U90" s="53">
        <v>1</v>
      </c>
      <c r="V90" t="s">
        <v>69</v>
      </c>
      <c r="W90">
        <f>IF(NORMALIZADO!BV90="",0,NORMALIZADO!BV90)</f>
        <v>0</v>
      </c>
      <c r="X90">
        <f>IF(NORMALIZADO!BW90="",0,NORMALIZADO!BW90)</f>
        <v>0</v>
      </c>
      <c r="Y90">
        <f>IF(NORMALIZADO!BX90="",0,NORMALIZADO!BX90)</f>
        <v>0</v>
      </c>
      <c r="Z90">
        <f>IF(NORMALIZADO!BY90="",0,NORMALIZADO!BY90)</f>
        <v>0</v>
      </c>
      <c r="AO90" t="str">
        <f t="shared" si="10"/>
        <v>N/A</v>
      </c>
      <c r="AP90">
        <f>IFERROR((IF(ISNUMBER(M90),M90/100*PONDERADORES!$D$12,0)+IF(ISNUMBER(SCORECARDS!H90),SCORECARDS!H90/100*PONDERADORES!$D$13,0)+IF(ISNUMBER(SCORECARDS!I90),SCORECARDS!I90/100*PONDERADORES!$D$14,0)+IF(ISNUMBER(SCORECARDS!J90),SCORECARDS!J90/100*PONDERADORES!$D$15,0)+IF(ISNUMBER(ISCAM_Score!K91),ISCAM_Score!K91/100*PONDERADORES!$D$16,0)+IF(ISNUMBER(O90),O90*PONDERADORES!$D$17,0)+IF(ISNUMBER(AVERAGE(W90:Z90)),AVERAGE(W90:Z90)/2*PONDERADORES!$D$19,0))/(IF(ISNUMBER(M90),PONDERADORES!$D$12,0)+IF(ISNUMBER(SCORECARDS!H90),PONDERADORES!$D$13,0)+IF(ISNUMBER(SCORECARDS!I90),PONDERADORES!$D$14,0)+IF(ISNUMBER(SCORECARDS!J90),PONDERADORES!$D$15,0)+IF(ISNUMBER(ISCAM_Score!K91),PONDERADORES!$D$16,0)+IF(ISNUMBER(O90),PONDERADORES!$D$17,0)+IF(ISNUMBER(AVERAGE(W90:Z90)),PONDERADORES!$D$19,0)),"N/A")</f>
        <v>0</v>
      </c>
      <c r="AQ90">
        <f>IF(ISNUMBER(M90),1,0)+IF(ISNUMBER(SCORECARDS!H90),1,0)+IF(ISNUMBER(SCORECARDS!I90),1,0)+IF(ISNUMBER(SCORECARDS!J90),1,0)+IF(ISNUMBER(ISCAM_Score!K91),1,0)+IF(ISNUMBER(O90),1,0)+IF(COUNT(W90:Z90)&gt;0,1,0)</f>
        <v>1</v>
      </c>
    </row>
    <row r="91" spans="1:43" ht="16.05" customHeight="1" x14ac:dyDescent="0.3">
      <c r="A91" t="s">
        <v>266</v>
      </c>
      <c r="B91" t="s">
        <v>267</v>
      </c>
      <c r="C91" t="s">
        <v>77</v>
      </c>
      <c r="D91" t="s">
        <v>65</v>
      </c>
      <c r="G91" t="s">
        <v>74</v>
      </c>
      <c r="J91" t="s">
        <v>106</v>
      </c>
      <c r="M91" t="str">
        <f t="shared" si="11"/>
        <v/>
      </c>
      <c r="N91" t="s">
        <v>68</v>
      </c>
      <c r="O91" t="str">
        <f t="shared" si="12"/>
        <v/>
      </c>
      <c r="P91" t="s">
        <v>68</v>
      </c>
      <c r="S91">
        <f t="shared" si="8"/>
        <v>0</v>
      </c>
      <c r="T91" t="str">
        <f t="shared" si="9"/>
        <v>⬜  Parcial · Inst. 2 pendiente</v>
      </c>
      <c r="U91" s="53">
        <v>1</v>
      </c>
      <c r="V91" t="s">
        <v>69</v>
      </c>
      <c r="W91">
        <f>IF(NORMALIZADO!BV91="",0,NORMALIZADO!BV91)</f>
        <v>0</v>
      </c>
      <c r="X91">
        <f>IF(NORMALIZADO!BW91="",0,NORMALIZADO!BW91)</f>
        <v>0</v>
      </c>
      <c r="Y91">
        <f>IF(NORMALIZADO!BX91="",0,NORMALIZADO!BX91)</f>
        <v>0</v>
      </c>
      <c r="Z91">
        <f>IF(NORMALIZADO!BY91="",0,NORMALIZADO!BY91)</f>
        <v>0</v>
      </c>
      <c r="AO91" t="str">
        <f t="shared" si="10"/>
        <v>N/A</v>
      </c>
      <c r="AP91">
        <f>IFERROR((IF(ISNUMBER(M91),M91/100*PONDERADORES!$D$12,0)+IF(ISNUMBER(SCORECARDS!H91),SCORECARDS!H91/100*PONDERADORES!$D$13,0)+IF(ISNUMBER(SCORECARDS!I91),SCORECARDS!I91/100*PONDERADORES!$D$14,0)+IF(ISNUMBER(SCORECARDS!J91),SCORECARDS!J91/100*PONDERADORES!$D$15,0)+IF(ISNUMBER(ISCAM_Score!K92),ISCAM_Score!K92/100*PONDERADORES!$D$16,0)+IF(ISNUMBER(O91),O91*PONDERADORES!$D$17,0)+IF(ISNUMBER(AVERAGE(W91:Z91)),AVERAGE(W91:Z91)/2*PONDERADORES!$D$19,0))/(IF(ISNUMBER(M91),PONDERADORES!$D$12,0)+IF(ISNUMBER(SCORECARDS!H91),PONDERADORES!$D$13,0)+IF(ISNUMBER(SCORECARDS!I91),PONDERADORES!$D$14,0)+IF(ISNUMBER(SCORECARDS!J91),PONDERADORES!$D$15,0)+IF(ISNUMBER(ISCAM_Score!K92),PONDERADORES!$D$16,0)+IF(ISNUMBER(O91),PONDERADORES!$D$17,0)+IF(ISNUMBER(AVERAGE(W91:Z91)),PONDERADORES!$D$19,0)),"N/A")</f>
        <v>0</v>
      </c>
      <c r="AQ91">
        <f>IF(ISNUMBER(M91),1,0)+IF(ISNUMBER(SCORECARDS!H91),1,0)+IF(ISNUMBER(SCORECARDS!I91),1,0)+IF(ISNUMBER(SCORECARDS!J91),1,0)+IF(ISNUMBER(ISCAM_Score!K92),1,0)+IF(ISNUMBER(O91),1,0)+IF(COUNT(W91:Z91)&gt;0,1,0)</f>
        <v>1</v>
      </c>
    </row>
    <row r="92" spans="1:43" ht="16.05" customHeight="1" x14ac:dyDescent="0.3">
      <c r="A92" t="s">
        <v>268</v>
      </c>
      <c r="B92" t="s">
        <v>269</v>
      </c>
      <c r="C92" t="s">
        <v>150</v>
      </c>
      <c r="D92" t="s">
        <v>65</v>
      </c>
      <c r="E92">
        <v>9585341.8000000007</v>
      </c>
      <c r="F92">
        <v>58</v>
      </c>
      <c r="G92" t="s">
        <v>66</v>
      </c>
      <c r="J92" t="s">
        <v>67</v>
      </c>
      <c r="L92">
        <v>4792670.9000000004</v>
      </c>
      <c r="M92">
        <f t="shared" si="11"/>
        <v>50</v>
      </c>
      <c r="N92" t="s">
        <v>68</v>
      </c>
      <c r="O92" t="str">
        <f t="shared" si="12"/>
        <v/>
      </c>
      <c r="P92" t="s">
        <v>68</v>
      </c>
      <c r="S92">
        <f t="shared" si="8"/>
        <v>31.3</v>
      </c>
      <c r="T92" t="str">
        <f t="shared" si="9"/>
        <v>⬜  Parcial · Inst. 2 pendiente</v>
      </c>
      <c r="U92" s="53">
        <v>1</v>
      </c>
      <c r="V92" t="s">
        <v>69</v>
      </c>
      <c r="W92">
        <f>IF(NORMALIZADO!BV92="",1,NORMALIZADO!BV92)</f>
        <v>1</v>
      </c>
      <c r="X92">
        <f>IF(NORMALIZADO!BW92="",0,NORMALIZADO!BW92)</f>
        <v>0</v>
      </c>
      <c r="Y92">
        <f>IF(NORMALIZADO!BX92="",0,NORMALIZADO!BX92)</f>
        <v>0</v>
      </c>
      <c r="Z92">
        <f>IF(NORMALIZADO!BY92="",0,NORMALIZADO!BY92)</f>
        <v>0</v>
      </c>
      <c r="AO92" t="str">
        <f t="shared" si="10"/>
        <v>N/A</v>
      </c>
      <c r="AP92">
        <f>IFERROR((IF(ISNUMBER(M92),M92/100*PONDERADORES!$D$12,0)+IF(ISNUMBER(SCORECARDS!H92),SCORECARDS!H92/100*PONDERADORES!$D$13,0)+IF(ISNUMBER(SCORECARDS!I92),SCORECARDS!I92/100*PONDERADORES!$D$14,0)+IF(ISNUMBER(SCORECARDS!J92),SCORECARDS!J92/100*PONDERADORES!$D$15,0)+IF(ISNUMBER(ISCAM_Score!K93),ISCAM_Score!K93/100*PONDERADORES!$D$16,0)+IF(ISNUMBER(O92),O92*PONDERADORES!$D$17,0)+IF(ISNUMBER(AVERAGE(W92:Z92)),AVERAGE(W92:Z92)/2*PONDERADORES!$D$19,0))/(IF(ISNUMBER(M92),PONDERADORES!$D$12,0)+IF(ISNUMBER(SCORECARDS!H92),PONDERADORES!$D$13,0)+IF(ISNUMBER(SCORECARDS!I92),PONDERADORES!$D$14,0)+IF(ISNUMBER(SCORECARDS!J92),PONDERADORES!$D$15,0)+IF(ISNUMBER(ISCAM_Score!K93),PONDERADORES!$D$16,0)+IF(ISNUMBER(O92),PONDERADORES!$D$17,0)+IF(ISNUMBER(AVERAGE(W92:Z92)),PONDERADORES!$D$19,0)),"N/A")</f>
        <v>0.3125</v>
      </c>
      <c r="AQ92">
        <f>IF(ISNUMBER(M92),1,0)+IF(ISNUMBER(SCORECARDS!H92),1,0)+IF(ISNUMBER(SCORECARDS!I92),1,0)+IF(ISNUMBER(SCORECARDS!J92),1,0)+IF(ISNUMBER(ISCAM_Score!K93),1,0)+IF(ISNUMBER(O92),1,0)+IF(COUNT(W92:Z92)&gt;0,1,0)</f>
        <v>2</v>
      </c>
    </row>
    <row r="93" spans="1:43" ht="16.05" customHeight="1" x14ac:dyDescent="0.3">
      <c r="A93" t="s">
        <v>270</v>
      </c>
      <c r="B93" t="s">
        <v>271</v>
      </c>
      <c r="C93" t="s">
        <v>139</v>
      </c>
      <c r="G93" t="s">
        <v>74</v>
      </c>
      <c r="J93" t="s">
        <v>67</v>
      </c>
      <c r="M93" t="str">
        <f t="shared" si="11"/>
        <v/>
      </c>
      <c r="N93" t="s">
        <v>68</v>
      </c>
      <c r="O93" t="str">
        <f t="shared" si="12"/>
        <v/>
      </c>
      <c r="P93" t="s">
        <v>68</v>
      </c>
      <c r="S93">
        <f t="shared" si="8"/>
        <v>0</v>
      </c>
      <c r="T93" t="str">
        <f t="shared" si="9"/>
        <v>⬜  Parcial · Inst. 2 pendiente</v>
      </c>
      <c r="U93" s="53">
        <v>1</v>
      </c>
      <c r="V93" t="s">
        <v>69</v>
      </c>
      <c r="W93">
        <f>IF(NORMALIZADO!BV93="",0,NORMALIZADO!BV93)</f>
        <v>0</v>
      </c>
      <c r="X93">
        <f>IF(NORMALIZADO!BW93="",0,NORMALIZADO!BW93)</f>
        <v>0</v>
      </c>
      <c r="Y93">
        <f>IF(NORMALIZADO!BX93="",0,NORMALIZADO!BX93)</f>
        <v>0</v>
      </c>
      <c r="Z93">
        <f>IF(NORMALIZADO!BY93="",0,NORMALIZADO!BY93)</f>
        <v>0</v>
      </c>
      <c r="AO93" t="str">
        <f t="shared" si="10"/>
        <v>N/A</v>
      </c>
      <c r="AP93">
        <f>IFERROR((IF(ISNUMBER(M93),M93/100*PONDERADORES!$D$12,0)+IF(ISNUMBER(SCORECARDS!H93),SCORECARDS!H93/100*PONDERADORES!$D$13,0)+IF(ISNUMBER(SCORECARDS!I93),SCORECARDS!I93/100*PONDERADORES!$D$14,0)+IF(ISNUMBER(SCORECARDS!J93),SCORECARDS!J93/100*PONDERADORES!$D$15,0)+IF(ISNUMBER(ISCAM_Score!K94),ISCAM_Score!K94/100*PONDERADORES!$D$16,0)+IF(ISNUMBER(O93),O93*PONDERADORES!$D$17,0)+IF(ISNUMBER(AVERAGE(W93:Z93)),AVERAGE(W93:Z93)/2*PONDERADORES!$D$19,0))/(IF(ISNUMBER(M93),PONDERADORES!$D$12,0)+IF(ISNUMBER(SCORECARDS!H93),PONDERADORES!$D$13,0)+IF(ISNUMBER(SCORECARDS!I93),PONDERADORES!$D$14,0)+IF(ISNUMBER(SCORECARDS!J93),PONDERADORES!$D$15,0)+IF(ISNUMBER(ISCAM_Score!K94),PONDERADORES!$D$16,0)+IF(ISNUMBER(O93),PONDERADORES!$D$17,0)+IF(ISNUMBER(AVERAGE(W93:Z93)),PONDERADORES!$D$19,0)),"N/A")</f>
        <v>0</v>
      </c>
      <c r="AQ93">
        <f>IF(ISNUMBER(M93),1,0)+IF(ISNUMBER(SCORECARDS!H93),1,0)+IF(ISNUMBER(SCORECARDS!I93),1,0)+IF(ISNUMBER(SCORECARDS!J93),1,0)+IF(ISNUMBER(ISCAM_Score!K94),1,0)+IF(ISNUMBER(O93),1,0)+IF(COUNT(W93:Z93)&gt;0,1,0)</f>
        <v>1</v>
      </c>
    </row>
    <row r="94" spans="1:43" ht="16.05" customHeight="1" x14ac:dyDescent="0.3">
      <c r="A94" t="s">
        <v>272</v>
      </c>
      <c r="B94" t="s">
        <v>273</v>
      </c>
      <c r="C94" t="s">
        <v>139</v>
      </c>
      <c r="E94">
        <v>3777944.83</v>
      </c>
      <c r="F94">
        <v>14</v>
      </c>
      <c r="G94" t="s">
        <v>66</v>
      </c>
      <c r="J94" t="s">
        <v>67</v>
      </c>
      <c r="L94">
        <v>1888972.42</v>
      </c>
      <c r="M94">
        <f t="shared" si="11"/>
        <v>50</v>
      </c>
      <c r="N94" t="s">
        <v>68</v>
      </c>
      <c r="O94" t="str">
        <f t="shared" si="12"/>
        <v/>
      </c>
      <c r="P94" t="s">
        <v>68</v>
      </c>
      <c r="S94">
        <f t="shared" si="8"/>
        <v>31.3</v>
      </c>
      <c r="T94" t="str">
        <f t="shared" si="9"/>
        <v>⬜  Parcial · Inst. 2 pendiente</v>
      </c>
      <c r="U94" s="53">
        <v>1</v>
      </c>
      <c r="V94" t="s">
        <v>69</v>
      </c>
      <c r="W94">
        <f>IF(NORMALIZADO!BV94="",1,NORMALIZADO!BV94)</f>
        <v>1</v>
      </c>
      <c r="X94">
        <f>IF(NORMALIZADO!BW94="",0,NORMALIZADO!BW94)</f>
        <v>0</v>
      </c>
      <c r="Y94">
        <f>IF(NORMALIZADO!BX94="",0,NORMALIZADO!BX94)</f>
        <v>0</v>
      </c>
      <c r="Z94">
        <f>IF(NORMALIZADO!BY94="",0,NORMALIZADO!BY94)</f>
        <v>0</v>
      </c>
      <c r="AO94" t="str">
        <f t="shared" si="10"/>
        <v>N/A</v>
      </c>
      <c r="AP94">
        <f>IFERROR((IF(ISNUMBER(M94),M94/100*PONDERADORES!$D$12,0)+IF(ISNUMBER(SCORECARDS!H94),SCORECARDS!H94/100*PONDERADORES!$D$13,0)+IF(ISNUMBER(SCORECARDS!I94),SCORECARDS!I94/100*PONDERADORES!$D$14,0)+IF(ISNUMBER(SCORECARDS!J94),SCORECARDS!J94/100*PONDERADORES!$D$15,0)+IF(ISNUMBER(ISCAM_Score!K95),ISCAM_Score!K95/100*PONDERADORES!$D$16,0)+IF(ISNUMBER(O94),O94*PONDERADORES!$D$17,0)+IF(ISNUMBER(AVERAGE(W94:Z94)),AVERAGE(W94:Z94)/2*PONDERADORES!$D$19,0))/(IF(ISNUMBER(M94),PONDERADORES!$D$12,0)+IF(ISNUMBER(SCORECARDS!H94),PONDERADORES!$D$13,0)+IF(ISNUMBER(SCORECARDS!I94),PONDERADORES!$D$14,0)+IF(ISNUMBER(SCORECARDS!J94),PONDERADORES!$D$15,0)+IF(ISNUMBER(ISCAM_Score!K95),PONDERADORES!$D$16,0)+IF(ISNUMBER(O94),PONDERADORES!$D$17,0)+IF(ISNUMBER(AVERAGE(W94:Z94)),PONDERADORES!$D$19,0)),"N/A")</f>
        <v>0.3125</v>
      </c>
      <c r="AQ94">
        <f>IF(ISNUMBER(M94),1,0)+IF(ISNUMBER(SCORECARDS!H94),1,0)+IF(ISNUMBER(SCORECARDS!I94),1,0)+IF(ISNUMBER(SCORECARDS!J94),1,0)+IF(ISNUMBER(ISCAM_Score!K95),1,0)+IF(ISNUMBER(O94),1,0)+IF(COUNT(W94:Z94)&gt;0,1,0)</f>
        <v>2</v>
      </c>
    </row>
    <row r="95" spans="1:43" ht="16.05" customHeight="1" x14ac:dyDescent="0.3">
      <c r="A95" t="s">
        <v>274</v>
      </c>
      <c r="B95" t="s">
        <v>275</v>
      </c>
      <c r="C95" t="s">
        <v>119</v>
      </c>
      <c r="D95" t="s">
        <v>73</v>
      </c>
      <c r="G95" t="s">
        <v>74</v>
      </c>
      <c r="J95" t="s">
        <v>67</v>
      </c>
      <c r="M95" t="str">
        <f t="shared" si="11"/>
        <v/>
      </c>
      <c r="N95" t="s">
        <v>68</v>
      </c>
      <c r="O95" t="str">
        <f t="shared" si="12"/>
        <v/>
      </c>
      <c r="P95" t="s">
        <v>68</v>
      </c>
      <c r="S95">
        <f t="shared" si="8"/>
        <v>0</v>
      </c>
      <c r="T95" t="str">
        <f t="shared" si="9"/>
        <v>⬜  Parcial · Inst. 2 pendiente</v>
      </c>
      <c r="U95" s="53">
        <v>1</v>
      </c>
      <c r="V95" t="s">
        <v>69</v>
      </c>
      <c r="W95">
        <f>IF(NORMALIZADO!BV95="",0,NORMALIZADO!BV95)</f>
        <v>0</v>
      </c>
      <c r="X95">
        <f>IF(NORMALIZADO!BW95="",0,NORMALIZADO!BW95)</f>
        <v>0</v>
      </c>
      <c r="Y95">
        <f>IF(NORMALIZADO!BX95="",0,NORMALIZADO!BX95)</f>
        <v>0</v>
      </c>
      <c r="Z95">
        <f>IF(NORMALIZADO!BY95="",0,NORMALIZADO!BY95)</f>
        <v>0</v>
      </c>
      <c r="AO95" t="str">
        <f t="shared" si="10"/>
        <v>N/A</v>
      </c>
      <c r="AP95">
        <f>IFERROR((IF(ISNUMBER(M95),M95/100*PONDERADORES!$D$12,0)+IF(ISNUMBER(SCORECARDS!H95),SCORECARDS!H95/100*PONDERADORES!$D$13,0)+IF(ISNUMBER(SCORECARDS!I95),SCORECARDS!I95/100*PONDERADORES!$D$14,0)+IF(ISNUMBER(SCORECARDS!J95),SCORECARDS!J95/100*PONDERADORES!$D$15,0)+IF(ISNUMBER(ISCAM_Score!K96),ISCAM_Score!K96/100*PONDERADORES!$D$16,0)+IF(ISNUMBER(O95),O95*PONDERADORES!$D$17,0)+IF(ISNUMBER(AVERAGE(W95:Z95)),AVERAGE(W95:Z95)/2*PONDERADORES!$D$19,0))/(IF(ISNUMBER(M95),PONDERADORES!$D$12,0)+IF(ISNUMBER(SCORECARDS!H95),PONDERADORES!$D$13,0)+IF(ISNUMBER(SCORECARDS!I95),PONDERADORES!$D$14,0)+IF(ISNUMBER(SCORECARDS!J95),PONDERADORES!$D$15,0)+IF(ISNUMBER(ISCAM_Score!K96),PONDERADORES!$D$16,0)+IF(ISNUMBER(O95),PONDERADORES!$D$17,0)+IF(ISNUMBER(AVERAGE(W95:Z95)),PONDERADORES!$D$19,0)),"N/A")</f>
        <v>0</v>
      </c>
      <c r="AQ95">
        <f>IF(ISNUMBER(M95),1,0)+IF(ISNUMBER(SCORECARDS!H95),1,0)+IF(ISNUMBER(SCORECARDS!I95),1,0)+IF(ISNUMBER(SCORECARDS!J95),1,0)+IF(ISNUMBER(ISCAM_Score!K96),1,0)+IF(ISNUMBER(O95),1,0)+IF(COUNT(W95:Z95)&gt;0,1,0)</f>
        <v>1</v>
      </c>
    </row>
    <row r="96" spans="1:43" ht="16.05" customHeight="1" x14ac:dyDescent="0.3">
      <c r="A96" t="s">
        <v>276</v>
      </c>
      <c r="B96" t="s">
        <v>277</v>
      </c>
      <c r="C96" t="s">
        <v>119</v>
      </c>
      <c r="D96" t="s">
        <v>73</v>
      </c>
      <c r="G96" t="s">
        <v>74</v>
      </c>
      <c r="J96" t="s">
        <v>67</v>
      </c>
      <c r="M96" t="str">
        <f t="shared" si="11"/>
        <v/>
      </c>
      <c r="N96" t="s">
        <v>68</v>
      </c>
      <c r="O96" t="str">
        <f t="shared" si="12"/>
        <v/>
      </c>
      <c r="P96" t="s">
        <v>68</v>
      </c>
      <c r="S96">
        <f t="shared" si="8"/>
        <v>0</v>
      </c>
      <c r="T96" t="str">
        <f t="shared" si="9"/>
        <v>⬜  Parcial · Inst. 2 pendiente</v>
      </c>
      <c r="U96" s="53">
        <v>1</v>
      </c>
      <c r="V96" t="s">
        <v>69</v>
      </c>
      <c r="W96">
        <f>IF(NORMALIZADO!BV96="",0,NORMALIZADO!BV96)</f>
        <v>0</v>
      </c>
      <c r="X96">
        <f>IF(NORMALIZADO!BW96="",0,NORMALIZADO!BW96)</f>
        <v>0</v>
      </c>
      <c r="Y96">
        <f>IF(NORMALIZADO!BX96="",0,NORMALIZADO!BX96)</f>
        <v>0</v>
      </c>
      <c r="Z96">
        <f>IF(NORMALIZADO!BY96="",0,NORMALIZADO!BY96)</f>
        <v>0</v>
      </c>
      <c r="AO96" t="str">
        <f t="shared" si="10"/>
        <v>N/A</v>
      </c>
      <c r="AP96">
        <f>IFERROR((IF(ISNUMBER(M96),M96/100*PONDERADORES!$D$12,0)+IF(ISNUMBER(SCORECARDS!H96),SCORECARDS!H96/100*PONDERADORES!$D$13,0)+IF(ISNUMBER(SCORECARDS!I96),SCORECARDS!I96/100*PONDERADORES!$D$14,0)+IF(ISNUMBER(SCORECARDS!J96),SCORECARDS!J96/100*PONDERADORES!$D$15,0)+IF(ISNUMBER(ISCAM_Score!K97),ISCAM_Score!K97/100*PONDERADORES!$D$16,0)+IF(ISNUMBER(O96),O96*PONDERADORES!$D$17,0)+IF(ISNUMBER(AVERAGE(W96:Z96)),AVERAGE(W96:Z96)/2*PONDERADORES!$D$19,0))/(IF(ISNUMBER(M96),PONDERADORES!$D$12,0)+IF(ISNUMBER(SCORECARDS!H96),PONDERADORES!$D$13,0)+IF(ISNUMBER(SCORECARDS!I96),PONDERADORES!$D$14,0)+IF(ISNUMBER(SCORECARDS!J96),PONDERADORES!$D$15,0)+IF(ISNUMBER(ISCAM_Score!K97),PONDERADORES!$D$16,0)+IF(ISNUMBER(O96),PONDERADORES!$D$17,0)+IF(ISNUMBER(AVERAGE(W96:Z96)),PONDERADORES!$D$19,0)),"N/A")</f>
        <v>0</v>
      </c>
      <c r="AQ96">
        <f>IF(ISNUMBER(M96),1,0)+IF(ISNUMBER(SCORECARDS!H96),1,0)+IF(ISNUMBER(SCORECARDS!I96),1,0)+IF(ISNUMBER(SCORECARDS!J96),1,0)+IF(ISNUMBER(ISCAM_Score!K97),1,0)+IF(ISNUMBER(O96),1,0)+IF(COUNT(W96:Z96)&gt;0,1,0)</f>
        <v>1</v>
      </c>
    </row>
    <row r="97" spans="1:45" ht="16.05" customHeight="1" x14ac:dyDescent="0.3">
      <c r="A97" t="s">
        <v>278</v>
      </c>
      <c r="B97" t="s">
        <v>279</v>
      </c>
      <c r="C97" t="s">
        <v>119</v>
      </c>
      <c r="D97" t="s">
        <v>73</v>
      </c>
      <c r="G97" t="s">
        <v>74</v>
      </c>
      <c r="J97" t="s">
        <v>124</v>
      </c>
      <c r="M97" t="str">
        <f t="shared" si="11"/>
        <v/>
      </c>
      <c r="N97" t="s">
        <v>68</v>
      </c>
      <c r="O97" t="str">
        <f t="shared" si="12"/>
        <v/>
      </c>
      <c r="P97" t="s">
        <v>68</v>
      </c>
      <c r="S97">
        <f t="shared" si="8"/>
        <v>0</v>
      </c>
      <c r="T97" t="str">
        <f t="shared" si="9"/>
        <v>⬜  Parcial · Inst. 2 pendiente</v>
      </c>
      <c r="U97" s="53">
        <v>1</v>
      </c>
      <c r="V97" t="s">
        <v>69</v>
      </c>
      <c r="W97">
        <f>IF(NORMALIZADO!BV97="",0,NORMALIZADO!BV97)</f>
        <v>0</v>
      </c>
      <c r="X97">
        <f>IF(NORMALIZADO!BW97="",0,NORMALIZADO!BW97)</f>
        <v>0</v>
      </c>
      <c r="Y97">
        <f>IF(NORMALIZADO!BX97="",0,NORMALIZADO!BX97)</f>
        <v>0</v>
      </c>
      <c r="Z97">
        <f>IF(NORMALIZADO!BY97="",0,NORMALIZADO!BY97)</f>
        <v>0</v>
      </c>
      <c r="AO97" t="str">
        <f t="shared" si="10"/>
        <v>N/A</v>
      </c>
      <c r="AP97">
        <f>IFERROR((IF(ISNUMBER(M97),M97/100*PONDERADORES!$D$12,0)+IF(ISNUMBER(SCORECARDS!H97),SCORECARDS!H97/100*PONDERADORES!$D$13,0)+IF(ISNUMBER(SCORECARDS!I97),SCORECARDS!I97/100*PONDERADORES!$D$14,0)+IF(ISNUMBER(SCORECARDS!J97),SCORECARDS!J97/100*PONDERADORES!$D$15,0)+IF(ISNUMBER(ISCAM_Score!K98),ISCAM_Score!K98/100*PONDERADORES!$D$16,0)+IF(ISNUMBER(O97),O97*PONDERADORES!$D$17,0)+IF(ISNUMBER(AVERAGE(W97:Z97)),AVERAGE(W97:Z97)/2*PONDERADORES!$D$19,0))/(IF(ISNUMBER(M97),PONDERADORES!$D$12,0)+IF(ISNUMBER(SCORECARDS!H97),PONDERADORES!$D$13,0)+IF(ISNUMBER(SCORECARDS!I97),PONDERADORES!$D$14,0)+IF(ISNUMBER(SCORECARDS!J97),PONDERADORES!$D$15,0)+IF(ISNUMBER(ISCAM_Score!K98),PONDERADORES!$D$16,0)+IF(ISNUMBER(O97),PONDERADORES!$D$17,0)+IF(ISNUMBER(AVERAGE(W97:Z97)),PONDERADORES!$D$19,0)),"N/A")</f>
        <v>0</v>
      </c>
      <c r="AQ97">
        <f>IF(ISNUMBER(M97),1,0)+IF(ISNUMBER(SCORECARDS!H97),1,0)+IF(ISNUMBER(SCORECARDS!I97),1,0)+IF(ISNUMBER(SCORECARDS!J97),1,0)+IF(ISNUMBER(ISCAM_Score!K98),1,0)+IF(ISNUMBER(O97),1,0)+IF(COUNT(W97:Z97)&gt;0,1,0)</f>
        <v>1</v>
      </c>
    </row>
    <row r="98" spans="1:45" ht="16.05" customHeight="1" x14ac:dyDescent="0.3">
      <c r="A98" t="s">
        <v>280</v>
      </c>
      <c r="B98" t="s">
        <v>281</v>
      </c>
      <c r="C98" t="s">
        <v>119</v>
      </c>
      <c r="D98" t="s">
        <v>73</v>
      </c>
      <c r="G98" t="s">
        <v>74</v>
      </c>
      <c r="J98" t="s">
        <v>67</v>
      </c>
      <c r="M98" t="str">
        <f t="shared" si="11"/>
        <v/>
      </c>
      <c r="N98" t="s">
        <v>68</v>
      </c>
      <c r="O98" t="str">
        <f t="shared" si="12"/>
        <v/>
      </c>
      <c r="P98" t="s">
        <v>68</v>
      </c>
      <c r="S98">
        <f t="shared" si="8"/>
        <v>0</v>
      </c>
      <c r="T98" t="str">
        <f t="shared" si="9"/>
        <v>⬜  Parcial · Inst. 2 pendiente</v>
      </c>
      <c r="U98" s="53">
        <v>1</v>
      </c>
      <c r="V98" t="s">
        <v>69</v>
      </c>
      <c r="W98">
        <f>IF(NORMALIZADO!BV98="",0,NORMALIZADO!BV98)</f>
        <v>0</v>
      </c>
      <c r="X98">
        <f>IF(NORMALIZADO!BW98="",0,NORMALIZADO!BW98)</f>
        <v>0</v>
      </c>
      <c r="Y98">
        <f>IF(NORMALIZADO!BX98="",0,NORMALIZADO!BX98)</f>
        <v>0</v>
      </c>
      <c r="Z98">
        <f>IF(NORMALIZADO!BY98="",0,NORMALIZADO!BY98)</f>
        <v>0</v>
      </c>
      <c r="AO98" t="str">
        <f t="shared" si="10"/>
        <v>N/A</v>
      </c>
      <c r="AP98">
        <f>IFERROR((IF(ISNUMBER(M98),M98/100*PONDERADORES!$D$12,0)+IF(ISNUMBER(SCORECARDS!H98),SCORECARDS!H98/100*PONDERADORES!$D$13,0)+IF(ISNUMBER(SCORECARDS!I98),SCORECARDS!I98/100*PONDERADORES!$D$14,0)+IF(ISNUMBER(SCORECARDS!J98),SCORECARDS!J98/100*PONDERADORES!$D$15,0)+IF(ISNUMBER(ISCAM_Score!K99),ISCAM_Score!K99/100*PONDERADORES!$D$16,0)+IF(ISNUMBER(O98),O98*PONDERADORES!$D$17,0)+IF(ISNUMBER(AVERAGE(W98:Z98)),AVERAGE(W98:Z98)/2*PONDERADORES!$D$19,0))/(IF(ISNUMBER(M98),PONDERADORES!$D$12,0)+IF(ISNUMBER(SCORECARDS!H98),PONDERADORES!$D$13,0)+IF(ISNUMBER(SCORECARDS!I98),PONDERADORES!$D$14,0)+IF(ISNUMBER(SCORECARDS!J98),PONDERADORES!$D$15,0)+IF(ISNUMBER(ISCAM_Score!K99),PONDERADORES!$D$16,0)+IF(ISNUMBER(O98),PONDERADORES!$D$17,0)+IF(ISNUMBER(AVERAGE(W98:Z98)),PONDERADORES!$D$19,0)),"N/A")</f>
        <v>0</v>
      </c>
      <c r="AQ98">
        <f>IF(ISNUMBER(M98),1,0)+IF(ISNUMBER(SCORECARDS!H98),1,0)+IF(ISNUMBER(SCORECARDS!I98),1,0)+IF(ISNUMBER(SCORECARDS!J98),1,0)+IF(ISNUMBER(ISCAM_Score!K99),1,0)+IF(ISNUMBER(O98),1,0)+IF(COUNT(W98:Z98)&gt;0,1,0)</f>
        <v>1</v>
      </c>
    </row>
    <row r="99" spans="1:45" ht="16.05" customHeight="1" x14ac:dyDescent="0.3">
      <c r="A99" t="s">
        <v>282</v>
      </c>
      <c r="B99" t="s">
        <v>283</v>
      </c>
      <c r="C99" t="s">
        <v>119</v>
      </c>
      <c r="D99" t="s">
        <v>284</v>
      </c>
      <c r="G99" t="s">
        <v>74</v>
      </c>
      <c r="J99" t="s">
        <v>124</v>
      </c>
      <c r="M99" t="str">
        <f t="shared" si="11"/>
        <v/>
      </c>
      <c r="N99" t="s">
        <v>68</v>
      </c>
      <c r="O99" t="str">
        <f t="shared" si="12"/>
        <v/>
      </c>
      <c r="P99" t="s">
        <v>68</v>
      </c>
      <c r="S99">
        <f t="shared" ref="S99:S130" si="13">IFERROR(ROUND(AP99*100,1),"N/A")</f>
        <v>0</v>
      </c>
      <c r="T99" t="str">
        <f t="shared" ref="T99:T130" si="14">IF(NOT(ISNUMBER(S99)),"—",IF(AQ99&lt;6,"⬜  Parcial · Inst. 2 pendiente",IF(S99&lt;34,"🔴 Crítico",IF(S99&lt;67,"🟡 Vulnerable","🟢 Preparado"))))</f>
        <v>⬜  Parcial · Inst. 2 pendiente</v>
      </c>
      <c r="U99" s="53">
        <v>1</v>
      </c>
      <c r="V99" t="s">
        <v>69</v>
      </c>
      <c r="W99">
        <f>IF(NORMALIZADO!BV99="",0,NORMALIZADO!BV99)</f>
        <v>0</v>
      </c>
      <c r="X99">
        <f>IF(NORMALIZADO!BW99="",0,NORMALIZADO!BW99)</f>
        <v>0</v>
      </c>
      <c r="Y99">
        <f>IF(NORMALIZADO!BX99="",0,NORMALIZADO!BX99)</f>
        <v>0</v>
      </c>
      <c r="Z99">
        <f>IF(NORMALIZADO!BY99="",0,NORMALIZADO!BY99)</f>
        <v>0</v>
      </c>
      <c r="AO99" t="str">
        <f t="shared" ref="AO99:AO130" si="15">IFERROR(AVERAGE(AA99,AB99,AC99,AD99,AE99,AF99,AG99,AH99,AI99,AJ99,AK99,AL99,AM99,AN99),"N/A")</f>
        <v>N/A</v>
      </c>
      <c r="AP99">
        <f>IFERROR((IF(ISNUMBER(M99),M99/100*PONDERADORES!$D$12,0)+IF(ISNUMBER(SCORECARDS!H99),SCORECARDS!H99/100*PONDERADORES!$D$13,0)+IF(ISNUMBER(SCORECARDS!I99),SCORECARDS!I99/100*PONDERADORES!$D$14,0)+IF(ISNUMBER(SCORECARDS!J99),SCORECARDS!J99/100*PONDERADORES!$D$15,0)+IF(ISNUMBER(ISCAM_Score!K100),ISCAM_Score!K100/100*PONDERADORES!$D$16,0)+IF(ISNUMBER(O99),O99*PONDERADORES!$D$17,0)+IF(ISNUMBER(AVERAGE(W99:Z99)),AVERAGE(W99:Z99)/2*PONDERADORES!$D$19,0))/(IF(ISNUMBER(M99),PONDERADORES!$D$12,0)+IF(ISNUMBER(SCORECARDS!H99),PONDERADORES!$D$13,0)+IF(ISNUMBER(SCORECARDS!I99),PONDERADORES!$D$14,0)+IF(ISNUMBER(SCORECARDS!J99),PONDERADORES!$D$15,0)+IF(ISNUMBER(ISCAM_Score!K100),PONDERADORES!$D$16,0)+IF(ISNUMBER(O99),PONDERADORES!$D$17,0)+IF(ISNUMBER(AVERAGE(W99:Z99)),PONDERADORES!$D$19,0)),"N/A")</f>
        <v>0</v>
      </c>
      <c r="AQ99">
        <f>IF(ISNUMBER(M99),1,0)+IF(ISNUMBER(SCORECARDS!H99),1,0)+IF(ISNUMBER(SCORECARDS!I99),1,0)+IF(ISNUMBER(SCORECARDS!J99),1,0)+IF(ISNUMBER(ISCAM_Score!K100),1,0)+IF(ISNUMBER(O99),1,0)+IF(COUNT(W99:Z99)&gt;0,1,0)</f>
        <v>1</v>
      </c>
    </row>
    <row r="100" spans="1:45" ht="16.05" customHeight="1" x14ac:dyDescent="0.3">
      <c r="A100" t="s">
        <v>285</v>
      </c>
      <c r="B100" t="s">
        <v>286</v>
      </c>
      <c r="C100" t="s">
        <v>80</v>
      </c>
      <c r="D100" t="s">
        <v>73</v>
      </c>
      <c r="G100" t="s">
        <v>74</v>
      </c>
      <c r="J100" t="s">
        <v>67</v>
      </c>
      <c r="M100" t="str">
        <f t="shared" si="11"/>
        <v/>
      </c>
      <c r="N100" t="s">
        <v>68</v>
      </c>
      <c r="O100" t="str">
        <f t="shared" si="12"/>
        <v/>
      </c>
      <c r="P100" t="s">
        <v>68</v>
      </c>
      <c r="S100">
        <f t="shared" si="13"/>
        <v>0</v>
      </c>
      <c r="T100" t="str">
        <f t="shared" si="14"/>
        <v>⬜  Parcial · Inst. 2 pendiente</v>
      </c>
      <c r="U100" s="53">
        <v>1</v>
      </c>
      <c r="V100" t="s">
        <v>69</v>
      </c>
      <c r="W100">
        <f>IF(NORMALIZADO!BV100="",0,NORMALIZADO!BV100)</f>
        <v>0</v>
      </c>
      <c r="X100">
        <f>IF(NORMALIZADO!BW100="",0,NORMALIZADO!BW100)</f>
        <v>0</v>
      </c>
      <c r="Y100">
        <f>IF(NORMALIZADO!BX100="",0,NORMALIZADO!BX100)</f>
        <v>0</v>
      </c>
      <c r="Z100">
        <f>IF(NORMALIZADO!BY100="",0,NORMALIZADO!BY100)</f>
        <v>0</v>
      </c>
      <c r="AO100" t="str">
        <f t="shared" si="15"/>
        <v>N/A</v>
      </c>
      <c r="AP100">
        <f>IFERROR((IF(ISNUMBER(M100),M100/100*PONDERADORES!$D$12,0)+IF(ISNUMBER(SCORECARDS!H100),SCORECARDS!H100/100*PONDERADORES!$D$13,0)+IF(ISNUMBER(SCORECARDS!I100),SCORECARDS!I100/100*PONDERADORES!$D$14,0)+IF(ISNUMBER(SCORECARDS!J100),SCORECARDS!J100/100*PONDERADORES!$D$15,0)+IF(ISNUMBER(ISCAM_Score!K101),ISCAM_Score!K101/100*PONDERADORES!$D$16,0)+IF(ISNUMBER(O100),O100*PONDERADORES!$D$17,0)+IF(ISNUMBER(AVERAGE(W100:Z100)),AVERAGE(W100:Z100)/2*PONDERADORES!$D$19,0))/(IF(ISNUMBER(M100),PONDERADORES!$D$12,0)+IF(ISNUMBER(SCORECARDS!H100),PONDERADORES!$D$13,0)+IF(ISNUMBER(SCORECARDS!I100),PONDERADORES!$D$14,0)+IF(ISNUMBER(SCORECARDS!J100),PONDERADORES!$D$15,0)+IF(ISNUMBER(ISCAM_Score!K101),PONDERADORES!$D$16,0)+IF(ISNUMBER(O100),PONDERADORES!$D$17,0)+IF(ISNUMBER(AVERAGE(W100:Z100)),PONDERADORES!$D$19,0)),"N/A")</f>
        <v>0</v>
      </c>
      <c r="AQ100">
        <f>IF(ISNUMBER(M100),1,0)+IF(ISNUMBER(SCORECARDS!H100),1,0)+IF(ISNUMBER(SCORECARDS!I100),1,0)+IF(ISNUMBER(SCORECARDS!J100),1,0)+IF(ISNUMBER(ISCAM_Score!K101),1,0)+IF(ISNUMBER(O100),1,0)+IF(COUNT(W100:Z100)&gt;0,1,0)</f>
        <v>1</v>
      </c>
    </row>
    <row r="101" spans="1:45" ht="16.05" customHeight="1" x14ac:dyDescent="0.3">
      <c r="A101" t="s">
        <v>287</v>
      </c>
      <c r="B101" t="s">
        <v>288</v>
      </c>
      <c r="C101" t="s">
        <v>112</v>
      </c>
      <c r="D101" t="s">
        <v>65</v>
      </c>
      <c r="G101" t="s">
        <v>74</v>
      </c>
      <c r="J101" t="s">
        <v>67</v>
      </c>
      <c r="M101" t="str">
        <f t="shared" si="11"/>
        <v/>
      </c>
      <c r="N101" t="s">
        <v>68</v>
      </c>
      <c r="O101" t="str">
        <f t="shared" si="12"/>
        <v/>
      </c>
      <c r="P101" t="s">
        <v>68</v>
      </c>
      <c r="S101">
        <f t="shared" si="13"/>
        <v>0</v>
      </c>
      <c r="T101" t="str">
        <f t="shared" si="14"/>
        <v>⬜  Parcial · Inst. 2 pendiente</v>
      </c>
      <c r="U101" s="53">
        <v>1</v>
      </c>
      <c r="V101" t="s">
        <v>69</v>
      </c>
      <c r="W101">
        <f>IF(NORMALIZADO!BV101="",0,NORMALIZADO!BV101)</f>
        <v>0</v>
      </c>
      <c r="X101">
        <f>IF(NORMALIZADO!BW101="",0,NORMALIZADO!BW101)</f>
        <v>0</v>
      </c>
      <c r="Y101">
        <f>IF(NORMALIZADO!BX101="",0,NORMALIZADO!BX101)</f>
        <v>0</v>
      </c>
      <c r="Z101">
        <f>IF(NORMALIZADO!BY101="",0,NORMALIZADO!BY101)</f>
        <v>0</v>
      </c>
      <c r="AO101" t="str">
        <f t="shared" si="15"/>
        <v>N/A</v>
      </c>
      <c r="AP101">
        <f>IFERROR((IF(ISNUMBER(M101),M101/100*PONDERADORES!$D$12,0)+IF(ISNUMBER(SCORECARDS!H101),SCORECARDS!H101/100*PONDERADORES!$D$13,0)+IF(ISNUMBER(SCORECARDS!I101),SCORECARDS!I101/100*PONDERADORES!$D$14,0)+IF(ISNUMBER(SCORECARDS!J101),SCORECARDS!J101/100*PONDERADORES!$D$15,0)+IF(ISNUMBER(ISCAM_Score!K102),ISCAM_Score!K102/100*PONDERADORES!$D$16,0)+IF(ISNUMBER(O101),O101*PONDERADORES!$D$17,0)+IF(ISNUMBER(AVERAGE(W101:Z101)),AVERAGE(W101:Z101)/2*PONDERADORES!$D$19,0))/(IF(ISNUMBER(M101),PONDERADORES!$D$12,0)+IF(ISNUMBER(SCORECARDS!H101),PONDERADORES!$D$13,0)+IF(ISNUMBER(SCORECARDS!I101),PONDERADORES!$D$14,0)+IF(ISNUMBER(SCORECARDS!J101),PONDERADORES!$D$15,0)+IF(ISNUMBER(ISCAM_Score!K102),PONDERADORES!$D$16,0)+IF(ISNUMBER(O101),PONDERADORES!$D$17,0)+IF(ISNUMBER(AVERAGE(W101:Z101)),PONDERADORES!$D$19,0)),"N/A")</f>
        <v>0</v>
      </c>
      <c r="AQ101">
        <f>IF(ISNUMBER(M101),1,0)+IF(ISNUMBER(SCORECARDS!H101),1,0)+IF(ISNUMBER(SCORECARDS!I101),1,0)+IF(ISNUMBER(SCORECARDS!J101),1,0)+IF(ISNUMBER(ISCAM_Score!K102),1,0)+IF(ISNUMBER(O101),1,0)+IF(COUNT(W101:Z101)&gt;0,1,0)</f>
        <v>1</v>
      </c>
    </row>
    <row r="102" spans="1:45" ht="16.05" customHeight="1" x14ac:dyDescent="0.3">
      <c r="A102" t="s">
        <v>289</v>
      </c>
      <c r="B102" t="s">
        <v>290</v>
      </c>
      <c r="C102" t="s">
        <v>119</v>
      </c>
      <c r="D102" t="s">
        <v>73</v>
      </c>
      <c r="G102" t="s">
        <v>74</v>
      </c>
      <c r="J102" t="s">
        <v>67</v>
      </c>
      <c r="M102" t="str">
        <f t="shared" si="11"/>
        <v/>
      </c>
      <c r="N102" t="s">
        <v>68</v>
      </c>
      <c r="O102" t="str">
        <f t="shared" si="12"/>
        <v/>
      </c>
      <c r="P102" t="s">
        <v>68</v>
      </c>
      <c r="S102">
        <f t="shared" si="13"/>
        <v>0</v>
      </c>
      <c r="T102" t="str">
        <f t="shared" si="14"/>
        <v>⬜  Parcial · Inst. 2 pendiente</v>
      </c>
      <c r="U102" s="53">
        <v>1</v>
      </c>
      <c r="V102" t="s">
        <v>69</v>
      </c>
      <c r="W102">
        <f>IF(NORMALIZADO!BV102="",0,NORMALIZADO!BV102)</f>
        <v>0</v>
      </c>
      <c r="X102">
        <f>IF(NORMALIZADO!BW102="",0,NORMALIZADO!BW102)</f>
        <v>0</v>
      </c>
      <c r="Y102">
        <f>IF(NORMALIZADO!BX102="",0,NORMALIZADO!BX102)</f>
        <v>0</v>
      </c>
      <c r="Z102">
        <f>IF(NORMALIZADO!BY102="",0,NORMALIZADO!BY102)</f>
        <v>0</v>
      </c>
      <c r="AO102" t="str">
        <f t="shared" si="15"/>
        <v>N/A</v>
      </c>
      <c r="AP102">
        <f>IFERROR((IF(ISNUMBER(M102),M102/100*PONDERADORES!$D$12,0)+IF(ISNUMBER(SCORECARDS!H102),SCORECARDS!H102/100*PONDERADORES!$D$13,0)+IF(ISNUMBER(SCORECARDS!I102),SCORECARDS!I102/100*PONDERADORES!$D$14,0)+IF(ISNUMBER(SCORECARDS!J102),SCORECARDS!J102/100*PONDERADORES!$D$15,0)+IF(ISNUMBER(ISCAM_Score!K103),ISCAM_Score!K103/100*PONDERADORES!$D$16,0)+IF(ISNUMBER(O102),O102*PONDERADORES!$D$17,0)+IF(ISNUMBER(AVERAGE(W102:Z102)),AVERAGE(W102:Z102)/2*PONDERADORES!$D$19,0))/(IF(ISNUMBER(M102),PONDERADORES!$D$12,0)+IF(ISNUMBER(SCORECARDS!H102),PONDERADORES!$D$13,0)+IF(ISNUMBER(SCORECARDS!I102),PONDERADORES!$D$14,0)+IF(ISNUMBER(SCORECARDS!J102),PONDERADORES!$D$15,0)+IF(ISNUMBER(ISCAM_Score!K103),PONDERADORES!$D$16,0)+IF(ISNUMBER(O102),PONDERADORES!$D$17,0)+IF(ISNUMBER(AVERAGE(W102:Z102)),PONDERADORES!$D$19,0)),"N/A")</f>
        <v>0</v>
      </c>
      <c r="AQ102">
        <f>IF(ISNUMBER(M102),1,0)+IF(ISNUMBER(SCORECARDS!H102),1,0)+IF(ISNUMBER(SCORECARDS!I102),1,0)+IF(ISNUMBER(SCORECARDS!J102),1,0)+IF(ISNUMBER(ISCAM_Score!K103),1,0)+IF(ISNUMBER(O102),1,0)+IF(COUNT(W102:Z102)&gt;0,1,0)</f>
        <v>1</v>
      </c>
    </row>
    <row r="103" spans="1:45" ht="16.05" customHeight="1" x14ac:dyDescent="0.3">
      <c r="A103" t="s">
        <v>291</v>
      </c>
      <c r="B103" t="s">
        <v>292</v>
      </c>
      <c r="C103" t="s">
        <v>192</v>
      </c>
      <c r="D103" t="s">
        <v>73</v>
      </c>
      <c r="G103" t="s">
        <v>74</v>
      </c>
      <c r="J103" t="s">
        <v>67</v>
      </c>
      <c r="M103" t="str">
        <f t="shared" si="11"/>
        <v/>
      </c>
      <c r="N103" t="s">
        <v>68</v>
      </c>
      <c r="O103" t="str">
        <f t="shared" si="12"/>
        <v/>
      </c>
      <c r="P103" t="s">
        <v>68</v>
      </c>
      <c r="S103">
        <f t="shared" si="13"/>
        <v>0</v>
      </c>
      <c r="T103" t="str">
        <f t="shared" si="14"/>
        <v>⬜  Parcial · Inst. 2 pendiente</v>
      </c>
      <c r="U103" s="53">
        <v>1</v>
      </c>
      <c r="V103" t="s">
        <v>69</v>
      </c>
      <c r="W103">
        <f>IF(NORMALIZADO!BV103="",0,NORMALIZADO!BV103)</f>
        <v>0</v>
      </c>
      <c r="X103">
        <f>IF(NORMALIZADO!BW103="",0,NORMALIZADO!BW103)</f>
        <v>0</v>
      </c>
      <c r="Y103">
        <f>IF(NORMALIZADO!BX103="",0,NORMALIZADO!BX103)</f>
        <v>0</v>
      </c>
      <c r="Z103">
        <f>IF(NORMALIZADO!BY103="",0,NORMALIZADO!BY103)</f>
        <v>0</v>
      </c>
      <c r="AO103" t="str">
        <f t="shared" si="15"/>
        <v>N/A</v>
      </c>
      <c r="AP103">
        <f>IFERROR((IF(ISNUMBER(M103),M103/100*PONDERADORES!$D$12,0)+IF(ISNUMBER(SCORECARDS!H103),SCORECARDS!H103/100*PONDERADORES!$D$13,0)+IF(ISNUMBER(SCORECARDS!I103),SCORECARDS!I103/100*PONDERADORES!$D$14,0)+IF(ISNUMBER(SCORECARDS!J103),SCORECARDS!J103/100*PONDERADORES!$D$15,0)+IF(ISNUMBER(ISCAM_Score!K104),ISCAM_Score!K104/100*PONDERADORES!$D$16,0)+IF(ISNUMBER(O103),O103*PONDERADORES!$D$17,0)+IF(ISNUMBER(AVERAGE(W103:Z103)),AVERAGE(W103:Z103)/2*PONDERADORES!$D$19,0))/(IF(ISNUMBER(M103),PONDERADORES!$D$12,0)+IF(ISNUMBER(SCORECARDS!H103),PONDERADORES!$D$13,0)+IF(ISNUMBER(SCORECARDS!I103),PONDERADORES!$D$14,0)+IF(ISNUMBER(SCORECARDS!J103),PONDERADORES!$D$15,0)+IF(ISNUMBER(ISCAM_Score!K104),PONDERADORES!$D$16,0)+IF(ISNUMBER(O103),PONDERADORES!$D$17,0)+IF(ISNUMBER(AVERAGE(W103:Z103)),PONDERADORES!$D$19,0)),"N/A")</f>
        <v>0</v>
      </c>
      <c r="AQ103">
        <f>IF(ISNUMBER(M103),1,0)+IF(ISNUMBER(SCORECARDS!H103),1,0)+IF(ISNUMBER(SCORECARDS!I103),1,0)+IF(ISNUMBER(SCORECARDS!J103),1,0)+IF(ISNUMBER(ISCAM_Score!K104),1,0)+IF(ISNUMBER(O103),1,0)+IF(COUNT(W103:Z103)&gt;0,1,0)</f>
        <v>1</v>
      </c>
    </row>
    <row r="104" spans="1:45" ht="16.05" customHeight="1" x14ac:dyDescent="0.3">
      <c r="A104" t="s">
        <v>293</v>
      </c>
      <c r="B104" t="s">
        <v>294</v>
      </c>
      <c r="C104" t="s">
        <v>241</v>
      </c>
      <c r="D104" t="s">
        <v>73</v>
      </c>
      <c r="G104" t="s">
        <v>74</v>
      </c>
      <c r="J104" t="s">
        <v>67</v>
      </c>
      <c r="M104" t="str">
        <f t="shared" si="11"/>
        <v/>
      </c>
      <c r="N104" t="s">
        <v>68</v>
      </c>
      <c r="O104" t="str">
        <f t="shared" si="12"/>
        <v/>
      </c>
      <c r="P104" t="s">
        <v>68</v>
      </c>
      <c r="S104">
        <f t="shared" si="13"/>
        <v>0</v>
      </c>
      <c r="T104" t="str">
        <f t="shared" si="14"/>
        <v>⬜  Parcial · Inst. 2 pendiente</v>
      </c>
      <c r="U104" s="53">
        <v>1</v>
      </c>
      <c r="V104" t="s">
        <v>69</v>
      </c>
      <c r="W104">
        <f>IF(NORMALIZADO!BV104="",0,NORMALIZADO!BV104)</f>
        <v>0</v>
      </c>
      <c r="X104">
        <f>IF(NORMALIZADO!BW104="",0,NORMALIZADO!BW104)</f>
        <v>0</v>
      </c>
      <c r="Y104">
        <f>IF(NORMALIZADO!BX104="",0,NORMALIZADO!BX104)</f>
        <v>0</v>
      </c>
      <c r="Z104">
        <f>IF(NORMALIZADO!BY104="",0,NORMALIZADO!BY104)</f>
        <v>0</v>
      </c>
      <c r="AO104" t="str">
        <f t="shared" si="15"/>
        <v>N/A</v>
      </c>
      <c r="AP104">
        <f>IFERROR((IF(ISNUMBER(M104),M104/100*PONDERADORES!$D$12,0)+IF(ISNUMBER(SCORECARDS!H104),SCORECARDS!H104/100*PONDERADORES!$D$13,0)+IF(ISNUMBER(SCORECARDS!I104),SCORECARDS!I104/100*PONDERADORES!$D$14,0)+IF(ISNUMBER(SCORECARDS!J104),SCORECARDS!J104/100*PONDERADORES!$D$15,0)+IF(ISNUMBER(ISCAM_Score!K105),ISCAM_Score!K105/100*PONDERADORES!$D$16,0)+IF(ISNUMBER(O104),O104*PONDERADORES!$D$17,0)+IF(ISNUMBER(AVERAGE(W104:Z104)),AVERAGE(W104:Z104)/2*PONDERADORES!$D$19,0))/(IF(ISNUMBER(M104),PONDERADORES!$D$12,0)+IF(ISNUMBER(SCORECARDS!H104),PONDERADORES!$D$13,0)+IF(ISNUMBER(SCORECARDS!I104),PONDERADORES!$D$14,0)+IF(ISNUMBER(SCORECARDS!J104),PONDERADORES!$D$15,0)+IF(ISNUMBER(ISCAM_Score!K105),PONDERADORES!$D$16,0)+IF(ISNUMBER(O104),PONDERADORES!$D$17,0)+IF(ISNUMBER(AVERAGE(W104:Z104)),PONDERADORES!$D$19,0)),"N/A")</f>
        <v>0</v>
      </c>
      <c r="AQ104">
        <f>IF(ISNUMBER(M104),1,0)+IF(ISNUMBER(SCORECARDS!H104),1,0)+IF(ISNUMBER(SCORECARDS!I104),1,0)+IF(ISNUMBER(SCORECARDS!J104),1,0)+IF(ISNUMBER(ISCAM_Score!K105),1,0)+IF(ISNUMBER(O104),1,0)+IF(COUNT(W104:Z104)&gt;0,1,0)</f>
        <v>1</v>
      </c>
    </row>
    <row r="105" spans="1:45" ht="16.05" customHeight="1" x14ac:dyDescent="0.3">
      <c r="A105" t="s">
        <v>295</v>
      </c>
      <c r="B105" t="s">
        <v>296</v>
      </c>
      <c r="C105" t="s">
        <v>112</v>
      </c>
      <c r="D105" t="s">
        <v>65</v>
      </c>
      <c r="G105" t="s">
        <v>74</v>
      </c>
      <c r="J105" t="s">
        <v>67</v>
      </c>
      <c r="M105" t="str">
        <f t="shared" si="11"/>
        <v/>
      </c>
      <c r="N105" t="s">
        <v>68</v>
      </c>
      <c r="O105" t="str">
        <f t="shared" si="12"/>
        <v/>
      </c>
      <c r="P105" t="s">
        <v>68</v>
      </c>
      <c r="S105">
        <f t="shared" si="13"/>
        <v>0</v>
      </c>
      <c r="T105" t="str">
        <f t="shared" si="14"/>
        <v>⬜  Parcial · Inst. 2 pendiente</v>
      </c>
      <c r="U105" s="53">
        <v>1</v>
      </c>
      <c r="V105" t="s">
        <v>69</v>
      </c>
      <c r="W105">
        <f>IF(NORMALIZADO!BV105="",0,NORMALIZADO!BV105)</f>
        <v>0</v>
      </c>
      <c r="X105">
        <f>IF(NORMALIZADO!BW105="",0,NORMALIZADO!BW105)</f>
        <v>0</v>
      </c>
      <c r="Y105">
        <f>IF(NORMALIZADO!BX105="",0,NORMALIZADO!BX105)</f>
        <v>0</v>
      </c>
      <c r="Z105">
        <f>IF(NORMALIZADO!BY105="",0,NORMALIZADO!BY105)</f>
        <v>0</v>
      </c>
      <c r="AO105" t="str">
        <f t="shared" si="15"/>
        <v>N/A</v>
      </c>
      <c r="AP105">
        <f>IFERROR((IF(ISNUMBER(M105),M105/100*PONDERADORES!$D$12,0)+IF(ISNUMBER(SCORECARDS!H105),SCORECARDS!H105/100*PONDERADORES!$D$13,0)+IF(ISNUMBER(SCORECARDS!I105),SCORECARDS!I105/100*PONDERADORES!$D$14,0)+IF(ISNUMBER(SCORECARDS!J105),SCORECARDS!J105/100*PONDERADORES!$D$15,0)+IF(ISNUMBER(ISCAM_Score!K106),ISCAM_Score!K106/100*PONDERADORES!$D$16,0)+IF(ISNUMBER(O105),O105*PONDERADORES!$D$17,0)+IF(ISNUMBER(AVERAGE(W105:Z105)),AVERAGE(W105:Z105)/2*PONDERADORES!$D$19,0))/(IF(ISNUMBER(M105),PONDERADORES!$D$12,0)+IF(ISNUMBER(SCORECARDS!H105),PONDERADORES!$D$13,0)+IF(ISNUMBER(SCORECARDS!I105),PONDERADORES!$D$14,0)+IF(ISNUMBER(SCORECARDS!J105),PONDERADORES!$D$15,0)+IF(ISNUMBER(ISCAM_Score!K106),PONDERADORES!$D$16,0)+IF(ISNUMBER(O105),PONDERADORES!$D$17,0)+IF(ISNUMBER(AVERAGE(W105:Z105)),PONDERADORES!$D$19,0)),"N/A")</f>
        <v>0</v>
      </c>
      <c r="AQ105">
        <f>IF(ISNUMBER(M105),1,0)+IF(ISNUMBER(SCORECARDS!H105),1,0)+IF(ISNUMBER(SCORECARDS!I105),1,0)+IF(ISNUMBER(SCORECARDS!J105),1,0)+IF(ISNUMBER(ISCAM_Score!K106),1,0)+IF(ISNUMBER(O105),1,0)+IF(COUNT(W105:Z105)&gt;0,1,0)</f>
        <v>1</v>
      </c>
    </row>
    <row r="106" spans="1:45" ht="16.05" customHeight="1" x14ac:dyDescent="0.3">
      <c r="A106" t="s">
        <v>297</v>
      </c>
      <c r="B106" t="s">
        <v>298</v>
      </c>
      <c r="C106" t="s">
        <v>139</v>
      </c>
      <c r="D106" t="s">
        <v>65</v>
      </c>
      <c r="E106">
        <v>4154567.790000001</v>
      </c>
      <c r="F106">
        <v>25</v>
      </c>
      <c r="G106" t="s">
        <v>66</v>
      </c>
      <c r="H106" t="s">
        <v>66</v>
      </c>
      <c r="I106" t="s">
        <v>66</v>
      </c>
      <c r="J106" t="s">
        <v>67</v>
      </c>
      <c r="K106" t="s">
        <v>222</v>
      </c>
      <c r="L106">
        <v>2059443.82</v>
      </c>
      <c r="M106">
        <f t="shared" si="11"/>
        <v>49.6</v>
      </c>
      <c r="N106" t="s">
        <v>68</v>
      </c>
      <c r="O106">
        <f t="shared" si="12"/>
        <v>1</v>
      </c>
      <c r="P106" t="s">
        <v>68</v>
      </c>
      <c r="Q106">
        <v>797</v>
      </c>
      <c r="R106">
        <v>2110</v>
      </c>
      <c r="S106">
        <f t="shared" si="13"/>
        <v>42.5</v>
      </c>
      <c r="T106" t="str">
        <f t="shared" si="14"/>
        <v>⬜  Parcial · Inst. 2 pendiente</v>
      </c>
      <c r="U106" s="53">
        <v>1</v>
      </c>
      <c r="V106" t="s">
        <v>69</v>
      </c>
      <c r="W106">
        <f>IF(NORMALIZADO!BV106="",1,NORMALIZADO!BV106)</f>
        <v>1</v>
      </c>
      <c r="X106">
        <f>IF(NORMALIZADO!BW106="",0,NORMALIZADO!BW106)</f>
        <v>0</v>
      </c>
      <c r="Y106">
        <f>IF(NORMALIZADO!BX106="",0,NORMALIZADO!BX106)</f>
        <v>0</v>
      </c>
      <c r="Z106">
        <f>IF(NORMALIZADO!BY106="",0,NORMALIZADO!BY106)</f>
        <v>0</v>
      </c>
      <c r="AO106" t="str">
        <f t="shared" si="15"/>
        <v>N/A</v>
      </c>
      <c r="AP106">
        <f>IFERROR((IF(ISNUMBER(M106),M106/100*PONDERADORES!$D$12,0)+IF(ISNUMBER(SCORECARDS!H106),SCORECARDS!H106/100*PONDERADORES!$D$13,0)+IF(ISNUMBER(SCORECARDS!I106),SCORECARDS!I106/100*PONDERADORES!$D$14,0)+IF(ISNUMBER(SCORECARDS!J106),SCORECARDS!J106/100*PONDERADORES!$D$15,0)+IF(ISNUMBER(ISCAM_Score!K107),ISCAM_Score!K107/100*PONDERADORES!$D$16,0)+IF(ISNUMBER(O106),O106*PONDERADORES!$D$17,0)+IF(ISNUMBER(AVERAGE(W106:Z106)),AVERAGE(W106:Z106)/2*PONDERADORES!$D$19,0))/(IF(ISNUMBER(M106),PONDERADORES!$D$12,0)+IF(ISNUMBER(SCORECARDS!H106),PONDERADORES!$D$13,0)+IF(ISNUMBER(SCORECARDS!I106),PONDERADORES!$D$14,0)+IF(ISNUMBER(SCORECARDS!J106),PONDERADORES!$D$15,0)+IF(ISNUMBER(ISCAM_Score!K107),PONDERADORES!$D$16,0)+IF(ISNUMBER(O106),PONDERADORES!$D$17,0)+IF(ISNUMBER(AVERAGE(W106:Z106)),PONDERADORES!$D$19,0)),"N/A")</f>
        <v>0.42541666666666672</v>
      </c>
      <c r="AQ106">
        <f>IF(ISNUMBER(M106),1,0)+IF(ISNUMBER(SCORECARDS!H106),1,0)+IF(ISNUMBER(SCORECARDS!I106),1,0)+IF(ISNUMBER(SCORECARDS!J106),1,0)+IF(ISNUMBER(ISCAM_Score!K107),1,0)+IF(ISNUMBER(O106),1,0)+IF(COUNT(W106:Z106)&gt;0,1,0)</f>
        <v>3</v>
      </c>
      <c r="AR106" t="s">
        <v>1557</v>
      </c>
      <c r="AS106" t="s">
        <v>1558</v>
      </c>
    </row>
    <row r="107" spans="1:45" ht="16.05" customHeight="1" x14ac:dyDescent="0.3">
      <c r="A107" t="s">
        <v>299</v>
      </c>
      <c r="B107" t="s">
        <v>300</v>
      </c>
      <c r="C107" t="s">
        <v>109</v>
      </c>
      <c r="D107" t="s">
        <v>73</v>
      </c>
      <c r="G107" t="s">
        <v>74</v>
      </c>
      <c r="J107" t="s">
        <v>67</v>
      </c>
      <c r="M107" t="str">
        <f t="shared" si="11"/>
        <v/>
      </c>
      <c r="N107" t="s">
        <v>68</v>
      </c>
      <c r="O107" t="str">
        <f t="shared" si="12"/>
        <v/>
      </c>
      <c r="P107" t="s">
        <v>68</v>
      </c>
      <c r="S107">
        <f t="shared" si="13"/>
        <v>0</v>
      </c>
      <c r="T107" t="str">
        <f t="shared" si="14"/>
        <v>⬜  Parcial · Inst. 2 pendiente</v>
      </c>
      <c r="U107" s="53">
        <v>1</v>
      </c>
      <c r="V107" t="s">
        <v>69</v>
      </c>
      <c r="W107">
        <f>IF(NORMALIZADO!BV107="",0,NORMALIZADO!BV107)</f>
        <v>0</v>
      </c>
      <c r="X107">
        <f>IF(NORMALIZADO!BW107="",0,NORMALIZADO!BW107)</f>
        <v>0</v>
      </c>
      <c r="Y107">
        <f>IF(NORMALIZADO!BX107="",0,NORMALIZADO!BX107)</f>
        <v>0</v>
      </c>
      <c r="Z107">
        <f>IF(NORMALIZADO!BY107="",0,NORMALIZADO!BY107)</f>
        <v>0</v>
      </c>
      <c r="AO107" t="str">
        <f t="shared" si="15"/>
        <v>N/A</v>
      </c>
      <c r="AP107">
        <f>IFERROR((IF(ISNUMBER(M107),M107/100*PONDERADORES!$D$12,0)+IF(ISNUMBER(SCORECARDS!H107),SCORECARDS!H107/100*PONDERADORES!$D$13,0)+IF(ISNUMBER(SCORECARDS!I107),SCORECARDS!I107/100*PONDERADORES!$D$14,0)+IF(ISNUMBER(SCORECARDS!J107),SCORECARDS!J107/100*PONDERADORES!$D$15,0)+IF(ISNUMBER(ISCAM_Score!K108),ISCAM_Score!K108/100*PONDERADORES!$D$16,0)+IF(ISNUMBER(O107),O107*PONDERADORES!$D$17,0)+IF(ISNUMBER(AVERAGE(W107:Z107)),AVERAGE(W107:Z107)/2*PONDERADORES!$D$19,0))/(IF(ISNUMBER(M107),PONDERADORES!$D$12,0)+IF(ISNUMBER(SCORECARDS!H107),PONDERADORES!$D$13,0)+IF(ISNUMBER(SCORECARDS!I107),PONDERADORES!$D$14,0)+IF(ISNUMBER(SCORECARDS!J107),PONDERADORES!$D$15,0)+IF(ISNUMBER(ISCAM_Score!K108),PONDERADORES!$D$16,0)+IF(ISNUMBER(O107),PONDERADORES!$D$17,0)+IF(ISNUMBER(AVERAGE(W107:Z107)),PONDERADORES!$D$19,0)),"N/A")</f>
        <v>0</v>
      </c>
      <c r="AQ107">
        <f>IF(ISNUMBER(M107),1,0)+IF(ISNUMBER(SCORECARDS!H107),1,0)+IF(ISNUMBER(SCORECARDS!I107),1,0)+IF(ISNUMBER(SCORECARDS!J107),1,0)+IF(ISNUMBER(ISCAM_Score!K108),1,0)+IF(ISNUMBER(O107),1,0)+IF(COUNT(W107:Z107)&gt;0,1,0)</f>
        <v>1</v>
      </c>
    </row>
    <row r="108" spans="1:45" ht="16.05" customHeight="1" x14ac:dyDescent="0.3">
      <c r="A108" t="s">
        <v>301</v>
      </c>
      <c r="B108" t="s">
        <v>302</v>
      </c>
      <c r="C108" t="s">
        <v>109</v>
      </c>
      <c r="D108" t="s">
        <v>73</v>
      </c>
      <c r="E108">
        <v>21233720.820000011</v>
      </c>
      <c r="F108">
        <v>93</v>
      </c>
      <c r="G108" t="s">
        <v>66</v>
      </c>
      <c r="J108" t="s">
        <v>67</v>
      </c>
      <c r="L108">
        <v>10616860.41</v>
      </c>
      <c r="M108">
        <f t="shared" si="11"/>
        <v>50</v>
      </c>
      <c r="N108" t="s">
        <v>68</v>
      </c>
      <c r="O108" t="str">
        <f t="shared" si="12"/>
        <v/>
      </c>
      <c r="P108" t="s">
        <v>68</v>
      </c>
      <c r="S108">
        <f t="shared" si="13"/>
        <v>31.3</v>
      </c>
      <c r="T108" t="str">
        <f t="shared" si="14"/>
        <v>⬜  Parcial · Inst. 2 pendiente</v>
      </c>
      <c r="U108" s="53">
        <v>1</v>
      </c>
      <c r="V108" t="s">
        <v>69</v>
      </c>
      <c r="W108">
        <f>IF(NORMALIZADO!BV108="",1,NORMALIZADO!BV108)</f>
        <v>1</v>
      </c>
      <c r="X108">
        <f>IF(NORMALIZADO!BW108="",0,NORMALIZADO!BW108)</f>
        <v>0</v>
      </c>
      <c r="Y108">
        <f>IF(NORMALIZADO!BX108="",0,NORMALIZADO!BX108)</f>
        <v>0</v>
      </c>
      <c r="Z108">
        <f>IF(NORMALIZADO!BY108="",0,NORMALIZADO!BY108)</f>
        <v>0</v>
      </c>
      <c r="AO108" t="str">
        <f t="shared" si="15"/>
        <v>N/A</v>
      </c>
      <c r="AP108">
        <f>IFERROR((IF(ISNUMBER(M108),M108/100*PONDERADORES!$D$12,0)+IF(ISNUMBER(SCORECARDS!H108),SCORECARDS!H108/100*PONDERADORES!$D$13,0)+IF(ISNUMBER(SCORECARDS!I108),SCORECARDS!I108/100*PONDERADORES!$D$14,0)+IF(ISNUMBER(SCORECARDS!J108),SCORECARDS!J108/100*PONDERADORES!$D$15,0)+IF(ISNUMBER(ISCAM_Score!K109),ISCAM_Score!K109/100*PONDERADORES!$D$16,0)+IF(ISNUMBER(O108),O108*PONDERADORES!$D$17,0)+IF(ISNUMBER(AVERAGE(W108:Z108)),AVERAGE(W108:Z108)/2*PONDERADORES!$D$19,0))/(IF(ISNUMBER(M108),PONDERADORES!$D$12,0)+IF(ISNUMBER(SCORECARDS!H108),PONDERADORES!$D$13,0)+IF(ISNUMBER(SCORECARDS!I108),PONDERADORES!$D$14,0)+IF(ISNUMBER(SCORECARDS!J108),PONDERADORES!$D$15,0)+IF(ISNUMBER(ISCAM_Score!K109),PONDERADORES!$D$16,0)+IF(ISNUMBER(O108),PONDERADORES!$D$17,0)+IF(ISNUMBER(AVERAGE(W108:Z108)),PONDERADORES!$D$19,0)),"N/A")</f>
        <v>0.3125</v>
      </c>
      <c r="AQ108">
        <f>IF(ISNUMBER(M108),1,0)+IF(ISNUMBER(SCORECARDS!H108),1,0)+IF(ISNUMBER(SCORECARDS!I108),1,0)+IF(ISNUMBER(SCORECARDS!J108),1,0)+IF(ISNUMBER(ISCAM_Score!K109),1,0)+IF(ISNUMBER(O108),1,0)+IF(COUNT(W108:Z108)&gt;0,1,0)</f>
        <v>2</v>
      </c>
    </row>
    <row r="109" spans="1:45" ht="16.05" customHeight="1" x14ac:dyDescent="0.3">
      <c r="A109" t="s">
        <v>303</v>
      </c>
      <c r="B109" t="s">
        <v>304</v>
      </c>
      <c r="C109" t="s">
        <v>72</v>
      </c>
      <c r="D109" t="s">
        <v>73</v>
      </c>
      <c r="G109" t="s">
        <v>74</v>
      </c>
      <c r="J109" t="s">
        <v>124</v>
      </c>
      <c r="M109" t="str">
        <f t="shared" si="11"/>
        <v/>
      </c>
      <c r="N109" t="s">
        <v>68</v>
      </c>
      <c r="O109" t="str">
        <f t="shared" si="12"/>
        <v/>
      </c>
      <c r="P109" t="s">
        <v>68</v>
      </c>
      <c r="S109">
        <f t="shared" si="13"/>
        <v>0</v>
      </c>
      <c r="T109" t="str">
        <f t="shared" si="14"/>
        <v>⬜  Parcial · Inst. 2 pendiente</v>
      </c>
      <c r="U109" s="53">
        <v>1</v>
      </c>
      <c r="V109" t="s">
        <v>69</v>
      </c>
      <c r="W109">
        <f>IF(NORMALIZADO!BV109="",0,NORMALIZADO!BV109)</f>
        <v>0</v>
      </c>
      <c r="X109">
        <f>IF(NORMALIZADO!BW109="",0,NORMALIZADO!BW109)</f>
        <v>0</v>
      </c>
      <c r="Y109">
        <f>IF(NORMALIZADO!BX109="",0,NORMALIZADO!BX109)</f>
        <v>0</v>
      </c>
      <c r="Z109">
        <f>IF(NORMALIZADO!BY109="",0,NORMALIZADO!BY109)</f>
        <v>0</v>
      </c>
      <c r="AO109" t="str">
        <f t="shared" si="15"/>
        <v>N/A</v>
      </c>
      <c r="AP109">
        <f>IFERROR((IF(ISNUMBER(M109),M109/100*PONDERADORES!$D$12,0)+IF(ISNUMBER(SCORECARDS!H109),SCORECARDS!H109/100*PONDERADORES!$D$13,0)+IF(ISNUMBER(SCORECARDS!I109),SCORECARDS!I109/100*PONDERADORES!$D$14,0)+IF(ISNUMBER(SCORECARDS!J109),SCORECARDS!J109/100*PONDERADORES!$D$15,0)+IF(ISNUMBER(ISCAM_Score!K110),ISCAM_Score!K110/100*PONDERADORES!$D$16,0)+IF(ISNUMBER(O109),O109*PONDERADORES!$D$17,0)+IF(ISNUMBER(AVERAGE(W109:Z109)),AVERAGE(W109:Z109)/2*PONDERADORES!$D$19,0))/(IF(ISNUMBER(M109),PONDERADORES!$D$12,0)+IF(ISNUMBER(SCORECARDS!H109),PONDERADORES!$D$13,0)+IF(ISNUMBER(SCORECARDS!I109),PONDERADORES!$D$14,0)+IF(ISNUMBER(SCORECARDS!J109),PONDERADORES!$D$15,0)+IF(ISNUMBER(ISCAM_Score!K110),PONDERADORES!$D$16,0)+IF(ISNUMBER(O109),PONDERADORES!$D$17,0)+IF(ISNUMBER(AVERAGE(W109:Z109)),PONDERADORES!$D$19,0)),"N/A")</f>
        <v>0</v>
      </c>
      <c r="AQ109">
        <f>IF(ISNUMBER(M109),1,0)+IF(ISNUMBER(SCORECARDS!H109),1,0)+IF(ISNUMBER(SCORECARDS!I109),1,0)+IF(ISNUMBER(SCORECARDS!J109),1,0)+IF(ISNUMBER(ISCAM_Score!K110),1,0)+IF(ISNUMBER(O109),1,0)+IF(COUNT(W109:Z109)&gt;0,1,0)</f>
        <v>1</v>
      </c>
    </row>
    <row r="110" spans="1:45" ht="16.05" customHeight="1" x14ac:dyDescent="0.3">
      <c r="A110" t="s">
        <v>305</v>
      </c>
      <c r="B110" t="s">
        <v>306</v>
      </c>
      <c r="C110" t="s">
        <v>119</v>
      </c>
      <c r="D110" t="s">
        <v>73</v>
      </c>
      <c r="G110" t="s">
        <v>74</v>
      </c>
      <c r="J110" t="s">
        <v>67</v>
      </c>
      <c r="M110" t="str">
        <f t="shared" si="11"/>
        <v/>
      </c>
      <c r="N110" t="s">
        <v>68</v>
      </c>
      <c r="O110" t="str">
        <f t="shared" si="12"/>
        <v/>
      </c>
      <c r="P110" t="s">
        <v>68</v>
      </c>
      <c r="S110">
        <f t="shared" si="13"/>
        <v>0</v>
      </c>
      <c r="T110" t="str">
        <f t="shared" si="14"/>
        <v>⬜  Parcial · Inst. 2 pendiente</v>
      </c>
      <c r="U110" s="53">
        <v>1</v>
      </c>
      <c r="V110" t="s">
        <v>69</v>
      </c>
      <c r="W110">
        <f>IF(NORMALIZADO!BV110="",0,NORMALIZADO!BV110)</f>
        <v>0</v>
      </c>
      <c r="X110">
        <f>IF(NORMALIZADO!BW110="",0,NORMALIZADO!BW110)</f>
        <v>0</v>
      </c>
      <c r="Y110">
        <f>IF(NORMALIZADO!BX110="",0,NORMALIZADO!BX110)</f>
        <v>0</v>
      </c>
      <c r="Z110">
        <f>IF(NORMALIZADO!BY110="",0,NORMALIZADO!BY110)</f>
        <v>0</v>
      </c>
      <c r="AO110" t="str">
        <f t="shared" si="15"/>
        <v>N/A</v>
      </c>
      <c r="AP110">
        <f>IFERROR((IF(ISNUMBER(M110),M110/100*PONDERADORES!$D$12,0)+IF(ISNUMBER(SCORECARDS!H110),SCORECARDS!H110/100*PONDERADORES!$D$13,0)+IF(ISNUMBER(SCORECARDS!I110),SCORECARDS!I110/100*PONDERADORES!$D$14,0)+IF(ISNUMBER(SCORECARDS!J110),SCORECARDS!J110/100*PONDERADORES!$D$15,0)+IF(ISNUMBER(ISCAM_Score!K111),ISCAM_Score!K111/100*PONDERADORES!$D$16,0)+IF(ISNUMBER(O110),O110*PONDERADORES!$D$17,0)+IF(ISNUMBER(AVERAGE(W110:Z110)),AVERAGE(W110:Z110)/2*PONDERADORES!$D$19,0))/(IF(ISNUMBER(M110),PONDERADORES!$D$12,0)+IF(ISNUMBER(SCORECARDS!H110),PONDERADORES!$D$13,0)+IF(ISNUMBER(SCORECARDS!I110),PONDERADORES!$D$14,0)+IF(ISNUMBER(SCORECARDS!J110),PONDERADORES!$D$15,0)+IF(ISNUMBER(ISCAM_Score!K111),PONDERADORES!$D$16,0)+IF(ISNUMBER(O110),PONDERADORES!$D$17,0)+IF(ISNUMBER(AVERAGE(W110:Z110)),PONDERADORES!$D$19,0)),"N/A")</f>
        <v>0</v>
      </c>
      <c r="AQ110">
        <f>IF(ISNUMBER(M110),1,0)+IF(ISNUMBER(SCORECARDS!H110),1,0)+IF(ISNUMBER(SCORECARDS!I110),1,0)+IF(ISNUMBER(SCORECARDS!J110),1,0)+IF(ISNUMBER(ISCAM_Score!K111),1,0)+IF(ISNUMBER(O110),1,0)+IF(COUNT(W110:Z110)&gt;0,1,0)</f>
        <v>1</v>
      </c>
    </row>
    <row r="111" spans="1:45" ht="16.05" customHeight="1" x14ac:dyDescent="0.3">
      <c r="A111" t="s">
        <v>307</v>
      </c>
      <c r="B111" t="s">
        <v>308</v>
      </c>
      <c r="C111" t="s">
        <v>112</v>
      </c>
      <c r="D111" t="s">
        <v>65</v>
      </c>
      <c r="E111">
        <v>3887946.29</v>
      </c>
      <c r="F111">
        <v>16</v>
      </c>
      <c r="G111" t="s">
        <v>66</v>
      </c>
      <c r="J111" t="s">
        <v>67</v>
      </c>
      <c r="L111">
        <v>0</v>
      </c>
      <c r="M111">
        <f t="shared" si="11"/>
        <v>0</v>
      </c>
      <c r="N111" t="s">
        <v>68</v>
      </c>
      <c r="O111" t="str">
        <f t="shared" si="12"/>
        <v/>
      </c>
      <c r="P111" t="s">
        <v>68</v>
      </c>
      <c r="S111">
        <f t="shared" si="13"/>
        <v>0</v>
      </c>
      <c r="T111" t="str">
        <f t="shared" si="14"/>
        <v>⬜  Parcial · Inst. 2 pendiente</v>
      </c>
      <c r="U111" s="53">
        <v>1</v>
      </c>
      <c r="V111" t="s">
        <v>69</v>
      </c>
      <c r="W111">
        <f>IF(NORMALIZADO!BV111="",0,NORMALIZADO!BV111)</f>
        <v>0</v>
      </c>
      <c r="X111">
        <f>IF(NORMALIZADO!BW111="",0,NORMALIZADO!BW111)</f>
        <v>0</v>
      </c>
      <c r="Y111">
        <f>IF(NORMALIZADO!BX111="",0,NORMALIZADO!BX111)</f>
        <v>0</v>
      </c>
      <c r="Z111">
        <f>IF(NORMALIZADO!BY111="",0,NORMALIZADO!BY111)</f>
        <v>0</v>
      </c>
      <c r="AO111" t="str">
        <f t="shared" si="15"/>
        <v>N/A</v>
      </c>
      <c r="AP111">
        <f>IFERROR((IF(ISNUMBER(M111),M111/100*PONDERADORES!$D$12,0)+IF(ISNUMBER(SCORECARDS!H111),SCORECARDS!H111/100*PONDERADORES!$D$13,0)+IF(ISNUMBER(SCORECARDS!I111),SCORECARDS!I111/100*PONDERADORES!$D$14,0)+IF(ISNUMBER(SCORECARDS!J111),SCORECARDS!J111/100*PONDERADORES!$D$15,0)+IF(ISNUMBER(ISCAM_Score!K112),ISCAM_Score!K112/100*PONDERADORES!$D$16,0)+IF(ISNUMBER(O111),O111*PONDERADORES!$D$17,0)+IF(ISNUMBER(AVERAGE(W111:Z111)),AVERAGE(W111:Z111)/2*PONDERADORES!$D$19,0))/(IF(ISNUMBER(M111),PONDERADORES!$D$12,0)+IF(ISNUMBER(SCORECARDS!H111),PONDERADORES!$D$13,0)+IF(ISNUMBER(SCORECARDS!I111),PONDERADORES!$D$14,0)+IF(ISNUMBER(SCORECARDS!J111),PONDERADORES!$D$15,0)+IF(ISNUMBER(ISCAM_Score!K112),PONDERADORES!$D$16,0)+IF(ISNUMBER(O111),PONDERADORES!$D$17,0)+IF(ISNUMBER(AVERAGE(W111:Z111)),PONDERADORES!$D$19,0)),"N/A")</f>
        <v>0</v>
      </c>
      <c r="AQ111">
        <f>IF(ISNUMBER(M111),1,0)+IF(ISNUMBER(SCORECARDS!H111),1,0)+IF(ISNUMBER(SCORECARDS!I111),1,0)+IF(ISNUMBER(SCORECARDS!J111),1,0)+IF(ISNUMBER(ISCAM_Score!K112),1,0)+IF(ISNUMBER(O111),1,0)+IF(COUNT(W111:Z111)&gt;0,1,0)</f>
        <v>2</v>
      </c>
    </row>
    <row r="112" spans="1:45" ht="16.05" customHeight="1" x14ac:dyDescent="0.3">
      <c r="A112" t="s">
        <v>309</v>
      </c>
      <c r="B112" t="s">
        <v>310</v>
      </c>
      <c r="C112" t="s">
        <v>119</v>
      </c>
      <c r="D112" t="s">
        <v>73</v>
      </c>
      <c r="G112" t="s">
        <v>74</v>
      </c>
      <c r="J112" t="s">
        <v>67</v>
      </c>
      <c r="M112" t="str">
        <f t="shared" si="11"/>
        <v/>
      </c>
      <c r="N112" t="s">
        <v>68</v>
      </c>
      <c r="O112" t="str">
        <f t="shared" si="12"/>
        <v/>
      </c>
      <c r="P112" t="s">
        <v>68</v>
      </c>
      <c r="S112">
        <f t="shared" si="13"/>
        <v>0</v>
      </c>
      <c r="T112" t="str">
        <f t="shared" si="14"/>
        <v>⬜  Parcial · Inst. 2 pendiente</v>
      </c>
      <c r="U112" s="53">
        <v>1</v>
      </c>
      <c r="V112" t="s">
        <v>69</v>
      </c>
      <c r="W112">
        <f>IF(NORMALIZADO!BV112="",0,NORMALIZADO!BV112)</f>
        <v>0</v>
      </c>
      <c r="X112">
        <f>IF(NORMALIZADO!BW112="",0,NORMALIZADO!BW112)</f>
        <v>0</v>
      </c>
      <c r="Y112">
        <f>IF(NORMALIZADO!BX112="",0,NORMALIZADO!BX112)</f>
        <v>0</v>
      </c>
      <c r="Z112">
        <f>IF(NORMALIZADO!BY112="",0,NORMALIZADO!BY112)</f>
        <v>0</v>
      </c>
      <c r="AO112" t="str">
        <f t="shared" si="15"/>
        <v>N/A</v>
      </c>
      <c r="AP112">
        <f>IFERROR((IF(ISNUMBER(M112),M112/100*PONDERADORES!$D$12,0)+IF(ISNUMBER(SCORECARDS!H112),SCORECARDS!H112/100*PONDERADORES!$D$13,0)+IF(ISNUMBER(SCORECARDS!I112),SCORECARDS!I112/100*PONDERADORES!$D$14,0)+IF(ISNUMBER(SCORECARDS!J112),SCORECARDS!J112/100*PONDERADORES!$D$15,0)+IF(ISNUMBER(ISCAM_Score!K113),ISCAM_Score!K113/100*PONDERADORES!$D$16,0)+IF(ISNUMBER(O112),O112*PONDERADORES!$D$17,0)+IF(ISNUMBER(AVERAGE(W112:Z112)),AVERAGE(W112:Z112)/2*PONDERADORES!$D$19,0))/(IF(ISNUMBER(M112),PONDERADORES!$D$12,0)+IF(ISNUMBER(SCORECARDS!H112),PONDERADORES!$D$13,0)+IF(ISNUMBER(SCORECARDS!I112),PONDERADORES!$D$14,0)+IF(ISNUMBER(SCORECARDS!J112),PONDERADORES!$D$15,0)+IF(ISNUMBER(ISCAM_Score!K113),PONDERADORES!$D$16,0)+IF(ISNUMBER(O112),PONDERADORES!$D$17,0)+IF(ISNUMBER(AVERAGE(W112:Z112)),PONDERADORES!$D$19,0)),"N/A")</f>
        <v>0</v>
      </c>
      <c r="AQ112">
        <f>IF(ISNUMBER(M112),1,0)+IF(ISNUMBER(SCORECARDS!H112),1,0)+IF(ISNUMBER(SCORECARDS!I112),1,0)+IF(ISNUMBER(SCORECARDS!J112),1,0)+IF(ISNUMBER(ISCAM_Score!K113),1,0)+IF(ISNUMBER(O112),1,0)+IF(COUNT(W112:Z112)&gt;0,1,0)</f>
        <v>1</v>
      </c>
    </row>
    <row r="113" spans="1:45" ht="16.05" customHeight="1" x14ac:dyDescent="0.3">
      <c r="A113" t="s">
        <v>311</v>
      </c>
      <c r="B113" t="s">
        <v>312</v>
      </c>
      <c r="C113" t="s">
        <v>150</v>
      </c>
      <c r="D113" t="s">
        <v>65</v>
      </c>
      <c r="E113">
        <v>464428.88</v>
      </c>
      <c r="F113">
        <v>3</v>
      </c>
      <c r="G113" t="s">
        <v>66</v>
      </c>
      <c r="J113" t="s">
        <v>67</v>
      </c>
      <c r="L113">
        <v>0</v>
      </c>
      <c r="M113">
        <f t="shared" si="11"/>
        <v>0</v>
      </c>
      <c r="N113" t="s">
        <v>68</v>
      </c>
      <c r="O113" t="str">
        <f t="shared" si="12"/>
        <v/>
      </c>
      <c r="P113" t="s">
        <v>68</v>
      </c>
      <c r="S113">
        <f t="shared" si="13"/>
        <v>0</v>
      </c>
      <c r="T113" t="str">
        <f t="shared" si="14"/>
        <v>⬜  Parcial · Inst. 2 pendiente</v>
      </c>
      <c r="U113" s="53">
        <v>1</v>
      </c>
      <c r="V113" t="s">
        <v>69</v>
      </c>
      <c r="W113">
        <f>IF(NORMALIZADO!BV113="",0,NORMALIZADO!BV113)</f>
        <v>0</v>
      </c>
      <c r="X113">
        <f>IF(NORMALIZADO!BW113="",0,NORMALIZADO!BW113)</f>
        <v>0</v>
      </c>
      <c r="Y113">
        <f>IF(NORMALIZADO!BX113="",0,NORMALIZADO!BX113)</f>
        <v>0</v>
      </c>
      <c r="Z113">
        <f>IF(NORMALIZADO!BY113="",0,NORMALIZADO!BY113)</f>
        <v>0</v>
      </c>
      <c r="AO113" t="str">
        <f t="shared" si="15"/>
        <v>N/A</v>
      </c>
      <c r="AP113">
        <f>IFERROR((IF(ISNUMBER(M113),M113/100*PONDERADORES!$D$12,0)+IF(ISNUMBER(SCORECARDS!H113),SCORECARDS!H113/100*PONDERADORES!$D$13,0)+IF(ISNUMBER(SCORECARDS!I113),SCORECARDS!I113/100*PONDERADORES!$D$14,0)+IF(ISNUMBER(SCORECARDS!J113),SCORECARDS!J113/100*PONDERADORES!$D$15,0)+IF(ISNUMBER(ISCAM_Score!K114),ISCAM_Score!K114/100*PONDERADORES!$D$16,0)+IF(ISNUMBER(O113),O113*PONDERADORES!$D$17,0)+IF(ISNUMBER(AVERAGE(W113:Z113)),AVERAGE(W113:Z113)/2*PONDERADORES!$D$19,0))/(IF(ISNUMBER(M113),PONDERADORES!$D$12,0)+IF(ISNUMBER(SCORECARDS!H113),PONDERADORES!$D$13,0)+IF(ISNUMBER(SCORECARDS!I113),PONDERADORES!$D$14,0)+IF(ISNUMBER(SCORECARDS!J113),PONDERADORES!$D$15,0)+IF(ISNUMBER(ISCAM_Score!K114),PONDERADORES!$D$16,0)+IF(ISNUMBER(O113),PONDERADORES!$D$17,0)+IF(ISNUMBER(AVERAGE(W113:Z113)),PONDERADORES!$D$19,0)),"N/A")</f>
        <v>0</v>
      </c>
      <c r="AQ113">
        <f>IF(ISNUMBER(M113),1,0)+IF(ISNUMBER(SCORECARDS!H113),1,0)+IF(ISNUMBER(SCORECARDS!I113),1,0)+IF(ISNUMBER(SCORECARDS!J113),1,0)+IF(ISNUMBER(ISCAM_Score!K114),1,0)+IF(ISNUMBER(O113),1,0)+IF(COUNT(W113:Z113)&gt;0,1,0)</f>
        <v>2</v>
      </c>
    </row>
    <row r="114" spans="1:45" ht="16.05" customHeight="1" x14ac:dyDescent="0.3">
      <c r="A114" t="s">
        <v>313</v>
      </c>
      <c r="B114" t="s">
        <v>314</v>
      </c>
      <c r="C114" t="s">
        <v>241</v>
      </c>
      <c r="D114" t="s">
        <v>73</v>
      </c>
      <c r="G114" t="s">
        <v>74</v>
      </c>
      <c r="J114" t="s">
        <v>67</v>
      </c>
      <c r="M114" t="str">
        <f t="shared" si="11"/>
        <v/>
      </c>
      <c r="N114" t="s">
        <v>68</v>
      </c>
      <c r="O114" t="str">
        <f t="shared" si="12"/>
        <v/>
      </c>
      <c r="P114" t="s">
        <v>68</v>
      </c>
      <c r="S114">
        <f t="shared" si="13"/>
        <v>0</v>
      </c>
      <c r="T114" t="str">
        <f t="shared" si="14"/>
        <v>⬜  Parcial · Inst. 2 pendiente</v>
      </c>
      <c r="U114" s="53">
        <v>1</v>
      </c>
      <c r="V114" t="s">
        <v>69</v>
      </c>
      <c r="W114">
        <f>IF(NORMALIZADO!BV114="",0,NORMALIZADO!BV114)</f>
        <v>0</v>
      </c>
      <c r="X114">
        <f>IF(NORMALIZADO!BW114="",0,NORMALIZADO!BW114)</f>
        <v>0</v>
      </c>
      <c r="Y114">
        <f>IF(NORMALIZADO!BX114="",0,NORMALIZADO!BX114)</f>
        <v>0</v>
      </c>
      <c r="Z114">
        <f>IF(NORMALIZADO!BY114="",0,NORMALIZADO!BY114)</f>
        <v>0</v>
      </c>
      <c r="AO114" t="str">
        <f t="shared" si="15"/>
        <v>N/A</v>
      </c>
      <c r="AP114">
        <f>IFERROR((IF(ISNUMBER(M114),M114/100*PONDERADORES!$D$12,0)+IF(ISNUMBER(SCORECARDS!H114),SCORECARDS!H114/100*PONDERADORES!$D$13,0)+IF(ISNUMBER(SCORECARDS!I114),SCORECARDS!I114/100*PONDERADORES!$D$14,0)+IF(ISNUMBER(SCORECARDS!J114),SCORECARDS!J114/100*PONDERADORES!$D$15,0)+IF(ISNUMBER(ISCAM_Score!K115),ISCAM_Score!K115/100*PONDERADORES!$D$16,0)+IF(ISNUMBER(O114),O114*PONDERADORES!$D$17,0)+IF(ISNUMBER(AVERAGE(W114:Z114)),AVERAGE(W114:Z114)/2*PONDERADORES!$D$19,0))/(IF(ISNUMBER(M114),PONDERADORES!$D$12,0)+IF(ISNUMBER(SCORECARDS!H114),PONDERADORES!$D$13,0)+IF(ISNUMBER(SCORECARDS!I114),PONDERADORES!$D$14,0)+IF(ISNUMBER(SCORECARDS!J114),PONDERADORES!$D$15,0)+IF(ISNUMBER(ISCAM_Score!K115),PONDERADORES!$D$16,0)+IF(ISNUMBER(O114),PONDERADORES!$D$17,0)+IF(ISNUMBER(AVERAGE(W114:Z114)),PONDERADORES!$D$19,0)),"N/A")</f>
        <v>0</v>
      </c>
      <c r="AQ114">
        <f>IF(ISNUMBER(M114),1,0)+IF(ISNUMBER(SCORECARDS!H114),1,0)+IF(ISNUMBER(SCORECARDS!I114),1,0)+IF(ISNUMBER(SCORECARDS!J114),1,0)+IF(ISNUMBER(ISCAM_Score!K115),1,0)+IF(ISNUMBER(O114),1,0)+IF(COUNT(W114:Z114)&gt;0,1,0)</f>
        <v>1</v>
      </c>
    </row>
    <row r="115" spans="1:45" ht="16.05" customHeight="1" x14ac:dyDescent="0.3">
      <c r="A115" t="s">
        <v>315</v>
      </c>
      <c r="B115" t="s">
        <v>316</v>
      </c>
      <c r="C115" t="s">
        <v>139</v>
      </c>
      <c r="D115" t="s">
        <v>65</v>
      </c>
      <c r="E115">
        <v>1789601.59</v>
      </c>
      <c r="F115">
        <v>11</v>
      </c>
      <c r="G115" t="s">
        <v>66</v>
      </c>
      <c r="J115" t="s">
        <v>67</v>
      </c>
      <c r="L115">
        <v>0</v>
      </c>
      <c r="M115">
        <f t="shared" si="11"/>
        <v>0</v>
      </c>
      <c r="N115" t="s">
        <v>68</v>
      </c>
      <c r="O115" t="str">
        <f t="shared" si="12"/>
        <v/>
      </c>
      <c r="P115" t="s">
        <v>68</v>
      </c>
      <c r="S115">
        <f t="shared" si="13"/>
        <v>0</v>
      </c>
      <c r="T115" t="str">
        <f t="shared" si="14"/>
        <v>⬜  Parcial · Inst. 2 pendiente</v>
      </c>
      <c r="U115" s="53">
        <v>1</v>
      </c>
      <c r="V115" t="s">
        <v>69</v>
      </c>
      <c r="W115">
        <f>IF(NORMALIZADO!BV115="",0,NORMALIZADO!BV115)</f>
        <v>0</v>
      </c>
      <c r="X115">
        <f>IF(NORMALIZADO!BW115="",0,NORMALIZADO!BW115)</f>
        <v>0</v>
      </c>
      <c r="Y115">
        <f>IF(NORMALIZADO!BX115="",0,NORMALIZADO!BX115)</f>
        <v>0</v>
      </c>
      <c r="Z115">
        <f>IF(NORMALIZADO!BY115="",0,NORMALIZADO!BY115)</f>
        <v>0</v>
      </c>
      <c r="AO115" t="str">
        <f t="shared" si="15"/>
        <v>N/A</v>
      </c>
      <c r="AP115">
        <f>IFERROR((IF(ISNUMBER(M115),M115/100*PONDERADORES!$D$12,0)+IF(ISNUMBER(SCORECARDS!H115),SCORECARDS!H115/100*PONDERADORES!$D$13,0)+IF(ISNUMBER(SCORECARDS!I115),SCORECARDS!I115/100*PONDERADORES!$D$14,0)+IF(ISNUMBER(SCORECARDS!J115),SCORECARDS!J115/100*PONDERADORES!$D$15,0)+IF(ISNUMBER(ISCAM_Score!K116),ISCAM_Score!K116/100*PONDERADORES!$D$16,0)+IF(ISNUMBER(O115),O115*PONDERADORES!$D$17,0)+IF(ISNUMBER(AVERAGE(W115:Z115)),AVERAGE(W115:Z115)/2*PONDERADORES!$D$19,0))/(IF(ISNUMBER(M115),PONDERADORES!$D$12,0)+IF(ISNUMBER(SCORECARDS!H115),PONDERADORES!$D$13,0)+IF(ISNUMBER(SCORECARDS!I115),PONDERADORES!$D$14,0)+IF(ISNUMBER(SCORECARDS!J115),PONDERADORES!$D$15,0)+IF(ISNUMBER(ISCAM_Score!K116),PONDERADORES!$D$16,0)+IF(ISNUMBER(O115),PONDERADORES!$D$17,0)+IF(ISNUMBER(AVERAGE(W115:Z115)),PONDERADORES!$D$19,0)),"N/A")</f>
        <v>0</v>
      </c>
      <c r="AQ115">
        <f>IF(ISNUMBER(M115),1,0)+IF(ISNUMBER(SCORECARDS!H115),1,0)+IF(ISNUMBER(SCORECARDS!I115),1,0)+IF(ISNUMBER(SCORECARDS!J115),1,0)+IF(ISNUMBER(ISCAM_Score!K116),1,0)+IF(ISNUMBER(O115),1,0)+IF(COUNT(W115:Z115)&gt;0,1,0)</f>
        <v>2</v>
      </c>
    </row>
    <row r="116" spans="1:45" ht="16.05" customHeight="1" x14ac:dyDescent="0.3">
      <c r="A116" t="s">
        <v>317</v>
      </c>
      <c r="B116" t="s">
        <v>318</v>
      </c>
      <c r="C116" t="s">
        <v>241</v>
      </c>
      <c r="D116" t="s">
        <v>73</v>
      </c>
      <c r="G116" t="s">
        <v>74</v>
      </c>
      <c r="J116" t="s">
        <v>67</v>
      </c>
      <c r="M116" t="str">
        <f t="shared" si="11"/>
        <v/>
      </c>
      <c r="N116" t="s">
        <v>68</v>
      </c>
      <c r="O116" t="str">
        <f t="shared" si="12"/>
        <v/>
      </c>
      <c r="P116" t="s">
        <v>68</v>
      </c>
      <c r="S116">
        <f t="shared" si="13"/>
        <v>0</v>
      </c>
      <c r="T116" t="str">
        <f t="shared" si="14"/>
        <v>⬜  Parcial · Inst. 2 pendiente</v>
      </c>
      <c r="U116" s="53">
        <v>1</v>
      </c>
      <c r="V116" t="s">
        <v>69</v>
      </c>
      <c r="W116">
        <f>IF(NORMALIZADO!BV116="",0,NORMALIZADO!BV116)</f>
        <v>0</v>
      </c>
      <c r="X116">
        <f>IF(NORMALIZADO!BW116="",0,NORMALIZADO!BW116)</f>
        <v>0</v>
      </c>
      <c r="Y116">
        <f>IF(NORMALIZADO!BX116="",0,NORMALIZADO!BX116)</f>
        <v>0</v>
      </c>
      <c r="Z116">
        <f>IF(NORMALIZADO!BY116="",0,NORMALIZADO!BY116)</f>
        <v>0</v>
      </c>
      <c r="AO116" t="str">
        <f t="shared" si="15"/>
        <v>N/A</v>
      </c>
      <c r="AP116">
        <f>IFERROR((IF(ISNUMBER(M116),M116/100*PONDERADORES!$D$12,0)+IF(ISNUMBER(SCORECARDS!H116),SCORECARDS!H116/100*PONDERADORES!$D$13,0)+IF(ISNUMBER(SCORECARDS!I116),SCORECARDS!I116/100*PONDERADORES!$D$14,0)+IF(ISNUMBER(SCORECARDS!J116),SCORECARDS!J116/100*PONDERADORES!$D$15,0)+IF(ISNUMBER(ISCAM_Score!K117),ISCAM_Score!K117/100*PONDERADORES!$D$16,0)+IF(ISNUMBER(O116),O116*PONDERADORES!$D$17,0)+IF(ISNUMBER(AVERAGE(W116:Z116)),AVERAGE(W116:Z116)/2*PONDERADORES!$D$19,0))/(IF(ISNUMBER(M116),PONDERADORES!$D$12,0)+IF(ISNUMBER(SCORECARDS!H116),PONDERADORES!$D$13,0)+IF(ISNUMBER(SCORECARDS!I116),PONDERADORES!$D$14,0)+IF(ISNUMBER(SCORECARDS!J116),PONDERADORES!$D$15,0)+IF(ISNUMBER(ISCAM_Score!K117),PONDERADORES!$D$16,0)+IF(ISNUMBER(O116),PONDERADORES!$D$17,0)+IF(ISNUMBER(AVERAGE(W116:Z116)),PONDERADORES!$D$19,0)),"N/A")</f>
        <v>0</v>
      </c>
      <c r="AQ116">
        <f>IF(ISNUMBER(M116),1,0)+IF(ISNUMBER(SCORECARDS!H116),1,0)+IF(ISNUMBER(SCORECARDS!I116),1,0)+IF(ISNUMBER(SCORECARDS!J116),1,0)+IF(ISNUMBER(ISCAM_Score!K117),1,0)+IF(ISNUMBER(O116),1,0)+IF(COUNT(W116:Z116)&gt;0,1,0)</f>
        <v>1</v>
      </c>
    </row>
    <row r="117" spans="1:45" ht="16.05" customHeight="1" x14ac:dyDescent="0.3">
      <c r="A117" t="s">
        <v>319</v>
      </c>
      <c r="B117" t="s">
        <v>320</v>
      </c>
      <c r="C117" t="s">
        <v>179</v>
      </c>
      <c r="D117" t="s">
        <v>65</v>
      </c>
      <c r="G117" t="s">
        <v>74</v>
      </c>
      <c r="J117" t="s">
        <v>67</v>
      </c>
      <c r="M117" t="str">
        <f t="shared" si="11"/>
        <v/>
      </c>
      <c r="N117" t="s">
        <v>68</v>
      </c>
      <c r="O117" t="str">
        <f t="shared" si="12"/>
        <v/>
      </c>
      <c r="P117" t="s">
        <v>68</v>
      </c>
      <c r="S117">
        <f t="shared" si="13"/>
        <v>0</v>
      </c>
      <c r="T117" t="str">
        <f t="shared" si="14"/>
        <v>⬜  Parcial · Inst. 2 pendiente</v>
      </c>
      <c r="U117" s="53">
        <v>1</v>
      </c>
      <c r="V117" t="s">
        <v>69</v>
      </c>
      <c r="W117">
        <f>IF(NORMALIZADO!BV117="",0,NORMALIZADO!BV117)</f>
        <v>0</v>
      </c>
      <c r="X117">
        <f>IF(NORMALIZADO!BW117="",0,NORMALIZADO!BW117)</f>
        <v>0</v>
      </c>
      <c r="Y117">
        <f>IF(NORMALIZADO!BX117="",0,NORMALIZADO!BX117)</f>
        <v>0</v>
      </c>
      <c r="Z117">
        <f>IF(NORMALIZADO!BY117="",0,NORMALIZADO!BY117)</f>
        <v>0</v>
      </c>
      <c r="AO117" t="str">
        <f t="shared" si="15"/>
        <v>N/A</v>
      </c>
      <c r="AP117">
        <f>IFERROR((IF(ISNUMBER(M117),M117/100*PONDERADORES!$D$12,0)+IF(ISNUMBER(SCORECARDS!H117),SCORECARDS!H117/100*PONDERADORES!$D$13,0)+IF(ISNUMBER(SCORECARDS!I117),SCORECARDS!I117/100*PONDERADORES!$D$14,0)+IF(ISNUMBER(SCORECARDS!J117),SCORECARDS!J117/100*PONDERADORES!$D$15,0)+IF(ISNUMBER(ISCAM_Score!K118),ISCAM_Score!K118/100*PONDERADORES!$D$16,0)+IF(ISNUMBER(O117),O117*PONDERADORES!$D$17,0)+IF(ISNUMBER(AVERAGE(W117:Z117)),AVERAGE(W117:Z117)/2*PONDERADORES!$D$19,0))/(IF(ISNUMBER(M117),PONDERADORES!$D$12,0)+IF(ISNUMBER(SCORECARDS!H117),PONDERADORES!$D$13,0)+IF(ISNUMBER(SCORECARDS!I117),PONDERADORES!$D$14,0)+IF(ISNUMBER(SCORECARDS!J117),PONDERADORES!$D$15,0)+IF(ISNUMBER(ISCAM_Score!K118),PONDERADORES!$D$16,0)+IF(ISNUMBER(O117),PONDERADORES!$D$17,0)+IF(ISNUMBER(AVERAGE(W117:Z117)),PONDERADORES!$D$19,0)),"N/A")</f>
        <v>0</v>
      </c>
      <c r="AQ117">
        <f>IF(ISNUMBER(M117),1,0)+IF(ISNUMBER(SCORECARDS!H117),1,0)+IF(ISNUMBER(SCORECARDS!I117),1,0)+IF(ISNUMBER(SCORECARDS!J117),1,0)+IF(ISNUMBER(ISCAM_Score!K118),1,0)+IF(ISNUMBER(O117),1,0)+IF(COUNT(W117:Z117)&gt;0,1,0)</f>
        <v>1</v>
      </c>
    </row>
    <row r="118" spans="1:45" ht="16.05" customHeight="1" x14ac:dyDescent="0.3">
      <c r="A118" t="s">
        <v>321</v>
      </c>
      <c r="B118" t="s">
        <v>322</v>
      </c>
      <c r="C118" t="s">
        <v>109</v>
      </c>
      <c r="D118" t="s">
        <v>73</v>
      </c>
      <c r="G118" t="s">
        <v>74</v>
      </c>
      <c r="J118" t="s">
        <v>106</v>
      </c>
      <c r="M118" t="str">
        <f t="shared" si="11"/>
        <v/>
      </c>
      <c r="N118" t="s">
        <v>68</v>
      </c>
      <c r="O118" t="str">
        <f t="shared" si="12"/>
        <v/>
      </c>
      <c r="P118" t="s">
        <v>68</v>
      </c>
      <c r="S118">
        <f t="shared" si="13"/>
        <v>0</v>
      </c>
      <c r="T118" t="str">
        <f t="shared" si="14"/>
        <v>⬜  Parcial · Inst. 2 pendiente</v>
      </c>
      <c r="U118" s="53">
        <v>1</v>
      </c>
      <c r="V118" t="s">
        <v>69</v>
      </c>
      <c r="W118">
        <f>IF(NORMALIZADO!BV118="",0,NORMALIZADO!BV118)</f>
        <v>0</v>
      </c>
      <c r="X118">
        <f>IF(NORMALIZADO!BW118="",0,NORMALIZADO!BW118)</f>
        <v>0</v>
      </c>
      <c r="Y118">
        <f>IF(NORMALIZADO!BX118="",0,NORMALIZADO!BX118)</f>
        <v>0</v>
      </c>
      <c r="Z118">
        <f>IF(NORMALIZADO!BY118="",0,NORMALIZADO!BY118)</f>
        <v>0</v>
      </c>
      <c r="AO118" t="str">
        <f t="shared" si="15"/>
        <v>N/A</v>
      </c>
      <c r="AP118">
        <f>IFERROR((IF(ISNUMBER(M118),M118/100*PONDERADORES!$D$12,0)+IF(ISNUMBER(SCORECARDS!H118),SCORECARDS!H118/100*PONDERADORES!$D$13,0)+IF(ISNUMBER(SCORECARDS!I118),SCORECARDS!I118/100*PONDERADORES!$D$14,0)+IF(ISNUMBER(SCORECARDS!J118),SCORECARDS!J118/100*PONDERADORES!$D$15,0)+IF(ISNUMBER(ISCAM_Score!K119),ISCAM_Score!K119/100*PONDERADORES!$D$16,0)+IF(ISNUMBER(O118),O118*PONDERADORES!$D$17,0)+IF(ISNUMBER(AVERAGE(W118:Z118)),AVERAGE(W118:Z118)/2*PONDERADORES!$D$19,0))/(IF(ISNUMBER(M118),PONDERADORES!$D$12,0)+IF(ISNUMBER(SCORECARDS!H118),PONDERADORES!$D$13,0)+IF(ISNUMBER(SCORECARDS!I118),PONDERADORES!$D$14,0)+IF(ISNUMBER(SCORECARDS!J118),PONDERADORES!$D$15,0)+IF(ISNUMBER(ISCAM_Score!K119),PONDERADORES!$D$16,0)+IF(ISNUMBER(O118),PONDERADORES!$D$17,0)+IF(ISNUMBER(AVERAGE(W118:Z118)),PONDERADORES!$D$19,0)),"N/A")</f>
        <v>0</v>
      </c>
      <c r="AQ118">
        <f>IF(ISNUMBER(M118),1,0)+IF(ISNUMBER(SCORECARDS!H118),1,0)+IF(ISNUMBER(SCORECARDS!I118),1,0)+IF(ISNUMBER(SCORECARDS!J118),1,0)+IF(ISNUMBER(ISCAM_Score!K119),1,0)+IF(ISNUMBER(O118),1,0)+IF(COUNT(W118:Z118)&gt;0,1,0)</f>
        <v>1</v>
      </c>
    </row>
    <row r="119" spans="1:45" ht="16.05" customHeight="1" x14ac:dyDescent="0.3">
      <c r="A119" t="s">
        <v>323</v>
      </c>
      <c r="B119" t="s">
        <v>324</v>
      </c>
      <c r="C119" t="s">
        <v>109</v>
      </c>
      <c r="D119" t="s">
        <v>73</v>
      </c>
      <c r="G119" t="s">
        <v>74</v>
      </c>
      <c r="J119" t="s">
        <v>67</v>
      </c>
      <c r="M119" t="str">
        <f t="shared" si="11"/>
        <v/>
      </c>
      <c r="N119" t="s">
        <v>68</v>
      </c>
      <c r="O119" t="str">
        <f t="shared" si="12"/>
        <v/>
      </c>
      <c r="P119" t="s">
        <v>68</v>
      </c>
      <c r="S119">
        <f t="shared" si="13"/>
        <v>0</v>
      </c>
      <c r="T119" t="str">
        <f t="shared" si="14"/>
        <v>⬜  Parcial · Inst. 2 pendiente</v>
      </c>
      <c r="U119" s="53">
        <v>1</v>
      </c>
      <c r="V119" t="s">
        <v>69</v>
      </c>
      <c r="W119">
        <f>IF(NORMALIZADO!BV119="",0,NORMALIZADO!BV119)</f>
        <v>0</v>
      </c>
      <c r="X119">
        <f>IF(NORMALIZADO!BW119="",0,NORMALIZADO!BW119)</f>
        <v>0</v>
      </c>
      <c r="Y119">
        <f>IF(NORMALIZADO!BX119="",0,NORMALIZADO!BX119)</f>
        <v>0</v>
      </c>
      <c r="Z119">
        <f>IF(NORMALIZADO!BY119="",0,NORMALIZADO!BY119)</f>
        <v>0</v>
      </c>
      <c r="AO119" t="str">
        <f t="shared" si="15"/>
        <v>N/A</v>
      </c>
      <c r="AP119">
        <f>IFERROR((IF(ISNUMBER(M119),M119/100*PONDERADORES!$D$12,0)+IF(ISNUMBER(SCORECARDS!H119),SCORECARDS!H119/100*PONDERADORES!$D$13,0)+IF(ISNUMBER(SCORECARDS!I119),SCORECARDS!I119/100*PONDERADORES!$D$14,0)+IF(ISNUMBER(SCORECARDS!J119),SCORECARDS!J119/100*PONDERADORES!$D$15,0)+IF(ISNUMBER(ISCAM_Score!K120),ISCAM_Score!K120/100*PONDERADORES!$D$16,0)+IF(ISNUMBER(O119),O119*PONDERADORES!$D$17,0)+IF(ISNUMBER(AVERAGE(W119:Z119)),AVERAGE(W119:Z119)/2*PONDERADORES!$D$19,0))/(IF(ISNUMBER(M119),PONDERADORES!$D$12,0)+IF(ISNUMBER(SCORECARDS!H119),PONDERADORES!$D$13,0)+IF(ISNUMBER(SCORECARDS!I119),PONDERADORES!$D$14,0)+IF(ISNUMBER(SCORECARDS!J119),PONDERADORES!$D$15,0)+IF(ISNUMBER(ISCAM_Score!K120),PONDERADORES!$D$16,0)+IF(ISNUMBER(O119),PONDERADORES!$D$17,0)+IF(ISNUMBER(AVERAGE(W119:Z119)),PONDERADORES!$D$19,0)),"N/A")</f>
        <v>0</v>
      </c>
      <c r="AQ119">
        <f>IF(ISNUMBER(M119),1,0)+IF(ISNUMBER(SCORECARDS!H119),1,0)+IF(ISNUMBER(SCORECARDS!I119),1,0)+IF(ISNUMBER(SCORECARDS!J119),1,0)+IF(ISNUMBER(ISCAM_Score!K120),1,0)+IF(ISNUMBER(O119),1,0)+IF(COUNT(W119:Z119)&gt;0,1,0)</f>
        <v>1</v>
      </c>
    </row>
    <row r="120" spans="1:45" ht="16.05" customHeight="1" x14ac:dyDescent="0.3">
      <c r="A120" t="s">
        <v>325</v>
      </c>
      <c r="B120" t="s">
        <v>326</v>
      </c>
      <c r="C120" t="s">
        <v>150</v>
      </c>
      <c r="D120" t="s">
        <v>65</v>
      </c>
      <c r="G120" t="s">
        <v>74</v>
      </c>
      <c r="J120" t="s">
        <v>67</v>
      </c>
      <c r="M120" t="str">
        <f t="shared" si="11"/>
        <v/>
      </c>
      <c r="N120" t="s">
        <v>68</v>
      </c>
      <c r="O120" t="str">
        <f t="shared" si="12"/>
        <v/>
      </c>
      <c r="P120" t="s">
        <v>68</v>
      </c>
      <c r="S120">
        <f t="shared" si="13"/>
        <v>0</v>
      </c>
      <c r="T120" t="str">
        <f t="shared" si="14"/>
        <v>⬜  Parcial · Inst. 2 pendiente</v>
      </c>
      <c r="U120" s="53">
        <v>1</v>
      </c>
      <c r="V120" t="s">
        <v>69</v>
      </c>
      <c r="W120">
        <f>IF(NORMALIZADO!BV120="",0,NORMALIZADO!BV120)</f>
        <v>0</v>
      </c>
      <c r="X120">
        <f>IF(NORMALIZADO!BW120="",0,NORMALIZADO!BW120)</f>
        <v>0</v>
      </c>
      <c r="Y120">
        <f>IF(NORMALIZADO!BX120="",0,NORMALIZADO!BX120)</f>
        <v>0</v>
      </c>
      <c r="Z120">
        <f>IF(NORMALIZADO!BY120="",0,NORMALIZADO!BY120)</f>
        <v>0</v>
      </c>
      <c r="AO120" t="str">
        <f t="shared" si="15"/>
        <v>N/A</v>
      </c>
      <c r="AP120">
        <f>IFERROR((IF(ISNUMBER(M120),M120/100*PONDERADORES!$D$12,0)+IF(ISNUMBER(SCORECARDS!H120),SCORECARDS!H120/100*PONDERADORES!$D$13,0)+IF(ISNUMBER(SCORECARDS!I120),SCORECARDS!I120/100*PONDERADORES!$D$14,0)+IF(ISNUMBER(SCORECARDS!J120),SCORECARDS!J120/100*PONDERADORES!$D$15,0)+IF(ISNUMBER(ISCAM_Score!K121),ISCAM_Score!K121/100*PONDERADORES!$D$16,0)+IF(ISNUMBER(O120),O120*PONDERADORES!$D$17,0)+IF(ISNUMBER(AVERAGE(W120:Z120)),AVERAGE(W120:Z120)/2*PONDERADORES!$D$19,0))/(IF(ISNUMBER(M120),PONDERADORES!$D$12,0)+IF(ISNUMBER(SCORECARDS!H120),PONDERADORES!$D$13,0)+IF(ISNUMBER(SCORECARDS!I120),PONDERADORES!$D$14,0)+IF(ISNUMBER(SCORECARDS!J120),PONDERADORES!$D$15,0)+IF(ISNUMBER(ISCAM_Score!K121),PONDERADORES!$D$16,0)+IF(ISNUMBER(O120),PONDERADORES!$D$17,0)+IF(ISNUMBER(AVERAGE(W120:Z120)),PONDERADORES!$D$19,0)),"N/A")</f>
        <v>0</v>
      </c>
      <c r="AQ120">
        <f>IF(ISNUMBER(M120),1,0)+IF(ISNUMBER(SCORECARDS!H120),1,0)+IF(ISNUMBER(SCORECARDS!I120),1,0)+IF(ISNUMBER(SCORECARDS!J120),1,0)+IF(ISNUMBER(ISCAM_Score!K121),1,0)+IF(ISNUMBER(O120),1,0)+IF(COUNT(W120:Z120)&gt;0,1,0)</f>
        <v>1</v>
      </c>
    </row>
    <row r="121" spans="1:45" ht="16.05" customHeight="1" x14ac:dyDescent="0.3">
      <c r="A121" t="s">
        <v>327</v>
      </c>
      <c r="B121" t="s">
        <v>328</v>
      </c>
      <c r="C121" t="s">
        <v>249</v>
      </c>
      <c r="D121" t="s">
        <v>65</v>
      </c>
      <c r="G121" t="s">
        <v>74</v>
      </c>
      <c r="J121" t="s">
        <v>67</v>
      </c>
      <c r="M121" t="str">
        <f t="shared" si="11"/>
        <v/>
      </c>
      <c r="N121" t="s">
        <v>68</v>
      </c>
      <c r="O121" t="str">
        <f t="shared" si="12"/>
        <v/>
      </c>
      <c r="P121" t="s">
        <v>68</v>
      </c>
      <c r="S121">
        <f t="shared" si="13"/>
        <v>0</v>
      </c>
      <c r="T121" t="str">
        <f t="shared" si="14"/>
        <v>⬜  Parcial · Inst. 2 pendiente</v>
      </c>
      <c r="U121" s="53">
        <v>1</v>
      </c>
      <c r="V121" t="s">
        <v>69</v>
      </c>
      <c r="W121">
        <f>IF(NORMALIZADO!BV121="",0,NORMALIZADO!BV121)</f>
        <v>0</v>
      </c>
      <c r="X121">
        <f>IF(NORMALIZADO!BW121="",0,NORMALIZADO!BW121)</f>
        <v>0</v>
      </c>
      <c r="Y121">
        <f>IF(NORMALIZADO!BX121="",0,NORMALIZADO!BX121)</f>
        <v>0</v>
      </c>
      <c r="Z121">
        <f>IF(NORMALIZADO!BY121="",0,NORMALIZADO!BY121)</f>
        <v>0</v>
      </c>
      <c r="AO121" t="str">
        <f t="shared" si="15"/>
        <v>N/A</v>
      </c>
      <c r="AP121">
        <f>IFERROR((IF(ISNUMBER(M121),M121/100*PONDERADORES!$D$12,0)+IF(ISNUMBER(SCORECARDS!H121),SCORECARDS!H121/100*PONDERADORES!$D$13,0)+IF(ISNUMBER(SCORECARDS!I121),SCORECARDS!I121/100*PONDERADORES!$D$14,0)+IF(ISNUMBER(SCORECARDS!J121),SCORECARDS!J121/100*PONDERADORES!$D$15,0)+IF(ISNUMBER(ISCAM_Score!K122),ISCAM_Score!K122/100*PONDERADORES!$D$16,0)+IF(ISNUMBER(O121),O121*PONDERADORES!$D$17,0)+IF(ISNUMBER(AVERAGE(W121:Z121)),AVERAGE(W121:Z121)/2*PONDERADORES!$D$19,0))/(IF(ISNUMBER(M121),PONDERADORES!$D$12,0)+IF(ISNUMBER(SCORECARDS!H121),PONDERADORES!$D$13,0)+IF(ISNUMBER(SCORECARDS!I121),PONDERADORES!$D$14,0)+IF(ISNUMBER(SCORECARDS!J121),PONDERADORES!$D$15,0)+IF(ISNUMBER(ISCAM_Score!K122),PONDERADORES!$D$16,0)+IF(ISNUMBER(O121),PONDERADORES!$D$17,0)+IF(ISNUMBER(AVERAGE(W121:Z121)),PONDERADORES!$D$19,0)),"N/A")</f>
        <v>0</v>
      </c>
      <c r="AQ121">
        <f>IF(ISNUMBER(M121),1,0)+IF(ISNUMBER(SCORECARDS!H121),1,0)+IF(ISNUMBER(SCORECARDS!I121),1,0)+IF(ISNUMBER(SCORECARDS!J121),1,0)+IF(ISNUMBER(ISCAM_Score!K122),1,0)+IF(ISNUMBER(O121),1,0)+IF(COUNT(W121:Z121)&gt;0,1,0)</f>
        <v>1</v>
      </c>
    </row>
    <row r="122" spans="1:45" ht="16.05" customHeight="1" x14ac:dyDescent="0.3">
      <c r="A122" t="s">
        <v>329</v>
      </c>
      <c r="B122" t="s">
        <v>330</v>
      </c>
      <c r="C122" t="s">
        <v>119</v>
      </c>
      <c r="D122" t="s">
        <v>65</v>
      </c>
      <c r="G122" t="s">
        <v>74</v>
      </c>
      <c r="J122" t="s">
        <v>67</v>
      </c>
      <c r="M122" t="str">
        <f t="shared" si="11"/>
        <v/>
      </c>
      <c r="N122" t="s">
        <v>68</v>
      </c>
      <c r="O122" t="str">
        <f t="shared" si="12"/>
        <v/>
      </c>
      <c r="P122" t="s">
        <v>68</v>
      </c>
      <c r="S122">
        <f t="shared" si="13"/>
        <v>0</v>
      </c>
      <c r="T122" t="str">
        <f t="shared" si="14"/>
        <v>⬜  Parcial · Inst. 2 pendiente</v>
      </c>
      <c r="U122" s="53">
        <v>1</v>
      </c>
      <c r="V122" t="s">
        <v>69</v>
      </c>
      <c r="W122">
        <f>IF(NORMALIZADO!BV122="",0,NORMALIZADO!BV122)</f>
        <v>0</v>
      </c>
      <c r="X122">
        <f>IF(NORMALIZADO!BW122="",0,NORMALIZADO!BW122)</f>
        <v>0</v>
      </c>
      <c r="Y122">
        <f>IF(NORMALIZADO!BX122="",0,NORMALIZADO!BX122)</f>
        <v>0</v>
      </c>
      <c r="Z122">
        <f>IF(NORMALIZADO!BY122="",0,NORMALIZADO!BY122)</f>
        <v>0</v>
      </c>
      <c r="AO122" t="str">
        <f t="shared" si="15"/>
        <v>N/A</v>
      </c>
      <c r="AP122">
        <f>IFERROR((IF(ISNUMBER(M122),M122/100*PONDERADORES!$D$12,0)+IF(ISNUMBER(SCORECARDS!H122),SCORECARDS!H122/100*PONDERADORES!$D$13,0)+IF(ISNUMBER(SCORECARDS!I122),SCORECARDS!I122/100*PONDERADORES!$D$14,0)+IF(ISNUMBER(SCORECARDS!J122),SCORECARDS!J122/100*PONDERADORES!$D$15,0)+IF(ISNUMBER(ISCAM_Score!K123),ISCAM_Score!K123/100*PONDERADORES!$D$16,0)+IF(ISNUMBER(O122),O122*PONDERADORES!$D$17,0)+IF(ISNUMBER(AVERAGE(W122:Z122)),AVERAGE(W122:Z122)/2*PONDERADORES!$D$19,0))/(IF(ISNUMBER(M122),PONDERADORES!$D$12,0)+IF(ISNUMBER(SCORECARDS!H122),PONDERADORES!$D$13,0)+IF(ISNUMBER(SCORECARDS!I122),PONDERADORES!$D$14,0)+IF(ISNUMBER(SCORECARDS!J122),PONDERADORES!$D$15,0)+IF(ISNUMBER(ISCAM_Score!K123),PONDERADORES!$D$16,0)+IF(ISNUMBER(O122),PONDERADORES!$D$17,0)+IF(ISNUMBER(AVERAGE(W122:Z122)),PONDERADORES!$D$19,0)),"N/A")</f>
        <v>0</v>
      </c>
      <c r="AQ122">
        <f>IF(ISNUMBER(M122),1,0)+IF(ISNUMBER(SCORECARDS!H122),1,0)+IF(ISNUMBER(SCORECARDS!I122),1,0)+IF(ISNUMBER(SCORECARDS!J122),1,0)+IF(ISNUMBER(ISCAM_Score!K123),1,0)+IF(ISNUMBER(O122),1,0)+IF(COUNT(W122:Z122)&gt;0,1,0)</f>
        <v>1</v>
      </c>
    </row>
    <row r="123" spans="1:45" ht="16.05" customHeight="1" x14ac:dyDescent="0.3">
      <c r="A123" t="s">
        <v>331</v>
      </c>
      <c r="B123" t="s">
        <v>332</v>
      </c>
      <c r="C123" t="s">
        <v>77</v>
      </c>
      <c r="D123" t="s">
        <v>65</v>
      </c>
      <c r="G123" t="s">
        <v>74</v>
      </c>
      <c r="J123" t="s">
        <v>124</v>
      </c>
      <c r="M123" t="str">
        <f t="shared" si="11"/>
        <v/>
      </c>
      <c r="N123" t="s">
        <v>68</v>
      </c>
      <c r="O123" t="str">
        <f t="shared" si="12"/>
        <v/>
      </c>
      <c r="P123" t="s">
        <v>68</v>
      </c>
      <c r="S123">
        <f t="shared" si="13"/>
        <v>0</v>
      </c>
      <c r="T123" t="str">
        <f t="shared" si="14"/>
        <v>⬜  Parcial · Inst. 2 pendiente</v>
      </c>
      <c r="U123" s="53">
        <v>1</v>
      </c>
      <c r="V123" t="s">
        <v>69</v>
      </c>
      <c r="W123">
        <f>IF(NORMALIZADO!BV123="",0,NORMALIZADO!BV123)</f>
        <v>0</v>
      </c>
      <c r="X123">
        <f>IF(NORMALIZADO!BW123="",0,NORMALIZADO!BW123)</f>
        <v>0</v>
      </c>
      <c r="Y123">
        <f>IF(NORMALIZADO!BX123="",0,NORMALIZADO!BX123)</f>
        <v>0</v>
      </c>
      <c r="Z123">
        <f>IF(NORMALIZADO!BY123="",0,NORMALIZADO!BY123)</f>
        <v>0</v>
      </c>
      <c r="AO123" t="str">
        <f t="shared" si="15"/>
        <v>N/A</v>
      </c>
      <c r="AP123">
        <f>IFERROR((IF(ISNUMBER(M123),M123/100*PONDERADORES!$D$12,0)+IF(ISNUMBER(SCORECARDS!H123),SCORECARDS!H123/100*PONDERADORES!$D$13,0)+IF(ISNUMBER(SCORECARDS!I123),SCORECARDS!I123/100*PONDERADORES!$D$14,0)+IF(ISNUMBER(SCORECARDS!J123),SCORECARDS!J123/100*PONDERADORES!$D$15,0)+IF(ISNUMBER(ISCAM_Score!K124),ISCAM_Score!K124/100*PONDERADORES!$D$16,0)+IF(ISNUMBER(O123),O123*PONDERADORES!$D$17,0)+IF(ISNUMBER(AVERAGE(W123:Z123)),AVERAGE(W123:Z123)/2*PONDERADORES!$D$19,0))/(IF(ISNUMBER(M123),PONDERADORES!$D$12,0)+IF(ISNUMBER(SCORECARDS!H123),PONDERADORES!$D$13,0)+IF(ISNUMBER(SCORECARDS!I123),PONDERADORES!$D$14,0)+IF(ISNUMBER(SCORECARDS!J123),PONDERADORES!$D$15,0)+IF(ISNUMBER(ISCAM_Score!K124),PONDERADORES!$D$16,0)+IF(ISNUMBER(O123),PONDERADORES!$D$17,0)+IF(ISNUMBER(AVERAGE(W123:Z123)),PONDERADORES!$D$19,0)),"N/A")</f>
        <v>0</v>
      </c>
      <c r="AQ123">
        <f>IF(ISNUMBER(M123),1,0)+IF(ISNUMBER(SCORECARDS!H123),1,0)+IF(ISNUMBER(SCORECARDS!I123),1,0)+IF(ISNUMBER(SCORECARDS!J123),1,0)+IF(ISNUMBER(ISCAM_Score!K124),1,0)+IF(ISNUMBER(O123),1,0)+IF(COUNT(W123:Z123)&gt;0,1,0)</f>
        <v>1</v>
      </c>
    </row>
    <row r="124" spans="1:45" ht="16.05" customHeight="1" x14ac:dyDescent="0.3">
      <c r="A124" t="s">
        <v>333</v>
      </c>
      <c r="B124" t="s">
        <v>334</v>
      </c>
      <c r="C124" t="s">
        <v>112</v>
      </c>
      <c r="D124" t="s">
        <v>65</v>
      </c>
      <c r="E124">
        <v>442439.35</v>
      </c>
      <c r="F124">
        <v>4</v>
      </c>
      <c r="G124" t="s">
        <v>66</v>
      </c>
      <c r="H124" t="s">
        <v>66</v>
      </c>
      <c r="I124" t="s">
        <v>66</v>
      </c>
      <c r="J124" t="s">
        <v>67</v>
      </c>
      <c r="K124" t="s">
        <v>335</v>
      </c>
      <c r="L124">
        <v>0</v>
      </c>
      <c r="M124">
        <f t="shared" si="11"/>
        <v>0</v>
      </c>
      <c r="N124" t="s">
        <v>68</v>
      </c>
      <c r="O124">
        <f t="shared" si="12"/>
        <v>1</v>
      </c>
      <c r="P124" t="s">
        <v>68</v>
      </c>
      <c r="Q124">
        <v>256</v>
      </c>
      <c r="R124">
        <v>685</v>
      </c>
      <c r="S124">
        <f t="shared" si="13"/>
        <v>21.9</v>
      </c>
      <c r="T124" t="str">
        <f t="shared" si="14"/>
        <v>⬜  Parcial · Inst. 2 pendiente</v>
      </c>
      <c r="U124" s="53">
        <v>1</v>
      </c>
      <c r="V124" t="s">
        <v>69</v>
      </c>
      <c r="W124">
        <f>IF(NORMALIZADO!BV124="",1,NORMALIZADO!BV124)</f>
        <v>1</v>
      </c>
      <c r="X124">
        <f>IF(NORMALIZADO!BW124="",0,NORMALIZADO!BW124)</f>
        <v>0</v>
      </c>
      <c r="Y124">
        <f>IF(NORMALIZADO!BX124="",0,NORMALIZADO!BX124)</f>
        <v>0</v>
      </c>
      <c r="Z124">
        <f>IF(NORMALIZADO!BY124="",0,NORMALIZADO!BY124)</f>
        <v>0</v>
      </c>
      <c r="AO124" t="str">
        <f t="shared" si="15"/>
        <v>N/A</v>
      </c>
      <c r="AP124">
        <f>IFERROR((IF(ISNUMBER(M124),M124/100*PONDERADORES!$D$12,0)+IF(ISNUMBER(SCORECARDS!H124),SCORECARDS!H124/100*PONDERADORES!$D$13,0)+IF(ISNUMBER(SCORECARDS!I124),SCORECARDS!I124/100*PONDERADORES!$D$14,0)+IF(ISNUMBER(SCORECARDS!J124),SCORECARDS!J124/100*PONDERADORES!$D$15,0)+IF(ISNUMBER(ISCAM_Score!K125),ISCAM_Score!K125/100*PONDERADORES!$D$16,0)+IF(ISNUMBER(O124),O124*PONDERADORES!$D$17,0)+IF(ISNUMBER(AVERAGE(W124:Z124)),AVERAGE(W124:Z124)/2*PONDERADORES!$D$19,0))/(IF(ISNUMBER(M124),PONDERADORES!$D$12,0)+IF(ISNUMBER(SCORECARDS!H124),PONDERADORES!$D$13,0)+IF(ISNUMBER(SCORECARDS!I124),PONDERADORES!$D$14,0)+IF(ISNUMBER(SCORECARDS!J124),PONDERADORES!$D$15,0)+IF(ISNUMBER(ISCAM_Score!K125),PONDERADORES!$D$16,0)+IF(ISNUMBER(O124),PONDERADORES!$D$17,0)+IF(ISNUMBER(AVERAGE(W124:Z124)),PONDERADORES!$D$19,0)),"N/A")</f>
        <v>0.21875</v>
      </c>
      <c r="AQ124">
        <f>IF(ISNUMBER(M124),1,0)+IF(ISNUMBER(SCORECARDS!H124),1,0)+IF(ISNUMBER(SCORECARDS!I124),1,0)+IF(ISNUMBER(SCORECARDS!J124),1,0)+IF(ISNUMBER(ISCAM_Score!K125),1,0)+IF(ISNUMBER(O124),1,0)+IF(COUNT(W124:Z124)&gt;0,1,0)</f>
        <v>3</v>
      </c>
      <c r="AR124" t="s">
        <v>1559</v>
      </c>
      <c r="AS124" t="s">
        <v>1560</v>
      </c>
    </row>
    <row r="125" spans="1:45" ht="16.05" customHeight="1" x14ac:dyDescent="0.3">
      <c r="A125" t="s">
        <v>336</v>
      </c>
      <c r="B125" t="s">
        <v>337</v>
      </c>
      <c r="C125" t="s">
        <v>77</v>
      </c>
      <c r="D125" t="s">
        <v>73</v>
      </c>
      <c r="G125" t="s">
        <v>74</v>
      </c>
      <c r="J125" t="s">
        <v>67</v>
      </c>
      <c r="M125" t="str">
        <f t="shared" si="11"/>
        <v/>
      </c>
      <c r="N125" t="s">
        <v>68</v>
      </c>
      <c r="O125" t="str">
        <f t="shared" si="12"/>
        <v/>
      </c>
      <c r="P125" t="s">
        <v>68</v>
      </c>
      <c r="S125">
        <f t="shared" si="13"/>
        <v>0</v>
      </c>
      <c r="T125" t="str">
        <f t="shared" si="14"/>
        <v>⬜  Parcial · Inst. 2 pendiente</v>
      </c>
      <c r="U125" s="53">
        <v>1</v>
      </c>
      <c r="V125" t="s">
        <v>69</v>
      </c>
      <c r="W125">
        <f>IF(NORMALIZADO!BV125="",0,NORMALIZADO!BV125)</f>
        <v>0</v>
      </c>
      <c r="X125">
        <f>IF(NORMALIZADO!BW125="",0,NORMALIZADO!BW125)</f>
        <v>0</v>
      </c>
      <c r="Y125">
        <f>IF(NORMALIZADO!BX125="",0,NORMALIZADO!BX125)</f>
        <v>0</v>
      </c>
      <c r="Z125">
        <f>IF(NORMALIZADO!BY125="",0,NORMALIZADO!BY125)</f>
        <v>0</v>
      </c>
      <c r="AO125" t="str">
        <f t="shared" si="15"/>
        <v>N/A</v>
      </c>
      <c r="AP125">
        <f>IFERROR((IF(ISNUMBER(M125),M125/100*PONDERADORES!$D$12,0)+IF(ISNUMBER(SCORECARDS!H125),SCORECARDS!H125/100*PONDERADORES!$D$13,0)+IF(ISNUMBER(SCORECARDS!I125),SCORECARDS!I125/100*PONDERADORES!$D$14,0)+IF(ISNUMBER(SCORECARDS!J125),SCORECARDS!J125/100*PONDERADORES!$D$15,0)+IF(ISNUMBER(ISCAM_Score!K126),ISCAM_Score!K126/100*PONDERADORES!$D$16,0)+IF(ISNUMBER(O125),O125*PONDERADORES!$D$17,0)+IF(ISNUMBER(AVERAGE(W125:Z125)),AVERAGE(W125:Z125)/2*PONDERADORES!$D$19,0))/(IF(ISNUMBER(M125),PONDERADORES!$D$12,0)+IF(ISNUMBER(SCORECARDS!H125),PONDERADORES!$D$13,0)+IF(ISNUMBER(SCORECARDS!I125),PONDERADORES!$D$14,0)+IF(ISNUMBER(SCORECARDS!J125),PONDERADORES!$D$15,0)+IF(ISNUMBER(ISCAM_Score!K126),PONDERADORES!$D$16,0)+IF(ISNUMBER(O125),PONDERADORES!$D$17,0)+IF(ISNUMBER(AVERAGE(W125:Z125)),PONDERADORES!$D$19,0)),"N/A")</f>
        <v>0</v>
      </c>
      <c r="AQ125">
        <f>IF(ISNUMBER(M125),1,0)+IF(ISNUMBER(SCORECARDS!H125),1,0)+IF(ISNUMBER(SCORECARDS!I125),1,0)+IF(ISNUMBER(SCORECARDS!J125),1,0)+IF(ISNUMBER(ISCAM_Score!K126),1,0)+IF(ISNUMBER(O125),1,0)+IF(COUNT(W125:Z125)&gt;0,1,0)</f>
        <v>1</v>
      </c>
    </row>
    <row r="126" spans="1:45" ht="16.05" customHeight="1" x14ac:dyDescent="0.3">
      <c r="A126" t="s">
        <v>338</v>
      </c>
      <c r="B126" t="s">
        <v>339</v>
      </c>
      <c r="C126" t="s">
        <v>77</v>
      </c>
      <c r="D126" t="s">
        <v>73</v>
      </c>
      <c r="G126" t="s">
        <v>74</v>
      </c>
      <c r="J126" t="s">
        <v>67</v>
      </c>
      <c r="M126" t="str">
        <f t="shared" si="11"/>
        <v/>
      </c>
      <c r="N126" t="s">
        <v>68</v>
      </c>
      <c r="O126" t="str">
        <f t="shared" si="12"/>
        <v/>
      </c>
      <c r="P126" t="s">
        <v>68</v>
      </c>
      <c r="S126">
        <f t="shared" si="13"/>
        <v>0</v>
      </c>
      <c r="T126" t="str">
        <f t="shared" si="14"/>
        <v>⬜  Parcial · Inst. 2 pendiente</v>
      </c>
      <c r="U126" s="53">
        <v>1</v>
      </c>
      <c r="V126" t="s">
        <v>69</v>
      </c>
      <c r="W126">
        <f>IF(NORMALIZADO!BV126="",0,NORMALIZADO!BV126)</f>
        <v>0</v>
      </c>
      <c r="X126">
        <f>IF(NORMALIZADO!BW126="",0,NORMALIZADO!BW126)</f>
        <v>0</v>
      </c>
      <c r="Y126">
        <f>IF(NORMALIZADO!BX126="",0,NORMALIZADO!BX126)</f>
        <v>0</v>
      </c>
      <c r="Z126">
        <f>IF(NORMALIZADO!BY126="",0,NORMALIZADO!BY126)</f>
        <v>0</v>
      </c>
      <c r="AO126" t="str">
        <f t="shared" si="15"/>
        <v>N/A</v>
      </c>
      <c r="AP126">
        <f>IFERROR((IF(ISNUMBER(M126),M126/100*PONDERADORES!$D$12,0)+IF(ISNUMBER(SCORECARDS!H126),SCORECARDS!H126/100*PONDERADORES!$D$13,0)+IF(ISNUMBER(SCORECARDS!I126),SCORECARDS!I126/100*PONDERADORES!$D$14,0)+IF(ISNUMBER(SCORECARDS!J126),SCORECARDS!J126/100*PONDERADORES!$D$15,0)+IF(ISNUMBER(ISCAM_Score!K127),ISCAM_Score!K127/100*PONDERADORES!$D$16,0)+IF(ISNUMBER(O126),O126*PONDERADORES!$D$17,0)+IF(ISNUMBER(AVERAGE(W126:Z126)),AVERAGE(W126:Z126)/2*PONDERADORES!$D$19,0))/(IF(ISNUMBER(M126),PONDERADORES!$D$12,0)+IF(ISNUMBER(SCORECARDS!H126),PONDERADORES!$D$13,0)+IF(ISNUMBER(SCORECARDS!I126),PONDERADORES!$D$14,0)+IF(ISNUMBER(SCORECARDS!J126),PONDERADORES!$D$15,0)+IF(ISNUMBER(ISCAM_Score!K127),PONDERADORES!$D$16,0)+IF(ISNUMBER(O126),PONDERADORES!$D$17,0)+IF(ISNUMBER(AVERAGE(W126:Z126)),PONDERADORES!$D$19,0)),"N/A")</f>
        <v>0</v>
      </c>
      <c r="AQ126">
        <f>IF(ISNUMBER(M126),1,0)+IF(ISNUMBER(SCORECARDS!H126),1,0)+IF(ISNUMBER(SCORECARDS!I126),1,0)+IF(ISNUMBER(SCORECARDS!J126),1,0)+IF(ISNUMBER(ISCAM_Score!K127),1,0)+IF(ISNUMBER(O126),1,0)+IF(COUNT(W126:Z126)&gt;0,1,0)</f>
        <v>1</v>
      </c>
    </row>
    <row r="127" spans="1:45" ht="16.05" customHeight="1" x14ac:dyDescent="0.3">
      <c r="A127" t="s">
        <v>340</v>
      </c>
      <c r="B127" t="s">
        <v>341</v>
      </c>
      <c r="C127" t="s">
        <v>77</v>
      </c>
      <c r="D127" t="s">
        <v>73</v>
      </c>
      <c r="G127" t="s">
        <v>74</v>
      </c>
      <c r="J127" t="s">
        <v>67</v>
      </c>
      <c r="M127" t="str">
        <f t="shared" si="11"/>
        <v/>
      </c>
      <c r="N127" t="s">
        <v>68</v>
      </c>
      <c r="O127" t="str">
        <f t="shared" si="12"/>
        <v/>
      </c>
      <c r="P127" t="s">
        <v>68</v>
      </c>
      <c r="S127">
        <f t="shared" si="13"/>
        <v>0</v>
      </c>
      <c r="T127" t="str">
        <f t="shared" si="14"/>
        <v>⬜  Parcial · Inst. 2 pendiente</v>
      </c>
      <c r="U127" s="53">
        <v>1</v>
      </c>
      <c r="V127" t="s">
        <v>69</v>
      </c>
      <c r="W127">
        <f>IF(NORMALIZADO!BV127="",0,NORMALIZADO!BV127)</f>
        <v>0</v>
      </c>
      <c r="X127">
        <f>IF(NORMALIZADO!BW127="",0,NORMALIZADO!BW127)</f>
        <v>0</v>
      </c>
      <c r="Y127">
        <f>IF(NORMALIZADO!BX127="",0,NORMALIZADO!BX127)</f>
        <v>0</v>
      </c>
      <c r="Z127">
        <f>IF(NORMALIZADO!BY127="",0,NORMALIZADO!BY127)</f>
        <v>0</v>
      </c>
      <c r="AO127" t="str">
        <f t="shared" si="15"/>
        <v>N/A</v>
      </c>
      <c r="AP127">
        <f>IFERROR((IF(ISNUMBER(M127),M127/100*PONDERADORES!$D$12,0)+IF(ISNUMBER(SCORECARDS!H127),SCORECARDS!H127/100*PONDERADORES!$D$13,0)+IF(ISNUMBER(SCORECARDS!I127),SCORECARDS!I127/100*PONDERADORES!$D$14,0)+IF(ISNUMBER(SCORECARDS!J127),SCORECARDS!J127/100*PONDERADORES!$D$15,0)+IF(ISNUMBER(ISCAM_Score!K128),ISCAM_Score!K128/100*PONDERADORES!$D$16,0)+IF(ISNUMBER(O127),O127*PONDERADORES!$D$17,0)+IF(ISNUMBER(AVERAGE(W127:Z127)),AVERAGE(W127:Z127)/2*PONDERADORES!$D$19,0))/(IF(ISNUMBER(M127),PONDERADORES!$D$12,0)+IF(ISNUMBER(SCORECARDS!H127),PONDERADORES!$D$13,0)+IF(ISNUMBER(SCORECARDS!I127),PONDERADORES!$D$14,0)+IF(ISNUMBER(SCORECARDS!J127),PONDERADORES!$D$15,0)+IF(ISNUMBER(ISCAM_Score!K128),PONDERADORES!$D$16,0)+IF(ISNUMBER(O127),PONDERADORES!$D$17,0)+IF(ISNUMBER(AVERAGE(W127:Z127)),PONDERADORES!$D$19,0)),"N/A")</f>
        <v>0</v>
      </c>
      <c r="AQ127">
        <f>IF(ISNUMBER(M127),1,0)+IF(ISNUMBER(SCORECARDS!H127),1,0)+IF(ISNUMBER(SCORECARDS!I127),1,0)+IF(ISNUMBER(SCORECARDS!J127),1,0)+IF(ISNUMBER(ISCAM_Score!K128),1,0)+IF(ISNUMBER(O127),1,0)+IF(COUNT(W127:Z127)&gt;0,1,0)</f>
        <v>1</v>
      </c>
    </row>
    <row r="128" spans="1:45" ht="16.05" customHeight="1" x14ac:dyDescent="0.3">
      <c r="A128" t="s">
        <v>342</v>
      </c>
      <c r="B128" t="s">
        <v>343</v>
      </c>
      <c r="C128" t="s">
        <v>112</v>
      </c>
      <c r="D128" t="s">
        <v>65</v>
      </c>
      <c r="E128">
        <v>13966273.33</v>
      </c>
      <c r="F128">
        <v>80</v>
      </c>
      <c r="G128" t="s">
        <v>66</v>
      </c>
      <c r="J128" t="s">
        <v>67</v>
      </c>
      <c r="L128">
        <v>6983136.6699999999</v>
      </c>
      <c r="M128">
        <f t="shared" si="11"/>
        <v>50</v>
      </c>
      <c r="N128" t="s">
        <v>68</v>
      </c>
      <c r="O128" t="str">
        <f t="shared" si="12"/>
        <v/>
      </c>
      <c r="P128" t="s">
        <v>68</v>
      </c>
      <c r="S128">
        <f t="shared" si="13"/>
        <v>31.3</v>
      </c>
      <c r="T128" t="str">
        <f t="shared" si="14"/>
        <v>⬜  Parcial · Inst. 2 pendiente</v>
      </c>
      <c r="U128" s="53">
        <v>1</v>
      </c>
      <c r="V128" t="s">
        <v>69</v>
      </c>
      <c r="W128">
        <f>IF(NORMALIZADO!BV128="",1,NORMALIZADO!BV128)</f>
        <v>1</v>
      </c>
      <c r="X128">
        <f>IF(NORMALIZADO!BW128="",0,NORMALIZADO!BW128)</f>
        <v>0</v>
      </c>
      <c r="Y128">
        <f>IF(NORMALIZADO!BX128="",0,NORMALIZADO!BX128)</f>
        <v>0</v>
      </c>
      <c r="Z128">
        <f>IF(NORMALIZADO!BY128="",0,NORMALIZADO!BY128)</f>
        <v>0</v>
      </c>
      <c r="AO128" t="str">
        <f t="shared" si="15"/>
        <v>N/A</v>
      </c>
      <c r="AP128">
        <f>IFERROR((IF(ISNUMBER(M128),M128/100*PONDERADORES!$D$12,0)+IF(ISNUMBER(SCORECARDS!H128),SCORECARDS!H128/100*PONDERADORES!$D$13,0)+IF(ISNUMBER(SCORECARDS!I128),SCORECARDS!I128/100*PONDERADORES!$D$14,0)+IF(ISNUMBER(SCORECARDS!J128),SCORECARDS!J128/100*PONDERADORES!$D$15,0)+IF(ISNUMBER(ISCAM_Score!K129),ISCAM_Score!K129/100*PONDERADORES!$D$16,0)+IF(ISNUMBER(O128),O128*PONDERADORES!$D$17,0)+IF(ISNUMBER(AVERAGE(W128:Z128)),AVERAGE(W128:Z128)/2*PONDERADORES!$D$19,0))/(IF(ISNUMBER(M128),PONDERADORES!$D$12,0)+IF(ISNUMBER(SCORECARDS!H128),PONDERADORES!$D$13,0)+IF(ISNUMBER(SCORECARDS!I128),PONDERADORES!$D$14,0)+IF(ISNUMBER(SCORECARDS!J128),PONDERADORES!$D$15,0)+IF(ISNUMBER(ISCAM_Score!K129),PONDERADORES!$D$16,0)+IF(ISNUMBER(O128),PONDERADORES!$D$17,0)+IF(ISNUMBER(AVERAGE(W128:Z128)),PONDERADORES!$D$19,0)),"N/A")</f>
        <v>0.3125</v>
      </c>
      <c r="AQ128">
        <f>IF(ISNUMBER(M128),1,0)+IF(ISNUMBER(SCORECARDS!H128),1,0)+IF(ISNUMBER(SCORECARDS!I128),1,0)+IF(ISNUMBER(SCORECARDS!J128),1,0)+IF(ISNUMBER(ISCAM_Score!K129),1,0)+IF(ISNUMBER(O128),1,0)+IF(COUNT(W128:Z128)&gt;0,1,0)</f>
        <v>2</v>
      </c>
    </row>
    <row r="129" spans="1:45" ht="16.05" customHeight="1" x14ac:dyDescent="0.3">
      <c r="A129" t="s">
        <v>344</v>
      </c>
      <c r="B129" t="s">
        <v>345</v>
      </c>
      <c r="C129" t="s">
        <v>109</v>
      </c>
      <c r="D129" t="s">
        <v>73</v>
      </c>
      <c r="G129" t="s">
        <v>74</v>
      </c>
      <c r="J129" t="s">
        <v>67</v>
      </c>
      <c r="M129" t="str">
        <f t="shared" si="11"/>
        <v/>
      </c>
      <c r="N129" t="s">
        <v>68</v>
      </c>
      <c r="O129" t="str">
        <f t="shared" si="12"/>
        <v/>
      </c>
      <c r="P129" t="s">
        <v>68</v>
      </c>
      <c r="S129">
        <f t="shared" si="13"/>
        <v>0</v>
      </c>
      <c r="T129" t="str">
        <f t="shared" si="14"/>
        <v>⬜  Parcial · Inst. 2 pendiente</v>
      </c>
      <c r="U129" s="53">
        <v>1</v>
      </c>
      <c r="V129" t="s">
        <v>69</v>
      </c>
      <c r="W129">
        <f>IF(NORMALIZADO!BV129="",0,NORMALIZADO!BV129)</f>
        <v>0</v>
      </c>
      <c r="X129">
        <f>IF(NORMALIZADO!BW129="",0,NORMALIZADO!BW129)</f>
        <v>0</v>
      </c>
      <c r="Y129">
        <f>IF(NORMALIZADO!BX129="",0,NORMALIZADO!BX129)</f>
        <v>0</v>
      </c>
      <c r="Z129">
        <f>IF(NORMALIZADO!BY129="",0,NORMALIZADO!BY129)</f>
        <v>0</v>
      </c>
      <c r="AO129" t="str">
        <f t="shared" si="15"/>
        <v>N/A</v>
      </c>
      <c r="AP129">
        <f>IFERROR((IF(ISNUMBER(M129),M129/100*PONDERADORES!$D$12,0)+IF(ISNUMBER(SCORECARDS!H129),SCORECARDS!H129/100*PONDERADORES!$D$13,0)+IF(ISNUMBER(SCORECARDS!I129),SCORECARDS!I129/100*PONDERADORES!$D$14,0)+IF(ISNUMBER(SCORECARDS!J129),SCORECARDS!J129/100*PONDERADORES!$D$15,0)+IF(ISNUMBER(ISCAM_Score!K130),ISCAM_Score!K130/100*PONDERADORES!$D$16,0)+IF(ISNUMBER(O129),O129*PONDERADORES!$D$17,0)+IF(ISNUMBER(AVERAGE(W129:Z129)),AVERAGE(W129:Z129)/2*PONDERADORES!$D$19,0))/(IF(ISNUMBER(M129),PONDERADORES!$D$12,0)+IF(ISNUMBER(SCORECARDS!H129),PONDERADORES!$D$13,0)+IF(ISNUMBER(SCORECARDS!I129),PONDERADORES!$D$14,0)+IF(ISNUMBER(SCORECARDS!J129),PONDERADORES!$D$15,0)+IF(ISNUMBER(ISCAM_Score!K130),PONDERADORES!$D$16,0)+IF(ISNUMBER(O129),PONDERADORES!$D$17,0)+IF(ISNUMBER(AVERAGE(W129:Z129)),PONDERADORES!$D$19,0)),"N/A")</f>
        <v>0</v>
      </c>
      <c r="AQ129">
        <f>IF(ISNUMBER(M129),1,0)+IF(ISNUMBER(SCORECARDS!H129),1,0)+IF(ISNUMBER(SCORECARDS!I129),1,0)+IF(ISNUMBER(SCORECARDS!J129),1,0)+IF(ISNUMBER(ISCAM_Score!K130),1,0)+IF(ISNUMBER(O129),1,0)+IF(COUNT(W129:Z129)&gt;0,1,0)</f>
        <v>1</v>
      </c>
    </row>
    <row r="130" spans="1:45" ht="16.05" customHeight="1" x14ac:dyDescent="0.3">
      <c r="A130" t="s">
        <v>346</v>
      </c>
      <c r="B130" t="s">
        <v>347</v>
      </c>
      <c r="C130" t="s">
        <v>249</v>
      </c>
      <c r="D130" t="s">
        <v>65</v>
      </c>
      <c r="E130">
        <v>826100.75</v>
      </c>
      <c r="F130">
        <v>5</v>
      </c>
      <c r="G130" t="s">
        <v>66</v>
      </c>
      <c r="H130" t="s">
        <v>66</v>
      </c>
      <c r="I130" t="s">
        <v>66</v>
      </c>
      <c r="J130" t="s">
        <v>67</v>
      </c>
      <c r="K130" t="s">
        <v>348</v>
      </c>
      <c r="L130">
        <v>0</v>
      </c>
      <c r="M130">
        <f t="shared" si="11"/>
        <v>0</v>
      </c>
      <c r="N130" t="s">
        <v>68</v>
      </c>
      <c r="O130">
        <f t="shared" si="12"/>
        <v>1</v>
      </c>
      <c r="P130" t="s">
        <v>68</v>
      </c>
      <c r="Q130">
        <v>177</v>
      </c>
      <c r="R130">
        <v>213</v>
      </c>
      <c r="S130">
        <f t="shared" si="13"/>
        <v>21.9</v>
      </c>
      <c r="T130" t="str">
        <f t="shared" si="14"/>
        <v>⬜  Parcial · Inst. 2 pendiente</v>
      </c>
      <c r="U130" s="53">
        <v>1</v>
      </c>
      <c r="V130" t="s">
        <v>69</v>
      </c>
      <c r="W130">
        <f>IF(NORMALIZADO!BV130="",1,NORMALIZADO!BV130)</f>
        <v>1</v>
      </c>
      <c r="X130">
        <f>IF(NORMALIZADO!BW130="",0,NORMALIZADO!BW130)</f>
        <v>0</v>
      </c>
      <c r="Y130">
        <f>IF(NORMALIZADO!BX130="",0,NORMALIZADO!BX130)</f>
        <v>0</v>
      </c>
      <c r="Z130">
        <f>IF(NORMALIZADO!BY130="",0,NORMALIZADO!BY130)</f>
        <v>0</v>
      </c>
      <c r="AO130" t="str">
        <f t="shared" si="15"/>
        <v>N/A</v>
      </c>
      <c r="AP130">
        <f>IFERROR((IF(ISNUMBER(M130),M130/100*PONDERADORES!$D$12,0)+IF(ISNUMBER(SCORECARDS!H130),SCORECARDS!H130/100*PONDERADORES!$D$13,0)+IF(ISNUMBER(SCORECARDS!I130),SCORECARDS!I130/100*PONDERADORES!$D$14,0)+IF(ISNUMBER(SCORECARDS!J130),SCORECARDS!J130/100*PONDERADORES!$D$15,0)+IF(ISNUMBER(ISCAM_Score!K131),ISCAM_Score!K131/100*PONDERADORES!$D$16,0)+IF(ISNUMBER(O130),O130*PONDERADORES!$D$17,0)+IF(ISNUMBER(AVERAGE(W130:Z130)),AVERAGE(W130:Z130)/2*PONDERADORES!$D$19,0))/(IF(ISNUMBER(M130),PONDERADORES!$D$12,0)+IF(ISNUMBER(SCORECARDS!H130),PONDERADORES!$D$13,0)+IF(ISNUMBER(SCORECARDS!I130),PONDERADORES!$D$14,0)+IF(ISNUMBER(SCORECARDS!J130),PONDERADORES!$D$15,0)+IF(ISNUMBER(ISCAM_Score!K131),PONDERADORES!$D$16,0)+IF(ISNUMBER(O130),PONDERADORES!$D$17,0)+IF(ISNUMBER(AVERAGE(W130:Z130)),PONDERADORES!$D$19,0)),"N/A")</f>
        <v>0.21875</v>
      </c>
      <c r="AQ130">
        <f>IF(ISNUMBER(M130),1,0)+IF(ISNUMBER(SCORECARDS!H130),1,0)+IF(ISNUMBER(SCORECARDS!I130),1,0)+IF(ISNUMBER(SCORECARDS!J130),1,0)+IF(ISNUMBER(ISCAM_Score!K131),1,0)+IF(ISNUMBER(O130),1,0)+IF(COUNT(W130:Z130)&gt;0,1,0)</f>
        <v>3</v>
      </c>
      <c r="AR130" t="s">
        <v>1561</v>
      </c>
      <c r="AS130" t="s">
        <v>1562</v>
      </c>
    </row>
    <row r="131" spans="1:45" ht="16.05" customHeight="1" x14ac:dyDescent="0.3">
      <c r="A131" t="s">
        <v>349</v>
      </c>
      <c r="B131" t="s">
        <v>350</v>
      </c>
      <c r="C131" t="s">
        <v>77</v>
      </c>
      <c r="D131" t="s">
        <v>65</v>
      </c>
      <c r="G131" t="s">
        <v>74</v>
      </c>
      <c r="J131" t="s">
        <v>124</v>
      </c>
      <c r="M131" t="str">
        <f t="shared" si="11"/>
        <v/>
      </c>
      <c r="N131" t="s">
        <v>68</v>
      </c>
      <c r="O131" t="str">
        <f t="shared" si="12"/>
        <v/>
      </c>
      <c r="P131" t="s">
        <v>68</v>
      </c>
      <c r="S131">
        <f t="shared" ref="S131:S162" si="16">IFERROR(ROUND(AP131*100,1),"N/A")</f>
        <v>0</v>
      </c>
      <c r="T131" t="str">
        <f t="shared" ref="T131:T162" si="17">IF(NOT(ISNUMBER(S131)),"—",IF(AQ131&lt;6,"⬜  Parcial · Inst. 2 pendiente",IF(S131&lt;34,"🔴 Crítico",IF(S131&lt;67,"🟡 Vulnerable","🟢 Preparado"))))</f>
        <v>⬜  Parcial · Inst. 2 pendiente</v>
      </c>
      <c r="U131" s="53">
        <v>1</v>
      </c>
      <c r="V131" t="s">
        <v>69</v>
      </c>
      <c r="W131">
        <f>IF(NORMALIZADO!BV131="",0,NORMALIZADO!BV131)</f>
        <v>0</v>
      </c>
      <c r="X131">
        <f>IF(NORMALIZADO!BW131="",0,NORMALIZADO!BW131)</f>
        <v>0</v>
      </c>
      <c r="Y131">
        <f>IF(NORMALIZADO!BX131="",0,NORMALIZADO!BX131)</f>
        <v>0</v>
      </c>
      <c r="Z131">
        <f>IF(NORMALIZADO!BY131="",0,NORMALIZADO!BY131)</f>
        <v>0</v>
      </c>
      <c r="AO131" t="str">
        <f t="shared" ref="AO131:AO162" si="18">IFERROR(AVERAGE(AA131,AB131,AC131,AD131,AE131,AF131,AG131,AH131,AI131,AJ131,AK131,AL131,AM131,AN131),"N/A")</f>
        <v>N/A</v>
      </c>
      <c r="AP131">
        <f>IFERROR((IF(ISNUMBER(M131),M131/100*PONDERADORES!$D$12,0)+IF(ISNUMBER(SCORECARDS!H131),SCORECARDS!H131/100*PONDERADORES!$D$13,0)+IF(ISNUMBER(SCORECARDS!I131),SCORECARDS!I131/100*PONDERADORES!$D$14,0)+IF(ISNUMBER(SCORECARDS!J131),SCORECARDS!J131/100*PONDERADORES!$D$15,0)+IF(ISNUMBER(ISCAM_Score!K132),ISCAM_Score!K132/100*PONDERADORES!$D$16,0)+IF(ISNUMBER(O131),O131*PONDERADORES!$D$17,0)+IF(ISNUMBER(AVERAGE(W131:Z131)),AVERAGE(W131:Z131)/2*PONDERADORES!$D$19,0))/(IF(ISNUMBER(M131),PONDERADORES!$D$12,0)+IF(ISNUMBER(SCORECARDS!H131),PONDERADORES!$D$13,0)+IF(ISNUMBER(SCORECARDS!I131),PONDERADORES!$D$14,0)+IF(ISNUMBER(SCORECARDS!J131),PONDERADORES!$D$15,0)+IF(ISNUMBER(ISCAM_Score!K132),PONDERADORES!$D$16,0)+IF(ISNUMBER(O131),PONDERADORES!$D$17,0)+IF(ISNUMBER(AVERAGE(W131:Z131)),PONDERADORES!$D$19,0)),"N/A")</f>
        <v>0</v>
      </c>
      <c r="AQ131">
        <f>IF(ISNUMBER(M131),1,0)+IF(ISNUMBER(SCORECARDS!H131),1,0)+IF(ISNUMBER(SCORECARDS!I131),1,0)+IF(ISNUMBER(SCORECARDS!J131),1,0)+IF(ISNUMBER(ISCAM_Score!K132),1,0)+IF(ISNUMBER(O131),1,0)+IF(COUNT(W131:Z131)&gt;0,1,0)</f>
        <v>1</v>
      </c>
    </row>
    <row r="132" spans="1:45" ht="16.05" customHeight="1" x14ac:dyDescent="0.3">
      <c r="A132" t="s">
        <v>351</v>
      </c>
      <c r="B132" t="s">
        <v>352</v>
      </c>
      <c r="C132" t="s">
        <v>109</v>
      </c>
      <c r="D132" t="s">
        <v>73</v>
      </c>
      <c r="G132" t="s">
        <v>74</v>
      </c>
      <c r="J132" t="s">
        <v>124</v>
      </c>
      <c r="M132" t="str">
        <f t="shared" ref="M132:M176" si="19">IF(E132&gt;0,ROUND(L132/E132*100,1),"")</f>
        <v/>
      </c>
      <c r="N132" t="s">
        <v>68</v>
      </c>
      <c r="O132" t="str">
        <f t="shared" ref="O132:O176" si="20">IF(AND(H132="",I132=""),"",IF(H132="SI",1,0)*0.6+IF(I132="SI",1,0)*0.4)</f>
        <v/>
      </c>
      <c r="P132" t="s">
        <v>68</v>
      </c>
      <c r="S132">
        <f t="shared" si="16"/>
        <v>0</v>
      </c>
      <c r="T132" t="str">
        <f t="shared" si="17"/>
        <v>⬜  Parcial · Inst. 2 pendiente</v>
      </c>
      <c r="U132" s="53">
        <v>1</v>
      </c>
      <c r="V132" t="s">
        <v>69</v>
      </c>
      <c r="W132">
        <f>IF(NORMALIZADO!BV132="",0,NORMALIZADO!BV132)</f>
        <v>0</v>
      </c>
      <c r="X132">
        <f>IF(NORMALIZADO!BW132="",0,NORMALIZADO!BW132)</f>
        <v>0</v>
      </c>
      <c r="Y132">
        <f>IF(NORMALIZADO!BX132="",0,NORMALIZADO!BX132)</f>
        <v>0</v>
      </c>
      <c r="Z132">
        <f>IF(NORMALIZADO!BY132="",0,NORMALIZADO!BY132)</f>
        <v>0</v>
      </c>
      <c r="AO132" t="str">
        <f t="shared" si="18"/>
        <v>N/A</v>
      </c>
      <c r="AP132">
        <f>IFERROR((IF(ISNUMBER(M132),M132/100*PONDERADORES!$D$12,0)+IF(ISNUMBER(SCORECARDS!H132),SCORECARDS!H132/100*PONDERADORES!$D$13,0)+IF(ISNUMBER(SCORECARDS!I132),SCORECARDS!I132/100*PONDERADORES!$D$14,0)+IF(ISNUMBER(SCORECARDS!J132),SCORECARDS!J132/100*PONDERADORES!$D$15,0)+IF(ISNUMBER(ISCAM_Score!K133),ISCAM_Score!K133/100*PONDERADORES!$D$16,0)+IF(ISNUMBER(O132),O132*PONDERADORES!$D$17,0)+IF(ISNUMBER(AVERAGE(W132:Z132)),AVERAGE(W132:Z132)/2*PONDERADORES!$D$19,0))/(IF(ISNUMBER(M132),PONDERADORES!$D$12,0)+IF(ISNUMBER(SCORECARDS!H132),PONDERADORES!$D$13,0)+IF(ISNUMBER(SCORECARDS!I132),PONDERADORES!$D$14,0)+IF(ISNUMBER(SCORECARDS!J132),PONDERADORES!$D$15,0)+IF(ISNUMBER(ISCAM_Score!K133),PONDERADORES!$D$16,0)+IF(ISNUMBER(O132),PONDERADORES!$D$17,0)+IF(ISNUMBER(AVERAGE(W132:Z132)),PONDERADORES!$D$19,0)),"N/A")</f>
        <v>0</v>
      </c>
      <c r="AQ132">
        <f>IF(ISNUMBER(M132),1,0)+IF(ISNUMBER(SCORECARDS!H132),1,0)+IF(ISNUMBER(SCORECARDS!I132),1,0)+IF(ISNUMBER(SCORECARDS!J132),1,0)+IF(ISNUMBER(ISCAM_Score!K133),1,0)+IF(ISNUMBER(O132),1,0)+IF(COUNT(W132:Z132)&gt;0,1,0)</f>
        <v>1</v>
      </c>
    </row>
    <row r="133" spans="1:45" ht="16.05" customHeight="1" x14ac:dyDescent="0.3">
      <c r="A133" t="s">
        <v>353</v>
      </c>
      <c r="B133" t="s">
        <v>354</v>
      </c>
      <c r="C133" t="s">
        <v>103</v>
      </c>
      <c r="D133" t="s">
        <v>73</v>
      </c>
      <c r="G133" t="s">
        <v>74</v>
      </c>
      <c r="J133" t="s">
        <v>67</v>
      </c>
      <c r="M133" t="str">
        <f t="shared" si="19"/>
        <v/>
      </c>
      <c r="N133" t="s">
        <v>68</v>
      </c>
      <c r="O133" t="str">
        <f t="shared" si="20"/>
        <v/>
      </c>
      <c r="P133" t="s">
        <v>68</v>
      </c>
      <c r="S133">
        <f t="shared" si="16"/>
        <v>0</v>
      </c>
      <c r="T133" t="str">
        <f t="shared" si="17"/>
        <v>⬜  Parcial · Inst. 2 pendiente</v>
      </c>
      <c r="U133" s="53">
        <v>1</v>
      </c>
      <c r="V133" t="s">
        <v>69</v>
      </c>
      <c r="W133">
        <f>IF(NORMALIZADO!BV133="",0,NORMALIZADO!BV133)</f>
        <v>0</v>
      </c>
      <c r="X133">
        <f>IF(NORMALIZADO!BW133="",0,NORMALIZADO!BW133)</f>
        <v>0</v>
      </c>
      <c r="Y133">
        <f>IF(NORMALIZADO!BX133="",0,NORMALIZADO!BX133)</f>
        <v>0</v>
      </c>
      <c r="Z133">
        <f>IF(NORMALIZADO!BY133="",0,NORMALIZADO!BY133)</f>
        <v>0</v>
      </c>
      <c r="AO133" t="str">
        <f t="shared" si="18"/>
        <v>N/A</v>
      </c>
      <c r="AP133">
        <f>IFERROR((IF(ISNUMBER(M133),M133/100*PONDERADORES!$D$12,0)+IF(ISNUMBER(SCORECARDS!H133),SCORECARDS!H133/100*PONDERADORES!$D$13,0)+IF(ISNUMBER(SCORECARDS!I133),SCORECARDS!I133/100*PONDERADORES!$D$14,0)+IF(ISNUMBER(SCORECARDS!J133),SCORECARDS!J133/100*PONDERADORES!$D$15,0)+IF(ISNUMBER(ISCAM_Score!K134),ISCAM_Score!K134/100*PONDERADORES!$D$16,0)+IF(ISNUMBER(O133),O133*PONDERADORES!$D$17,0)+IF(ISNUMBER(AVERAGE(W133:Z133)),AVERAGE(W133:Z133)/2*PONDERADORES!$D$19,0))/(IF(ISNUMBER(M133),PONDERADORES!$D$12,0)+IF(ISNUMBER(SCORECARDS!H133),PONDERADORES!$D$13,0)+IF(ISNUMBER(SCORECARDS!I133),PONDERADORES!$D$14,0)+IF(ISNUMBER(SCORECARDS!J133),PONDERADORES!$D$15,0)+IF(ISNUMBER(ISCAM_Score!K134),PONDERADORES!$D$16,0)+IF(ISNUMBER(O133),PONDERADORES!$D$17,0)+IF(ISNUMBER(AVERAGE(W133:Z133)),PONDERADORES!$D$19,0)),"N/A")</f>
        <v>0</v>
      </c>
      <c r="AQ133">
        <f>IF(ISNUMBER(M133),1,0)+IF(ISNUMBER(SCORECARDS!H133),1,0)+IF(ISNUMBER(SCORECARDS!I133),1,0)+IF(ISNUMBER(SCORECARDS!J133),1,0)+IF(ISNUMBER(ISCAM_Score!K134),1,0)+IF(ISNUMBER(O133),1,0)+IF(COUNT(W133:Z133)&gt;0,1,0)</f>
        <v>1</v>
      </c>
    </row>
    <row r="134" spans="1:45" ht="16.05" customHeight="1" x14ac:dyDescent="0.3">
      <c r="A134" t="s">
        <v>355</v>
      </c>
      <c r="B134" t="s">
        <v>356</v>
      </c>
      <c r="C134" t="s">
        <v>77</v>
      </c>
      <c r="D134" t="s">
        <v>65</v>
      </c>
      <c r="G134" t="s">
        <v>74</v>
      </c>
      <c r="H134" t="s">
        <v>66</v>
      </c>
      <c r="I134" t="s">
        <v>66</v>
      </c>
      <c r="J134" t="s">
        <v>67</v>
      </c>
      <c r="K134" t="s">
        <v>357</v>
      </c>
      <c r="M134" t="str">
        <f t="shared" si="19"/>
        <v/>
      </c>
      <c r="N134" t="s">
        <v>68</v>
      </c>
      <c r="O134">
        <f t="shared" si="20"/>
        <v>1</v>
      </c>
      <c r="P134" t="s">
        <v>68</v>
      </c>
      <c r="Q134">
        <v>162</v>
      </c>
      <c r="R134">
        <v>454.5</v>
      </c>
      <c r="S134">
        <f t="shared" si="16"/>
        <v>37.5</v>
      </c>
      <c r="T134" t="str">
        <f t="shared" si="17"/>
        <v>⬜  Parcial · Inst. 2 pendiente</v>
      </c>
      <c r="U134" s="53">
        <v>1</v>
      </c>
      <c r="V134" t="s">
        <v>69</v>
      </c>
      <c r="W134">
        <f>IF(NORMALIZADO!BV134="",1,NORMALIZADO!BV134)</f>
        <v>1</v>
      </c>
      <c r="X134">
        <f>IF(NORMALIZADO!BW134="",0,NORMALIZADO!BW134)</f>
        <v>0</v>
      </c>
      <c r="Y134">
        <f>IF(NORMALIZADO!BX134="",0,NORMALIZADO!BX134)</f>
        <v>0</v>
      </c>
      <c r="Z134">
        <f>IF(NORMALIZADO!BY134="",0,NORMALIZADO!BY134)</f>
        <v>0</v>
      </c>
      <c r="AO134" t="str">
        <f t="shared" si="18"/>
        <v>N/A</v>
      </c>
      <c r="AP134">
        <f>IFERROR((IF(ISNUMBER(M134),M134/100*PONDERADORES!$D$12,0)+IF(ISNUMBER(SCORECARDS!H134),SCORECARDS!H134/100*PONDERADORES!$D$13,0)+IF(ISNUMBER(SCORECARDS!I134),SCORECARDS!I134/100*PONDERADORES!$D$14,0)+IF(ISNUMBER(SCORECARDS!J134),SCORECARDS!J134/100*PONDERADORES!$D$15,0)+IF(ISNUMBER(ISCAM_Score!K135),ISCAM_Score!K135/100*PONDERADORES!$D$16,0)+IF(ISNUMBER(O134),O134*PONDERADORES!$D$17,0)+IF(ISNUMBER(AVERAGE(W134:Z134)),AVERAGE(W134:Z134)/2*PONDERADORES!$D$19,0))/(IF(ISNUMBER(M134),PONDERADORES!$D$12,0)+IF(ISNUMBER(SCORECARDS!H134),PONDERADORES!$D$13,0)+IF(ISNUMBER(SCORECARDS!I134),PONDERADORES!$D$14,0)+IF(ISNUMBER(SCORECARDS!J134),PONDERADORES!$D$15,0)+IF(ISNUMBER(ISCAM_Score!K135),PONDERADORES!$D$16,0)+IF(ISNUMBER(O134),PONDERADORES!$D$17,0)+IF(ISNUMBER(AVERAGE(W134:Z134)),PONDERADORES!$D$19,0)),"N/A")</f>
        <v>0.375</v>
      </c>
      <c r="AQ134">
        <f>IF(ISNUMBER(M134),1,0)+IF(ISNUMBER(SCORECARDS!H134),1,0)+IF(ISNUMBER(SCORECARDS!I134),1,0)+IF(ISNUMBER(SCORECARDS!J134),1,0)+IF(ISNUMBER(ISCAM_Score!K135),1,0)+IF(ISNUMBER(O134),1,0)+IF(COUNT(W134:Z134)&gt;0,1,0)</f>
        <v>2</v>
      </c>
      <c r="AR134" t="s">
        <v>1563</v>
      </c>
      <c r="AS134" t="s">
        <v>1564</v>
      </c>
    </row>
    <row r="135" spans="1:45" ht="16.05" customHeight="1" x14ac:dyDescent="0.3">
      <c r="A135" t="s">
        <v>358</v>
      </c>
      <c r="B135" t="s">
        <v>359</v>
      </c>
      <c r="C135" t="s">
        <v>139</v>
      </c>
      <c r="D135" t="s">
        <v>65</v>
      </c>
      <c r="E135">
        <v>6836861.4500000002</v>
      </c>
      <c r="F135">
        <v>36</v>
      </c>
      <c r="G135" t="s">
        <v>66</v>
      </c>
      <c r="H135" t="s">
        <v>66</v>
      </c>
      <c r="I135" t="s">
        <v>66</v>
      </c>
      <c r="J135" t="s">
        <v>67</v>
      </c>
      <c r="K135" t="s">
        <v>360</v>
      </c>
      <c r="L135">
        <v>4575551.37</v>
      </c>
      <c r="M135">
        <f t="shared" si="19"/>
        <v>66.900000000000006</v>
      </c>
      <c r="N135" t="s">
        <v>68</v>
      </c>
      <c r="O135">
        <f t="shared" si="20"/>
        <v>1</v>
      </c>
      <c r="P135" t="s">
        <v>68</v>
      </c>
      <c r="Q135">
        <v>762</v>
      </c>
      <c r="R135">
        <v>1500</v>
      </c>
      <c r="S135">
        <f t="shared" si="16"/>
        <v>49.8</v>
      </c>
      <c r="T135" t="str">
        <f t="shared" si="17"/>
        <v>⬜  Parcial · Inst. 2 pendiente</v>
      </c>
      <c r="U135" s="53">
        <v>1</v>
      </c>
      <c r="V135" t="s">
        <v>69</v>
      </c>
      <c r="W135">
        <f>IF(NORMALIZADO!BV135="",1,NORMALIZADO!BV135)</f>
        <v>1</v>
      </c>
      <c r="X135">
        <f>IF(NORMALIZADO!BW135="",0,NORMALIZADO!BW135)</f>
        <v>0</v>
      </c>
      <c r="Y135">
        <f>IF(NORMALIZADO!BX135="",0,NORMALIZADO!BX135)</f>
        <v>0</v>
      </c>
      <c r="Z135">
        <f>IF(NORMALIZADO!BY135="",0,NORMALIZADO!BY135)</f>
        <v>0</v>
      </c>
      <c r="AO135" t="str">
        <f t="shared" si="18"/>
        <v>N/A</v>
      </c>
      <c r="AP135">
        <f>IFERROR((IF(ISNUMBER(M135),M135/100*PONDERADORES!$D$12,0)+IF(ISNUMBER(SCORECARDS!H135),SCORECARDS!H135/100*PONDERADORES!$D$13,0)+IF(ISNUMBER(SCORECARDS!I135),SCORECARDS!I135/100*PONDERADORES!$D$14,0)+IF(ISNUMBER(SCORECARDS!J135),SCORECARDS!J135/100*PONDERADORES!$D$15,0)+IF(ISNUMBER(ISCAM_Score!K136),ISCAM_Score!K136/100*PONDERADORES!$D$16,0)+IF(ISNUMBER(O135),O135*PONDERADORES!$D$17,0)+IF(ISNUMBER(AVERAGE(W135:Z135)),AVERAGE(W135:Z135)/2*PONDERADORES!$D$19,0))/(IF(ISNUMBER(M135),PONDERADORES!$D$12,0)+IF(ISNUMBER(SCORECARDS!H135),PONDERADORES!$D$13,0)+IF(ISNUMBER(SCORECARDS!I135),PONDERADORES!$D$14,0)+IF(ISNUMBER(SCORECARDS!J135),PONDERADORES!$D$15,0)+IF(ISNUMBER(ISCAM_Score!K136),PONDERADORES!$D$16,0)+IF(ISNUMBER(O135),PONDERADORES!$D$17,0)+IF(ISNUMBER(AVERAGE(W135:Z135)),PONDERADORES!$D$19,0)),"N/A")</f>
        <v>0.49750000000000005</v>
      </c>
      <c r="AQ135">
        <f>IF(ISNUMBER(M135),1,0)+IF(ISNUMBER(SCORECARDS!H135),1,0)+IF(ISNUMBER(SCORECARDS!I135),1,0)+IF(ISNUMBER(SCORECARDS!J135),1,0)+IF(ISNUMBER(ISCAM_Score!K136),1,0)+IF(ISNUMBER(O135),1,0)+IF(COUNT(W135:Z135)&gt;0,1,0)</f>
        <v>3</v>
      </c>
      <c r="AR135" t="s">
        <v>1565</v>
      </c>
      <c r="AS135" t="s">
        <v>1566</v>
      </c>
    </row>
    <row r="136" spans="1:45" ht="16.05" customHeight="1" x14ac:dyDescent="0.3">
      <c r="A136" t="s">
        <v>361</v>
      </c>
      <c r="B136" t="s">
        <v>362</v>
      </c>
      <c r="C136" t="s">
        <v>77</v>
      </c>
      <c r="D136" t="s">
        <v>65</v>
      </c>
      <c r="G136" t="s">
        <v>74</v>
      </c>
      <c r="J136" t="s">
        <v>67</v>
      </c>
      <c r="M136" t="str">
        <f t="shared" si="19"/>
        <v/>
      </c>
      <c r="N136" t="s">
        <v>68</v>
      </c>
      <c r="O136" t="str">
        <f t="shared" si="20"/>
        <v/>
      </c>
      <c r="P136" t="s">
        <v>68</v>
      </c>
      <c r="S136">
        <f t="shared" si="16"/>
        <v>0</v>
      </c>
      <c r="T136" t="str">
        <f t="shared" si="17"/>
        <v>⬜  Parcial · Inst. 2 pendiente</v>
      </c>
      <c r="U136" s="53">
        <v>1</v>
      </c>
      <c r="V136" t="s">
        <v>69</v>
      </c>
      <c r="W136">
        <f>IF(NORMALIZADO!BV136="",0,NORMALIZADO!BV136)</f>
        <v>0</v>
      </c>
      <c r="X136">
        <f>IF(NORMALIZADO!BW136="",0,NORMALIZADO!BW136)</f>
        <v>0</v>
      </c>
      <c r="Y136">
        <f>IF(NORMALIZADO!BX136="",0,NORMALIZADO!BX136)</f>
        <v>0</v>
      </c>
      <c r="Z136">
        <f>IF(NORMALIZADO!BY136="",0,NORMALIZADO!BY136)</f>
        <v>0</v>
      </c>
      <c r="AO136" t="str">
        <f t="shared" si="18"/>
        <v>N/A</v>
      </c>
      <c r="AP136">
        <f>IFERROR((IF(ISNUMBER(M136),M136/100*PONDERADORES!$D$12,0)+IF(ISNUMBER(SCORECARDS!H136),SCORECARDS!H136/100*PONDERADORES!$D$13,0)+IF(ISNUMBER(SCORECARDS!I136),SCORECARDS!I136/100*PONDERADORES!$D$14,0)+IF(ISNUMBER(SCORECARDS!J136),SCORECARDS!J136/100*PONDERADORES!$D$15,0)+IF(ISNUMBER(ISCAM_Score!K137),ISCAM_Score!K137/100*PONDERADORES!$D$16,0)+IF(ISNUMBER(O136),O136*PONDERADORES!$D$17,0)+IF(ISNUMBER(AVERAGE(W136:Z136)),AVERAGE(W136:Z136)/2*PONDERADORES!$D$19,0))/(IF(ISNUMBER(M136),PONDERADORES!$D$12,0)+IF(ISNUMBER(SCORECARDS!H136),PONDERADORES!$D$13,0)+IF(ISNUMBER(SCORECARDS!I136),PONDERADORES!$D$14,0)+IF(ISNUMBER(SCORECARDS!J136),PONDERADORES!$D$15,0)+IF(ISNUMBER(ISCAM_Score!K137),PONDERADORES!$D$16,0)+IF(ISNUMBER(O136),PONDERADORES!$D$17,0)+IF(ISNUMBER(AVERAGE(W136:Z136)),PONDERADORES!$D$19,0)),"N/A")</f>
        <v>0</v>
      </c>
      <c r="AQ136">
        <f>IF(ISNUMBER(M136),1,0)+IF(ISNUMBER(SCORECARDS!H136),1,0)+IF(ISNUMBER(SCORECARDS!I136),1,0)+IF(ISNUMBER(SCORECARDS!J136),1,0)+IF(ISNUMBER(ISCAM_Score!K137),1,0)+IF(ISNUMBER(O136),1,0)+IF(COUNT(W136:Z136)&gt;0,1,0)</f>
        <v>1</v>
      </c>
    </row>
    <row r="137" spans="1:45" ht="16.05" customHeight="1" x14ac:dyDescent="0.3">
      <c r="A137" t="s">
        <v>363</v>
      </c>
      <c r="B137" t="s">
        <v>364</v>
      </c>
      <c r="C137" t="s">
        <v>80</v>
      </c>
      <c r="D137" t="s">
        <v>73</v>
      </c>
      <c r="G137" t="s">
        <v>74</v>
      </c>
      <c r="J137" t="s">
        <v>67</v>
      </c>
      <c r="M137" t="str">
        <f t="shared" si="19"/>
        <v/>
      </c>
      <c r="N137" t="s">
        <v>68</v>
      </c>
      <c r="O137" t="str">
        <f t="shared" si="20"/>
        <v/>
      </c>
      <c r="P137" t="s">
        <v>68</v>
      </c>
      <c r="S137">
        <f t="shared" si="16"/>
        <v>0</v>
      </c>
      <c r="T137" t="str">
        <f t="shared" si="17"/>
        <v>⬜  Parcial · Inst. 2 pendiente</v>
      </c>
      <c r="U137" s="53">
        <v>1</v>
      </c>
      <c r="V137" t="s">
        <v>69</v>
      </c>
      <c r="W137">
        <f>IF(NORMALIZADO!BV137="",0,NORMALIZADO!BV137)</f>
        <v>0</v>
      </c>
      <c r="X137">
        <f>IF(NORMALIZADO!BW137="",0,NORMALIZADO!BW137)</f>
        <v>0</v>
      </c>
      <c r="Y137">
        <f>IF(NORMALIZADO!BX137="",0,NORMALIZADO!BX137)</f>
        <v>0</v>
      </c>
      <c r="Z137">
        <f>IF(NORMALIZADO!BY137="",0,NORMALIZADO!BY137)</f>
        <v>0</v>
      </c>
      <c r="AO137" t="str">
        <f t="shared" si="18"/>
        <v>N/A</v>
      </c>
      <c r="AP137">
        <f>IFERROR((IF(ISNUMBER(M137),M137/100*PONDERADORES!$D$12,0)+IF(ISNUMBER(SCORECARDS!H137),SCORECARDS!H137/100*PONDERADORES!$D$13,0)+IF(ISNUMBER(SCORECARDS!I137),SCORECARDS!I137/100*PONDERADORES!$D$14,0)+IF(ISNUMBER(SCORECARDS!J137),SCORECARDS!J137/100*PONDERADORES!$D$15,0)+IF(ISNUMBER(ISCAM_Score!K138),ISCAM_Score!K138/100*PONDERADORES!$D$16,0)+IF(ISNUMBER(O137),O137*PONDERADORES!$D$17,0)+IF(ISNUMBER(AVERAGE(W137:Z137)),AVERAGE(W137:Z137)/2*PONDERADORES!$D$19,0))/(IF(ISNUMBER(M137),PONDERADORES!$D$12,0)+IF(ISNUMBER(SCORECARDS!H137),PONDERADORES!$D$13,0)+IF(ISNUMBER(SCORECARDS!I137),PONDERADORES!$D$14,0)+IF(ISNUMBER(SCORECARDS!J137),PONDERADORES!$D$15,0)+IF(ISNUMBER(ISCAM_Score!K138),PONDERADORES!$D$16,0)+IF(ISNUMBER(O137),PONDERADORES!$D$17,0)+IF(ISNUMBER(AVERAGE(W137:Z137)),PONDERADORES!$D$19,0)),"N/A")</f>
        <v>0</v>
      </c>
      <c r="AQ137">
        <f>IF(ISNUMBER(M137),1,0)+IF(ISNUMBER(SCORECARDS!H137),1,0)+IF(ISNUMBER(SCORECARDS!I137),1,0)+IF(ISNUMBER(SCORECARDS!J137),1,0)+IF(ISNUMBER(ISCAM_Score!K138),1,0)+IF(ISNUMBER(O137),1,0)+IF(COUNT(W137:Z137)&gt;0,1,0)</f>
        <v>1</v>
      </c>
    </row>
    <row r="138" spans="1:45" ht="16.05" customHeight="1" x14ac:dyDescent="0.3">
      <c r="A138" t="s">
        <v>365</v>
      </c>
      <c r="B138" t="s">
        <v>366</v>
      </c>
      <c r="C138" t="s">
        <v>112</v>
      </c>
      <c r="D138" t="s">
        <v>65</v>
      </c>
      <c r="E138">
        <v>161000</v>
      </c>
      <c r="F138">
        <v>1</v>
      </c>
      <c r="G138" t="s">
        <v>66</v>
      </c>
      <c r="J138" t="s">
        <v>67</v>
      </c>
      <c r="L138">
        <v>80500</v>
      </c>
      <c r="M138">
        <f t="shared" si="19"/>
        <v>50</v>
      </c>
      <c r="N138" t="s">
        <v>68</v>
      </c>
      <c r="O138" t="str">
        <f t="shared" si="20"/>
        <v/>
      </c>
      <c r="P138" t="s">
        <v>68</v>
      </c>
      <c r="S138">
        <f t="shared" si="16"/>
        <v>25</v>
      </c>
      <c r="T138" t="str">
        <f t="shared" si="17"/>
        <v>⬜  Parcial · Inst. 2 pendiente</v>
      </c>
      <c r="U138" s="53">
        <v>1</v>
      </c>
      <c r="V138" t="s">
        <v>69</v>
      </c>
      <c r="W138">
        <f>IF(NORMALIZADO!BV138="",0,NORMALIZADO!BV138)</f>
        <v>0</v>
      </c>
      <c r="X138">
        <f>IF(NORMALIZADO!BW138="",0,NORMALIZADO!BW138)</f>
        <v>0</v>
      </c>
      <c r="Y138">
        <f>IF(NORMALIZADO!BX138="",0,NORMALIZADO!BX138)</f>
        <v>0</v>
      </c>
      <c r="Z138">
        <f>IF(NORMALIZADO!BY138="",0,NORMALIZADO!BY138)</f>
        <v>0</v>
      </c>
      <c r="AO138" t="str">
        <f t="shared" si="18"/>
        <v>N/A</v>
      </c>
      <c r="AP138">
        <f>IFERROR((IF(ISNUMBER(M138),M138/100*PONDERADORES!$D$12,0)+IF(ISNUMBER(SCORECARDS!H138),SCORECARDS!H138/100*PONDERADORES!$D$13,0)+IF(ISNUMBER(SCORECARDS!I138),SCORECARDS!I138/100*PONDERADORES!$D$14,0)+IF(ISNUMBER(SCORECARDS!J138),SCORECARDS!J138/100*PONDERADORES!$D$15,0)+IF(ISNUMBER(ISCAM_Score!K139),ISCAM_Score!K139/100*PONDERADORES!$D$16,0)+IF(ISNUMBER(O138),O138*PONDERADORES!$D$17,0)+IF(ISNUMBER(AVERAGE(W138:Z138)),AVERAGE(W138:Z138)/2*PONDERADORES!$D$19,0))/(IF(ISNUMBER(M138),PONDERADORES!$D$12,0)+IF(ISNUMBER(SCORECARDS!H138),PONDERADORES!$D$13,0)+IF(ISNUMBER(SCORECARDS!I138),PONDERADORES!$D$14,0)+IF(ISNUMBER(SCORECARDS!J138),PONDERADORES!$D$15,0)+IF(ISNUMBER(ISCAM_Score!K139),PONDERADORES!$D$16,0)+IF(ISNUMBER(O138),PONDERADORES!$D$17,0)+IF(ISNUMBER(AVERAGE(W138:Z138)),PONDERADORES!$D$19,0)),"N/A")</f>
        <v>0.25</v>
      </c>
      <c r="AQ138">
        <f>IF(ISNUMBER(M138),1,0)+IF(ISNUMBER(SCORECARDS!H138),1,0)+IF(ISNUMBER(SCORECARDS!I138),1,0)+IF(ISNUMBER(SCORECARDS!J138),1,0)+IF(ISNUMBER(ISCAM_Score!K139),1,0)+IF(ISNUMBER(O138),1,0)+IF(COUNT(W138:Z138)&gt;0,1,0)</f>
        <v>2</v>
      </c>
    </row>
    <row r="139" spans="1:45" ht="16.05" customHeight="1" x14ac:dyDescent="0.3">
      <c r="A139" t="s">
        <v>367</v>
      </c>
      <c r="B139" t="s">
        <v>368</v>
      </c>
      <c r="C139" t="s">
        <v>192</v>
      </c>
      <c r="D139" t="s">
        <v>73</v>
      </c>
      <c r="G139" t="s">
        <v>74</v>
      </c>
      <c r="J139" t="s">
        <v>67</v>
      </c>
      <c r="M139" t="str">
        <f t="shared" si="19"/>
        <v/>
      </c>
      <c r="N139" t="s">
        <v>68</v>
      </c>
      <c r="O139" t="str">
        <f t="shared" si="20"/>
        <v/>
      </c>
      <c r="P139" t="s">
        <v>68</v>
      </c>
      <c r="S139">
        <f t="shared" si="16"/>
        <v>0</v>
      </c>
      <c r="T139" t="str">
        <f t="shared" si="17"/>
        <v>⬜  Parcial · Inst. 2 pendiente</v>
      </c>
      <c r="U139" s="53">
        <v>1</v>
      </c>
      <c r="V139" t="s">
        <v>69</v>
      </c>
      <c r="W139">
        <f>IF(NORMALIZADO!BV139="",0,NORMALIZADO!BV139)</f>
        <v>0</v>
      </c>
      <c r="X139">
        <f>IF(NORMALIZADO!BW139="",0,NORMALIZADO!BW139)</f>
        <v>0</v>
      </c>
      <c r="Y139">
        <f>IF(NORMALIZADO!BX139="",0,NORMALIZADO!BX139)</f>
        <v>0</v>
      </c>
      <c r="Z139">
        <f>IF(NORMALIZADO!BY139="",0,NORMALIZADO!BY139)</f>
        <v>0</v>
      </c>
      <c r="AO139" t="str">
        <f t="shared" si="18"/>
        <v>N/A</v>
      </c>
      <c r="AP139">
        <f>IFERROR((IF(ISNUMBER(M139),M139/100*PONDERADORES!$D$12,0)+IF(ISNUMBER(SCORECARDS!H139),SCORECARDS!H139/100*PONDERADORES!$D$13,0)+IF(ISNUMBER(SCORECARDS!I139),SCORECARDS!I139/100*PONDERADORES!$D$14,0)+IF(ISNUMBER(SCORECARDS!J139),SCORECARDS!J139/100*PONDERADORES!$D$15,0)+IF(ISNUMBER(ISCAM_Score!K140),ISCAM_Score!K140/100*PONDERADORES!$D$16,0)+IF(ISNUMBER(O139),O139*PONDERADORES!$D$17,0)+IF(ISNUMBER(AVERAGE(W139:Z139)),AVERAGE(W139:Z139)/2*PONDERADORES!$D$19,0))/(IF(ISNUMBER(M139),PONDERADORES!$D$12,0)+IF(ISNUMBER(SCORECARDS!H139),PONDERADORES!$D$13,0)+IF(ISNUMBER(SCORECARDS!I139),PONDERADORES!$D$14,0)+IF(ISNUMBER(SCORECARDS!J139),PONDERADORES!$D$15,0)+IF(ISNUMBER(ISCAM_Score!K140),PONDERADORES!$D$16,0)+IF(ISNUMBER(O139),PONDERADORES!$D$17,0)+IF(ISNUMBER(AVERAGE(W139:Z139)),PONDERADORES!$D$19,0)),"N/A")</f>
        <v>0</v>
      </c>
      <c r="AQ139">
        <f>IF(ISNUMBER(M139),1,0)+IF(ISNUMBER(SCORECARDS!H139),1,0)+IF(ISNUMBER(SCORECARDS!I139),1,0)+IF(ISNUMBER(SCORECARDS!J139),1,0)+IF(ISNUMBER(ISCAM_Score!K140),1,0)+IF(ISNUMBER(O139),1,0)+IF(COUNT(W139:Z139)&gt;0,1,0)</f>
        <v>1</v>
      </c>
    </row>
    <row r="140" spans="1:45" ht="16.05" customHeight="1" x14ac:dyDescent="0.3">
      <c r="A140" t="s">
        <v>369</v>
      </c>
      <c r="B140" t="s">
        <v>370</v>
      </c>
      <c r="C140" t="s">
        <v>77</v>
      </c>
      <c r="D140" t="s">
        <v>65</v>
      </c>
      <c r="E140">
        <v>378122</v>
      </c>
      <c r="F140">
        <v>3</v>
      </c>
      <c r="G140" t="s">
        <v>66</v>
      </c>
      <c r="J140" t="s">
        <v>67</v>
      </c>
      <c r="L140">
        <v>0</v>
      </c>
      <c r="M140">
        <f t="shared" si="19"/>
        <v>0</v>
      </c>
      <c r="N140" t="s">
        <v>68</v>
      </c>
      <c r="O140" t="str">
        <f t="shared" si="20"/>
        <v/>
      </c>
      <c r="P140" t="s">
        <v>68</v>
      </c>
      <c r="S140">
        <f t="shared" si="16"/>
        <v>0</v>
      </c>
      <c r="T140" t="str">
        <f t="shared" si="17"/>
        <v>⬜  Parcial · Inst. 2 pendiente</v>
      </c>
      <c r="U140" s="53">
        <v>1</v>
      </c>
      <c r="V140" t="s">
        <v>69</v>
      </c>
      <c r="W140">
        <f>IF(NORMALIZADO!BV140="",0,NORMALIZADO!BV140)</f>
        <v>0</v>
      </c>
      <c r="X140">
        <f>IF(NORMALIZADO!BW140="",0,NORMALIZADO!BW140)</f>
        <v>0</v>
      </c>
      <c r="Y140">
        <f>IF(NORMALIZADO!BX140="",0,NORMALIZADO!BX140)</f>
        <v>0</v>
      </c>
      <c r="Z140">
        <f>IF(NORMALIZADO!BY140="",0,NORMALIZADO!BY140)</f>
        <v>0</v>
      </c>
      <c r="AO140" t="str">
        <f t="shared" si="18"/>
        <v>N/A</v>
      </c>
      <c r="AP140">
        <f>IFERROR((IF(ISNUMBER(M140),M140/100*PONDERADORES!$D$12,0)+IF(ISNUMBER(SCORECARDS!H140),SCORECARDS!H140/100*PONDERADORES!$D$13,0)+IF(ISNUMBER(SCORECARDS!I140),SCORECARDS!I140/100*PONDERADORES!$D$14,0)+IF(ISNUMBER(SCORECARDS!J140),SCORECARDS!J140/100*PONDERADORES!$D$15,0)+IF(ISNUMBER(ISCAM_Score!K141),ISCAM_Score!K141/100*PONDERADORES!$D$16,0)+IF(ISNUMBER(O140),O140*PONDERADORES!$D$17,0)+IF(ISNUMBER(AVERAGE(W140:Z140)),AVERAGE(W140:Z140)/2*PONDERADORES!$D$19,0))/(IF(ISNUMBER(M140),PONDERADORES!$D$12,0)+IF(ISNUMBER(SCORECARDS!H140),PONDERADORES!$D$13,0)+IF(ISNUMBER(SCORECARDS!I140),PONDERADORES!$D$14,0)+IF(ISNUMBER(SCORECARDS!J140),PONDERADORES!$D$15,0)+IF(ISNUMBER(ISCAM_Score!K141),PONDERADORES!$D$16,0)+IF(ISNUMBER(O140),PONDERADORES!$D$17,0)+IF(ISNUMBER(AVERAGE(W140:Z140)),PONDERADORES!$D$19,0)),"N/A")</f>
        <v>0</v>
      </c>
      <c r="AQ140">
        <f>IF(ISNUMBER(M140),1,0)+IF(ISNUMBER(SCORECARDS!H140),1,0)+IF(ISNUMBER(SCORECARDS!I140),1,0)+IF(ISNUMBER(SCORECARDS!J140),1,0)+IF(ISNUMBER(ISCAM_Score!K141),1,0)+IF(ISNUMBER(O140),1,0)+IF(COUNT(W140:Z140)&gt;0,1,0)</f>
        <v>2</v>
      </c>
    </row>
    <row r="141" spans="1:45" ht="16.05" customHeight="1" x14ac:dyDescent="0.3">
      <c r="A141" t="s">
        <v>371</v>
      </c>
      <c r="B141" t="s">
        <v>372</v>
      </c>
      <c r="C141" t="s">
        <v>80</v>
      </c>
      <c r="D141" t="s">
        <v>73</v>
      </c>
      <c r="G141" t="s">
        <v>74</v>
      </c>
      <c r="J141" t="s">
        <v>67</v>
      </c>
      <c r="M141" t="str">
        <f t="shared" si="19"/>
        <v/>
      </c>
      <c r="N141" t="s">
        <v>68</v>
      </c>
      <c r="O141" t="str">
        <f t="shared" si="20"/>
        <v/>
      </c>
      <c r="P141" t="s">
        <v>68</v>
      </c>
      <c r="S141">
        <f t="shared" si="16"/>
        <v>0</v>
      </c>
      <c r="T141" t="str">
        <f t="shared" si="17"/>
        <v>⬜  Parcial · Inst. 2 pendiente</v>
      </c>
      <c r="U141" s="53">
        <v>1</v>
      </c>
      <c r="V141" t="s">
        <v>69</v>
      </c>
      <c r="W141">
        <f>IF(NORMALIZADO!BV141="",0,NORMALIZADO!BV141)</f>
        <v>0</v>
      </c>
      <c r="X141">
        <f>IF(NORMALIZADO!BW141="",0,NORMALIZADO!BW141)</f>
        <v>0</v>
      </c>
      <c r="Y141">
        <f>IF(NORMALIZADO!BX141="",0,NORMALIZADO!BX141)</f>
        <v>0</v>
      </c>
      <c r="Z141">
        <f>IF(NORMALIZADO!BY141="",0,NORMALIZADO!BY141)</f>
        <v>0</v>
      </c>
      <c r="AO141" t="str">
        <f t="shared" si="18"/>
        <v>N/A</v>
      </c>
      <c r="AP141">
        <f>IFERROR((IF(ISNUMBER(M141),M141/100*PONDERADORES!$D$12,0)+IF(ISNUMBER(SCORECARDS!H141),SCORECARDS!H141/100*PONDERADORES!$D$13,0)+IF(ISNUMBER(SCORECARDS!I141),SCORECARDS!I141/100*PONDERADORES!$D$14,0)+IF(ISNUMBER(SCORECARDS!J141),SCORECARDS!J141/100*PONDERADORES!$D$15,0)+IF(ISNUMBER(ISCAM_Score!K142),ISCAM_Score!K142/100*PONDERADORES!$D$16,0)+IF(ISNUMBER(O141),O141*PONDERADORES!$D$17,0)+IF(ISNUMBER(AVERAGE(W141:Z141)),AVERAGE(W141:Z141)/2*PONDERADORES!$D$19,0))/(IF(ISNUMBER(M141),PONDERADORES!$D$12,0)+IF(ISNUMBER(SCORECARDS!H141),PONDERADORES!$D$13,0)+IF(ISNUMBER(SCORECARDS!I141),PONDERADORES!$D$14,0)+IF(ISNUMBER(SCORECARDS!J141),PONDERADORES!$D$15,0)+IF(ISNUMBER(ISCAM_Score!K142),PONDERADORES!$D$16,0)+IF(ISNUMBER(O141),PONDERADORES!$D$17,0)+IF(ISNUMBER(AVERAGE(W141:Z141)),PONDERADORES!$D$19,0)),"N/A")</f>
        <v>0</v>
      </c>
      <c r="AQ141">
        <f>IF(ISNUMBER(M141),1,0)+IF(ISNUMBER(SCORECARDS!H141),1,0)+IF(ISNUMBER(SCORECARDS!I141),1,0)+IF(ISNUMBER(SCORECARDS!J141),1,0)+IF(ISNUMBER(ISCAM_Score!K142),1,0)+IF(ISNUMBER(O141),1,0)+IF(COUNT(W141:Z141)&gt;0,1,0)</f>
        <v>1</v>
      </c>
    </row>
    <row r="142" spans="1:45" ht="16.05" customHeight="1" x14ac:dyDescent="0.3">
      <c r="A142" t="s">
        <v>373</v>
      </c>
      <c r="B142" t="s">
        <v>374</v>
      </c>
      <c r="C142" t="s">
        <v>80</v>
      </c>
      <c r="D142" t="s">
        <v>73</v>
      </c>
      <c r="G142" t="s">
        <v>74</v>
      </c>
      <c r="J142" t="s">
        <v>67</v>
      </c>
      <c r="M142" t="str">
        <f t="shared" si="19"/>
        <v/>
      </c>
      <c r="N142" t="s">
        <v>68</v>
      </c>
      <c r="O142" t="str">
        <f t="shared" si="20"/>
        <v/>
      </c>
      <c r="P142" t="s">
        <v>68</v>
      </c>
      <c r="S142">
        <f t="shared" si="16"/>
        <v>0</v>
      </c>
      <c r="T142" t="str">
        <f t="shared" si="17"/>
        <v>⬜  Parcial · Inst. 2 pendiente</v>
      </c>
      <c r="U142" s="53">
        <v>1</v>
      </c>
      <c r="V142" t="s">
        <v>69</v>
      </c>
      <c r="W142">
        <f>IF(NORMALIZADO!BV142="",0,NORMALIZADO!BV142)</f>
        <v>0</v>
      </c>
      <c r="X142">
        <f>IF(NORMALIZADO!BW142="",0,NORMALIZADO!BW142)</f>
        <v>0</v>
      </c>
      <c r="Y142">
        <f>IF(NORMALIZADO!BX142="",0,NORMALIZADO!BX142)</f>
        <v>0</v>
      </c>
      <c r="Z142">
        <f>IF(NORMALIZADO!BY142="",0,NORMALIZADO!BY142)</f>
        <v>0</v>
      </c>
      <c r="AO142" t="str">
        <f t="shared" si="18"/>
        <v>N/A</v>
      </c>
      <c r="AP142">
        <f>IFERROR((IF(ISNUMBER(M142),M142/100*PONDERADORES!$D$12,0)+IF(ISNUMBER(SCORECARDS!H142),SCORECARDS!H142/100*PONDERADORES!$D$13,0)+IF(ISNUMBER(SCORECARDS!I142),SCORECARDS!I142/100*PONDERADORES!$D$14,0)+IF(ISNUMBER(SCORECARDS!J142),SCORECARDS!J142/100*PONDERADORES!$D$15,0)+IF(ISNUMBER(ISCAM_Score!K143),ISCAM_Score!K143/100*PONDERADORES!$D$16,0)+IF(ISNUMBER(O142),O142*PONDERADORES!$D$17,0)+IF(ISNUMBER(AVERAGE(W142:Z142)),AVERAGE(W142:Z142)/2*PONDERADORES!$D$19,0))/(IF(ISNUMBER(M142),PONDERADORES!$D$12,0)+IF(ISNUMBER(SCORECARDS!H142),PONDERADORES!$D$13,0)+IF(ISNUMBER(SCORECARDS!I142),PONDERADORES!$D$14,0)+IF(ISNUMBER(SCORECARDS!J142),PONDERADORES!$D$15,0)+IF(ISNUMBER(ISCAM_Score!K143),PONDERADORES!$D$16,0)+IF(ISNUMBER(O142),PONDERADORES!$D$17,0)+IF(ISNUMBER(AVERAGE(W142:Z142)),PONDERADORES!$D$19,0)),"N/A")</f>
        <v>0</v>
      </c>
      <c r="AQ142">
        <f>IF(ISNUMBER(M142),1,0)+IF(ISNUMBER(SCORECARDS!H142),1,0)+IF(ISNUMBER(SCORECARDS!I142),1,0)+IF(ISNUMBER(SCORECARDS!J142),1,0)+IF(ISNUMBER(ISCAM_Score!K143),1,0)+IF(ISNUMBER(O142),1,0)+IF(COUNT(W142:Z142)&gt;0,1,0)</f>
        <v>1</v>
      </c>
    </row>
    <row r="143" spans="1:45" ht="16.05" customHeight="1" x14ac:dyDescent="0.3">
      <c r="A143" t="s">
        <v>375</v>
      </c>
      <c r="B143" t="s">
        <v>376</v>
      </c>
      <c r="C143" t="s">
        <v>139</v>
      </c>
      <c r="D143" t="s">
        <v>65</v>
      </c>
      <c r="E143">
        <v>1201126.56</v>
      </c>
      <c r="F143">
        <v>8</v>
      </c>
      <c r="G143" t="s">
        <v>66</v>
      </c>
      <c r="H143" t="s">
        <v>66</v>
      </c>
      <c r="I143" t="s">
        <v>66</v>
      </c>
      <c r="J143" t="s">
        <v>67</v>
      </c>
      <c r="K143" t="s">
        <v>222</v>
      </c>
      <c r="L143">
        <v>852880.44</v>
      </c>
      <c r="M143">
        <f t="shared" si="19"/>
        <v>71</v>
      </c>
      <c r="N143" t="s">
        <v>68</v>
      </c>
      <c r="O143">
        <f t="shared" si="20"/>
        <v>1</v>
      </c>
      <c r="P143" t="s">
        <v>68</v>
      </c>
      <c r="Q143">
        <v>381</v>
      </c>
      <c r="R143">
        <v>1143</v>
      </c>
      <c r="S143">
        <f t="shared" si="16"/>
        <v>51.5</v>
      </c>
      <c r="T143" t="str">
        <f t="shared" si="17"/>
        <v>⬜  Parcial · Inst. 2 pendiente</v>
      </c>
      <c r="U143" s="53">
        <v>1</v>
      </c>
      <c r="V143" t="s">
        <v>69</v>
      </c>
      <c r="W143">
        <f>IF(NORMALIZADO!BV143="",1,NORMALIZADO!BV143)</f>
        <v>1</v>
      </c>
      <c r="X143">
        <f>IF(NORMALIZADO!BW143="",0,NORMALIZADO!BW143)</f>
        <v>0</v>
      </c>
      <c r="Y143">
        <f>IF(NORMALIZADO!BX143="",0,NORMALIZADO!BX143)</f>
        <v>0</v>
      </c>
      <c r="Z143">
        <f>IF(NORMALIZADO!BY143="",0,NORMALIZADO!BY143)</f>
        <v>0</v>
      </c>
      <c r="AO143" t="str">
        <f t="shared" si="18"/>
        <v>N/A</v>
      </c>
      <c r="AP143">
        <f>IFERROR((IF(ISNUMBER(M143),M143/100*PONDERADORES!$D$12,0)+IF(ISNUMBER(SCORECARDS!H143),SCORECARDS!H143/100*PONDERADORES!$D$13,0)+IF(ISNUMBER(SCORECARDS!I143),SCORECARDS!I143/100*PONDERADORES!$D$14,0)+IF(ISNUMBER(SCORECARDS!J143),SCORECARDS!J143/100*PONDERADORES!$D$15,0)+IF(ISNUMBER(ISCAM_Score!K144),ISCAM_Score!K144/100*PONDERADORES!$D$16,0)+IF(ISNUMBER(O143),O143*PONDERADORES!$D$17,0)+IF(ISNUMBER(AVERAGE(W143:Z143)),AVERAGE(W143:Z143)/2*PONDERADORES!$D$19,0))/(IF(ISNUMBER(M143),PONDERADORES!$D$12,0)+IF(ISNUMBER(SCORECARDS!H143),PONDERADORES!$D$13,0)+IF(ISNUMBER(SCORECARDS!I143),PONDERADORES!$D$14,0)+IF(ISNUMBER(SCORECARDS!J143),PONDERADORES!$D$15,0)+IF(ISNUMBER(ISCAM_Score!K144),PONDERADORES!$D$16,0)+IF(ISNUMBER(O143),PONDERADORES!$D$17,0)+IF(ISNUMBER(AVERAGE(W143:Z143)),PONDERADORES!$D$19,0)),"N/A")</f>
        <v>0.51458333333333328</v>
      </c>
      <c r="AQ143">
        <f>IF(ISNUMBER(M143),1,0)+IF(ISNUMBER(SCORECARDS!H143),1,0)+IF(ISNUMBER(SCORECARDS!I143),1,0)+IF(ISNUMBER(SCORECARDS!J143),1,0)+IF(ISNUMBER(ISCAM_Score!K144),1,0)+IF(ISNUMBER(O143),1,0)+IF(COUNT(W143:Z143)&gt;0,1,0)</f>
        <v>3</v>
      </c>
      <c r="AR143" t="s">
        <v>1567</v>
      </c>
      <c r="AS143" t="s">
        <v>1568</v>
      </c>
    </row>
    <row r="144" spans="1:45" ht="16.05" customHeight="1" x14ac:dyDescent="0.3">
      <c r="A144" t="s">
        <v>377</v>
      </c>
      <c r="B144" t="s">
        <v>378</v>
      </c>
      <c r="C144" t="s">
        <v>80</v>
      </c>
      <c r="D144" t="s">
        <v>73</v>
      </c>
      <c r="G144" t="s">
        <v>74</v>
      </c>
      <c r="J144" t="s">
        <v>67</v>
      </c>
      <c r="M144" t="str">
        <f t="shared" si="19"/>
        <v/>
      </c>
      <c r="N144" t="s">
        <v>68</v>
      </c>
      <c r="O144" t="str">
        <f t="shared" si="20"/>
        <v/>
      </c>
      <c r="P144" t="s">
        <v>68</v>
      </c>
      <c r="S144">
        <f t="shared" si="16"/>
        <v>0</v>
      </c>
      <c r="T144" t="str">
        <f t="shared" si="17"/>
        <v>⬜  Parcial · Inst. 2 pendiente</v>
      </c>
      <c r="U144" s="53">
        <v>1</v>
      </c>
      <c r="V144" t="s">
        <v>69</v>
      </c>
      <c r="W144">
        <f>IF(NORMALIZADO!BV144="",0,NORMALIZADO!BV144)</f>
        <v>0</v>
      </c>
      <c r="X144">
        <f>IF(NORMALIZADO!BW144="",0,NORMALIZADO!BW144)</f>
        <v>0</v>
      </c>
      <c r="Y144">
        <f>IF(NORMALIZADO!BX144="",0,NORMALIZADO!BX144)</f>
        <v>0</v>
      </c>
      <c r="Z144">
        <f>IF(NORMALIZADO!BY144="",0,NORMALIZADO!BY144)</f>
        <v>0</v>
      </c>
      <c r="AO144" t="str">
        <f t="shared" si="18"/>
        <v>N/A</v>
      </c>
      <c r="AP144">
        <f>IFERROR((IF(ISNUMBER(M144),M144/100*PONDERADORES!$D$12,0)+IF(ISNUMBER(SCORECARDS!H144),SCORECARDS!H144/100*PONDERADORES!$D$13,0)+IF(ISNUMBER(SCORECARDS!I144),SCORECARDS!I144/100*PONDERADORES!$D$14,0)+IF(ISNUMBER(SCORECARDS!J144),SCORECARDS!J144/100*PONDERADORES!$D$15,0)+IF(ISNUMBER(ISCAM_Score!K145),ISCAM_Score!K145/100*PONDERADORES!$D$16,0)+IF(ISNUMBER(O144),O144*PONDERADORES!$D$17,0)+IF(ISNUMBER(AVERAGE(W144:Z144)),AVERAGE(W144:Z144)/2*PONDERADORES!$D$19,0))/(IF(ISNUMBER(M144),PONDERADORES!$D$12,0)+IF(ISNUMBER(SCORECARDS!H144),PONDERADORES!$D$13,0)+IF(ISNUMBER(SCORECARDS!I144),PONDERADORES!$D$14,0)+IF(ISNUMBER(SCORECARDS!J144),PONDERADORES!$D$15,0)+IF(ISNUMBER(ISCAM_Score!K145),PONDERADORES!$D$16,0)+IF(ISNUMBER(O144),PONDERADORES!$D$17,0)+IF(ISNUMBER(AVERAGE(W144:Z144)),PONDERADORES!$D$19,0)),"N/A")</f>
        <v>0</v>
      </c>
      <c r="AQ144">
        <f>IF(ISNUMBER(M144),1,0)+IF(ISNUMBER(SCORECARDS!H144),1,0)+IF(ISNUMBER(SCORECARDS!I144),1,0)+IF(ISNUMBER(SCORECARDS!J144),1,0)+IF(ISNUMBER(ISCAM_Score!K145),1,0)+IF(ISNUMBER(O144),1,0)+IF(COUNT(W144:Z144)&gt;0,1,0)</f>
        <v>1</v>
      </c>
    </row>
    <row r="145" spans="1:45" ht="16.05" customHeight="1" x14ac:dyDescent="0.3">
      <c r="A145" t="s">
        <v>379</v>
      </c>
      <c r="B145" t="s">
        <v>380</v>
      </c>
      <c r="C145" t="s">
        <v>80</v>
      </c>
      <c r="D145" t="s">
        <v>73</v>
      </c>
      <c r="G145" t="s">
        <v>74</v>
      </c>
      <c r="J145" t="s">
        <v>67</v>
      </c>
      <c r="M145" t="str">
        <f t="shared" si="19"/>
        <v/>
      </c>
      <c r="N145" t="s">
        <v>68</v>
      </c>
      <c r="O145" t="str">
        <f t="shared" si="20"/>
        <v/>
      </c>
      <c r="P145" t="s">
        <v>68</v>
      </c>
      <c r="S145">
        <f t="shared" si="16"/>
        <v>0</v>
      </c>
      <c r="T145" t="str">
        <f t="shared" si="17"/>
        <v>⬜  Parcial · Inst. 2 pendiente</v>
      </c>
      <c r="U145" s="53">
        <v>1</v>
      </c>
      <c r="V145" t="s">
        <v>69</v>
      </c>
      <c r="W145">
        <f>IF(NORMALIZADO!BV145="",0,NORMALIZADO!BV145)</f>
        <v>0</v>
      </c>
      <c r="X145">
        <f>IF(NORMALIZADO!BW145="",0,NORMALIZADO!BW145)</f>
        <v>0</v>
      </c>
      <c r="Y145">
        <f>IF(NORMALIZADO!BX145="",0,NORMALIZADO!BX145)</f>
        <v>0</v>
      </c>
      <c r="Z145">
        <f>IF(NORMALIZADO!BY145="",0,NORMALIZADO!BY145)</f>
        <v>0</v>
      </c>
      <c r="AO145" t="str">
        <f t="shared" si="18"/>
        <v>N/A</v>
      </c>
      <c r="AP145">
        <f>IFERROR((IF(ISNUMBER(M145),M145/100*PONDERADORES!$D$12,0)+IF(ISNUMBER(SCORECARDS!H145),SCORECARDS!H145/100*PONDERADORES!$D$13,0)+IF(ISNUMBER(SCORECARDS!I145),SCORECARDS!I145/100*PONDERADORES!$D$14,0)+IF(ISNUMBER(SCORECARDS!J145),SCORECARDS!J145/100*PONDERADORES!$D$15,0)+IF(ISNUMBER(ISCAM_Score!K146),ISCAM_Score!K146/100*PONDERADORES!$D$16,0)+IF(ISNUMBER(O145),O145*PONDERADORES!$D$17,0)+IF(ISNUMBER(AVERAGE(W145:Z145)),AVERAGE(W145:Z145)/2*PONDERADORES!$D$19,0))/(IF(ISNUMBER(M145),PONDERADORES!$D$12,0)+IF(ISNUMBER(SCORECARDS!H145),PONDERADORES!$D$13,0)+IF(ISNUMBER(SCORECARDS!I145),PONDERADORES!$D$14,0)+IF(ISNUMBER(SCORECARDS!J145),PONDERADORES!$D$15,0)+IF(ISNUMBER(ISCAM_Score!K146),PONDERADORES!$D$16,0)+IF(ISNUMBER(O145),PONDERADORES!$D$17,0)+IF(ISNUMBER(AVERAGE(W145:Z145)),PONDERADORES!$D$19,0)),"N/A")</f>
        <v>0</v>
      </c>
      <c r="AQ145">
        <f>IF(ISNUMBER(M145),1,0)+IF(ISNUMBER(SCORECARDS!H145),1,0)+IF(ISNUMBER(SCORECARDS!I145),1,0)+IF(ISNUMBER(SCORECARDS!J145),1,0)+IF(ISNUMBER(ISCAM_Score!K146),1,0)+IF(ISNUMBER(O145),1,0)+IF(COUNT(W145:Z145)&gt;0,1,0)</f>
        <v>1</v>
      </c>
    </row>
    <row r="146" spans="1:45" ht="16.05" customHeight="1" x14ac:dyDescent="0.3">
      <c r="A146" t="s">
        <v>381</v>
      </c>
      <c r="B146" t="s">
        <v>382</v>
      </c>
      <c r="C146" t="s">
        <v>77</v>
      </c>
      <c r="D146" t="s">
        <v>65</v>
      </c>
      <c r="E146">
        <v>332555.15999999997</v>
      </c>
      <c r="F146">
        <v>2</v>
      </c>
      <c r="G146" t="s">
        <v>66</v>
      </c>
      <c r="H146" t="s">
        <v>66</v>
      </c>
      <c r="I146" t="s">
        <v>66</v>
      </c>
      <c r="J146" t="s">
        <v>67</v>
      </c>
      <c r="K146" t="s">
        <v>83</v>
      </c>
      <c r="L146">
        <v>332555.15999999997</v>
      </c>
      <c r="M146">
        <f t="shared" si="19"/>
        <v>100</v>
      </c>
      <c r="N146" t="s">
        <v>68</v>
      </c>
      <c r="O146">
        <f t="shared" si="20"/>
        <v>1</v>
      </c>
      <c r="P146" t="s">
        <v>68</v>
      </c>
      <c r="Q146">
        <v>203</v>
      </c>
      <c r="R146">
        <v>609</v>
      </c>
      <c r="S146">
        <f t="shared" si="16"/>
        <v>63.5</v>
      </c>
      <c r="T146" t="str">
        <f t="shared" si="17"/>
        <v>⬜  Parcial · Inst. 2 pendiente</v>
      </c>
      <c r="U146" s="53">
        <v>1</v>
      </c>
      <c r="V146" t="s">
        <v>69</v>
      </c>
      <c r="W146">
        <f>IF(NORMALIZADO!BV146="",1,NORMALIZADO!BV146)</f>
        <v>1</v>
      </c>
      <c r="X146">
        <f>IF(NORMALIZADO!BW146="",0,NORMALIZADO!BW146)</f>
        <v>0</v>
      </c>
      <c r="Y146">
        <f>IF(NORMALIZADO!BX146="",0,NORMALIZADO!BX146)</f>
        <v>0</v>
      </c>
      <c r="Z146">
        <f>IF(NORMALIZADO!BY146="",0,NORMALIZADO!BY146)</f>
        <v>0</v>
      </c>
      <c r="AO146" t="str">
        <f t="shared" si="18"/>
        <v>N/A</v>
      </c>
      <c r="AP146">
        <f>IFERROR((IF(ISNUMBER(M146),M146/100*PONDERADORES!$D$12,0)+IF(ISNUMBER(SCORECARDS!H146),SCORECARDS!H146/100*PONDERADORES!$D$13,0)+IF(ISNUMBER(SCORECARDS!I146),SCORECARDS!I146/100*PONDERADORES!$D$14,0)+IF(ISNUMBER(SCORECARDS!J146),SCORECARDS!J146/100*PONDERADORES!$D$15,0)+IF(ISNUMBER(ISCAM_Score!K147),ISCAM_Score!K147/100*PONDERADORES!$D$16,0)+IF(ISNUMBER(O146),O146*PONDERADORES!$D$17,0)+IF(ISNUMBER(AVERAGE(W146:Z146)),AVERAGE(W146:Z146)/2*PONDERADORES!$D$19,0))/(IF(ISNUMBER(M146),PONDERADORES!$D$12,0)+IF(ISNUMBER(SCORECARDS!H146),PONDERADORES!$D$13,0)+IF(ISNUMBER(SCORECARDS!I146),PONDERADORES!$D$14,0)+IF(ISNUMBER(SCORECARDS!J146),PONDERADORES!$D$15,0)+IF(ISNUMBER(ISCAM_Score!K147),PONDERADORES!$D$16,0)+IF(ISNUMBER(O146),PONDERADORES!$D$17,0)+IF(ISNUMBER(AVERAGE(W146:Z146)),PONDERADORES!$D$19,0)),"N/A")</f>
        <v>0.63541666666666663</v>
      </c>
      <c r="AQ146">
        <f>IF(ISNUMBER(M146),1,0)+IF(ISNUMBER(SCORECARDS!H146),1,0)+IF(ISNUMBER(SCORECARDS!I146),1,0)+IF(ISNUMBER(SCORECARDS!J146),1,0)+IF(ISNUMBER(ISCAM_Score!K147),1,0)+IF(ISNUMBER(O146),1,0)+IF(COUNT(W146:Z146)&gt;0,1,0)</f>
        <v>3</v>
      </c>
      <c r="AR146" t="s">
        <v>1569</v>
      </c>
      <c r="AS146" t="s">
        <v>1570</v>
      </c>
    </row>
    <row r="147" spans="1:45" ht="16.05" customHeight="1" x14ac:dyDescent="0.3">
      <c r="A147" t="s">
        <v>383</v>
      </c>
      <c r="B147" t="s">
        <v>384</v>
      </c>
      <c r="C147" t="s">
        <v>241</v>
      </c>
      <c r="D147" t="s">
        <v>73</v>
      </c>
      <c r="E147">
        <v>543961.38</v>
      </c>
      <c r="F147">
        <v>5</v>
      </c>
      <c r="G147" t="s">
        <v>66</v>
      </c>
      <c r="J147" t="s">
        <v>67</v>
      </c>
      <c r="L147">
        <v>271980.69</v>
      </c>
      <c r="M147">
        <f t="shared" si="19"/>
        <v>50</v>
      </c>
      <c r="N147" t="s">
        <v>68</v>
      </c>
      <c r="O147" t="str">
        <f t="shared" si="20"/>
        <v/>
      </c>
      <c r="P147" t="s">
        <v>68</v>
      </c>
      <c r="S147">
        <f t="shared" si="16"/>
        <v>25</v>
      </c>
      <c r="T147" t="str">
        <f t="shared" si="17"/>
        <v>⬜  Parcial · Inst. 2 pendiente</v>
      </c>
      <c r="U147" s="53">
        <v>1</v>
      </c>
      <c r="V147" t="s">
        <v>69</v>
      </c>
      <c r="W147">
        <f>IF(NORMALIZADO!BV147="",0,NORMALIZADO!BV147)</f>
        <v>0</v>
      </c>
      <c r="X147">
        <f>IF(NORMALIZADO!BW147="",0,NORMALIZADO!BW147)</f>
        <v>0</v>
      </c>
      <c r="Y147">
        <f>IF(NORMALIZADO!BX147="",0,NORMALIZADO!BX147)</f>
        <v>0</v>
      </c>
      <c r="Z147">
        <f>IF(NORMALIZADO!BY147="",0,NORMALIZADO!BY147)</f>
        <v>0</v>
      </c>
      <c r="AO147" t="str">
        <f t="shared" si="18"/>
        <v>N/A</v>
      </c>
      <c r="AP147">
        <f>IFERROR((IF(ISNUMBER(M147),M147/100*PONDERADORES!$D$12,0)+IF(ISNUMBER(SCORECARDS!H147),SCORECARDS!H147/100*PONDERADORES!$D$13,0)+IF(ISNUMBER(SCORECARDS!I147),SCORECARDS!I147/100*PONDERADORES!$D$14,0)+IF(ISNUMBER(SCORECARDS!J147),SCORECARDS!J147/100*PONDERADORES!$D$15,0)+IF(ISNUMBER(ISCAM_Score!K148),ISCAM_Score!K148/100*PONDERADORES!$D$16,0)+IF(ISNUMBER(O147),O147*PONDERADORES!$D$17,0)+IF(ISNUMBER(AVERAGE(W147:Z147)),AVERAGE(W147:Z147)/2*PONDERADORES!$D$19,0))/(IF(ISNUMBER(M147),PONDERADORES!$D$12,0)+IF(ISNUMBER(SCORECARDS!H147),PONDERADORES!$D$13,0)+IF(ISNUMBER(SCORECARDS!I147),PONDERADORES!$D$14,0)+IF(ISNUMBER(SCORECARDS!J147),PONDERADORES!$D$15,0)+IF(ISNUMBER(ISCAM_Score!K148),PONDERADORES!$D$16,0)+IF(ISNUMBER(O147),PONDERADORES!$D$17,0)+IF(ISNUMBER(AVERAGE(W147:Z147)),PONDERADORES!$D$19,0)),"N/A")</f>
        <v>0.25</v>
      </c>
      <c r="AQ147">
        <f>IF(ISNUMBER(M147),1,0)+IF(ISNUMBER(SCORECARDS!H147),1,0)+IF(ISNUMBER(SCORECARDS!I147),1,0)+IF(ISNUMBER(SCORECARDS!J147),1,0)+IF(ISNUMBER(ISCAM_Score!K148),1,0)+IF(ISNUMBER(O147),1,0)+IF(COUNT(W147:Z147)&gt;0,1,0)</f>
        <v>2</v>
      </c>
    </row>
    <row r="148" spans="1:45" ht="16.05" customHeight="1" x14ac:dyDescent="0.3">
      <c r="A148" t="s">
        <v>385</v>
      </c>
      <c r="B148" t="s">
        <v>386</v>
      </c>
      <c r="C148" t="s">
        <v>80</v>
      </c>
      <c r="D148" t="s">
        <v>73</v>
      </c>
      <c r="G148" t="s">
        <v>74</v>
      </c>
      <c r="J148" t="s">
        <v>67</v>
      </c>
      <c r="M148" t="str">
        <f t="shared" si="19"/>
        <v/>
      </c>
      <c r="N148" t="s">
        <v>68</v>
      </c>
      <c r="O148" t="str">
        <f t="shared" si="20"/>
        <v/>
      </c>
      <c r="P148" t="s">
        <v>68</v>
      </c>
      <c r="S148">
        <f t="shared" si="16"/>
        <v>0</v>
      </c>
      <c r="T148" t="str">
        <f t="shared" si="17"/>
        <v>⬜  Parcial · Inst. 2 pendiente</v>
      </c>
      <c r="U148" s="53">
        <v>1</v>
      </c>
      <c r="V148" t="s">
        <v>69</v>
      </c>
      <c r="W148">
        <f>IF(NORMALIZADO!BV148="",0,NORMALIZADO!BV148)</f>
        <v>0</v>
      </c>
      <c r="X148">
        <f>IF(NORMALIZADO!BW148="",0,NORMALIZADO!BW148)</f>
        <v>0</v>
      </c>
      <c r="Y148">
        <f>IF(NORMALIZADO!BX148="",0,NORMALIZADO!BX148)</f>
        <v>0</v>
      </c>
      <c r="Z148">
        <f>IF(NORMALIZADO!BY148="",0,NORMALIZADO!BY148)</f>
        <v>0</v>
      </c>
      <c r="AO148" t="str">
        <f t="shared" si="18"/>
        <v>N/A</v>
      </c>
      <c r="AP148">
        <f>IFERROR((IF(ISNUMBER(M148),M148/100*PONDERADORES!$D$12,0)+IF(ISNUMBER(SCORECARDS!H148),SCORECARDS!H148/100*PONDERADORES!$D$13,0)+IF(ISNUMBER(SCORECARDS!I148),SCORECARDS!I148/100*PONDERADORES!$D$14,0)+IF(ISNUMBER(SCORECARDS!J148),SCORECARDS!J148/100*PONDERADORES!$D$15,0)+IF(ISNUMBER(ISCAM_Score!K149),ISCAM_Score!K149/100*PONDERADORES!$D$16,0)+IF(ISNUMBER(O148),O148*PONDERADORES!$D$17,0)+IF(ISNUMBER(AVERAGE(W148:Z148)),AVERAGE(W148:Z148)/2*PONDERADORES!$D$19,0))/(IF(ISNUMBER(M148),PONDERADORES!$D$12,0)+IF(ISNUMBER(SCORECARDS!H148),PONDERADORES!$D$13,0)+IF(ISNUMBER(SCORECARDS!I148),PONDERADORES!$D$14,0)+IF(ISNUMBER(SCORECARDS!J148),PONDERADORES!$D$15,0)+IF(ISNUMBER(ISCAM_Score!K149),PONDERADORES!$D$16,0)+IF(ISNUMBER(O148),PONDERADORES!$D$17,0)+IF(ISNUMBER(AVERAGE(W148:Z148)),PONDERADORES!$D$19,0)),"N/A")</f>
        <v>0</v>
      </c>
      <c r="AQ148">
        <f>IF(ISNUMBER(M148),1,0)+IF(ISNUMBER(SCORECARDS!H148),1,0)+IF(ISNUMBER(SCORECARDS!I148),1,0)+IF(ISNUMBER(SCORECARDS!J148),1,0)+IF(ISNUMBER(ISCAM_Score!K149),1,0)+IF(ISNUMBER(O148),1,0)+IF(COUNT(W148:Z148)&gt;0,1,0)</f>
        <v>1</v>
      </c>
    </row>
    <row r="149" spans="1:45" ht="16.05" customHeight="1" x14ac:dyDescent="0.3">
      <c r="A149" t="s">
        <v>387</v>
      </c>
      <c r="B149" t="s">
        <v>388</v>
      </c>
      <c r="C149" t="s">
        <v>150</v>
      </c>
      <c r="D149" t="s">
        <v>65</v>
      </c>
      <c r="E149">
        <v>7275.18</v>
      </c>
      <c r="F149">
        <v>1</v>
      </c>
      <c r="G149" t="s">
        <v>66</v>
      </c>
      <c r="H149" t="s">
        <v>66</v>
      </c>
      <c r="I149" t="s">
        <v>66</v>
      </c>
      <c r="J149" t="s">
        <v>67</v>
      </c>
      <c r="L149">
        <v>0</v>
      </c>
      <c r="M149">
        <f t="shared" si="19"/>
        <v>0</v>
      </c>
      <c r="N149" t="s">
        <v>68</v>
      </c>
      <c r="O149">
        <f t="shared" si="20"/>
        <v>1</v>
      </c>
      <c r="P149" t="s">
        <v>68</v>
      </c>
      <c r="Q149">
        <v>305</v>
      </c>
      <c r="R149">
        <v>699</v>
      </c>
      <c r="S149">
        <f t="shared" si="16"/>
        <v>21.9</v>
      </c>
      <c r="T149" t="str">
        <f t="shared" si="17"/>
        <v>⬜  Parcial · Inst. 2 pendiente</v>
      </c>
      <c r="U149" s="53">
        <v>1</v>
      </c>
      <c r="V149" t="s">
        <v>69</v>
      </c>
      <c r="W149">
        <f>IF(NORMALIZADO!BV149="",1,NORMALIZADO!BV149)</f>
        <v>1</v>
      </c>
      <c r="X149">
        <f>IF(NORMALIZADO!BW149="",0,NORMALIZADO!BW149)</f>
        <v>0</v>
      </c>
      <c r="Y149">
        <f>IF(NORMALIZADO!BX149="",0,NORMALIZADO!BX149)</f>
        <v>0</v>
      </c>
      <c r="Z149">
        <f>IF(NORMALIZADO!BY149="",0,NORMALIZADO!BY149)</f>
        <v>0</v>
      </c>
      <c r="AO149" t="str">
        <f t="shared" si="18"/>
        <v>N/A</v>
      </c>
      <c r="AP149">
        <f>IFERROR((IF(ISNUMBER(M149),M149/100*PONDERADORES!$D$12,0)+IF(ISNUMBER(SCORECARDS!H149),SCORECARDS!H149/100*PONDERADORES!$D$13,0)+IF(ISNUMBER(SCORECARDS!I149),SCORECARDS!I149/100*PONDERADORES!$D$14,0)+IF(ISNUMBER(SCORECARDS!J149),SCORECARDS!J149/100*PONDERADORES!$D$15,0)+IF(ISNUMBER(ISCAM_Score!K150),ISCAM_Score!K150/100*PONDERADORES!$D$16,0)+IF(ISNUMBER(O149),O149*PONDERADORES!$D$17,0)+IF(ISNUMBER(AVERAGE(W149:Z149)),AVERAGE(W149:Z149)/2*PONDERADORES!$D$19,0))/(IF(ISNUMBER(M149),PONDERADORES!$D$12,0)+IF(ISNUMBER(SCORECARDS!H149),PONDERADORES!$D$13,0)+IF(ISNUMBER(SCORECARDS!I149),PONDERADORES!$D$14,0)+IF(ISNUMBER(SCORECARDS!J149),PONDERADORES!$D$15,0)+IF(ISNUMBER(ISCAM_Score!K150),PONDERADORES!$D$16,0)+IF(ISNUMBER(O149),PONDERADORES!$D$17,0)+IF(ISNUMBER(AVERAGE(W149:Z149)),PONDERADORES!$D$19,0)),"N/A")</f>
        <v>0.21875</v>
      </c>
      <c r="AQ149">
        <f>IF(ISNUMBER(M149),1,0)+IF(ISNUMBER(SCORECARDS!H149),1,0)+IF(ISNUMBER(SCORECARDS!I149),1,0)+IF(ISNUMBER(SCORECARDS!J149),1,0)+IF(ISNUMBER(ISCAM_Score!K150),1,0)+IF(ISNUMBER(O149),1,0)+IF(COUNT(W149:Z149)&gt;0,1,0)</f>
        <v>3</v>
      </c>
      <c r="AR149" t="s">
        <v>66</v>
      </c>
      <c r="AS149" t="s">
        <v>66</v>
      </c>
    </row>
    <row r="150" spans="1:45" ht="16.05" customHeight="1" x14ac:dyDescent="0.3">
      <c r="A150" t="s">
        <v>389</v>
      </c>
      <c r="B150" t="s">
        <v>390</v>
      </c>
      <c r="C150" t="s">
        <v>103</v>
      </c>
      <c r="D150" t="s">
        <v>65</v>
      </c>
      <c r="G150" t="s">
        <v>74</v>
      </c>
      <c r="J150" t="s">
        <v>124</v>
      </c>
      <c r="M150" t="str">
        <f t="shared" si="19"/>
        <v/>
      </c>
      <c r="N150" t="s">
        <v>68</v>
      </c>
      <c r="O150" t="str">
        <f t="shared" si="20"/>
        <v/>
      </c>
      <c r="P150" t="s">
        <v>68</v>
      </c>
      <c r="S150">
        <f t="shared" si="16"/>
        <v>0</v>
      </c>
      <c r="T150" t="str">
        <f t="shared" si="17"/>
        <v>⬜  Parcial · Inst. 2 pendiente</v>
      </c>
      <c r="U150" s="53">
        <v>1</v>
      </c>
      <c r="V150" t="s">
        <v>69</v>
      </c>
      <c r="W150">
        <f>IF(NORMALIZADO!BV150="",0,NORMALIZADO!BV150)</f>
        <v>0</v>
      </c>
      <c r="X150">
        <f>IF(NORMALIZADO!BW150="",0,NORMALIZADO!BW150)</f>
        <v>0</v>
      </c>
      <c r="Y150">
        <f>IF(NORMALIZADO!BX150="",0,NORMALIZADO!BX150)</f>
        <v>0</v>
      </c>
      <c r="Z150">
        <f>IF(NORMALIZADO!BY150="",0,NORMALIZADO!BY150)</f>
        <v>0</v>
      </c>
      <c r="AO150" t="str">
        <f t="shared" si="18"/>
        <v>N/A</v>
      </c>
      <c r="AP150">
        <f>IFERROR((IF(ISNUMBER(M150),M150/100*PONDERADORES!$D$12,0)+IF(ISNUMBER(SCORECARDS!H150),SCORECARDS!H150/100*PONDERADORES!$D$13,0)+IF(ISNUMBER(SCORECARDS!I150),SCORECARDS!I150/100*PONDERADORES!$D$14,0)+IF(ISNUMBER(SCORECARDS!J150),SCORECARDS!J150/100*PONDERADORES!$D$15,0)+IF(ISNUMBER(ISCAM_Score!K151),ISCAM_Score!K151/100*PONDERADORES!$D$16,0)+IF(ISNUMBER(O150),O150*PONDERADORES!$D$17,0)+IF(ISNUMBER(AVERAGE(W150:Z150)),AVERAGE(W150:Z150)/2*PONDERADORES!$D$19,0))/(IF(ISNUMBER(M150),PONDERADORES!$D$12,0)+IF(ISNUMBER(SCORECARDS!H150),PONDERADORES!$D$13,0)+IF(ISNUMBER(SCORECARDS!I150),PONDERADORES!$D$14,0)+IF(ISNUMBER(SCORECARDS!J150),PONDERADORES!$D$15,0)+IF(ISNUMBER(ISCAM_Score!K151),PONDERADORES!$D$16,0)+IF(ISNUMBER(O150),PONDERADORES!$D$17,0)+IF(ISNUMBER(AVERAGE(W150:Z150)),PONDERADORES!$D$19,0)),"N/A")</f>
        <v>0</v>
      </c>
      <c r="AQ150">
        <f>IF(ISNUMBER(M150),1,0)+IF(ISNUMBER(SCORECARDS!H150),1,0)+IF(ISNUMBER(SCORECARDS!I150),1,0)+IF(ISNUMBER(SCORECARDS!J150),1,0)+IF(ISNUMBER(ISCAM_Score!K151),1,0)+IF(ISNUMBER(O150),1,0)+IF(COUNT(W150:Z150)&gt;0,1,0)</f>
        <v>1</v>
      </c>
    </row>
    <row r="151" spans="1:45" ht="16.05" customHeight="1" x14ac:dyDescent="0.3">
      <c r="A151" t="s">
        <v>391</v>
      </c>
      <c r="B151" t="s">
        <v>392</v>
      </c>
      <c r="C151" t="s">
        <v>179</v>
      </c>
      <c r="D151" t="s">
        <v>65</v>
      </c>
      <c r="G151" t="s">
        <v>74</v>
      </c>
      <c r="J151" t="s">
        <v>67</v>
      </c>
      <c r="M151" t="str">
        <f t="shared" si="19"/>
        <v/>
      </c>
      <c r="N151" t="s">
        <v>68</v>
      </c>
      <c r="O151" t="str">
        <f t="shared" si="20"/>
        <v/>
      </c>
      <c r="P151" t="s">
        <v>68</v>
      </c>
      <c r="S151">
        <f t="shared" si="16"/>
        <v>0</v>
      </c>
      <c r="T151" t="str">
        <f t="shared" si="17"/>
        <v>⬜  Parcial · Inst. 2 pendiente</v>
      </c>
      <c r="U151" s="53">
        <v>1</v>
      </c>
      <c r="V151" t="s">
        <v>69</v>
      </c>
      <c r="W151">
        <f>IF(NORMALIZADO!BV151="",0,NORMALIZADO!BV151)</f>
        <v>0</v>
      </c>
      <c r="X151">
        <f>IF(NORMALIZADO!BW151="",0,NORMALIZADO!BW151)</f>
        <v>0</v>
      </c>
      <c r="Y151">
        <f>IF(NORMALIZADO!BX151="",0,NORMALIZADO!BX151)</f>
        <v>0</v>
      </c>
      <c r="Z151">
        <f>IF(NORMALIZADO!BY151="",0,NORMALIZADO!BY151)</f>
        <v>0</v>
      </c>
      <c r="AO151" t="str">
        <f t="shared" si="18"/>
        <v>N/A</v>
      </c>
      <c r="AP151">
        <f>IFERROR((IF(ISNUMBER(M151),M151/100*PONDERADORES!$D$12,0)+IF(ISNUMBER(SCORECARDS!H151),SCORECARDS!H151/100*PONDERADORES!$D$13,0)+IF(ISNUMBER(SCORECARDS!I151),SCORECARDS!I151/100*PONDERADORES!$D$14,0)+IF(ISNUMBER(SCORECARDS!J151),SCORECARDS!J151/100*PONDERADORES!$D$15,0)+IF(ISNUMBER(ISCAM_Score!K152),ISCAM_Score!K152/100*PONDERADORES!$D$16,0)+IF(ISNUMBER(O151),O151*PONDERADORES!$D$17,0)+IF(ISNUMBER(AVERAGE(W151:Z151)),AVERAGE(W151:Z151)/2*PONDERADORES!$D$19,0))/(IF(ISNUMBER(M151),PONDERADORES!$D$12,0)+IF(ISNUMBER(SCORECARDS!H151),PONDERADORES!$D$13,0)+IF(ISNUMBER(SCORECARDS!I151),PONDERADORES!$D$14,0)+IF(ISNUMBER(SCORECARDS!J151),PONDERADORES!$D$15,0)+IF(ISNUMBER(ISCAM_Score!K152),PONDERADORES!$D$16,0)+IF(ISNUMBER(O151),PONDERADORES!$D$17,0)+IF(ISNUMBER(AVERAGE(W151:Z151)),PONDERADORES!$D$19,0)),"N/A")</f>
        <v>0</v>
      </c>
      <c r="AQ151">
        <f>IF(ISNUMBER(M151),1,0)+IF(ISNUMBER(SCORECARDS!H151),1,0)+IF(ISNUMBER(SCORECARDS!I151),1,0)+IF(ISNUMBER(SCORECARDS!J151),1,0)+IF(ISNUMBER(ISCAM_Score!K152),1,0)+IF(ISNUMBER(O151),1,0)+IF(COUNT(W151:Z151)&gt;0,1,0)</f>
        <v>1</v>
      </c>
    </row>
    <row r="152" spans="1:45" ht="16.05" customHeight="1" x14ac:dyDescent="0.3">
      <c r="A152" t="s">
        <v>393</v>
      </c>
      <c r="B152" t="s">
        <v>394</v>
      </c>
      <c r="C152" t="s">
        <v>80</v>
      </c>
      <c r="D152" t="s">
        <v>73</v>
      </c>
      <c r="G152" t="s">
        <v>74</v>
      </c>
      <c r="J152" t="s">
        <v>67</v>
      </c>
      <c r="M152" t="str">
        <f t="shared" si="19"/>
        <v/>
      </c>
      <c r="N152" t="s">
        <v>68</v>
      </c>
      <c r="O152" t="str">
        <f t="shared" si="20"/>
        <v/>
      </c>
      <c r="P152" t="s">
        <v>68</v>
      </c>
      <c r="S152">
        <f t="shared" si="16"/>
        <v>0</v>
      </c>
      <c r="T152" t="str">
        <f t="shared" si="17"/>
        <v>⬜  Parcial · Inst. 2 pendiente</v>
      </c>
      <c r="U152" s="53">
        <v>1</v>
      </c>
      <c r="V152" t="s">
        <v>69</v>
      </c>
      <c r="W152">
        <f>IF(NORMALIZADO!BV152="",0,NORMALIZADO!BV152)</f>
        <v>0</v>
      </c>
      <c r="X152">
        <f>IF(NORMALIZADO!BW152="",0,NORMALIZADO!BW152)</f>
        <v>0</v>
      </c>
      <c r="Y152">
        <f>IF(NORMALIZADO!BX152="",0,NORMALIZADO!BX152)</f>
        <v>0</v>
      </c>
      <c r="Z152">
        <f>IF(NORMALIZADO!BY152="",0,NORMALIZADO!BY152)</f>
        <v>0</v>
      </c>
      <c r="AO152" t="str">
        <f t="shared" si="18"/>
        <v>N/A</v>
      </c>
      <c r="AP152">
        <f>IFERROR((IF(ISNUMBER(M152),M152/100*PONDERADORES!$D$12,0)+IF(ISNUMBER(SCORECARDS!H152),SCORECARDS!H152/100*PONDERADORES!$D$13,0)+IF(ISNUMBER(SCORECARDS!I152),SCORECARDS!I152/100*PONDERADORES!$D$14,0)+IF(ISNUMBER(SCORECARDS!J152),SCORECARDS!J152/100*PONDERADORES!$D$15,0)+IF(ISNUMBER(ISCAM_Score!K153),ISCAM_Score!K153/100*PONDERADORES!$D$16,0)+IF(ISNUMBER(O152),O152*PONDERADORES!$D$17,0)+IF(ISNUMBER(AVERAGE(W152:Z152)),AVERAGE(W152:Z152)/2*PONDERADORES!$D$19,0))/(IF(ISNUMBER(M152),PONDERADORES!$D$12,0)+IF(ISNUMBER(SCORECARDS!H152),PONDERADORES!$D$13,0)+IF(ISNUMBER(SCORECARDS!I152),PONDERADORES!$D$14,0)+IF(ISNUMBER(SCORECARDS!J152),PONDERADORES!$D$15,0)+IF(ISNUMBER(ISCAM_Score!K153),PONDERADORES!$D$16,0)+IF(ISNUMBER(O152),PONDERADORES!$D$17,0)+IF(ISNUMBER(AVERAGE(W152:Z152)),PONDERADORES!$D$19,0)),"N/A")</f>
        <v>0</v>
      </c>
      <c r="AQ152">
        <f>IF(ISNUMBER(M152),1,0)+IF(ISNUMBER(SCORECARDS!H152),1,0)+IF(ISNUMBER(SCORECARDS!I152),1,0)+IF(ISNUMBER(SCORECARDS!J152),1,0)+IF(ISNUMBER(ISCAM_Score!K153),1,0)+IF(ISNUMBER(O152),1,0)+IF(COUNT(W152:Z152)&gt;0,1,0)</f>
        <v>1</v>
      </c>
    </row>
    <row r="153" spans="1:45" ht="16.05" customHeight="1" x14ac:dyDescent="0.3">
      <c r="A153" t="s">
        <v>395</v>
      </c>
      <c r="B153" t="s">
        <v>396</v>
      </c>
      <c r="C153" t="s">
        <v>80</v>
      </c>
      <c r="D153" t="s">
        <v>73</v>
      </c>
      <c r="G153" t="s">
        <v>74</v>
      </c>
      <c r="J153" t="s">
        <v>67</v>
      </c>
      <c r="M153" t="str">
        <f t="shared" si="19"/>
        <v/>
      </c>
      <c r="N153" t="s">
        <v>68</v>
      </c>
      <c r="O153" t="str">
        <f t="shared" si="20"/>
        <v/>
      </c>
      <c r="P153" t="s">
        <v>68</v>
      </c>
      <c r="S153">
        <f t="shared" si="16"/>
        <v>0</v>
      </c>
      <c r="T153" t="str">
        <f t="shared" si="17"/>
        <v>⬜  Parcial · Inst. 2 pendiente</v>
      </c>
      <c r="U153" s="53">
        <v>1</v>
      </c>
      <c r="V153" t="s">
        <v>69</v>
      </c>
      <c r="W153">
        <f>IF(NORMALIZADO!BV153="",0,NORMALIZADO!BV153)</f>
        <v>0</v>
      </c>
      <c r="X153">
        <f>IF(NORMALIZADO!BW153="",0,NORMALIZADO!BW153)</f>
        <v>0</v>
      </c>
      <c r="Y153">
        <f>IF(NORMALIZADO!BX153="",0,NORMALIZADO!BX153)</f>
        <v>0</v>
      </c>
      <c r="Z153">
        <f>IF(NORMALIZADO!BY153="",0,NORMALIZADO!BY153)</f>
        <v>0</v>
      </c>
      <c r="AO153" t="str">
        <f t="shared" si="18"/>
        <v>N/A</v>
      </c>
      <c r="AP153">
        <f>IFERROR((IF(ISNUMBER(M153),M153/100*PONDERADORES!$D$12,0)+IF(ISNUMBER(SCORECARDS!H153),SCORECARDS!H153/100*PONDERADORES!$D$13,0)+IF(ISNUMBER(SCORECARDS!I153),SCORECARDS!I153/100*PONDERADORES!$D$14,0)+IF(ISNUMBER(SCORECARDS!J153),SCORECARDS!J153/100*PONDERADORES!$D$15,0)+IF(ISNUMBER(ISCAM_Score!K154),ISCAM_Score!K154/100*PONDERADORES!$D$16,0)+IF(ISNUMBER(O153),O153*PONDERADORES!$D$17,0)+IF(ISNUMBER(AVERAGE(W153:Z153)),AVERAGE(W153:Z153)/2*PONDERADORES!$D$19,0))/(IF(ISNUMBER(M153),PONDERADORES!$D$12,0)+IF(ISNUMBER(SCORECARDS!H153),PONDERADORES!$D$13,0)+IF(ISNUMBER(SCORECARDS!I153),PONDERADORES!$D$14,0)+IF(ISNUMBER(SCORECARDS!J153),PONDERADORES!$D$15,0)+IF(ISNUMBER(ISCAM_Score!K154),PONDERADORES!$D$16,0)+IF(ISNUMBER(O153),PONDERADORES!$D$17,0)+IF(ISNUMBER(AVERAGE(W153:Z153)),PONDERADORES!$D$19,0)),"N/A")</f>
        <v>0</v>
      </c>
      <c r="AQ153">
        <f>IF(ISNUMBER(M153),1,0)+IF(ISNUMBER(SCORECARDS!H153),1,0)+IF(ISNUMBER(SCORECARDS!I153),1,0)+IF(ISNUMBER(SCORECARDS!J153),1,0)+IF(ISNUMBER(ISCAM_Score!K154),1,0)+IF(ISNUMBER(O153),1,0)+IF(COUNT(W153:Z153)&gt;0,1,0)</f>
        <v>1</v>
      </c>
    </row>
    <row r="154" spans="1:45" ht="16.05" customHeight="1" x14ac:dyDescent="0.3">
      <c r="A154" t="s">
        <v>397</v>
      </c>
      <c r="B154" t="s">
        <v>398</v>
      </c>
      <c r="C154" t="s">
        <v>77</v>
      </c>
      <c r="D154" t="s">
        <v>65</v>
      </c>
      <c r="E154">
        <v>147669.48000000001</v>
      </c>
      <c r="F154">
        <v>1</v>
      </c>
      <c r="G154" t="s">
        <v>66</v>
      </c>
      <c r="I154" t="s">
        <v>66</v>
      </c>
      <c r="J154" t="s">
        <v>67</v>
      </c>
      <c r="K154" t="s">
        <v>83</v>
      </c>
      <c r="L154">
        <v>0</v>
      </c>
      <c r="M154">
        <f t="shared" si="19"/>
        <v>0</v>
      </c>
      <c r="N154" t="s">
        <v>68</v>
      </c>
      <c r="O154">
        <f t="shared" si="20"/>
        <v>0.4</v>
      </c>
      <c r="P154" t="s">
        <v>68</v>
      </c>
      <c r="Q154">
        <v>257</v>
      </c>
      <c r="R154">
        <v>771</v>
      </c>
      <c r="S154">
        <f t="shared" si="16"/>
        <v>11.9</v>
      </c>
      <c r="T154" t="str">
        <f t="shared" si="17"/>
        <v>⬜  Parcial · Inst. 2 pendiente</v>
      </c>
      <c r="U154" s="53">
        <v>1</v>
      </c>
      <c r="V154" t="s">
        <v>69</v>
      </c>
      <c r="W154">
        <f>IF(NORMALIZADO!BV154="",1,NORMALIZADO!BV154)</f>
        <v>1</v>
      </c>
      <c r="X154">
        <f>IF(NORMALIZADO!BW154="",0,NORMALIZADO!BW154)</f>
        <v>0</v>
      </c>
      <c r="Y154">
        <f>IF(NORMALIZADO!BX154="",0,NORMALIZADO!BX154)</f>
        <v>0</v>
      </c>
      <c r="Z154">
        <f>IF(NORMALIZADO!BY154="",0,NORMALIZADO!BY154)</f>
        <v>0</v>
      </c>
      <c r="AO154" t="str">
        <f t="shared" si="18"/>
        <v>N/A</v>
      </c>
      <c r="AP154">
        <f>IFERROR((IF(ISNUMBER(M154),M154/100*PONDERADORES!$D$12,0)+IF(ISNUMBER(SCORECARDS!H154),SCORECARDS!H154/100*PONDERADORES!$D$13,0)+IF(ISNUMBER(SCORECARDS!I154),SCORECARDS!I154/100*PONDERADORES!$D$14,0)+IF(ISNUMBER(SCORECARDS!J154),SCORECARDS!J154/100*PONDERADORES!$D$15,0)+IF(ISNUMBER(ISCAM_Score!K155),ISCAM_Score!K155/100*PONDERADORES!$D$16,0)+IF(ISNUMBER(O154),O154*PONDERADORES!$D$17,0)+IF(ISNUMBER(AVERAGE(W154:Z154)),AVERAGE(W154:Z154)/2*PONDERADORES!$D$19,0))/(IF(ISNUMBER(M154),PONDERADORES!$D$12,0)+IF(ISNUMBER(SCORECARDS!H154),PONDERADORES!$D$13,0)+IF(ISNUMBER(SCORECARDS!I154),PONDERADORES!$D$14,0)+IF(ISNUMBER(SCORECARDS!J154),PONDERADORES!$D$15,0)+IF(ISNUMBER(ISCAM_Score!K155),PONDERADORES!$D$16,0)+IF(ISNUMBER(O154),PONDERADORES!$D$17,0)+IF(ISNUMBER(AVERAGE(W154:Z154)),PONDERADORES!$D$19,0)),"N/A")</f>
        <v>0.11875000000000001</v>
      </c>
      <c r="AQ154">
        <f>IF(ISNUMBER(M154),1,0)+IF(ISNUMBER(SCORECARDS!H154),1,0)+IF(ISNUMBER(SCORECARDS!I154),1,0)+IF(ISNUMBER(SCORECARDS!J154),1,0)+IF(ISNUMBER(ISCAM_Score!K155),1,0)+IF(ISNUMBER(O154),1,0)+IF(COUNT(W154:Z154)&gt;0,1,0)</f>
        <v>3</v>
      </c>
      <c r="AS154" t="s">
        <v>1571</v>
      </c>
    </row>
    <row r="155" spans="1:45" ht="16.05" customHeight="1" x14ac:dyDescent="0.3">
      <c r="A155" t="s">
        <v>399</v>
      </c>
      <c r="B155" t="s">
        <v>400</v>
      </c>
      <c r="C155" t="s">
        <v>109</v>
      </c>
      <c r="D155" t="s">
        <v>73</v>
      </c>
      <c r="G155" t="s">
        <v>74</v>
      </c>
      <c r="J155" t="s">
        <v>67</v>
      </c>
      <c r="M155" t="str">
        <f t="shared" si="19"/>
        <v/>
      </c>
      <c r="N155" t="s">
        <v>68</v>
      </c>
      <c r="O155" t="str">
        <f t="shared" si="20"/>
        <v/>
      </c>
      <c r="P155" t="s">
        <v>68</v>
      </c>
      <c r="S155">
        <f t="shared" si="16"/>
        <v>0</v>
      </c>
      <c r="T155" t="str">
        <f t="shared" si="17"/>
        <v>⬜  Parcial · Inst. 2 pendiente</v>
      </c>
      <c r="U155" s="53">
        <v>1</v>
      </c>
      <c r="V155" t="s">
        <v>69</v>
      </c>
      <c r="W155">
        <f>IF(NORMALIZADO!BV155="",0,NORMALIZADO!BV155)</f>
        <v>0</v>
      </c>
      <c r="X155">
        <f>IF(NORMALIZADO!BW155="",0,NORMALIZADO!BW155)</f>
        <v>0</v>
      </c>
      <c r="Y155">
        <f>IF(NORMALIZADO!BX155="",0,NORMALIZADO!BX155)</f>
        <v>0</v>
      </c>
      <c r="Z155">
        <f>IF(NORMALIZADO!BY155="",0,NORMALIZADO!BY155)</f>
        <v>0</v>
      </c>
      <c r="AO155" t="str">
        <f t="shared" si="18"/>
        <v>N/A</v>
      </c>
      <c r="AP155">
        <f>IFERROR((IF(ISNUMBER(M155),M155/100*PONDERADORES!$D$12,0)+IF(ISNUMBER(SCORECARDS!H155),SCORECARDS!H155/100*PONDERADORES!$D$13,0)+IF(ISNUMBER(SCORECARDS!I155),SCORECARDS!I155/100*PONDERADORES!$D$14,0)+IF(ISNUMBER(SCORECARDS!J155),SCORECARDS!J155/100*PONDERADORES!$D$15,0)+IF(ISNUMBER(ISCAM_Score!K156),ISCAM_Score!K156/100*PONDERADORES!$D$16,0)+IF(ISNUMBER(O155),O155*PONDERADORES!$D$17,0)+IF(ISNUMBER(AVERAGE(W155:Z155)),AVERAGE(W155:Z155)/2*PONDERADORES!$D$19,0))/(IF(ISNUMBER(M155),PONDERADORES!$D$12,0)+IF(ISNUMBER(SCORECARDS!H155),PONDERADORES!$D$13,0)+IF(ISNUMBER(SCORECARDS!I155),PONDERADORES!$D$14,0)+IF(ISNUMBER(SCORECARDS!J155),PONDERADORES!$D$15,0)+IF(ISNUMBER(ISCAM_Score!K156),PONDERADORES!$D$16,0)+IF(ISNUMBER(O155),PONDERADORES!$D$17,0)+IF(ISNUMBER(AVERAGE(W155:Z155)),PONDERADORES!$D$19,0)),"N/A")</f>
        <v>0</v>
      </c>
      <c r="AQ155">
        <f>IF(ISNUMBER(M155),1,0)+IF(ISNUMBER(SCORECARDS!H155),1,0)+IF(ISNUMBER(SCORECARDS!I155),1,0)+IF(ISNUMBER(SCORECARDS!J155),1,0)+IF(ISNUMBER(ISCAM_Score!K156),1,0)+IF(ISNUMBER(O155),1,0)+IF(COUNT(W155:Z155)&gt;0,1,0)</f>
        <v>1</v>
      </c>
    </row>
    <row r="156" spans="1:45" ht="16.05" customHeight="1" x14ac:dyDescent="0.3">
      <c r="A156" t="s">
        <v>401</v>
      </c>
      <c r="B156" t="s">
        <v>402</v>
      </c>
      <c r="C156" t="s">
        <v>179</v>
      </c>
      <c r="D156" t="s">
        <v>65</v>
      </c>
      <c r="G156" t="s">
        <v>74</v>
      </c>
      <c r="J156" t="s">
        <v>124</v>
      </c>
      <c r="M156" t="str">
        <f t="shared" si="19"/>
        <v/>
      </c>
      <c r="N156" t="s">
        <v>68</v>
      </c>
      <c r="O156" t="str">
        <f t="shared" si="20"/>
        <v/>
      </c>
      <c r="P156" t="s">
        <v>68</v>
      </c>
      <c r="S156">
        <f t="shared" si="16"/>
        <v>0</v>
      </c>
      <c r="T156" t="str">
        <f t="shared" si="17"/>
        <v>⬜  Parcial · Inst. 2 pendiente</v>
      </c>
      <c r="U156" s="53">
        <v>1</v>
      </c>
      <c r="V156" t="s">
        <v>69</v>
      </c>
      <c r="W156">
        <f>IF(NORMALIZADO!BV156="",0,NORMALIZADO!BV156)</f>
        <v>0</v>
      </c>
      <c r="X156">
        <f>IF(NORMALIZADO!BW156="",0,NORMALIZADO!BW156)</f>
        <v>0</v>
      </c>
      <c r="Y156">
        <f>IF(NORMALIZADO!BX156="",0,NORMALIZADO!BX156)</f>
        <v>0</v>
      </c>
      <c r="Z156">
        <f>IF(NORMALIZADO!BY156="",0,NORMALIZADO!BY156)</f>
        <v>0</v>
      </c>
      <c r="AO156" t="str">
        <f t="shared" si="18"/>
        <v>N/A</v>
      </c>
      <c r="AP156">
        <f>IFERROR((IF(ISNUMBER(M156),M156/100*PONDERADORES!$D$12,0)+IF(ISNUMBER(SCORECARDS!H156),SCORECARDS!H156/100*PONDERADORES!$D$13,0)+IF(ISNUMBER(SCORECARDS!I156),SCORECARDS!I156/100*PONDERADORES!$D$14,0)+IF(ISNUMBER(SCORECARDS!J156),SCORECARDS!J156/100*PONDERADORES!$D$15,0)+IF(ISNUMBER(ISCAM_Score!K157),ISCAM_Score!K157/100*PONDERADORES!$D$16,0)+IF(ISNUMBER(O156),O156*PONDERADORES!$D$17,0)+IF(ISNUMBER(AVERAGE(W156:Z156)),AVERAGE(W156:Z156)/2*PONDERADORES!$D$19,0))/(IF(ISNUMBER(M156),PONDERADORES!$D$12,0)+IF(ISNUMBER(SCORECARDS!H156),PONDERADORES!$D$13,0)+IF(ISNUMBER(SCORECARDS!I156),PONDERADORES!$D$14,0)+IF(ISNUMBER(SCORECARDS!J156),PONDERADORES!$D$15,0)+IF(ISNUMBER(ISCAM_Score!K157),PONDERADORES!$D$16,0)+IF(ISNUMBER(O156),PONDERADORES!$D$17,0)+IF(ISNUMBER(AVERAGE(W156:Z156)),PONDERADORES!$D$19,0)),"N/A")</f>
        <v>0</v>
      </c>
      <c r="AQ156">
        <f>IF(ISNUMBER(M156),1,0)+IF(ISNUMBER(SCORECARDS!H156),1,0)+IF(ISNUMBER(SCORECARDS!I156),1,0)+IF(ISNUMBER(SCORECARDS!J156),1,0)+IF(ISNUMBER(ISCAM_Score!K157),1,0)+IF(ISNUMBER(O156),1,0)+IF(COUNT(W156:Z156)&gt;0,1,0)</f>
        <v>1</v>
      </c>
    </row>
    <row r="157" spans="1:45" ht="16.05" customHeight="1" x14ac:dyDescent="0.3">
      <c r="A157" t="s">
        <v>403</v>
      </c>
      <c r="B157" t="s">
        <v>404</v>
      </c>
      <c r="C157" t="s">
        <v>139</v>
      </c>
      <c r="D157" t="s">
        <v>65</v>
      </c>
      <c r="E157">
        <v>940783.32</v>
      </c>
      <c r="F157">
        <v>7</v>
      </c>
      <c r="G157" t="s">
        <v>66</v>
      </c>
      <c r="H157" t="s">
        <v>66</v>
      </c>
      <c r="I157" t="s">
        <v>66</v>
      </c>
      <c r="J157" t="s">
        <v>67</v>
      </c>
      <c r="K157" t="s">
        <v>405</v>
      </c>
      <c r="L157">
        <v>76135.47</v>
      </c>
      <c r="M157">
        <f t="shared" si="19"/>
        <v>8.1</v>
      </c>
      <c r="N157" t="s">
        <v>68</v>
      </c>
      <c r="O157">
        <f t="shared" si="20"/>
        <v>1</v>
      </c>
      <c r="P157" t="s">
        <v>68</v>
      </c>
      <c r="Q157">
        <v>187</v>
      </c>
      <c r="R157">
        <v>600</v>
      </c>
      <c r="S157">
        <f t="shared" si="16"/>
        <v>25.3</v>
      </c>
      <c r="T157" t="str">
        <f t="shared" si="17"/>
        <v>⬜  Parcial · Inst. 2 pendiente</v>
      </c>
      <c r="U157" s="53">
        <v>1</v>
      </c>
      <c r="V157" t="s">
        <v>69</v>
      </c>
      <c r="W157">
        <f>IF(NORMALIZADO!BV157="",1,NORMALIZADO!BV157)</f>
        <v>1</v>
      </c>
      <c r="X157">
        <f>IF(NORMALIZADO!BW157="",0,NORMALIZADO!BW157)</f>
        <v>0</v>
      </c>
      <c r="Y157">
        <f>IF(NORMALIZADO!BX157="",0,NORMALIZADO!BX157)</f>
        <v>0</v>
      </c>
      <c r="Z157">
        <f>IF(NORMALIZADO!BY157="",0,NORMALIZADO!BY157)</f>
        <v>0</v>
      </c>
      <c r="AO157" t="str">
        <f t="shared" si="18"/>
        <v>N/A</v>
      </c>
      <c r="AP157">
        <f>IFERROR((IF(ISNUMBER(M157),M157/100*PONDERADORES!$D$12,0)+IF(ISNUMBER(SCORECARDS!H157),SCORECARDS!H157/100*PONDERADORES!$D$13,0)+IF(ISNUMBER(SCORECARDS!I157),SCORECARDS!I157/100*PONDERADORES!$D$14,0)+IF(ISNUMBER(SCORECARDS!J157),SCORECARDS!J157/100*PONDERADORES!$D$15,0)+IF(ISNUMBER(ISCAM_Score!K158),ISCAM_Score!K158/100*PONDERADORES!$D$16,0)+IF(ISNUMBER(O157),O157*PONDERADORES!$D$17,0)+IF(ISNUMBER(AVERAGE(W157:Z157)),AVERAGE(W157:Z157)/2*PONDERADORES!$D$19,0))/(IF(ISNUMBER(M157),PONDERADORES!$D$12,0)+IF(ISNUMBER(SCORECARDS!H157),PONDERADORES!$D$13,0)+IF(ISNUMBER(SCORECARDS!I157),PONDERADORES!$D$14,0)+IF(ISNUMBER(SCORECARDS!J157),PONDERADORES!$D$15,0)+IF(ISNUMBER(ISCAM_Score!K158),PONDERADORES!$D$16,0)+IF(ISNUMBER(O157),PONDERADORES!$D$17,0)+IF(ISNUMBER(AVERAGE(W157:Z157)),PONDERADORES!$D$19,0)),"N/A")</f>
        <v>0.2525</v>
      </c>
      <c r="AQ157">
        <f>IF(ISNUMBER(M157),1,0)+IF(ISNUMBER(SCORECARDS!H157),1,0)+IF(ISNUMBER(SCORECARDS!I157),1,0)+IF(ISNUMBER(SCORECARDS!J157),1,0)+IF(ISNUMBER(ISCAM_Score!K158),1,0)+IF(ISNUMBER(O157),1,0)+IF(COUNT(W157:Z157)&gt;0,1,0)</f>
        <v>3</v>
      </c>
      <c r="AR157" t="s">
        <v>1572</v>
      </c>
      <c r="AS157" t="s">
        <v>1573</v>
      </c>
    </row>
    <row r="158" spans="1:45" ht="16.05" customHeight="1" x14ac:dyDescent="0.3">
      <c r="A158" t="s">
        <v>406</v>
      </c>
      <c r="B158" t="s">
        <v>407</v>
      </c>
      <c r="C158" t="s">
        <v>77</v>
      </c>
      <c r="G158" t="s">
        <v>74</v>
      </c>
      <c r="J158" t="s">
        <v>67</v>
      </c>
      <c r="M158" t="str">
        <f t="shared" si="19"/>
        <v/>
      </c>
      <c r="N158" t="s">
        <v>68</v>
      </c>
      <c r="O158" t="str">
        <f t="shared" si="20"/>
        <v/>
      </c>
      <c r="P158" t="s">
        <v>68</v>
      </c>
      <c r="S158">
        <f t="shared" si="16"/>
        <v>0</v>
      </c>
      <c r="T158" t="str">
        <f t="shared" si="17"/>
        <v>⬜  Parcial · Inst. 2 pendiente</v>
      </c>
      <c r="U158" s="53">
        <v>1</v>
      </c>
      <c r="V158" t="s">
        <v>69</v>
      </c>
      <c r="W158">
        <f>IF(NORMALIZADO!BV158="",0,NORMALIZADO!BV158)</f>
        <v>0</v>
      </c>
      <c r="X158">
        <f>IF(NORMALIZADO!BW158="",0,NORMALIZADO!BW158)</f>
        <v>0</v>
      </c>
      <c r="Y158">
        <f>IF(NORMALIZADO!BX158="",0,NORMALIZADO!BX158)</f>
        <v>0</v>
      </c>
      <c r="Z158">
        <f>IF(NORMALIZADO!BY158="",0,NORMALIZADO!BY158)</f>
        <v>0</v>
      </c>
      <c r="AO158" t="str">
        <f t="shared" si="18"/>
        <v>N/A</v>
      </c>
      <c r="AP158">
        <f>IFERROR((IF(ISNUMBER(M158),M158/100*PONDERADORES!$D$12,0)+IF(ISNUMBER(SCORECARDS!H158),SCORECARDS!H158/100*PONDERADORES!$D$13,0)+IF(ISNUMBER(SCORECARDS!I158),SCORECARDS!I158/100*PONDERADORES!$D$14,0)+IF(ISNUMBER(SCORECARDS!J158),SCORECARDS!J158/100*PONDERADORES!$D$15,0)+IF(ISNUMBER(ISCAM_Score!K159),ISCAM_Score!K159/100*PONDERADORES!$D$16,0)+IF(ISNUMBER(O158),O158*PONDERADORES!$D$17,0)+IF(ISNUMBER(AVERAGE(W158:Z158)),AVERAGE(W158:Z158)/2*PONDERADORES!$D$19,0))/(IF(ISNUMBER(M158),PONDERADORES!$D$12,0)+IF(ISNUMBER(SCORECARDS!H158),PONDERADORES!$D$13,0)+IF(ISNUMBER(SCORECARDS!I158),PONDERADORES!$D$14,0)+IF(ISNUMBER(SCORECARDS!J158),PONDERADORES!$D$15,0)+IF(ISNUMBER(ISCAM_Score!K159),PONDERADORES!$D$16,0)+IF(ISNUMBER(O158),PONDERADORES!$D$17,0)+IF(ISNUMBER(AVERAGE(W158:Z158)),PONDERADORES!$D$19,0)),"N/A")</f>
        <v>0</v>
      </c>
      <c r="AQ158">
        <f>IF(ISNUMBER(M158),1,0)+IF(ISNUMBER(SCORECARDS!H158),1,0)+IF(ISNUMBER(SCORECARDS!I158),1,0)+IF(ISNUMBER(SCORECARDS!J158),1,0)+IF(ISNUMBER(ISCAM_Score!K159),1,0)+IF(ISNUMBER(O158),1,0)+IF(COUNT(W158:Z158)&gt;0,1,0)</f>
        <v>1</v>
      </c>
    </row>
    <row r="159" spans="1:45" ht="16.05" customHeight="1" x14ac:dyDescent="0.3">
      <c r="A159" t="s">
        <v>408</v>
      </c>
      <c r="B159" t="s">
        <v>409</v>
      </c>
      <c r="C159" t="s">
        <v>139</v>
      </c>
      <c r="D159" t="s">
        <v>73</v>
      </c>
      <c r="G159" t="s">
        <v>74</v>
      </c>
      <c r="J159" t="s">
        <v>67</v>
      </c>
      <c r="M159" t="str">
        <f t="shared" si="19"/>
        <v/>
      </c>
      <c r="N159" t="s">
        <v>68</v>
      </c>
      <c r="O159" t="str">
        <f t="shared" si="20"/>
        <v/>
      </c>
      <c r="P159" t="s">
        <v>68</v>
      </c>
      <c r="S159">
        <f t="shared" si="16"/>
        <v>0</v>
      </c>
      <c r="T159" t="str">
        <f t="shared" si="17"/>
        <v>⬜  Parcial · Inst. 2 pendiente</v>
      </c>
      <c r="U159" s="53">
        <v>1</v>
      </c>
      <c r="V159" t="s">
        <v>69</v>
      </c>
      <c r="W159">
        <f>IF(NORMALIZADO!BV159="",0,NORMALIZADO!BV159)</f>
        <v>0</v>
      </c>
      <c r="X159">
        <f>IF(NORMALIZADO!BW159="",0,NORMALIZADO!BW159)</f>
        <v>0</v>
      </c>
      <c r="Y159">
        <f>IF(NORMALIZADO!BX159="",0,NORMALIZADO!BX159)</f>
        <v>0</v>
      </c>
      <c r="Z159">
        <f>IF(NORMALIZADO!BY159="",0,NORMALIZADO!BY159)</f>
        <v>0</v>
      </c>
      <c r="AO159" t="str">
        <f t="shared" si="18"/>
        <v>N/A</v>
      </c>
      <c r="AP159">
        <f>IFERROR((IF(ISNUMBER(M159),M159/100*PONDERADORES!$D$12,0)+IF(ISNUMBER(SCORECARDS!H159),SCORECARDS!H159/100*PONDERADORES!$D$13,0)+IF(ISNUMBER(SCORECARDS!I159),SCORECARDS!I159/100*PONDERADORES!$D$14,0)+IF(ISNUMBER(SCORECARDS!J159),SCORECARDS!J159/100*PONDERADORES!$D$15,0)+IF(ISNUMBER(ISCAM_Score!K160),ISCAM_Score!K160/100*PONDERADORES!$D$16,0)+IF(ISNUMBER(O159),O159*PONDERADORES!$D$17,0)+IF(ISNUMBER(AVERAGE(W159:Z159)),AVERAGE(W159:Z159)/2*PONDERADORES!$D$19,0))/(IF(ISNUMBER(M159),PONDERADORES!$D$12,0)+IF(ISNUMBER(SCORECARDS!H159),PONDERADORES!$D$13,0)+IF(ISNUMBER(SCORECARDS!I159),PONDERADORES!$D$14,0)+IF(ISNUMBER(SCORECARDS!J159),PONDERADORES!$D$15,0)+IF(ISNUMBER(ISCAM_Score!K160),PONDERADORES!$D$16,0)+IF(ISNUMBER(O159),PONDERADORES!$D$17,0)+IF(ISNUMBER(AVERAGE(W159:Z159)),PONDERADORES!$D$19,0)),"N/A")</f>
        <v>0</v>
      </c>
      <c r="AQ159">
        <f>IF(ISNUMBER(M159),1,0)+IF(ISNUMBER(SCORECARDS!H159),1,0)+IF(ISNUMBER(SCORECARDS!I159),1,0)+IF(ISNUMBER(SCORECARDS!J159),1,0)+IF(ISNUMBER(ISCAM_Score!K160),1,0)+IF(ISNUMBER(O159),1,0)+IF(COUNT(W159:Z159)&gt;0,1,0)</f>
        <v>1</v>
      </c>
    </row>
    <row r="160" spans="1:45" ht="16.05" customHeight="1" x14ac:dyDescent="0.3">
      <c r="A160" t="s">
        <v>410</v>
      </c>
      <c r="B160" t="s">
        <v>411</v>
      </c>
      <c r="C160" t="s">
        <v>103</v>
      </c>
      <c r="D160" t="s">
        <v>65</v>
      </c>
      <c r="G160" t="s">
        <v>74</v>
      </c>
      <c r="J160" t="s">
        <v>412</v>
      </c>
      <c r="M160" t="str">
        <f t="shared" si="19"/>
        <v/>
      </c>
      <c r="N160" t="s">
        <v>68</v>
      </c>
      <c r="O160" t="str">
        <f t="shared" si="20"/>
        <v/>
      </c>
      <c r="P160" t="s">
        <v>68</v>
      </c>
      <c r="S160">
        <f t="shared" si="16"/>
        <v>0</v>
      </c>
      <c r="T160" t="str">
        <f t="shared" si="17"/>
        <v>⬜  Parcial · Inst. 2 pendiente</v>
      </c>
      <c r="U160" s="53">
        <v>1</v>
      </c>
      <c r="V160" t="s">
        <v>69</v>
      </c>
      <c r="W160">
        <f>IF(NORMALIZADO!BV160="",0,NORMALIZADO!BV160)</f>
        <v>0</v>
      </c>
      <c r="X160">
        <f>IF(NORMALIZADO!BW160="",0,NORMALIZADO!BW160)</f>
        <v>0</v>
      </c>
      <c r="Y160">
        <f>IF(NORMALIZADO!BX160="",0,NORMALIZADO!BX160)</f>
        <v>0</v>
      </c>
      <c r="Z160">
        <f>IF(NORMALIZADO!BY160="",0,NORMALIZADO!BY160)</f>
        <v>0</v>
      </c>
      <c r="AO160" t="str">
        <f t="shared" si="18"/>
        <v>N/A</v>
      </c>
      <c r="AP160">
        <f>IFERROR((IF(ISNUMBER(M160),M160/100*PONDERADORES!$D$12,0)+IF(ISNUMBER(SCORECARDS!H160),SCORECARDS!H160/100*PONDERADORES!$D$13,0)+IF(ISNUMBER(SCORECARDS!I160),SCORECARDS!I160/100*PONDERADORES!$D$14,0)+IF(ISNUMBER(SCORECARDS!J160),SCORECARDS!J160/100*PONDERADORES!$D$15,0)+IF(ISNUMBER(ISCAM_Score!K161),ISCAM_Score!K161/100*PONDERADORES!$D$16,0)+IF(ISNUMBER(O160),O160*PONDERADORES!$D$17,0)+IF(ISNUMBER(AVERAGE(W160:Z160)),AVERAGE(W160:Z160)/2*PONDERADORES!$D$19,0))/(IF(ISNUMBER(M160),PONDERADORES!$D$12,0)+IF(ISNUMBER(SCORECARDS!H160),PONDERADORES!$D$13,0)+IF(ISNUMBER(SCORECARDS!I160),PONDERADORES!$D$14,0)+IF(ISNUMBER(SCORECARDS!J160),PONDERADORES!$D$15,0)+IF(ISNUMBER(ISCAM_Score!K161),PONDERADORES!$D$16,0)+IF(ISNUMBER(O160),PONDERADORES!$D$17,0)+IF(ISNUMBER(AVERAGE(W160:Z160)),PONDERADORES!$D$19,0)),"N/A")</f>
        <v>0</v>
      </c>
      <c r="AQ160">
        <f>IF(ISNUMBER(M160),1,0)+IF(ISNUMBER(SCORECARDS!H160),1,0)+IF(ISNUMBER(SCORECARDS!I160),1,0)+IF(ISNUMBER(SCORECARDS!J160),1,0)+IF(ISNUMBER(ISCAM_Score!K161),1,0)+IF(ISNUMBER(O160),1,0)+IF(COUNT(W160:Z160)&gt;0,1,0)</f>
        <v>1</v>
      </c>
    </row>
    <row r="161" spans="1:45" ht="16.05" customHeight="1" x14ac:dyDescent="0.3">
      <c r="A161" t="s">
        <v>413</v>
      </c>
      <c r="B161" t="s">
        <v>414</v>
      </c>
      <c r="C161" t="s">
        <v>179</v>
      </c>
      <c r="D161" t="s">
        <v>65</v>
      </c>
      <c r="G161" t="s">
        <v>74</v>
      </c>
      <c r="J161" t="s">
        <v>67</v>
      </c>
      <c r="M161" t="str">
        <f t="shared" si="19"/>
        <v/>
      </c>
      <c r="N161" t="s">
        <v>68</v>
      </c>
      <c r="O161" t="str">
        <f t="shared" si="20"/>
        <v/>
      </c>
      <c r="P161" t="s">
        <v>68</v>
      </c>
      <c r="S161">
        <f t="shared" si="16"/>
        <v>0</v>
      </c>
      <c r="T161" t="str">
        <f t="shared" si="17"/>
        <v>⬜  Parcial · Inst. 2 pendiente</v>
      </c>
      <c r="U161" s="53">
        <v>1</v>
      </c>
      <c r="V161" t="s">
        <v>69</v>
      </c>
      <c r="W161">
        <f>IF(NORMALIZADO!BV161="",0,NORMALIZADO!BV161)</f>
        <v>0</v>
      </c>
      <c r="X161">
        <f>IF(NORMALIZADO!BW161="",0,NORMALIZADO!BW161)</f>
        <v>0</v>
      </c>
      <c r="Y161">
        <f>IF(NORMALIZADO!BX161="",0,NORMALIZADO!BX161)</f>
        <v>0</v>
      </c>
      <c r="Z161">
        <f>IF(NORMALIZADO!BY161="",0,NORMALIZADO!BY161)</f>
        <v>0</v>
      </c>
      <c r="AO161" t="str">
        <f t="shared" si="18"/>
        <v>N/A</v>
      </c>
      <c r="AP161">
        <f>IFERROR((IF(ISNUMBER(M161),M161/100*PONDERADORES!$D$12,0)+IF(ISNUMBER(SCORECARDS!H161),SCORECARDS!H161/100*PONDERADORES!$D$13,0)+IF(ISNUMBER(SCORECARDS!I161),SCORECARDS!I161/100*PONDERADORES!$D$14,0)+IF(ISNUMBER(SCORECARDS!J161),SCORECARDS!J161/100*PONDERADORES!$D$15,0)+IF(ISNUMBER(ISCAM_Score!K162),ISCAM_Score!K162/100*PONDERADORES!$D$16,0)+IF(ISNUMBER(O161),O161*PONDERADORES!$D$17,0)+IF(ISNUMBER(AVERAGE(W161:Z161)),AVERAGE(W161:Z161)/2*PONDERADORES!$D$19,0))/(IF(ISNUMBER(M161),PONDERADORES!$D$12,0)+IF(ISNUMBER(SCORECARDS!H161),PONDERADORES!$D$13,0)+IF(ISNUMBER(SCORECARDS!I161),PONDERADORES!$D$14,0)+IF(ISNUMBER(SCORECARDS!J161),PONDERADORES!$D$15,0)+IF(ISNUMBER(ISCAM_Score!K162),PONDERADORES!$D$16,0)+IF(ISNUMBER(O161),PONDERADORES!$D$17,0)+IF(ISNUMBER(AVERAGE(W161:Z161)),PONDERADORES!$D$19,0)),"N/A")</f>
        <v>0</v>
      </c>
      <c r="AQ161">
        <f>IF(ISNUMBER(M161),1,0)+IF(ISNUMBER(SCORECARDS!H161),1,0)+IF(ISNUMBER(SCORECARDS!I161),1,0)+IF(ISNUMBER(SCORECARDS!J161),1,0)+IF(ISNUMBER(ISCAM_Score!K162),1,0)+IF(ISNUMBER(O161),1,0)+IF(COUNT(W161:Z161)&gt;0,1,0)</f>
        <v>1</v>
      </c>
    </row>
    <row r="162" spans="1:45" ht="16.05" customHeight="1" x14ac:dyDescent="0.3">
      <c r="A162" t="s">
        <v>415</v>
      </c>
      <c r="B162" t="s">
        <v>416</v>
      </c>
      <c r="C162" t="s">
        <v>103</v>
      </c>
      <c r="D162" t="s">
        <v>65</v>
      </c>
      <c r="G162" t="s">
        <v>74</v>
      </c>
      <c r="J162" t="s">
        <v>67</v>
      </c>
      <c r="M162" t="str">
        <f t="shared" si="19"/>
        <v/>
      </c>
      <c r="N162" t="s">
        <v>68</v>
      </c>
      <c r="O162" t="str">
        <f t="shared" si="20"/>
        <v/>
      </c>
      <c r="P162" t="s">
        <v>68</v>
      </c>
      <c r="S162">
        <f t="shared" si="16"/>
        <v>0</v>
      </c>
      <c r="T162" t="str">
        <f t="shared" si="17"/>
        <v>⬜  Parcial · Inst. 2 pendiente</v>
      </c>
      <c r="U162" s="53">
        <v>1</v>
      </c>
      <c r="V162" t="s">
        <v>69</v>
      </c>
      <c r="W162">
        <f>IF(NORMALIZADO!BV162="",0,NORMALIZADO!BV162)</f>
        <v>0</v>
      </c>
      <c r="X162">
        <f>IF(NORMALIZADO!BW162="",0,NORMALIZADO!BW162)</f>
        <v>0</v>
      </c>
      <c r="Y162">
        <f>IF(NORMALIZADO!BX162="",0,NORMALIZADO!BX162)</f>
        <v>0</v>
      </c>
      <c r="Z162">
        <f>IF(NORMALIZADO!BY162="",0,NORMALIZADO!BY162)</f>
        <v>0</v>
      </c>
      <c r="AO162" t="str">
        <f t="shared" si="18"/>
        <v>N/A</v>
      </c>
      <c r="AP162">
        <f>IFERROR((IF(ISNUMBER(M162),M162/100*PONDERADORES!$D$12,0)+IF(ISNUMBER(SCORECARDS!H162),SCORECARDS!H162/100*PONDERADORES!$D$13,0)+IF(ISNUMBER(SCORECARDS!I162),SCORECARDS!I162/100*PONDERADORES!$D$14,0)+IF(ISNUMBER(SCORECARDS!J162),SCORECARDS!J162/100*PONDERADORES!$D$15,0)+IF(ISNUMBER(ISCAM_Score!K163),ISCAM_Score!K163/100*PONDERADORES!$D$16,0)+IF(ISNUMBER(O162),O162*PONDERADORES!$D$17,0)+IF(ISNUMBER(AVERAGE(W162:Z162)),AVERAGE(W162:Z162)/2*PONDERADORES!$D$19,0))/(IF(ISNUMBER(M162),PONDERADORES!$D$12,0)+IF(ISNUMBER(SCORECARDS!H162),PONDERADORES!$D$13,0)+IF(ISNUMBER(SCORECARDS!I162),PONDERADORES!$D$14,0)+IF(ISNUMBER(SCORECARDS!J162),PONDERADORES!$D$15,0)+IF(ISNUMBER(ISCAM_Score!K163),PONDERADORES!$D$16,0)+IF(ISNUMBER(O162),PONDERADORES!$D$17,0)+IF(ISNUMBER(AVERAGE(W162:Z162)),PONDERADORES!$D$19,0)),"N/A")</f>
        <v>0</v>
      </c>
      <c r="AQ162">
        <f>IF(ISNUMBER(M162),1,0)+IF(ISNUMBER(SCORECARDS!H162),1,0)+IF(ISNUMBER(SCORECARDS!I162),1,0)+IF(ISNUMBER(SCORECARDS!J162),1,0)+IF(ISNUMBER(ISCAM_Score!K163),1,0)+IF(ISNUMBER(O162),1,0)+IF(COUNT(W162:Z162)&gt;0,1,0)</f>
        <v>1</v>
      </c>
    </row>
    <row r="163" spans="1:45" ht="16.05" customHeight="1" x14ac:dyDescent="0.3">
      <c r="A163" t="s">
        <v>417</v>
      </c>
      <c r="B163" t="s">
        <v>418</v>
      </c>
      <c r="C163" t="s">
        <v>150</v>
      </c>
      <c r="D163" t="s">
        <v>65</v>
      </c>
      <c r="E163">
        <v>3002219.02</v>
      </c>
      <c r="F163">
        <v>19</v>
      </c>
      <c r="G163" t="s">
        <v>66</v>
      </c>
      <c r="J163" t="s">
        <v>67</v>
      </c>
      <c r="L163">
        <v>1501109.51</v>
      </c>
      <c r="M163">
        <f t="shared" si="19"/>
        <v>50</v>
      </c>
      <c r="N163" t="s">
        <v>68</v>
      </c>
      <c r="O163" t="str">
        <f t="shared" si="20"/>
        <v/>
      </c>
      <c r="P163" t="s">
        <v>68</v>
      </c>
      <c r="S163">
        <f t="shared" ref="S163:S176" si="21">IFERROR(ROUND(AP163*100,1),"N/A")</f>
        <v>31.3</v>
      </c>
      <c r="T163" t="str">
        <f t="shared" ref="T163:T176" si="22">IF(NOT(ISNUMBER(S163)),"—",IF(AQ163&lt;6,"⬜  Parcial · Inst. 2 pendiente",IF(S163&lt;34,"🔴 Crítico",IF(S163&lt;67,"🟡 Vulnerable","🟢 Preparado"))))</f>
        <v>⬜  Parcial · Inst. 2 pendiente</v>
      </c>
      <c r="U163" s="53">
        <v>1</v>
      </c>
      <c r="V163" t="s">
        <v>69</v>
      </c>
      <c r="W163">
        <f>IF(NORMALIZADO!BV163="",1,NORMALIZADO!BV163)</f>
        <v>1</v>
      </c>
      <c r="X163">
        <f>IF(NORMALIZADO!BW163="",0,NORMALIZADO!BW163)</f>
        <v>0</v>
      </c>
      <c r="Y163">
        <f>IF(NORMALIZADO!BX163="",0,NORMALIZADO!BX163)</f>
        <v>0</v>
      </c>
      <c r="Z163">
        <f>IF(NORMALIZADO!BY163="",0,NORMALIZADO!BY163)</f>
        <v>0</v>
      </c>
      <c r="AO163" t="str">
        <f t="shared" ref="AO163:AO176" si="23">IFERROR(AVERAGE(AA163,AB163,AC163,AD163,AE163,AF163,AG163,AH163,AI163,AJ163,AK163,AL163,AM163,AN163),"N/A")</f>
        <v>N/A</v>
      </c>
      <c r="AP163">
        <f>IFERROR((IF(ISNUMBER(M163),M163/100*PONDERADORES!$D$12,0)+IF(ISNUMBER(SCORECARDS!H163),SCORECARDS!H163/100*PONDERADORES!$D$13,0)+IF(ISNUMBER(SCORECARDS!I163),SCORECARDS!I163/100*PONDERADORES!$D$14,0)+IF(ISNUMBER(SCORECARDS!J163),SCORECARDS!J163/100*PONDERADORES!$D$15,0)+IF(ISNUMBER(ISCAM_Score!K164),ISCAM_Score!K164/100*PONDERADORES!$D$16,0)+IF(ISNUMBER(O163),O163*PONDERADORES!$D$17,0)+IF(ISNUMBER(AVERAGE(W163:Z163)),AVERAGE(W163:Z163)/2*PONDERADORES!$D$19,0))/(IF(ISNUMBER(M163),PONDERADORES!$D$12,0)+IF(ISNUMBER(SCORECARDS!H163),PONDERADORES!$D$13,0)+IF(ISNUMBER(SCORECARDS!I163),PONDERADORES!$D$14,0)+IF(ISNUMBER(SCORECARDS!J163),PONDERADORES!$D$15,0)+IF(ISNUMBER(ISCAM_Score!K164),PONDERADORES!$D$16,0)+IF(ISNUMBER(O163),PONDERADORES!$D$17,0)+IF(ISNUMBER(AVERAGE(W163:Z163)),PONDERADORES!$D$19,0)),"N/A")</f>
        <v>0.3125</v>
      </c>
      <c r="AQ163">
        <f>IF(ISNUMBER(M163),1,0)+IF(ISNUMBER(SCORECARDS!H163),1,0)+IF(ISNUMBER(SCORECARDS!I163),1,0)+IF(ISNUMBER(SCORECARDS!J163),1,0)+IF(ISNUMBER(ISCAM_Score!K164),1,0)+IF(ISNUMBER(O163),1,0)+IF(COUNT(W163:Z163)&gt;0,1,0)</f>
        <v>2</v>
      </c>
    </row>
    <row r="164" spans="1:45" ht="16.05" customHeight="1" x14ac:dyDescent="0.3">
      <c r="A164" t="s">
        <v>419</v>
      </c>
      <c r="B164" t="s">
        <v>420</v>
      </c>
      <c r="C164" t="s">
        <v>112</v>
      </c>
      <c r="D164" t="s">
        <v>73</v>
      </c>
      <c r="G164" t="s">
        <v>74</v>
      </c>
      <c r="J164" t="s">
        <v>67</v>
      </c>
      <c r="M164" t="str">
        <f t="shared" si="19"/>
        <v/>
      </c>
      <c r="N164" t="s">
        <v>68</v>
      </c>
      <c r="O164" t="str">
        <f t="shared" si="20"/>
        <v/>
      </c>
      <c r="P164" t="s">
        <v>68</v>
      </c>
      <c r="S164">
        <f t="shared" si="21"/>
        <v>0</v>
      </c>
      <c r="T164" t="str">
        <f t="shared" si="22"/>
        <v>⬜  Parcial · Inst. 2 pendiente</v>
      </c>
      <c r="U164" s="53">
        <v>1</v>
      </c>
      <c r="V164" t="s">
        <v>69</v>
      </c>
      <c r="W164">
        <f>IF(NORMALIZADO!BV164="",0,NORMALIZADO!BV164)</f>
        <v>0</v>
      </c>
      <c r="X164">
        <f>IF(NORMALIZADO!BW164="",0,NORMALIZADO!BW164)</f>
        <v>0</v>
      </c>
      <c r="Y164">
        <f>IF(NORMALIZADO!BX164="",0,NORMALIZADO!BX164)</f>
        <v>0</v>
      </c>
      <c r="Z164">
        <f>IF(NORMALIZADO!BY164="",0,NORMALIZADO!BY164)</f>
        <v>0</v>
      </c>
      <c r="AO164" t="str">
        <f t="shared" si="23"/>
        <v>N/A</v>
      </c>
      <c r="AP164">
        <f>IFERROR((IF(ISNUMBER(M164),M164/100*PONDERADORES!$D$12,0)+IF(ISNUMBER(SCORECARDS!H164),SCORECARDS!H164/100*PONDERADORES!$D$13,0)+IF(ISNUMBER(SCORECARDS!I164),SCORECARDS!I164/100*PONDERADORES!$D$14,0)+IF(ISNUMBER(SCORECARDS!J164),SCORECARDS!J164/100*PONDERADORES!$D$15,0)+IF(ISNUMBER(ISCAM_Score!K165),ISCAM_Score!K165/100*PONDERADORES!$D$16,0)+IF(ISNUMBER(O164),O164*PONDERADORES!$D$17,0)+IF(ISNUMBER(AVERAGE(W164:Z164)),AVERAGE(W164:Z164)/2*PONDERADORES!$D$19,0))/(IF(ISNUMBER(M164),PONDERADORES!$D$12,0)+IF(ISNUMBER(SCORECARDS!H164),PONDERADORES!$D$13,0)+IF(ISNUMBER(SCORECARDS!I164),PONDERADORES!$D$14,0)+IF(ISNUMBER(SCORECARDS!J164),PONDERADORES!$D$15,0)+IF(ISNUMBER(ISCAM_Score!K165),PONDERADORES!$D$16,0)+IF(ISNUMBER(O164),PONDERADORES!$D$17,0)+IF(ISNUMBER(AVERAGE(W164:Z164)),PONDERADORES!$D$19,0)),"N/A")</f>
        <v>0</v>
      </c>
      <c r="AQ164">
        <f>IF(ISNUMBER(M164),1,0)+IF(ISNUMBER(SCORECARDS!H164),1,0)+IF(ISNUMBER(SCORECARDS!I164),1,0)+IF(ISNUMBER(SCORECARDS!J164),1,0)+IF(ISNUMBER(ISCAM_Score!K165),1,0)+IF(ISNUMBER(O164),1,0)+IF(COUNT(W164:Z164)&gt;0,1,0)</f>
        <v>1</v>
      </c>
    </row>
    <row r="165" spans="1:45" ht="16.05" customHeight="1" x14ac:dyDescent="0.3">
      <c r="A165" t="s">
        <v>421</v>
      </c>
      <c r="B165" t="s">
        <v>422</v>
      </c>
      <c r="C165" t="s">
        <v>179</v>
      </c>
      <c r="D165" t="s">
        <v>65</v>
      </c>
      <c r="G165" t="s">
        <v>74</v>
      </c>
      <c r="J165" t="s">
        <v>124</v>
      </c>
      <c r="M165" t="str">
        <f t="shared" si="19"/>
        <v/>
      </c>
      <c r="N165" t="s">
        <v>68</v>
      </c>
      <c r="O165" t="str">
        <f t="shared" si="20"/>
        <v/>
      </c>
      <c r="P165" t="s">
        <v>68</v>
      </c>
      <c r="S165">
        <f t="shared" si="21"/>
        <v>0</v>
      </c>
      <c r="T165" t="str">
        <f t="shared" si="22"/>
        <v>⬜  Parcial · Inst. 2 pendiente</v>
      </c>
      <c r="U165" s="53">
        <v>1</v>
      </c>
      <c r="V165" t="s">
        <v>69</v>
      </c>
      <c r="W165">
        <f>IF(NORMALIZADO!BV165="",0,NORMALIZADO!BV165)</f>
        <v>0</v>
      </c>
      <c r="X165">
        <f>IF(NORMALIZADO!BW165="",0,NORMALIZADO!BW165)</f>
        <v>0</v>
      </c>
      <c r="Y165">
        <f>IF(NORMALIZADO!BX165="",0,NORMALIZADO!BX165)</f>
        <v>0</v>
      </c>
      <c r="Z165">
        <f>IF(NORMALIZADO!BY165="",0,NORMALIZADO!BY165)</f>
        <v>0</v>
      </c>
      <c r="AO165" t="str">
        <f t="shared" si="23"/>
        <v>N/A</v>
      </c>
      <c r="AP165">
        <f>IFERROR((IF(ISNUMBER(M165),M165/100*PONDERADORES!$D$12,0)+IF(ISNUMBER(SCORECARDS!H165),SCORECARDS!H165/100*PONDERADORES!$D$13,0)+IF(ISNUMBER(SCORECARDS!I165),SCORECARDS!I165/100*PONDERADORES!$D$14,0)+IF(ISNUMBER(SCORECARDS!J165),SCORECARDS!J165/100*PONDERADORES!$D$15,0)+IF(ISNUMBER(ISCAM_Score!K166),ISCAM_Score!K166/100*PONDERADORES!$D$16,0)+IF(ISNUMBER(O165),O165*PONDERADORES!$D$17,0)+IF(ISNUMBER(AVERAGE(W165:Z165)),AVERAGE(W165:Z165)/2*PONDERADORES!$D$19,0))/(IF(ISNUMBER(M165),PONDERADORES!$D$12,0)+IF(ISNUMBER(SCORECARDS!H165),PONDERADORES!$D$13,0)+IF(ISNUMBER(SCORECARDS!I165),PONDERADORES!$D$14,0)+IF(ISNUMBER(SCORECARDS!J165),PONDERADORES!$D$15,0)+IF(ISNUMBER(ISCAM_Score!K166),PONDERADORES!$D$16,0)+IF(ISNUMBER(O165),PONDERADORES!$D$17,0)+IF(ISNUMBER(AVERAGE(W165:Z165)),PONDERADORES!$D$19,0)),"N/A")</f>
        <v>0</v>
      </c>
      <c r="AQ165">
        <f>IF(ISNUMBER(M165),1,0)+IF(ISNUMBER(SCORECARDS!H165),1,0)+IF(ISNUMBER(SCORECARDS!I165),1,0)+IF(ISNUMBER(SCORECARDS!J165),1,0)+IF(ISNUMBER(ISCAM_Score!K166),1,0)+IF(ISNUMBER(O165),1,0)+IF(COUNT(W165:Z165)&gt;0,1,0)</f>
        <v>1</v>
      </c>
    </row>
    <row r="166" spans="1:45" ht="16.05" customHeight="1" x14ac:dyDescent="0.3">
      <c r="A166" t="s">
        <v>423</v>
      </c>
      <c r="B166" t="s">
        <v>424</v>
      </c>
      <c r="C166" t="s">
        <v>241</v>
      </c>
      <c r="D166" t="s">
        <v>73</v>
      </c>
      <c r="G166" t="s">
        <v>74</v>
      </c>
      <c r="J166" t="s">
        <v>67</v>
      </c>
      <c r="M166" t="str">
        <f t="shared" si="19"/>
        <v/>
      </c>
      <c r="N166" t="s">
        <v>68</v>
      </c>
      <c r="O166" t="str">
        <f t="shared" si="20"/>
        <v/>
      </c>
      <c r="P166" t="s">
        <v>68</v>
      </c>
      <c r="S166">
        <f t="shared" si="21"/>
        <v>0</v>
      </c>
      <c r="T166" t="str">
        <f t="shared" si="22"/>
        <v>⬜  Parcial · Inst. 2 pendiente</v>
      </c>
      <c r="U166" s="53">
        <v>1</v>
      </c>
      <c r="V166" t="s">
        <v>69</v>
      </c>
      <c r="W166">
        <f>IF(NORMALIZADO!BV166="",0,NORMALIZADO!BV166)</f>
        <v>0</v>
      </c>
      <c r="X166">
        <f>IF(NORMALIZADO!BW166="",0,NORMALIZADO!BW166)</f>
        <v>0</v>
      </c>
      <c r="Y166">
        <f>IF(NORMALIZADO!BX166="",0,NORMALIZADO!BX166)</f>
        <v>0</v>
      </c>
      <c r="Z166">
        <f>IF(NORMALIZADO!BY166="",0,NORMALIZADO!BY166)</f>
        <v>0</v>
      </c>
      <c r="AO166" t="str">
        <f t="shared" si="23"/>
        <v>N/A</v>
      </c>
      <c r="AP166">
        <f>IFERROR((IF(ISNUMBER(M166),M166/100*PONDERADORES!$D$12,0)+IF(ISNUMBER(SCORECARDS!H166),SCORECARDS!H166/100*PONDERADORES!$D$13,0)+IF(ISNUMBER(SCORECARDS!I166),SCORECARDS!I166/100*PONDERADORES!$D$14,0)+IF(ISNUMBER(SCORECARDS!J166),SCORECARDS!J166/100*PONDERADORES!$D$15,0)+IF(ISNUMBER(ISCAM_Score!K167),ISCAM_Score!K167/100*PONDERADORES!$D$16,0)+IF(ISNUMBER(O166),O166*PONDERADORES!$D$17,0)+IF(ISNUMBER(AVERAGE(W166:Z166)),AVERAGE(W166:Z166)/2*PONDERADORES!$D$19,0))/(IF(ISNUMBER(M166),PONDERADORES!$D$12,0)+IF(ISNUMBER(SCORECARDS!H166),PONDERADORES!$D$13,0)+IF(ISNUMBER(SCORECARDS!I166),PONDERADORES!$D$14,0)+IF(ISNUMBER(SCORECARDS!J166),PONDERADORES!$D$15,0)+IF(ISNUMBER(ISCAM_Score!K167),PONDERADORES!$D$16,0)+IF(ISNUMBER(O166),PONDERADORES!$D$17,0)+IF(ISNUMBER(AVERAGE(W166:Z166)),PONDERADORES!$D$19,0)),"N/A")</f>
        <v>0</v>
      </c>
      <c r="AQ166">
        <f>IF(ISNUMBER(M166),1,0)+IF(ISNUMBER(SCORECARDS!H166),1,0)+IF(ISNUMBER(SCORECARDS!I166),1,0)+IF(ISNUMBER(SCORECARDS!J166),1,0)+IF(ISNUMBER(ISCAM_Score!K167),1,0)+IF(ISNUMBER(O166),1,0)+IF(COUNT(W166:Z166)&gt;0,1,0)</f>
        <v>1</v>
      </c>
    </row>
    <row r="167" spans="1:45" ht="16.05" customHeight="1" x14ac:dyDescent="0.3">
      <c r="A167" t="s">
        <v>425</v>
      </c>
      <c r="B167" t="s">
        <v>426</v>
      </c>
      <c r="C167" t="s">
        <v>139</v>
      </c>
      <c r="D167" t="s">
        <v>73</v>
      </c>
      <c r="E167">
        <v>4097</v>
      </c>
      <c r="F167">
        <v>2</v>
      </c>
      <c r="G167" t="s">
        <v>66</v>
      </c>
      <c r="J167" t="s">
        <v>67</v>
      </c>
      <c r="L167">
        <v>0</v>
      </c>
      <c r="M167">
        <f t="shared" si="19"/>
        <v>0</v>
      </c>
      <c r="N167" t="s">
        <v>68</v>
      </c>
      <c r="O167" t="str">
        <f t="shared" si="20"/>
        <v/>
      </c>
      <c r="P167" t="s">
        <v>68</v>
      </c>
      <c r="S167">
        <f t="shared" si="21"/>
        <v>0</v>
      </c>
      <c r="T167" t="str">
        <f t="shared" si="22"/>
        <v>⬜  Parcial · Inst. 2 pendiente</v>
      </c>
      <c r="U167" s="53">
        <v>1</v>
      </c>
      <c r="V167" t="s">
        <v>69</v>
      </c>
      <c r="W167">
        <f>IF(NORMALIZADO!BV167="",0,NORMALIZADO!BV167)</f>
        <v>0</v>
      </c>
      <c r="X167">
        <f>IF(NORMALIZADO!BW167="",0,NORMALIZADO!BW167)</f>
        <v>0</v>
      </c>
      <c r="Y167">
        <f>IF(NORMALIZADO!BX167="",0,NORMALIZADO!BX167)</f>
        <v>0</v>
      </c>
      <c r="Z167">
        <f>IF(NORMALIZADO!BY167="",0,NORMALIZADO!BY167)</f>
        <v>0</v>
      </c>
      <c r="AO167" t="str">
        <f t="shared" si="23"/>
        <v>N/A</v>
      </c>
      <c r="AP167">
        <f>IFERROR((IF(ISNUMBER(M167),M167/100*PONDERADORES!$D$12,0)+IF(ISNUMBER(SCORECARDS!H167),SCORECARDS!H167/100*PONDERADORES!$D$13,0)+IF(ISNUMBER(SCORECARDS!I167),SCORECARDS!I167/100*PONDERADORES!$D$14,0)+IF(ISNUMBER(SCORECARDS!J167),SCORECARDS!J167/100*PONDERADORES!$D$15,0)+IF(ISNUMBER(ISCAM_Score!K168),ISCAM_Score!K168/100*PONDERADORES!$D$16,0)+IF(ISNUMBER(O167),O167*PONDERADORES!$D$17,0)+IF(ISNUMBER(AVERAGE(W167:Z167)),AVERAGE(W167:Z167)/2*PONDERADORES!$D$19,0))/(IF(ISNUMBER(M167),PONDERADORES!$D$12,0)+IF(ISNUMBER(SCORECARDS!H167),PONDERADORES!$D$13,0)+IF(ISNUMBER(SCORECARDS!I167),PONDERADORES!$D$14,0)+IF(ISNUMBER(SCORECARDS!J167),PONDERADORES!$D$15,0)+IF(ISNUMBER(ISCAM_Score!K168),PONDERADORES!$D$16,0)+IF(ISNUMBER(O167),PONDERADORES!$D$17,0)+IF(ISNUMBER(AVERAGE(W167:Z167)),PONDERADORES!$D$19,0)),"N/A")</f>
        <v>0</v>
      </c>
      <c r="AQ167">
        <f>IF(ISNUMBER(M167),1,0)+IF(ISNUMBER(SCORECARDS!H167),1,0)+IF(ISNUMBER(SCORECARDS!I167),1,0)+IF(ISNUMBER(SCORECARDS!J167),1,0)+IF(ISNUMBER(ISCAM_Score!K168),1,0)+IF(ISNUMBER(O167),1,0)+IF(COUNT(W167:Z167)&gt;0,1,0)</f>
        <v>2</v>
      </c>
    </row>
    <row r="168" spans="1:45" ht="16.05" customHeight="1" x14ac:dyDescent="0.3">
      <c r="A168" t="s">
        <v>427</v>
      </c>
      <c r="B168" t="s">
        <v>428</v>
      </c>
      <c r="C168" t="s">
        <v>112</v>
      </c>
      <c r="D168" t="s">
        <v>73</v>
      </c>
      <c r="E168">
        <v>19111.5</v>
      </c>
      <c r="F168">
        <v>1</v>
      </c>
      <c r="G168" t="s">
        <v>66</v>
      </c>
      <c r="J168" t="s">
        <v>67</v>
      </c>
      <c r="L168">
        <v>0</v>
      </c>
      <c r="M168">
        <f t="shared" si="19"/>
        <v>0</v>
      </c>
      <c r="N168" t="s">
        <v>68</v>
      </c>
      <c r="O168" t="str">
        <f t="shared" si="20"/>
        <v/>
      </c>
      <c r="P168" t="s">
        <v>68</v>
      </c>
      <c r="S168">
        <f t="shared" si="21"/>
        <v>0</v>
      </c>
      <c r="T168" t="str">
        <f t="shared" si="22"/>
        <v>⬜  Parcial · Inst. 2 pendiente</v>
      </c>
      <c r="U168" s="53">
        <v>1</v>
      </c>
      <c r="V168" t="s">
        <v>69</v>
      </c>
      <c r="W168">
        <f>IF(NORMALIZADO!BV168="",0,NORMALIZADO!BV168)</f>
        <v>0</v>
      </c>
      <c r="X168">
        <f>IF(NORMALIZADO!BW168="",0,NORMALIZADO!BW168)</f>
        <v>0</v>
      </c>
      <c r="Y168">
        <f>IF(NORMALIZADO!BX168="",0,NORMALIZADO!BX168)</f>
        <v>0</v>
      </c>
      <c r="Z168">
        <f>IF(NORMALIZADO!BY168="",0,NORMALIZADO!BY168)</f>
        <v>0</v>
      </c>
      <c r="AO168" t="str">
        <f t="shared" si="23"/>
        <v>N/A</v>
      </c>
      <c r="AP168">
        <f>IFERROR((IF(ISNUMBER(M168),M168/100*PONDERADORES!$D$12,0)+IF(ISNUMBER(SCORECARDS!H168),SCORECARDS!H168/100*PONDERADORES!$D$13,0)+IF(ISNUMBER(SCORECARDS!I168),SCORECARDS!I168/100*PONDERADORES!$D$14,0)+IF(ISNUMBER(SCORECARDS!J168),SCORECARDS!J168/100*PONDERADORES!$D$15,0)+IF(ISNUMBER(ISCAM_Score!K169),ISCAM_Score!K169/100*PONDERADORES!$D$16,0)+IF(ISNUMBER(O168),O168*PONDERADORES!$D$17,0)+IF(ISNUMBER(AVERAGE(W168:Z168)),AVERAGE(W168:Z168)/2*PONDERADORES!$D$19,0))/(IF(ISNUMBER(M168),PONDERADORES!$D$12,0)+IF(ISNUMBER(SCORECARDS!H168),PONDERADORES!$D$13,0)+IF(ISNUMBER(SCORECARDS!I168),PONDERADORES!$D$14,0)+IF(ISNUMBER(SCORECARDS!J168),PONDERADORES!$D$15,0)+IF(ISNUMBER(ISCAM_Score!K169),PONDERADORES!$D$16,0)+IF(ISNUMBER(O168),PONDERADORES!$D$17,0)+IF(ISNUMBER(AVERAGE(W168:Z168)),PONDERADORES!$D$19,0)),"N/A")</f>
        <v>0</v>
      </c>
      <c r="AQ168">
        <f>IF(ISNUMBER(M168),1,0)+IF(ISNUMBER(SCORECARDS!H168),1,0)+IF(ISNUMBER(SCORECARDS!I168),1,0)+IF(ISNUMBER(SCORECARDS!J168),1,0)+IF(ISNUMBER(ISCAM_Score!K169),1,0)+IF(ISNUMBER(O168),1,0)+IF(COUNT(W168:Z168)&gt;0,1,0)</f>
        <v>2</v>
      </c>
    </row>
    <row r="169" spans="1:45" ht="16.05" customHeight="1" x14ac:dyDescent="0.3">
      <c r="A169" t="s">
        <v>429</v>
      </c>
      <c r="B169" t="s">
        <v>430</v>
      </c>
      <c r="C169" t="s">
        <v>150</v>
      </c>
      <c r="D169" t="s">
        <v>65</v>
      </c>
      <c r="G169" t="s">
        <v>74</v>
      </c>
      <c r="J169" t="s">
        <v>67</v>
      </c>
      <c r="M169" t="str">
        <f t="shared" si="19"/>
        <v/>
      </c>
      <c r="N169" t="s">
        <v>68</v>
      </c>
      <c r="O169" t="str">
        <f t="shared" si="20"/>
        <v/>
      </c>
      <c r="P169" t="s">
        <v>68</v>
      </c>
      <c r="S169">
        <f t="shared" si="21"/>
        <v>0</v>
      </c>
      <c r="T169" t="str">
        <f t="shared" si="22"/>
        <v>⬜  Parcial · Inst. 2 pendiente</v>
      </c>
      <c r="U169" s="53">
        <v>1</v>
      </c>
      <c r="V169" t="s">
        <v>69</v>
      </c>
      <c r="W169">
        <f>IF(NORMALIZADO!BV169="",0,NORMALIZADO!BV169)</f>
        <v>0</v>
      </c>
      <c r="X169">
        <f>IF(NORMALIZADO!BW169="",0,NORMALIZADO!BW169)</f>
        <v>0</v>
      </c>
      <c r="Y169">
        <f>IF(NORMALIZADO!BX169="",0,NORMALIZADO!BX169)</f>
        <v>0</v>
      </c>
      <c r="Z169">
        <f>IF(NORMALIZADO!BY169="",0,NORMALIZADO!BY169)</f>
        <v>0</v>
      </c>
      <c r="AO169" t="str">
        <f t="shared" si="23"/>
        <v>N/A</v>
      </c>
      <c r="AP169">
        <f>IFERROR((IF(ISNUMBER(M169),M169/100*PONDERADORES!$D$12,0)+IF(ISNUMBER(SCORECARDS!H169),SCORECARDS!H169/100*PONDERADORES!$D$13,0)+IF(ISNUMBER(SCORECARDS!I169),SCORECARDS!I169/100*PONDERADORES!$D$14,0)+IF(ISNUMBER(SCORECARDS!J169),SCORECARDS!J169/100*PONDERADORES!$D$15,0)+IF(ISNUMBER(ISCAM_Score!K170),ISCAM_Score!K170/100*PONDERADORES!$D$16,0)+IF(ISNUMBER(O169),O169*PONDERADORES!$D$17,0)+IF(ISNUMBER(AVERAGE(W169:Z169)),AVERAGE(W169:Z169)/2*PONDERADORES!$D$19,0))/(IF(ISNUMBER(M169),PONDERADORES!$D$12,0)+IF(ISNUMBER(SCORECARDS!H169),PONDERADORES!$D$13,0)+IF(ISNUMBER(SCORECARDS!I169),PONDERADORES!$D$14,0)+IF(ISNUMBER(SCORECARDS!J169),PONDERADORES!$D$15,0)+IF(ISNUMBER(ISCAM_Score!K170),PONDERADORES!$D$16,0)+IF(ISNUMBER(O169),PONDERADORES!$D$17,0)+IF(ISNUMBER(AVERAGE(W169:Z169)),PONDERADORES!$D$19,0)),"N/A")</f>
        <v>0</v>
      </c>
      <c r="AQ169">
        <f>IF(ISNUMBER(M169),1,0)+IF(ISNUMBER(SCORECARDS!H169),1,0)+IF(ISNUMBER(SCORECARDS!I169),1,0)+IF(ISNUMBER(SCORECARDS!J169),1,0)+IF(ISNUMBER(ISCAM_Score!K170),1,0)+IF(ISNUMBER(O169),1,0)+IF(COUNT(W169:Z169)&gt;0,1,0)</f>
        <v>1</v>
      </c>
    </row>
    <row r="170" spans="1:45" ht="16.05" customHeight="1" x14ac:dyDescent="0.3">
      <c r="A170" t="s">
        <v>431</v>
      </c>
      <c r="B170" t="s">
        <v>432</v>
      </c>
      <c r="C170" t="s">
        <v>109</v>
      </c>
      <c r="D170" t="s">
        <v>73</v>
      </c>
      <c r="E170">
        <v>1265261.8999999999</v>
      </c>
      <c r="F170">
        <v>6</v>
      </c>
      <c r="G170" t="s">
        <v>66</v>
      </c>
      <c r="J170" t="s">
        <v>67</v>
      </c>
      <c r="L170">
        <v>0</v>
      </c>
      <c r="M170">
        <f t="shared" si="19"/>
        <v>0</v>
      </c>
      <c r="N170" t="s">
        <v>68</v>
      </c>
      <c r="O170" t="str">
        <f t="shared" si="20"/>
        <v/>
      </c>
      <c r="P170" t="s">
        <v>68</v>
      </c>
      <c r="S170">
        <f t="shared" si="21"/>
        <v>0</v>
      </c>
      <c r="T170" t="str">
        <f t="shared" si="22"/>
        <v>⬜  Parcial · Inst. 2 pendiente</v>
      </c>
      <c r="U170" s="53">
        <v>1</v>
      </c>
      <c r="V170" t="s">
        <v>69</v>
      </c>
      <c r="W170">
        <f>IF(NORMALIZADO!BV170="",0,NORMALIZADO!BV170)</f>
        <v>0</v>
      </c>
      <c r="X170">
        <f>IF(NORMALIZADO!BW170="",0,NORMALIZADO!BW170)</f>
        <v>0</v>
      </c>
      <c r="Y170">
        <f>IF(NORMALIZADO!BX170="",0,NORMALIZADO!BX170)</f>
        <v>0</v>
      </c>
      <c r="Z170">
        <f>IF(NORMALIZADO!BY170="",0,NORMALIZADO!BY170)</f>
        <v>0</v>
      </c>
      <c r="AO170" t="str">
        <f t="shared" si="23"/>
        <v>N/A</v>
      </c>
      <c r="AP170">
        <f>IFERROR((IF(ISNUMBER(M170),M170/100*PONDERADORES!$D$12,0)+IF(ISNUMBER(SCORECARDS!H170),SCORECARDS!H170/100*PONDERADORES!$D$13,0)+IF(ISNUMBER(SCORECARDS!I170),SCORECARDS!I170/100*PONDERADORES!$D$14,0)+IF(ISNUMBER(SCORECARDS!J170),SCORECARDS!J170/100*PONDERADORES!$D$15,0)+IF(ISNUMBER(ISCAM_Score!K171),ISCAM_Score!K171/100*PONDERADORES!$D$16,0)+IF(ISNUMBER(O170),O170*PONDERADORES!$D$17,0)+IF(ISNUMBER(AVERAGE(W170:Z170)),AVERAGE(W170:Z170)/2*PONDERADORES!$D$19,0))/(IF(ISNUMBER(M170),PONDERADORES!$D$12,0)+IF(ISNUMBER(SCORECARDS!H170),PONDERADORES!$D$13,0)+IF(ISNUMBER(SCORECARDS!I170),PONDERADORES!$D$14,0)+IF(ISNUMBER(SCORECARDS!J170),PONDERADORES!$D$15,0)+IF(ISNUMBER(ISCAM_Score!K171),PONDERADORES!$D$16,0)+IF(ISNUMBER(O170),PONDERADORES!$D$17,0)+IF(ISNUMBER(AVERAGE(W170:Z170)),PONDERADORES!$D$19,0)),"N/A")</f>
        <v>0</v>
      </c>
      <c r="AQ170">
        <f>IF(ISNUMBER(M170),1,0)+IF(ISNUMBER(SCORECARDS!H170),1,0)+IF(ISNUMBER(SCORECARDS!I170),1,0)+IF(ISNUMBER(SCORECARDS!J170),1,0)+IF(ISNUMBER(ISCAM_Score!K171),1,0)+IF(ISNUMBER(O170),1,0)+IF(COUNT(W170:Z170)&gt;0,1,0)</f>
        <v>2</v>
      </c>
    </row>
    <row r="171" spans="1:45" ht="16.05" customHeight="1" x14ac:dyDescent="0.3">
      <c r="A171" t="s">
        <v>433</v>
      </c>
      <c r="B171" t="s">
        <v>434</v>
      </c>
      <c r="C171" t="s">
        <v>139</v>
      </c>
      <c r="D171" t="s">
        <v>65</v>
      </c>
      <c r="G171" t="s">
        <v>74</v>
      </c>
      <c r="H171" t="s">
        <v>66</v>
      </c>
      <c r="I171" t="s">
        <v>74</v>
      </c>
      <c r="J171" t="s">
        <v>67</v>
      </c>
      <c r="K171" t="s">
        <v>405</v>
      </c>
      <c r="M171" t="str">
        <f t="shared" si="19"/>
        <v/>
      </c>
      <c r="N171" t="s">
        <v>68</v>
      </c>
      <c r="O171">
        <f t="shared" si="20"/>
        <v>0.6</v>
      </c>
      <c r="P171" t="s">
        <v>68</v>
      </c>
      <c r="Q171">
        <v>698</v>
      </c>
      <c r="R171">
        <v>921.1</v>
      </c>
      <c r="S171">
        <f t="shared" si="21"/>
        <v>26.1</v>
      </c>
      <c r="T171" t="str">
        <f t="shared" si="22"/>
        <v>⬜  Parcial · Inst. 2 pendiente</v>
      </c>
      <c r="U171" s="53">
        <v>1</v>
      </c>
      <c r="V171" t="s">
        <v>69</v>
      </c>
      <c r="W171">
        <f>IF(NORMALIZADO!BV171="",1,NORMALIZADO!BV171)</f>
        <v>1</v>
      </c>
      <c r="X171">
        <f>IF(NORMALIZADO!BW171="",0,NORMALIZADO!BW171)</f>
        <v>0</v>
      </c>
      <c r="Y171">
        <f>IF(NORMALIZADO!BX171="",0,NORMALIZADO!BX171)</f>
        <v>0</v>
      </c>
      <c r="Z171">
        <f>IF(NORMALIZADO!BY171="",0,NORMALIZADO!BY171)</f>
        <v>0</v>
      </c>
      <c r="AO171" t="str">
        <f t="shared" si="23"/>
        <v>N/A</v>
      </c>
      <c r="AP171">
        <f>IFERROR((IF(ISNUMBER(M171),M171/100*PONDERADORES!$D$12,0)+IF(ISNUMBER(SCORECARDS!H171),SCORECARDS!H171/100*PONDERADORES!$D$13,0)+IF(ISNUMBER(SCORECARDS!I171),SCORECARDS!I171/100*PONDERADORES!$D$14,0)+IF(ISNUMBER(SCORECARDS!J171),SCORECARDS!J171/100*PONDERADORES!$D$15,0)+IF(ISNUMBER(ISCAM_Score!K172),ISCAM_Score!K172/100*PONDERADORES!$D$16,0)+IF(ISNUMBER(O171),O171*PONDERADORES!$D$17,0)+IF(ISNUMBER(AVERAGE(W171:Z171)),AVERAGE(W171:Z171)/2*PONDERADORES!$D$19,0))/(IF(ISNUMBER(M171),PONDERADORES!$D$12,0)+IF(ISNUMBER(SCORECARDS!H171),PONDERADORES!$D$13,0)+IF(ISNUMBER(SCORECARDS!I171),PONDERADORES!$D$14,0)+IF(ISNUMBER(SCORECARDS!J171),PONDERADORES!$D$15,0)+IF(ISNUMBER(ISCAM_Score!K172),PONDERADORES!$D$16,0)+IF(ISNUMBER(O171),PONDERADORES!$D$17,0)+IF(ISNUMBER(AVERAGE(W171:Z171)),PONDERADORES!$D$19,0)),"N/A")</f>
        <v>0.26071428571428573</v>
      </c>
      <c r="AQ171">
        <f>IF(ISNUMBER(M171),1,0)+IF(ISNUMBER(SCORECARDS!H171),1,0)+IF(ISNUMBER(SCORECARDS!I171),1,0)+IF(ISNUMBER(SCORECARDS!J171),1,0)+IF(ISNUMBER(ISCAM_Score!K172),1,0)+IF(ISNUMBER(O171),1,0)+IF(COUNT(W171:Z171)&gt;0,1,0)</f>
        <v>2</v>
      </c>
      <c r="AR171" t="s">
        <v>1574</v>
      </c>
      <c r="AS171" t="s">
        <v>1300</v>
      </c>
    </row>
    <row r="172" spans="1:45" ht="16.05" customHeight="1" x14ac:dyDescent="0.3">
      <c r="A172" t="s">
        <v>435</v>
      </c>
      <c r="B172" t="s">
        <v>436</v>
      </c>
      <c r="C172" t="s">
        <v>112</v>
      </c>
      <c r="D172" t="s">
        <v>65</v>
      </c>
      <c r="G172" t="s">
        <v>74</v>
      </c>
      <c r="J172" t="s">
        <v>67</v>
      </c>
      <c r="M172" t="str">
        <f t="shared" si="19"/>
        <v/>
      </c>
      <c r="N172" t="s">
        <v>68</v>
      </c>
      <c r="O172" t="str">
        <f t="shared" si="20"/>
        <v/>
      </c>
      <c r="P172" t="s">
        <v>68</v>
      </c>
      <c r="S172">
        <f t="shared" si="21"/>
        <v>0</v>
      </c>
      <c r="T172" t="str">
        <f t="shared" si="22"/>
        <v>⬜  Parcial · Inst. 2 pendiente</v>
      </c>
      <c r="U172" s="53">
        <v>1</v>
      </c>
      <c r="V172" t="s">
        <v>69</v>
      </c>
      <c r="W172">
        <f>IF(NORMALIZADO!BV172="",0,NORMALIZADO!BV172)</f>
        <v>0</v>
      </c>
      <c r="X172">
        <f>IF(NORMALIZADO!BW172="",0,NORMALIZADO!BW172)</f>
        <v>0</v>
      </c>
      <c r="Y172">
        <f>IF(NORMALIZADO!BX172="",0,NORMALIZADO!BX172)</f>
        <v>0</v>
      </c>
      <c r="Z172">
        <f>IF(NORMALIZADO!BY172="",0,NORMALIZADO!BY172)</f>
        <v>0</v>
      </c>
      <c r="AO172" t="str">
        <f t="shared" si="23"/>
        <v>N/A</v>
      </c>
      <c r="AP172">
        <f>IFERROR((IF(ISNUMBER(M172),M172/100*PONDERADORES!$D$12,0)+IF(ISNUMBER(SCORECARDS!H172),SCORECARDS!H172/100*PONDERADORES!$D$13,0)+IF(ISNUMBER(SCORECARDS!I172),SCORECARDS!I172/100*PONDERADORES!$D$14,0)+IF(ISNUMBER(SCORECARDS!J172),SCORECARDS!J172/100*PONDERADORES!$D$15,0)+IF(ISNUMBER(ISCAM_Score!K173),ISCAM_Score!K173/100*PONDERADORES!$D$16,0)+IF(ISNUMBER(O172),O172*PONDERADORES!$D$17,0)+IF(ISNUMBER(AVERAGE(W172:Z172)),AVERAGE(W172:Z172)/2*PONDERADORES!$D$19,0))/(IF(ISNUMBER(M172),PONDERADORES!$D$12,0)+IF(ISNUMBER(SCORECARDS!H172),PONDERADORES!$D$13,0)+IF(ISNUMBER(SCORECARDS!I172),PONDERADORES!$D$14,0)+IF(ISNUMBER(SCORECARDS!J172),PONDERADORES!$D$15,0)+IF(ISNUMBER(ISCAM_Score!K173),PONDERADORES!$D$16,0)+IF(ISNUMBER(O172),PONDERADORES!$D$17,0)+IF(ISNUMBER(AVERAGE(W172:Z172)),PONDERADORES!$D$19,0)),"N/A")</f>
        <v>0</v>
      </c>
      <c r="AQ172">
        <f>IF(ISNUMBER(M172),1,0)+IF(ISNUMBER(SCORECARDS!H172),1,0)+IF(ISNUMBER(SCORECARDS!I172),1,0)+IF(ISNUMBER(SCORECARDS!J172),1,0)+IF(ISNUMBER(ISCAM_Score!K173),1,0)+IF(ISNUMBER(O172),1,0)+IF(COUNT(W172:Z172)&gt;0,1,0)</f>
        <v>1</v>
      </c>
    </row>
    <row r="173" spans="1:45" ht="16.05" customHeight="1" x14ac:dyDescent="0.3">
      <c r="A173" t="s">
        <v>437</v>
      </c>
      <c r="B173" t="s">
        <v>438</v>
      </c>
      <c r="C173" t="s">
        <v>179</v>
      </c>
      <c r="D173" t="s">
        <v>65</v>
      </c>
      <c r="G173" t="s">
        <v>74</v>
      </c>
      <c r="J173" t="s">
        <v>124</v>
      </c>
      <c r="M173" t="str">
        <f t="shared" si="19"/>
        <v/>
      </c>
      <c r="N173" t="s">
        <v>68</v>
      </c>
      <c r="O173" t="str">
        <f t="shared" si="20"/>
        <v/>
      </c>
      <c r="P173" t="s">
        <v>68</v>
      </c>
      <c r="S173">
        <f t="shared" si="21"/>
        <v>0</v>
      </c>
      <c r="T173" t="str">
        <f t="shared" si="22"/>
        <v>⬜  Parcial · Inst. 2 pendiente</v>
      </c>
      <c r="U173" s="53">
        <v>1</v>
      </c>
      <c r="V173" t="s">
        <v>69</v>
      </c>
      <c r="W173">
        <f>IF(NORMALIZADO!BV173="",0,NORMALIZADO!BV173)</f>
        <v>0</v>
      </c>
      <c r="X173">
        <f>IF(NORMALIZADO!BW173="",0,NORMALIZADO!BW173)</f>
        <v>0</v>
      </c>
      <c r="Y173">
        <f>IF(NORMALIZADO!BX173="",0,NORMALIZADO!BX173)</f>
        <v>0</v>
      </c>
      <c r="Z173">
        <f>IF(NORMALIZADO!BY173="",0,NORMALIZADO!BY173)</f>
        <v>0</v>
      </c>
      <c r="AO173" t="str">
        <f t="shared" si="23"/>
        <v>N/A</v>
      </c>
      <c r="AP173">
        <f>IFERROR((IF(ISNUMBER(M173),M173/100*PONDERADORES!$D$12,0)+IF(ISNUMBER(SCORECARDS!H173),SCORECARDS!H173/100*PONDERADORES!$D$13,0)+IF(ISNUMBER(SCORECARDS!I173),SCORECARDS!I173/100*PONDERADORES!$D$14,0)+IF(ISNUMBER(SCORECARDS!J173),SCORECARDS!J173/100*PONDERADORES!$D$15,0)+IF(ISNUMBER(ISCAM_Score!K174),ISCAM_Score!K174/100*PONDERADORES!$D$16,0)+IF(ISNUMBER(O173),O173*PONDERADORES!$D$17,0)+IF(ISNUMBER(AVERAGE(W173:Z173)),AVERAGE(W173:Z173)/2*PONDERADORES!$D$19,0))/(IF(ISNUMBER(M173),PONDERADORES!$D$12,0)+IF(ISNUMBER(SCORECARDS!H173),PONDERADORES!$D$13,0)+IF(ISNUMBER(SCORECARDS!I173),PONDERADORES!$D$14,0)+IF(ISNUMBER(SCORECARDS!J173),PONDERADORES!$D$15,0)+IF(ISNUMBER(ISCAM_Score!K174),PONDERADORES!$D$16,0)+IF(ISNUMBER(O173),PONDERADORES!$D$17,0)+IF(ISNUMBER(AVERAGE(W173:Z173)),PONDERADORES!$D$19,0)),"N/A")</f>
        <v>0</v>
      </c>
      <c r="AQ173">
        <f>IF(ISNUMBER(M173),1,0)+IF(ISNUMBER(SCORECARDS!H173),1,0)+IF(ISNUMBER(SCORECARDS!I173),1,0)+IF(ISNUMBER(SCORECARDS!J173),1,0)+IF(ISNUMBER(ISCAM_Score!K174),1,0)+IF(ISNUMBER(O173),1,0)+IF(COUNT(W173:Z173)&gt;0,1,0)</f>
        <v>1</v>
      </c>
    </row>
    <row r="174" spans="1:45" ht="16.05" customHeight="1" x14ac:dyDescent="0.3">
      <c r="A174" t="s">
        <v>439</v>
      </c>
      <c r="C174" t="s">
        <v>440</v>
      </c>
      <c r="M174" t="str">
        <f t="shared" si="19"/>
        <v/>
      </c>
      <c r="N174" t="s">
        <v>68</v>
      </c>
      <c r="O174" t="str">
        <f t="shared" si="20"/>
        <v/>
      </c>
      <c r="P174" t="s">
        <v>68</v>
      </c>
      <c r="S174">
        <f t="shared" si="21"/>
        <v>0</v>
      </c>
      <c r="T174" t="str">
        <f t="shared" si="22"/>
        <v>⬜  Parcial · Inst. 2 pendiente</v>
      </c>
      <c r="U174" s="53">
        <v>1</v>
      </c>
      <c r="V174" t="s">
        <v>69</v>
      </c>
      <c r="W174">
        <f>IF(NORMALIZADO!BV174="",0,NORMALIZADO!BV174)</f>
        <v>0</v>
      </c>
      <c r="X174">
        <f>IF(NORMALIZADO!BW174="",0,NORMALIZADO!BW174)</f>
        <v>0</v>
      </c>
      <c r="Y174">
        <f>IF(NORMALIZADO!BX174="",0,NORMALIZADO!BX174)</f>
        <v>0</v>
      </c>
      <c r="Z174">
        <f>IF(NORMALIZADO!BY174="",0,NORMALIZADO!BY174)</f>
        <v>0</v>
      </c>
      <c r="AO174" t="str">
        <f t="shared" si="23"/>
        <v>N/A</v>
      </c>
      <c r="AP174">
        <f>IFERROR((IF(ISNUMBER(M174),M174/100*PONDERADORES!$D$12,0)+IF(ISNUMBER(SCORECARDS!H174),SCORECARDS!H174/100*PONDERADORES!$D$13,0)+IF(ISNUMBER(SCORECARDS!I174),SCORECARDS!I174/100*PONDERADORES!$D$14,0)+IF(ISNUMBER(SCORECARDS!J174),SCORECARDS!J174/100*PONDERADORES!$D$15,0)+IF(ISNUMBER(ISCAM_Score!K175),ISCAM_Score!K175/100*PONDERADORES!$D$16,0)+IF(ISNUMBER(O174),O174*PONDERADORES!$D$17,0)+IF(ISNUMBER(AVERAGE(W174:Z174)),AVERAGE(W174:Z174)/2*PONDERADORES!$D$19,0))/(IF(ISNUMBER(M174),PONDERADORES!$D$12,0)+IF(ISNUMBER(SCORECARDS!H174),PONDERADORES!$D$13,0)+IF(ISNUMBER(SCORECARDS!I174),PONDERADORES!$D$14,0)+IF(ISNUMBER(SCORECARDS!J174),PONDERADORES!$D$15,0)+IF(ISNUMBER(ISCAM_Score!K175),PONDERADORES!$D$16,0)+IF(ISNUMBER(O174),PONDERADORES!$D$17,0)+IF(ISNUMBER(AVERAGE(W174:Z174)),PONDERADORES!$D$19,0)),"N/A")</f>
        <v>0</v>
      </c>
      <c r="AQ174">
        <f>IF(ISNUMBER(M174),1,0)+IF(ISNUMBER(SCORECARDS!H174),1,0)+IF(ISNUMBER(SCORECARDS!I174),1,0)+IF(ISNUMBER(SCORECARDS!J174),1,0)+IF(ISNUMBER(ISCAM_Score!K175),1,0)+IF(ISNUMBER(O174),1,0)+IF(COUNT(W174:Z174)&gt;0,1,0)</f>
        <v>1</v>
      </c>
    </row>
    <row r="175" spans="1:45" ht="16.05" customHeight="1" x14ac:dyDescent="0.3">
      <c r="A175" t="s">
        <v>441</v>
      </c>
      <c r="B175" t="s">
        <v>442</v>
      </c>
      <c r="C175" t="s">
        <v>109</v>
      </c>
      <c r="D175" t="s">
        <v>73</v>
      </c>
      <c r="E175">
        <v>7723335.0299999993</v>
      </c>
      <c r="F175">
        <v>17</v>
      </c>
      <c r="G175" t="s">
        <v>66</v>
      </c>
      <c r="J175" t="s">
        <v>67</v>
      </c>
      <c r="L175">
        <v>3861667.52</v>
      </c>
      <c r="M175">
        <f t="shared" si="19"/>
        <v>50</v>
      </c>
      <c r="N175" t="s">
        <v>68</v>
      </c>
      <c r="O175" t="str">
        <f t="shared" si="20"/>
        <v/>
      </c>
      <c r="P175" t="s">
        <v>68</v>
      </c>
      <c r="S175">
        <f t="shared" si="21"/>
        <v>31.3</v>
      </c>
      <c r="T175" t="str">
        <f t="shared" si="22"/>
        <v>⬜  Parcial · Inst. 2 pendiente</v>
      </c>
      <c r="U175" s="53">
        <v>1</v>
      </c>
      <c r="V175" t="s">
        <v>69</v>
      </c>
      <c r="W175">
        <f>IF(NORMALIZADO!BV175="",1,NORMALIZADO!BV175)</f>
        <v>1</v>
      </c>
      <c r="X175">
        <f>IF(NORMALIZADO!BW175="",0,NORMALIZADO!BW175)</f>
        <v>0</v>
      </c>
      <c r="Y175">
        <f>IF(NORMALIZADO!BX175="",0,NORMALIZADO!BX175)</f>
        <v>0</v>
      </c>
      <c r="Z175">
        <f>IF(NORMALIZADO!BY175="",0,NORMALIZADO!BY175)</f>
        <v>0</v>
      </c>
      <c r="AO175" t="str">
        <f t="shared" si="23"/>
        <v>N/A</v>
      </c>
      <c r="AP175">
        <f>IFERROR((IF(ISNUMBER(M175),M175/100*PONDERADORES!$D$12,0)+IF(ISNUMBER(SCORECARDS!H175),SCORECARDS!H175/100*PONDERADORES!$D$13,0)+IF(ISNUMBER(SCORECARDS!I175),SCORECARDS!I175/100*PONDERADORES!$D$14,0)+IF(ISNUMBER(SCORECARDS!J175),SCORECARDS!J175/100*PONDERADORES!$D$15,0)+IF(ISNUMBER(ISCAM_Score!K176),ISCAM_Score!K176/100*PONDERADORES!$D$16,0)+IF(ISNUMBER(O175),O175*PONDERADORES!$D$17,0)+IF(ISNUMBER(AVERAGE(W175:Z175)),AVERAGE(W175:Z175)/2*PONDERADORES!$D$19,0))/(IF(ISNUMBER(M175),PONDERADORES!$D$12,0)+IF(ISNUMBER(SCORECARDS!H175),PONDERADORES!$D$13,0)+IF(ISNUMBER(SCORECARDS!I175),PONDERADORES!$D$14,0)+IF(ISNUMBER(SCORECARDS!J175),PONDERADORES!$D$15,0)+IF(ISNUMBER(ISCAM_Score!K176),PONDERADORES!$D$16,0)+IF(ISNUMBER(O175),PONDERADORES!$D$17,0)+IF(ISNUMBER(AVERAGE(W175:Z175)),PONDERADORES!$D$19,0)),"N/A")</f>
        <v>0.3125</v>
      </c>
      <c r="AQ175">
        <f>IF(ISNUMBER(M175),1,0)+IF(ISNUMBER(SCORECARDS!H175),1,0)+IF(ISNUMBER(SCORECARDS!I175),1,0)+IF(ISNUMBER(SCORECARDS!J175),1,0)+IF(ISNUMBER(ISCAM_Score!K176),1,0)+IF(ISNUMBER(O175),1,0)+IF(COUNT(W175:Z175)&gt;0,1,0)</f>
        <v>2</v>
      </c>
    </row>
    <row r="176" spans="1:45" ht="16.05" customHeight="1" x14ac:dyDescent="0.3">
      <c r="A176" t="s">
        <v>443</v>
      </c>
      <c r="B176" t="s">
        <v>444</v>
      </c>
      <c r="C176" t="s">
        <v>112</v>
      </c>
      <c r="D176" t="s">
        <v>65</v>
      </c>
      <c r="E176">
        <v>300233.07</v>
      </c>
      <c r="F176">
        <v>2</v>
      </c>
      <c r="G176" t="s">
        <v>66</v>
      </c>
      <c r="J176" t="s">
        <v>67</v>
      </c>
      <c r="L176">
        <v>0</v>
      </c>
      <c r="M176">
        <f t="shared" si="19"/>
        <v>0</v>
      </c>
      <c r="N176" t="s">
        <v>68</v>
      </c>
      <c r="O176" t="str">
        <f t="shared" si="20"/>
        <v/>
      </c>
      <c r="P176" t="s">
        <v>68</v>
      </c>
      <c r="S176">
        <f t="shared" si="21"/>
        <v>0</v>
      </c>
      <c r="T176" t="str">
        <f t="shared" si="22"/>
        <v>⬜  Parcial · Inst. 2 pendiente</v>
      </c>
      <c r="U176" s="53">
        <v>1</v>
      </c>
      <c r="V176" t="s">
        <v>69</v>
      </c>
      <c r="W176">
        <f>IF(NORMALIZADO!BV176="",0,NORMALIZADO!BV176)</f>
        <v>0</v>
      </c>
      <c r="X176">
        <f>IF(NORMALIZADO!BW176="",0,NORMALIZADO!BW176)</f>
        <v>0</v>
      </c>
      <c r="Y176">
        <f>IF(NORMALIZADO!BX176="",0,NORMALIZADO!BX176)</f>
        <v>0</v>
      </c>
      <c r="Z176">
        <f>IF(NORMALIZADO!BY176="",0,NORMALIZADO!BY176)</f>
        <v>0</v>
      </c>
      <c r="AO176" t="str">
        <f t="shared" si="23"/>
        <v>N/A</v>
      </c>
      <c r="AP176">
        <f>IFERROR((IF(ISNUMBER(M176),M176/100*PONDERADORES!$D$12,0)+IF(ISNUMBER(SCORECARDS!H176),SCORECARDS!H176/100*PONDERADORES!$D$13,0)+IF(ISNUMBER(SCORECARDS!I176),SCORECARDS!I176/100*PONDERADORES!$D$14,0)+IF(ISNUMBER(SCORECARDS!J176),SCORECARDS!J176/100*PONDERADORES!$D$15,0)+IF(ISNUMBER(ISCAM_Score!K177),ISCAM_Score!K177/100*PONDERADORES!$D$16,0)+IF(ISNUMBER(O176),O176*PONDERADORES!$D$17,0)+IF(ISNUMBER(AVERAGE(W176:Z176)),AVERAGE(W176:Z176)/2*PONDERADORES!$D$19,0))/(IF(ISNUMBER(M176),PONDERADORES!$D$12,0)+IF(ISNUMBER(SCORECARDS!H176),PONDERADORES!$D$13,0)+IF(ISNUMBER(SCORECARDS!I176),PONDERADORES!$D$14,0)+IF(ISNUMBER(SCORECARDS!J176),PONDERADORES!$D$15,0)+IF(ISNUMBER(ISCAM_Score!K177),PONDERADORES!$D$16,0)+IF(ISNUMBER(O176),PONDERADORES!$D$17,0)+IF(ISNUMBER(AVERAGE(W176:Z176)),PONDERADORES!$D$19,0)),"N/A")</f>
        <v>0</v>
      </c>
      <c r="AQ176">
        <f>IF(ISNUMBER(M176),1,0)+IF(ISNUMBER(SCORECARDS!H176),1,0)+IF(ISNUMBER(SCORECARDS!I176),1,0)+IF(ISNUMBER(SCORECARDS!J176),1,0)+IF(ISNUMBER(ISCAM_Score!K177),1,0)+IF(ISNUMBER(O176),1,0)+IF(COUNT(W176:Z176)&gt;0,1,0)</f>
        <v>2</v>
      </c>
    </row>
    <row r="179" spans="1:1" x14ac:dyDescent="0.3">
      <c r="A179" s="55" t="s">
        <v>1575</v>
      </c>
    </row>
    <row r="180" spans="1:1" ht="409.6" x14ac:dyDescent="0.3">
      <c r="A180" s="56" t="s">
        <v>1576</v>
      </c>
    </row>
  </sheetData>
  <mergeCells count="1">
    <mergeCell ref="A1:S1"/>
  </mergeCells>
  <pageMargins left="0.75" right="0.75" top="1" bottom="1" header="0.5" footer="0.5"/>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187"/>
  <sheetViews>
    <sheetView workbookViewId="0">
      <pane xSplit="2" ySplit="2" topLeftCell="C166" activePane="bottomRight" state="frozen"/>
      <selection pane="topRight"/>
      <selection pane="bottomLeft"/>
      <selection pane="bottomRight" activeCell="B174" sqref="B174"/>
    </sheetView>
  </sheetViews>
  <sheetFormatPr baseColWidth="10" defaultColWidth="8.88671875" defaultRowHeight="14.4" x14ac:dyDescent="0.3"/>
  <cols>
    <col min="1" max="1" width="34.88671875" customWidth="1"/>
    <col min="2" max="2" width="38" customWidth="1"/>
    <col min="3" max="3" width="11" customWidth="1"/>
    <col min="4" max="4" width="14" customWidth="1"/>
    <col min="5" max="5" width="8" customWidth="1"/>
    <col min="6" max="6" width="14" customWidth="1"/>
    <col min="7" max="7" width="10" customWidth="1"/>
    <col min="8" max="8" width="11" customWidth="1"/>
    <col min="9" max="9" width="12" customWidth="1"/>
    <col min="10" max="10" width="13" customWidth="1"/>
    <col min="11" max="11" width="14" customWidth="1"/>
    <col min="12" max="12" width="10" customWidth="1"/>
    <col min="13" max="13" width="8" customWidth="1"/>
    <col min="14" max="14" width="14" customWidth="1"/>
    <col min="15" max="16" width="16" customWidth="1"/>
  </cols>
  <sheetData>
    <row r="1" spans="1:16" ht="28.05" customHeight="1" x14ac:dyDescent="0.3">
      <c r="A1" s="65" t="s">
        <v>1025</v>
      </c>
      <c r="B1" s="65"/>
      <c r="C1" s="65"/>
      <c r="D1" s="65"/>
      <c r="E1" s="65"/>
      <c r="F1" s="65"/>
      <c r="G1" s="65"/>
      <c r="H1" s="65"/>
      <c r="I1" s="65"/>
      <c r="J1" s="65"/>
      <c r="K1" s="65"/>
      <c r="L1" s="65"/>
      <c r="M1" s="65"/>
      <c r="N1" s="65"/>
      <c r="O1" s="65"/>
    </row>
    <row r="2" spans="1:16" ht="22.05" customHeight="1" x14ac:dyDescent="0.3">
      <c r="A2" t="s">
        <v>21</v>
      </c>
      <c r="B2" t="s">
        <v>901</v>
      </c>
      <c r="C2" t="s">
        <v>1026</v>
      </c>
      <c r="D2" t="s">
        <v>1027</v>
      </c>
      <c r="E2" t="s">
        <v>1028</v>
      </c>
      <c r="F2" t="s">
        <v>32</v>
      </c>
      <c r="G2" t="s">
        <v>33</v>
      </c>
      <c r="H2" t="s">
        <v>1029</v>
      </c>
      <c r="I2" t="s">
        <v>1030</v>
      </c>
      <c r="J2" t="s">
        <v>1031</v>
      </c>
      <c r="K2" t="s">
        <v>1032</v>
      </c>
      <c r="L2" t="s">
        <v>1033</v>
      </c>
      <c r="M2" t="s">
        <v>974</v>
      </c>
      <c r="N2" t="s">
        <v>1034</v>
      </c>
      <c r="O2" t="s">
        <v>1035</v>
      </c>
      <c r="P2" t="s">
        <v>1036</v>
      </c>
    </row>
    <row r="3" spans="1:16" ht="16.05" customHeight="1" x14ac:dyDescent="0.3">
      <c r="A3" t="s">
        <v>62</v>
      </c>
      <c r="B3" t="s">
        <v>63</v>
      </c>
      <c r="C3" s="36" t="str">
        <f>IFERROR(ISCAM_Score!AL4,"—")</f>
        <v>—</v>
      </c>
      <c r="D3" t="str">
        <f t="shared" ref="D3:D34" si="0">IF(C3="—","— Sin Inst.2",IF(C3&lt;34,"🔴  Crítico",IF(C3&lt;67,"🟡  Vulnerable","🟢  Preparado")))</f>
        <v>— Sin Inst.2</v>
      </c>
      <c r="E3" t="str">
        <f t="shared" ref="E3:E34" si="1">IFERROR(RANK(C3,C:C,-1),"")</f>
        <v/>
      </c>
      <c r="F3">
        <f>IF(MATRIZ_174!L3="","",MATRIZ_174!L3)</f>
        <v>2553623.31</v>
      </c>
      <c r="G3">
        <f>IFERROR(MATRIZ_174!M3,0)</f>
        <v>50</v>
      </c>
      <c r="H3" t="str">
        <f>IF(NORMALIZADO!CC3="","",NORMALIZADO!CC3)</f>
        <v/>
      </c>
      <c r="I3" t="str">
        <f>IF(NORMALIZADO!CF3="","",NORMALIZADO!CF3)</f>
        <v/>
      </c>
      <c r="J3" t="str">
        <f>IF(NORMALIZADO!CG3="","",NORMALIZADO!CG3)</f>
        <v/>
      </c>
      <c r="K3">
        <f>IFERROR(INDEX(MATRIZ_174!$U:$U,MATCH(A3,MATRIZ_174!$A:$A,0))*100,"")</f>
        <v>100</v>
      </c>
      <c r="L3" t="str">
        <f>IFERROR(MATRIZ_174!O3,0)</f>
        <v/>
      </c>
      <c r="N3" t="str">
        <f>IFERROR(ISCAM_Score!AC4,"")</f>
        <v>⬜  Pendiente de instrumento</v>
      </c>
      <c r="O3" t="s">
        <v>64</v>
      </c>
      <c r="P3" t="str">
        <f>IFERROR(INDEX(MATRIZ_174!$C:$C,MATCH(A3,MATRIZ_174!$A:$A,0)),"")</f>
        <v>PUNO</v>
      </c>
    </row>
    <row r="4" spans="1:16" ht="16.05" customHeight="1" x14ac:dyDescent="0.3">
      <c r="A4" t="s">
        <v>70</v>
      </c>
      <c r="B4" t="s">
        <v>71</v>
      </c>
      <c r="C4" s="36" t="str">
        <f>IFERROR(ISCAM_Score!AL5,"—")</f>
        <v>—</v>
      </c>
      <c r="D4" t="str">
        <f t="shared" si="0"/>
        <v>— Sin Inst.2</v>
      </c>
      <c r="E4" t="str">
        <f t="shared" si="1"/>
        <v/>
      </c>
      <c r="F4" t="str">
        <f>IF(MATRIZ_174!L4="","",MATRIZ_174!L4)</f>
        <v/>
      </c>
      <c r="G4" t="str">
        <f>IFERROR(MATRIZ_174!M4,0)</f>
        <v/>
      </c>
      <c r="H4" t="str">
        <f>IF(NORMALIZADO!CC4="","",NORMALIZADO!CC4)</f>
        <v/>
      </c>
      <c r="I4" t="str">
        <f>IF(NORMALIZADO!CF4="","",NORMALIZADO!CF4)</f>
        <v/>
      </c>
      <c r="J4" t="str">
        <f>IF(NORMALIZADO!CG4="","",NORMALIZADO!CG4)</f>
        <v/>
      </c>
      <c r="K4">
        <f>IFERROR(INDEX(MATRIZ_174!$U:$U,MATCH(A4,MATRIZ_174!$A:$A,0))*100,"")</f>
        <v>100</v>
      </c>
      <c r="L4" t="str">
        <f>IFERROR(MATRIZ_174!O4,0)</f>
        <v/>
      </c>
      <c r="N4" t="str">
        <f>IFERROR(ISCAM_Score!AC5,"")</f>
        <v>⬜  Pendiente de instrumento</v>
      </c>
      <c r="O4" t="s">
        <v>72</v>
      </c>
      <c r="P4" t="str">
        <f>IFERROR(INDEX(MATRIZ_174!$C:$C,MATCH(A4,MATRIZ_174!$A:$A,0)),"")</f>
        <v>AYACUCHO</v>
      </c>
    </row>
    <row r="5" spans="1:16" ht="16.05" customHeight="1" x14ac:dyDescent="0.3">
      <c r="A5" t="s">
        <v>75</v>
      </c>
      <c r="B5" t="s">
        <v>76</v>
      </c>
      <c r="C5" s="36" t="str">
        <f>IFERROR(ISCAM_Score!AL6,"—")</f>
        <v>—</v>
      </c>
      <c r="D5" t="str">
        <f t="shared" si="0"/>
        <v>— Sin Inst.2</v>
      </c>
      <c r="E5" t="str">
        <f t="shared" si="1"/>
        <v/>
      </c>
      <c r="F5">
        <f>IF(MATRIZ_174!L5="","",MATRIZ_174!L5)</f>
        <v>4801984.0599999996</v>
      </c>
      <c r="G5">
        <f>IFERROR(MATRIZ_174!M5,0)</f>
        <v>50</v>
      </c>
      <c r="H5" t="str">
        <f>IF(NORMALIZADO!CC5="","",NORMALIZADO!CC5)</f>
        <v/>
      </c>
      <c r="I5" t="str">
        <f>IF(NORMALIZADO!CF5="","",NORMALIZADO!CF5)</f>
        <v/>
      </c>
      <c r="J5" t="str">
        <f>IF(NORMALIZADO!CG5="","",NORMALIZADO!CG5)</f>
        <v/>
      </c>
      <c r="K5">
        <f>IFERROR(INDEX(MATRIZ_174!$U:$U,MATCH(A5,MATRIZ_174!$A:$A,0))*100,"")</f>
        <v>100</v>
      </c>
      <c r="L5" t="str">
        <f>IFERROR(MATRIZ_174!O5,0)</f>
        <v/>
      </c>
      <c r="N5" t="str">
        <f>IFERROR(ISCAM_Score!AC6,"")</f>
        <v>⬜  Pendiente de instrumento</v>
      </c>
      <c r="O5" t="s">
        <v>77</v>
      </c>
      <c r="P5" t="str">
        <f>IFERROR(INDEX(MATRIZ_174!$C:$C,MATCH(A5,MATRIZ_174!$A:$A,0)),"")</f>
        <v>JUNIN</v>
      </c>
    </row>
    <row r="6" spans="1:16" ht="16.05" customHeight="1" x14ac:dyDescent="0.3">
      <c r="A6" t="s">
        <v>78</v>
      </c>
      <c r="B6" t="s">
        <v>79</v>
      </c>
      <c r="C6" s="36" t="str">
        <f>IFERROR(ISCAM_Score!AL7,"—")</f>
        <v>—</v>
      </c>
      <c r="D6" t="str">
        <f t="shared" si="0"/>
        <v>— Sin Inst.2</v>
      </c>
      <c r="E6" t="str">
        <f t="shared" si="1"/>
        <v/>
      </c>
      <c r="F6" t="str">
        <f>IF(MATRIZ_174!L6="","",MATRIZ_174!L6)</f>
        <v/>
      </c>
      <c r="G6" t="str">
        <f>IFERROR(MATRIZ_174!M6,0)</f>
        <v/>
      </c>
      <c r="H6" t="str">
        <f>IF(NORMALIZADO!CC6="","",NORMALIZADO!CC6)</f>
        <v/>
      </c>
      <c r="I6" t="str">
        <f>IF(NORMALIZADO!CF6="","",NORMALIZADO!CF6)</f>
        <v/>
      </c>
      <c r="J6" t="str">
        <f>IF(NORMALIZADO!CG6="","",NORMALIZADO!CG6)</f>
        <v/>
      </c>
      <c r="K6">
        <f>IFERROR(INDEX(MATRIZ_174!$U:$U,MATCH(A6,MATRIZ_174!$A:$A,0))*100,"")</f>
        <v>100</v>
      </c>
      <c r="L6">
        <f>IFERROR(MATRIZ_174!O6,0)</f>
        <v>0.6</v>
      </c>
      <c r="N6" t="str">
        <f>IFERROR(ISCAM_Score!AC7,"")</f>
        <v>⬜  Pendiente de instrumento</v>
      </c>
      <c r="O6" t="s">
        <v>80</v>
      </c>
      <c r="P6" t="str">
        <f>IFERROR(INDEX(MATRIZ_174!$C:$C,MATCH(A6,MATRIZ_174!$A:$A,0)),"")</f>
        <v>CUSCO</v>
      </c>
    </row>
    <row r="7" spans="1:16" ht="16.05" customHeight="1" x14ac:dyDescent="0.3">
      <c r="A7" t="s">
        <v>81</v>
      </c>
      <c r="B7" t="s">
        <v>82</v>
      </c>
      <c r="C7" s="36" t="str">
        <f>IFERROR(ISCAM_Score!AL8,"—")</f>
        <v>—</v>
      </c>
      <c r="D7" t="str">
        <f t="shared" si="0"/>
        <v>— Sin Inst.2</v>
      </c>
      <c r="E7" t="str">
        <f t="shared" si="1"/>
        <v/>
      </c>
      <c r="F7" t="str">
        <f>IF(MATRIZ_174!L7="","",MATRIZ_174!L7)</f>
        <v/>
      </c>
      <c r="G7" t="str">
        <f>IFERROR(MATRIZ_174!M7,0)</f>
        <v/>
      </c>
      <c r="H7" t="str">
        <f>IF(NORMALIZADO!CC7="","",NORMALIZADO!CC7)</f>
        <v/>
      </c>
      <c r="I7" t="str">
        <f>IF(NORMALIZADO!CF7="","",NORMALIZADO!CF7)</f>
        <v/>
      </c>
      <c r="J7" t="str">
        <f>IF(NORMALIZADO!CG7="","",NORMALIZADO!CG7)</f>
        <v/>
      </c>
      <c r="K7">
        <f>IFERROR(INDEX(MATRIZ_174!$U:$U,MATCH(A7,MATRIZ_174!$A:$A,0))*100,"")</f>
        <v>100</v>
      </c>
      <c r="L7">
        <f>IFERROR(MATRIZ_174!O7,0)</f>
        <v>0.6</v>
      </c>
      <c r="N7" t="str">
        <f>IFERROR(ISCAM_Score!AC8,"")</f>
        <v>⬜  Pendiente de instrumento</v>
      </c>
      <c r="O7" t="s">
        <v>80</v>
      </c>
      <c r="P7" t="str">
        <f>IFERROR(INDEX(MATRIZ_174!$C:$C,MATCH(A7,MATRIZ_174!$A:$A,0)),"")</f>
        <v>CUSCO</v>
      </c>
    </row>
    <row r="8" spans="1:16" ht="16.05" customHeight="1" x14ac:dyDescent="0.3">
      <c r="A8" t="s">
        <v>84</v>
      </c>
      <c r="B8" t="s">
        <v>85</v>
      </c>
      <c r="C8" s="36" t="str">
        <f>IFERROR(ISCAM_Score!AL9,"—")</f>
        <v>—</v>
      </c>
      <c r="D8" t="str">
        <f t="shared" si="0"/>
        <v>— Sin Inst.2</v>
      </c>
      <c r="E8" t="str">
        <f t="shared" si="1"/>
        <v/>
      </c>
      <c r="F8">
        <f>IF(MATRIZ_174!L8="","",MATRIZ_174!L8)</f>
        <v>1238541.75</v>
      </c>
      <c r="G8">
        <f>IFERROR(MATRIZ_174!M8,0)</f>
        <v>50</v>
      </c>
      <c r="H8" t="str">
        <f>IF(NORMALIZADO!CC8="","",NORMALIZADO!CC8)</f>
        <v/>
      </c>
      <c r="I8" t="str">
        <f>IF(NORMALIZADO!CF8="","",NORMALIZADO!CF8)</f>
        <v/>
      </c>
      <c r="J8" t="str">
        <f>IF(NORMALIZADO!CG8="","",NORMALIZADO!CG8)</f>
        <v/>
      </c>
      <c r="K8">
        <f>IFERROR(INDEX(MATRIZ_174!$U:$U,MATCH(A8,MATRIZ_174!$A:$A,0))*100,"")</f>
        <v>100</v>
      </c>
      <c r="L8" t="str">
        <f>IFERROR(MATRIZ_174!O8,0)</f>
        <v/>
      </c>
      <c r="N8" t="str">
        <f>IFERROR(ISCAM_Score!AC9,"")</f>
        <v>⬜  Pendiente de instrumento</v>
      </c>
      <c r="O8" t="s">
        <v>80</v>
      </c>
      <c r="P8" t="str">
        <f>IFERROR(INDEX(MATRIZ_174!$C:$C,MATCH(A8,MATRIZ_174!$A:$A,0)),"")</f>
        <v>CUSCO</v>
      </c>
    </row>
    <row r="9" spans="1:16" ht="16.05" customHeight="1" x14ac:dyDescent="0.3">
      <c r="A9" t="s">
        <v>86</v>
      </c>
      <c r="B9" t="s">
        <v>87</v>
      </c>
      <c r="C9" s="36" t="str">
        <f>IFERROR(ISCAM_Score!AL10,"—")</f>
        <v>—</v>
      </c>
      <c r="D9" t="str">
        <f t="shared" si="0"/>
        <v>— Sin Inst.2</v>
      </c>
      <c r="E9" t="str">
        <f t="shared" si="1"/>
        <v/>
      </c>
      <c r="F9">
        <f>IF(MATRIZ_174!L9="","",MATRIZ_174!L9)</f>
        <v>0</v>
      </c>
      <c r="G9">
        <f>IFERROR(MATRIZ_174!M9,0)</f>
        <v>0</v>
      </c>
      <c r="H9" t="str">
        <f>IF(NORMALIZADO!CC9="","",NORMALIZADO!CC9)</f>
        <v/>
      </c>
      <c r="I9" t="str">
        <f>IF(NORMALIZADO!CF9="","",NORMALIZADO!CF9)</f>
        <v/>
      </c>
      <c r="J9" t="str">
        <f>IF(NORMALIZADO!CG9="","",NORMALIZADO!CG9)</f>
        <v/>
      </c>
      <c r="K9">
        <f>IFERROR(INDEX(MATRIZ_174!$U:$U,MATCH(A9,MATRIZ_174!$A:$A,0))*100,"")</f>
        <v>100</v>
      </c>
      <c r="L9" t="str">
        <f>IFERROR(MATRIZ_174!O9,0)</f>
        <v/>
      </c>
      <c r="N9" t="str">
        <f>IFERROR(ISCAM_Score!AC10,"")</f>
        <v>⬜  Pendiente de instrumento</v>
      </c>
      <c r="O9" t="s">
        <v>80</v>
      </c>
      <c r="P9" t="str">
        <f>IFERROR(INDEX(MATRIZ_174!$C:$C,MATCH(A9,MATRIZ_174!$A:$A,0)),"")</f>
        <v>CUSCO</v>
      </c>
    </row>
    <row r="10" spans="1:16" ht="16.05" customHeight="1" x14ac:dyDescent="0.3">
      <c r="A10" t="s">
        <v>88</v>
      </c>
      <c r="B10" t="s">
        <v>89</v>
      </c>
      <c r="C10" s="36" t="str">
        <f>IFERROR(ISCAM_Score!AL11,"—")</f>
        <v>—</v>
      </c>
      <c r="D10" t="str">
        <f t="shared" si="0"/>
        <v>— Sin Inst.2</v>
      </c>
      <c r="E10" t="str">
        <f t="shared" si="1"/>
        <v/>
      </c>
      <c r="F10" t="str">
        <f>IF(MATRIZ_174!L10="","",MATRIZ_174!L10)</f>
        <v/>
      </c>
      <c r="G10" t="str">
        <f>IFERROR(MATRIZ_174!M10,0)</f>
        <v/>
      </c>
      <c r="H10" t="str">
        <f>IF(NORMALIZADO!CC10="","",NORMALIZADO!CC10)</f>
        <v/>
      </c>
      <c r="I10" t="str">
        <f>IF(NORMALIZADO!CF10="","",NORMALIZADO!CF10)</f>
        <v/>
      </c>
      <c r="J10" t="str">
        <f>IF(NORMALIZADO!CG10="","",NORMALIZADO!CG10)</f>
        <v/>
      </c>
      <c r="K10">
        <f>IFERROR(INDEX(MATRIZ_174!$U:$U,MATCH(A10,MATRIZ_174!$A:$A,0))*100,"")</f>
        <v>100</v>
      </c>
      <c r="L10">
        <f>IFERROR(MATRIZ_174!O10,0)</f>
        <v>1</v>
      </c>
      <c r="N10" t="str">
        <f>IFERROR(ISCAM_Score!AC11,"")</f>
        <v>⬜  Pendiente de instrumento</v>
      </c>
      <c r="O10" t="s">
        <v>80</v>
      </c>
      <c r="P10" t="str">
        <f>IFERROR(INDEX(MATRIZ_174!$C:$C,MATCH(A10,MATRIZ_174!$A:$A,0)),"")</f>
        <v>CUSCO</v>
      </c>
    </row>
    <row r="11" spans="1:16" ht="16.05" customHeight="1" x14ac:dyDescent="0.3">
      <c r="A11" t="s">
        <v>90</v>
      </c>
      <c r="B11" t="s">
        <v>91</v>
      </c>
      <c r="C11" s="36" t="str">
        <f>IFERROR(ISCAM_Score!AL12,"—")</f>
        <v>—</v>
      </c>
      <c r="D11" t="str">
        <f t="shared" si="0"/>
        <v>— Sin Inst.2</v>
      </c>
      <c r="E11" t="str">
        <f t="shared" si="1"/>
        <v/>
      </c>
      <c r="F11">
        <f>IF(MATRIZ_174!L11="","",MATRIZ_174!L11)</f>
        <v>0</v>
      </c>
      <c r="G11">
        <f>IFERROR(MATRIZ_174!M11,0)</f>
        <v>0</v>
      </c>
      <c r="H11" t="str">
        <f>IF(NORMALIZADO!CC11="","",NORMALIZADO!CC11)</f>
        <v/>
      </c>
      <c r="I11" t="str">
        <f>IF(NORMALIZADO!CF11="","",NORMALIZADO!CF11)</f>
        <v/>
      </c>
      <c r="J11" t="str">
        <f>IF(NORMALIZADO!CG11="","",NORMALIZADO!CG11)</f>
        <v/>
      </c>
      <c r="K11">
        <f>IFERROR(INDEX(MATRIZ_174!$U:$U,MATCH(A11,MATRIZ_174!$A:$A,0))*100,"")</f>
        <v>100</v>
      </c>
      <c r="L11" t="str">
        <f>IFERROR(MATRIZ_174!O11,0)</f>
        <v/>
      </c>
      <c r="N11" t="str">
        <f>IFERROR(ISCAM_Score!AC12,"")</f>
        <v>⬜  Pendiente de instrumento</v>
      </c>
      <c r="O11" t="s">
        <v>80</v>
      </c>
      <c r="P11" t="str">
        <f>IFERROR(INDEX(MATRIZ_174!$C:$C,MATCH(A11,MATRIZ_174!$A:$A,0)),"")</f>
        <v>CUSCO</v>
      </c>
    </row>
    <row r="12" spans="1:16" ht="16.05" customHeight="1" x14ac:dyDescent="0.3">
      <c r="A12" t="s">
        <v>92</v>
      </c>
      <c r="B12" t="s">
        <v>93</v>
      </c>
      <c r="C12" s="36" t="str">
        <f>IFERROR(ISCAM_Score!AL13,"—")</f>
        <v>—</v>
      </c>
      <c r="D12" t="str">
        <f t="shared" si="0"/>
        <v>— Sin Inst.2</v>
      </c>
      <c r="E12" t="str">
        <f t="shared" si="1"/>
        <v/>
      </c>
      <c r="F12">
        <f>IF(MATRIZ_174!L12="","",MATRIZ_174!L12)</f>
        <v>894391.27</v>
      </c>
      <c r="G12">
        <f>IFERROR(MATRIZ_174!M12,0)</f>
        <v>20.100000000000001</v>
      </c>
      <c r="H12" t="str">
        <f>IF(NORMALIZADO!CC12="","",NORMALIZADO!CC12)</f>
        <v/>
      </c>
      <c r="I12" t="str">
        <f>IF(NORMALIZADO!CF12="","",NORMALIZADO!CF12)</f>
        <v/>
      </c>
      <c r="J12" t="str">
        <f>IF(NORMALIZADO!CG12="","",NORMALIZADO!CG12)</f>
        <v/>
      </c>
      <c r="K12">
        <f>IFERROR(INDEX(MATRIZ_174!$U:$U,MATCH(A12,MATRIZ_174!$A:$A,0))*100,"")</f>
        <v>75</v>
      </c>
      <c r="L12">
        <f>IFERROR(MATRIZ_174!O12,0)</f>
        <v>1</v>
      </c>
      <c r="N12" t="str">
        <f>IFERROR(ISCAM_Score!AC13,"")</f>
        <v>⬜  Pendiente de instrumento</v>
      </c>
      <c r="O12" t="s">
        <v>80</v>
      </c>
      <c r="P12" t="str">
        <f>IFERROR(INDEX(MATRIZ_174!$C:$C,MATCH(A12,MATRIZ_174!$A:$A,0)),"")</f>
        <v>CUSCO</v>
      </c>
    </row>
    <row r="13" spans="1:16" ht="16.05" customHeight="1" x14ac:dyDescent="0.3">
      <c r="A13" t="s">
        <v>95</v>
      </c>
      <c r="B13" t="s">
        <v>96</v>
      </c>
      <c r="C13" s="36" t="str">
        <f>IFERROR(ISCAM_Score!AL14,"—")</f>
        <v>—</v>
      </c>
      <c r="D13" t="str">
        <f t="shared" si="0"/>
        <v>— Sin Inst.2</v>
      </c>
      <c r="E13" t="str">
        <f t="shared" si="1"/>
        <v/>
      </c>
      <c r="F13" t="str">
        <f>IF(MATRIZ_174!L13="","",MATRIZ_174!L13)</f>
        <v/>
      </c>
      <c r="G13" t="str">
        <f>IFERROR(MATRIZ_174!M13,0)</f>
        <v/>
      </c>
      <c r="H13" t="str">
        <f>IF(NORMALIZADO!CC13="","",NORMALIZADO!CC13)</f>
        <v/>
      </c>
      <c r="I13" t="str">
        <f>IF(NORMALIZADO!CF13="","",NORMALIZADO!CF13)</f>
        <v/>
      </c>
      <c r="J13" t="str">
        <f>IF(NORMALIZADO!CG13="","",NORMALIZADO!CG13)</f>
        <v/>
      </c>
      <c r="K13">
        <f>IFERROR(INDEX(MATRIZ_174!$U:$U,MATCH(A13,MATRIZ_174!$A:$A,0))*100,"")</f>
        <v>100</v>
      </c>
      <c r="L13">
        <f>IFERROR(MATRIZ_174!O13,0)</f>
        <v>0.6</v>
      </c>
      <c r="N13" t="str">
        <f>IFERROR(ISCAM_Score!AC14,"")</f>
        <v>⬜  Pendiente de instrumento</v>
      </c>
      <c r="O13" t="s">
        <v>80</v>
      </c>
      <c r="P13" t="str">
        <f>IFERROR(INDEX(MATRIZ_174!$C:$C,MATCH(A13,MATRIZ_174!$A:$A,0)),"")</f>
        <v>CUSCO</v>
      </c>
    </row>
    <row r="14" spans="1:16" ht="16.05" customHeight="1" x14ac:dyDescent="0.3">
      <c r="A14" t="s">
        <v>97</v>
      </c>
      <c r="B14" t="s">
        <v>98</v>
      </c>
      <c r="C14" s="36" t="str">
        <f>IFERROR(ISCAM_Score!AL15,"—")</f>
        <v>—</v>
      </c>
      <c r="D14" t="str">
        <f t="shared" si="0"/>
        <v>— Sin Inst.2</v>
      </c>
      <c r="E14" t="str">
        <f t="shared" si="1"/>
        <v/>
      </c>
      <c r="F14">
        <f>IF(MATRIZ_174!L14="","",MATRIZ_174!L14)</f>
        <v>2015347.33</v>
      </c>
      <c r="G14">
        <f>IFERROR(MATRIZ_174!M14,0)</f>
        <v>50</v>
      </c>
      <c r="H14" t="str">
        <f>IF(NORMALIZADO!CC14="","",NORMALIZADO!CC14)</f>
        <v/>
      </c>
      <c r="I14" t="str">
        <f>IF(NORMALIZADO!CF14="","",NORMALIZADO!CF14)</f>
        <v/>
      </c>
      <c r="J14" t="str">
        <f>IF(NORMALIZADO!CG14="","",NORMALIZADO!CG14)</f>
        <v/>
      </c>
      <c r="K14">
        <f>IFERROR(INDEX(MATRIZ_174!$U:$U,MATCH(A14,MATRIZ_174!$A:$A,0))*100,"")</f>
        <v>100</v>
      </c>
      <c r="L14" t="str">
        <f>IFERROR(MATRIZ_174!O14,0)</f>
        <v/>
      </c>
      <c r="N14" t="str">
        <f>IFERROR(ISCAM_Score!AC15,"")</f>
        <v>⬜  Pendiente de instrumento</v>
      </c>
      <c r="O14" t="s">
        <v>72</v>
      </c>
      <c r="P14" t="str">
        <f>IFERROR(INDEX(MATRIZ_174!$C:$C,MATCH(A14,MATRIZ_174!$A:$A,0)),"")</f>
        <v>AYACUCHO</v>
      </c>
    </row>
    <row r="15" spans="1:16" ht="16.05" customHeight="1" x14ac:dyDescent="0.3">
      <c r="A15" t="s">
        <v>99</v>
      </c>
      <c r="B15" t="s">
        <v>100</v>
      </c>
      <c r="C15" s="36" t="str">
        <f>IFERROR(ISCAM_Score!AL16,"—")</f>
        <v>—</v>
      </c>
      <c r="D15" t="str">
        <f t="shared" si="0"/>
        <v>— Sin Inst.2</v>
      </c>
      <c r="E15" t="str">
        <f t="shared" si="1"/>
        <v/>
      </c>
      <c r="F15" t="str">
        <f>IF(MATRIZ_174!L15="","",MATRIZ_174!L15)</f>
        <v/>
      </c>
      <c r="G15" t="str">
        <f>IFERROR(MATRIZ_174!M15,0)</f>
        <v/>
      </c>
      <c r="H15" t="str">
        <f>IF(NORMALIZADO!CC15="","",NORMALIZADO!CC15)</f>
        <v/>
      </c>
      <c r="I15" t="str">
        <f>IF(NORMALIZADO!CF15="","",NORMALIZADO!CF15)</f>
        <v/>
      </c>
      <c r="J15" t="str">
        <f>IF(NORMALIZADO!CG15="","",NORMALIZADO!CG15)</f>
        <v/>
      </c>
      <c r="K15">
        <f>IFERROR(INDEX(MATRIZ_174!$U:$U,MATCH(A15,MATRIZ_174!$A:$A,0))*100,"")</f>
        <v>100</v>
      </c>
      <c r="L15" t="str">
        <f>IFERROR(MATRIZ_174!O15,0)</f>
        <v/>
      </c>
      <c r="N15" t="str">
        <f>IFERROR(ISCAM_Score!AC16,"")</f>
        <v>⬜  Pendiente de instrumento</v>
      </c>
      <c r="O15" t="s">
        <v>64</v>
      </c>
      <c r="P15" t="str">
        <f>IFERROR(INDEX(MATRIZ_174!$C:$C,MATCH(A15,MATRIZ_174!$A:$A,0)),"")</f>
        <v>PUNO</v>
      </c>
    </row>
    <row r="16" spans="1:16" ht="16.05" customHeight="1" x14ac:dyDescent="0.3">
      <c r="A16" t="s">
        <v>101</v>
      </c>
      <c r="B16" t="s">
        <v>102</v>
      </c>
      <c r="C16" s="36" t="str">
        <f>IFERROR(ISCAM_Score!AL17,"—")</f>
        <v>—</v>
      </c>
      <c r="D16" t="str">
        <f t="shared" si="0"/>
        <v>— Sin Inst.2</v>
      </c>
      <c r="E16" t="str">
        <f t="shared" si="1"/>
        <v/>
      </c>
      <c r="F16" t="str">
        <f>IF(MATRIZ_174!L16="","",MATRIZ_174!L16)</f>
        <v/>
      </c>
      <c r="G16" t="str">
        <f>IFERROR(MATRIZ_174!M16,0)</f>
        <v/>
      </c>
      <c r="H16" t="str">
        <f>IF(NORMALIZADO!CC16="","",NORMALIZADO!CC16)</f>
        <v/>
      </c>
      <c r="I16" t="str">
        <f>IF(NORMALIZADO!CF16="","",NORMALIZADO!CF16)</f>
        <v/>
      </c>
      <c r="J16" t="str">
        <f>IF(NORMALIZADO!CG16="","",NORMALIZADO!CG16)</f>
        <v/>
      </c>
      <c r="K16">
        <f>IFERROR(INDEX(MATRIZ_174!$U:$U,MATCH(A16,MATRIZ_174!$A:$A,0))*100,"")</f>
        <v>100</v>
      </c>
      <c r="L16" t="str">
        <f>IFERROR(MATRIZ_174!O16,0)</f>
        <v/>
      </c>
      <c r="N16" t="str">
        <f>IFERROR(ISCAM_Score!AC17,"")</f>
        <v>⬜  Pendiente de instrumento</v>
      </c>
      <c r="O16" t="s">
        <v>103</v>
      </c>
      <c r="P16" t="str">
        <f>IFERROR(INDEX(MATRIZ_174!$C:$C,MATCH(A16,MATRIZ_174!$A:$A,0)),"")</f>
        <v>PIURA</v>
      </c>
    </row>
    <row r="17" spans="1:16" ht="16.05" customHeight="1" x14ac:dyDescent="0.3">
      <c r="A17" t="s">
        <v>104</v>
      </c>
      <c r="B17" t="s">
        <v>105</v>
      </c>
      <c r="C17" s="36" t="str">
        <f>IFERROR(ISCAM_Score!AL18,"—")</f>
        <v>—</v>
      </c>
      <c r="D17" t="str">
        <f t="shared" si="0"/>
        <v>— Sin Inst.2</v>
      </c>
      <c r="E17" t="str">
        <f t="shared" si="1"/>
        <v/>
      </c>
      <c r="F17" t="str">
        <f>IF(MATRIZ_174!L17="","",MATRIZ_174!L17)</f>
        <v/>
      </c>
      <c r="G17" t="str">
        <f>IFERROR(MATRIZ_174!M17,0)</f>
        <v/>
      </c>
      <c r="H17" t="str">
        <f>IF(NORMALIZADO!CC17="","",NORMALIZADO!CC17)</f>
        <v/>
      </c>
      <c r="I17" t="str">
        <f>IF(NORMALIZADO!CF17="","",NORMALIZADO!CF17)</f>
        <v/>
      </c>
      <c r="J17" t="str">
        <f>IF(NORMALIZADO!CG17="","",NORMALIZADO!CG17)</f>
        <v/>
      </c>
      <c r="K17">
        <f>IFERROR(INDEX(MATRIZ_174!$U:$U,MATCH(A17,MATRIZ_174!$A:$A,0))*100,"")</f>
        <v>100</v>
      </c>
      <c r="L17">
        <f>IFERROR(MATRIZ_174!O17,0)</f>
        <v>0.6</v>
      </c>
      <c r="N17" t="str">
        <f>IFERROR(ISCAM_Score!AC18,"")</f>
        <v>⬜  Pendiente de instrumento</v>
      </c>
      <c r="O17" t="s">
        <v>80</v>
      </c>
      <c r="P17" t="str">
        <f>IFERROR(INDEX(MATRIZ_174!$C:$C,MATCH(A17,MATRIZ_174!$A:$A,0)),"")</f>
        <v>CUSCO</v>
      </c>
    </row>
    <row r="18" spans="1:16" ht="16.05" customHeight="1" x14ac:dyDescent="0.3">
      <c r="A18" t="s">
        <v>107</v>
      </c>
      <c r="B18" t="s">
        <v>108</v>
      </c>
      <c r="C18" s="36" t="str">
        <f>IFERROR(ISCAM_Score!AL19,"—")</f>
        <v>—</v>
      </c>
      <c r="D18" t="str">
        <f t="shared" si="0"/>
        <v>— Sin Inst.2</v>
      </c>
      <c r="E18" t="str">
        <f t="shared" si="1"/>
        <v/>
      </c>
      <c r="F18" t="str">
        <f>IF(MATRIZ_174!L18="","",MATRIZ_174!L18)</f>
        <v/>
      </c>
      <c r="G18" t="str">
        <f>IFERROR(MATRIZ_174!M18,0)</f>
        <v/>
      </c>
      <c r="H18" t="str">
        <f>IF(NORMALIZADO!CC18="","",NORMALIZADO!CC18)</f>
        <v/>
      </c>
      <c r="I18" t="str">
        <f>IF(NORMALIZADO!CF18="","",NORMALIZADO!CF18)</f>
        <v/>
      </c>
      <c r="J18" t="str">
        <f>IF(NORMALIZADO!CG18="","",NORMALIZADO!CG18)</f>
        <v/>
      </c>
      <c r="K18">
        <f>IFERROR(INDEX(MATRIZ_174!$U:$U,MATCH(A18,MATRIZ_174!$A:$A,0))*100,"")</f>
        <v>100</v>
      </c>
      <c r="L18" t="str">
        <f>IFERROR(MATRIZ_174!O18,0)</f>
        <v/>
      </c>
      <c r="N18" t="str">
        <f>IFERROR(ISCAM_Score!AC19,"")</f>
        <v>⬜  Pendiente de instrumento</v>
      </c>
      <c r="O18" t="s">
        <v>109</v>
      </c>
      <c r="P18" t="str">
        <f>IFERROR(INDEX(MATRIZ_174!$C:$C,MATCH(A18,MATRIZ_174!$A:$A,0)),"")</f>
        <v>UCAYALI</v>
      </c>
    </row>
    <row r="19" spans="1:16" ht="16.05" customHeight="1" x14ac:dyDescent="0.3">
      <c r="A19" t="s">
        <v>110</v>
      </c>
      <c r="B19" t="s">
        <v>111</v>
      </c>
      <c r="C19" s="36" t="str">
        <f>IFERROR(ISCAM_Score!AL20,"—")</f>
        <v>—</v>
      </c>
      <c r="D19" t="str">
        <f t="shared" si="0"/>
        <v>— Sin Inst.2</v>
      </c>
      <c r="E19" t="str">
        <f t="shared" si="1"/>
        <v/>
      </c>
      <c r="F19">
        <f>IF(MATRIZ_174!L19="","",MATRIZ_174!L19)</f>
        <v>4535378.4400000004</v>
      </c>
      <c r="G19">
        <f>IFERROR(MATRIZ_174!M19,0)</f>
        <v>50</v>
      </c>
      <c r="H19" t="str">
        <f>IF(NORMALIZADO!CC19="","",NORMALIZADO!CC19)</f>
        <v/>
      </c>
      <c r="I19" t="str">
        <f>IF(NORMALIZADO!CF19="","",NORMALIZADO!CF19)</f>
        <v/>
      </c>
      <c r="J19" t="str">
        <f>IF(NORMALIZADO!CG19="","",NORMALIZADO!CG19)</f>
        <v/>
      </c>
      <c r="K19">
        <f>IFERROR(INDEX(MATRIZ_174!$U:$U,MATCH(A19,MATRIZ_174!$A:$A,0))*100,"")</f>
        <v>100</v>
      </c>
      <c r="L19" t="str">
        <f>IFERROR(MATRIZ_174!O19,0)</f>
        <v/>
      </c>
      <c r="N19" t="str">
        <f>IFERROR(ISCAM_Score!AC20,"")</f>
        <v>⬜  Pendiente de instrumento</v>
      </c>
      <c r="O19" t="s">
        <v>112</v>
      </c>
      <c r="P19" t="str">
        <f>IFERROR(INDEX(MATRIZ_174!$C:$C,MATCH(A19,MATRIZ_174!$A:$A,0)),"")</f>
        <v>AMAZONAS</v>
      </c>
    </row>
    <row r="20" spans="1:16" ht="16.05" customHeight="1" x14ac:dyDescent="0.3">
      <c r="A20" t="s">
        <v>113</v>
      </c>
      <c r="B20" t="s">
        <v>114</v>
      </c>
      <c r="C20" s="36" t="str">
        <f>IFERROR(ISCAM_Score!AL21,"—")</f>
        <v>—</v>
      </c>
      <c r="D20" t="str">
        <f t="shared" si="0"/>
        <v>— Sin Inst.2</v>
      </c>
      <c r="E20" t="str">
        <f t="shared" si="1"/>
        <v/>
      </c>
      <c r="F20" t="str">
        <f>IF(MATRIZ_174!L20="","",MATRIZ_174!L20)</f>
        <v/>
      </c>
      <c r="G20" t="str">
        <f>IFERROR(MATRIZ_174!M20,0)</f>
        <v/>
      </c>
      <c r="H20" t="str">
        <f>IF(NORMALIZADO!CC20="","",NORMALIZADO!CC20)</f>
        <v/>
      </c>
      <c r="I20" t="str">
        <f>IF(NORMALIZADO!CF20="","",NORMALIZADO!CF20)</f>
        <v/>
      </c>
      <c r="J20" t="str">
        <f>IF(NORMALIZADO!CG20="","",NORMALIZADO!CG20)</f>
        <v/>
      </c>
      <c r="K20">
        <f>IFERROR(INDEX(MATRIZ_174!$U:$U,MATCH(A20,MATRIZ_174!$A:$A,0))*100,"")</f>
        <v>100</v>
      </c>
      <c r="L20">
        <f>IFERROR(MATRIZ_174!O20,0)</f>
        <v>0.6</v>
      </c>
      <c r="N20" t="str">
        <f>IFERROR(ISCAM_Score!AC21,"")</f>
        <v>⬜  Pendiente de instrumento</v>
      </c>
      <c r="O20" t="s">
        <v>80</v>
      </c>
      <c r="P20" t="str">
        <f>IFERROR(INDEX(MATRIZ_174!$C:$C,MATCH(A20,MATRIZ_174!$A:$A,0)),"")</f>
        <v>CUSCO</v>
      </c>
    </row>
    <row r="21" spans="1:16" ht="16.05" customHeight="1" x14ac:dyDescent="0.3">
      <c r="A21" t="s">
        <v>115</v>
      </c>
      <c r="B21" t="s">
        <v>116</v>
      </c>
      <c r="C21" s="36" t="str">
        <f>IFERROR(ISCAM_Score!AL22,"—")</f>
        <v>—</v>
      </c>
      <c r="D21" t="str">
        <f t="shared" si="0"/>
        <v>— Sin Inst.2</v>
      </c>
      <c r="E21" t="str">
        <f t="shared" si="1"/>
        <v/>
      </c>
      <c r="F21" t="str">
        <f>IF(MATRIZ_174!L21="","",MATRIZ_174!L21)</f>
        <v/>
      </c>
      <c r="G21" t="str">
        <f>IFERROR(MATRIZ_174!M21,0)</f>
        <v/>
      </c>
      <c r="H21" t="str">
        <f>IF(NORMALIZADO!CC21="","",NORMALIZADO!CC21)</f>
        <v/>
      </c>
      <c r="I21" t="str">
        <f>IF(NORMALIZADO!CF21="","",NORMALIZADO!CF21)</f>
        <v/>
      </c>
      <c r="J21" t="str">
        <f>IF(NORMALIZADO!CG21="","",NORMALIZADO!CG21)</f>
        <v/>
      </c>
      <c r="K21">
        <f>IFERROR(INDEX(MATRIZ_174!$U:$U,MATCH(A21,MATRIZ_174!$A:$A,0))*100,"")</f>
        <v>100</v>
      </c>
      <c r="L21" t="str">
        <f>IFERROR(MATRIZ_174!O21,0)</f>
        <v/>
      </c>
      <c r="N21" t="str">
        <f>IFERROR(ISCAM_Score!AC22,"")</f>
        <v>⬜  Pendiente de instrumento</v>
      </c>
      <c r="O21" t="s">
        <v>109</v>
      </c>
      <c r="P21" t="str">
        <f>IFERROR(INDEX(MATRIZ_174!$C:$C,MATCH(A21,MATRIZ_174!$A:$A,0)),"")</f>
        <v>UCAYALI</v>
      </c>
    </row>
    <row r="22" spans="1:16" ht="16.05" customHeight="1" x14ac:dyDescent="0.3">
      <c r="A22" t="s">
        <v>117</v>
      </c>
      <c r="B22" t="s">
        <v>118</v>
      </c>
      <c r="C22" s="36" t="str">
        <f>IFERROR(ISCAM_Score!AL23,"—")</f>
        <v>—</v>
      </c>
      <c r="D22" t="str">
        <f t="shared" si="0"/>
        <v>— Sin Inst.2</v>
      </c>
      <c r="E22" t="str">
        <f t="shared" si="1"/>
        <v/>
      </c>
      <c r="F22" t="str">
        <f>IF(MATRIZ_174!L22="","",MATRIZ_174!L22)</f>
        <v/>
      </c>
      <c r="G22" t="str">
        <f>IFERROR(MATRIZ_174!M22,0)</f>
        <v/>
      </c>
      <c r="H22" t="str">
        <f>IF(NORMALIZADO!CC22="","",NORMALIZADO!CC22)</f>
        <v/>
      </c>
      <c r="I22" t="str">
        <f>IF(NORMALIZADO!CF22="","",NORMALIZADO!CF22)</f>
        <v/>
      </c>
      <c r="J22" t="str">
        <f>IF(NORMALIZADO!CG22="","",NORMALIZADO!CG22)</f>
        <v/>
      </c>
      <c r="K22">
        <f>IFERROR(INDEX(MATRIZ_174!$U:$U,MATCH(A22,MATRIZ_174!$A:$A,0))*100,"")</f>
        <v>100</v>
      </c>
      <c r="L22" t="str">
        <f>IFERROR(MATRIZ_174!O22,0)</f>
        <v/>
      </c>
      <c r="N22" t="str">
        <f>IFERROR(ISCAM_Score!AC23,"")</f>
        <v>⬜  Pendiente de instrumento</v>
      </c>
      <c r="O22" t="s">
        <v>119</v>
      </c>
      <c r="P22" t="str">
        <f>IFERROR(INDEX(MATRIZ_174!$C:$C,MATCH(A22,MATRIZ_174!$A:$A,0)),"")</f>
        <v>HUANUCO</v>
      </c>
    </row>
    <row r="23" spans="1:16" ht="16.05" customHeight="1" x14ac:dyDescent="0.3">
      <c r="A23" t="s">
        <v>120</v>
      </c>
      <c r="B23" t="s">
        <v>121</v>
      </c>
      <c r="C23" s="36" t="str">
        <f>IFERROR(ISCAM_Score!AL24,"—")</f>
        <v>—</v>
      </c>
      <c r="D23" t="str">
        <f t="shared" si="0"/>
        <v>— Sin Inst.2</v>
      </c>
      <c r="E23" t="str">
        <f t="shared" si="1"/>
        <v/>
      </c>
      <c r="F23" t="str">
        <f>IF(MATRIZ_174!L23="","",MATRIZ_174!L23)</f>
        <v/>
      </c>
      <c r="G23" t="str">
        <f>IFERROR(MATRIZ_174!M23,0)</f>
        <v/>
      </c>
      <c r="H23" t="str">
        <f>IF(NORMALIZADO!CC23="","",NORMALIZADO!CC23)</f>
        <v/>
      </c>
      <c r="I23" t="str">
        <f>IF(NORMALIZADO!CF23="","",NORMALIZADO!CF23)</f>
        <v/>
      </c>
      <c r="J23" t="str">
        <f>IF(NORMALIZADO!CG23="","",NORMALIZADO!CG23)</f>
        <v/>
      </c>
      <c r="K23">
        <f>IFERROR(INDEX(MATRIZ_174!$U:$U,MATCH(A23,MATRIZ_174!$A:$A,0))*100,"")</f>
        <v>100</v>
      </c>
      <c r="L23" t="str">
        <f>IFERROR(MATRIZ_174!O23,0)</f>
        <v/>
      </c>
      <c r="N23" t="str">
        <f>IFERROR(ISCAM_Score!AC24,"")</f>
        <v>⬜  Pendiente de instrumento</v>
      </c>
      <c r="O23" t="s">
        <v>109</v>
      </c>
      <c r="P23" t="str">
        <f>IFERROR(INDEX(MATRIZ_174!$C:$C,MATCH(A23,MATRIZ_174!$A:$A,0)),"")</f>
        <v>UCAYALI</v>
      </c>
    </row>
    <row r="24" spans="1:16" ht="16.05" customHeight="1" x14ac:dyDescent="0.3">
      <c r="A24" t="s">
        <v>122</v>
      </c>
      <c r="B24" t="s">
        <v>123</v>
      </c>
      <c r="C24" s="36" t="str">
        <f>IFERROR(ISCAM_Score!AL25,"—")</f>
        <v>—</v>
      </c>
      <c r="D24" t="str">
        <f t="shared" si="0"/>
        <v>— Sin Inst.2</v>
      </c>
      <c r="E24" t="str">
        <f t="shared" si="1"/>
        <v/>
      </c>
      <c r="F24" t="str">
        <f>IF(MATRIZ_174!L24="","",MATRIZ_174!L24)</f>
        <v/>
      </c>
      <c r="G24" t="str">
        <f>IFERROR(MATRIZ_174!M24,0)</f>
        <v/>
      </c>
      <c r="H24" t="str">
        <f>IF(NORMALIZADO!CC24="","",NORMALIZADO!CC24)</f>
        <v/>
      </c>
      <c r="I24" t="str">
        <f>IF(NORMALIZADO!CF24="","",NORMALIZADO!CF24)</f>
        <v/>
      </c>
      <c r="J24" t="str">
        <f>IF(NORMALIZADO!CG24="","",NORMALIZADO!CG24)</f>
        <v/>
      </c>
      <c r="K24">
        <f>IFERROR(INDEX(MATRIZ_174!$U:$U,MATCH(A24,MATRIZ_174!$A:$A,0))*100,"")</f>
        <v>100</v>
      </c>
      <c r="L24" t="str">
        <f>IFERROR(MATRIZ_174!O24,0)</f>
        <v/>
      </c>
      <c r="N24" t="str">
        <f>IFERROR(ISCAM_Score!AC25,"")</f>
        <v>⬜  Pendiente de instrumento</v>
      </c>
      <c r="O24" t="s">
        <v>109</v>
      </c>
      <c r="P24" t="str">
        <f>IFERROR(INDEX(MATRIZ_174!$C:$C,MATCH(A24,MATRIZ_174!$A:$A,0)),"")</f>
        <v>UCAYALI</v>
      </c>
    </row>
    <row r="25" spans="1:16" ht="16.05" customHeight="1" x14ac:dyDescent="0.3">
      <c r="A25" t="s">
        <v>125</v>
      </c>
      <c r="B25" t="s">
        <v>126</v>
      </c>
      <c r="C25" s="36" t="str">
        <f>IFERROR(ISCAM_Score!AL26,"—")</f>
        <v>—</v>
      </c>
      <c r="D25" t="str">
        <f t="shared" si="0"/>
        <v>— Sin Inst.2</v>
      </c>
      <c r="E25" t="str">
        <f t="shared" si="1"/>
        <v/>
      </c>
      <c r="F25" t="str">
        <f>IF(MATRIZ_174!L25="","",MATRIZ_174!L25)</f>
        <v/>
      </c>
      <c r="G25" t="str">
        <f>IFERROR(MATRIZ_174!M25,0)</f>
        <v/>
      </c>
      <c r="H25" t="str">
        <f>IF(NORMALIZADO!CC25="","",NORMALIZADO!CC25)</f>
        <v/>
      </c>
      <c r="I25" t="str">
        <f>IF(NORMALIZADO!CF25="","",NORMALIZADO!CF25)</f>
        <v/>
      </c>
      <c r="J25" t="str">
        <f>IF(NORMALIZADO!CG25="","",NORMALIZADO!CG25)</f>
        <v/>
      </c>
      <c r="K25">
        <f>IFERROR(INDEX(MATRIZ_174!$U:$U,MATCH(A25,MATRIZ_174!$A:$A,0))*100,"")</f>
        <v>100</v>
      </c>
      <c r="L25" t="str">
        <f>IFERROR(MATRIZ_174!O25,0)</f>
        <v/>
      </c>
      <c r="N25" t="str">
        <f>IFERROR(ISCAM_Score!AC26,"")</f>
        <v>⬜  Pendiente de instrumento</v>
      </c>
      <c r="O25" t="s">
        <v>109</v>
      </c>
      <c r="P25" t="str">
        <f>IFERROR(INDEX(MATRIZ_174!$C:$C,MATCH(A25,MATRIZ_174!$A:$A,0)),"")</f>
        <v>UCAYALI</v>
      </c>
    </row>
    <row r="26" spans="1:16" ht="16.05" customHeight="1" x14ac:dyDescent="0.3">
      <c r="A26" t="s">
        <v>127</v>
      </c>
      <c r="B26" t="s">
        <v>128</v>
      </c>
      <c r="C26" s="36" t="str">
        <f>IFERROR(ISCAM_Score!AL27,"—")</f>
        <v>—</v>
      </c>
      <c r="D26" t="str">
        <f t="shared" si="0"/>
        <v>— Sin Inst.2</v>
      </c>
      <c r="E26" t="str">
        <f t="shared" si="1"/>
        <v/>
      </c>
      <c r="F26" t="str">
        <f>IF(MATRIZ_174!L26="","",MATRIZ_174!L26)</f>
        <v/>
      </c>
      <c r="G26" t="str">
        <f>IFERROR(MATRIZ_174!M26,0)</f>
        <v/>
      </c>
      <c r="H26" t="str">
        <f>IF(NORMALIZADO!CC26="","",NORMALIZADO!CC26)</f>
        <v/>
      </c>
      <c r="I26" t="str">
        <f>IF(NORMALIZADO!CF26="","",NORMALIZADO!CF26)</f>
        <v/>
      </c>
      <c r="J26" t="str">
        <f>IF(NORMALIZADO!CG26="","",NORMALIZADO!CG26)</f>
        <v/>
      </c>
      <c r="K26">
        <f>IFERROR(INDEX(MATRIZ_174!$U:$U,MATCH(A26,MATRIZ_174!$A:$A,0))*100,"")</f>
        <v>100</v>
      </c>
      <c r="L26" t="str">
        <f>IFERROR(MATRIZ_174!O26,0)</f>
        <v/>
      </c>
      <c r="N26" t="str">
        <f>IFERROR(ISCAM_Score!AC27,"")</f>
        <v>⬜  Pendiente de instrumento</v>
      </c>
      <c r="O26" t="s">
        <v>109</v>
      </c>
      <c r="P26" t="str">
        <f>IFERROR(INDEX(MATRIZ_174!$C:$C,MATCH(A26,MATRIZ_174!$A:$A,0)),"")</f>
        <v>UCAYALI</v>
      </c>
    </row>
    <row r="27" spans="1:16" ht="16.05" customHeight="1" x14ac:dyDescent="0.3">
      <c r="A27" t="s">
        <v>129</v>
      </c>
      <c r="B27" t="s">
        <v>130</v>
      </c>
      <c r="C27" s="36" t="str">
        <f>IFERROR(ISCAM_Score!AL28,"—")</f>
        <v>—</v>
      </c>
      <c r="D27" t="str">
        <f t="shared" si="0"/>
        <v>— Sin Inst.2</v>
      </c>
      <c r="E27" t="str">
        <f t="shared" si="1"/>
        <v/>
      </c>
      <c r="F27" t="str">
        <f>IF(MATRIZ_174!L27="","",MATRIZ_174!L27)</f>
        <v/>
      </c>
      <c r="G27" t="str">
        <f>IFERROR(MATRIZ_174!M27,0)</f>
        <v/>
      </c>
      <c r="H27" t="str">
        <f>IF(NORMALIZADO!CC27="","",NORMALIZADO!CC27)</f>
        <v/>
      </c>
      <c r="I27" t="str">
        <f>IF(NORMALIZADO!CF27="","",NORMALIZADO!CF27)</f>
        <v/>
      </c>
      <c r="J27" t="str">
        <f>IF(NORMALIZADO!CG27="","",NORMALIZADO!CG27)</f>
        <v/>
      </c>
      <c r="K27">
        <f>IFERROR(INDEX(MATRIZ_174!$U:$U,MATCH(A27,MATRIZ_174!$A:$A,0))*100,"")</f>
        <v>100</v>
      </c>
      <c r="L27" t="str">
        <f>IFERROR(MATRIZ_174!O27,0)</f>
        <v/>
      </c>
      <c r="N27" t="str">
        <f>IFERROR(ISCAM_Score!AC28,"")</f>
        <v>⬜  Pendiente de instrumento</v>
      </c>
      <c r="O27" t="s">
        <v>109</v>
      </c>
      <c r="P27" t="str">
        <f>IFERROR(INDEX(MATRIZ_174!$C:$C,MATCH(A27,MATRIZ_174!$A:$A,0)),"")</f>
        <v>UCAYALI</v>
      </c>
    </row>
    <row r="28" spans="1:16" ht="16.05" customHeight="1" x14ac:dyDescent="0.3">
      <c r="A28" t="s">
        <v>131</v>
      </c>
      <c r="B28" t="s">
        <v>132</v>
      </c>
      <c r="C28" s="36" t="str">
        <f>IFERROR(ISCAM_Score!AL29,"—")</f>
        <v>—</v>
      </c>
      <c r="D28" t="str">
        <f t="shared" si="0"/>
        <v>— Sin Inst.2</v>
      </c>
      <c r="E28" t="str">
        <f t="shared" si="1"/>
        <v/>
      </c>
      <c r="F28" t="str">
        <f>IF(MATRIZ_174!L28="","",MATRIZ_174!L28)</f>
        <v/>
      </c>
      <c r="G28" t="str">
        <f>IFERROR(MATRIZ_174!M28,0)</f>
        <v/>
      </c>
      <c r="H28" t="str">
        <f>IF(NORMALIZADO!CC28="","",NORMALIZADO!CC28)</f>
        <v/>
      </c>
      <c r="I28" t="str">
        <f>IF(NORMALIZADO!CF28="","",NORMALIZADO!CF28)</f>
        <v/>
      </c>
      <c r="J28" t="str">
        <f>IF(NORMALIZADO!CG28="","",NORMALIZADO!CG28)</f>
        <v/>
      </c>
      <c r="K28">
        <f>IFERROR(INDEX(MATRIZ_174!$U:$U,MATCH(A28,MATRIZ_174!$A:$A,0))*100,"")</f>
        <v>100</v>
      </c>
      <c r="L28" t="str">
        <f>IFERROR(MATRIZ_174!O28,0)</f>
        <v/>
      </c>
      <c r="N28" t="str">
        <f>IFERROR(ISCAM_Score!AC29,"")</f>
        <v>⬜  Pendiente de instrumento</v>
      </c>
      <c r="O28" t="s">
        <v>109</v>
      </c>
      <c r="P28" t="str">
        <f>IFERROR(INDEX(MATRIZ_174!$C:$C,MATCH(A28,MATRIZ_174!$A:$A,0)),"")</f>
        <v>UCAYALI</v>
      </c>
    </row>
    <row r="29" spans="1:16" ht="16.05" customHeight="1" x14ac:dyDescent="0.3">
      <c r="A29" t="s">
        <v>133</v>
      </c>
      <c r="B29" t="s">
        <v>134</v>
      </c>
      <c r="C29" s="36" t="str">
        <f>IFERROR(ISCAM_Score!AL30,"—")</f>
        <v>—</v>
      </c>
      <c r="D29" t="str">
        <f t="shared" si="0"/>
        <v>— Sin Inst.2</v>
      </c>
      <c r="E29" t="str">
        <f t="shared" si="1"/>
        <v/>
      </c>
      <c r="F29" t="str">
        <f>IF(MATRIZ_174!L29="","",MATRIZ_174!L29)</f>
        <v/>
      </c>
      <c r="G29" t="str">
        <f>IFERROR(MATRIZ_174!M29,0)</f>
        <v/>
      </c>
      <c r="H29" t="str">
        <f>IF(NORMALIZADO!CC29="","",NORMALIZADO!CC29)</f>
        <v/>
      </c>
      <c r="I29" t="str">
        <f>IF(NORMALIZADO!CF29="","",NORMALIZADO!CF29)</f>
        <v/>
      </c>
      <c r="J29" t="str">
        <f>IF(NORMALIZADO!CG29="","",NORMALIZADO!CG29)</f>
        <v/>
      </c>
      <c r="K29">
        <f>IFERROR(INDEX(MATRIZ_174!$U:$U,MATCH(A29,MATRIZ_174!$A:$A,0))*100,"")</f>
        <v>100</v>
      </c>
      <c r="L29" t="str">
        <f>IFERROR(MATRIZ_174!O29,0)</f>
        <v/>
      </c>
      <c r="N29" t="str">
        <f>IFERROR(ISCAM_Score!AC30,"")</f>
        <v>⬜  Pendiente de instrumento</v>
      </c>
      <c r="O29" t="s">
        <v>109</v>
      </c>
      <c r="P29" t="str">
        <f>IFERROR(INDEX(MATRIZ_174!$C:$C,MATCH(A29,MATRIZ_174!$A:$A,0)),"")</f>
        <v>UCAYALI</v>
      </c>
    </row>
    <row r="30" spans="1:16" ht="16.05" customHeight="1" x14ac:dyDescent="0.3">
      <c r="A30" t="s">
        <v>135</v>
      </c>
      <c r="B30" t="s">
        <v>136</v>
      </c>
      <c r="C30" s="36" t="str">
        <f>IFERROR(ISCAM_Score!AL31,"—")</f>
        <v>—</v>
      </c>
      <c r="D30" t="str">
        <f t="shared" si="0"/>
        <v>— Sin Inst.2</v>
      </c>
      <c r="E30" t="str">
        <f t="shared" si="1"/>
        <v/>
      </c>
      <c r="F30" t="str">
        <f>IF(MATRIZ_174!L30="","",MATRIZ_174!L30)</f>
        <v/>
      </c>
      <c r="G30" t="str">
        <f>IFERROR(MATRIZ_174!M30,0)</f>
        <v/>
      </c>
      <c r="H30" t="str">
        <f>IF(NORMALIZADO!CC30="","",NORMALIZADO!CC30)</f>
        <v/>
      </c>
      <c r="I30" t="str">
        <f>IF(NORMALIZADO!CF30="","",NORMALIZADO!CF30)</f>
        <v/>
      </c>
      <c r="J30" t="str">
        <f>IF(NORMALIZADO!CG30="","",NORMALIZADO!CG30)</f>
        <v/>
      </c>
      <c r="K30">
        <f>IFERROR(INDEX(MATRIZ_174!$U:$U,MATCH(A30,MATRIZ_174!$A:$A,0))*100,"")</f>
        <v>100</v>
      </c>
      <c r="L30" t="str">
        <f>IFERROR(MATRIZ_174!O30,0)</f>
        <v/>
      </c>
      <c r="N30" t="str">
        <f>IFERROR(ISCAM_Score!AC31,"")</f>
        <v>⬜  Pendiente de instrumento</v>
      </c>
      <c r="O30" t="s">
        <v>64</v>
      </c>
      <c r="P30" t="str">
        <f>IFERROR(INDEX(MATRIZ_174!$C:$C,MATCH(A30,MATRIZ_174!$A:$A,0)),"")</f>
        <v>PUNO</v>
      </c>
    </row>
    <row r="31" spans="1:16" ht="16.05" customHeight="1" x14ac:dyDescent="0.3">
      <c r="A31" t="s">
        <v>137</v>
      </c>
      <c r="B31" t="s">
        <v>138</v>
      </c>
      <c r="C31" s="36" t="str">
        <f>IFERROR(ISCAM_Score!AL32,"—")</f>
        <v>—</v>
      </c>
      <c r="D31" t="str">
        <f t="shared" si="0"/>
        <v>— Sin Inst.2</v>
      </c>
      <c r="E31" t="str">
        <f t="shared" si="1"/>
        <v/>
      </c>
      <c r="F31" t="str">
        <f>IF(MATRIZ_174!L31="","",MATRIZ_174!L31)</f>
        <v/>
      </c>
      <c r="G31" t="str">
        <f>IFERROR(MATRIZ_174!M31,0)</f>
        <v/>
      </c>
      <c r="H31" t="str">
        <f>IF(NORMALIZADO!CC31="","",NORMALIZADO!CC31)</f>
        <v/>
      </c>
      <c r="I31" t="str">
        <f>IF(NORMALIZADO!CF31="","",NORMALIZADO!CF31)</f>
        <v/>
      </c>
      <c r="J31" t="str">
        <f>IF(NORMALIZADO!CG31="","",NORMALIZADO!CG31)</f>
        <v/>
      </c>
      <c r="K31">
        <f>IFERROR(INDEX(MATRIZ_174!$U:$U,MATCH(A31,MATRIZ_174!$A:$A,0))*100,"")</f>
        <v>100</v>
      </c>
      <c r="L31" t="str">
        <f>IFERROR(MATRIZ_174!O31,0)</f>
        <v/>
      </c>
      <c r="N31" t="str">
        <f>IFERROR(ISCAM_Score!AC32,"")</f>
        <v>⬜  Pendiente de instrumento</v>
      </c>
      <c r="O31" t="s">
        <v>139</v>
      </c>
      <c r="P31" t="str">
        <f>IFERROR(INDEX(MATRIZ_174!$C:$C,MATCH(A31,MATRIZ_174!$A:$A,0)),"")</f>
        <v>SAN MARTIN</v>
      </c>
    </row>
    <row r="32" spans="1:16" ht="16.05" customHeight="1" x14ac:dyDescent="0.3">
      <c r="A32" t="s">
        <v>140</v>
      </c>
      <c r="B32" t="s">
        <v>141</v>
      </c>
      <c r="C32" s="36" t="str">
        <f>IFERROR(ISCAM_Score!AL33,"—")</f>
        <v>—</v>
      </c>
      <c r="D32" t="str">
        <f t="shared" si="0"/>
        <v>— Sin Inst.2</v>
      </c>
      <c r="E32" t="str">
        <f t="shared" si="1"/>
        <v/>
      </c>
      <c r="F32" t="str">
        <f>IF(MATRIZ_174!L32="","",MATRIZ_174!L32)</f>
        <v/>
      </c>
      <c r="G32" t="str">
        <f>IFERROR(MATRIZ_174!M32,0)</f>
        <v/>
      </c>
      <c r="H32" t="str">
        <f>IF(NORMALIZADO!CC32="","",NORMALIZADO!CC32)</f>
        <v/>
      </c>
      <c r="I32" t="str">
        <f>IF(NORMALIZADO!CF32="","",NORMALIZADO!CF32)</f>
        <v/>
      </c>
      <c r="J32" t="str">
        <f>IF(NORMALIZADO!CG32="","",NORMALIZADO!CG32)</f>
        <v/>
      </c>
      <c r="K32">
        <f>IFERROR(INDEX(MATRIZ_174!$U:$U,MATCH(A32,MATRIZ_174!$A:$A,0))*100,"")</f>
        <v>100</v>
      </c>
      <c r="L32" t="str">
        <f>IFERROR(MATRIZ_174!O32,0)</f>
        <v/>
      </c>
      <c r="N32" t="str">
        <f>IFERROR(ISCAM_Score!AC33,"")</f>
        <v>⬜  Pendiente de instrumento</v>
      </c>
      <c r="O32" t="s">
        <v>139</v>
      </c>
      <c r="P32" t="str">
        <f>IFERROR(INDEX(MATRIZ_174!$C:$C,MATCH(A32,MATRIZ_174!$A:$A,0)),"")</f>
        <v>SAN MARTIN</v>
      </c>
    </row>
    <row r="33" spans="1:16" ht="16.05" customHeight="1" x14ac:dyDescent="0.3">
      <c r="A33" t="s">
        <v>142</v>
      </c>
      <c r="B33" t="s">
        <v>143</v>
      </c>
      <c r="C33" s="36" t="str">
        <f>IFERROR(ISCAM_Score!AL34,"—")</f>
        <v>—</v>
      </c>
      <c r="D33" t="str">
        <f t="shared" si="0"/>
        <v>— Sin Inst.2</v>
      </c>
      <c r="E33" t="str">
        <f t="shared" si="1"/>
        <v/>
      </c>
      <c r="F33" t="str">
        <f>IF(MATRIZ_174!L33="","",MATRIZ_174!L33)</f>
        <v/>
      </c>
      <c r="G33" t="str">
        <f>IFERROR(MATRIZ_174!M33,0)</f>
        <v/>
      </c>
      <c r="H33" t="str">
        <f>IF(NORMALIZADO!CC33="","",NORMALIZADO!CC33)</f>
        <v/>
      </c>
      <c r="I33" t="str">
        <f>IF(NORMALIZADO!CF33="","",NORMALIZADO!CF33)</f>
        <v/>
      </c>
      <c r="J33" t="str">
        <f>IF(NORMALIZADO!CG33="","",NORMALIZADO!CG33)</f>
        <v/>
      </c>
      <c r="K33">
        <f>IFERROR(INDEX(MATRIZ_174!$U:$U,MATCH(A33,MATRIZ_174!$A:$A,0))*100,"")</f>
        <v>100</v>
      </c>
      <c r="L33" t="str">
        <f>IFERROR(MATRIZ_174!O33,0)</f>
        <v/>
      </c>
      <c r="N33" t="str">
        <f>IFERROR(ISCAM_Score!AC34,"")</f>
        <v>⬜  Pendiente de instrumento</v>
      </c>
      <c r="O33" t="s">
        <v>139</v>
      </c>
      <c r="P33" t="str">
        <f>IFERROR(INDEX(MATRIZ_174!$C:$C,MATCH(A33,MATRIZ_174!$A:$A,0)),"")</f>
        <v>SAN MARTIN</v>
      </c>
    </row>
    <row r="34" spans="1:16" ht="16.05" customHeight="1" x14ac:dyDescent="0.3">
      <c r="A34" t="s">
        <v>144</v>
      </c>
      <c r="B34" t="s">
        <v>145</v>
      </c>
      <c r="C34" s="36" t="str">
        <f>IFERROR(ISCAM_Score!AL35,"—")</f>
        <v>—</v>
      </c>
      <c r="D34" t="str">
        <f t="shared" si="0"/>
        <v>— Sin Inst.2</v>
      </c>
      <c r="E34" t="str">
        <f t="shared" si="1"/>
        <v/>
      </c>
      <c r="F34" t="str">
        <f>IF(MATRIZ_174!L34="","",MATRIZ_174!L34)</f>
        <v/>
      </c>
      <c r="G34" t="str">
        <f>IFERROR(MATRIZ_174!M34,0)</f>
        <v/>
      </c>
      <c r="H34" t="str">
        <f>IF(NORMALIZADO!CC34="","",NORMALIZADO!CC34)</f>
        <v/>
      </c>
      <c r="I34" t="str">
        <f>IF(NORMALIZADO!CF34="","",NORMALIZADO!CF34)</f>
        <v/>
      </c>
      <c r="J34" t="str">
        <f>IF(NORMALIZADO!CG34="","",NORMALIZADO!CG34)</f>
        <v/>
      </c>
      <c r="K34">
        <f>IFERROR(INDEX(MATRIZ_174!$U:$U,MATCH(A34,MATRIZ_174!$A:$A,0))*100,"")</f>
        <v>100</v>
      </c>
      <c r="L34" t="str">
        <f>IFERROR(MATRIZ_174!O34,0)</f>
        <v/>
      </c>
      <c r="N34" t="str">
        <f>IFERROR(ISCAM_Score!AC35,"")</f>
        <v>⬜  Pendiente de instrumento</v>
      </c>
      <c r="O34" t="s">
        <v>139</v>
      </c>
      <c r="P34" t="str">
        <f>IFERROR(INDEX(MATRIZ_174!$C:$C,MATCH(A34,MATRIZ_174!$A:$A,0)),"")</f>
        <v>SAN MARTIN</v>
      </c>
    </row>
    <row r="35" spans="1:16" ht="16.05" customHeight="1" x14ac:dyDescent="0.3">
      <c r="A35" t="s">
        <v>146</v>
      </c>
      <c r="B35" t="s">
        <v>147</v>
      </c>
      <c r="C35" s="36" t="str">
        <f>IFERROR(ISCAM_Score!AL36,"—")</f>
        <v>—</v>
      </c>
      <c r="D35" t="str">
        <f t="shared" ref="D35:D66" si="2">IF(C35="—","— Sin Inst.2",IF(C35&lt;34,"🔴  Crítico",IF(C35&lt;67,"🟡  Vulnerable","🟢  Preparado")))</f>
        <v>— Sin Inst.2</v>
      </c>
      <c r="E35" t="str">
        <f t="shared" ref="E35:E66" si="3">IFERROR(RANK(C35,C:C,-1),"")</f>
        <v/>
      </c>
      <c r="F35">
        <f>IF(MATRIZ_174!L35="","",MATRIZ_174!L35)</f>
        <v>965726.35</v>
      </c>
      <c r="G35">
        <f>IFERROR(MATRIZ_174!M35,0)</f>
        <v>50</v>
      </c>
      <c r="H35" t="str">
        <f>IF(NORMALIZADO!CC35="","",NORMALIZADO!CC35)</f>
        <v/>
      </c>
      <c r="I35" t="str">
        <f>IF(NORMALIZADO!CF35="","",NORMALIZADO!CF35)</f>
        <v/>
      </c>
      <c r="J35" t="str">
        <f>IF(NORMALIZADO!CG35="","",NORMALIZADO!CG35)</f>
        <v/>
      </c>
      <c r="K35">
        <f>IFERROR(INDEX(MATRIZ_174!$U:$U,MATCH(A35,MATRIZ_174!$A:$A,0))*100,"")</f>
        <v>100</v>
      </c>
      <c r="L35" t="str">
        <f>IFERROR(MATRIZ_174!O35,0)</f>
        <v/>
      </c>
      <c r="N35" t="str">
        <f>IFERROR(ISCAM_Score!AC36,"")</f>
        <v>⬜  Pendiente de instrumento</v>
      </c>
      <c r="O35" t="s">
        <v>80</v>
      </c>
      <c r="P35" t="str">
        <f>IFERROR(INDEX(MATRIZ_174!$C:$C,MATCH(A35,MATRIZ_174!$A:$A,0)),"")</f>
        <v>CUSCO</v>
      </c>
    </row>
    <row r="36" spans="1:16" ht="16.05" customHeight="1" x14ac:dyDescent="0.3">
      <c r="A36" t="s">
        <v>148</v>
      </c>
      <c r="B36" t="s">
        <v>149</v>
      </c>
      <c r="C36" s="36" t="str">
        <f>IFERROR(ISCAM_Score!AL37,"—")</f>
        <v>—</v>
      </c>
      <c r="D36" t="str">
        <f t="shared" si="2"/>
        <v>— Sin Inst.2</v>
      </c>
      <c r="E36" t="str">
        <f t="shared" si="3"/>
        <v/>
      </c>
      <c r="F36">
        <f>IF(MATRIZ_174!L36="","",MATRIZ_174!L36)</f>
        <v>965167.45</v>
      </c>
      <c r="G36">
        <f>IFERROR(MATRIZ_174!M36,0)</f>
        <v>21.3</v>
      </c>
      <c r="H36" t="str">
        <f>IF(NORMALIZADO!CC36="","",NORMALIZADO!CC36)</f>
        <v/>
      </c>
      <c r="I36" t="str">
        <f>IF(NORMALIZADO!CF36="","",NORMALIZADO!CF36)</f>
        <v/>
      </c>
      <c r="J36" t="str">
        <f>IF(NORMALIZADO!CG36="","",NORMALIZADO!CG36)</f>
        <v/>
      </c>
      <c r="K36">
        <f>IFERROR(INDEX(MATRIZ_174!$U:$U,MATCH(A36,MATRIZ_174!$A:$A,0))*100,"")</f>
        <v>100</v>
      </c>
      <c r="L36">
        <f>IFERROR(MATRIZ_174!O36,0)</f>
        <v>1</v>
      </c>
      <c r="N36" t="str">
        <f>IFERROR(ISCAM_Score!AC37,"")</f>
        <v>⬜  Pendiente de instrumento</v>
      </c>
      <c r="O36" t="s">
        <v>150</v>
      </c>
      <c r="P36" t="str">
        <f>IFERROR(INDEX(MATRIZ_174!$C:$C,MATCH(A36,MATRIZ_174!$A:$A,0)),"")</f>
        <v>CAJAMARCA</v>
      </c>
    </row>
    <row r="37" spans="1:16" ht="16.05" customHeight="1" x14ac:dyDescent="0.3">
      <c r="A37" t="s">
        <v>151</v>
      </c>
      <c r="B37" t="s">
        <v>152</v>
      </c>
      <c r="C37" s="36" t="str">
        <f>IFERROR(ISCAM_Score!AL38,"—")</f>
        <v>—</v>
      </c>
      <c r="D37" t="str">
        <f t="shared" si="2"/>
        <v>— Sin Inst.2</v>
      </c>
      <c r="E37" t="str">
        <f t="shared" si="3"/>
        <v/>
      </c>
      <c r="F37" t="str">
        <f>IF(MATRIZ_174!L37="","",MATRIZ_174!L37)</f>
        <v/>
      </c>
      <c r="G37" t="str">
        <f>IFERROR(MATRIZ_174!M37,0)</f>
        <v/>
      </c>
      <c r="H37" t="str">
        <f>IF(NORMALIZADO!CC37="","",NORMALIZADO!CC37)</f>
        <v/>
      </c>
      <c r="I37" t="str">
        <f>IF(NORMALIZADO!CF37="","",NORMALIZADO!CF37)</f>
        <v/>
      </c>
      <c r="J37" t="str">
        <f>IF(NORMALIZADO!CG37="","",NORMALIZADO!CG37)</f>
        <v/>
      </c>
      <c r="K37">
        <f>IFERROR(INDEX(MATRIZ_174!$U:$U,MATCH(A37,MATRIZ_174!$A:$A,0))*100,"")</f>
        <v>100</v>
      </c>
      <c r="L37" t="str">
        <f>IFERROR(MATRIZ_174!O37,0)</f>
        <v/>
      </c>
      <c r="N37" t="str">
        <f>IFERROR(ISCAM_Score!AC38,"")</f>
        <v>⬜  Pendiente de instrumento</v>
      </c>
      <c r="O37" t="s">
        <v>112</v>
      </c>
      <c r="P37" t="str">
        <f>IFERROR(INDEX(MATRIZ_174!$C:$C,MATCH(A37,MATRIZ_174!$A:$A,0)),"")</f>
        <v>AMAZONAS</v>
      </c>
    </row>
    <row r="38" spans="1:16" ht="16.05" customHeight="1" x14ac:dyDescent="0.3">
      <c r="A38" t="s">
        <v>153</v>
      </c>
      <c r="B38" t="s">
        <v>154</v>
      </c>
      <c r="C38" s="36" t="str">
        <f>IFERROR(ISCAM_Score!AL39,"—")</f>
        <v>—</v>
      </c>
      <c r="D38" t="str">
        <f t="shared" si="2"/>
        <v>— Sin Inst.2</v>
      </c>
      <c r="E38" t="str">
        <f t="shared" si="3"/>
        <v/>
      </c>
      <c r="F38" t="str">
        <f>IF(MATRIZ_174!L38="","",MATRIZ_174!L38)</f>
        <v/>
      </c>
      <c r="G38" t="str">
        <f>IFERROR(MATRIZ_174!M38,0)</f>
        <v/>
      </c>
      <c r="H38" t="str">
        <f>IF(NORMALIZADO!CC38="","",NORMALIZADO!CC38)</f>
        <v/>
      </c>
      <c r="I38" t="str">
        <f>IF(NORMALIZADO!CF38="","",NORMALIZADO!CF38)</f>
        <v/>
      </c>
      <c r="J38" t="str">
        <f>IF(NORMALIZADO!CG38="","",NORMALIZADO!CG38)</f>
        <v/>
      </c>
      <c r="K38">
        <f>IFERROR(INDEX(MATRIZ_174!$U:$U,MATCH(A38,MATRIZ_174!$A:$A,0))*100,"")</f>
        <v>100</v>
      </c>
      <c r="L38" t="str">
        <f>IFERROR(MATRIZ_174!O38,0)</f>
        <v/>
      </c>
      <c r="N38" t="str">
        <f>IFERROR(ISCAM_Score!AC39,"")</f>
        <v>⬜  Pendiente de instrumento</v>
      </c>
      <c r="O38" t="s">
        <v>112</v>
      </c>
      <c r="P38" t="str">
        <f>IFERROR(INDEX(MATRIZ_174!$C:$C,MATCH(A38,MATRIZ_174!$A:$A,0)),"")</f>
        <v>AMAZONAS</v>
      </c>
    </row>
    <row r="39" spans="1:16" ht="16.05" customHeight="1" x14ac:dyDescent="0.3">
      <c r="A39" t="s">
        <v>155</v>
      </c>
      <c r="B39" t="s">
        <v>156</v>
      </c>
      <c r="C39" s="36" t="str">
        <f>IFERROR(ISCAM_Score!AL40,"—")</f>
        <v>—</v>
      </c>
      <c r="D39" t="str">
        <f t="shared" si="2"/>
        <v>— Sin Inst.2</v>
      </c>
      <c r="E39" t="str">
        <f t="shared" si="3"/>
        <v/>
      </c>
      <c r="F39">
        <f>IF(MATRIZ_174!L39="","",MATRIZ_174!L39)</f>
        <v>587607.64</v>
      </c>
      <c r="G39">
        <f>IFERROR(MATRIZ_174!M39,0)</f>
        <v>50</v>
      </c>
      <c r="H39" t="str">
        <f>IF(NORMALIZADO!CC39="","",NORMALIZADO!CC39)</f>
        <v/>
      </c>
      <c r="I39" t="str">
        <f>IF(NORMALIZADO!CF39="","",NORMALIZADO!CF39)</f>
        <v/>
      </c>
      <c r="J39" t="str">
        <f>IF(NORMALIZADO!CG39="","",NORMALIZADO!CG39)</f>
        <v/>
      </c>
      <c r="K39">
        <f>IFERROR(INDEX(MATRIZ_174!$U:$U,MATCH(A39,MATRIZ_174!$A:$A,0))*100,"")</f>
        <v>100</v>
      </c>
      <c r="L39" t="str">
        <f>IFERROR(MATRIZ_174!O39,0)</f>
        <v/>
      </c>
      <c r="N39" t="str">
        <f>IFERROR(ISCAM_Score!AC40,"")</f>
        <v>⬜  Pendiente de instrumento</v>
      </c>
      <c r="O39" t="s">
        <v>112</v>
      </c>
      <c r="P39" t="str">
        <f>IFERROR(INDEX(MATRIZ_174!$C:$C,MATCH(A39,MATRIZ_174!$A:$A,0)),"")</f>
        <v>AMAZONAS</v>
      </c>
    </row>
    <row r="40" spans="1:16" ht="16.05" customHeight="1" x14ac:dyDescent="0.3">
      <c r="A40" t="s">
        <v>157</v>
      </c>
      <c r="B40" t="s">
        <v>158</v>
      </c>
      <c r="C40" s="36" t="str">
        <f>IFERROR(ISCAM_Score!AL41,"—")</f>
        <v>—</v>
      </c>
      <c r="D40" t="str">
        <f t="shared" si="2"/>
        <v>— Sin Inst.2</v>
      </c>
      <c r="E40" t="str">
        <f t="shared" si="3"/>
        <v/>
      </c>
      <c r="F40">
        <f>IF(MATRIZ_174!L40="","",MATRIZ_174!L40)</f>
        <v>842214.99</v>
      </c>
      <c r="G40">
        <f>IFERROR(MATRIZ_174!M40,0)</f>
        <v>50</v>
      </c>
      <c r="H40" t="str">
        <f>IF(NORMALIZADO!CC40="","",NORMALIZADO!CC40)</f>
        <v/>
      </c>
      <c r="I40" t="str">
        <f>IF(NORMALIZADO!CF40="","",NORMALIZADO!CF40)</f>
        <v/>
      </c>
      <c r="J40" t="str">
        <f>IF(NORMALIZADO!CG40="","",NORMALIZADO!CG40)</f>
        <v/>
      </c>
      <c r="K40">
        <f>IFERROR(INDEX(MATRIZ_174!$U:$U,MATCH(A40,MATRIZ_174!$A:$A,0))*100,"")</f>
        <v>100</v>
      </c>
      <c r="L40" t="str">
        <f>IFERROR(MATRIZ_174!O40,0)</f>
        <v/>
      </c>
      <c r="N40" t="str">
        <f>IFERROR(ISCAM_Score!AC41,"")</f>
        <v>⬜  Pendiente de instrumento</v>
      </c>
      <c r="O40" t="s">
        <v>112</v>
      </c>
      <c r="P40" t="str">
        <f>IFERROR(INDEX(MATRIZ_174!$C:$C,MATCH(A40,MATRIZ_174!$A:$A,0)),"")</f>
        <v>AMAZONAS</v>
      </c>
    </row>
    <row r="41" spans="1:16" ht="16.05" customHeight="1" x14ac:dyDescent="0.3">
      <c r="A41" t="s">
        <v>159</v>
      </c>
      <c r="B41" t="s">
        <v>160</v>
      </c>
      <c r="C41" s="36" t="str">
        <f>IFERROR(ISCAM_Score!AL42,"—")</f>
        <v>—</v>
      </c>
      <c r="D41" t="str">
        <f t="shared" si="2"/>
        <v>— Sin Inst.2</v>
      </c>
      <c r="E41" t="str">
        <f t="shared" si="3"/>
        <v/>
      </c>
      <c r="F41" t="str">
        <f>IF(MATRIZ_174!L41="","",MATRIZ_174!L41)</f>
        <v/>
      </c>
      <c r="G41" t="str">
        <f>IFERROR(MATRIZ_174!M41,0)</f>
        <v/>
      </c>
      <c r="H41" t="str">
        <f>IF(NORMALIZADO!CC41="","",NORMALIZADO!CC41)</f>
        <v/>
      </c>
      <c r="I41" t="str">
        <f>IF(NORMALIZADO!CF41="","",NORMALIZADO!CF41)</f>
        <v/>
      </c>
      <c r="J41" t="str">
        <f>IF(NORMALIZADO!CG41="","",NORMALIZADO!CG41)</f>
        <v/>
      </c>
      <c r="K41">
        <f>IFERROR(INDEX(MATRIZ_174!$U:$U,MATCH(A41,MATRIZ_174!$A:$A,0))*100,"")</f>
        <v>100</v>
      </c>
      <c r="L41" t="str">
        <f>IFERROR(MATRIZ_174!O41,0)</f>
        <v/>
      </c>
      <c r="N41" t="str">
        <f>IFERROR(ISCAM_Score!AC42,"")</f>
        <v>⬜  Pendiente de instrumento</v>
      </c>
      <c r="O41" t="s">
        <v>112</v>
      </c>
      <c r="P41" t="str">
        <f>IFERROR(INDEX(MATRIZ_174!$C:$C,MATCH(A41,MATRIZ_174!$A:$A,0)),"")</f>
        <v>AMAZONAS</v>
      </c>
    </row>
    <row r="42" spans="1:16" ht="16.05" customHeight="1" x14ac:dyDescent="0.3">
      <c r="A42" t="s">
        <v>161</v>
      </c>
      <c r="B42" t="s">
        <v>162</v>
      </c>
      <c r="C42" s="36" t="str">
        <f>IFERROR(ISCAM_Score!AL43,"—")</f>
        <v>—</v>
      </c>
      <c r="D42" t="str">
        <f t="shared" si="2"/>
        <v>— Sin Inst.2</v>
      </c>
      <c r="E42" t="str">
        <f t="shared" si="3"/>
        <v/>
      </c>
      <c r="F42">
        <f>IF(MATRIZ_174!L42="","",MATRIZ_174!L42)</f>
        <v>408500</v>
      </c>
      <c r="G42">
        <f>IFERROR(MATRIZ_174!M42,0)</f>
        <v>50</v>
      </c>
      <c r="H42" t="str">
        <f>IF(NORMALIZADO!CC42="","",NORMALIZADO!CC42)</f>
        <v/>
      </c>
      <c r="I42" t="str">
        <f>IF(NORMALIZADO!CF42="","",NORMALIZADO!CF42)</f>
        <v/>
      </c>
      <c r="J42" t="str">
        <f>IF(NORMALIZADO!CG42="","",NORMALIZADO!CG42)</f>
        <v/>
      </c>
      <c r="K42">
        <f>IFERROR(INDEX(MATRIZ_174!$U:$U,MATCH(A42,MATRIZ_174!$A:$A,0))*100,"")</f>
        <v>100</v>
      </c>
      <c r="L42" t="str">
        <f>IFERROR(MATRIZ_174!O42,0)</f>
        <v/>
      </c>
      <c r="N42" t="str">
        <f>IFERROR(ISCAM_Score!AC43,"")</f>
        <v>⬜  Pendiente de instrumento</v>
      </c>
      <c r="O42" t="s">
        <v>103</v>
      </c>
      <c r="P42" t="str">
        <f>IFERROR(INDEX(MATRIZ_174!$C:$C,MATCH(A42,MATRIZ_174!$A:$A,0)),"")</f>
        <v>PIURA</v>
      </c>
    </row>
    <row r="43" spans="1:16" ht="16.05" customHeight="1" x14ac:dyDescent="0.3">
      <c r="A43" t="s">
        <v>163</v>
      </c>
      <c r="B43" t="s">
        <v>164</v>
      </c>
      <c r="C43" s="36" t="str">
        <f>IFERROR(ISCAM_Score!AL44,"—")</f>
        <v>—</v>
      </c>
      <c r="D43" t="str">
        <f t="shared" si="2"/>
        <v>— Sin Inst.2</v>
      </c>
      <c r="E43" t="str">
        <f t="shared" si="3"/>
        <v/>
      </c>
      <c r="F43" t="str">
        <f>IF(MATRIZ_174!L43="","",MATRIZ_174!L43)</f>
        <v/>
      </c>
      <c r="G43" t="str">
        <f>IFERROR(MATRIZ_174!M43,0)</f>
        <v/>
      </c>
      <c r="H43" t="str">
        <f>IF(NORMALIZADO!CC43="","",NORMALIZADO!CC43)</f>
        <v/>
      </c>
      <c r="I43" t="str">
        <f>IF(NORMALIZADO!CF43="","",NORMALIZADO!CF43)</f>
        <v/>
      </c>
      <c r="J43" t="str">
        <f>IF(NORMALIZADO!CG43="","",NORMALIZADO!CG43)</f>
        <v/>
      </c>
      <c r="K43">
        <f>IFERROR(INDEX(MATRIZ_174!$U:$U,MATCH(A43,MATRIZ_174!$A:$A,0))*100,"")</f>
        <v>100</v>
      </c>
      <c r="L43" t="str">
        <f>IFERROR(MATRIZ_174!O43,0)</f>
        <v/>
      </c>
      <c r="N43" t="str">
        <f>IFERROR(ISCAM_Score!AC44,"")</f>
        <v>⬜  Pendiente de instrumento</v>
      </c>
      <c r="O43" t="s">
        <v>77</v>
      </c>
      <c r="P43" t="str">
        <f>IFERROR(INDEX(MATRIZ_174!$C:$C,MATCH(A43,MATRIZ_174!$A:$A,0)),"")</f>
        <v>JUNIN</v>
      </c>
    </row>
    <row r="44" spans="1:16" ht="16.05" customHeight="1" x14ac:dyDescent="0.3">
      <c r="A44" t="s">
        <v>165</v>
      </c>
      <c r="B44" t="s">
        <v>166</v>
      </c>
      <c r="C44" s="36" t="str">
        <f>IFERROR(ISCAM_Score!AL45,"—")</f>
        <v>—</v>
      </c>
      <c r="D44" t="str">
        <f t="shared" si="2"/>
        <v>— Sin Inst.2</v>
      </c>
      <c r="E44" t="str">
        <f t="shared" si="3"/>
        <v/>
      </c>
      <c r="F44" t="str">
        <f>IF(MATRIZ_174!L44="","",MATRIZ_174!L44)</f>
        <v/>
      </c>
      <c r="G44" t="str">
        <f>IFERROR(MATRIZ_174!M44,0)</f>
        <v/>
      </c>
      <c r="H44" t="str">
        <f>IF(NORMALIZADO!CC44="","",NORMALIZADO!CC44)</f>
        <v/>
      </c>
      <c r="I44" t="str">
        <f>IF(NORMALIZADO!CF44="","",NORMALIZADO!CF44)</f>
        <v/>
      </c>
      <c r="J44" t="str">
        <f>IF(NORMALIZADO!CG44="","",NORMALIZADO!CG44)</f>
        <v/>
      </c>
      <c r="K44">
        <f>IFERROR(INDEX(MATRIZ_174!$U:$U,MATCH(A44,MATRIZ_174!$A:$A,0))*100,"")</f>
        <v>100</v>
      </c>
      <c r="L44" t="str">
        <f>IFERROR(MATRIZ_174!O44,0)</f>
        <v/>
      </c>
      <c r="N44" t="str">
        <f>IFERROR(ISCAM_Score!AC45,"")</f>
        <v>⬜  Pendiente de instrumento</v>
      </c>
      <c r="O44" t="s">
        <v>77</v>
      </c>
      <c r="P44" t="str">
        <f>IFERROR(INDEX(MATRIZ_174!$C:$C,MATCH(A44,MATRIZ_174!$A:$A,0)),"")</f>
        <v>JUNIN</v>
      </c>
    </row>
    <row r="45" spans="1:16" ht="16.05" customHeight="1" x14ac:dyDescent="0.3">
      <c r="A45" t="s">
        <v>167</v>
      </c>
      <c r="B45" t="s">
        <v>168</v>
      </c>
      <c r="C45" s="36" t="str">
        <f>IFERROR(ISCAM_Score!AL46,"—")</f>
        <v>—</v>
      </c>
      <c r="D45" t="str">
        <f t="shared" si="2"/>
        <v>— Sin Inst.2</v>
      </c>
      <c r="E45" t="str">
        <f t="shared" si="3"/>
        <v/>
      </c>
      <c r="F45">
        <f>IF(MATRIZ_174!L45="","",MATRIZ_174!L45)</f>
        <v>6603846.0300000003</v>
      </c>
      <c r="G45">
        <f>IFERROR(MATRIZ_174!M45,0)</f>
        <v>50</v>
      </c>
      <c r="H45" t="str">
        <f>IF(NORMALIZADO!CC45="","",NORMALIZADO!CC45)</f>
        <v/>
      </c>
      <c r="I45" t="str">
        <f>IF(NORMALIZADO!CF45="","",NORMALIZADO!CF45)</f>
        <v/>
      </c>
      <c r="J45" t="str">
        <f>IF(NORMALIZADO!CG45="","",NORMALIZADO!CG45)</f>
        <v/>
      </c>
      <c r="K45">
        <f>IFERROR(INDEX(MATRIZ_174!$U:$U,MATCH(A45,MATRIZ_174!$A:$A,0))*100,"")</f>
        <v>100</v>
      </c>
      <c r="L45" t="str">
        <f>IFERROR(MATRIZ_174!O45,0)</f>
        <v/>
      </c>
      <c r="N45" t="str">
        <f>IFERROR(ISCAM_Score!AC46,"")</f>
        <v>⬜  Pendiente de instrumento</v>
      </c>
      <c r="O45" t="s">
        <v>77</v>
      </c>
      <c r="P45" t="str">
        <f>IFERROR(INDEX(MATRIZ_174!$C:$C,MATCH(A45,MATRIZ_174!$A:$A,0)),"")</f>
        <v>JUNIN</v>
      </c>
    </row>
    <row r="46" spans="1:16" ht="16.05" customHeight="1" x14ac:dyDescent="0.3">
      <c r="A46" t="s">
        <v>169</v>
      </c>
      <c r="B46" t="s">
        <v>170</v>
      </c>
      <c r="C46" s="36" t="str">
        <f>IFERROR(ISCAM_Score!AL47,"—")</f>
        <v>—</v>
      </c>
      <c r="D46" t="str">
        <f t="shared" si="2"/>
        <v>— Sin Inst.2</v>
      </c>
      <c r="E46" t="str">
        <f t="shared" si="3"/>
        <v/>
      </c>
      <c r="F46" t="str">
        <f>IF(MATRIZ_174!L46="","",MATRIZ_174!L46)</f>
        <v/>
      </c>
      <c r="G46" t="str">
        <f>IFERROR(MATRIZ_174!M46,0)</f>
        <v/>
      </c>
      <c r="H46" t="str">
        <f>IF(NORMALIZADO!CC46="","",NORMALIZADO!CC46)</f>
        <v/>
      </c>
      <c r="I46" t="str">
        <f>IF(NORMALIZADO!CF46="","",NORMALIZADO!CF46)</f>
        <v/>
      </c>
      <c r="J46" t="str">
        <f>IF(NORMALIZADO!CG46="","",NORMALIZADO!CG46)</f>
        <v/>
      </c>
      <c r="K46">
        <f>IFERROR(INDEX(MATRIZ_174!$U:$U,MATCH(A46,MATRIZ_174!$A:$A,0))*100,"")</f>
        <v>100</v>
      </c>
      <c r="L46" t="str">
        <f>IFERROR(MATRIZ_174!O46,0)</f>
        <v/>
      </c>
      <c r="N46" t="str">
        <f>IFERROR(ISCAM_Score!AC47,"")</f>
        <v>⬜  Pendiente de instrumento</v>
      </c>
      <c r="O46" t="s">
        <v>77</v>
      </c>
      <c r="P46" t="str">
        <f>IFERROR(INDEX(MATRIZ_174!$C:$C,MATCH(A46,MATRIZ_174!$A:$A,0)),"")</f>
        <v>JUNIN</v>
      </c>
    </row>
    <row r="47" spans="1:16" ht="16.05" customHeight="1" x14ac:dyDescent="0.3">
      <c r="A47" t="s">
        <v>171</v>
      </c>
      <c r="B47" t="s">
        <v>172</v>
      </c>
      <c r="C47" s="36" t="str">
        <f>IFERROR(ISCAM_Score!AL48,"—")</f>
        <v>—</v>
      </c>
      <c r="D47" t="str">
        <f t="shared" si="2"/>
        <v>— Sin Inst.2</v>
      </c>
      <c r="E47" t="str">
        <f t="shared" si="3"/>
        <v/>
      </c>
      <c r="F47" t="str">
        <f>IF(MATRIZ_174!L47="","",MATRIZ_174!L47)</f>
        <v/>
      </c>
      <c r="G47" t="str">
        <f>IFERROR(MATRIZ_174!M47,0)</f>
        <v/>
      </c>
      <c r="H47" t="str">
        <f>IF(NORMALIZADO!CC47="","",NORMALIZADO!CC47)</f>
        <v/>
      </c>
      <c r="I47" t="str">
        <f>IF(NORMALIZADO!CF47="","",NORMALIZADO!CF47)</f>
        <v/>
      </c>
      <c r="J47" t="str">
        <f>IF(NORMALIZADO!CG47="","",NORMALIZADO!CG47)</f>
        <v/>
      </c>
      <c r="K47">
        <f>IFERROR(INDEX(MATRIZ_174!$U:$U,MATCH(A47,MATRIZ_174!$A:$A,0))*100,"")</f>
        <v>100</v>
      </c>
      <c r="L47" t="str">
        <f>IFERROR(MATRIZ_174!O47,0)</f>
        <v/>
      </c>
      <c r="N47" t="str">
        <f>IFERROR(ISCAM_Score!AC48,"")</f>
        <v>⬜  Pendiente de instrumento</v>
      </c>
      <c r="O47" t="s">
        <v>77</v>
      </c>
      <c r="P47" t="str">
        <f>IFERROR(INDEX(MATRIZ_174!$C:$C,MATCH(A47,MATRIZ_174!$A:$A,0)),"")</f>
        <v>JUNIN</v>
      </c>
    </row>
    <row r="48" spans="1:16" ht="16.05" customHeight="1" x14ac:dyDescent="0.3">
      <c r="A48" t="s">
        <v>173</v>
      </c>
      <c r="B48" t="s">
        <v>174</v>
      </c>
      <c r="C48" s="36" t="str">
        <f>IFERROR(ISCAM_Score!AL49,"—")</f>
        <v>—</v>
      </c>
      <c r="D48" t="str">
        <f t="shared" si="2"/>
        <v>— Sin Inst.2</v>
      </c>
      <c r="E48" t="str">
        <f t="shared" si="3"/>
        <v/>
      </c>
      <c r="F48">
        <f>IF(MATRIZ_174!L48="","",MATRIZ_174!L48)</f>
        <v>15171146.539999999</v>
      </c>
      <c r="G48">
        <f>IFERROR(MATRIZ_174!M48,0)</f>
        <v>50</v>
      </c>
      <c r="H48" t="str">
        <f>IF(NORMALIZADO!CC48="","",NORMALIZADO!CC48)</f>
        <v/>
      </c>
      <c r="I48" t="str">
        <f>IF(NORMALIZADO!CF48="","",NORMALIZADO!CF48)</f>
        <v/>
      </c>
      <c r="J48" t="str">
        <f>IF(NORMALIZADO!CG48="","",NORMALIZADO!CG48)</f>
        <v/>
      </c>
      <c r="K48">
        <f>IFERROR(INDEX(MATRIZ_174!$U:$U,MATCH(A48,MATRIZ_174!$A:$A,0))*100,"")</f>
        <v>100</v>
      </c>
      <c r="L48" t="str">
        <f>IFERROR(MATRIZ_174!O48,0)</f>
        <v/>
      </c>
      <c r="N48" t="str">
        <f>IFERROR(ISCAM_Score!AC49,"")</f>
        <v>⬜  Pendiente de instrumento</v>
      </c>
      <c r="O48" t="s">
        <v>77</v>
      </c>
      <c r="P48" t="str">
        <f>IFERROR(INDEX(MATRIZ_174!$C:$C,MATCH(A48,MATRIZ_174!$A:$A,0)),"")</f>
        <v>JUNIN</v>
      </c>
    </row>
    <row r="49" spans="1:16" ht="16.05" customHeight="1" x14ac:dyDescent="0.3">
      <c r="A49" t="s">
        <v>175</v>
      </c>
      <c r="B49" t="s">
        <v>176</v>
      </c>
      <c r="C49" s="36" t="str">
        <f>IFERROR(ISCAM_Score!AL50,"—")</f>
        <v>—</v>
      </c>
      <c r="D49" t="str">
        <f t="shared" si="2"/>
        <v>— Sin Inst.2</v>
      </c>
      <c r="E49" t="str">
        <f t="shared" si="3"/>
        <v/>
      </c>
      <c r="F49">
        <f>IF(MATRIZ_174!L49="","",MATRIZ_174!L49)</f>
        <v>1145489.3500000001</v>
      </c>
      <c r="G49">
        <f>IFERROR(MATRIZ_174!M49,0)</f>
        <v>50</v>
      </c>
      <c r="H49" t="str">
        <f>IF(NORMALIZADO!CC49="","",NORMALIZADO!CC49)</f>
        <v/>
      </c>
      <c r="I49" t="str">
        <f>IF(NORMALIZADO!CF49="","",NORMALIZADO!CF49)</f>
        <v/>
      </c>
      <c r="J49" t="str">
        <f>IF(NORMALIZADO!CG49="","",NORMALIZADO!CG49)</f>
        <v/>
      </c>
      <c r="K49">
        <f>IFERROR(INDEX(MATRIZ_174!$U:$U,MATCH(A49,MATRIZ_174!$A:$A,0))*100,"")</f>
        <v>100</v>
      </c>
      <c r="L49" t="str">
        <f>IFERROR(MATRIZ_174!O49,0)</f>
        <v/>
      </c>
      <c r="N49" t="str">
        <f>IFERROR(ISCAM_Score!AC50,"")</f>
        <v>⬜  Pendiente de instrumento</v>
      </c>
      <c r="O49" t="s">
        <v>77</v>
      </c>
      <c r="P49" t="str">
        <f>IFERROR(INDEX(MATRIZ_174!$C:$C,MATCH(A49,MATRIZ_174!$A:$A,0)),"")</f>
        <v>JUNIN</v>
      </c>
    </row>
    <row r="50" spans="1:16" ht="16.05" customHeight="1" x14ac:dyDescent="0.3">
      <c r="A50" t="s">
        <v>177</v>
      </c>
      <c r="B50" t="s">
        <v>178</v>
      </c>
      <c r="C50" s="36" t="str">
        <f>IFERROR(ISCAM_Score!AL51,"—")</f>
        <v>—</v>
      </c>
      <c r="D50" t="str">
        <f t="shared" si="2"/>
        <v>— Sin Inst.2</v>
      </c>
      <c r="E50" t="str">
        <f t="shared" si="3"/>
        <v/>
      </c>
      <c r="F50" t="str">
        <f>IF(MATRIZ_174!L50="","",MATRIZ_174!L50)</f>
        <v/>
      </c>
      <c r="G50" t="str">
        <f>IFERROR(MATRIZ_174!M50,0)</f>
        <v/>
      </c>
      <c r="H50" t="str">
        <f>IF(NORMALIZADO!CC50="","",NORMALIZADO!CC50)</f>
        <v/>
      </c>
      <c r="I50" t="str">
        <f>IF(NORMALIZADO!CF50="","",NORMALIZADO!CF50)</f>
        <v/>
      </c>
      <c r="J50" t="str">
        <f>IF(NORMALIZADO!CG50="","",NORMALIZADO!CG50)</f>
        <v/>
      </c>
      <c r="K50">
        <f>IFERROR(INDEX(MATRIZ_174!$U:$U,MATCH(A50,MATRIZ_174!$A:$A,0))*100,"")</f>
        <v>100</v>
      </c>
      <c r="L50" t="str">
        <f>IFERROR(MATRIZ_174!O50,0)</f>
        <v/>
      </c>
      <c r="N50" t="str">
        <f>IFERROR(ISCAM_Score!AC51,"")</f>
        <v>⬜  Pendiente de instrumento</v>
      </c>
      <c r="O50" t="s">
        <v>179</v>
      </c>
      <c r="P50" t="str">
        <f>IFERROR(INDEX(MATRIZ_174!$C:$C,MATCH(A50,MATRIZ_174!$A:$A,0)),"")</f>
        <v>LAMBAYEQUE</v>
      </c>
    </row>
    <row r="51" spans="1:16" ht="16.05" customHeight="1" x14ac:dyDescent="0.3">
      <c r="A51" t="s">
        <v>180</v>
      </c>
      <c r="B51" t="s">
        <v>181</v>
      </c>
      <c r="C51" s="36" t="str">
        <f>IFERROR(ISCAM_Score!AL52,"—")</f>
        <v>—</v>
      </c>
      <c r="D51" t="str">
        <f t="shared" si="2"/>
        <v>— Sin Inst.2</v>
      </c>
      <c r="E51" t="str">
        <f t="shared" si="3"/>
        <v/>
      </c>
      <c r="F51" t="str">
        <f>IF(MATRIZ_174!L51="","",MATRIZ_174!L51)</f>
        <v/>
      </c>
      <c r="G51" t="str">
        <f>IFERROR(MATRIZ_174!M51,0)</f>
        <v/>
      </c>
      <c r="H51" t="str">
        <f>IF(NORMALIZADO!CC51="","",NORMALIZADO!CC51)</f>
        <v/>
      </c>
      <c r="I51" t="str">
        <f>IF(NORMALIZADO!CF51="","",NORMALIZADO!CF51)</f>
        <v/>
      </c>
      <c r="J51" t="str">
        <f>IF(NORMALIZADO!CG51="","",NORMALIZADO!CG51)</f>
        <v/>
      </c>
      <c r="K51">
        <f>IFERROR(INDEX(MATRIZ_174!$U:$U,MATCH(A51,MATRIZ_174!$A:$A,0))*100,"")</f>
        <v>100</v>
      </c>
      <c r="L51" t="str">
        <f>IFERROR(MATRIZ_174!O51,0)</f>
        <v/>
      </c>
      <c r="N51" t="str">
        <f>IFERROR(ISCAM_Score!AC52,"")</f>
        <v>⬜  Pendiente de instrumento</v>
      </c>
      <c r="O51" t="s">
        <v>150</v>
      </c>
      <c r="P51" t="str">
        <f>IFERROR(INDEX(MATRIZ_174!$C:$C,MATCH(A51,MATRIZ_174!$A:$A,0)),"")</f>
        <v>CAJAMARCA</v>
      </c>
    </row>
    <row r="52" spans="1:16" ht="16.05" customHeight="1" x14ac:dyDescent="0.3">
      <c r="A52" t="s">
        <v>182</v>
      </c>
      <c r="B52" t="s">
        <v>183</v>
      </c>
      <c r="C52" s="36" t="str">
        <f>IFERROR(ISCAM_Score!AL53,"—")</f>
        <v>—</v>
      </c>
      <c r="D52" t="str">
        <f t="shared" si="2"/>
        <v>— Sin Inst.2</v>
      </c>
      <c r="E52" t="str">
        <f t="shared" si="3"/>
        <v/>
      </c>
      <c r="F52" t="str">
        <f>IF(MATRIZ_174!L52="","",MATRIZ_174!L52)</f>
        <v/>
      </c>
      <c r="G52" t="str">
        <f>IFERROR(MATRIZ_174!M52,0)</f>
        <v/>
      </c>
      <c r="H52" t="str">
        <f>IF(NORMALIZADO!CC52="","",NORMALIZADO!CC52)</f>
        <v/>
      </c>
      <c r="I52" t="str">
        <f>IF(NORMALIZADO!CF52="","",NORMALIZADO!CF52)</f>
        <v/>
      </c>
      <c r="J52" t="str">
        <f>IF(NORMALIZADO!CG52="","",NORMALIZADO!CG52)</f>
        <v/>
      </c>
      <c r="K52">
        <f>IFERROR(INDEX(MATRIZ_174!$U:$U,MATCH(A52,MATRIZ_174!$A:$A,0))*100,"")</f>
        <v>100</v>
      </c>
      <c r="L52" t="str">
        <f>IFERROR(MATRIZ_174!O52,0)</f>
        <v/>
      </c>
      <c r="N52" t="str">
        <f>IFERROR(ISCAM_Score!AC53,"")</f>
        <v>⬜  Pendiente de instrumento</v>
      </c>
      <c r="O52" t="s">
        <v>80</v>
      </c>
      <c r="P52" t="str">
        <f>IFERROR(INDEX(MATRIZ_174!$C:$C,MATCH(A52,MATRIZ_174!$A:$A,0)),"")</f>
        <v>CUSCO</v>
      </c>
    </row>
    <row r="53" spans="1:16" ht="16.05" customHeight="1" x14ac:dyDescent="0.3">
      <c r="A53" t="s">
        <v>184</v>
      </c>
      <c r="B53" t="s">
        <v>185</v>
      </c>
      <c r="C53" s="36" t="str">
        <f>IFERROR(ISCAM_Score!AL54,"—")</f>
        <v>—</v>
      </c>
      <c r="D53" t="str">
        <f t="shared" si="2"/>
        <v>— Sin Inst.2</v>
      </c>
      <c r="E53" t="str">
        <f t="shared" si="3"/>
        <v/>
      </c>
      <c r="F53" t="str">
        <f>IF(MATRIZ_174!L53="","",MATRIZ_174!L53)</f>
        <v/>
      </c>
      <c r="G53" t="str">
        <f>IFERROR(MATRIZ_174!M53,0)</f>
        <v/>
      </c>
      <c r="H53" t="str">
        <f>IF(NORMALIZADO!CC53="","",NORMALIZADO!CC53)</f>
        <v/>
      </c>
      <c r="I53" t="str">
        <f>IF(NORMALIZADO!CF53="","",NORMALIZADO!CF53)</f>
        <v/>
      </c>
      <c r="J53" t="str">
        <f>IF(NORMALIZADO!CG53="","",NORMALIZADO!CG53)</f>
        <v/>
      </c>
      <c r="K53">
        <f>IFERROR(INDEX(MATRIZ_174!$U:$U,MATCH(A53,MATRIZ_174!$A:$A,0))*100,"")</f>
        <v>100</v>
      </c>
      <c r="L53" t="str">
        <f>IFERROR(MATRIZ_174!O53,0)</f>
        <v/>
      </c>
      <c r="N53" t="str">
        <f>IFERROR(ISCAM_Score!AC54,"")</f>
        <v>⬜  Pendiente de instrumento</v>
      </c>
      <c r="O53" t="s">
        <v>139</v>
      </c>
      <c r="P53" t="str">
        <f>IFERROR(INDEX(MATRIZ_174!$C:$C,MATCH(A53,MATRIZ_174!$A:$A,0)),"")</f>
        <v>SAN MARTIN</v>
      </c>
    </row>
    <row r="54" spans="1:16" ht="16.05" customHeight="1" x14ac:dyDescent="0.3">
      <c r="A54" t="s">
        <v>186</v>
      </c>
      <c r="B54" t="s">
        <v>187</v>
      </c>
      <c r="C54" s="36" t="str">
        <f>IFERROR(ISCAM_Score!AL55,"—")</f>
        <v>—</v>
      </c>
      <c r="D54" t="str">
        <f t="shared" si="2"/>
        <v>— Sin Inst.2</v>
      </c>
      <c r="E54" t="str">
        <f t="shared" si="3"/>
        <v/>
      </c>
      <c r="F54" t="str">
        <f>IF(MATRIZ_174!L54="","",MATRIZ_174!L54)</f>
        <v/>
      </c>
      <c r="G54" t="str">
        <f>IFERROR(MATRIZ_174!M54,0)</f>
        <v/>
      </c>
      <c r="H54" t="str">
        <f>IF(NORMALIZADO!CC54="","",NORMALIZADO!CC54)</f>
        <v/>
      </c>
      <c r="I54" t="str">
        <f>IF(NORMALIZADO!CF54="","",NORMALIZADO!CF54)</f>
        <v/>
      </c>
      <c r="J54" t="str">
        <f>IF(NORMALIZADO!CG54="","",NORMALIZADO!CG54)</f>
        <v/>
      </c>
      <c r="K54">
        <f>IFERROR(INDEX(MATRIZ_174!$U:$U,MATCH(A54,MATRIZ_174!$A:$A,0))*100,"")</f>
        <v>100</v>
      </c>
      <c r="L54" t="str">
        <f>IFERROR(MATRIZ_174!O54,0)</f>
        <v/>
      </c>
      <c r="N54" t="str">
        <f>IFERROR(ISCAM_Score!AC55,"")</f>
        <v>⬜  Pendiente de instrumento</v>
      </c>
      <c r="O54" t="s">
        <v>139</v>
      </c>
      <c r="P54" t="str">
        <f>IFERROR(INDEX(MATRIZ_174!$C:$C,MATCH(A54,MATRIZ_174!$A:$A,0)),"")</f>
        <v>SAN MARTIN</v>
      </c>
    </row>
    <row r="55" spans="1:16" ht="16.05" customHeight="1" x14ac:dyDescent="0.3">
      <c r="A55" t="s">
        <v>188</v>
      </c>
      <c r="B55" t="s">
        <v>189</v>
      </c>
      <c r="C55" s="36" t="str">
        <f>IFERROR(ISCAM_Score!AL56,"—")</f>
        <v>—</v>
      </c>
      <c r="D55" t="str">
        <f t="shared" si="2"/>
        <v>— Sin Inst.2</v>
      </c>
      <c r="E55" t="str">
        <f t="shared" si="3"/>
        <v/>
      </c>
      <c r="F55" t="str">
        <f>IF(MATRIZ_174!L55="","",MATRIZ_174!L55)</f>
        <v/>
      </c>
      <c r="G55" t="str">
        <f>IFERROR(MATRIZ_174!M55,0)</f>
        <v/>
      </c>
      <c r="H55" t="str">
        <f>IF(NORMALIZADO!CC55="","",NORMALIZADO!CC55)</f>
        <v/>
      </c>
      <c r="I55" t="str">
        <f>IF(NORMALIZADO!CF55="","",NORMALIZADO!CF55)</f>
        <v/>
      </c>
      <c r="J55" t="str">
        <f>IF(NORMALIZADO!CG55="","",NORMALIZADO!CG55)</f>
        <v/>
      </c>
      <c r="K55">
        <f>IFERROR(INDEX(MATRIZ_174!$U:$U,MATCH(A55,MATRIZ_174!$A:$A,0))*100,"")</f>
        <v>100</v>
      </c>
      <c r="L55" t="str">
        <f>IFERROR(MATRIZ_174!O55,0)</f>
        <v/>
      </c>
      <c r="N55" t="str">
        <f>IFERROR(ISCAM_Score!AC56,"")</f>
        <v>⬜  Pendiente de instrumento</v>
      </c>
      <c r="O55" t="s">
        <v>139</v>
      </c>
      <c r="P55" t="str">
        <f>IFERROR(INDEX(MATRIZ_174!$C:$C,MATCH(A55,MATRIZ_174!$A:$A,0)),"")</f>
        <v>SAN MARTIN</v>
      </c>
    </row>
    <row r="56" spans="1:16" ht="16.05" customHeight="1" x14ac:dyDescent="0.3">
      <c r="A56" t="s">
        <v>190</v>
      </c>
      <c r="B56" t="s">
        <v>191</v>
      </c>
      <c r="C56" s="36" t="str">
        <f>IFERROR(ISCAM_Score!AL57,"—")</f>
        <v>—</v>
      </c>
      <c r="D56" t="str">
        <f t="shared" si="2"/>
        <v>— Sin Inst.2</v>
      </c>
      <c r="E56" t="str">
        <f t="shared" si="3"/>
        <v/>
      </c>
      <c r="F56" t="str">
        <f>IF(MATRIZ_174!L56="","",MATRIZ_174!L56)</f>
        <v/>
      </c>
      <c r="G56" t="str">
        <f>IFERROR(MATRIZ_174!M56,0)</f>
        <v/>
      </c>
      <c r="H56" t="str">
        <f>IF(NORMALIZADO!CC56="","",NORMALIZADO!CC56)</f>
        <v/>
      </c>
      <c r="I56" t="str">
        <f>IF(NORMALIZADO!CF56="","",NORMALIZADO!CF56)</f>
        <v/>
      </c>
      <c r="J56" t="str">
        <f>IF(NORMALIZADO!CG56="","",NORMALIZADO!CG56)</f>
        <v/>
      </c>
      <c r="K56">
        <f>IFERROR(INDEX(MATRIZ_174!$U:$U,MATCH(A56,MATRIZ_174!$A:$A,0))*100,"")</f>
        <v>100</v>
      </c>
      <c r="L56" t="str">
        <f>IFERROR(MATRIZ_174!O56,0)</f>
        <v/>
      </c>
      <c r="N56" t="str">
        <f>IFERROR(ISCAM_Score!AC57,"")</f>
        <v>⬜  Pendiente de instrumento</v>
      </c>
      <c r="O56" t="s">
        <v>192</v>
      </c>
      <c r="P56" t="str">
        <f>IFERROR(INDEX(MATRIZ_174!$C:$C,MATCH(A56,MATRIZ_174!$A:$A,0)),"")</f>
        <v>LORETO</v>
      </c>
    </row>
    <row r="57" spans="1:16" ht="16.05" customHeight="1" x14ac:dyDescent="0.3">
      <c r="A57" t="s">
        <v>193</v>
      </c>
      <c r="B57" t="s">
        <v>194</v>
      </c>
      <c r="C57" s="36" t="str">
        <f>IFERROR(ISCAM_Score!AL58,"—")</f>
        <v>—</v>
      </c>
      <c r="D57" t="str">
        <f t="shared" si="2"/>
        <v>— Sin Inst.2</v>
      </c>
      <c r="E57" t="str">
        <f t="shared" si="3"/>
        <v/>
      </c>
      <c r="F57" t="str">
        <f>IF(MATRIZ_174!L57="","",MATRIZ_174!L57)</f>
        <v/>
      </c>
      <c r="G57" t="str">
        <f>IFERROR(MATRIZ_174!M57,0)</f>
        <v/>
      </c>
      <c r="H57" t="str">
        <f>IF(NORMALIZADO!CC57="","",NORMALIZADO!CC57)</f>
        <v/>
      </c>
      <c r="I57" t="str">
        <f>IF(NORMALIZADO!CF57="","",NORMALIZADO!CF57)</f>
        <v/>
      </c>
      <c r="J57" t="str">
        <f>IF(NORMALIZADO!CG57="","",NORMALIZADO!CG57)</f>
        <v/>
      </c>
      <c r="K57">
        <f>IFERROR(INDEX(MATRIZ_174!$U:$U,MATCH(A57,MATRIZ_174!$A:$A,0))*100,"")</f>
        <v>100</v>
      </c>
      <c r="L57" t="str">
        <f>IFERROR(MATRIZ_174!O57,0)</f>
        <v/>
      </c>
      <c r="N57" t="str">
        <f>IFERROR(ISCAM_Score!AC58,"")</f>
        <v>⬜  Pendiente de instrumento</v>
      </c>
      <c r="O57" t="s">
        <v>80</v>
      </c>
      <c r="P57" t="str">
        <f>IFERROR(INDEX(MATRIZ_174!$C:$C,MATCH(A57,MATRIZ_174!$A:$A,0)),"")</f>
        <v>CUSCO</v>
      </c>
    </row>
    <row r="58" spans="1:16" ht="16.05" customHeight="1" x14ac:dyDescent="0.3">
      <c r="A58" t="s">
        <v>195</v>
      </c>
      <c r="B58" t="s">
        <v>196</v>
      </c>
      <c r="C58" s="36" t="str">
        <f>IFERROR(ISCAM_Score!AL59,"—")</f>
        <v>—</v>
      </c>
      <c r="D58" t="str">
        <f t="shared" si="2"/>
        <v>— Sin Inst.2</v>
      </c>
      <c r="E58" t="str">
        <f t="shared" si="3"/>
        <v/>
      </c>
      <c r="F58">
        <f>IF(MATRIZ_174!L58="","",MATRIZ_174!L58)</f>
        <v>52920</v>
      </c>
      <c r="G58">
        <f>IFERROR(MATRIZ_174!M58,0)</f>
        <v>50</v>
      </c>
      <c r="H58" t="str">
        <f>IF(NORMALIZADO!CC58="","",NORMALIZADO!CC58)</f>
        <v/>
      </c>
      <c r="I58" t="str">
        <f>IF(NORMALIZADO!CF58="","",NORMALIZADO!CF58)</f>
        <v/>
      </c>
      <c r="J58" t="str">
        <f>IF(NORMALIZADO!CG58="","",NORMALIZADO!CG58)</f>
        <v/>
      </c>
      <c r="K58">
        <f>IFERROR(INDEX(MATRIZ_174!$U:$U,MATCH(A58,MATRIZ_174!$A:$A,0))*100,"")</f>
        <v>100</v>
      </c>
      <c r="L58" t="str">
        <f>IFERROR(MATRIZ_174!O58,0)</f>
        <v/>
      </c>
      <c r="N58" t="str">
        <f>IFERROR(ISCAM_Score!AC59,"")</f>
        <v>⬜  Pendiente de instrumento</v>
      </c>
      <c r="O58" t="s">
        <v>103</v>
      </c>
      <c r="P58" t="str">
        <f>IFERROR(INDEX(MATRIZ_174!$C:$C,MATCH(A58,MATRIZ_174!$A:$A,0)),"")</f>
        <v>PIURA</v>
      </c>
    </row>
    <row r="59" spans="1:16" ht="16.05" customHeight="1" x14ac:dyDescent="0.3">
      <c r="A59" t="s">
        <v>197</v>
      </c>
      <c r="B59" t="s">
        <v>198</v>
      </c>
      <c r="C59" s="36" t="str">
        <f>IFERROR(ISCAM_Score!AL60,"—")</f>
        <v>—</v>
      </c>
      <c r="D59" t="str">
        <f t="shared" si="2"/>
        <v>— Sin Inst.2</v>
      </c>
      <c r="E59" t="str">
        <f t="shared" si="3"/>
        <v/>
      </c>
      <c r="F59" t="str">
        <f>IF(MATRIZ_174!L59="","",MATRIZ_174!L59)</f>
        <v/>
      </c>
      <c r="G59" t="str">
        <f>IFERROR(MATRIZ_174!M59,0)</f>
        <v/>
      </c>
      <c r="H59" t="str">
        <f>IF(NORMALIZADO!CC59="","",NORMALIZADO!CC59)</f>
        <v/>
      </c>
      <c r="I59" t="str">
        <f>IF(NORMALIZADO!CF59="","",NORMALIZADO!CF59)</f>
        <v/>
      </c>
      <c r="J59" t="str">
        <f>IF(NORMALIZADO!CG59="","",NORMALIZADO!CG59)</f>
        <v/>
      </c>
      <c r="K59">
        <f>IFERROR(INDEX(MATRIZ_174!$U:$U,MATCH(A59,MATRIZ_174!$A:$A,0))*100,"")</f>
        <v>100</v>
      </c>
      <c r="L59" t="str">
        <f>IFERROR(MATRIZ_174!O59,0)</f>
        <v/>
      </c>
      <c r="N59" t="str">
        <f>IFERROR(ISCAM_Score!AC60,"")</f>
        <v>⬜  Pendiente de instrumento</v>
      </c>
      <c r="O59" t="s">
        <v>103</v>
      </c>
      <c r="P59" t="str">
        <f>IFERROR(INDEX(MATRIZ_174!$C:$C,MATCH(A59,MATRIZ_174!$A:$A,0)),"")</f>
        <v>PIURA</v>
      </c>
    </row>
    <row r="60" spans="1:16" ht="16.05" customHeight="1" x14ac:dyDescent="0.3">
      <c r="A60" t="s">
        <v>199</v>
      </c>
      <c r="B60" t="s">
        <v>200</v>
      </c>
      <c r="C60" s="36" t="str">
        <f>IFERROR(ISCAM_Score!AL61,"—")</f>
        <v>—</v>
      </c>
      <c r="D60" t="str">
        <f t="shared" si="2"/>
        <v>— Sin Inst.2</v>
      </c>
      <c r="E60" t="str">
        <f t="shared" si="3"/>
        <v/>
      </c>
      <c r="F60">
        <f>IF(MATRIZ_174!L60="","",MATRIZ_174!L60)</f>
        <v>5373465.4699999997</v>
      </c>
      <c r="G60">
        <f>IFERROR(MATRIZ_174!M60,0)</f>
        <v>50</v>
      </c>
      <c r="H60" t="str">
        <f>IF(NORMALIZADO!CC60="","",NORMALIZADO!CC60)</f>
        <v/>
      </c>
      <c r="I60" t="str">
        <f>IF(NORMALIZADO!CF60="","",NORMALIZADO!CF60)</f>
        <v/>
      </c>
      <c r="J60" t="str">
        <f>IF(NORMALIZADO!CG60="","",NORMALIZADO!CG60)</f>
        <v/>
      </c>
      <c r="K60">
        <f>IFERROR(INDEX(MATRIZ_174!$U:$U,MATCH(A60,MATRIZ_174!$A:$A,0))*100,"")</f>
        <v>100</v>
      </c>
      <c r="L60" t="str">
        <f>IFERROR(MATRIZ_174!O60,0)</f>
        <v/>
      </c>
      <c r="N60" t="str">
        <f>IFERROR(ISCAM_Score!AC61,"")</f>
        <v>⬜  Pendiente de instrumento</v>
      </c>
      <c r="O60" t="s">
        <v>201</v>
      </c>
      <c r="P60" t="str">
        <f>IFERROR(INDEX(MATRIZ_174!$C:$C,MATCH(A60,MATRIZ_174!$A:$A,0)),"")</f>
        <v>APURIMAC</v>
      </c>
    </row>
    <row r="61" spans="1:16" ht="16.05" customHeight="1" x14ac:dyDescent="0.3">
      <c r="A61" t="s">
        <v>202</v>
      </c>
      <c r="B61" t="s">
        <v>203</v>
      </c>
      <c r="C61" s="36" t="str">
        <f>IFERROR(ISCAM_Score!AL62,"—")</f>
        <v>—</v>
      </c>
      <c r="D61" t="str">
        <f t="shared" si="2"/>
        <v>— Sin Inst.2</v>
      </c>
      <c r="E61" t="str">
        <f t="shared" si="3"/>
        <v/>
      </c>
      <c r="F61" t="str">
        <f>IF(MATRIZ_174!L61="","",MATRIZ_174!L61)</f>
        <v/>
      </c>
      <c r="G61" t="str">
        <f>IFERROR(MATRIZ_174!M61,0)</f>
        <v/>
      </c>
      <c r="H61" t="str">
        <f>IF(NORMALIZADO!CC61="","",NORMALIZADO!CC61)</f>
        <v/>
      </c>
      <c r="I61" t="str">
        <f>IF(NORMALIZADO!CF61="","",NORMALIZADO!CF61)</f>
        <v/>
      </c>
      <c r="J61" t="str">
        <f>IF(NORMALIZADO!CG61="","",NORMALIZADO!CG61)</f>
        <v/>
      </c>
      <c r="K61">
        <f>IFERROR(INDEX(MATRIZ_174!$U:$U,MATCH(A61,MATRIZ_174!$A:$A,0))*100,"")</f>
        <v>100</v>
      </c>
      <c r="L61" t="str">
        <f>IFERROR(MATRIZ_174!O61,0)</f>
        <v/>
      </c>
      <c r="N61" t="str">
        <f>IFERROR(ISCAM_Score!AC62,"")</f>
        <v>⬜  Pendiente de instrumento</v>
      </c>
      <c r="O61" t="s">
        <v>119</v>
      </c>
      <c r="P61" t="str">
        <f>IFERROR(INDEX(MATRIZ_174!$C:$C,MATCH(A61,MATRIZ_174!$A:$A,0)),"")</f>
        <v>HUANUCO</v>
      </c>
    </row>
    <row r="62" spans="1:16" ht="16.05" customHeight="1" x14ac:dyDescent="0.3">
      <c r="A62" t="s">
        <v>204</v>
      </c>
      <c r="B62" t="s">
        <v>205</v>
      </c>
      <c r="C62" s="36" t="str">
        <f>IFERROR(ISCAM_Score!AL63,"—")</f>
        <v>—</v>
      </c>
      <c r="D62" t="str">
        <f t="shared" si="2"/>
        <v>— Sin Inst.2</v>
      </c>
      <c r="E62" t="str">
        <f t="shared" si="3"/>
        <v/>
      </c>
      <c r="F62" t="str">
        <f>IF(MATRIZ_174!L62="","",MATRIZ_174!L62)</f>
        <v/>
      </c>
      <c r="G62" t="str">
        <f>IFERROR(MATRIZ_174!M62,0)</f>
        <v/>
      </c>
      <c r="H62" t="str">
        <f>IF(NORMALIZADO!CC62="","",NORMALIZADO!CC62)</f>
        <v/>
      </c>
      <c r="I62" t="str">
        <f>IF(NORMALIZADO!CF62="","",NORMALIZADO!CF62)</f>
        <v/>
      </c>
      <c r="J62" t="str">
        <f>IF(NORMALIZADO!CG62="","",NORMALIZADO!CG62)</f>
        <v/>
      </c>
      <c r="K62">
        <f>IFERROR(INDEX(MATRIZ_174!$U:$U,MATCH(A62,MATRIZ_174!$A:$A,0))*100,"")</f>
        <v>100</v>
      </c>
      <c r="L62" t="str">
        <f>IFERROR(MATRIZ_174!O62,0)</f>
        <v/>
      </c>
      <c r="N62" t="str">
        <f>IFERROR(ISCAM_Score!AC63,"")</f>
        <v>⬜  Pendiente de instrumento</v>
      </c>
      <c r="O62" t="s">
        <v>103</v>
      </c>
      <c r="P62" t="str">
        <f>IFERROR(INDEX(MATRIZ_174!$C:$C,MATCH(A62,MATRIZ_174!$A:$A,0)),"")</f>
        <v>PIURA</v>
      </c>
    </row>
    <row r="63" spans="1:16" ht="16.05" customHeight="1" x14ac:dyDescent="0.3">
      <c r="A63" t="s">
        <v>206</v>
      </c>
      <c r="B63" t="s">
        <v>207</v>
      </c>
      <c r="C63" s="36" t="str">
        <f>IFERROR(ISCAM_Score!AL64,"—")</f>
        <v>—</v>
      </c>
      <c r="D63" t="str">
        <f t="shared" si="2"/>
        <v>— Sin Inst.2</v>
      </c>
      <c r="E63" t="str">
        <f t="shared" si="3"/>
        <v/>
      </c>
      <c r="F63" t="str">
        <f>IF(MATRIZ_174!L63="","",MATRIZ_174!L63)</f>
        <v/>
      </c>
      <c r="G63" t="str">
        <f>IFERROR(MATRIZ_174!M63,0)</f>
        <v/>
      </c>
      <c r="H63" t="str">
        <f>IF(NORMALIZADO!CC63="","",NORMALIZADO!CC63)</f>
        <v/>
      </c>
      <c r="I63" t="str">
        <f>IF(NORMALIZADO!CF63="","",NORMALIZADO!CF63)</f>
        <v/>
      </c>
      <c r="J63" t="str">
        <f>IF(NORMALIZADO!CG63="","",NORMALIZADO!CG63)</f>
        <v/>
      </c>
      <c r="K63">
        <f>IFERROR(INDEX(MATRIZ_174!$U:$U,MATCH(A63,MATRIZ_174!$A:$A,0))*100,"")</f>
        <v>100</v>
      </c>
      <c r="L63" t="str">
        <f>IFERROR(MATRIZ_174!O63,0)</f>
        <v/>
      </c>
      <c r="N63" t="str">
        <f>IFERROR(ISCAM_Score!AC64,"")</f>
        <v>⬜  Pendiente de instrumento</v>
      </c>
      <c r="O63" t="s">
        <v>103</v>
      </c>
      <c r="P63" t="str">
        <f>IFERROR(INDEX(MATRIZ_174!$C:$C,MATCH(A63,MATRIZ_174!$A:$A,0)),"")</f>
        <v>PIURA</v>
      </c>
    </row>
    <row r="64" spans="1:16" ht="16.05" customHeight="1" x14ac:dyDescent="0.3">
      <c r="A64" t="s">
        <v>208</v>
      </c>
      <c r="B64" t="s">
        <v>209</v>
      </c>
      <c r="C64" s="36" t="str">
        <f>IFERROR(ISCAM_Score!AL65,"—")</f>
        <v>—</v>
      </c>
      <c r="D64" t="str">
        <f t="shared" si="2"/>
        <v>— Sin Inst.2</v>
      </c>
      <c r="E64" t="str">
        <f t="shared" si="3"/>
        <v/>
      </c>
      <c r="F64" t="str">
        <f>IF(MATRIZ_174!L64="","",MATRIZ_174!L64)</f>
        <v/>
      </c>
      <c r="G64" t="str">
        <f>IFERROR(MATRIZ_174!M64,0)</f>
        <v/>
      </c>
      <c r="H64" t="str">
        <f>IF(NORMALIZADO!CC64="","",NORMALIZADO!CC64)</f>
        <v/>
      </c>
      <c r="I64" t="str">
        <f>IF(NORMALIZADO!CF64="","",NORMALIZADO!CF64)</f>
        <v/>
      </c>
      <c r="J64" t="str">
        <f>IF(NORMALIZADO!CG64="","",NORMALIZADO!CG64)</f>
        <v/>
      </c>
      <c r="K64">
        <f>IFERROR(INDEX(MATRIZ_174!$U:$U,MATCH(A64,MATRIZ_174!$A:$A,0))*100,"")</f>
        <v>100</v>
      </c>
      <c r="L64" t="str">
        <f>IFERROR(MATRIZ_174!O64,0)</f>
        <v/>
      </c>
      <c r="N64" t="str">
        <f>IFERROR(ISCAM_Score!AC65,"")</f>
        <v>⬜  Pendiente de instrumento</v>
      </c>
      <c r="O64" t="s">
        <v>139</v>
      </c>
      <c r="P64" t="str">
        <f>IFERROR(INDEX(MATRIZ_174!$C:$C,MATCH(A64,MATRIZ_174!$A:$A,0)),"")</f>
        <v>SAN MARTIN</v>
      </c>
    </row>
    <row r="65" spans="1:16" ht="16.05" customHeight="1" x14ac:dyDescent="0.3">
      <c r="A65" t="s">
        <v>210</v>
      </c>
      <c r="B65" t="s">
        <v>211</v>
      </c>
      <c r="C65" s="36" t="str">
        <f>IFERROR(ISCAM_Score!AL66,"—")</f>
        <v>—</v>
      </c>
      <c r="D65" t="str">
        <f t="shared" si="2"/>
        <v>— Sin Inst.2</v>
      </c>
      <c r="E65" t="str">
        <f t="shared" si="3"/>
        <v/>
      </c>
      <c r="F65">
        <f>IF(MATRIZ_174!L65="","",MATRIZ_174!L65)</f>
        <v>0</v>
      </c>
      <c r="G65">
        <f>IFERROR(MATRIZ_174!M65,0)</f>
        <v>0</v>
      </c>
      <c r="H65" t="str">
        <f>IF(NORMALIZADO!CC65="","",NORMALIZADO!CC65)</f>
        <v/>
      </c>
      <c r="I65" t="str">
        <f>IF(NORMALIZADO!CF65="","",NORMALIZADO!CF65)</f>
        <v/>
      </c>
      <c r="J65" t="str">
        <f>IF(NORMALIZADO!CG65="","",NORMALIZADO!CG65)</f>
        <v/>
      </c>
      <c r="K65">
        <f>IFERROR(INDEX(MATRIZ_174!$U:$U,MATCH(A65,MATRIZ_174!$A:$A,0))*100,"")</f>
        <v>100</v>
      </c>
      <c r="L65" t="str">
        <f>IFERROR(MATRIZ_174!O65,0)</f>
        <v/>
      </c>
      <c r="N65" t="str">
        <f>IFERROR(ISCAM_Score!AC66,"")</f>
        <v>⬜  Pendiente de instrumento</v>
      </c>
      <c r="O65" t="s">
        <v>139</v>
      </c>
      <c r="P65" t="str">
        <f>IFERROR(INDEX(MATRIZ_174!$C:$C,MATCH(A65,MATRIZ_174!$A:$A,0)),"")</f>
        <v>SAN MARTIN</v>
      </c>
    </row>
    <row r="66" spans="1:16" ht="16.05" customHeight="1" x14ac:dyDescent="0.3">
      <c r="A66" t="s">
        <v>212</v>
      </c>
      <c r="B66" t="s">
        <v>213</v>
      </c>
      <c r="C66" s="36" t="str">
        <f>IFERROR(ISCAM_Score!AL67,"—")</f>
        <v>—</v>
      </c>
      <c r="D66" t="str">
        <f t="shared" si="2"/>
        <v>— Sin Inst.2</v>
      </c>
      <c r="E66" t="str">
        <f t="shared" si="3"/>
        <v/>
      </c>
      <c r="F66" t="str">
        <f>IF(MATRIZ_174!L66="","",MATRIZ_174!L66)</f>
        <v/>
      </c>
      <c r="G66" t="str">
        <f>IFERROR(MATRIZ_174!M66,0)</f>
        <v/>
      </c>
      <c r="H66" t="str">
        <f>IF(NORMALIZADO!CC66="","",NORMALIZADO!CC66)</f>
        <v/>
      </c>
      <c r="I66" t="str">
        <f>IF(NORMALIZADO!CF66="","",NORMALIZADO!CF66)</f>
        <v/>
      </c>
      <c r="J66" t="str">
        <f>IF(NORMALIZADO!CG66="","",NORMALIZADO!CG66)</f>
        <v/>
      </c>
      <c r="K66">
        <f>IFERROR(INDEX(MATRIZ_174!$U:$U,MATCH(A66,MATRIZ_174!$A:$A,0))*100,"")</f>
        <v>100</v>
      </c>
      <c r="L66" t="str">
        <f>IFERROR(MATRIZ_174!O66,0)</f>
        <v/>
      </c>
      <c r="N66" t="str">
        <f>IFERROR(ISCAM_Score!AC67,"")</f>
        <v>⬜  Pendiente de instrumento</v>
      </c>
      <c r="O66" t="s">
        <v>80</v>
      </c>
      <c r="P66" t="str">
        <f>IFERROR(INDEX(MATRIZ_174!$C:$C,MATCH(A66,MATRIZ_174!$A:$A,0)),"")</f>
        <v>CUSCO</v>
      </c>
    </row>
    <row r="67" spans="1:16" ht="16.05" customHeight="1" x14ac:dyDescent="0.3">
      <c r="A67" t="s">
        <v>214</v>
      </c>
      <c r="B67" t="s">
        <v>215</v>
      </c>
      <c r="C67" s="36" t="str">
        <f>IFERROR(ISCAM_Score!AL68,"—")</f>
        <v>—</v>
      </c>
      <c r="D67" t="str">
        <f t="shared" ref="D67:D98" si="4">IF(C67="—","— Sin Inst.2",IF(C67&lt;34,"🔴  Crítico",IF(C67&lt;67,"🟡  Vulnerable","🟢  Preparado")))</f>
        <v>— Sin Inst.2</v>
      </c>
      <c r="E67" t="str">
        <f t="shared" ref="E67:E98" si="5">IFERROR(RANK(C67,C:C,-1),"")</f>
        <v/>
      </c>
      <c r="F67" t="str">
        <f>IF(MATRIZ_174!L67="","",MATRIZ_174!L67)</f>
        <v/>
      </c>
      <c r="G67" t="str">
        <f>IFERROR(MATRIZ_174!M67,0)</f>
        <v/>
      </c>
      <c r="H67" t="str">
        <f>IF(NORMALIZADO!CC67="","",NORMALIZADO!CC67)</f>
        <v/>
      </c>
      <c r="I67" t="str">
        <f>IF(NORMALIZADO!CF67="","",NORMALIZADO!CF67)</f>
        <v/>
      </c>
      <c r="J67" t="str">
        <f>IF(NORMALIZADO!CG67="","",NORMALIZADO!CG67)</f>
        <v/>
      </c>
      <c r="K67">
        <f>IFERROR(INDEX(MATRIZ_174!$U:$U,MATCH(A67,MATRIZ_174!$A:$A,0))*100,"")</f>
        <v>100</v>
      </c>
      <c r="L67" t="str">
        <f>IFERROR(MATRIZ_174!O67,0)</f>
        <v/>
      </c>
      <c r="N67" t="str">
        <f>IFERROR(ISCAM_Score!AC68,"")</f>
        <v>⬜  Pendiente de instrumento</v>
      </c>
      <c r="O67" t="s">
        <v>112</v>
      </c>
      <c r="P67" t="str">
        <f>IFERROR(INDEX(MATRIZ_174!$C:$C,MATCH(A67,MATRIZ_174!$A:$A,0)),"")</f>
        <v>AMAZONAS</v>
      </c>
    </row>
    <row r="68" spans="1:16" ht="16.05" customHeight="1" x14ac:dyDescent="0.3">
      <c r="A68" t="s">
        <v>216</v>
      </c>
      <c r="B68" t="s">
        <v>217</v>
      </c>
      <c r="C68" s="36" t="str">
        <f>IFERROR(ISCAM_Score!AL69,"—")</f>
        <v>—</v>
      </c>
      <c r="D68" t="str">
        <f t="shared" si="4"/>
        <v>— Sin Inst.2</v>
      </c>
      <c r="E68" t="str">
        <f t="shared" si="5"/>
        <v/>
      </c>
      <c r="F68" t="str">
        <f>IF(MATRIZ_174!L68="","",MATRIZ_174!L68)</f>
        <v/>
      </c>
      <c r="G68" t="str">
        <f>IFERROR(MATRIZ_174!M68,0)</f>
        <v/>
      </c>
      <c r="H68" t="str">
        <f>IF(NORMALIZADO!CC68="","",NORMALIZADO!CC68)</f>
        <v/>
      </c>
      <c r="I68" t="str">
        <f>IF(NORMALIZADO!CF68="","",NORMALIZADO!CF68)</f>
        <v/>
      </c>
      <c r="J68" t="str">
        <f>IF(NORMALIZADO!CG68="","",NORMALIZADO!CG68)</f>
        <v/>
      </c>
      <c r="K68">
        <f>IFERROR(INDEX(MATRIZ_174!$U:$U,MATCH(A68,MATRIZ_174!$A:$A,0))*100,"")</f>
        <v>100</v>
      </c>
      <c r="L68" t="str">
        <f>IFERROR(MATRIZ_174!O68,0)</f>
        <v/>
      </c>
      <c r="N68" t="str">
        <f>IFERROR(ISCAM_Score!AC69,"")</f>
        <v>⬜  Pendiente de instrumento</v>
      </c>
      <c r="O68" t="s">
        <v>112</v>
      </c>
      <c r="P68" t="str">
        <f>IFERROR(INDEX(MATRIZ_174!$C:$C,MATCH(A68,MATRIZ_174!$A:$A,0)),"")</f>
        <v>AMAZONAS</v>
      </c>
    </row>
    <row r="69" spans="1:16" ht="16.05" customHeight="1" x14ac:dyDescent="0.3">
      <c r="A69" t="s">
        <v>218</v>
      </c>
      <c r="B69" t="s">
        <v>219</v>
      </c>
      <c r="C69" s="36" t="str">
        <f>IFERROR(ISCAM_Score!AL70,"—")</f>
        <v>—</v>
      </c>
      <c r="D69" t="str">
        <f t="shared" si="4"/>
        <v>— Sin Inst.2</v>
      </c>
      <c r="E69" t="str">
        <f t="shared" si="5"/>
        <v/>
      </c>
      <c r="F69" t="str">
        <f>IF(MATRIZ_174!L69="","",MATRIZ_174!L69)</f>
        <v/>
      </c>
      <c r="G69" t="str">
        <f>IFERROR(MATRIZ_174!M69,0)</f>
        <v/>
      </c>
      <c r="H69" t="str">
        <f>IF(NORMALIZADO!CC69="","",NORMALIZADO!CC69)</f>
        <v/>
      </c>
      <c r="I69" t="str">
        <f>IF(NORMALIZADO!CF69="","",NORMALIZADO!CF69)</f>
        <v/>
      </c>
      <c r="J69" t="str">
        <f>IF(NORMALIZADO!CG69="","",NORMALIZADO!CG69)</f>
        <v/>
      </c>
      <c r="K69">
        <f>IFERROR(INDEX(MATRIZ_174!$U:$U,MATCH(A69,MATRIZ_174!$A:$A,0))*100,"")</f>
        <v>100</v>
      </c>
      <c r="L69" t="str">
        <f>IFERROR(MATRIZ_174!O69,0)</f>
        <v/>
      </c>
      <c r="N69" t="str">
        <f>IFERROR(ISCAM_Score!AC70,"")</f>
        <v>⬜  Pendiente de instrumento</v>
      </c>
      <c r="O69" t="s">
        <v>179</v>
      </c>
      <c r="P69" t="str">
        <f>IFERROR(INDEX(MATRIZ_174!$C:$C,MATCH(A69,MATRIZ_174!$A:$A,0)),"")</f>
        <v>LAMBAYEQUE</v>
      </c>
    </row>
    <row r="70" spans="1:16" ht="16.05" customHeight="1" x14ac:dyDescent="0.3">
      <c r="A70" t="s">
        <v>220</v>
      </c>
      <c r="B70" t="s">
        <v>221</v>
      </c>
      <c r="C70" s="36" t="str">
        <f>IFERROR(ISCAM_Score!AL71,"—")</f>
        <v>—</v>
      </c>
      <c r="D70" t="str">
        <f t="shared" si="4"/>
        <v>— Sin Inst.2</v>
      </c>
      <c r="E70" t="str">
        <f t="shared" si="5"/>
        <v/>
      </c>
      <c r="F70">
        <f>IF(MATRIZ_174!L70="","",MATRIZ_174!L70)</f>
        <v>7878141.7300000004</v>
      </c>
      <c r="G70">
        <f>IFERROR(MATRIZ_174!M70,0)</f>
        <v>59.5</v>
      </c>
      <c r="H70" t="str">
        <f>IF(NORMALIZADO!CC70="","",NORMALIZADO!CC70)</f>
        <v/>
      </c>
      <c r="I70" t="str">
        <f>IF(NORMALIZADO!CF70="","",NORMALIZADO!CF70)</f>
        <v/>
      </c>
      <c r="J70" t="str">
        <f>IF(NORMALIZADO!CG70="","",NORMALIZADO!CG70)</f>
        <v/>
      </c>
      <c r="K70">
        <f>IFERROR(INDEX(MATRIZ_174!$U:$U,MATCH(A70,MATRIZ_174!$A:$A,0))*100,"")</f>
        <v>100</v>
      </c>
      <c r="L70">
        <f>IFERROR(MATRIZ_174!O70,0)</f>
        <v>1</v>
      </c>
      <c r="N70" t="str">
        <f>IFERROR(ISCAM_Score!AC71,"")</f>
        <v>⬜  Pendiente de instrumento</v>
      </c>
      <c r="O70" t="s">
        <v>139</v>
      </c>
      <c r="P70" t="str">
        <f>IFERROR(INDEX(MATRIZ_174!$C:$C,MATCH(A70,MATRIZ_174!$A:$A,0)),"")</f>
        <v>SAN MARTIN</v>
      </c>
    </row>
    <row r="71" spans="1:16" ht="16.05" customHeight="1" x14ac:dyDescent="0.3">
      <c r="A71" t="s">
        <v>223</v>
      </c>
      <c r="B71" t="s">
        <v>224</v>
      </c>
      <c r="C71" s="36" t="str">
        <f>IFERROR(ISCAM_Score!AL72,"—")</f>
        <v>—</v>
      </c>
      <c r="D71" t="str">
        <f t="shared" si="4"/>
        <v>— Sin Inst.2</v>
      </c>
      <c r="E71" t="str">
        <f t="shared" si="5"/>
        <v/>
      </c>
      <c r="F71" t="str">
        <f>IF(MATRIZ_174!L71="","",MATRIZ_174!L71)</f>
        <v/>
      </c>
      <c r="G71" t="str">
        <f>IFERROR(MATRIZ_174!M71,0)</f>
        <v/>
      </c>
      <c r="H71" t="str">
        <f>IF(NORMALIZADO!CC71="","",NORMALIZADO!CC71)</f>
        <v/>
      </c>
      <c r="I71" t="str">
        <f>IF(NORMALIZADO!CF71="","",NORMALIZADO!CF71)</f>
        <v/>
      </c>
      <c r="J71" t="str">
        <f>IF(NORMALIZADO!CG71="","",NORMALIZADO!CG71)</f>
        <v/>
      </c>
      <c r="K71">
        <f>IFERROR(INDEX(MATRIZ_174!$U:$U,MATCH(A71,MATRIZ_174!$A:$A,0))*100,"")</f>
        <v>100</v>
      </c>
      <c r="L71" t="str">
        <f>IFERROR(MATRIZ_174!O71,0)</f>
        <v/>
      </c>
      <c r="N71" t="str">
        <f>IFERROR(ISCAM_Score!AC72,"")</f>
        <v>⬜  Pendiente de instrumento</v>
      </c>
      <c r="O71" t="s">
        <v>139</v>
      </c>
      <c r="P71" t="str">
        <f>IFERROR(INDEX(MATRIZ_174!$C:$C,MATCH(A71,MATRIZ_174!$A:$A,0)),"")</f>
        <v>SAN MARTIN</v>
      </c>
    </row>
    <row r="72" spans="1:16" ht="16.05" customHeight="1" x14ac:dyDescent="0.3">
      <c r="A72" t="s">
        <v>225</v>
      </c>
      <c r="B72" t="s">
        <v>226</v>
      </c>
      <c r="C72" s="36" t="str">
        <f>IFERROR(ISCAM_Score!AL73,"—")</f>
        <v>—</v>
      </c>
      <c r="D72" t="str">
        <f t="shared" si="4"/>
        <v>— Sin Inst.2</v>
      </c>
      <c r="E72" t="str">
        <f t="shared" si="5"/>
        <v/>
      </c>
      <c r="F72">
        <f>IF(MATRIZ_174!L72="","",MATRIZ_174!L72)</f>
        <v>1413037.5</v>
      </c>
      <c r="G72">
        <f>IFERROR(MATRIZ_174!M72,0)</f>
        <v>50</v>
      </c>
      <c r="H72" t="str">
        <f>IF(NORMALIZADO!CC72="","",NORMALIZADO!CC72)</f>
        <v/>
      </c>
      <c r="I72" t="str">
        <f>IF(NORMALIZADO!CF72="","",NORMALIZADO!CF72)</f>
        <v/>
      </c>
      <c r="J72" t="str">
        <f>IF(NORMALIZADO!CG72="","",NORMALIZADO!CG72)</f>
        <v/>
      </c>
      <c r="K72">
        <f>IFERROR(INDEX(MATRIZ_174!$U:$U,MATCH(A72,MATRIZ_174!$A:$A,0))*100,"")</f>
        <v>100</v>
      </c>
      <c r="L72" t="str">
        <f>IFERROR(MATRIZ_174!O72,0)</f>
        <v/>
      </c>
      <c r="N72" t="str">
        <f>IFERROR(ISCAM_Score!AC73,"")</f>
        <v>⬜  Pendiente de instrumento</v>
      </c>
      <c r="O72" t="s">
        <v>139</v>
      </c>
      <c r="P72" t="str">
        <f>IFERROR(INDEX(MATRIZ_174!$C:$C,MATCH(A72,MATRIZ_174!$A:$A,0)),"")</f>
        <v>SAN MARTIN</v>
      </c>
    </row>
    <row r="73" spans="1:16" ht="16.05" customHeight="1" x14ac:dyDescent="0.3">
      <c r="A73" t="s">
        <v>227</v>
      </c>
      <c r="B73" t="s">
        <v>228</v>
      </c>
      <c r="C73" s="36" t="str">
        <f>IFERROR(ISCAM_Score!AL74,"—")</f>
        <v>—</v>
      </c>
      <c r="D73" t="str">
        <f t="shared" si="4"/>
        <v>— Sin Inst.2</v>
      </c>
      <c r="E73" t="str">
        <f t="shared" si="5"/>
        <v/>
      </c>
      <c r="F73">
        <f>IF(MATRIZ_174!L73="","",MATRIZ_174!L73)</f>
        <v>1187600.48</v>
      </c>
      <c r="G73">
        <f>IFERROR(MATRIZ_174!M73,0)</f>
        <v>100</v>
      </c>
      <c r="H73" t="str">
        <f>IF(NORMALIZADO!CC73="","",NORMALIZADO!CC73)</f>
        <v/>
      </c>
      <c r="I73" t="str">
        <f>IF(NORMALIZADO!CF73="","",NORMALIZADO!CF73)</f>
        <v/>
      </c>
      <c r="J73" t="str">
        <f>IF(NORMALIZADO!CG73="","",NORMALIZADO!CG73)</f>
        <v/>
      </c>
      <c r="K73">
        <f>IFERROR(INDEX(MATRIZ_174!$U:$U,MATCH(A73,MATRIZ_174!$A:$A,0))*100,"")</f>
        <v>100</v>
      </c>
      <c r="L73">
        <f>IFERROR(MATRIZ_174!O73,0)</f>
        <v>1</v>
      </c>
      <c r="N73" t="str">
        <f>IFERROR(ISCAM_Score!AC74,"")</f>
        <v>⬜  Pendiente de instrumento</v>
      </c>
      <c r="O73" t="s">
        <v>139</v>
      </c>
      <c r="P73" t="str">
        <f>IFERROR(INDEX(MATRIZ_174!$C:$C,MATCH(A73,MATRIZ_174!$A:$A,0)),"")</f>
        <v>SAN MARTIN</v>
      </c>
    </row>
    <row r="74" spans="1:16" ht="16.05" customHeight="1" x14ac:dyDescent="0.3">
      <c r="A74" t="s">
        <v>229</v>
      </c>
      <c r="B74" t="s">
        <v>230</v>
      </c>
      <c r="C74" s="36" t="str">
        <f>IFERROR(ISCAM_Score!AL75,"—")</f>
        <v>—</v>
      </c>
      <c r="D74" t="str">
        <f t="shared" si="4"/>
        <v>— Sin Inst.2</v>
      </c>
      <c r="E74" t="str">
        <f t="shared" si="5"/>
        <v/>
      </c>
      <c r="F74">
        <f>IF(MATRIZ_174!L74="","",MATRIZ_174!L74)</f>
        <v>12142715.91</v>
      </c>
      <c r="G74">
        <f>IFERROR(MATRIZ_174!M74,0)</f>
        <v>50</v>
      </c>
      <c r="H74" t="str">
        <f>IF(NORMALIZADO!CC74="","",NORMALIZADO!CC74)</f>
        <v/>
      </c>
      <c r="I74" t="str">
        <f>IF(NORMALIZADO!CF74="","",NORMALIZADO!CF74)</f>
        <v/>
      </c>
      <c r="J74" t="str">
        <f>IF(NORMALIZADO!CG74="","",NORMALIZADO!CG74)</f>
        <v/>
      </c>
      <c r="K74">
        <f>IFERROR(INDEX(MATRIZ_174!$U:$U,MATCH(A74,MATRIZ_174!$A:$A,0))*100,"")</f>
        <v>100</v>
      </c>
      <c r="L74" t="str">
        <f>IFERROR(MATRIZ_174!O74,0)</f>
        <v/>
      </c>
      <c r="N74" t="str">
        <f>IFERROR(ISCAM_Score!AC75,"")</f>
        <v>⬜  Pendiente de instrumento</v>
      </c>
      <c r="O74" t="s">
        <v>139</v>
      </c>
      <c r="P74" t="str">
        <f>IFERROR(INDEX(MATRIZ_174!$C:$C,MATCH(A74,MATRIZ_174!$A:$A,0)),"")</f>
        <v>SAN MARTIN</v>
      </c>
    </row>
    <row r="75" spans="1:16" ht="16.05" customHeight="1" x14ac:dyDescent="0.3">
      <c r="A75" t="s">
        <v>231</v>
      </c>
      <c r="B75" t="s">
        <v>232</v>
      </c>
      <c r="C75" s="36" t="str">
        <f>IFERROR(ISCAM_Score!AL76,"—")</f>
        <v>—</v>
      </c>
      <c r="D75" t="str">
        <f t="shared" si="4"/>
        <v>— Sin Inst.2</v>
      </c>
      <c r="E75" t="str">
        <f t="shared" si="5"/>
        <v/>
      </c>
      <c r="F75" t="str">
        <f>IF(MATRIZ_174!L75="","",MATRIZ_174!L75)</f>
        <v/>
      </c>
      <c r="G75" t="str">
        <f>IFERROR(MATRIZ_174!M75,0)</f>
        <v/>
      </c>
      <c r="H75" t="str">
        <f>IF(NORMALIZADO!CC75="","",NORMALIZADO!CC75)</f>
        <v/>
      </c>
      <c r="I75" t="str">
        <f>IF(NORMALIZADO!CF75="","",NORMALIZADO!CF75)</f>
        <v/>
      </c>
      <c r="J75" t="str">
        <f>IF(NORMALIZADO!CG75="","",NORMALIZADO!CG75)</f>
        <v/>
      </c>
      <c r="K75">
        <f>IFERROR(INDEX(MATRIZ_174!$U:$U,MATCH(A75,MATRIZ_174!$A:$A,0))*100,"")</f>
        <v>100</v>
      </c>
      <c r="L75" t="str">
        <f>IFERROR(MATRIZ_174!O75,0)</f>
        <v/>
      </c>
      <c r="N75" t="str">
        <f>IFERROR(ISCAM_Score!AC76,"")</f>
        <v>⬜  Pendiente de instrumento</v>
      </c>
      <c r="O75" t="s">
        <v>192</v>
      </c>
      <c r="P75" t="str">
        <f>IFERROR(INDEX(MATRIZ_174!$C:$C,MATCH(A75,MATRIZ_174!$A:$A,0)),"")</f>
        <v>LORETO</v>
      </c>
    </row>
    <row r="76" spans="1:16" ht="16.05" customHeight="1" x14ac:dyDescent="0.3">
      <c r="A76" t="s">
        <v>233</v>
      </c>
      <c r="B76" t="s">
        <v>234</v>
      </c>
      <c r="C76" s="36" t="str">
        <f>IFERROR(ISCAM_Score!AL77,"—")</f>
        <v>—</v>
      </c>
      <c r="D76" t="str">
        <f t="shared" si="4"/>
        <v>— Sin Inst.2</v>
      </c>
      <c r="E76" t="str">
        <f t="shared" si="5"/>
        <v/>
      </c>
      <c r="F76" t="str">
        <f>IF(MATRIZ_174!L76="","",MATRIZ_174!L76)</f>
        <v/>
      </c>
      <c r="G76" t="str">
        <f>IFERROR(MATRIZ_174!M76,0)</f>
        <v/>
      </c>
      <c r="H76" t="str">
        <f>IF(NORMALIZADO!CC76="","",NORMALIZADO!CC76)</f>
        <v/>
      </c>
      <c r="I76" t="str">
        <f>IF(NORMALIZADO!CF76="","",NORMALIZADO!CF76)</f>
        <v/>
      </c>
      <c r="J76" t="str">
        <f>IF(NORMALIZADO!CG76="","",NORMALIZADO!CG76)</f>
        <v/>
      </c>
      <c r="K76">
        <f>IFERROR(INDEX(MATRIZ_174!$U:$U,MATCH(A76,MATRIZ_174!$A:$A,0))*100,"")</f>
        <v>100</v>
      </c>
      <c r="L76" t="str">
        <f>IFERROR(MATRIZ_174!O76,0)</f>
        <v/>
      </c>
      <c r="N76" t="str">
        <f>IFERROR(ISCAM_Score!AC77,"")</f>
        <v>⬜  Pendiente de instrumento</v>
      </c>
      <c r="O76" t="s">
        <v>192</v>
      </c>
      <c r="P76" t="str">
        <f>IFERROR(INDEX(MATRIZ_174!$C:$C,MATCH(A76,MATRIZ_174!$A:$A,0)),"")</f>
        <v>LORETO</v>
      </c>
    </row>
    <row r="77" spans="1:16" ht="16.05" customHeight="1" x14ac:dyDescent="0.3">
      <c r="A77" t="s">
        <v>235</v>
      </c>
      <c r="B77" t="s">
        <v>236</v>
      </c>
      <c r="C77" s="36" t="str">
        <f>IFERROR(ISCAM_Score!AL78,"—")</f>
        <v>—</v>
      </c>
      <c r="D77" t="str">
        <f t="shared" si="4"/>
        <v>— Sin Inst.2</v>
      </c>
      <c r="E77" t="str">
        <f t="shared" si="5"/>
        <v/>
      </c>
      <c r="F77">
        <f>IF(MATRIZ_174!L77="","",MATRIZ_174!L77)</f>
        <v>8445503.2400000002</v>
      </c>
      <c r="G77">
        <f>IFERROR(MATRIZ_174!M77,0)</f>
        <v>50</v>
      </c>
      <c r="H77" t="str">
        <f>IF(NORMALIZADO!CC77="","",NORMALIZADO!CC77)</f>
        <v/>
      </c>
      <c r="I77" t="str">
        <f>IF(NORMALIZADO!CF77="","",NORMALIZADO!CF77)</f>
        <v/>
      </c>
      <c r="J77" t="str">
        <f>IF(NORMALIZADO!CG77="","",NORMALIZADO!CG77)</f>
        <v/>
      </c>
      <c r="K77">
        <f>IFERROR(INDEX(MATRIZ_174!$U:$U,MATCH(A77,MATRIZ_174!$A:$A,0))*100,"")</f>
        <v>100</v>
      </c>
      <c r="L77" t="str">
        <f>IFERROR(MATRIZ_174!O77,0)</f>
        <v/>
      </c>
      <c r="N77" t="str">
        <f>IFERROR(ISCAM_Score!AC78,"")</f>
        <v>⬜  Pendiente de instrumento</v>
      </c>
      <c r="O77" t="s">
        <v>150</v>
      </c>
      <c r="P77" t="str">
        <f>IFERROR(INDEX(MATRIZ_174!$C:$C,MATCH(A77,MATRIZ_174!$A:$A,0)),"")</f>
        <v>CAJAMARCA</v>
      </c>
    </row>
    <row r="78" spans="1:16" ht="16.05" customHeight="1" x14ac:dyDescent="0.3">
      <c r="A78" t="s">
        <v>237</v>
      </c>
      <c r="B78" t="s">
        <v>238</v>
      </c>
      <c r="C78" s="36" t="str">
        <f>IFERROR(ISCAM_Score!AL79,"—")</f>
        <v>—</v>
      </c>
      <c r="D78" t="str">
        <f t="shared" si="4"/>
        <v>— Sin Inst.2</v>
      </c>
      <c r="E78" t="str">
        <f t="shared" si="5"/>
        <v/>
      </c>
      <c r="F78" t="str">
        <f>IF(MATRIZ_174!L78="","",MATRIZ_174!L78)</f>
        <v/>
      </c>
      <c r="G78" t="str">
        <f>IFERROR(MATRIZ_174!M78,0)</f>
        <v/>
      </c>
      <c r="H78" t="str">
        <f>IF(NORMALIZADO!CC78="","",NORMALIZADO!CC78)</f>
        <v/>
      </c>
      <c r="I78" t="str">
        <f>IF(NORMALIZADO!CF78="","",NORMALIZADO!CF78)</f>
        <v/>
      </c>
      <c r="J78" t="str">
        <f>IF(NORMALIZADO!CG78="","",NORMALIZADO!CG78)</f>
        <v/>
      </c>
      <c r="K78">
        <f>IFERROR(INDEX(MATRIZ_174!$U:$U,MATCH(A78,MATRIZ_174!$A:$A,0))*100,"")</f>
        <v>100</v>
      </c>
      <c r="L78" t="str">
        <f>IFERROR(MATRIZ_174!O78,0)</f>
        <v/>
      </c>
      <c r="N78" t="str">
        <f>IFERROR(ISCAM_Score!AC79,"")</f>
        <v>⬜  Pendiente de instrumento</v>
      </c>
      <c r="O78" t="s">
        <v>119</v>
      </c>
      <c r="P78" t="str">
        <f>IFERROR(INDEX(MATRIZ_174!$C:$C,MATCH(A78,MATRIZ_174!$A:$A,0)),"")</f>
        <v>HUANUCO</v>
      </c>
    </row>
    <row r="79" spans="1:16" ht="16.05" customHeight="1" x14ac:dyDescent="0.3">
      <c r="A79" t="s">
        <v>239</v>
      </c>
      <c r="B79" t="s">
        <v>240</v>
      </c>
      <c r="C79" s="36" t="str">
        <f>IFERROR(ISCAM_Score!AL80,"—")</f>
        <v>—</v>
      </c>
      <c r="D79" t="str">
        <f t="shared" si="4"/>
        <v>— Sin Inst.2</v>
      </c>
      <c r="E79" t="str">
        <f t="shared" si="5"/>
        <v/>
      </c>
      <c r="F79" t="str">
        <f>IF(MATRIZ_174!L79="","",MATRIZ_174!L79)</f>
        <v/>
      </c>
      <c r="G79" t="str">
        <f>IFERROR(MATRIZ_174!M79,0)</f>
        <v/>
      </c>
      <c r="H79" t="str">
        <f>IF(NORMALIZADO!CC79="","",NORMALIZADO!CC79)</f>
        <v/>
      </c>
      <c r="I79" t="str">
        <f>IF(NORMALIZADO!CF79="","",NORMALIZADO!CF79)</f>
        <v/>
      </c>
      <c r="J79" t="str">
        <f>IF(NORMALIZADO!CG79="","",NORMALIZADO!CG79)</f>
        <v/>
      </c>
      <c r="K79">
        <f>IFERROR(INDEX(MATRIZ_174!$U:$U,MATCH(A79,MATRIZ_174!$A:$A,0))*100,"")</f>
        <v>100</v>
      </c>
      <c r="L79" t="str">
        <f>IFERROR(MATRIZ_174!O79,0)</f>
        <v/>
      </c>
      <c r="N79" t="str">
        <f>IFERROR(ISCAM_Score!AC80,"")</f>
        <v>⬜  Pendiente de instrumento</v>
      </c>
      <c r="O79" t="s">
        <v>241</v>
      </c>
      <c r="P79" t="str">
        <f>IFERROR(INDEX(MATRIZ_174!$C:$C,MATCH(A79,MATRIZ_174!$A:$A,0)),"")</f>
        <v>MADRE DE DIOS</v>
      </c>
    </row>
    <row r="80" spans="1:16" ht="16.05" customHeight="1" x14ac:dyDescent="0.3">
      <c r="A80" t="s">
        <v>242</v>
      </c>
      <c r="B80" t="s">
        <v>243</v>
      </c>
      <c r="C80" s="36" t="str">
        <f>IFERROR(ISCAM_Score!AL81,"—")</f>
        <v>—</v>
      </c>
      <c r="D80" t="str">
        <f t="shared" si="4"/>
        <v>— Sin Inst.2</v>
      </c>
      <c r="E80" t="str">
        <f t="shared" si="5"/>
        <v/>
      </c>
      <c r="F80" t="str">
        <f>IF(MATRIZ_174!L80="","",MATRIZ_174!L80)</f>
        <v/>
      </c>
      <c r="G80" t="str">
        <f>IFERROR(MATRIZ_174!M80,0)</f>
        <v/>
      </c>
      <c r="H80" t="str">
        <f>IF(NORMALIZADO!CC80="","",NORMALIZADO!CC80)</f>
        <v/>
      </c>
      <c r="I80" t="str">
        <f>IF(NORMALIZADO!CF80="","",NORMALIZADO!CF80)</f>
        <v/>
      </c>
      <c r="J80" t="str">
        <f>IF(NORMALIZADO!CG80="","",NORMALIZADO!CG80)</f>
        <v/>
      </c>
      <c r="K80">
        <f>IFERROR(INDEX(MATRIZ_174!$U:$U,MATCH(A80,MATRIZ_174!$A:$A,0))*100,"")</f>
        <v>100</v>
      </c>
      <c r="L80">
        <f>IFERROR(MATRIZ_174!O80,0)</f>
        <v>0.6</v>
      </c>
      <c r="N80" t="str">
        <f>IFERROR(ISCAM_Score!AC81,"")</f>
        <v>⬜  Pendiente de instrumento</v>
      </c>
      <c r="O80" t="s">
        <v>112</v>
      </c>
      <c r="P80" t="str">
        <f>IFERROR(INDEX(MATRIZ_174!$C:$C,MATCH(A80,MATRIZ_174!$A:$A,0)),"")</f>
        <v>AMAZONAS</v>
      </c>
    </row>
    <row r="81" spans="1:16" ht="16.05" customHeight="1" x14ac:dyDescent="0.3">
      <c r="A81" t="s">
        <v>245</v>
      </c>
      <c r="B81" t="s">
        <v>246</v>
      </c>
      <c r="C81" s="36" t="str">
        <f>IFERROR(ISCAM_Score!AL82,"—")</f>
        <v>—</v>
      </c>
      <c r="D81" t="str">
        <f t="shared" si="4"/>
        <v>— Sin Inst.2</v>
      </c>
      <c r="E81" t="str">
        <f t="shared" si="5"/>
        <v/>
      </c>
      <c r="F81" t="str">
        <f>IF(MATRIZ_174!L81="","",MATRIZ_174!L81)</f>
        <v/>
      </c>
      <c r="G81" t="str">
        <f>IFERROR(MATRIZ_174!M81,0)</f>
        <v/>
      </c>
      <c r="H81" t="str">
        <f>IF(NORMALIZADO!CC81="","",NORMALIZADO!CC81)</f>
        <v/>
      </c>
      <c r="I81" t="str">
        <f>IF(NORMALIZADO!CF81="","",NORMALIZADO!CF81)</f>
        <v/>
      </c>
      <c r="J81" t="str">
        <f>IF(NORMALIZADO!CG81="","",NORMALIZADO!CG81)</f>
        <v/>
      </c>
      <c r="K81">
        <f>IFERROR(INDEX(MATRIZ_174!$U:$U,MATCH(A81,MATRIZ_174!$A:$A,0))*100,"")</f>
        <v>100</v>
      </c>
      <c r="L81" t="str">
        <f>IFERROR(MATRIZ_174!O81,0)</f>
        <v/>
      </c>
      <c r="N81" t="str">
        <f>IFERROR(ISCAM_Score!AC82,"")</f>
        <v>⬜  Pendiente de instrumento</v>
      </c>
      <c r="O81" t="s">
        <v>80</v>
      </c>
      <c r="P81" t="str">
        <f>IFERROR(INDEX(MATRIZ_174!$C:$C,MATCH(A81,MATRIZ_174!$A:$A,0)),"")</f>
        <v>CUSCO</v>
      </c>
    </row>
    <row r="82" spans="1:16" ht="16.05" customHeight="1" x14ac:dyDescent="0.3">
      <c r="A82" t="s">
        <v>247</v>
      </c>
      <c r="B82" t="s">
        <v>248</v>
      </c>
      <c r="C82" s="36" t="str">
        <f>IFERROR(ISCAM_Score!AL83,"—")</f>
        <v>—</v>
      </c>
      <c r="D82" t="str">
        <f t="shared" si="4"/>
        <v>— Sin Inst.2</v>
      </c>
      <c r="E82" t="str">
        <f t="shared" si="5"/>
        <v/>
      </c>
      <c r="F82">
        <f>IF(MATRIZ_174!L82="","",MATRIZ_174!L82)</f>
        <v>717861.85</v>
      </c>
      <c r="G82">
        <f>IFERROR(MATRIZ_174!M82,0)</f>
        <v>50</v>
      </c>
      <c r="H82" t="str">
        <f>IF(NORMALIZADO!CC82="","",NORMALIZADO!CC82)</f>
        <v/>
      </c>
      <c r="I82" t="str">
        <f>IF(NORMALIZADO!CF82="","",NORMALIZADO!CF82)</f>
        <v/>
      </c>
      <c r="J82" t="str">
        <f>IF(NORMALIZADO!CG82="","",NORMALIZADO!CG82)</f>
        <v/>
      </c>
      <c r="K82">
        <f>IFERROR(INDEX(MATRIZ_174!$U:$U,MATCH(A82,MATRIZ_174!$A:$A,0))*100,"")</f>
        <v>100</v>
      </c>
      <c r="L82" t="str">
        <f>IFERROR(MATRIZ_174!O82,0)</f>
        <v/>
      </c>
      <c r="N82" t="str">
        <f>IFERROR(ISCAM_Score!AC83,"")</f>
        <v>⬜  Pendiente de instrumento</v>
      </c>
      <c r="O82" t="s">
        <v>249</v>
      </c>
      <c r="P82" t="str">
        <f>IFERROR(INDEX(MATRIZ_174!$C:$C,MATCH(A82,MATRIZ_174!$A:$A,0)),"")</f>
        <v>PASCO</v>
      </c>
    </row>
    <row r="83" spans="1:16" ht="16.05" customHeight="1" x14ac:dyDescent="0.3">
      <c r="A83" t="s">
        <v>250</v>
      </c>
      <c r="B83" t="s">
        <v>251</v>
      </c>
      <c r="C83" s="36" t="str">
        <f>IFERROR(ISCAM_Score!AL84,"—")</f>
        <v>—</v>
      </c>
      <c r="D83" t="str">
        <f t="shared" si="4"/>
        <v>— Sin Inst.2</v>
      </c>
      <c r="E83" t="str">
        <f t="shared" si="5"/>
        <v/>
      </c>
      <c r="F83" t="str">
        <f>IF(MATRIZ_174!L83="","",MATRIZ_174!L83)</f>
        <v/>
      </c>
      <c r="G83" t="str">
        <f>IFERROR(MATRIZ_174!M83,0)</f>
        <v/>
      </c>
      <c r="H83" t="str">
        <f>IF(NORMALIZADO!CC83="","",NORMALIZADO!CC83)</f>
        <v/>
      </c>
      <c r="I83" t="str">
        <f>IF(NORMALIZADO!CF83="","",NORMALIZADO!CF83)</f>
        <v/>
      </c>
      <c r="J83" t="str">
        <f>IF(NORMALIZADO!CG83="","",NORMALIZADO!CG83)</f>
        <v/>
      </c>
      <c r="K83">
        <f>IFERROR(INDEX(MATRIZ_174!$U:$U,MATCH(A83,MATRIZ_174!$A:$A,0))*100,"")</f>
        <v>100</v>
      </c>
      <c r="L83" t="str">
        <f>IFERROR(MATRIZ_174!O83,0)</f>
        <v/>
      </c>
      <c r="N83" t="str">
        <f>IFERROR(ISCAM_Score!AC84,"")</f>
        <v>⬜  Pendiente de instrumento</v>
      </c>
      <c r="O83" t="s">
        <v>249</v>
      </c>
      <c r="P83" t="str">
        <f>IFERROR(INDEX(MATRIZ_174!$C:$C,MATCH(A83,MATRIZ_174!$A:$A,0)),"")</f>
        <v>PASCO</v>
      </c>
    </row>
    <row r="84" spans="1:16" ht="16.05" customHeight="1" x14ac:dyDescent="0.3">
      <c r="A84" t="s">
        <v>252</v>
      </c>
      <c r="B84" t="s">
        <v>253</v>
      </c>
      <c r="C84" s="36" t="str">
        <f>IFERROR(ISCAM_Score!AL85,"—")</f>
        <v>—</v>
      </c>
      <c r="D84" t="str">
        <f t="shared" si="4"/>
        <v>— Sin Inst.2</v>
      </c>
      <c r="E84" t="str">
        <f t="shared" si="5"/>
        <v/>
      </c>
      <c r="F84">
        <f>IF(MATRIZ_174!L84="","",MATRIZ_174!L84)</f>
        <v>0</v>
      </c>
      <c r="G84">
        <f>IFERROR(MATRIZ_174!M84,0)</f>
        <v>0</v>
      </c>
      <c r="H84" t="str">
        <f>IF(NORMALIZADO!CC84="","",NORMALIZADO!CC84)</f>
        <v/>
      </c>
      <c r="I84" t="str">
        <f>IF(NORMALIZADO!CF84="","",NORMALIZADO!CF84)</f>
        <v/>
      </c>
      <c r="J84" t="str">
        <f>IF(NORMALIZADO!CG84="","",NORMALIZADO!CG84)</f>
        <v/>
      </c>
      <c r="K84">
        <f>IFERROR(INDEX(MATRIZ_174!$U:$U,MATCH(A84,MATRIZ_174!$A:$A,0))*100,"")</f>
        <v>100</v>
      </c>
      <c r="L84" t="str">
        <f>IFERROR(MATRIZ_174!O84,0)</f>
        <v/>
      </c>
      <c r="N84" t="str">
        <f>IFERROR(ISCAM_Score!AC85,"")</f>
        <v>⬜  Pendiente de instrumento</v>
      </c>
      <c r="O84" t="s">
        <v>77</v>
      </c>
      <c r="P84" t="str">
        <f>IFERROR(INDEX(MATRIZ_174!$C:$C,MATCH(A84,MATRIZ_174!$A:$A,0)),"")</f>
        <v>JUNIN</v>
      </c>
    </row>
    <row r="85" spans="1:16" ht="16.05" customHeight="1" x14ac:dyDescent="0.3">
      <c r="A85" t="s">
        <v>254</v>
      </c>
      <c r="B85" t="s">
        <v>255</v>
      </c>
      <c r="C85" s="36" t="str">
        <f>IFERROR(ISCAM_Score!AL86,"—")</f>
        <v>—</v>
      </c>
      <c r="D85" t="str">
        <f t="shared" si="4"/>
        <v>— Sin Inst.2</v>
      </c>
      <c r="E85" t="str">
        <f t="shared" si="5"/>
        <v/>
      </c>
      <c r="F85">
        <f>IF(MATRIZ_174!L85="","",MATRIZ_174!L85)</f>
        <v>2677512.61</v>
      </c>
      <c r="G85">
        <f>IFERROR(MATRIZ_174!M85,0)</f>
        <v>50</v>
      </c>
      <c r="H85" t="str">
        <f>IF(NORMALIZADO!CC85="","",NORMALIZADO!CC85)</f>
        <v/>
      </c>
      <c r="I85" t="str">
        <f>IF(NORMALIZADO!CF85="","",NORMALIZADO!CF85)</f>
        <v/>
      </c>
      <c r="J85" t="str">
        <f>IF(NORMALIZADO!CG85="","",NORMALIZADO!CG85)</f>
        <v/>
      </c>
      <c r="K85">
        <f>IFERROR(INDEX(MATRIZ_174!$U:$U,MATCH(A85,MATRIZ_174!$A:$A,0))*100,"")</f>
        <v>100</v>
      </c>
      <c r="L85" t="str">
        <f>IFERROR(MATRIZ_174!O85,0)</f>
        <v/>
      </c>
      <c r="N85" t="str">
        <f>IFERROR(ISCAM_Score!AC86,"")</f>
        <v>⬜  Pendiente de instrumento</v>
      </c>
      <c r="O85" t="s">
        <v>77</v>
      </c>
      <c r="P85" t="str">
        <f>IFERROR(INDEX(MATRIZ_174!$C:$C,MATCH(A85,MATRIZ_174!$A:$A,0)),"")</f>
        <v>JUNIN</v>
      </c>
    </row>
    <row r="86" spans="1:16" ht="16.05" customHeight="1" x14ac:dyDescent="0.3">
      <c r="A86" t="s">
        <v>256</v>
      </c>
      <c r="B86" t="s">
        <v>257</v>
      </c>
      <c r="C86" s="36" t="str">
        <f>IFERROR(ISCAM_Score!AL87,"—")</f>
        <v>—</v>
      </c>
      <c r="D86" t="str">
        <f t="shared" si="4"/>
        <v>— Sin Inst.2</v>
      </c>
      <c r="E86" t="str">
        <f t="shared" si="5"/>
        <v/>
      </c>
      <c r="F86" t="str">
        <f>IF(MATRIZ_174!L86="","",MATRIZ_174!L86)</f>
        <v/>
      </c>
      <c r="G86" t="str">
        <f>IFERROR(MATRIZ_174!M86,0)</f>
        <v/>
      </c>
      <c r="H86" t="str">
        <f>IF(NORMALIZADO!CC86="","",NORMALIZADO!CC86)</f>
        <v/>
      </c>
      <c r="I86" t="str">
        <f>IF(NORMALIZADO!CF86="","",NORMALIZADO!CF86)</f>
        <v/>
      </c>
      <c r="J86" t="str">
        <f>IF(NORMALIZADO!CG86="","",NORMALIZADO!CG86)</f>
        <v/>
      </c>
      <c r="K86">
        <f>IFERROR(INDEX(MATRIZ_174!$U:$U,MATCH(A86,MATRIZ_174!$A:$A,0))*100,"")</f>
        <v>100</v>
      </c>
      <c r="L86" t="str">
        <f>IFERROR(MATRIZ_174!O86,0)</f>
        <v/>
      </c>
      <c r="N86" t="str">
        <f>IFERROR(ISCAM_Score!AC87,"")</f>
        <v>⬜  Pendiente de instrumento</v>
      </c>
      <c r="O86" t="s">
        <v>249</v>
      </c>
      <c r="P86" t="str">
        <f>IFERROR(INDEX(MATRIZ_174!$C:$C,MATCH(A86,MATRIZ_174!$A:$A,0)),"")</f>
        <v>PASCO</v>
      </c>
    </row>
    <row r="87" spans="1:16" ht="16.05" customHeight="1" x14ac:dyDescent="0.3">
      <c r="A87" t="s">
        <v>258</v>
      </c>
      <c r="B87" t="s">
        <v>259</v>
      </c>
      <c r="C87" s="36" t="str">
        <f>IFERROR(ISCAM_Score!AL88,"—")</f>
        <v>—</v>
      </c>
      <c r="D87" t="str">
        <f t="shared" si="4"/>
        <v>— Sin Inst.2</v>
      </c>
      <c r="E87" t="str">
        <f t="shared" si="5"/>
        <v/>
      </c>
      <c r="F87" t="str">
        <f>IF(MATRIZ_174!L87="","",MATRIZ_174!L87)</f>
        <v/>
      </c>
      <c r="G87" t="str">
        <f>IFERROR(MATRIZ_174!M87,0)</f>
        <v/>
      </c>
      <c r="H87" t="str">
        <f>IF(NORMALIZADO!CC87="","",NORMALIZADO!CC87)</f>
        <v/>
      </c>
      <c r="I87" t="str">
        <f>IF(NORMALIZADO!CF87="","",NORMALIZADO!CF87)</f>
        <v/>
      </c>
      <c r="J87" t="str">
        <f>IF(NORMALIZADO!CG87="","",NORMALIZADO!CG87)</f>
        <v/>
      </c>
      <c r="K87">
        <f>IFERROR(INDEX(MATRIZ_174!$U:$U,MATCH(A87,MATRIZ_174!$A:$A,0))*100,"")</f>
        <v>100</v>
      </c>
      <c r="L87" t="str">
        <f>IFERROR(MATRIZ_174!O87,0)</f>
        <v/>
      </c>
      <c r="N87" t="str">
        <f>IFERROR(ISCAM_Score!AC88,"")</f>
        <v>⬜  Pendiente de instrumento</v>
      </c>
      <c r="O87" t="s">
        <v>249</v>
      </c>
      <c r="P87" t="str">
        <f>IFERROR(INDEX(MATRIZ_174!$C:$C,MATCH(A87,MATRIZ_174!$A:$A,0)),"")</f>
        <v>PASCO</v>
      </c>
    </row>
    <row r="88" spans="1:16" ht="16.05" customHeight="1" x14ac:dyDescent="0.3">
      <c r="A88" t="s">
        <v>260</v>
      </c>
      <c r="B88" t="s">
        <v>261</v>
      </c>
      <c r="C88" s="36" t="str">
        <f>IFERROR(ISCAM_Score!AL89,"—")</f>
        <v>—</v>
      </c>
      <c r="D88" t="str">
        <f t="shared" si="4"/>
        <v>— Sin Inst.2</v>
      </c>
      <c r="E88" t="str">
        <f t="shared" si="5"/>
        <v/>
      </c>
      <c r="F88" t="str">
        <f>IF(MATRIZ_174!L88="","",MATRIZ_174!L88)</f>
        <v/>
      </c>
      <c r="G88" t="str">
        <f>IFERROR(MATRIZ_174!M88,0)</f>
        <v/>
      </c>
      <c r="H88" t="str">
        <f>IF(NORMALIZADO!CC88="","",NORMALIZADO!CC88)</f>
        <v/>
      </c>
      <c r="I88" t="str">
        <f>IF(NORMALIZADO!CF88="","",NORMALIZADO!CF88)</f>
        <v/>
      </c>
      <c r="J88" t="str">
        <f>IF(NORMALIZADO!CG88="","",NORMALIZADO!CG88)</f>
        <v/>
      </c>
      <c r="K88">
        <f>IFERROR(INDEX(MATRIZ_174!$U:$U,MATCH(A88,MATRIZ_174!$A:$A,0))*100,"")</f>
        <v>100</v>
      </c>
      <c r="L88" t="str">
        <f>IFERROR(MATRIZ_174!O88,0)</f>
        <v/>
      </c>
      <c r="N88" t="str">
        <f>IFERROR(ISCAM_Score!AC89,"")</f>
        <v>⬜  Pendiente de instrumento</v>
      </c>
      <c r="O88" t="s">
        <v>249</v>
      </c>
      <c r="P88" t="str">
        <f>IFERROR(INDEX(MATRIZ_174!$C:$C,MATCH(A88,MATRIZ_174!$A:$A,0)),"")</f>
        <v>PASCO</v>
      </c>
    </row>
    <row r="89" spans="1:16" ht="16.05" customHeight="1" x14ac:dyDescent="0.3">
      <c r="A89" t="s">
        <v>262</v>
      </c>
      <c r="B89" t="s">
        <v>263</v>
      </c>
      <c r="C89" s="36" t="str">
        <f>IFERROR(ISCAM_Score!AL90,"—")</f>
        <v>—</v>
      </c>
      <c r="D89" t="str">
        <f t="shared" si="4"/>
        <v>— Sin Inst.2</v>
      </c>
      <c r="E89" t="str">
        <f t="shared" si="5"/>
        <v/>
      </c>
      <c r="F89" t="str">
        <f>IF(MATRIZ_174!L89="","",MATRIZ_174!L89)</f>
        <v/>
      </c>
      <c r="G89" t="str">
        <f>IFERROR(MATRIZ_174!M89,0)</f>
        <v/>
      </c>
      <c r="H89" t="str">
        <f>IF(NORMALIZADO!CC89="","",NORMALIZADO!CC89)</f>
        <v/>
      </c>
      <c r="I89" t="str">
        <f>IF(NORMALIZADO!CF89="","",NORMALIZADO!CF89)</f>
        <v/>
      </c>
      <c r="J89" t="str">
        <f>IF(NORMALIZADO!CG89="","",NORMALIZADO!CG89)</f>
        <v/>
      </c>
      <c r="K89">
        <f>IFERROR(INDEX(MATRIZ_174!$U:$U,MATCH(A89,MATRIZ_174!$A:$A,0))*100,"")</f>
        <v>100</v>
      </c>
      <c r="L89" t="str">
        <f>IFERROR(MATRIZ_174!O89,0)</f>
        <v/>
      </c>
      <c r="N89" t="str">
        <f>IFERROR(ISCAM_Score!AC90,"")</f>
        <v>⬜  Pendiente de instrumento</v>
      </c>
      <c r="O89" t="s">
        <v>249</v>
      </c>
      <c r="P89" t="str">
        <f>IFERROR(INDEX(MATRIZ_174!$C:$C,MATCH(A89,MATRIZ_174!$A:$A,0)),"")</f>
        <v>PASCO</v>
      </c>
    </row>
    <row r="90" spans="1:16" ht="16.05" customHeight="1" x14ac:dyDescent="0.3">
      <c r="A90" t="s">
        <v>264</v>
      </c>
      <c r="B90" t="s">
        <v>265</v>
      </c>
      <c r="C90" s="36" t="str">
        <f>IFERROR(ISCAM_Score!AL91,"—")</f>
        <v>—</v>
      </c>
      <c r="D90" t="str">
        <f t="shared" si="4"/>
        <v>— Sin Inst.2</v>
      </c>
      <c r="E90" t="str">
        <f t="shared" si="5"/>
        <v/>
      </c>
      <c r="F90" t="str">
        <f>IF(MATRIZ_174!L90="","",MATRIZ_174!L90)</f>
        <v/>
      </c>
      <c r="G90" t="str">
        <f>IFERROR(MATRIZ_174!M90,0)</f>
        <v/>
      </c>
      <c r="H90" t="str">
        <f>IF(NORMALIZADO!CC90="","",NORMALIZADO!CC90)</f>
        <v/>
      </c>
      <c r="I90" t="str">
        <f>IF(NORMALIZADO!CF90="","",NORMALIZADO!CF90)</f>
        <v/>
      </c>
      <c r="J90" t="str">
        <f>IF(NORMALIZADO!CG90="","",NORMALIZADO!CG90)</f>
        <v/>
      </c>
      <c r="K90">
        <f>IFERROR(INDEX(MATRIZ_174!$U:$U,MATCH(A90,MATRIZ_174!$A:$A,0))*100,"")</f>
        <v>100</v>
      </c>
      <c r="L90" t="str">
        <f>IFERROR(MATRIZ_174!O90,0)</f>
        <v/>
      </c>
      <c r="N90" t="str">
        <f>IFERROR(ISCAM_Score!AC91,"")</f>
        <v>⬜  Pendiente de instrumento</v>
      </c>
      <c r="O90" t="s">
        <v>77</v>
      </c>
      <c r="P90" t="str">
        <f>IFERROR(INDEX(MATRIZ_174!$C:$C,MATCH(A90,MATRIZ_174!$A:$A,0)),"")</f>
        <v>JUNIN</v>
      </c>
    </row>
    <row r="91" spans="1:16" ht="16.05" customHeight="1" x14ac:dyDescent="0.3">
      <c r="A91" t="s">
        <v>266</v>
      </c>
      <c r="B91" t="s">
        <v>267</v>
      </c>
      <c r="C91" s="36" t="str">
        <f>IFERROR(ISCAM_Score!AL92,"—")</f>
        <v>—</v>
      </c>
      <c r="D91" t="str">
        <f t="shared" si="4"/>
        <v>— Sin Inst.2</v>
      </c>
      <c r="E91" t="str">
        <f t="shared" si="5"/>
        <v/>
      </c>
      <c r="F91" t="str">
        <f>IF(MATRIZ_174!L91="","",MATRIZ_174!L91)</f>
        <v/>
      </c>
      <c r="G91" t="str">
        <f>IFERROR(MATRIZ_174!M91,0)</f>
        <v/>
      </c>
      <c r="H91" t="str">
        <f>IF(NORMALIZADO!CC91="","",NORMALIZADO!CC91)</f>
        <v/>
      </c>
      <c r="I91" t="str">
        <f>IF(NORMALIZADO!CF91="","",NORMALIZADO!CF91)</f>
        <v/>
      </c>
      <c r="J91" t="str">
        <f>IF(NORMALIZADO!CG91="","",NORMALIZADO!CG91)</f>
        <v/>
      </c>
      <c r="K91">
        <f>IFERROR(INDEX(MATRIZ_174!$U:$U,MATCH(A91,MATRIZ_174!$A:$A,0))*100,"")</f>
        <v>100</v>
      </c>
      <c r="L91" t="str">
        <f>IFERROR(MATRIZ_174!O91,0)</f>
        <v/>
      </c>
      <c r="N91" t="str">
        <f>IFERROR(ISCAM_Score!AC92,"")</f>
        <v>⬜  Pendiente de instrumento</v>
      </c>
      <c r="O91" t="s">
        <v>77</v>
      </c>
      <c r="P91" t="str">
        <f>IFERROR(INDEX(MATRIZ_174!$C:$C,MATCH(A91,MATRIZ_174!$A:$A,0)),"")</f>
        <v>JUNIN</v>
      </c>
    </row>
    <row r="92" spans="1:16" ht="16.05" customHeight="1" x14ac:dyDescent="0.3">
      <c r="A92" t="s">
        <v>268</v>
      </c>
      <c r="B92" t="s">
        <v>269</v>
      </c>
      <c r="C92" s="36" t="str">
        <f>IFERROR(ISCAM_Score!AL93,"—")</f>
        <v>—</v>
      </c>
      <c r="D92" t="str">
        <f t="shared" si="4"/>
        <v>— Sin Inst.2</v>
      </c>
      <c r="E92" t="str">
        <f t="shared" si="5"/>
        <v/>
      </c>
      <c r="F92">
        <f>IF(MATRIZ_174!L92="","",MATRIZ_174!L92)</f>
        <v>4792670.9000000004</v>
      </c>
      <c r="G92">
        <f>IFERROR(MATRIZ_174!M92,0)</f>
        <v>50</v>
      </c>
      <c r="H92" t="str">
        <f>IF(NORMALIZADO!CC92="","",NORMALIZADO!CC92)</f>
        <v/>
      </c>
      <c r="I92" t="str">
        <f>IF(NORMALIZADO!CF92="","",NORMALIZADO!CF92)</f>
        <v/>
      </c>
      <c r="J92" t="str">
        <f>IF(NORMALIZADO!CG92="","",NORMALIZADO!CG92)</f>
        <v/>
      </c>
      <c r="K92">
        <f>IFERROR(INDEX(MATRIZ_174!$U:$U,MATCH(A92,MATRIZ_174!$A:$A,0))*100,"")</f>
        <v>100</v>
      </c>
      <c r="L92" t="str">
        <f>IFERROR(MATRIZ_174!O92,0)</f>
        <v/>
      </c>
      <c r="N92" t="str">
        <f>IFERROR(ISCAM_Score!AC93,"")</f>
        <v>⬜  Pendiente de instrumento</v>
      </c>
      <c r="O92" t="s">
        <v>150</v>
      </c>
      <c r="P92" t="str">
        <f>IFERROR(INDEX(MATRIZ_174!$C:$C,MATCH(A92,MATRIZ_174!$A:$A,0)),"")</f>
        <v>CAJAMARCA</v>
      </c>
    </row>
    <row r="93" spans="1:16" ht="16.05" customHeight="1" x14ac:dyDescent="0.3">
      <c r="A93" t="s">
        <v>270</v>
      </c>
      <c r="B93" t="s">
        <v>271</v>
      </c>
      <c r="C93" s="36" t="str">
        <f>IFERROR(ISCAM_Score!AL94,"—")</f>
        <v>—</v>
      </c>
      <c r="D93" t="str">
        <f t="shared" si="4"/>
        <v>— Sin Inst.2</v>
      </c>
      <c r="E93" t="str">
        <f t="shared" si="5"/>
        <v/>
      </c>
      <c r="F93" t="str">
        <f>IF(MATRIZ_174!L93="","",MATRIZ_174!L93)</f>
        <v/>
      </c>
      <c r="G93" t="str">
        <f>IFERROR(MATRIZ_174!M93,0)</f>
        <v/>
      </c>
      <c r="H93" t="str">
        <f>IF(NORMALIZADO!CC93="","",NORMALIZADO!CC93)</f>
        <v/>
      </c>
      <c r="I93" t="str">
        <f>IF(NORMALIZADO!CF93="","",NORMALIZADO!CF93)</f>
        <v/>
      </c>
      <c r="J93" t="str">
        <f>IF(NORMALIZADO!CG93="","",NORMALIZADO!CG93)</f>
        <v/>
      </c>
      <c r="K93">
        <f>IFERROR(INDEX(MATRIZ_174!$U:$U,MATCH(A93,MATRIZ_174!$A:$A,0))*100,"")</f>
        <v>100</v>
      </c>
      <c r="L93" t="str">
        <f>IFERROR(MATRIZ_174!O93,0)</f>
        <v/>
      </c>
      <c r="N93" t="str">
        <f>IFERROR(ISCAM_Score!AC94,"")</f>
        <v>⬜  Pendiente de instrumento</v>
      </c>
      <c r="O93" t="s">
        <v>139</v>
      </c>
      <c r="P93" t="str">
        <f>IFERROR(INDEX(MATRIZ_174!$C:$C,MATCH(A93,MATRIZ_174!$A:$A,0)),"")</f>
        <v>SAN MARTIN</v>
      </c>
    </row>
    <row r="94" spans="1:16" ht="16.05" customHeight="1" x14ac:dyDescent="0.3">
      <c r="A94" t="s">
        <v>272</v>
      </c>
      <c r="B94" t="s">
        <v>273</v>
      </c>
      <c r="C94" s="36" t="str">
        <f>IFERROR(ISCAM_Score!AL95,"—")</f>
        <v>—</v>
      </c>
      <c r="D94" t="str">
        <f t="shared" si="4"/>
        <v>— Sin Inst.2</v>
      </c>
      <c r="E94" t="str">
        <f t="shared" si="5"/>
        <v/>
      </c>
      <c r="F94">
        <f>IF(MATRIZ_174!L94="","",MATRIZ_174!L94)</f>
        <v>1888972.42</v>
      </c>
      <c r="G94">
        <f>IFERROR(MATRIZ_174!M94,0)</f>
        <v>50</v>
      </c>
      <c r="H94" t="str">
        <f>IF(NORMALIZADO!CC94="","",NORMALIZADO!CC94)</f>
        <v/>
      </c>
      <c r="I94" t="str">
        <f>IF(NORMALIZADO!CF94="","",NORMALIZADO!CF94)</f>
        <v/>
      </c>
      <c r="J94" t="str">
        <f>IF(NORMALIZADO!CG94="","",NORMALIZADO!CG94)</f>
        <v/>
      </c>
      <c r="K94">
        <f>IFERROR(INDEX(MATRIZ_174!$U:$U,MATCH(A94,MATRIZ_174!$A:$A,0))*100,"")</f>
        <v>100</v>
      </c>
      <c r="L94" t="str">
        <f>IFERROR(MATRIZ_174!O94,0)</f>
        <v/>
      </c>
      <c r="N94" t="str">
        <f>IFERROR(ISCAM_Score!AC95,"")</f>
        <v>⬜  Pendiente de instrumento</v>
      </c>
      <c r="O94" t="s">
        <v>139</v>
      </c>
      <c r="P94" t="str">
        <f>IFERROR(INDEX(MATRIZ_174!$C:$C,MATCH(A94,MATRIZ_174!$A:$A,0)),"")</f>
        <v>SAN MARTIN</v>
      </c>
    </row>
    <row r="95" spans="1:16" ht="16.05" customHeight="1" x14ac:dyDescent="0.3">
      <c r="A95" t="s">
        <v>274</v>
      </c>
      <c r="B95" t="s">
        <v>275</v>
      </c>
      <c r="C95" s="36" t="str">
        <f>IFERROR(ISCAM_Score!AL96,"—")</f>
        <v>—</v>
      </c>
      <c r="D95" t="str">
        <f t="shared" si="4"/>
        <v>— Sin Inst.2</v>
      </c>
      <c r="E95" t="str">
        <f t="shared" si="5"/>
        <v/>
      </c>
      <c r="F95" t="str">
        <f>IF(MATRIZ_174!L95="","",MATRIZ_174!L95)</f>
        <v/>
      </c>
      <c r="G95" t="str">
        <f>IFERROR(MATRIZ_174!M95,0)</f>
        <v/>
      </c>
      <c r="H95" t="str">
        <f>IF(NORMALIZADO!CC95="","",NORMALIZADO!CC95)</f>
        <v/>
      </c>
      <c r="I95" t="str">
        <f>IF(NORMALIZADO!CF95="","",NORMALIZADO!CF95)</f>
        <v/>
      </c>
      <c r="J95" t="str">
        <f>IF(NORMALIZADO!CG95="","",NORMALIZADO!CG95)</f>
        <v/>
      </c>
      <c r="K95">
        <f>IFERROR(INDEX(MATRIZ_174!$U:$U,MATCH(A95,MATRIZ_174!$A:$A,0))*100,"")</f>
        <v>100</v>
      </c>
      <c r="L95" t="str">
        <f>IFERROR(MATRIZ_174!O95,0)</f>
        <v/>
      </c>
      <c r="N95" t="str">
        <f>IFERROR(ISCAM_Score!AC96,"")</f>
        <v>⬜  Pendiente de instrumento</v>
      </c>
      <c r="O95" t="s">
        <v>119</v>
      </c>
      <c r="P95" t="str">
        <f>IFERROR(INDEX(MATRIZ_174!$C:$C,MATCH(A95,MATRIZ_174!$A:$A,0)),"")</f>
        <v>HUANUCO</v>
      </c>
    </row>
    <row r="96" spans="1:16" ht="16.05" customHeight="1" x14ac:dyDescent="0.3">
      <c r="A96" t="s">
        <v>276</v>
      </c>
      <c r="B96" t="s">
        <v>277</v>
      </c>
      <c r="C96" s="36" t="str">
        <f>IFERROR(ISCAM_Score!AL97,"—")</f>
        <v>—</v>
      </c>
      <c r="D96" t="str">
        <f t="shared" si="4"/>
        <v>— Sin Inst.2</v>
      </c>
      <c r="E96" t="str">
        <f t="shared" si="5"/>
        <v/>
      </c>
      <c r="F96" t="str">
        <f>IF(MATRIZ_174!L96="","",MATRIZ_174!L96)</f>
        <v/>
      </c>
      <c r="G96" t="str">
        <f>IFERROR(MATRIZ_174!M96,0)</f>
        <v/>
      </c>
      <c r="H96" t="str">
        <f>IF(NORMALIZADO!CC96="","",NORMALIZADO!CC96)</f>
        <v/>
      </c>
      <c r="I96" t="str">
        <f>IF(NORMALIZADO!CF96="","",NORMALIZADO!CF96)</f>
        <v/>
      </c>
      <c r="J96" t="str">
        <f>IF(NORMALIZADO!CG96="","",NORMALIZADO!CG96)</f>
        <v/>
      </c>
      <c r="K96">
        <f>IFERROR(INDEX(MATRIZ_174!$U:$U,MATCH(A96,MATRIZ_174!$A:$A,0))*100,"")</f>
        <v>100</v>
      </c>
      <c r="L96" t="str">
        <f>IFERROR(MATRIZ_174!O96,0)</f>
        <v/>
      </c>
      <c r="N96" t="str">
        <f>IFERROR(ISCAM_Score!AC97,"")</f>
        <v>⬜  Pendiente de instrumento</v>
      </c>
      <c r="O96" t="s">
        <v>119</v>
      </c>
      <c r="P96" t="str">
        <f>IFERROR(INDEX(MATRIZ_174!$C:$C,MATCH(A96,MATRIZ_174!$A:$A,0)),"")</f>
        <v>HUANUCO</v>
      </c>
    </row>
    <row r="97" spans="1:16" ht="16.05" customHeight="1" x14ac:dyDescent="0.3">
      <c r="A97" t="s">
        <v>278</v>
      </c>
      <c r="B97" t="s">
        <v>279</v>
      </c>
      <c r="C97" s="36" t="str">
        <f>IFERROR(ISCAM_Score!AL98,"—")</f>
        <v>—</v>
      </c>
      <c r="D97" t="str">
        <f t="shared" si="4"/>
        <v>— Sin Inst.2</v>
      </c>
      <c r="E97" t="str">
        <f t="shared" si="5"/>
        <v/>
      </c>
      <c r="F97" t="str">
        <f>IF(MATRIZ_174!L97="","",MATRIZ_174!L97)</f>
        <v/>
      </c>
      <c r="G97" t="str">
        <f>IFERROR(MATRIZ_174!M97,0)</f>
        <v/>
      </c>
      <c r="H97" t="str">
        <f>IF(NORMALIZADO!CC97="","",NORMALIZADO!CC97)</f>
        <v/>
      </c>
      <c r="I97" t="str">
        <f>IF(NORMALIZADO!CF97="","",NORMALIZADO!CF97)</f>
        <v/>
      </c>
      <c r="J97" t="str">
        <f>IF(NORMALIZADO!CG97="","",NORMALIZADO!CG97)</f>
        <v/>
      </c>
      <c r="K97">
        <f>IFERROR(INDEX(MATRIZ_174!$U:$U,MATCH(A97,MATRIZ_174!$A:$A,0))*100,"")</f>
        <v>100</v>
      </c>
      <c r="L97" t="str">
        <f>IFERROR(MATRIZ_174!O97,0)</f>
        <v/>
      </c>
      <c r="N97" t="str">
        <f>IFERROR(ISCAM_Score!AC98,"")</f>
        <v>⬜  Pendiente de instrumento</v>
      </c>
      <c r="O97" t="s">
        <v>119</v>
      </c>
      <c r="P97" t="str">
        <f>IFERROR(INDEX(MATRIZ_174!$C:$C,MATCH(A97,MATRIZ_174!$A:$A,0)),"")</f>
        <v>HUANUCO</v>
      </c>
    </row>
    <row r="98" spans="1:16" ht="16.05" customHeight="1" x14ac:dyDescent="0.3">
      <c r="A98" t="s">
        <v>280</v>
      </c>
      <c r="B98" t="s">
        <v>281</v>
      </c>
      <c r="C98" s="36" t="str">
        <f>IFERROR(ISCAM_Score!AL99,"—")</f>
        <v>—</v>
      </c>
      <c r="D98" t="str">
        <f t="shared" si="4"/>
        <v>— Sin Inst.2</v>
      </c>
      <c r="E98" t="str">
        <f t="shared" si="5"/>
        <v/>
      </c>
      <c r="F98" t="str">
        <f>IF(MATRIZ_174!L98="","",MATRIZ_174!L98)</f>
        <v/>
      </c>
      <c r="G98" t="str">
        <f>IFERROR(MATRIZ_174!M98,0)</f>
        <v/>
      </c>
      <c r="H98" t="str">
        <f>IF(NORMALIZADO!CC98="","",NORMALIZADO!CC98)</f>
        <v/>
      </c>
      <c r="I98" t="str">
        <f>IF(NORMALIZADO!CF98="","",NORMALIZADO!CF98)</f>
        <v/>
      </c>
      <c r="J98" t="str">
        <f>IF(NORMALIZADO!CG98="","",NORMALIZADO!CG98)</f>
        <v/>
      </c>
      <c r="K98">
        <f>IFERROR(INDEX(MATRIZ_174!$U:$U,MATCH(A98,MATRIZ_174!$A:$A,0))*100,"")</f>
        <v>100</v>
      </c>
      <c r="L98" t="str">
        <f>IFERROR(MATRIZ_174!O98,0)</f>
        <v/>
      </c>
      <c r="N98" t="str">
        <f>IFERROR(ISCAM_Score!AC99,"")</f>
        <v>⬜  Pendiente de instrumento</v>
      </c>
      <c r="O98" t="s">
        <v>119</v>
      </c>
      <c r="P98" t="str">
        <f>IFERROR(INDEX(MATRIZ_174!$C:$C,MATCH(A98,MATRIZ_174!$A:$A,0)),"")</f>
        <v>HUANUCO</v>
      </c>
    </row>
    <row r="99" spans="1:16" ht="16.05" customHeight="1" x14ac:dyDescent="0.3">
      <c r="A99" t="s">
        <v>282</v>
      </c>
      <c r="B99" t="s">
        <v>283</v>
      </c>
      <c r="C99" s="36" t="str">
        <f>IFERROR(ISCAM_Score!AL100,"—")</f>
        <v>—</v>
      </c>
      <c r="D99" t="str">
        <f t="shared" ref="D99:D130" si="6">IF(C99="—","— Sin Inst.2",IF(C99&lt;34,"🔴  Crítico",IF(C99&lt;67,"🟡  Vulnerable","🟢  Preparado")))</f>
        <v>— Sin Inst.2</v>
      </c>
      <c r="E99" t="str">
        <f t="shared" ref="E99:E130" si="7">IFERROR(RANK(C99,C:C,-1),"")</f>
        <v/>
      </c>
      <c r="F99" t="str">
        <f>IF(MATRIZ_174!L99="","",MATRIZ_174!L99)</f>
        <v/>
      </c>
      <c r="G99" t="str">
        <f>IFERROR(MATRIZ_174!M99,0)</f>
        <v/>
      </c>
      <c r="H99" t="str">
        <f>IF(NORMALIZADO!CC99="","",NORMALIZADO!CC99)</f>
        <v/>
      </c>
      <c r="I99" t="str">
        <f>IF(NORMALIZADO!CF99="","",NORMALIZADO!CF99)</f>
        <v/>
      </c>
      <c r="J99" t="str">
        <f>IF(NORMALIZADO!CG99="","",NORMALIZADO!CG99)</f>
        <v/>
      </c>
      <c r="K99">
        <f>IFERROR(INDEX(MATRIZ_174!$U:$U,MATCH(A99,MATRIZ_174!$A:$A,0))*100,"")</f>
        <v>100</v>
      </c>
      <c r="L99" t="str">
        <f>IFERROR(MATRIZ_174!O99,0)</f>
        <v/>
      </c>
      <c r="N99" t="str">
        <f>IFERROR(ISCAM_Score!AC100,"")</f>
        <v>⬜  Pendiente de instrumento</v>
      </c>
      <c r="O99" t="s">
        <v>119</v>
      </c>
      <c r="P99" t="str">
        <f>IFERROR(INDEX(MATRIZ_174!$C:$C,MATCH(A99,MATRIZ_174!$A:$A,0)),"")</f>
        <v>HUANUCO</v>
      </c>
    </row>
    <row r="100" spans="1:16" ht="16.05" customHeight="1" x14ac:dyDescent="0.3">
      <c r="A100" t="s">
        <v>285</v>
      </c>
      <c r="B100" t="s">
        <v>286</v>
      </c>
      <c r="C100" s="36" t="str">
        <f>IFERROR(ISCAM_Score!AL101,"—")</f>
        <v>—</v>
      </c>
      <c r="D100" t="str">
        <f t="shared" si="6"/>
        <v>— Sin Inst.2</v>
      </c>
      <c r="E100" t="str">
        <f t="shared" si="7"/>
        <v/>
      </c>
      <c r="F100" t="str">
        <f>IF(MATRIZ_174!L100="","",MATRIZ_174!L100)</f>
        <v/>
      </c>
      <c r="G100" t="str">
        <f>IFERROR(MATRIZ_174!M100,0)</f>
        <v/>
      </c>
      <c r="H100" t="str">
        <f>IF(NORMALIZADO!CC100="","",NORMALIZADO!CC100)</f>
        <v/>
      </c>
      <c r="I100" t="str">
        <f>IF(NORMALIZADO!CF100="","",NORMALIZADO!CF100)</f>
        <v/>
      </c>
      <c r="J100" t="str">
        <f>IF(NORMALIZADO!CG100="","",NORMALIZADO!CG100)</f>
        <v/>
      </c>
      <c r="K100">
        <f>IFERROR(INDEX(MATRIZ_174!$U:$U,MATCH(A100,MATRIZ_174!$A:$A,0))*100,"")</f>
        <v>100</v>
      </c>
      <c r="L100" t="str">
        <f>IFERROR(MATRIZ_174!O100,0)</f>
        <v/>
      </c>
      <c r="N100" t="str">
        <f>IFERROR(ISCAM_Score!AC101,"")</f>
        <v>⬜  Pendiente de instrumento</v>
      </c>
      <c r="O100" t="s">
        <v>80</v>
      </c>
      <c r="P100" t="str">
        <f>IFERROR(INDEX(MATRIZ_174!$C:$C,MATCH(A100,MATRIZ_174!$A:$A,0)),"")</f>
        <v>CUSCO</v>
      </c>
    </row>
    <row r="101" spans="1:16" ht="16.05" customHeight="1" x14ac:dyDescent="0.3">
      <c r="A101" t="s">
        <v>287</v>
      </c>
      <c r="B101" t="s">
        <v>288</v>
      </c>
      <c r="C101" s="36" t="str">
        <f>IFERROR(ISCAM_Score!AL102,"—")</f>
        <v>—</v>
      </c>
      <c r="D101" t="str">
        <f t="shared" si="6"/>
        <v>— Sin Inst.2</v>
      </c>
      <c r="E101" t="str">
        <f t="shared" si="7"/>
        <v/>
      </c>
      <c r="F101" t="str">
        <f>IF(MATRIZ_174!L101="","",MATRIZ_174!L101)</f>
        <v/>
      </c>
      <c r="G101" t="str">
        <f>IFERROR(MATRIZ_174!M101,0)</f>
        <v/>
      </c>
      <c r="H101" t="str">
        <f>IF(NORMALIZADO!CC101="","",NORMALIZADO!CC101)</f>
        <v/>
      </c>
      <c r="I101" t="str">
        <f>IF(NORMALIZADO!CF101="","",NORMALIZADO!CF101)</f>
        <v/>
      </c>
      <c r="J101" t="str">
        <f>IF(NORMALIZADO!CG101="","",NORMALIZADO!CG101)</f>
        <v/>
      </c>
      <c r="K101">
        <f>IFERROR(INDEX(MATRIZ_174!$U:$U,MATCH(A101,MATRIZ_174!$A:$A,0))*100,"")</f>
        <v>100</v>
      </c>
      <c r="L101" t="str">
        <f>IFERROR(MATRIZ_174!O101,0)</f>
        <v/>
      </c>
      <c r="N101" t="str">
        <f>IFERROR(ISCAM_Score!AC102,"")</f>
        <v>⬜  Pendiente de instrumento</v>
      </c>
      <c r="O101" t="s">
        <v>112</v>
      </c>
      <c r="P101" t="str">
        <f>IFERROR(INDEX(MATRIZ_174!$C:$C,MATCH(A101,MATRIZ_174!$A:$A,0)),"")</f>
        <v>AMAZONAS</v>
      </c>
    </row>
    <row r="102" spans="1:16" ht="16.05" customHeight="1" x14ac:dyDescent="0.3">
      <c r="A102" t="s">
        <v>289</v>
      </c>
      <c r="B102" t="s">
        <v>290</v>
      </c>
      <c r="C102" s="36" t="str">
        <f>IFERROR(ISCAM_Score!AL103,"—")</f>
        <v>—</v>
      </c>
      <c r="D102" t="str">
        <f t="shared" si="6"/>
        <v>— Sin Inst.2</v>
      </c>
      <c r="E102" t="str">
        <f t="shared" si="7"/>
        <v/>
      </c>
      <c r="F102" t="str">
        <f>IF(MATRIZ_174!L102="","",MATRIZ_174!L102)</f>
        <v/>
      </c>
      <c r="G102" t="str">
        <f>IFERROR(MATRIZ_174!M102,0)</f>
        <v/>
      </c>
      <c r="H102" t="str">
        <f>IF(NORMALIZADO!CC102="","",NORMALIZADO!CC102)</f>
        <v/>
      </c>
      <c r="I102" t="str">
        <f>IF(NORMALIZADO!CF102="","",NORMALIZADO!CF102)</f>
        <v/>
      </c>
      <c r="J102" t="str">
        <f>IF(NORMALIZADO!CG102="","",NORMALIZADO!CG102)</f>
        <v/>
      </c>
      <c r="K102">
        <f>IFERROR(INDEX(MATRIZ_174!$U:$U,MATCH(A102,MATRIZ_174!$A:$A,0))*100,"")</f>
        <v>100</v>
      </c>
      <c r="L102" t="str">
        <f>IFERROR(MATRIZ_174!O102,0)</f>
        <v/>
      </c>
      <c r="N102" t="str">
        <f>IFERROR(ISCAM_Score!AC103,"")</f>
        <v>⬜  Pendiente de instrumento</v>
      </c>
      <c r="O102" t="s">
        <v>119</v>
      </c>
      <c r="P102" t="str">
        <f>IFERROR(INDEX(MATRIZ_174!$C:$C,MATCH(A102,MATRIZ_174!$A:$A,0)),"")</f>
        <v>HUANUCO</v>
      </c>
    </row>
    <row r="103" spans="1:16" ht="16.05" customHeight="1" x14ac:dyDescent="0.3">
      <c r="A103" t="s">
        <v>291</v>
      </c>
      <c r="B103" t="s">
        <v>292</v>
      </c>
      <c r="C103" s="36" t="str">
        <f>IFERROR(ISCAM_Score!AL104,"—")</f>
        <v>—</v>
      </c>
      <c r="D103" t="str">
        <f t="shared" si="6"/>
        <v>— Sin Inst.2</v>
      </c>
      <c r="E103" t="str">
        <f t="shared" si="7"/>
        <v/>
      </c>
      <c r="F103" t="str">
        <f>IF(MATRIZ_174!L103="","",MATRIZ_174!L103)</f>
        <v/>
      </c>
      <c r="G103" t="str">
        <f>IFERROR(MATRIZ_174!M103,0)</f>
        <v/>
      </c>
      <c r="H103" t="str">
        <f>IF(NORMALIZADO!CC103="","",NORMALIZADO!CC103)</f>
        <v/>
      </c>
      <c r="I103" t="str">
        <f>IF(NORMALIZADO!CF103="","",NORMALIZADO!CF103)</f>
        <v/>
      </c>
      <c r="J103" t="str">
        <f>IF(NORMALIZADO!CG103="","",NORMALIZADO!CG103)</f>
        <v/>
      </c>
      <c r="K103">
        <f>IFERROR(INDEX(MATRIZ_174!$U:$U,MATCH(A103,MATRIZ_174!$A:$A,0))*100,"")</f>
        <v>100</v>
      </c>
      <c r="L103" t="str">
        <f>IFERROR(MATRIZ_174!O103,0)</f>
        <v/>
      </c>
      <c r="N103" t="str">
        <f>IFERROR(ISCAM_Score!AC104,"")</f>
        <v>⬜  Pendiente de instrumento</v>
      </c>
      <c r="O103" t="s">
        <v>192</v>
      </c>
      <c r="P103" t="str">
        <f>IFERROR(INDEX(MATRIZ_174!$C:$C,MATCH(A103,MATRIZ_174!$A:$A,0)),"")</f>
        <v>LORETO</v>
      </c>
    </row>
    <row r="104" spans="1:16" ht="16.05" customHeight="1" x14ac:dyDescent="0.3">
      <c r="A104" t="s">
        <v>293</v>
      </c>
      <c r="B104" t="s">
        <v>294</v>
      </c>
      <c r="C104" s="36" t="str">
        <f>IFERROR(ISCAM_Score!AL105,"—")</f>
        <v>—</v>
      </c>
      <c r="D104" t="str">
        <f t="shared" si="6"/>
        <v>— Sin Inst.2</v>
      </c>
      <c r="E104" t="str">
        <f t="shared" si="7"/>
        <v/>
      </c>
      <c r="F104" t="str">
        <f>IF(MATRIZ_174!L104="","",MATRIZ_174!L104)</f>
        <v/>
      </c>
      <c r="G104" t="str">
        <f>IFERROR(MATRIZ_174!M104,0)</f>
        <v/>
      </c>
      <c r="H104" t="str">
        <f>IF(NORMALIZADO!CC104="","",NORMALIZADO!CC104)</f>
        <v/>
      </c>
      <c r="I104" t="str">
        <f>IF(NORMALIZADO!CF104="","",NORMALIZADO!CF104)</f>
        <v/>
      </c>
      <c r="J104" t="str">
        <f>IF(NORMALIZADO!CG104="","",NORMALIZADO!CG104)</f>
        <v/>
      </c>
      <c r="K104">
        <f>IFERROR(INDEX(MATRIZ_174!$U:$U,MATCH(A104,MATRIZ_174!$A:$A,0))*100,"")</f>
        <v>100</v>
      </c>
      <c r="L104" t="str">
        <f>IFERROR(MATRIZ_174!O104,0)</f>
        <v/>
      </c>
      <c r="N104" t="str">
        <f>IFERROR(ISCAM_Score!AC105,"")</f>
        <v>⬜  Pendiente de instrumento</v>
      </c>
      <c r="O104" t="s">
        <v>241</v>
      </c>
      <c r="P104" t="str">
        <f>IFERROR(INDEX(MATRIZ_174!$C:$C,MATCH(A104,MATRIZ_174!$A:$A,0)),"")</f>
        <v>MADRE DE DIOS</v>
      </c>
    </row>
    <row r="105" spans="1:16" ht="16.05" customHeight="1" x14ac:dyDescent="0.3">
      <c r="A105" t="s">
        <v>295</v>
      </c>
      <c r="B105" t="s">
        <v>296</v>
      </c>
      <c r="C105" s="36" t="str">
        <f>IFERROR(ISCAM_Score!AL106,"—")</f>
        <v>—</v>
      </c>
      <c r="D105" t="str">
        <f t="shared" si="6"/>
        <v>— Sin Inst.2</v>
      </c>
      <c r="E105" t="str">
        <f t="shared" si="7"/>
        <v/>
      </c>
      <c r="F105" t="str">
        <f>IF(MATRIZ_174!L105="","",MATRIZ_174!L105)</f>
        <v/>
      </c>
      <c r="G105" t="str">
        <f>IFERROR(MATRIZ_174!M105,0)</f>
        <v/>
      </c>
      <c r="H105" t="str">
        <f>IF(NORMALIZADO!CC105="","",NORMALIZADO!CC105)</f>
        <v/>
      </c>
      <c r="I105" t="str">
        <f>IF(NORMALIZADO!CF105="","",NORMALIZADO!CF105)</f>
        <v/>
      </c>
      <c r="J105" t="str">
        <f>IF(NORMALIZADO!CG105="","",NORMALIZADO!CG105)</f>
        <v/>
      </c>
      <c r="K105">
        <f>IFERROR(INDEX(MATRIZ_174!$U:$U,MATCH(A105,MATRIZ_174!$A:$A,0))*100,"")</f>
        <v>100</v>
      </c>
      <c r="L105" t="str">
        <f>IFERROR(MATRIZ_174!O105,0)</f>
        <v/>
      </c>
      <c r="N105" t="str">
        <f>IFERROR(ISCAM_Score!AC106,"")</f>
        <v>⬜  Pendiente de instrumento</v>
      </c>
      <c r="O105" t="s">
        <v>112</v>
      </c>
      <c r="P105" t="str">
        <f>IFERROR(INDEX(MATRIZ_174!$C:$C,MATCH(A105,MATRIZ_174!$A:$A,0)),"")</f>
        <v>AMAZONAS</v>
      </c>
    </row>
    <row r="106" spans="1:16" ht="16.05" customHeight="1" x14ac:dyDescent="0.3">
      <c r="A106" t="s">
        <v>297</v>
      </c>
      <c r="B106" t="s">
        <v>298</v>
      </c>
      <c r="C106" s="36" t="str">
        <f>IFERROR(ISCAM_Score!AL107,"—")</f>
        <v>—</v>
      </c>
      <c r="D106" t="str">
        <f t="shared" si="6"/>
        <v>— Sin Inst.2</v>
      </c>
      <c r="E106" t="str">
        <f t="shared" si="7"/>
        <v/>
      </c>
      <c r="F106">
        <f>IF(MATRIZ_174!L106="","",MATRIZ_174!L106)</f>
        <v>2059443.82</v>
      </c>
      <c r="G106">
        <f>IFERROR(MATRIZ_174!M106,0)</f>
        <v>49.6</v>
      </c>
      <c r="H106" t="str">
        <f>IF(NORMALIZADO!CC106="","",NORMALIZADO!CC106)</f>
        <v/>
      </c>
      <c r="I106" t="str">
        <f>IF(NORMALIZADO!CF106="","",NORMALIZADO!CF106)</f>
        <v/>
      </c>
      <c r="J106" t="str">
        <f>IF(NORMALIZADO!CG106="","",NORMALIZADO!CG106)</f>
        <v/>
      </c>
      <c r="K106">
        <f>IFERROR(INDEX(MATRIZ_174!$U:$U,MATCH(A106,MATRIZ_174!$A:$A,0))*100,"")</f>
        <v>100</v>
      </c>
      <c r="L106">
        <f>IFERROR(MATRIZ_174!O106,0)</f>
        <v>1</v>
      </c>
      <c r="N106" t="str">
        <f>IFERROR(ISCAM_Score!AC107,"")</f>
        <v>⬜  Pendiente de instrumento</v>
      </c>
      <c r="O106" t="s">
        <v>139</v>
      </c>
      <c r="P106" t="str">
        <f>IFERROR(INDEX(MATRIZ_174!$C:$C,MATCH(A106,MATRIZ_174!$A:$A,0)),"")</f>
        <v>SAN MARTIN</v>
      </c>
    </row>
    <row r="107" spans="1:16" ht="16.05" customHeight="1" x14ac:dyDescent="0.3">
      <c r="A107" t="s">
        <v>299</v>
      </c>
      <c r="B107" t="s">
        <v>300</v>
      </c>
      <c r="C107" s="36" t="str">
        <f>IFERROR(ISCAM_Score!AL108,"—")</f>
        <v>—</v>
      </c>
      <c r="D107" t="str">
        <f t="shared" si="6"/>
        <v>— Sin Inst.2</v>
      </c>
      <c r="E107" t="str">
        <f t="shared" si="7"/>
        <v/>
      </c>
      <c r="F107" t="str">
        <f>IF(MATRIZ_174!L107="","",MATRIZ_174!L107)</f>
        <v/>
      </c>
      <c r="G107" t="str">
        <f>IFERROR(MATRIZ_174!M107,0)</f>
        <v/>
      </c>
      <c r="H107" t="str">
        <f>IF(NORMALIZADO!CC107="","",NORMALIZADO!CC107)</f>
        <v/>
      </c>
      <c r="I107" t="str">
        <f>IF(NORMALIZADO!CF107="","",NORMALIZADO!CF107)</f>
        <v/>
      </c>
      <c r="J107" t="str">
        <f>IF(NORMALIZADO!CG107="","",NORMALIZADO!CG107)</f>
        <v/>
      </c>
      <c r="K107">
        <f>IFERROR(INDEX(MATRIZ_174!$U:$U,MATCH(A107,MATRIZ_174!$A:$A,0))*100,"")</f>
        <v>100</v>
      </c>
      <c r="L107" t="str">
        <f>IFERROR(MATRIZ_174!O107,0)</f>
        <v/>
      </c>
      <c r="N107" t="str">
        <f>IFERROR(ISCAM_Score!AC108,"")</f>
        <v>⬜  Pendiente de instrumento</v>
      </c>
      <c r="O107" t="s">
        <v>109</v>
      </c>
      <c r="P107" t="str">
        <f>IFERROR(INDEX(MATRIZ_174!$C:$C,MATCH(A107,MATRIZ_174!$A:$A,0)),"")</f>
        <v>UCAYALI</v>
      </c>
    </row>
    <row r="108" spans="1:16" ht="16.05" customHeight="1" x14ac:dyDescent="0.3">
      <c r="A108" t="s">
        <v>301</v>
      </c>
      <c r="B108" t="s">
        <v>302</v>
      </c>
      <c r="C108" s="36" t="str">
        <f>IFERROR(ISCAM_Score!AL109,"—")</f>
        <v>—</v>
      </c>
      <c r="D108" t="str">
        <f t="shared" si="6"/>
        <v>— Sin Inst.2</v>
      </c>
      <c r="E108" t="str">
        <f t="shared" si="7"/>
        <v/>
      </c>
      <c r="F108">
        <f>IF(MATRIZ_174!L108="","",MATRIZ_174!L108)</f>
        <v>10616860.41</v>
      </c>
      <c r="G108">
        <f>IFERROR(MATRIZ_174!M108,0)</f>
        <v>50</v>
      </c>
      <c r="H108" t="str">
        <f>IF(NORMALIZADO!CC108="","",NORMALIZADO!CC108)</f>
        <v/>
      </c>
      <c r="I108" t="str">
        <f>IF(NORMALIZADO!CF108="","",NORMALIZADO!CF108)</f>
        <v/>
      </c>
      <c r="J108" t="str">
        <f>IF(NORMALIZADO!CG108="","",NORMALIZADO!CG108)</f>
        <v/>
      </c>
      <c r="K108">
        <f>IFERROR(INDEX(MATRIZ_174!$U:$U,MATCH(A108,MATRIZ_174!$A:$A,0))*100,"")</f>
        <v>100</v>
      </c>
      <c r="L108" t="str">
        <f>IFERROR(MATRIZ_174!O108,0)</f>
        <v/>
      </c>
      <c r="N108" t="str">
        <f>IFERROR(ISCAM_Score!AC109,"")</f>
        <v>⬜  Pendiente de instrumento</v>
      </c>
      <c r="O108" t="s">
        <v>109</v>
      </c>
      <c r="P108" t="str">
        <f>IFERROR(INDEX(MATRIZ_174!$C:$C,MATCH(A108,MATRIZ_174!$A:$A,0)),"")</f>
        <v>UCAYALI</v>
      </c>
    </row>
    <row r="109" spans="1:16" ht="16.05" customHeight="1" x14ac:dyDescent="0.3">
      <c r="A109" t="s">
        <v>303</v>
      </c>
      <c r="B109" t="s">
        <v>304</v>
      </c>
      <c r="C109" s="36" t="str">
        <f>IFERROR(ISCAM_Score!AL110,"—")</f>
        <v>—</v>
      </c>
      <c r="D109" t="str">
        <f t="shared" si="6"/>
        <v>— Sin Inst.2</v>
      </c>
      <c r="E109" t="str">
        <f t="shared" si="7"/>
        <v/>
      </c>
      <c r="F109" t="str">
        <f>IF(MATRIZ_174!L109="","",MATRIZ_174!L109)</f>
        <v/>
      </c>
      <c r="G109" t="str">
        <f>IFERROR(MATRIZ_174!M109,0)</f>
        <v/>
      </c>
      <c r="H109" t="str">
        <f>IF(NORMALIZADO!CC109="","",NORMALIZADO!CC109)</f>
        <v/>
      </c>
      <c r="I109" t="str">
        <f>IF(NORMALIZADO!CF109="","",NORMALIZADO!CF109)</f>
        <v/>
      </c>
      <c r="J109" t="str">
        <f>IF(NORMALIZADO!CG109="","",NORMALIZADO!CG109)</f>
        <v/>
      </c>
      <c r="K109">
        <f>IFERROR(INDEX(MATRIZ_174!$U:$U,MATCH(A109,MATRIZ_174!$A:$A,0))*100,"")</f>
        <v>100</v>
      </c>
      <c r="L109" t="str">
        <f>IFERROR(MATRIZ_174!O109,0)</f>
        <v/>
      </c>
      <c r="N109" t="str">
        <f>IFERROR(ISCAM_Score!AC110,"")</f>
        <v>⬜  Pendiente de instrumento</v>
      </c>
      <c r="O109" t="s">
        <v>72</v>
      </c>
      <c r="P109" t="str">
        <f>IFERROR(INDEX(MATRIZ_174!$C:$C,MATCH(A109,MATRIZ_174!$A:$A,0)),"")</f>
        <v>AYACUCHO</v>
      </c>
    </row>
    <row r="110" spans="1:16" ht="16.05" customHeight="1" x14ac:dyDescent="0.3">
      <c r="A110" t="s">
        <v>305</v>
      </c>
      <c r="B110" t="s">
        <v>306</v>
      </c>
      <c r="C110" s="36" t="str">
        <f>IFERROR(ISCAM_Score!AL111,"—")</f>
        <v>—</v>
      </c>
      <c r="D110" t="str">
        <f t="shared" si="6"/>
        <v>— Sin Inst.2</v>
      </c>
      <c r="E110" t="str">
        <f t="shared" si="7"/>
        <v/>
      </c>
      <c r="F110" t="str">
        <f>IF(MATRIZ_174!L110="","",MATRIZ_174!L110)</f>
        <v/>
      </c>
      <c r="G110" t="str">
        <f>IFERROR(MATRIZ_174!M110,0)</f>
        <v/>
      </c>
      <c r="H110" t="str">
        <f>IF(NORMALIZADO!CC110="","",NORMALIZADO!CC110)</f>
        <v/>
      </c>
      <c r="I110" t="str">
        <f>IF(NORMALIZADO!CF110="","",NORMALIZADO!CF110)</f>
        <v/>
      </c>
      <c r="J110" t="str">
        <f>IF(NORMALIZADO!CG110="","",NORMALIZADO!CG110)</f>
        <v/>
      </c>
      <c r="K110">
        <f>IFERROR(INDEX(MATRIZ_174!$U:$U,MATCH(A110,MATRIZ_174!$A:$A,0))*100,"")</f>
        <v>100</v>
      </c>
      <c r="L110" t="str">
        <f>IFERROR(MATRIZ_174!O110,0)</f>
        <v/>
      </c>
      <c r="N110" t="str">
        <f>IFERROR(ISCAM_Score!AC111,"")</f>
        <v>⬜  Pendiente de instrumento</v>
      </c>
      <c r="O110" t="s">
        <v>119</v>
      </c>
      <c r="P110" t="str">
        <f>IFERROR(INDEX(MATRIZ_174!$C:$C,MATCH(A110,MATRIZ_174!$A:$A,0)),"")</f>
        <v>HUANUCO</v>
      </c>
    </row>
    <row r="111" spans="1:16" ht="16.05" customHeight="1" x14ac:dyDescent="0.3">
      <c r="A111" t="s">
        <v>307</v>
      </c>
      <c r="B111" t="s">
        <v>308</v>
      </c>
      <c r="C111" s="36" t="str">
        <f>IFERROR(ISCAM_Score!AL112,"—")</f>
        <v>—</v>
      </c>
      <c r="D111" t="str">
        <f t="shared" si="6"/>
        <v>— Sin Inst.2</v>
      </c>
      <c r="E111" t="str">
        <f t="shared" si="7"/>
        <v/>
      </c>
      <c r="F111">
        <f>IF(MATRIZ_174!L111="","",MATRIZ_174!L111)</f>
        <v>0</v>
      </c>
      <c r="G111">
        <f>IFERROR(MATRIZ_174!M111,0)</f>
        <v>0</v>
      </c>
      <c r="H111" t="str">
        <f>IF(NORMALIZADO!CC111="","",NORMALIZADO!CC111)</f>
        <v/>
      </c>
      <c r="I111" t="str">
        <f>IF(NORMALIZADO!CF111="","",NORMALIZADO!CF111)</f>
        <v/>
      </c>
      <c r="J111" t="str">
        <f>IF(NORMALIZADO!CG111="","",NORMALIZADO!CG111)</f>
        <v/>
      </c>
      <c r="K111">
        <f>IFERROR(INDEX(MATRIZ_174!$U:$U,MATCH(A111,MATRIZ_174!$A:$A,0))*100,"")</f>
        <v>100</v>
      </c>
      <c r="L111" t="str">
        <f>IFERROR(MATRIZ_174!O111,0)</f>
        <v/>
      </c>
      <c r="N111" t="str">
        <f>IFERROR(ISCAM_Score!AC112,"")</f>
        <v>⬜  Pendiente de instrumento</v>
      </c>
      <c r="O111" t="s">
        <v>112</v>
      </c>
      <c r="P111" t="str">
        <f>IFERROR(INDEX(MATRIZ_174!$C:$C,MATCH(A111,MATRIZ_174!$A:$A,0)),"")</f>
        <v>AMAZONAS</v>
      </c>
    </row>
    <row r="112" spans="1:16" ht="16.05" customHeight="1" x14ac:dyDescent="0.3">
      <c r="A112" t="s">
        <v>309</v>
      </c>
      <c r="B112" t="s">
        <v>310</v>
      </c>
      <c r="C112" s="36" t="str">
        <f>IFERROR(ISCAM_Score!AL113,"—")</f>
        <v>—</v>
      </c>
      <c r="D112" t="str">
        <f t="shared" si="6"/>
        <v>— Sin Inst.2</v>
      </c>
      <c r="E112" t="str">
        <f t="shared" si="7"/>
        <v/>
      </c>
      <c r="F112" t="str">
        <f>IF(MATRIZ_174!L112="","",MATRIZ_174!L112)</f>
        <v/>
      </c>
      <c r="G112" t="str">
        <f>IFERROR(MATRIZ_174!M112,0)</f>
        <v/>
      </c>
      <c r="H112" t="str">
        <f>IF(NORMALIZADO!CC112="","",NORMALIZADO!CC112)</f>
        <v/>
      </c>
      <c r="I112" t="str">
        <f>IF(NORMALIZADO!CF112="","",NORMALIZADO!CF112)</f>
        <v/>
      </c>
      <c r="J112" t="str">
        <f>IF(NORMALIZADO!CG112="","",NORMALIZADO!CG112)</f>
        <v/>
      </c>
      <c r="K112">
        <f>IFERROR(INDEX(MATRIZ_174!$U:$U,MATCH(A112,MATRIZ_174!$A:$A,0))*100,"")</f>
        <v>100</v>
      </c>
      <c r="L112" t="str">
        <f>IFERROR(MATRIZ_174!O112,0)</f>
        <v/>
      </c>
      <c r="N112" t="str">
        <f>IFERROR(ISCAM_Score!AC113,"")</f>
        <v>⬜  Pendiente de instrumento</v>
      </c>
      <c r="O112" t="s">
        <v>119</v>
      </c>
      <c r="P112" t="str">
        <f>IFERROR(INDEX(MATRIZ_174!$C:$C,MATCH(A112,MATRIZ_174!$A:$A,0)),"")</f>
        <v>HUANUCO</v>
      </c>
    </row>
    <row r="113" spans="1:16" ht="16.05" customHeight="1" x14ac:dyDescent="0.3">
      <c r="A113" t="s">
        <v>311</v>
      </c>
      <c r="B113" t="s">
        <v>312</v>
      </c>
      <c r="C113" s="36" t="str">
        <f>IFERROR(ISCAM_Score!AL114,"—")</f>
        <v>—</v>
      </c>
      <c r="D113" t="str">
        <f t="shared" si="6"/>
        <v>— Sin Inst.2</v>
      </c>
      <c r="E113" t="str">
        <f t="shared" si="7"/>
        <v/>
      </c>
      <c r="F113">
        <f>IF(MATRIZ_174!L113="","",MATRIZ_174!L113)</f>
        <v>0</v>
      </c>
      <c r="G113">
        <f>IFERROR(MATRIZ_174!M113,0)</f>
        <v>0</v>
      </c>
      <c r="H113" t="str">
        <f>IF(NORMALIZADO!CC113="","",NORMALIZADO!CC113)</f>
        <v/>
      </c>
      <c r="I113" t="str">
        <f>IF(NORMALIZADO!CF113="","",NORMALIZADO!CF113)</f>
        <v/>
      </c>
      <c r="J113" t="str">
        <f>IF(NORMALIZADO!CG113="","",NORMALIZADO!CG113)</f>
        <v/>
      </c>
      <c r="K113">
        <f>IFERROR(INDEX(MATRIZ_174!$U:$U,MATCH(A113,MATRIZ_174!$A:$A,0))*100,"")</f>
        <v>100</v>
      </c>
      <c r="L113" t="str">
        <f>IFERROR(MATRIZ_174!O113,0)</f>
        <v/>
      </c>
      <c r="N113" t="str">
        <f>IFERROR(ISCAM_Score!AC114,"")</f>
        <v>⬜  Pendiente de instrumento</v>
      </c>
      <c r="O113" t="s">
        <v>150</v>
      </c>
      <c r="P113" t="str">
        <f>IFERROR(INDEX(MATRIZ_174!$C:$C,MATCH(A113,MATRIZ_174!$A:$A,0)),"")</f>
        <v>CAJAMARCA</v>
      </c>
    </row>
    <row r="114" spans="1:16" ht="16.05" customHeight="1" x14ac:dyDescent="0.3">
      <c r="A114" t="s">
        <v>313</v>
      </c>
      <c r="B114" t="s">
        <v>314</v>
      </c>
      <c r="C114" s="36" t="str">
        <f>IFERROR(ISCAM_Score!AL115,"—")</f>
        <v>—</v>
      </c>
      <c r="D114" t="str">
        <f t="shared" si="6"/>
        <v>— Sin Inst.2</v>
      </c>
      <c r="E114" t="str">
        <f t="shared" si="7"/>
        <v/>
      </c>
      <c r="F114" t="str">
        <f>IF(MATRIZ_174!L114="","",MATRIZ_174!L114)</f>
        <v/>
      </c>
      <c r="G114" t="str">
        <f>IFERROR(MATRIZ_174!M114,0)</f>
        <v/>
      </c>
      <c r="H114" t="str">
        <f>IF(NORMALIZADO!CC114="","",NORMALIZADO!CC114)</f>
        <v/>
      </c>
      <c r="I114" t="str">
        <f>IF(NORMALIZADO!CF114="","",NORMALIZADO!CF114)</f>
        <v/>
      </c>
      <c r="J114" t="str">
        <f>IF(NORMALIZADO!CG114="","",NORMALIZADO!CG114)</f>
        <v/>
      </c>
      <c r="K114">
        <f>IFERROR(INDEX(MATRIZ_174!$U:$U,MATCH(A114,MATRIZ_174!$A:$A,0))*100,"")</f>
        <v>100</v>
      </c>
      <c r="L114" t="str">
        <f>IFERROR(MATRIZ_174!O114,0)</f>
        <v/>
      </c>
      <c r="N114" t="str">
        <f>IFERROR(ISCAM_Score!AC115,"")</f>
        <v>⬜  Pendiente de instrumento</v>
      </c>
      <c r="O114" t="s">
        <v>241</v>
      </c>
      <c r="P114" t="str">
        <f>IFERROR(INDEX(MATRIZ_174!$C:$C,MATCH(A114,MATRIZ_174!$A:$A,0)),"")</f>
        <v>MADRE DE DIOS</v>
      </c>
    </row>
    <row r="115" spans="1:16" ht="16.05" customHeight="1" x14ac:dyDescent="0.3">
      <c r="A115" t="s">
        <v>315</v>
      </c>
      <c r="B115" t="s">
        <v>316</v>
      </c>
      <c r="C115" s="36" t="str">
        <f>IFERROR(ISCAM_Score!AL116,"—")</f>
        <v>—</v>
      </c>
      <c r="D115" t="str">
        <f t="shared" si="6"/>
        <v>— Sin Inst.2</v>
      </c>
      <c r="E115" t="str">
        <f t="shared" si="7"/>
        <v/>
      </c>
      <c r="F115">
        <f>IF(MATRIZ_174!L115="","",MATRIZ_174!L115)</f>
        <v>0</v>
      </c>
      <c r="G115">
        <f>IFERROR(MATRIZ_174!M115,0)</f>
        <v>0</v>
      </c>
      <c r="H115" t="str">
        <f>IF(NORMALIZADO!CC115="","",NORMALIZADO!CC115)</f>
        <v/>
      </c>
      <c r="I115" t="str">
        <f>IF(NORMALIZADO!CF115="","",NORMALIZADO!CF115)</f>
        <v/>
      </c>
      <c r="J115" t="str">
        <f>IF(NORMALIZADO!CG115="","",NORMALIZADO!CG115)</f>
        <v/>
      </c>
      <c r="K115">
        <f>IFERROR(INDEX(MATRIZ_174!$U:$U,MATCH(A115,MATRIZ_174!$A:$A,0))*100,"")</f>
        <v>100</v>
      </c>
      <c r="L115" t="str">
        <f>IFERROR(MATRIZ_174!O115,0)</f>
        <v/>
      </c>
      <c r="N115" t="str">
        <f>IFERROR(ISCAM_Score!AC116,"")</f>
        <v>⬜  Pendiente de instrumento</v>
      </c>
      <c r="O115" t="s">
        <v>139</v>
      </c>
      <c r="P115" t="str">
        <f>IFERROR(INDEX(MATRIZ_174!$C:$C,MATCH(A115,MATRIZ_174!$A:$A,0)),"")</f>
        <v>SAN MARTIN</v>
      </c>
    </row>
    <row r="116" spans="1:16" ht="16.05" customHeight="1" x14ac:dyDescent="0.3">
      <c r="A116" t="s">
        <v>317</v>
      </c>
      <c r="B116" t="s">
        <v>318</v>
      </c>
      <c r="C116" s="36" t="str">
        <f>IFERROR(ISCAM_Score!AL117,"—")</f>
        <v>—</v>
      </c>
      <c r="D116" t="str">
        <f t="shared" si="6"/>
        <v>— Sin Inst.2</v>
      </c>
      <c r="E116" t="str">
        <f t="shared" si="7"/>
        <v/>
      </c>
      <c r="F116" t="str">
        <f>IF(MATRIZ_174!L116="","",MATRIZ_174!L116)</f>
        <v/>
      </c>
      <c r="G116" t="str">
        <f>IFERROR(MATRIZ_174!M116,0)</f>
        <v/>
      </c>
      <c r="H116" t="str">
        <f>IF(NORMALIZADO!CC116="","",NORMALIZADO!CC116)</f>
        <v/>
      </c>
      <c r="I116" t="str">
        <f>IF(NORMALIZADO!CF116="","",NORMALIZADO!CF116)</f>
        <v/>
      </c>
      <c r="J116" t="str">
        <f>IF(NORMALIZADO!CG116="","",NORMALIZADO!CG116)</f>
        <v/>
      </c>
      <c r="K116">
        <f>IFERROR(INDEX(MATRIZ_174!$U:$U,MATCH(A116,MATRIZ_174!$A:$A,0))*100,"")</f>
        <v>100</v>
      </c>
      <c r="L116" t="str">
        <f>IFERROR(MATRIZ_174!O116,0)</f>
        <v/>
      </c>
      <c r="N116" t="str">
        <f>IFERROR(ISCAM_Score!AC117,"")</f>
        <v>⬜  Pendiente de instrumento</v>
      </c>
      <c r="O116" t="s">
        <v>241</v>
      </c>
      <c r="P116" t="str">
        <f>IFERROR(INDEX(MATRIZ_174!$C:$C,MATCH(A116,MATRIZ_174!$A:$A,0)),"")</f>
        <v>MADRE DE DIOS</v>
      </c>
    </row>
    <row r="117" spans="1:16" ht="16.05" customHeight="1" x14ac:dyDescent="0.3">
      <c r="A117" t="s">
        <v>319</v>
      </c>
      <c r="B117" t="s">
        <v>320</v>
      </c>
      <c r="C117" s="36" t="str">
        <f>IFERROR(ISCAM_Score!AL118,"—")</f>
        <v>—</v>
      </c>
      <c r="D117" t="str">
        <f t="shared" si="6"/>
        <v>— Sin Inst.2</v>
      </c>
      <c r="E117" t="str">
        <f t="shared" si="7"/>
        <v/>
      </c>
      <c r="F117" t="str">
        <f>IF(MATRIZ_174!L117="","",MATRIZ_174!L117)</f>
        <v/>
      </c>
      <c r="G117" t="str">
        <f>IFERROR(MATRIZ_174!M117,0)</f>
        <v/>
      </c>
      <c r="H117" t="str">
        <f>IF(NORMALIZADO!CC117="","",NORMALIZADO!CC117)</f>
        <v/>
      </c>
      <c r="I117" t="str">
        <f>IF(NORMALIZADO!CF117="","",NORMALIZADO!CF117)</f>
        <v/>
      </c>
      <c r="J117" t="str">
        <f>IF(NORMALIZADO!CG117="","",NORMALIZADO!CG117)</f>
        <v/>
      </c>
      <c r="K117">
        <f>IFERROR(INDEX(MATRIZ_174!$U:$U,MATCH(A117,MATRIZ_174!$A:$A,0))*100,"")</f>
        <v>100</v>
      </c>
      <c r="L117" t="str">
        <f>IFERROR(MATRIZ_174!O117,0)</f>
        <v/>
      </c>
      <c r="N117" t="str">
        <f>IFERROR(ISCAM_Score!AC118,"")</f>
        <v>⬜  Pendiente de instrumento</v>
      </c>
      <c r="O117" t="s">
        <v>179</v>
      </c>
      <c r="P117" t="str">
        <f>IFERROR(INDEX(MATRIZ_174!$C:$C,MATCH(A117,MATRIZ_174!$A:$A,0)),"")</f>
        <v>LAMBAYEQUE</v>
      </c>
    </row>
    <row r="118" spans="1:16" ht="16.05" customHeight="1" x14ac:dyDescent="0.3">
      <c r="A118" t="s">
        <v>321</v>
      </c>
      <c r="B118" t="s">
        <v>322</v>
      </c>
      <c r="C118" s="36" t="str">
        <f>IFERROR(ISCAM_Score!AL119,"—")</f>
        <v>—</v>
      </c>
      <c r="D118" t="str">
        <f t="shared" si="6"/>
        <v>— Sin Inst.2</v>
      </c>
      <c r="E118" t="str">
        <f t="shared" si="7"/>
        <v/>
      </c>
      <c r="F118" t="str">
        <f>IF(MATRIZ_174!L118="","",MATRIZ_174!L118)</f>
        <v/>
      </c>
      <c r="G118" t="str">
        <f>IFERROR(MATRIZ_174!M118,0)</f>
        <v/>
      </c>
      <c r="H118" t="str">
        <f>IF(NORMALIZADO!CC118="","",NORMALIZADO!CC118)</f>
        <v/>
      </c>
      <c r="I118" t="str">
        <f>IF(NORMALIZADO!CF118="","",NORMALIZADO!CF118)</f>
        <v/>
      </c>
      <c r="J118" t="str">
        <f>IF(NORMALIZADO!CG118="","",NORMALIZADO!CG118)</f>
        <v/>
      </c>
      <c r="K118">
        <f>IFERROR(INDEX(MATRIZ_174!$U:$U,MATCH(A118,MATRIZ_174!$A:$A,0))*100,"")</f>
        <v>100</v>
      </c>
      <c r="L118" t="str">
        <f>IFERROR(MATRIZ_174!O118,0)</f>
        <v/>
      </c>
      <c r="N118" t="str">
        <f>IFERROR(ISCAM_Score!AC119,"")</f>
        <v>⬜  Pendiente de instrumento</v>
      </c>
      <c r="O118" t="s">
        <v>109</v>
      </c>
      <c r="P118" t="str">
        <f>IFERROR(INDEX(MATRIZ_174!$C:$C,MATCH(A118,MATRIZ_174!$A:$A,0)),"")</f>
        <v>UCAYALI</v>
      </c>
    </row>
    <row r="119" spans="1:16" ht="16.05" customHeight="1" x14ac:dyDescent="0.3">
      <c r="A119" t="s">
        <v>323</v>
      </c>
      <c r="B119" t="s">
        <v>324</v>
      </c>
      <c r="C119" s="36" t="str">
        <f>IFERROR(ISCAM_Score!AL120,"—")</f>
        <v>—</v>
      </c>
      <c r="D119" t="str">
        <f t="shared" si="6"/>
        <v>— Sin Inst.2</v>
      </c>
      <c r="E119" t="str">
        <f t="shared" si="7"/>
        <v/>
      </c>
      <c r="F119" t="str">
        <f>IF(MATRIZ_174!L119="","",MATRIZ_174!L119)</f>
        <v/>
      </c>
      <c r="G119" t="str">
        <f>IFERROR(MATRIZ_174!M119,0)</f>
        <v/>
      </c>
      <c r="H119" t="str">
        <f>IF(NORMALIZADO!CC119="","",NORMALIZADO!CC119)</f>
        <v/>
      </c>
      <c r="I119" t="str">
        <f>IF(NORMALIZADO!CF119="","",NORMALIZADO!CF119)</f>
        <v/>
      </c>
      <c r="J119" t="str">
        <f>IF(NORMALIZADO!CG119="","",NORMALIZADO!CG119)</f>
        <v/>
      </c>
      <c r="K119">
        <f>IFERROR(INDEX(MATRIZ_174!$U:$U,MATCH(A119,MATRIZ_174!$A:$A,0))*100,"")</f>
        <v>100</v>
      </c>
      <c r="L119" t="str">
        <f>IFERROR(MATRIZ_174!O119,0)</f>
        <v/>
      </c>
      <c r="N119" t="str">
        <f>IFERROR(ISCAM_Score!AC120,"")</f>
        <v>⬜  Pendiente de instrumento</v>
      </c>
      <c r="O119" t="s">
        <v>109</v>
      </c>
      <c r="P119" t="str">
        <f>IFERROR(INDEX(MATRIZ_174!$C:$C,MATCH(A119,MATRIZ_174!$A:$A,0)),"")</f>
        <v>UCAYALI</v>
      </c>
    </row>
    <row r="120" spans="1:16" ht="16.05" customHeight="1" x14ac:dyDescent="0.3">
      <c r="A120" t="s">
        <v>325</v>
      </c>
      <c r="B120" t="s">
        <v>326</v>
      </c>
      <c r="C120" s="36" t="str">
        <f>IFERROR(ISCAM_Score!AL121,"—")</f>
        <v>—</v>
      </c>
      <c r="D120" t="str">
        <f t="shared" si="6"/>
        <v>— Sin Inst.2</v>
      </c>
      <c r="E120" t="str">
        <f t="shared" si="7"/>
        <v/>
      </c>
      <c r="F120" t="str">
        <f>IF(MATRIZ_174!L120="","",MATRIZ_174!L120)</f>
        <v/>
      </c>
      <c r="G120" t="str">
        <f>IFERROR(MATRIZ_174!M120,0)</f>
        <v/>
      </c>
      <c r="H120" t="str">
        <f>IF(NORMALIZADO!CC120="","",NORMALIZADO!CC120)</f>
        <v/>
      </c>
      <c r="I120" t="str">
        <f>IF(NORMALIZADO!CF120="","",NORMALIZADO!CF120)</f>
        <v/>
      </c>
      <c r="J120" t="str">
        <f>IF(NORMALIZADO!CG120="","",NORMALIZADO!CG120)</f>
        <v/>
      </c>
      <c r="K120">
        <f>IFERROR(INDEX(MATRIZ_174!$U:$U,MATCH(A120,MATRIZ_174!$A:$A,0))*100,"")</f>
        <v>100</v>
      </c>
      <c r="L120" t="str">
        <f>IFERROR(MATRIZ_174!O120,0)</f>
        <v/>
      </c>
      <c r="N120" t="str">
        <f>IFERROR(ISCAM_Score!AC121,"")</f>
        <v>⬜  Pendiente de instrumento</v>
      </c>
      <c r="O120" t="s">
        <v>150</v>
      </c>
      <c r="P120" t="str">
        <f>IFERROR(INDEX(MATRIZ_174!$C:$C,MATCH(A120,MATRIZ_174!$A:$A,0)),"")</f>
        <v>CAJAMARCA</v>
      </c>
    </row>
    <row r="121" spans="1:16" ht="16.05" customHeight="1" x14ac:dyDescent="0.3">
      <c r="A121" t="s">
        <v>327</v>
      </c>
      <c r="B121" t="s">
        <v>328</v>
      </c>
      <c r="C121" s="36" t="str">
        <f>IFERROR(ISCAM_Score!AL122,"—")</f>
        <v>—</v>
      </c>
      <c r="D121" t="str">
        <f t="shared" si="6"/>
        <v>— Sin Inst.2</v>
      </c>
      <c r="E121" t="str">
        <f t="shared" si="7"/>
        <v/>
      </c>
      <c r="F121" t="str">
        <f>IF(MATRIZ_174!L121="","",MATRIZ_174!L121)</f>
        <v/>
      </c>
      <c r="G121" t="str">
        <f>IFERROR(MATRIZ_174!M121,0)</f>
        <v/>
      </c>
      <c r="H121" t="str">
        <f>IF(NORMALIZADO!CC121="","",NORMALIZADO!CC121)</f>
        <v/>
      </c>
      <c r="I121" t="str">
        <f>IF(NORMALIZADO!CF121="","",NORMALIZADO!CF121)</f>
        <v/>
      </c>
      <c r="J121" t="str">
        <f>IF(NORMALIZADO!CG121="","",NORMALIZADO!CG121)</f>
        <v/>
      </c>
      <c r="K121">
        <f>IFERROR(INDEX(MATRIZ_174!$U:$U,MATCH(A121,MATRIZ_174!$A:$A,0))*100,"")</f>
        <v>100</v>
      </c>
      <c r="L121" t="str">
        <f>IFERROR(MATRIZ_174!O121,0)</f>
        <v/>
      </c>
      <c r="N121" t="str">
        <f>IFERROR(ISCAM_Score!AC122,"")</f>
        <v>⬜  Pendiente de instrumento</v>
      </c>
      <c r="O121" t="s">
        <v>249</v>
      </c>
      <c r="P121" t="str">
        <f>IFERROR(INDEX(MATRIZ_174!$C:$C,MATCH(A121,MATRIZ_174!$A:$A,0)),"")</f>
        <v>PASCO</v>
      </c>
    </row>
    <row r="122" spans="1:16" ht="16.05" customHeight="1" x14ac:dyDescent="0.3">
      <c r="A122" t="s">
        <v>329</v>
      </c>
      <c r="B122" t="s">
        <v>330</v>
      </c>
      <c r="C122" s="36" t="str">
        <f>IFERROR(ISCAM_Score!AL123,"—")</f>
        <v>—</v>
      </c>
      <c r="D122" t="str">
        <f t="shared" si="6"/>
        <v>— Sin Inst.2</v>
      </c>
      <c r="E122" t="str">
        <f t="shared" si="7"/>
        <v/>
      </c>
      <c r="F122" t="str">
        <f>IF(MATRIZ_174!L122="","",MATRIZ_174!L122)</f>
        <v/>
      </c>
      <c r="G122" t="str">
        <f>IFERROR(MATRIZ_174!M122,0)</f>
        <v/>
      </c>
      <c r="H122" t="str">
        <f>IF(NORMALIZADO!CC122="","",NORMALIZADO!CC122)</f>
        <v/>
      </c>
      <c r="I122" t="str">
        <f>IF(NORMALIZADO!CF122="","",NORMALIZADO!CF122)</f>
        <v/>
      </c>
      <c r="J122" t="str">
        <f>IF(NORMALIZADO!CG122="","",NORMALIZADO!CG122)</f>
        <v/>
      </c>
      <c r="K122">
        <f>IFERROR(INDEX(MATRIZ_174!$U:$U,MATCH(A122,MATRIZ_174!$A:$A,0))*100,"")</f>
        <v>100</v>
      </c>
      <c r="L122" t="str">
        <f>IFERROR(MATRIZ_174!O122,0)</f>
        <v/>
      </c>
      <c r="N122" t="str">
        <f>IFERROR(ISCAM_Score!AC123,"")</f>
        <v>⬜  Pendiente de instrumento</v>
      </c>
      <c r="O122" t="s">
        <v>119</v>
      </c>
      <c r="P122" t="str">
        <f>IFERROR(INDEX(MATRIZ_174!$C:$C,MATCH(A122,MATRIZ_174!$A:$A,0)),"")</f>
        <v>HUANUCO</v>
      </c>
    </row>
    <row r="123" spans="1:16" ht="16.05" customHeight="1" x14ac:dyDescent="0.3">
      <c r="A123" t="s">
        <v>331</v>
      </c>
      <c r="B123" t="s">
        <v>332</v>
      </c>
      <c r="C123" s="36" t="str">
        <f>IFERROR(ISCAM_Score!AL124,"—")</f>
        <v>—</v>
      </c>
      <c r="D123" t="str">
        <f t="shared" si="6"/>
        <v>— Sin Inst.2</v>
      </c>
      <c r="E123" t="str">
        <f t="shared" si="7"/>
        <v/>
      </c>
      <c r="F123" t="str">
        <f>IF(MATRIZ_174!L123="","",MATRIZ_174!L123)</f>
        <v/>
      </c>
      <c r="G123" t="str">
        <f>IFERROR(MATRIZ_174!M123,0)</f>
        <v/>
      </c>
      <c r="H123" t="str">
        <f>IF(NORMALIZADO!CC123="","",NORMALIZADO!CC123)</f>
        <v/>
      </c>
      <c r="I123" t="str">
        <f>IF(NORMALIZADO!CF123="","",NORMALIZADO!CF123)</f>
        <v/>
      </c>
      <c r="J123" t="str">
        <f>IF(NORMALIZADO!CG123="","",NORMALIZADO!CG123)</f>
        <v/>
      </c>
      <c r="K123">
        <f>IFERROR(INDEX(MATRIZ_174!$U:$U,MATCH(A123,MATRIZ_174!$A:$A,0))*100,"")</f>
        <v>100</v>
      </c>
      <c r="L123" t="str">
        <f>IFERROR(MATRIZ_174!O123,0)</f>
        <v/>
      </c>
      <c r="N123" t="str">
        <f>IFERROR(ISCAM_Score!AC124,"")</f>
        <v>⬜  Pendiente de instrumento</v>
      </c>
      <c r="O123" t="s">
        <v>77</v>
      </c>
      <c r="P123" t="str">
        <f>IFERROR(INDEX(MATRIZ_174!$C:$C,MATCH(A123,MATRIZ_174!$A:$A,0)),"")</f>
        <v>JUNIN</v>
      </c>
    </row>
    <row r="124" spans="1:16" ht="16.05" customHeight="1" x14ac:dyDescent="0.3">
      <c r="A124" t="s">
        <v>333</v>
      </c>
      <c r="B124" t="s">
        <v>334</v>
      </c>
      <c r="C124" s="36" t="str">
        <f>IFERROR(ISCAM_Score!AL125,"—")</f>
        <v>—</v>
      </c>
      <c r="D124" t="str">
        <f t="shared" si="6"/>
        <v>— Sin Inst.2</v>
      </c>
      <c r="E124" t="str">
        <f t="shared" si="7"/>
        <v/>
      </c>
      <c r="F124">
        <f>IF(MATRIZ_174!L124="","",MATRIZ_174!L124)</f>
        <v>0</v>
      </c>
      <c r="G124">
        <f>IFERROR(MATRIZ_174!M124,0)</f>
        <v>0</v>
      </c>
      <c r="H124" t="str">
        <f>IF(NORMALIZADO!CC124="","",NORMALIZADO!CC124)</f>
        <v/>
      </c>
      <c r="I124" t="str">
        <f>IF(NORMALIZADO!CF124="","",NORMALIZADO!CF124)</f>
        <v/>
      </c>
      <c r="J124" t="str">
        <f>IF(NORMALIZADO!CG124="","",NORMALIZADO!CG124)</f>
        <v/>
      </c>
      <c r="K124">
        <f>IFERROR(INDEX(MATRIZ_174!$U:$U,MATCH(A124,MATRIZ_174!$A:$A,0))*100,"")</f>
        <v>100</v>
      </c>
      <c r="L124">
        <f>IFERROR(MATRIZ_174!O124,0)</f>
        <v>1</v>
      </c>
      <c r="N124" t="str">
        <f>IFERROR(ISCAM_Score!AC125,"")</f>
        <v>⬜  Pendiente de instrumento</v>
      </c>
      <c r="O124" t="s">
        <v>112</v>
      </c>
      <c r="P124" t="str">
        <f>IFERROR(INDEX(MATRIZ_174!$C:$C,MATCH(A124,MATRIZ_174!$A:$A,0)),"")</f>
        <v>AMAZONAS</v>
      </c>
    </row>
    <row r="125" spans="1:16" ht="16.05" customHeight="1" x14ac:dyDescent="0.3">
      <c r="A125" t="s">
        <v>336</v>
      </c>
      <c r="B125" t="s">
        <v>337</v>
      </c>
      <c r="C125" s="36" t="str">
        <f>IFERROR(ISCAM_Score!AL126,"—")</f>
        <v>—</v>
      </c>
      <c r="D125" t="str">
        <f t="shared" si="6"/>
        <v>— Sin Inst.2</v>
      </c>
      <c r="E125" t="str">
        <f t="shared" si="7"/>
        <v/>
      </c>
      <c r="F125" t="str">
        <f>IF(MATRIZ_174!L125="","",MATRIZ_174!L125)</f>
        <v/>
      </c>
      <c r="G125" t="str">
        <f>IFERROR(MATRIZ_174!M125,0)</f>
        <v/>
      </c>
      <c r="H125" t="str">
        <f>IF(NORMALIZADO!CC125="","",NORMALIZADO!CC125)</f>
        <v/>
      </c>
      <c r="I125" t="str">
        <f>IF(NORMALIZADO!CF125="","",NORMALIZADO!CF125)</f>
        <v/>
      </c>
      <c r="J125" t="str">
        <f>IF(NORMALIZADO!CG125="","",NORMALIZADO!CG125)</f>
        <v/>
      </c>
      <c r="K125">
        <f>IFERROR(INDEX(MATRIZ_174!$U:$U,MATCH(A125,MATRIZ_174!$A:$A,0))*100,"")</f>
        <v>100</v>
      </c>
      <c r="L125" t="str">
        <f>IFERROR(MATRIZ_174!O125,0)</f>
        <v/>
      </c>
      <c r="N125" t="str">
        <f>IFERROR(ISCAM_Score!AC126,"")</f>
        <v>⬜  Pendiente de instrumento</v>
      </c>
      <c r="O125" t="s">
        <v>77</v>
      </c>
      <c r="P125" t="str">
        <f>IFERROR(INDEX(MATRIZ_174!$C:$C,MATCH(A125,MATRIZ_174!$A:$A,0)),"")</f>
        <v>JUNIN</v>
      </c>
    </row>
    <row r="126" spans="1:16" ht="16.05" customHeight="1" x14ac:dyDescent="0.3">
      <c r="A126" t="s">
        <v>338</v>
      </c>
      <c r="B126" t="s">
        <v>339</v>
      </c>
      <c r="C126" s="36" t="str">
        <f>IFERROR(ISCAM_Score!AL127,"—")</f>
        <v>—</v>
      </c>
      <c r="D126" t="str">
        <f t="shared" si="6"/>
        <v>— Sin Inst.2</v>
      </c>
      <c r="E126" t="str">
        <f t="shared" si="7"/>
        <v/>
      </c>
      <c r="F126" t="str">
        <f>IF(MATRIZ_174!L126="","",MATRIZ_174!L126)</f>
        <v/>
      </c>
      <c r="G126" t="str">
        <f>IFERROR(MATRIZ_174!M126,0)</f>
        <v/>
      </c>
      <c r="H126" t="str">
        <f>IF(NORMALIZADO!CC126="","",NORMALIZADO!CC126)</f>
        <v/>
      </c>
      <c r="I126" t="str">
        <f>IF(NORMALIZADO!CF126="","",NORMALIZADO!CF126)</f>
        <v/>
      </c>
      <c r="J126" t="str">
        <f>IF(NORMALIZADO!CG126="","",NORMALIZADO!CG126)</f>
        <v/>
      </c>
      <c r="K126">
        <f>IFERROR(INDEX(MATRIZ_174!$U:$U,MATCH(A126,MATRIZ_174!$A:$A,0))*100,"")</f>
        <v>100</v>
      </c>
      <c r="L126" t="str">
        <f>IFERROR(MATRIZ_174!O126,0)</f>
        <v/>
      </c>
      <c r="N126" t="str">
        <f>IFERROR(ISCAM_Score!AC127,"")</f>
        <v>⬜  Pendiente de instrumento</v>
      </c>
      <c r="O126" t="s">
        <v>77</v>
      </c>
      <c r="P126" t="str">
        <f>IFERROR(INDEX(MATRIZ_174!$C:$C,MATCH(A126,MATRIZ_174!$A:$A,0)),"")</f>
        <v>JUNIN</v>
      </c>
    </row>
    <row r="127" spans="1:16" ht="16.05" customHeight="1" x14ac:dyDescent="0.3">
      <c r="A127" t="s">
        <v>340</v>
      </c>
      <c r="B127" t="s">
        <v>341</v>
      </c>
      <c r="C127" s="36" t="str">
        <f>IFERROR(ISCAM_Score!AL128,"—")</f>
        <v>—</v>
      </c>
      <c r="D127" t="str">
        <f t="shared" si="6"/>
        <v>— Sin Inst.2</v>
      </c>
      <c r="E127" t="str">
        <f t="shared" si="7"/>
        <v/>
      </c>
      <c r="F127" t="str">
        <f>IF(MATRIZ_174!L127="","",MATRIZ_174!L127)</f>
        <v/>
      </c>
      <c r="G127" t="str">
        <f>IFERROR(MATRIZ_174!M127,0)</f>
        <v/>
      </c>
      <c r="H127" t="str">
        <f>IF(NORMALIZADO!CC127="","",NORMALIZADO!CC127)</f>
        <v/>
      </c>
      <c r="I127" t="str">
        <f>IF(NORMALIZADO!CF127="","",NORMALIZADO!CF127)</f>
        <v/>
      </c>
      <c r="J127" t="str">
        <f>IF(NORMALIZADO!CG127="","",NORMALIZADO!CG127)</f>
        <v/>
      </c>
      <c r="K127">
        <f>IFERROR(INDEX(MATRIZ_174!$U:$U,MATCH(A127,MATRIZ_174!$A:$A,0))*100,"")</f>
        <v>100</v>
      </c>
      <c r="L127" t="str">
        <f>IFERROR(MATRIZ_174!O127,0)</f>
        <v/>
      </c>
      <c r="N127" t="str">
        <f>IFERROR(ISCAM_Score!AC128,"")</f>
        <v>⬜  Pendiente de instrumento</v>
      </c>
      <c r="O127" t="s">
        <v>77</v>
      </c>
      <c r="P127" t="str">
        <f>IFERROR(INDEX(MATRIZ_174!$C:$C,MATCH(A127,MATRIZ_174!$A:$A,0)),"")</f>
        <v>JUNIN</v>
      </c>
    </row>
    <row r="128" spans="1:16" ht="16.05" customHeight="1" x14ac:dyDescent="0.3">
      <c r="A128" t="s">
        <v>342</v>
      </c>
      <c r="B128" t="s">
        <v>343</v>
      </c>
      <c r="C128" s="36" t="str">
        <f>IFERROR(ISCAM_Score!AL129,"—")</f>
        <v>—</v>
      </c>
      <c r="D128" t="str">
        <f t="shared" si="6"/>
        <v>— Sin Inst.2</v>
      </c>
      <c r="E128" t="str">
        <f t="shared" si="7"/>
        <v/>
      </c>
      <c r="F128">
        <f>IF(MATRIZ_174!L128="","",MATRIZ_174!L128)</f>
        <v>6983136.6699999999</v>
      </c>
      <c r="G128">
        <f>IFERROR(MATRIZ_174!M128,0)</f>
        <v>50</v>
      </c>
      <c r="H128" t="str">
        <f>IF(NORMALIZADO!CC128="","",NORMALIZADO!CC128)</f>
        <v/>
      </c>
      <c r="I128" t="str">
        <f>IF(NORMALIZADO!CF128="","",NORMALIZADO!CF128)</f>
        <v/>
      </c>
      <c r="J128" t="str">
        <f>IF(NORMALIZADO!CG128="","",NORMALIZADO!CG128)</f>
        <v/>
      </c>
      <c r="K128">
        <f>IFERROR(INDEX(MATRIZ_174!$U:$U,MATCH(A128,MATRIZ_174!$A:$A,0))*100,"")</f>
        <v>100</v>
      </c>
      <c r="L128" t="str">
        <f>IFERROR(MATRIZ_174!O128,0)</f>
        <v/>
      </c>
      <c r="N128" t="str">
        <f>IFERROR(ISCAM_Score!AC129,"")</f>
        <v>⬜  Pendiente de instrumento</v>
      </c>
      <c r="O128" t="s">
        <v>112</v>
      </c>
      <c r="P128" t="str">
        <f>IFERROR(INDEX(MATRIZ_174!$C:$C,MATCH(A128,MATRIZ_174!$A:$A,0)),"")</f>
        <v>AMAZONAS</v>
      </c>
    </row>
    <row r="129" spans="1:16" ht="16.05" customHeight="1" x14ac:dyDescent="0.3">
      <c r="A129" t="s">
        <v>344</v>
      </c>
      <c r="B129" t="s">
        <v>345</v>
      </c>
      <c r="C129" s="36" t="str">
        <f>IFERROR(ISCAM_Score!AL130,"—")</f>
        <v>—</v>
      </c>
      <c r="D129" t="str">
        <f t="shared" si="6"/>
        <v>— Sin Inst.2</v>
      </c>
      <c r="E129" t="str">
        <f t="shared" si="7"/>
        <v/>
      </c>
      <c r="F129" t="str">
        <f>IF(MATRIZ_174!L129="","",MATRIZ_174!L129)</f>
        <v/>
      </c>
      <c r="G129" t="str">
        <f>IFERROR(MATRIZ_174!M129,0)</f>
        <v/>
      </c>
      <c r="H129" t="str">
        <f>IF(NORMALIZADO!CC129="","",NORMALIZADO!CC129)</f>
        <v/>
      </c>
      <c r="I129" t="str">
        <f>IF(NORMALIZADO!CF129="","",NORMALIZADO!CF129)</f>
        <v/>
      </c>
      <c r="J129" t="str">
        <f>IF(NORMALIZADO!CG129="","",NORMALIZADO!CG129)</f>
        <v/>
      </c>
      <c r="K129">
        <f>IFERROR(INDEX(MATRIZ_174!$U:$U,MATCH(A129,MATRIZ_174!$A:$A,0))*100,"")</f>
        <v>100</v>
      </c>
      <c r="L129" t="str">
        <f>IFERROR(MATRIZ_174!O129,0)</f>
        <v/>
      </c>
      <c r="N129" t="str">
        <f>IFERROR(ISCAM_Score!AC130,"")</f>
        <v>⬜  Pendiente de instrumento</v>
      </c>
      <c r="O129" t="s">
        <v>109</v>
      </c>
      <c r="P129" t="str">
        <f>IFERROR(INDEX(MATRIZ_174!$C:$C,MATCH(A129,MATRIZ_174!$A:$A,0)),"")</f>
        <v>UCAYALI</v>
      </c>
    </row>
    <row r="130" spans="1:16" ht="16.05" customHeight="1" x14ac:dyDescent="0.3">
      <c r="A130" t="s">
        <v>346</v>
      </c>
      <c r="B130" t="s">
        <v>347</v>
      </c>
      <c r="C130" s="36" t="str">
        <f>IFERROR(ISCAM_Score!AL131,"—")</f>
        <v>—</v>
      </c>
      <c r="D130" t="str">
        <f t="shared" si="6"/>
        <v>— Sin Inst.2</v>
      </c>
      <c r="E130" t="str">
        <f t="shared" si="7"/>
        <v/>
      </c>
      <c r="F130">
        <f>IF(MATRIZ_174!L130="","",MATRIZ_174!L130)</f>
        <v>0</v>
      </c>
      <c r="G130">
        <f>IFERROR(MATRIZ_174!M130,0)</f>
        <v>0</v>
      </c>
      <c r="H130" t="str">
        <f>IF(NORMALIZADO!CC130="","",NORMALIZADO!CC130)</f>
        <v/>
      </c>
      <c r="I130" t="str">
        <f>IF(NORMALIZADO!CF130="","",NORMALIZADO!CF130)</f>
        <v/>
      </c>
      <c r="J130" t="str">
        <f>IF(NORMALIZADO!CG130="","",NORMALIZADO!CG130)</f>
        <v/>
      </c>
      <c r="K130">
        <f>IFERROR(INDEX(MATRIZ_174!$U:$U,MATCH(A130,MATRIZ_174!$A:$A,0))*100,"")</f>
        <v>100</v>
      </c>
      <c r="L130">
        <f>IFERROR(MATRIZ_174!O130,0)</f>
        <v>1</v>
      </c>
      <c r="N130" t="str">
        <f>IFERROR(ISCAM_Score!AC131,"")</f>
        <v>⬜  Pendiente de instrumento</v>
      </c>
      <c r="O130" t="s">
        <v>249</v>
      </c>
      <c r="P130" t="str">
        <f>IFERROR(INDEX(MATRIZ_174!$C:$C,MATCH(A130,MATRIZ_174!$A:$A,0)),"")</f>
        <v>PASCO</v>
      </c>
    </row>
    <row r="131" spans="1:16" ht="16.05" customHeight="1" x14ac:dyDescent="0.3">
      <c r="A131" t="s">
        <v>349</v>
      </c>
      <c r="B131" t="s">
        <v>350</v>
      </c>
      <c r="C131" s="36" t="str">
        <f>IFERROR(ISCAM_Score!AL132,"—")</f>
        <v>—</v>
      </c>
      <c r="D131" t="str">
        <f t="shared" ref="D131:D162" si="8">IF(C131="—","— Sin Inst.2",IF(C131&lt;34,"🔴  Crítico",IF(C131&lt;67,"🟡  Vulnerable","🟢  Preparado")))</f>
        <v>— Sin Inst.2</v>
      </c>
      <c r="E131" t="str">
        <f t="shared" ref="E131:E162" si="9">IFERROR(RANK(C131,C:C,-1),"")</f>
        <v/>
      </c>
      <c r="F131" t="str">
        <f>IF(MATRIZ_174!L131="","",MATRIZ_174!L131)</f>
        <v/>
      </c>
      <c r="G131" t="str">
        <f>IFERROR(MATRIZ_174!M131,0)</f>
        <v/>
      </c>
      <c r="H131" t="str">
        <f>IF(NORMALIZADO!CC131="","",NORMALIZADO!CC131)</f>
        <v/>
      </c>
      <c r="I131" t="str">
        <f>IF(NORMALIZADO!CF131="","",NORMALIZADO!CF131)</f>
        <v/>
      </c>
      <c r="J131" t="str">
        <f>IF(NORMALIZADO!CG131="","",NORMALIZADO!CG131)</f>
        <v/>
      </c>
      <c r="K131">
        <f>IFERROR(INDEX(MATRIZ_174!$U:$U,MATCH(A131,MATRIZ_174!$A:$A,0))*100,"")</f>
        <v>100</v>
      </c>
      <c r="L131" t="str">
        <f>IFERROR(MATRIZ_174!O131,0)</f>
        <v/>
      </c>
      <c r="N131" t="str">
        <f>IFERROR(ISCAM_Score!AC132,"")</f>
        <v>⬜  Pendiente de instrumento</v>
      </c>
      <c r="O131" t="s">
        <v>77</v>
      </c>
      <c r="P131" t="str">
        <f>IFERROR(INDEX(MATRIZ_174!$C:$C,MATCH(A131,MATRIZ_174!$A:$A,0)),"")</f>
        <v>JUNIN</v>
      </c>
    </row>
    <row r="132" spans="1:16" ht="16.05" customHeight="1" x14ac:dyDescent="0.3">
      <c r="A132" t="s">
        <v>351</v>
      </c>
      <c r="B132" t="s">
        <v>352</v>
      </c>
      <c r="C132" s="36" t="str">
        <f>IFERROR(ISCAM_Score!AL133,"—")</f>
        <v>—</v>
      </c>
      <c r="D132" t="str">
        <f t="shared" si="8"/>
        <v>— Sin Inst.2</v>
      </c>
      <c r="E132" t="str">
        <f t="shared" si="9"/>
        <v/>
      </c>
      <c r="F132" t="str">
        <f>IF(MATRIZ_174!L132="","",MATRIZ_174!L132)</f>
        <v/>
      </c>
      <c r="G132" t="str">
        <f>IFERROR(MATRIZ_174!M132,0)</f>
        <v/>
      </c>
      <c r="H132" t="str">
        <f>IF(NORMALIZADO!CC132="","",NORMALIZADO!CC132)</f>
        <v/>
      </c>
      <c r="I132" t="str">
        <f>IF(NORMALIZADO!CF132="","",NORMALIZADO!CF132)</f>
        <v/>
      </c>
      <c r="J132" t="str">
        <f>IF(NORMALIZADO!CG132="","",NORMALIZADO!CG132)</f>
        <v/>
      </c>
      <c r="K132">
        <f>IFERROR(INDEX(MATRIZ_174!$U:$U,MATCH(A132,MATRIZ_174!$A:$A,0))*100,"")</f>
        <v>100</v>
      </c>
      <c r="L132" t="str">
        <f>IFERROR(MATRIZ_174!O132,0)</f>
        <v/>
      </c>
      <c r="N132" t="str">
        <f>IFERROR(ISCAM_Score!AC133,"")</f>
        <v>⬜  Pendiente de instrumento</v>
      </c>
      <c r="O132" t="s">
        <v>109</v>
      </c>
      <c r="P132" t="str">
        <f>IFERROR(INDEX(MATRIZ_174!$C:$C,MATCH(A132,MATRIZ_174!$A:$A,0)),"")</f>
        <v>UCAYALI</v>
      </c>
    </row>
    <row r="133" spans="1:16" ht="16.05" customHeight="1" x14ac:dyDescent="0.3">
      <c r="A133" t="s">
        <v>353</v>
      </c>
      <c r="B133" t="s">
        <v>354</v>
      </c>
      <c r="C133" s="36" t="str">
        <f>IFERROR(ISCAM_Score!AL134,"—")</f>
        <v>—</v>
      </c>
      <c r="D133" t="str">
        <f t="shared" si="8"/>
        <v>— Sin Inst.2</v>
      </c>
      <c r="E133" t="str">
        <f t="shared" si="9"/>
        <v/>
      </c>
      <c r="F133" t="str">
        <f>IF(MATRIZ_174!L133="","",MATRIZ_174!L133)</f>
        <v/>
      </c>
      <c r="G133" t="str">
        <f>IFERROR(MATRIZ_174!M133,0)</f>
        <v/>
      </c>
      <c r="H133" t="str">
        <f>IF(NORMALIZADO!CC133="","",NORMALIZADO!CC133)</f>
        <v/>
      </c>
      <c r="I133" t="str">
        <f>IF(NORMALIZADO!CF133="","",NORMALIZADO!CF133)</f>
        <v/>
      </c>
      <c r="J133" t="str">
        <f>IF(NORMALIZADO!CG133="","",NORMALIZADO!CG133)</f>
        <v/>
      </c>
      <c r="K133">
        <f>IFERROR(INDEX(MATRIZ_174!$U:$U,MATCH(A133,MATRIZ_174!$A:$A,0))*100,"")</f>
        <v>100</v>
      </c>
      <c r="L133" t="str">
        <f>IFERROR(MATRIZ_174!O133,0)</f>
        <v/>
      </c>
      <c r="N133" t="str">
        <f>IFERROR(ISCAM_Score!AC134,"")</f>
        <v>⬜  Pendiente de instrumento</v>
      </c>
      <c r="O133" t="s">
        <v>103</v>
      </c>
      <c r="P133" t="str">
        <f>IFERROR(INDEX(MATRIZ_174!$C:$C,MATCH(A133,MATRIZ_174!$A:$A,0)),"")</f>
        <v>PIURA</v>
      </c>
    </row>
    <row r="134" spans="1:16" ht="16.05" customHeight="1" x14ac:dyDescent="0.3">
      <c r="A134" t="s">
        <v>355</v>
      </c>
      <c r="B134" t="s">
        <v>356</v>
      </c>
      <c r="C134" s="36" t="str">
        <f>IFERROR(ISCAM_Score!AL135,"—")</f>
        <v>—</v>
      </c>
      <c r="D134" t="str">
        <f t="shared" si="8"/>
        <v>— Sin Inst.2</v>
      </c>
      <c r="E134" t="str">
        <f t="shared" si="9"/>
        <v/>
      </c>
      <c r="F134" t="str">
        <f>IF(MATRIZ_174!L134="","",MATRIZ_174!L134)</f>
        <v/>
      </c>
      <c r="G134" t="str">
        <f>IFERROR(MATRIZ_174!M134,0)</f>
        <v/>
      </c>
      <c r="H134" t="str">
        <f>IF(NORMALIZADO!CC134="","",NORMALIZADO!CC134)</f>
        <v/>
      </c>
      <c r="I134" t="str">
        <f>IF(NORMALIZADO!CF134="","",NORMALIZADO!CF134)</f>
        <v/>
      </c>
      <c r="J134" t="str">
        <f>IF(NORMALIZADO!CG134="","",NORMALIZADO!CG134)</f>
        <v/>
      </c>
      <c r="K134">
        <f>IFERROR(INDEX(MATRIZ_174!$U:$U,MATCH(A134,MATRIZ_174!$A:$A,0))*100,"")</f>
        <v>100</v>
      </c>
      <c r="L134">
        <f>IFERROR(MATRIZ_174!O134,0)</f>
        <v>1</v>
      </c>
      <c r="N134" t="str">
        <f>IFERROR(ISCAM_Score!AC135,"")</f>
        <v>⬜  Pendiente de instrumento</v>
      </c>
      <c r="O134" t="s">
        <v>77</v>
      </c>
      <c r="P134" t="str">
        <f>IFERROR(INDEX(MATRIZ_174!$C:$C,MATCH(A134,MATRIZ_174!$A:$A,0)),"")</f>
        <v>JUNIN</v>
      </c>
    </row>
    <row r="135" spans="1:16" ht="16.05" customHeight="1" x14ac:dyDescent="0.3">
      <c r="A135" t="s">
        <v>358</v>
      </c>
      <c r="B135" t="s">
        <v>359</v>
      </c>
      <c r="C135" s="36" t="str">
        <f>IFERROR(ISCAM_Score!AL136,"—")</f>
        <v>—</v>
      </c>
      <c r="D135" t="str">
        <f t="shared" si="8"/>
        <v>— Sin Inst.2</v>
      </c>
      <c r="E135" t="str">
        <f t="shared" si="9"/>
        <v/>
      </c>
      <c r="F135">
        <f>IF(MATRIZ_174!L135="","",MATRIZ_174!L135)</f>
        <v>4575551.37</v>
      </c>
      <c r="G135">
        <f>IFERROR(MATRIZ_174!M135,0)</f>
        <v>66.900000000000006</v>
      </c>
      <c r="H135" t="str">
        <f>IF(NORMALIZADO!CC135="","",NORMALIZADO!CC135)</f>
        <v/>
      </c>
      <c r="I135" t="str">
        <f>IF(NORMALIZADO!CF135="","",NORMALIZADO!CF135)</f>
        <v/>
      </c>
      <c r="J135" t="str">
        <f>IF(NORMALIZADO!CG135="","",NORMALIZADO!CG135)</f>
        <v/>
      </c>
      <c r="K135">
        <f>IFERROR(INDEX(MATRIZ_174!$U:$U,MATCH(A135,MATRIZ_174!$A:$A,0))*100,"")</f>
        <v>100</v>
      </c>
      <c r="L135">
        <f>IFERROR(MATRIZ_174!O135,0)</f>
        <v>1</v>
      </c>
      <c r="N135" t="str">
        <f>IFERROR(ISCAM_Score!AC136,"")</f>
        <v>⬜  Pendiente de instrumento</v>
      </c>
      <c r="O135" t="s">
        <v>139</v>
      </c>
      <c r="P135" t="str">
        <f>IFERROR(INDEX(MATRIZ_174!$C:$C,MATCH(A135,MATRIZ_174!$A:$A,0)),"")</f>
        <v>SAN MARTIN</v>
      </c>
    </row>
    <row r="136" spans="1:16" ht="16.05" customHeight="1" x14ac:dyDescent="0.3">
      <c r="A136" t="s">
        <v>361</v>
      </c>
      <c r="B136" t="s">
        <v>362</v>
      </c>
      <c r="C136" s="36" t="str">
        <f>IFERROR(ISCAM_Score!AL137,"—")</f>
        <v>—</v>
      </c>
      <c r="D136" t="str">
        <f t="shared" si="8"/>
        <v>— Sin Inst.2</v>
      </c>
      <c r="E136" t="str">
        <f t="shared" si="9"/>
        <v/>
      </c>
      <c r="F136" t="str">
        <f>IF(MATRIZ_174!L136="","",MATRIZ_174!L136)</f>
        <v/>
      </c>
      <c r="G136" t="str">
        <f>IFERROR(MATRIZ_174!M136,0)</f>
        <v/>
      </c>
      <c r="H136" t="str">
        <f>IF(NORMALIZADO!CC136="","",NORMALIZADO!CC136)</f>
        <v/>
      </c>
      <c r="I136" t="str">
        <f>IF(NORMALIZADO!CF136="","",NORMALIZADO!CF136)</f>
        <v/>
      </c>
      <c r="J136" t="str">
        <f>IF(NORMALIZADO!CG136="","",NORMALIZADO!CG136)</f>
        <v/>
      </c>
      <c r="K136">
        <f>IFERROR(INDEX(MATRIZ_174!$U:$U,MATCH(A136,MATRIZ_174!$A:$A,0))*100,"")</f>
        <v>100</v>
      </c>
      <c r="L136" t="str">
        <f>IFERROR(MATRIZ_174!O136,0)</f>
        <v/>
      </c>
      <c r="N136" t="str">
        <f>IFERROR(ISCAM_Score!AC137,"")</f>
        <v>⬜  Pendiente de instrumento</v>
      </c>
      <c r="O136" t="s">
        <v>77</v>
      </c>
      <c r="P136" t="str">
        <f>IFERROR(INDEX(MATRIZ_174!$C:$C,MATCH(A136,MATRIZ_174!$A:$A,0)),"")</f>
        <v>JUNIN</v>
      </c>
    </row>
    <row r="137" spans="1:16" ht="16.05" customHeight="1" x14ac:dyDescent="0.3">
      <c r="A137" t="s">
        <v>363</v>
      </c>
      <c r="B137" t="s">
        <v>364</v>
      </c>
      <c r="C137" s="36" t="str">
        <f>IFERROR(ISCAM_Score!AL138,"—")</f>
        <v>—</v>
      </c>
      <c r="D137" t="str">
        <f t="shared" si="8"/>
        <v>— Sin Inst.2</v>
      </c>
      <c r="E137" t="str">
        <f t="shared" si="9"/>
        <v/>
      </c>
      <c r="F137" t="str">
        <f>IF(MATRIZ_174!L137="","",MATRIZ_174!L137)</f>
        <v/>
      </c>
      <c r="G137" t="str">
        <f>IFERROR(MATRIZ_174!M137,0)</f>
        <v/>
      </c>
      <c r="H137" t="str">
        <f>IF(NORMALIZADO!CC137="","",NORMALIZADO!CC137)</f>
        <v/>
      </c>
      <c r="I137" t="str">
        <f>IF(NORMALIZADO!CF137="","",NORMALIZADO!CF137)</f>
        <v/>
      </c>
      <c r="J137" t="str">
        <f>IF(NORMALIZADO!CG137="","",NORMALIZADO!CG137)</f>
        <v/>
      </c>
      <c r="K137">
        <f>IFERROR(INDEX(MATRIZ_174!$U:$U,MATCH(A137,MATRIZ_174!$A:$A,0))*100,"")</f>
        <v>100</v>
      </c>
      <c r="L137" t="str">
        <f>IFERROR(MATRIZ_174!O137,0)</f>
        <v/>
      </c>
      <c r="N137" t="str">
        <f>IFERROR(ISCAM_Score!AC138,"")</f>
        <v>⬜  Pendiente de instrumento</v>
      </c>
      <c r="O137" t="s">
        <v>80</v>
      </c>
      <c r="P137" t="str">
        <f>IFERROR(INDEX(MATRIZ_174!$C:$C,MATCH(A137,MATRIZ_174!$A:$A,0)),"")</f>
        <v>CUSCO</v>
      </c>
    </row>
    <row r="138" spans="1:16" ht="16.05" customHeight="1" x14ac:dyDescent="0.3">
      <c r="A138" t="s">
        <v>365</v>
      </c>
      <c r="B138" t="s">
        <v>366</v>
      </c>
      <c r="C138" s="36" t="str">
        <f>IFERROR(ISCAM_Score!AL139,"—")</f>
        <v>—</v>
      </c>
      <c r="D138" t="str">
        <f t="shared" si="8"/>
        <v>— Sin Inst.2</v>
      </c>
      <c r="E138" t="str">
        <f t="shared" si="9"/>
        <v/>
      </c>
      <c r="F138">
        <f>IF(MATRIZ_174!L138="","",MATRIZ_174!L138)</f>
        <v>80500</v>
      </c>
      <c r="G138">
        <f>IFERROR(MATRIZ_174!M138,0)</f>
        <v>50</v>
      </c>
      <c r="H138" t="str">
        <f>IF(NORMALIZADO!CC138="","",NORMALIZADO!CC138)</f>
        <v/>
      </c>
      <c r="I138" t="str">
        <f>IF(NORMALIZADO!CF138="","",NORMALIZADO!CF138)</f>
        <v/>
      </c>
      <c r="J138" t="str">
        <f>IF(NORMALIZADO!CG138="","",NORMALIZADO!CG138)</f>
        <v/>
      </c>
      <c r="K138">
        <f>IFERROR(INDEX(MATRIZ_174!$U:$U,MATCH(A138,MATRIZ_174!$A:$A,0))*100,"")</f>
        <v>100</v>
      </c>
      <c r="L138" t="str">
        <f>IFERROR(MATRIZ_174!O138,0)</f>
        <v/>
      </c>
      <c r="N138" t="str">
        <f>IFERROR(ISCAM_Score!AC139,"")</f>
        <v>⬜  Pendiente de instrumento</v>
      </c>
      <c r="O138" t="s">
        <v>112</v>
      </c>
      <c r="P138" t="str">
        <f>IFERROR(INDEX(MATRIZ_174!$C:$C,MATCH(A138,MATRIZ_174!$A:$A,0)),"")</f>
        <v>AMAZONAS</v>
      </c>
    </row>
    <row r="139" spans="1:16" ht="16.05" customHeight="1" x14ac:dyDescent="0.3">
      <c r="A139" t="s">
        <v>367</v>
      </c>
      <c r="B139" t="s">
        <v>368</v>
      </c>
      <c r="C139" s="36" t="str">
        <f>IFERROR(ISCAM_Score!AL140,"—")</f>
        <v>—</v>
      </c>
      <c r="D139" t="str">
        <f t="shared" si="8"/>
        <v>— Sin Inst.2</v>
      </c>
      <c r="E139" t="str">
        <f t="shared" si="9"/>
        <v/>
      </c>
      <c r="F139" t="str">
        <f>IF(MATRIZ_174!L139="","",MATRIZ_174!L139)</f>
        <v/>
      </c>
      <c r="G139" t="str">
        <f>IFERROR(MATRIZ_174!M139,0)</f>
        <v/>
      </c>
      <c r="H139" t="str">
        <f>IF(NORMALIZADO!CC139="","",NORMALIZADO!CC139)</f>
        <v/>
      </c>
      <c r="I139" t="str">
        <f>IF(NORMALIZADO!CF139="","",NORMALIZADO!CF139)</f>
        <v/>
      </c>
      <c r="J139" t="str">
        <f>IF(NORMALIZADO!CG139="","",NORMALIZADO!CG139)</f>
        <v/>
      </c>
      <c r="K139">
        <f>IFERROR(INDEX(MATRIZ_174!$U:$U,MATCH(A139,MATRIZ_174!$A:$A,0))*100,"")</f>
        <v>100</v>
      </c>
      <c r="L139" t="str">
        <f>IFERROR(MATRIZ_174!O139,0)</f>
        <v/>
      </c>
      <c r="N139" t="str">
        <f>IFERROR(ISCAM_Score!AC140,"")</f>
        <v>⬜  Pendiente de instrumento</v>
      </c>
      <c r="O139" t="s">
        <v>192</v>
      </c>
      <c r="P139" t="str">
        <f>IFERROR(INDEX(MATRIZ_174!$C:$C,MATCH(A139,MATRIZ_174!$A:$A,0)),"")</f>
        <v>LORETO</v>
      </c>
    </row>
    <row r="140" spans="1:16" ht="16.05" customHeight="1" x14ac:dyDescent="0.3">
      <c r="A140" t="s">
        <v>369</v>
      </c>
      <c r="B140" t="s">
        <v>370</v>
      </c>
      <c r="C140" s="36" t="str">
        <f>IFERROR(ISCAM_Score!AL141,"—")</f>
        <v>—</v>
      </c>
      <c r="D140" t="str">
        <f t="shared" si="8"/>
        <v>— Sin Inst.2</v>
      </c>
      <c r="E140" t="str">
        <f t="shared" si="9"/>
        <v/>
      </c>
      <c r="F140">
        <f>IF(MATRIZ_174!L140="","",MATRIZ_174!L140)</f>
        <v>0</v>
      </c>
      <c r="G140">
        <f>IFERROR(MATRIZ_174!M140,0)</f>
        <v>0</v>
      </c>
      <c r="H140" t="str">
        <f>IF(NORMALIZADO!CC140="","",NORMALIZADO!CC140)</f>
        <v/>
      </c>
      <c r="I140" t="str">
        <f>IF(NORMALIZADO!CF140="","",NORMALIZADO!CF140)</f>
        <v/>
      </c>
      <c r="J140" t="str">
        <f>IF(NORMALIZADO!CG140="","",NORMALIZADO!CG140)</f>
        <v/>
      </c>
      <c r="K140">
        <f>IFERROR(INDEX(MATRIZ_174!$U:$U,MATCH(A140,MATRIZ_174!$A:$A,0))*100,"")</f>
        <v>100</v>
      </c>
      <c r="L140" t="str">
        <f>IFERROR(MATRIZ_174!O140,0)</f>
        <v/>
      </c>
      <c r="N140" t="str">
        <f>IFERROR(ISCAM_Score!AC141,"")</f>
        <v>⬜  Pendiente de instrumento</v>
      </c>
      <c r="O140" t="s">
        <v>77</v>
      </c>
      <c r="P140" t="str">
        <f>IFERROR(INDEX(MATRIZ_174!$C:$C,MATCH(A140,MATRIZ_174!$A:$A,0)),"")</f>
        <v>JUNIN</v>
      </c>
    </row>
    <row r="141" spans="1:16" ht="16.05" customHeight="1" x14ac:dyDescent="0.3">
      <c r="A141" t="s">
        <v>371</v>
      </c>
      <c r="B141" t="s">
        <v>372</v>
      </c>
      <c r="C141" s="36" t="str">
        <f>IFERROR(ISCAM_Score!AL142,"—")</f>
        <v>—</v>
      </c>
      <c r="D141" t="str">
        <f t="shared" si="8"/>
        <v>— Sin Inst.2</v>
      </c>
      <c r="E141" t="str">
        <f t="shared" si="9"/>
        <v/>
      </c>
      <c r="F141" t="str">
        <f>IF(MATRIZ_174!L141="","",MATRIZ_174!L141)</f>
        <v/>
      </c>
      <c r="G141" t="str">
        <f>IFERROR(MATRIZ_174!M141,0)</f>
        <v/>
      </c>
      <c r="H141" t="str">
        <f>IF(NORMALIZADO!CC141="","",NORMALIZADO!CC141)</f>
        <v/>
      </c>
      <c r="I141" t="str">
        <f>IF(NORMALIZADO!CF141="","",NORMALIZADO!CF141)</f>
        <v/>
      </c>
      <c r="J141" t="str">
        <f>IF(NORMALIZADO!CG141="","",NORMALIZADO!CG141)</f>
        <v/>
      </c>
      <c r="K141">
        <f>IFERROR(INDEX(MATRIZ_174!$U:$U,MATCH(A141,MATRIZ_174!$A:$A,0))*100,"")</f>
        <v>100</v>
      </c>
      <c r="L141" t="str">
        <f>IFERROR(MATRIZ_174!O141,0)</f>
        <v/>
      </c>
      <c r="N141" t="str">
        <f>IFERROR(ISCAM_Score!AC142,"")</f>
        <v>⬜  Pendiente de instrumento</v>
      </c>
      <c r="O141" t="s">
        <v>80</v>
      </c>
      <c r="P141" t="str">
        <f>IFERROR(INDEX(MATRIZ_174!$C:$C,MATCH(A141,MATRIZ_174!$A:$A,0)),"")</f>
        <v>CUSCO</v>
      </c>
    </row>
    <row r="142" spans="1:16" ht="16.05" customHeight="1" x14ac:dyDescent="0.3">
      <c r="A142" t="s">
        <v>373</v>
      </c>
      <c r="B142" t="s">
        <v>374</v>
      </c>
      <c r="C142" s="36" t="str">
        <f>IFERROR(ISCAM_Score!AL143,"—")</f>
        <v>—</v>
      </c>
      <c r="D142" t="str">
        <f t="shared" si="8"/>
        <v>— Sin Inst.2</v>
      </c>
      <c r="E142" t="str">
        <f t="shared" si="9"/>
        <v/>
      </c>
      <c r="F142" t="str">
        <f>IF(MATRIZ_174!L142="","",MATRIZ_174!L142)</f>
        <v/>
      </c>
      <c r="G142" t="str">
        <f>IFERROR(MATRIZ_174!M142,0)</f>
        <v/>
      </c>
      <c r="H142" t="str">
        <f>IF(NORMALIZADO!CC142="","",NORMALIZADO!CC142)</f>
        <v/>
      </c>
      <c r="I142" t="str">
        <f>IF(NORMALIZADO!CF142="","",NORMALIZADO!CF142)</f>
        <v/>
      </c>
      <c r="J142" t="str">
        <f>IF(NORMALIZADO!CG142="","",NORMALIZADO!CG142)</f>
        <v/>
      </c>
      <c r="K142">
        <f>IFERROR(INDEX(MATRIZ_174!$U:$U,MATCH(A142,MATRIZ_174!$A:$A,0))*100,"")</f>
        <v>100</v>
      </c>
      <c r="L142" t="str">
        <f>IFERROR(MATRIZ_174!O142,0)</f>
        <v/>
      </c>
      <c r="N142" t="str">
        <f>IFERROR(ISCAM_Score!AC143,"")</f>
        <v>⬜  Pendiente de instrumento</v>
      </c>
      <c r="O142" t="s">
        <v>80</v>
      </c>
      <c r="P142" t="str">
        <f>IFERROR(INDEX(MATRIZ_174!$C:$C,MATCH(A142,MATRIZ_174!$A:$A,0)),"")</f>
        <v>CUSCO</v>
      </c>
    </row>
    <row r="143" spans="1:16" ht="16.05" customHeight="1" x14ac:dyDescent="0.3">
      <c r="A143" t="s">
        <v>375</v>
      </c>
      <c r="B143" t="s">
        <v>376</v>
      </c>
      <c r="C143" s="36" t="str">
        <f>IFERROR(ISCAM_Score!AL144,"—")</f>
        <v>—</v>
      </c>
      <c r="D143" t="str">
        <f t="shared" si="8"/>
        <v>— Sin Inst.2</v>
      </c>
      <c r="E143" t="str">
        <f t="shared" si="9"/>
        <v/>
      </c>
      <c r="F143">
        <f>IF(MATRIZ_174!L143="","",MATRIZ_174!L143)</f>
        <v>852880.44</v>
      </c>
      <c r="G143">
        <f>IFERROR(MATRIZ_174!M143,0)</f>
        <v>71</v>
      </c>
      <c r="H143" t="str">
        <f>IF(NORMALIZADO!CC143="","",NORMALIZADO!CC143)</f>
        <v/>
      </c>
      <c r="I143" t="str">
        <f>IF(NORMALIZADO!CF143="","",NORMALIZADO!CF143)</f>
        <v/>
      </c>
      <c r="J143" t="str">
        <f>IF(NORMALIZADO!CG143="","",NORMALIZADO!CG143)</f>
        <v/>
      </c>
      <c r="K143">
        <f>IFERROR(INDEX(MATRIZ_174!$U:$U,MATCH(A143,MATRIZ_174!$A:$A,0))*100,"")</f>
        <v>100</v>
      </c>
      <c r="L143">
        <f>IFERROR(MATRIZ_174!O143,0)</f>
        <v>1</v>
      </c>
      <c r="N143" t="str">
        <f>IFERROR(ISCAM_Score!AC144,"")</f>
        <v>⬜  Pendiente de instrumento</v>
      </c>
      <c r="O143" t="s">
        <v>139</v>
      </c>
      <c r="P143" t="str">
        <f>IFERROR(INDEX(MATRIZ_174!$C:$C,MATCH(A143,MATRIZ_174!$A:$A,0)),"")</f>
        <v>SAN MARTIN</v>
      </c>
    </row>
    <row r="144" spans="1:16" ht="16.05" customHeight="1" x14ac:dyDescent="0.3">
      <c r="A144" t="s">
        <v>377</v>
      </c>
      <c r="B144" t="s">
        <v>378</v>
      </c>
      <c r="C144" s="36" t="str">
        <f>IFERROR(ISCAM_Score!AL145,"—")</f>
        <v>—</v>
      </c>
      <c r="D144" t="str">
        <f t="shared" si="8"/>
        <v>— Sin Inst.2</v>
      </c>
      <c r="E144" t="str">
        <f t="shared" si="9"/>
        <v/>
      </c>
      <c r="F144" t="str">
        <f>IF(MATRIZ_174!L144="","",MATRIZ_174!L144)</f>
        <v/>
      </c>
      <c r="G144" t="str">
        <f>IFERROR(MATRIZ_174!M144,0)</f>
        <v/>
      </c>
      <c r="H144" t="str">
        <f>IF(NORMALIZADO!CC144="","",NORMALIZADO!CC144)</f>
        <v/>
      </c>
      <c r="I144" t="str">
        <f>IF(NORMALIZADO!CF144="","",NORMALIZADO!CF144)</f>
        <v/>
      </c>
      <c r="J144" t="str">
        <f>IF(NORMALIZADO!CG144="","",NORMALIZADO!CG144)</f>
        <v/>
      </c>
      <c r="K144">
        <f>IFERROR(INDEX(MATRIZ_174!$U:$U,MATCH(A144,MATRIZ_174!$A:$A,0))*100,"")</f>
        <v>100</v>
      </c>
      <c r="L144" t="str">
        <f>IFERROR(MATRIZ_174!O144,0)</f>
        <v/>
      </c>
      <c r="N144" t="str">
        <f>IFERROR(ISCAM_Score!AC145,"")</f>
        <v>⬜  Pendiente de instrumento</v>
      </c>
      <c r="O144" t="s">
        <v>80</v>
      </c>
      <c r="P144" t="str">
        <f>IFERROR(INDEX(MATRIZ_174!$C:$C,MATCH(A144,MATRIZ_174!$A:$A,0)),"")</f>
        <v>CUSCO</v>
      </c>
    </row>
    <row r="145" spans="1:16" ht="16.05" customHeight="1" x14ac:dyDescent="0.3">
      <c r="A145" t="s">
        <v>379</v>
      </c>
      <c r="B145" t="s">
        <v>380</v>
      </c>
      <c r="C145" s="36" t="str">
        <f>IFERROR(ISCAM_Score!AL146,"—")</f>
        <v>—</v>
      </c>
      <c r="D145" t="str">
        <f t="shared" si="8"/>
        <v>— Sin Inst.2</v>
      </c>
      <c r="E145" t="str">
        <f t="shared" si="9"/>
        <v/>
      </c>
      <c r="F145" t="str">
        <f>IF(MATRIZ_174!L145="","",MATRIZ_174!L145)</f>
        <v/>
      </c>
      <c r="G145" t="str">
        <f>IFERROR(MATRIZ_174!M145,0)</f>
        <v/>
      </c>
      <c r="H145" t="str">
        <f>IF(NORMALIZADO!CC145="","",NORMALIZADO!CC145)</f>
        <v/>
      </c>
      <c r="I145" t="str">
        <f>IF(NORMALIZADO!CF145="","",NORMALIZADO!CF145)</f>
        <v/>
      </c>
      <c r="J145" t="str">
        <f>IF(NORMALIZADO!CG145="","",NORMALIZADO!CG145)</f>
        <v/>
      </c>
      <c r="K145">
        <f>IFERROR(INDEX(MATRIZ_174!$U:$U,MATCH(A145,MATRIZ_174!$A:$A,0))*100,"")</f>
        <v>100</v>
      </c>
      <c r="L145" t="str">
        <f>IFERROR(MATRIZ_174!O145,0)</f>
        <v/>
      </c>
      <c r="N145" t="str">
        <f>IFERROR(ISCAM_Score!AC146,"")</f>
        <v>⬜  Pendiente de instrumento</v>
      </c>
      <c r="O145" t="s">
        <v>80</v>
      </c>
      <c r="P145" t="str">
        <f>IFERROR(INDEX(MATRIZ_174!$C:$C,MATCH(A145,MATRIZ_174!$A:$A,0)),"")</f>
        <v>CUSCO</v>
      </c>
    </row>
    <row r="146" spans="1:16" ht="16.05" customHeight="1" x14ac:dyDescent="0.3">
      <c r="A146" t="s">
        <v>381</v>
      </c>
      <c r="B146" t="s">
        <v>382</v>
      </c>
      <c r="C146" s="36" t="str">
        <f>IFERROR(ISCAM_Score!AL147,"—")</f>
        <v>—</v>
      </c>
      <c r="D146" t="str">
        <f t="shared" si="8"/>
        <v>— Sin Inst.2</v>
      </c>
      <c r="E146" t="str">
        <f t="shared" si="9"/>
        <v/>
      </c>
      <c r="F146">
        <f>IF(MATRIZ_174!L146="","",MATRIZ_174!L146)</f>
        <v>332555.15999999997</v>
      </c>
      <c r="G146">
        <f>IFERROR(MATRIZ_174!M146,0)</f>
        <v>100</v>
      </c>
      <c r="H146" t="str">
        <f>IF(NORMALIZADO!CC146="","",NORMALIZADO!CC146)</f>
        <v/>
      </c>
      <c r="I146" t="str">
        <f>IF(NORMALIZADO!CF146="","",NORMALIZADO!CF146)</f>
        <v/>
      </c>
      <c r="J146" t="str">
        <f>IF(NORMALIZADO!CG146="","",NORMALIZADO!CG146)</f>
        <v/>
      </c>
      <c r="K146">
        <f>IFERROR(INDEX(MATRIZ_174!$U:$U,MATCH(A146,MATRIZ_174!$A:$A,0))*100,"")</f>
        <v>100</v>
      </c>
      <c r="L146">
        <f>IFERROR(MATRIZ_174!O146,0)</f>
        <v>1</v>
      </c>
      <c r="N146" t="str">
        <f>IFERROR(ISCAM_Score!AC147,"")</f>
        <v>⬜  Pendiente de instrumento</v>
      </c>
      <c r="O146" t="s">
        <v>77</v>
      </c>
      <c r="P146" t="str">
        <f>IFERROR(INDEX(MATRIZ_174!$C:$C,MATCH(A146,MATRIZ_174!$A:$A,0)),"")</f>
        <v>JUNIN</v>
      </c>
    </row>
    <row r="147" spans="1:16" ht="16.05" customHeight="1" x14ac:dyDescent="0.3">
      <c r="A147" t="s">
        <v>383</v>
      </c>
      <c r="B147" t="s">
        <v>384</v>
      </c>
      <c r="C147" s="36" t="str">
        <f>IFERROR(ISCAM_Score!AL148,"—")</f>
        <v>—</v>
      </c>
      <c r="D147" t="str">
        <f t="shared" si="8"/>
        <v>— Sin Inst.2</v>
      </c>
      <c r="E147" t="str">
        <f t="shared" si="9"/>
        <v/>
      </c>
      <c r="F147">
        <f>IF(MATRIZ_174!L147="","",MATRIZ_174!L147)</f>
        <v>271980.69</v>
      </c>
      <c r="G147">
        <f>IFERROR(MATRIZ_174!M147,0)</f>
        <v>50</v>
      </c>
      <c r="H147" t="str">
        <f>IF(NORMALIZADO!CC147="","",NORMALIZADO!CC147)</f>
        <v/>
      </c>
      <c r="I147" t="str">
        <f>IF(NORMALIZADO!CF147="","",NORMALIZADO!CF147)</f>
        <v/>
      </c>
      <c r="J147" t="str">
        <f>IF(NORMALIZADO!CG147="","",NORMALIZADO!CG147)</f>
        <v/>
      </c>
      <c r="K147">
        <f>IFERROR(INDEX(MATRIZ_174!$U:$U,MATCH(A147,MATRIZ_174!$A:$A,0))*100,"")</f>
        <v>100</v>
      </c>
      <c r="L147" t="str">
        <f>IFERROR(MATRIZ_174!O147,0)</f>
        <v/>
      </c>
      <c r="N147" t="str">
        <f>IFERROR(ISCAM_Score!AC148,"")</f>
        <v>⬜  Pendiente de instrumento</v>
      </c>
      <c r="O147" t="s">
        <v>241</v>
      </c>
      <c r="P147" t="str">
        <f>IFERROR(INDEX(MATRIZ_174!$C:$C,MATCH(A147,MATRIZ_174!$A:$A,0)),"")</f>
        <v>MADRE DE DIOS</v>
      </c>
    </row>
    <row r="148" spans="1:16" ht="16.05" customHeight="1" x14ac:dyDescent="0.3">
      <c r="A148" t="s">
        <v>385</v>
      </c>
      <c r="B148" t="s">
        <v>386</v>
      </c>
      <c r="C148" s="36" t="str">
        <f>IFERROR(ISCAM_Score!AL149,"—")</f>
        <v>—</v>
      </c>
      <c r="D148" t="str">
        <f t="shared" si="8"/>
        <v>— Sin Inst.2</v>
      </c>
      <c r="E148" t="str">
        <f t="shared" si="9"/>
        <v/>
      </c>
      <c r="F148" t="str">
        <f>IF(MATRIZ_174!L148="","",MATRIZ_174!L148)</f>
        <v/>
      </c>
      <c r="G148" t="str">
        <f>IFERROR(MATRIZ_174!M148,0)</f>
        <v/>
      </c>
      <c r="H148" t="str">
        <f>IF(NORMALIZADO!CC148="","",NORMALIZADO!CC148)</f>
        <v/>
      </c>
      <c r="I148" t="str">
        <f>IF(NORMALIZADO!CF148="","",NORMALIZADO!CF148)</f>
        <v/>
      </c>
      <c r="J148" t="str">
        <f>IF(NORMALIZADO!CG148="","",NORMALIZADO!CG148)</f>
        <v/>
      </c>
      <c r="K148">
        <f>IFERROR(INDEX(MATRIZ_174!$U:$U,MATCH(A148,MATRIZ_174!$A:$A,0))*100,"")</f>
        <v>100</v>
      </c>
      <c r="L148" t="str">
        <f>IFERROR(MATRIZ_174!O148,0)</f>
        <v/>
      </c>
      <c r="N148" t="str">
        <f>IFERROR(ISCAM_Score!AC149,"")</f>
        <v>⬜  Pendiente de instrumento</v>
      </c>
      <c r="O148" t="s">
        <v>80</v>
      </c>
      <c r="P148" t="str">
        <f>IFERROR(INDEX(MATRIZ_174!$C:$C,MATCH(A148,MATRIZ_174!$A:$A,0)),"")</f>
        <v>CUSCO</v>
      </c>
    </row>
    <row r="149" spans="1:16" ht="16.05" customHeight="1" x14ac:dyDescent="0.3">
      <c r="A149" t="s">
        <v>387</v>
      </c>
      <c r="B149" t="s">
        <v>388</v>
      </c>
      <c r="C149" s="36" t="str">
        <f>IFERROR(ISCAM_Score!AL150,"—")</f>
        <v>—</v>
      </c>
      <c r="D149" t="str">
        <f t="shared" si="8"/>
        <v>— Sin Inst.2</v>
      </c>
      <c r="E149" t="str">
        <f t="shared" si="9"/>
        <v/>
      </c>
      <c r="F149">
        <f>IF(MATRIZ_174!L149="","",MATRIZ_174!L149)</f>
        <v>0</v>
      </c>
      <c r="G149">
        <f>IFERROR(MATRIZ_174!M149,0)</f>
        <v>0</v>
      </c>
      <c r="H149" t="str">
        <f>IF(NORMALIZADO!CC149="","",NORMALIZADO!CC149)</f>
        <v/>
      </c>
      <c r="I149" t="str">
        <f>IF(NORMALIZADO!CF149="","",NORMALIZADO!CF149)</f>
        <v/>
      </c>
      <c r="J149" t="str">
        <f>IF(NORMALIZADO!CG149="","",NORMALIZADO!CG149)</f>
        <v/>
      </c>
      <c r="K149">
        <f>IFERROR(INDEX(MATRIZ_174!$U:$U,MATCH(A149,MATRIZ_174!$A:$A,0))*100,"")</f>
        <v>100</v>
      </c>
      <c r="L149">
        <f>IFERROR(MATRIZ_174!O149,0)</f>
        <v>1</v>
      </c>
      <c r="N149" t="str">
        <f>IFERROR(ISCAM_Score!AC150,"")</f>
        <v>⬜  Pendiente de instrumento</v>
      </c>
      <c r="O149" t="s">
        <v>150</v>
      </c>
      <c r="P149" t="str">
        <f>IFERROR(INDEX(MATRIZ_174!$C:$C,MATCH(A149,MATRIZ_174!$A:$A,0)),"")</f>
        <v>CAJAMARCA</v>
      </c>
    </row>
    <row r="150" spans="1:16" ht="16.05" customHeight="1" x14ac:dyDescent="0.3">
      <c r="A150" t="s">
        <v>389</v>
      </c>
      <c r="B150" t="s">
        <v>390</v>
      </c>
      <c r="C150" s="36" t="str">
        <f>IFERROR(ISCAM_Score!AL151,"—")</f>
        <v>—</v>
      </c>
      <c r="D150" t="str">
        <f t="shared" si="8"/>
        <v>— Sin Inst.2</v>
      </c>
      <c r="E150" t="str">
        <f t="shared" si="9"/>
        <v/>
      </c>
      <c r="F150" t="str">
        <f>IF(MATRIZ_174!L150="","",MATRIZ_174!L150)</f>
        <v/>
      </c>
      <c r="G150" t="str">
        <f>IFERROR(MATRIZ_174!M150,0)</f>
        <v/>
      </c>
      <c r="H150" t="str">
        <f>IF(NORMALIZADO!CC150="","",NORMALIZADO!CC150)</f>
        <v/>
      </c>
      <c r="I150" t="str">
        <f>IF(NORMALIZADO!CF150="","",NORMALIZADO!CF150)</f>
        <v/>
      </c>
      <c r="J150" t="str">
        <f>IF(NORMALIZADO!CG150="","",NORMALIZADO!CG150)</f>
        <v/>
      </c>
      <c r="K150">
        <f>IFERROR(INDEX(MATRIZ_174!$U:$U,MATCH(A150,MATRIZ_174!$A:$A,0))*100,"")</f>
        <v>100</v>
      </c>
      <c r="L150" t="str">
        <f>IFERROR(MATRIZ_174!O150,0)</f>
        <v/>
      </c>
      <c r="N150" t="str">
        <f>IFERROR(ISCAM_Score!AC151,"")</f>
        <v>⬜  Pendiente de instrumento</v>
      </c>
      <c r="O150" t="s">
        <v>103</v>
      </c>
      <c r="P150" t="str">
        <f>IFERROR(INDEX(MATRIZ_174!$C:$C,MATCH(A150,MATRIZ_174!$A:$A,0)),"")</f>
        <v>PIURA</v>
      </c>
    </row>
    <row r="151" spans="1:16" ht="16.05" customHeight="1" x14ac:dyDescent="0.3">
      <c r="A151" t="s">
        <v>391</v>
      </c>
      <c r="B151" t="s">
        <v>392</v>
      </c>
      <c r="C151" s="36" t="str">
        <f>IFERROR(ISCAM_Score!AL152,"—")</f>
        <v>—</v>
      </c>
      <c r="D151" t="str">
        <f t="shared" si="8"/>
        <v>— Sin Inst.2</v>
      </c>
      <c r="E151" t="str">
        <f t="shared" si="9"/>
        <v/>
      </c>
      <c r="F151" t="str">
        <f>IF(MATRIZ_174!L151="","",MATRIZ_174!L151)</f>
        <v/>
      </c>
      <c r="G151" t="str">
        <f>IFERROR(MATRIZ_174!M151,0)</f>
        <v/>
      </c>
      <c r="H151" t="str">
        <f>IF(NORMALIZADO!CC151="","",NORMALIZADO!CC151)</f>
        <v/>
      </c>
      <c r="I151" t="str">
        <f>IF(NORMALIZADO!CF151="","",NORMALIZADO!CF151)</f>
        <v/>
      </c>
      <c r="J151" t="str">
        <f>IF(NORMALIZADO!CG151="","",NORMALIZADO!CG151)</f>
        <v/>
      </c>
      <c r="K151">
        <f>IFERROR(INDEX(MATRIZ_174!$U:$U,MATCH(A151,MATRIZ_174!$A:$A,0))*100,"")</f>
        <v>100</v>
      </c>
      <c r="L151" t="str">
        <f>IFERROR(MATRIZ_174!O151,0)</f>
        <v/>
      </c>
      <c r="N151" t="str">
        <f>IFERROR(ISCAM_Score!AC152,"")</f>
        <v>⬜  Pendiente de instrumento</v>
      </c>
      <c r="O151" t="s">
        <v>179</v>
      </c>
      <c r="P151" t="str">
        <f>IFERROR(INDEX(MATRIZ_174!$C:$C,MATCH(A151,MATRIZ_174!$A:$A,0)),"")</f>
        <v>LAMBAYEQUE</v>
      </c>
    </row>
    <row r="152" spans="1:16" ht="16.05" customHeight="1" x14ac:dyDescent="0.3">
      <c r="A152" t="s">
        <v>393</v>
      </c>
      <c r="B152" t="s">
        <v>394</v>
      </c>
      <c r="C152" s="36" t="str">
        <f>IFERROR(ISCAM_Score!AL153,"—")</f>
        <v>—</v>
      </c>
      <c r="D152" t="str">
        <f t="shared" si="8"/>
        <v>— Sin Inst.2</v>
      </c>
      <c r="E152" t="str">
        <f t="shared" si="9"/>
        <v/>
      </c>
      <c r="F152" t="str">
        <f>IF(MATRIZ_174!L152="","",MATRIZ_174!L152)</f>
        <v/>
      </c>
      <c r="G152" t="str">
        <f>IFERROR(MATRIZ_174!M152,0)</f>
        <v/>
      </c>
      <c r="H152" t="str">
        <f>IF(NORMALIZADO!CC152="","",NORMALIZADO!CC152)</f>
        <v/>
      </c>
      <c r="I152" t="str">
        <f>IF(NORMALIZADO!CF152="","",NORMALIZADO!CF152)</f>
        <v/>
      </c>
      <c r="J152" t="str">
        <f>IF(NORMALIZADO!CG152="","",NORMALIZADO!CG152)</f>
        <v/>
      </c>
      <c r="K152">
        <f>IFERROR(INDEX(MATRIZ_174!$U:$U,MATCH(A152,MATRIZ_174!$A:$A,0))*100,"")</f>
        <v>100</v>
      </c>
      <c r="L152" t="str">
        <f>IFERROR(MATRIZ_174!O152,0)</f>
        <v/>
      </c>
      <c r="N152" t="str">
        <f>IFERROR(ISCAM_Score!AC153,"")</f>
        <v>⬜  Pendiente de instrumento</v>
      </c>
      <c r="O152" t="s">
        <v>80</v>
      </c>
      <c r="P152" t="str">
        <f>IFERROR(INDEX(MATRIZ_174!$C:$C,MATCH(A152,MATRIZ_174!$A:$A,0)),"")</f>
        <v>CUSCO</v>
      </c>
    </row>
    <row r="153" spans="1:16" ht="16.05" customHeight="1" x14ac:dyDescent="0.3">
      <c r="A153" t="s">
        <v>395</v>
      </c>
      <c r="B153" t="s">
        <v>396</v>
      </c>
      <c r="C153" s="36" t="str">
        <f>IFERROR(ISCAM_Score!AL154,"—")</f>
        <v>—</v>
      </c>
      <c r="D153" t="str">
        <f t="shared" si="8"/>
        <v>— Sin Inst.2</v>
      </c>
      <c r="E153" t="str">
        <f t="shared" si="9"/>
        <v/>
      </c>
      <c r="F153" t="str">
        <f>IF(MATRIZ_174!L153="","",MATRIZ_174!L153)</f>
        <v/>
      </c>
      <c r="G153" t="str">
        <f>IFERROR(MATRIZ_174!M153,0)</f>
        <v/>
      </c>
      <c r="H153" t="str">
        <f>IF(NORMALIZADO!CC153="","",NORMALIZADO!CC153)</f>
        <v/>
      </c>
      <c r="I153" t="str">
        <f>IF(NORMALIZADO!CF153="","",NORMALIZADO!CF153)</f>
        <v/>
      </c>
      <c r="J153" t="str">
        <f>IF(NORMALIZADO!CG153="","",NORMALIZADO!CG153)</f>
        <v/>
      </c>
      <c r="K153">
        <f>IFERROR(INDEX(MATRIZ_174!$U:$U,MATCH(A153,MATRIZ_174!$A:$A,0))*100,"")</f>
        <v>100</v>
      </c>
      <c r="L153" t="str">
        <f>IFERROR(MATRIZ_174!O153,0)</f>
        <v/>
      </c>
      <c r="N153" t="str">
        <f>IFERROR(ISCAM_Score!AC154,"")</f>
        <v>⬜  Pendiente de instrumento</v>
      </c>
      <c r="O153" t="s">
        <v>80</v>
      </c>
      <c r="P153" t="str">
        <f>IFERROR(INDEX(MATRIZ_174!$C:$C,MATCH(A153,MATRIZ_174!$A:$A,0)),"")</f>
        <v>CUSCO</v>
      </c>
    </row>
    <row r="154" spans="1:16" ht="16.05" customHeight="1" x14ac:dyDescent="0.3">
      <c r="A154" t="s">
        <v>397</v>
      </c>
      <c r="B154" t="s">
        <v>398</v>
      </c>
      <c r="C154" s="36" t="str">
        <f>IFERROR(ISCAM_Score!AL155,"—")</f>
        <v>—</v>
      </c>
      <c r="D154" t="str">
        <f t="shared" si="8"/>
        <v>— Sin Inst.2</v>
      </c>
      <c r="E154" t="str">
        <f t="shared" si="9"/>
        <v/>
      </c>
      <c r="F154">
        <f>IF(MATRIZ_174!L154="","",MATRIZ_174!L154)</f>
        <v>0</v>
      </c>
      <c r="G154">
        <f>IFERROR(MATRIZ_174!M154,0)</f>
        <v>0</v>
      </c>
      <c r="H154" t="str">
        <f>IF(NORMALIZADO!CC154="","",NORMALIZADO!CC154)</f>
        <v/>
      </c>
      <c r="I154" t="str">
        <f>IF(NORMALIZADO!CF154="","",NORMALIZADO!CF154)</f>
        <v/>
      </c>
      <c r="J154" t="str">
        <f>IF(NORMALIZADO!CG154="","",NORMALIZADO!CG154)</f>
        <v/>
      </c>
      <c r="K154">
        <f>IFERROR(INDEX(MATRIZ_174!$U:$U,MATCH(A154,MATRIZ_174!$A:$A,0))*100,"")</f>
        <v>100</v>
      </c>
      <c r="L154">
        <f>IFERROR(MATRIZ_174!O154,0)</f>
        <v>0.4</v>
      </c>
      <c r="N154" t="str">
        <f>IFERROR(ISCAM_Score!AC155,"")</f>
        <v>⬜  Pendiente de instrumento</v>
      </c>
      <c r="O154" t="s">
        <v>77</v>
      </c>
      <c r="P154" t="str">
        <f>IFERROR(INDEX(MATRIZ_174!$C:$C,MATCH(A154,MATRIZ_174!$A:$A,0)),"")</f>
        <v>JUNIN</v>
      </c>
    </row>
    <row r="155" spans="1:16" ht="16.05" customHeight="1" x14ac:dyDescent="0.3">
      <c r="A155" t="s">
        <v>399</v>
      </c>
      <c r="B155" t="s">
        <v>400</v>
      </c>
      <c r="C155" s="36" t="str">
        <f>IFERROR(ISCAM_Score!AL156,"—")</f>
        <v>—</v>
      </c>
      <c r="D155" t="str">
        <f t="shared" si="8"/>
        <v>— Sin Inst.2</v>
      </c>
      <c r="E155" t="str">
        <f t="shared" si="9"/>
        <v/>
      </c>
      <c r="F155" t="str">
        <f>IF(MATRIZ_174!L155="","",MATRIZ_174!L155)</f>
        <v/>
      </c>
      <c r="G155" t="str">
        <f>IFERROR(MATRIZ_174!M155,0)</f>
        <v/>
      </c>
      <c r="H155" t="str">
        <f>IF(NORMALIZADO!CC155="","",NORMALIZADO!CC155)</f>
        <v/>
      </c>
      <c r="I155" t="str">
        <f>IF(NORMALIZADO!CF155="","",NORMALIZADO!CF155)</f>
        <v/>
      </c>
      <c r="J155" t="str">
        <f>IF(NORMALIZADO!CG155="","",NORMALIZADO!CG155)</f>
        <v/>
      </c>
      <c r="K155">
        <f>IFERROR(INDEX(MATRIZ_174!$U:$U,MATCH(A155,MATRIZ_174!$A:$A,0))*100,"")</f>
        <v>100</v>
      </c>
      <c r="L155" t="str">
        <f>IFERROR(MATRIZ_174!O155,0)</f>
        <v/>
      </c>
      <c r="N155" t="str">
        <f>IFERROR(ISCAM_Score!AC156,"")</f>
        <v>⬜  Pendiente de instrumento</v>
      </c>
      <c r="O155" t="s">
        <v>109</v>
      </c>
      <c r="P155" t="str">
        <f>IFERROR(INDEX(MATRIZ_174!$C:$C,MATCH(A155,MATRIZ_174!$A:$A,0)),"")</f>
        <v>UCAYALI</v>
      </c>
    </row>
    <row r="156" spans="1:16" ht="16.05" customHeight="1" x14ac:dyDescent="0.3">
      <c r="A156" t="s">
        <v>401</v>
      </c>
      <c r="B156" t="s">
        <v>402</v>
      </c>
      <c r="C156" s="36" t="str">
        <f>IFERROR(ISCAM_Score!AL157,"—")</f>
        <v>—</v>
      </c>
      <c r="D156" t="str">
        <f t="shared" si="8"/>
        <v>— Sin Inst.2</v>
      </c>
      <c r="E156" t="str">
        <f t="shared" si="9"/>
        <v/>
      </c>
      <c r="F156" t="str">
        <f>IF(MATRIZ_174!L156="","",MATRIZ_174!L156)</f>
        <v/>
      </c>
      <c r="G156" t="str">
        <f>IFERROR(MATRIZ_174!M156,0)</f>
        <v/>
      </c>
      <c r="H156" t="str">
        <f>IF(NORMALIZADO!CC156="","",NORMALIZADO!CC156)</f>
        <v/>
      </c>
      <c r="I156" t="str">
        <f>IF(NORMALIZADO!CF156="","",NORMALIZADO!CF156)</f>
        <v/>
      </c>
      <c r="J156" t="str">
        <f>IF(NORMALIZADO!CG156="","",NORMALIZADO!CG156)</f>
        <v/>
      </c>
      <c r="K156">
        <f>IFERROR(INDEX(MATRIZ_174!$U:$U,MATCH(A156,MATRIZ_174!$A:$A,0))*100,"")</f>
        <v>100</v>
      </c>
      <c r="L156" t="str">
        <f>IFERROR(MATRIZ_174!O156,0)</f>
        <v/>
      </c>
      <c r="N156" t="str">
        <f>IFERROR(ISCAM_Score!AC157,"")</f>
        <v>⬜  Pendiente de instrumento</v>
      </c>
      <c r="O156" t="s">
        <v>179</v>
      </c>
      <c r="P156" t="str">
        <f>IFERROR(INDEX(MATRIZ_174!$C:$C,MATCH(A156,MATRIZ_174!$A:$A,0)),"")</f>
        <v>LAMBAYEQUE</v>
      </c>
    </row>
    <row r="157" spans="1:16" ht="16.05" customHeight="1" x14ac:dyDescent="0.3">
      <c r="A157" t="s">
        <v>403</v>
      </c>
      <c r="B157" t="s">
        <v>404</v>
      </c>
      <c r="C157" s="36" t="str">
        <f>IFERROR(ISCAM_Score!AL158,"—")</f>
        <v>—</v>
      </c>
      <c r="D157" t="str">
        <f t="shared" si="8"/>
        <v>— Sin Inst.2</v>
      </c>
      <c r="E157" t="str">
        <f t="shared" si="9"/>
        <v/>
      </c>
      <c r="F157">
        <f>IF(MATRIZ_174!L157="","",MATRIZ_174!L157)</f>
        <v>76135.47</v>
      </c>
      <c r="G157">
        <f>IFERROR(MATRIZ_174!M157,0)</f>
        <v>8.1</v>
      </c>
      <c r="H157" t="str">
        <f>IF(NORMALIZADO!CC157="","",NORMALIZADO!CC157)</f>
        <v/>
      </c>
      <c r="I157" t="str">
        <f>IF(NORMALIZADO!CF157="","",NORMALIZADO!CF157)</f>
        <v/>
      </c>
      <c r="J157" t="str">
        <f>IF(NORMALIZADO!CG157="","",NORMALIZADO!CG157)</f>
        <v/>
      </c>
      <c r="K157">
        <f>IFERROR(INDEX(MATRIZ_174!$U:$U,MATCH(A157,MATRIZ_174!$A:$A,0))*100,"")</f>
        <v>100</v>
      </c>
      <c r="L157">
        <f>IFERROR(MATRIZ_174!O157,0)</f>
        <v>1</v>
      </c>
      <c r="N157" t="str">
        <f>IFERROR(ISCAM_Score!AC158,"")</f>
        <v>⬜  Pendiente de instrumento</v>
      </c>
      <c r="O157" t="s">
        <v>139</v>
      </c>
      <c r="P157" t="str">
        <f>IFERROR(INDEX(MATRIZ_174!$C:$C,MATCH(A157,MATRIZ_174!$A:$A,0)),"")</f>
        <v>SAN MARTIN</v>
      </c>
    </row>
    <row r="158" spans="1:16" ht="16.05" customHeight="1" x14ac:dyDescent="0.3">
      <c r="A158" t="s">
        <v>406</v>
      </c>
      <c r="B158" t="s">
        <v>407</v>
      </c>
      <c r="C158" s="36" t="str">
        <f>IFERROR(ISCAM_Score!AL159,"—")</f>
        <v>—</v>
      </c>
      <c r="D158" t="str">
        <f t="shared" si="8"/>
        <v>— Sin Inst.2</v>
      </c>
      <c r="E158" t="str">
        <f t="shared" si="9"/>
        <v/>
      </c>
      <c r="F158" t="str">
        <f>IF(MATRIZ_174!L158="","",MATRIZ_174!L158)</f>
        <v/>
      </c>
      <c r="G158" t="str">
        <f>IFERROR(MATRIZ_174!M158,0)</f>
        <v/>
      </c>
      <c r="H158" t="str">
        <f>IF(NORMALIZADO!CC158="","",NORMALIZADO!CC158)</f>
        <v/>
      </c>
      <c r="I158" t="str">
        <f>IF(NORMALIZADO!CF158="","",NORMALIZADO!CF158)</f>
        <v/>
      </c>
      <c r="J158" t="str">
        <f>IF(NORMALIZADO!CG158="","",NORMALIZADO!CG158)</f>
        <v/>
      </c>
      <c r="K158">
        <f>IFERROR(INDEX(MATRIZ_174!$U:$U,MATCH(A158,MATRIZ_174!$A:$A,0))*100,"")</f>
        <v>100</v>
      </c>
      <c r="L158" t="str">
        <f>IFERROR(MATRIZ_174!O158,0)</f>
        <v/>
      </c>
      <c r="N158" t="str">
        <f>IFERROR(ISCAM_Score!AC159,"")</f>
        <v>⬜  Pendiente de instrumento</v>
      </c>
      <c r="O158" t="s">
        <v>77</v>
      </c>
      <c r="P158" t="str">
        <f>IFERROR(INDEX(MATRIZ_174!$C:$C,MATCH(A158,MATRIZ_174!$A:$A,0)),"")</f>
        <v>JUNIN</v>
      </c>
    </row>
    <row r="159" spans="1:16" ht="16.05" customHeight="1" x14ac:dyDescent="0.3">
      <c r="A159" t="s">
        <v>408</v>
      </c>
      <c r="B159" t="s">
        <v>409</v>
      </c>
      <c r="C159" s="36" t="str">
        <f>IFERROR(ISCAM_Score!AL160,"—")</f>
        <v>—</v>
      </c>
      <c r="D159" t="str">
        <f t="shared" si="8"/>
        <v>— Sin Inst.2</v>
      </c>
      <c r="E159" t="str">
        <f t="shared" si="9"/>
        <v/>
      </c>
      <c r="F159" t="str">
        <f>IF(MATRIZ_174!L159="","",MATRIZ_174!L159)</f>
        <v/>
      </c>
      <c r="G159" t="str">
        <f>IFERROR(MATRIZ_174!M159,0)</f>
        <v/>
      </c>
      <c r="H159" t="str">
        <f>IF(NORMALIZADO!CC159="","",NORMALIZADO!CC159)</f>
        <v/>
      </c>
      <c r="I159" t="str">
        <f>IF(NORMALIZADO!CF159="","",NORMALIZADO!CF159)</f>
        <v/>
      </c>
      <c r="J159" t="str">
        <f>IF(NORMALIZADO!CG159="","",NORMALIZADO!CG159)</f>
        <v/>
      </c>
      <c r="K159">
        <f>IFERROR(INDEX(MATRIZ_174!$U:$U,MATCH(A159,MATRIZ_174!$A:$A,0))*100,"")</f>
        <v>100</v>
      </c>
      <c r="L159" t="str">
        <f>IFERROR(MATRIZ_174!O159,0)</f>
        <v/>
      </c>
      <c r="N159" t="str">
        <f>IFERROR(ISCAM_Score!AC160,"")</f>
        <v>⬜  Pendiente de instrumento</v>
      </c>
      <c r="O159" t="s">
        <v>139</v>
      </c>
      <c r="P159" t="str">
        <f>IFERROR(INDEX(MATRIZ_174!$C:$C,MATCH(A159,MATRIZ_174!$A:$A,0)),"")</f>
        <v>SAN MARTIN</v>
      </c>
    </row>
    <row r="160" spans="1:16" ht="16.05" customHeight="1" x14ac:dyDescent="0.3">
      <c r="A160" t="s">
        <v>410</v>
      </c>
      <c r="B160" t="s">
        <v>411</v>
      </c>
      <c r="C160" s="36" t="str">
        <f>IFERROR(ISCAM_Score!AL161,"—")</f>
        <v>—</v>
      </c>
      <c r="D160" t="str">
        <f t="shared" si="8"/>
        <v>— Sin Inst.2</v>
      </c>
      <c r="E160" t="str">
        <f t="shared" si="9"/>
        <v/>
      </c>
      <c r="F160" t="str">
        <f>IF(MATRIZ_174!L160="","",MATRIZ_174!L160)</f>
        <v/>
      </c>
      <c r="G160" t="str">
        <f>IFERROR(MATRIZ_174!M160,0)</f>
        <v/>
      </c>
      <c r="H160" t="str">
        <f>IF(NORMALIZADO!CC160="","",NORMALIZADO!CC160)</f>
        <v/>
      </c>
      <c r="I160" t="str">
        <f>IF(NORMALIZADO!CF160="","",NORMALIZADO!CF160)</f>
        <v/>
      </c>
      <c r="J160" t="str">
        <f>IF(NORMALIZADO!CG160="","",NORMALIZADO!CG160)</f>
        <v/>
      </c>
      <c r="K160">
        <f>IFERROR(INDEX(MATRIZ_174!$U:$U,MATCH(A160,MATRIZ_174!$A:$A,0))*100,"")</f>
        <v>100</v>
      </c>
      <c r="L160" t="str">
        <f>IFERROR(MATRIZ_174!O160,0)</f>
        <v/>
      </c>
      <c r="N160" t="str">
        <f>IFERROR(ISCAM_Score!AC161,"")</f>
        <v>⬜  Pendiente de instrumento</v>
      </c>
      <c r="O160" t="s">
        <v>103</v>
      </c>
      <c r="P160" t="str">
        <f>IFERROR(INDEX(MATRIZ_174!$C:$C,MATCH(A160,MATRIZ_174!$A:$A,0)),"")</f>
        <v>PIURA</v>
      </c>
    </row>
    <row r="161" spans="1:16" ht="16.05" customHeight="1" x14ac:dyDescent="0.3">
      <c r="A161" t="s">
        <v>413</v>
      </c>
      <c r="B161" t="s">
        <v>414</v>
      </c>
      <c r="C161" s="36" t="str">
        <f>IFERROR(ISCAM_Score!AL162,"—")</f>
        <v>—</v>
      </c>
      <c r="D161" t="str">
        <f t="shared" si="8"/>
        <v>— Sin Inst.2</v>
      </c>
      <c r="E161" t="str">
        <f t="shared" si="9"/>
        <v/>
      </c>
      <c r="F161" t="str">
        <f>IF(MATRIZ_174!L161="","",MATRIZ_174!L161)</f>
        <v/>
      </c>
      <c r="G161" t="str">
        <f>IFERROR(MATRIZ_174!M161,0)</f>
        <v/>
      </c>
      <c r="H161" t="str">
        <f>IF(NORMALIZADO!CC161="","",NORMALIZADO!CC161)</f>
        <v/>
      </c>
      <c r="I161" t="str">
        <f>IF(NORMALIZADO!CF161="","",NORMALIZADO!CF161)</f>
        <v/>
      </c>
      <c r="J161" t="str">
        <f>IF(NORMALIZADO!CG161="","",NORMALIZADO!CG161)</f>
        <v/>
      </c>
      <c r="K161">
        <f>IFERROR(INDEX(MATRIZ_174!$U:$U,MATCH(A161,MATRIZ_174!$A:$A,0))*100,"")</f>
        <v>100</v>
      </c>
      <c r="L161" t="str">
        <f>IFERROR(MATRIZ_174!O161,0)</f>
        <v/>
      </c>
      <c r="N161" t="str">
        <f>IFERROR(ISCAM_Score!AC162,"")</f>
        <v>⬜  Pendiente de instrumento</v>
      </c>
      <c r="O161" t="s">
        <v>179</v>
      </c>
      <c r="P161" t="str">
        <f>IFERROR(INDEX(MATRIZ_174!$C:$C,MATCH(A161,MATRIZ_174!$A:$A,0)),"")</f>
        <v>LAMBAYEQUE</v>
      </c>
    </row>
    <row r="162" spans="1:16" ht="16.05" customHeight="1" x14ac:dyDescent="0.3">
      <c r="A162" t="s">
        <v>415</v>
      </c>
      <c r="B162" t="s">
        <v>416</v>
      </c>
      <c r="C162" s="36" t="str">
        <f>IFERROR(ISCAM_Score!AL163,"—")</f>
        <v>—</v>
      </c>
      <c r="D162" t="str">
        <f t="shared" si="8"/>
        <v>— Sin Inst.2</v>
      </c>
      <c r="E162" t="str">
        <f t="shared" si="9"/>
        <v/>
      </c>
      <c r="F162" t="str">
        <f>IF(MATRIZ_174!L162="","",MATRIZ_174!L162)</f>
        <v/>
      </c>
      <c r="G162" t="str">
        <f>IFERROR(MATRIZ_174!M162,0)</f>
        <v/>
      </c>
      <c r="H162" t="str">
        <f>IF(NORMALIZADO!CC162="","",NORMALIZADO!CC162)</f>
        <v/>
      </c>
      <c r="I162" t="str">
        <f>IF(NORMALIZADO!CF162="","",NORMALIZADO!CF162)</f>
        <v/>
      </c>
      <c r="J162" t="str">
        <f>IF(NORMALIZADO!CG162="","",NORMALIZADO!CG162)</f>
        <v/>
      </c>
      <c r="K162">
        <f>IFERROR(INDEX(MATRIZ_174!$U:$U,MATCH(A162,MATRIZ_174!$A:$A,0))*100,"")</f>
        <v>100</v>
      </c>
      <c r="L162" t="str">
        <f>IFERROR(MATRIZ_174!O162,0)</f>
        <v/>
      </c>
      <c r="N162" t="str">
        <f>IFERROR(ISCAM_Score!AC163,"")</f>
        <v>⬜  Pendiente de instrumento</v>
      </c>
      <c r="O162" t="s">
        <v>103</v>
      </c>
      <c r="P162" t="str">
        <f>IFERROR(INDEX(MATRIZ_174!$C:$C,MATCH(A162,MATRIZ_174!$A:$A,0)),"")</f>
        <v>PIURA</v>
      </c>
    </row>
    <row r="163" spans="1:16" ht="16.05" customHeight="1" x14ac:dyDescent="0.3">
      <c r="A163" t="s">
        <v>417</v>
      </c>
      <c r="B163" t="s">
        <v>418</v>
      </c>
      <c r="C163" s="36" t="str">
        <f>IFERROR(ISCAM_Score!AL164,"—")</f>
        <v>—</v>
      </c>
      <c r="D163" t="str">
        <f t="shared" ref="D163:D176" si="10">IF(C163="—","— Sin Inst.2",IF(C163&lt;34,"🔴  Crítico",IF(C163&lt;67,"🟡  Vulnerable","🟢  Preparado")))</f>
        <v>— Sin Inst.2</v>
      </c>
      <c r="E163" t="str">
        <f t="shared" ref="E163:E176" si="11">IFERROR(RANK(C163,C:C,-1),"")</f>
        <v/>
      </c>
      <c r="F163">
        <f>IF(MATRIZ_174!L163="","",MATRIZ_174!L163)</f>
        <v>1501109.51</v>
      </c>
      <c r="G163">
        <f>IFERROR(MATRIZ_174!M163,0)</f>
        <v>50</v>
      </c>
      <c r="H163" t="str">
        <f>IF(NORMALIZADO!CC163="","",NORMALIZADO!CC163)</f>
        <v/>
      </c>
      <c r="I163" t="str">
        <f>IF(NORMALIZADO!CF163="","",NORMALIZADO!CF163)</f>
        <v/>
      </c>
      <c r="J163" t="str">
        <f>IF(NORMALIZADO!CG163="","",NORMALIZADO!CG163)</f>
        <v/>
      </c>
      <c r="K163">
        <f>IFERROR(INDEX(MATRIZ_174!$U:$U,MATCH(A163,MATRIZ_174!$A:$A,0))*100,"")</f>
        <v>100</v>
      </c>
      <c r="L163" t="str">
        <f>IFERROR(MATRIZ_174!O163,0)</f>
        <v/>
      </c>
      <c r="N163" t="str">
        <f>IFERROR(ISCAM_Score!AC164,"")</f>
        <v>⬜  Pendiente de instrumento</v>
      </c>
      <c r="O163" t="s">
        <v>150</v>
      </c>
      <c r="P163" t="str">
        <f>IFERROR(INDEX(MATRIZ_174!$C:$C,MATCH(A163,MATRIZ_174!$A:$A,0)),"")</f>
        <v>CAJAMARCA</v>
      </c>
    </row>
    <row r="164" spans="1:16" ht="16.05" customHeight="1" x14ac:dyDescent="0.3">
      <c r="A164" t="s">
        <v>419</v>
      </c>
      <c r="B164" t="s">
        <v>420</v>
      </c>
      <c r="C164" s="36" t="str">
        <f>IFERROR(ISCAM_Score!AL165,"—")</f>
        <v>—</v>
      </c>
      <c r="D164" t="str">
        <f t="shared" si="10"/>
        <v>— Sin Inst.2</v>
      </c>
      <c r="E164" t="str">
        <f t="shared" si="11"/>
        <v/>
      </c>
      <c r="F164" t="str">
        <f>IF(MATRIZ_174!L164="","",MATRIZ_174!L164)</f>
        <v/>
      </c>
      <c r="G164" t="str">
        <f>IFERROR(MATRIZ_174!M164,0)</f>
        <v/>
      </c>
      <c r="H164" t="str">
        <f>IF(NORMALIZADO!CC164="","",NORMALIZADO!CC164)</f>
        <v/>
      </c>
      <c r="I164" t="str">
        <f>IF(NORMALIZADO!CF164="","",NORMALIZADO!CF164)</f>
        <v/>
      </c>
      <c r="J164" t="str">
        <f>IF(NORMALIZADO!CG164="","",NORMALIZADO!CG164)</f>
        <v/>
      </c>
      <c r="K164">
        <f>IFERROR(INDEX(MATRIZ_174!$U:$U,MATCH(A164,MATRIZ_174!$A:$A,0))*100,"")</f>
        <v>100</v>
      </c>
      <c r="L164" t="str">
        <f>IFERROR(MATRIZ_174!O164,0)</f>
        <v/>
      </c>
      <c r="N164" t="str">
        <f>IFERROR(ISCAM_Score!AC165,"")</f>
        <v>⬜  Pendiente de instrumento</v>
      </c>
      <c r="O164" t="s">
        <v>112</v>
      </c>
      <c r="P164" t="str">
        <f>IFERROR(INDEX(MATRIZ_174!$C:$C,MATCH(A164,MATRIZ_174!$A:$A,0)),"")</f>
        <v>AMAZONAS</v>
      </c>
    </row>
    <row r="165" spans="1:16" ht="16.05" customHeight="1" x14ac:dyDescent="0.3">
      <c r="A165" t="s">
        <v>421</v>
      </c>
      <c r="B165" t="s">
        <v>422</v>
      </c>
      <c r="C165" s="36" t="str">
        <f>IFERROR(ISCAM_Score!AL166,"—")</f>
        <v>—</v>
      </c>
      <c r="D165" t="str">
        <f t="shared" si="10"/>
        <v>— Sin Inst.2</v>
      </c>
      <c r="E165" t="str">
        <f t="shared" si="11"/>
        <v/>
      </c>
      <c r="F165" t="str">
        <f>IF(MATRIZ_174!L165="","",MATRIZ_174!L165)</f>
        <v/>
      </c>
      <c r="G165" t="str">
        <f>IFERROR(MATRIZ_174!M165,0)</f>
        <v/>
      </c>
      <c r="H165" t="str">
        <f>IF(NORMALIZADO!CC165="","",NORMALIZADO!CC165)</f>
        <v/>
      </c>
      <c r="I165" t="str">
        <f>IF(NORMALIZADO!CF165="","",NORMALIZADO!CF165)</f>
        <v/>
      </c>
      <c r="J165" t="str">
        <f>IF(NORMALIZADO!CG165="","",NORMALIZADO!CG165)</f>
        <v/>
      </c>
      <c r="K165">
        <f>IFERROR(INDEX(MATRIZ_174!$U:$U,MATCH(A165,MATRIZ_174!$A:$A,0))*100,"")</f>
        <v>100</v>
      </c>
      <c r="L165" t="str">
        <f>IFERROR(MATRIZ_174!O165,0)</f>
        <v/>
      </c>
      <c r="N165" t="str">
        <f>IFERROR(ISCAM_Score!AC166,"")</f>
        <v>⬜  Pendiente de instrumento</v>
      </c>
      <c r="O165" t="s">
        <v>179</v>
      </c>
      <c r="P165" t="str">
        <f>IFERROR(INDEX(MATRIZ_174!$C:$C,MATCH(A165,MATRIZ_174!$A:$A,0)),"")</f>
        <v>LAMBAYEQUE</v>
      </c>
    </row>
    <row r="166" spans="1:16" ht="16.05" customHeight="1" x14ac:dyDescent="0.3">
      <c r="A166" t="s">
        <v>423</v>
      </c>
      <c r="B166" t="s">
        <v>424</v>
      </c>
      <c r="C166" s="36" t="str">
        <f>IFERROR(ISCAM_Score!AL167,"—")</f>
        <v>—</v>
      </c>
      <c r="D166" t="str">
        <f t="shared" si="10"/>
        <v>— Sin Inst.2</v>
      </c>
      <c r="E166" t="str">
        <f t="shared" si="11"/>
        <v/>
      </c>
      <c r="F166" t="str">
        <f>IF(MATRIZ_174!L166="","",MATRIZ_174!L166)</f>
        <v/>
      </c>
      <c r="G166" t="str">
        <f>IFERROR(MATRIZ_174!M166,0)</f>
        <v/>
      </c>
      <c r="H166" t="str">
        <f>IF(NORMALIZADO!CC166="","",NORMALIZADO!CC166)</f>
        <v/>
      </c>
      <c r="I166" t="str">
        <f>IF(NORMALIZADO!CF166="","",NORMALIZADO!CF166)</f>
        <v/>
      </c>
      <c r="J166" t="str">
        <f>IF(NORMALIZADO!CG166="","",NORMALIZADO!CG166)</f>
        <v/>
      </c>
      <c r="K166">
        <f>IFERROR(INDEX(MATRIZ_174!$U:$U,MATCH(A166,MATRIZ_174!$A:$A,0))*100,"")</f>
        <v>100</v>
      </c>
      <c r="L166" t="str">
        <f>IFERROR(MATRIZ_174!O166,0)</f>
        <v/>
      </c>
      <c r="N166" t="str">
        <f>IFERROR(ISCAM_Score!AC167,"")</f>
        <v>⬜  Pendiente de instrumento</v>
      </c>
      <c r="O166" t="s">
        <v>241</v>
      </c>
      <c r="P166" t="str">
        <f>IFERROR(INDEX(MATRIZ_174!$C:$C,MATCH(A166,MATRIZ_174!$A:$A,0)),"")</f>
        <v>MADRE DE DIOS</v>
      </c>
    </row>
    <row r="167" spans="1:16" ht="16.05" customHeight="1" x14ac:dyDescent="0.3">
      <c r="A167" t="s">
        <v>425</v>
      </c>
      <c r="B167" t="s">
        <v>426</v>
      </c>
      <c r="C167" s="36" t="str">
        <f>IFERROR(ISCAM_Score!AL168,"—")</f>
        <v>—</v>
      </c>
      <c r="D167" t="str">
        <f t="shared" si="10"/>
        <v>— Sin Inst.2</v>
      </c>
      <c r="E167" t="str">
        <f t="shared" si="11"/>
        <v/>
      </c>
      <c r="F167">
        <f>IF(MATRIZ_174!L167="","",MATRIZ_174!L167)</f>
        <v>0</v>
      </c>
      <c r="G167">
        <f>IFERROR(MATRIZ_174!M167,0)</f>
        <v>0</v>
      </c>
      <c r="H167" t="str">
        <f>IF(NORMALIZADO!CC167="","",NORMALIZADO!CC167)</f>
        <v/>
      </c>
      <c r="I167" t="str">
        <f>IF(NORMALIZADO!CF167="","",NORMALIZADO!CF167)</f>
        <v/>
      </c>
      <c r="J167" t="str">
        <f>IF(NORMALIZADO!CG167="","",NORMALIZADO!CG167)</f>
        <v/>
      </c>
      <c r="K167">
        <f>IFERROR(INDEX(MATRIZ_174!$U:$U,MATCH(A167,MATRIZ_174!$A:$A,0))*100,"")</f>
        <v>100</v>
      </c>
      <c r="L167" t="str">
        <f>IFERROR(MATRIZ_174!O167,0)</f>
        <v/>
      </c>
      <c r="N167" t="str">
        <f>IFERROR(ISCAM_Score!AC168,"")</f>
        <v>⬜  Pendiente de instrumento</v>
      </c>
      <c r="O167" t="s">
        <v>139</v>
      </c>
      <c r="P167" t="str">
        <f>IFERROR(INDEX(MATRIZ_174!$C:$C,MATCH(A167,MATRIZ_174!$A:$A,0)),"")</f>
        <v>SAN MARTIN</v>
      </c>
    </row>
    <row r="168" spans="1:16" ht="16.05" customHeight="1" x14ac:dyDescent="0.3">
      <c r="A168" t="s">
        <v>427</v>
      </c>
      <c r="B168" t="s">
        <v>428</v>
      </c>
      <c r="C168" s="36" t="str">
        <f>IFERROR(ISCAM_Score!AL169,"—")</f>
        <v>—</v>
      </c>
      <c r="D168" t="str">
        <f t="shared" si="10"/>
        <v>— Sin Inst.2</v>
      </c>
      <c r="E168" t="str">
        <f t="shared" si="11"/>
        <v/>
      </c>
      <c r="F168">
        <f>IF(MATRIZ_174!L168="","",MATRIZ_174!L168)</f>
        <v>0</v>
      </c>
      <c r="G168">
        <f>IFERROR(MATRIZ_174!M168,0)</f>
        <v>0</v>
      </c>
      <c r="H168" t="str">
        <f>IF(NORMALIZADO!CC168="","",NORMALIZADO!CC168)</f>
        <v/>
      </c>
      <c r="I168" t="str">
        <f>IF(NORMALIZADO!CF168="","",NORMALIZADO!CF168)</f>
        <v/>
      </c>
      <c r="J168" t="str">
        <f>IF(NORMALIZADO!CG168="","",NORMALIZADO!CG168)</f>
        <v/>
      </c>
      <c r="K168">
        <f>IFERROR(INDEX(MATRIZ_174!$U:$U,MATCH(A168,MATRIZ_174!$A:$A,0))*100,"")</f>
        <v>100</v>
      </c>
      <c r="L168" t="str">
        <f>IFERROR(MATRIZ_174!O168,0)</f>
        <v/>
      </c>
      <c r="N168" t="str">
        <f>IFERROR(ISCAM_Score!AC169,"")</f>
        <v>⬜  Pendiente de instrumento</v>
      </c>
      <c r="O168" t="s">
        <v>112</v>
      </c>
      <c r="P168" t="str">
        <f>IFERROR(INDEX(MATRIZ_174!$C:$C,MATCH(A168,MATRIZ_174!$A:$A,0)),"")</f>
        <v>AMAZONAS</v>
      </c>
    </row>
    <row r="169" spans="1:16" ht="16.05" customHeight="1" x14ac:dyDescent="0.3">
      <c r="A169" t="s">
        <v>429</v>
      </c>
      <c r="B169" t="s">
        <v>430</v>
      </c>
      <c r="C169" s="36" t="str">
        <f>IFERROR(ISCAM_Score!AL170,"—")</f>
        <v>—</v>
      </c>
      <c r="D169" t="str">
        <f t="shared" si="10"/>
        <v>— Sin Inst.2</v>
      </c>
      <c r="E169" t="str">
        <f t="shared" si="11"/>
        <v/>
      </c>
      <c r="F169" t="str">
        <f>IF(MATRIZ_174!L169="","",MATRIZ_174!L169)</f>
        <v/>
      </c>
      <c r="G169" t="str">
        <f>IFERROR(MATRIZ_174!M169,0)</f>
        <v/>
      </c>
      <c r="H169" t="str">
        <f>IF(NORMALIZADO!CC169="","",NORMALIZADO!CC169)</f>
        <v/>
      </c>
      <c r="I169" t="str">
        <f>IF(NORMALIZADO!CF169="","",NORMALIZADO!CF169)</f>
        <v/>
      </c>
      <c r="J169" t="str">
        <f>IF(NORMALIZADO!CG169="","",NORMALIZADO!CG169)</f>
        <v/>
      </c>
      <c r="K169">
        <f>IFERROR(INDEX(MATRIZ_174!$U:$U,MATCH(A169,MATRIZ_174!$A:$A,0))*100,"")</f>
        <v>100</v>
      </c>
      <c r="L169" t="str">
        <f>IFERROR(MATRIZ_174!O169,0)</f>
        <v/>
      </c>
      <c r="N169" t="str">
        <f>IFERROR(ISCAM_Score!AC170,"")</f>
        <v>⬜  Pendiente de instrumento</v>
      </c>
      <c r="O169" t="s">
        <v>150</v>
      </c>
      <c r="P169" t="str">
        <f>IFERROR(INDEX(MATRIZ_174!$C:$C,MATCH(A169,MATRIZ_174!$A:$A,0)),"")</f>
        <v>CAJAMARCA</v>
      </c>
    </row>
    <row r="170" spans="1:16" ht="16.05" customHeight="1" x14ac:dyDescent="0.3">
      <c r="A170" t="s">
        <v>431</v>
      </c>
      <c r="B170" t="s">
        <v>432</v>
      </c>
      <c r="C170" s="36" t="str">
        <f>IFERROR(ISCAM_Score!AL171,"—")</f>
        <v>—</v>
      </c>
      <c r="D170" t="str">
        <f t="shared" si="10"/>
        <v>— Sin Inst.2</v>
      </c>
      <c r="E170" t="str">
        <f t="shared" si="11"/>
        <v/>
      </c>
      <c r="F170">
        <f>IF(MATRIZ_174!L170="","",MATRIZ_174!L170)</f>
        <v>0</v>
      </c>
      <c r="G170">
        <f>IFERROR(MATRIZ_174!M170,0)</f>
        <v>0</v>
      </c>
      <c r="H170" t="str">
        <f>IF(NORMALIZADO!CC170="","",NORMALIZADO!CC170)</f>
        <v/>
      </c>
      <c r="I170" t="str">
        <f>IF(NORMALIZADO!CF170="","",NORMALIZADO!CF170)</f>
        <v/>
      </c>
      <c r="J170" t="str">
        <f>IF(NORMALIZADO!CG170="","",NORMALIZADO!CG170)</f>
        <v/>
      </c>
      <c r="K170">
        <f>IFERROR(INDEX(MATRIZ_174!$U:$U,MATCH(A170,MATRIZ_174!$A:$A,0))*100,"")</f>
        <v>100</v>
      </c>
      <c r="L170" t="str">
        <f>IFERROR(MATRIZ_174!O170,0)</f>
        <v/>
      </c>
      <c r="N170" t="str">
        <f>IFERROR(ISCAM_Score!AC171,"")</f>
        <v>⬜  Pendiente de instrumento</v>
      </c>
      <c r="O170" t="s">
        <v>109</v>
      </c>
      <c r="P170" t="str">
        <f>IFERROR(INDEX(MATRIZ_174!$C:$C,MATCH(A170,MATRIZ_174!$A:$A,0)),"")</f>
        <v>UCAYALI</v>
      </c>
    </row>
    <row r="171" spans="1:16" ht="16.05" customHeight="1" x14ac:dyDescent="0.3">
      <c r="A171" t="s">
        <v>433</v>
      </c>
      <c r="B171" t="s">
        <v>434</v>
      </c>
      <c r="C171" s="36" t="str">
        <f>IFERROR(ISCAM_Score!AL172,"—")</f>
        <v>—</v>
      </c>
      <c r="D171" t="str">
        <f t="shared" si="10"/>
        <v>— Sin Inst.2</v>
      </c>
      <c r="E171" t="str">
        <f t="shared" si="11"/>
        <v/>
      </c>
      <c r="F171" t="str">
        <f>IF(MATRIZ_174!L171="","",MATRIZ_174!L171)</f>
        <v/>
      </c>
      <c r="G171" t="str">
        <f>IFERROR(MATRIZ_174!M171,0)</f>
        <v/>
      </c>
      <c r="H171" t="str">
        <f>IF(NORMALIZADO!CC171="","",NORMALIZADO!CC171)</f>
        <v/>
      </c>
      <c r="I171" t="str">
        <f>IF(NORMALIZADO!CF171="","",NORMALIZADO!CF171)</f>
        <v/>
      </c>
      <c r="J171" t="str">
        <f>IF(NORMALIZADO!CG171="","",NORMALIZADO!CG171)</f>
        <v/>
      </c>
      <c r="K171">
        <f>IFERROR(INDEX(MATRIZ_174!$U:$U,MATCH(A171,MATRIZ_174!$A:$A,0))*100,"")</f>
        <v>100</v>
      </c>
      <c r="L171">
        <f>IFERROR(MATRIZ_174!O171,0)</f>
        <v>0.6</v>
      </c>
      <c r="N171" t="str">
        <f>IFERROR(ISCAM_Score!AC172,"")</f>
        <v>⬜  Pendiente de instrumento</v>
      </c>
      <c r="O171" t="s">
        <v>139</v>
      </c>
      <c r="P171" t="str">
        <f>IFERROR(INDEX(MATRIZ_174!$C:$C,MATCH(A171,MATRIZ_174!$A:$A,0)),"")</f>
        <v>SAN MARTIN</v>
      </c>
    </row>
    <row r="172" spans="1:16" ht="16.05" customHeight="1" x14ac:dyDescent="0.3">
      <c r="A172" t="s">
        <v>435</v>
      </c>
      <c r="B172" t="s">
        <v>436</v>
      </c>
      <c r="C172" s="36" t="str">
        <f>IFERROR(ISCAM_Score!AL173,"—")</f>
        <v>—</v>
      </c>
      <c r="D172" t="str">
        <f t="shared" si="10"/>
        <v>— Sin Inst.2</v>
      </c>
      <c r="E172" t="str">
        <f t="shared" si="11"/>
        <v/>
      </c>
      <c r="F172" t="str">
        <f>IF(MATRIZ_174!L172="","",MATRIZ_174!L172)</f>
        <v/>
      </c>
      <c r="G172" t="str">
        <f>IFERROR(MATRIZ_174!M172,0)</f>
        <v/>
      </c>
      <c r="H172" t="str">
        <f>IF(NORMALIZADO!CC172="","",NORMALIZADO!CC172)</f>
        <v/>
      </c>
      <c r="I172" t="str">
        <f>IF(NORMALIZADO!CF172="","",NORMALIZADO!CF172)</f>
        <v/>
      </c>
      <c r="J172" t="str">
        <f>IF(NORMALIZADO!CG172="","",NORMALIZADO!CG172)</f>
        <v/>
      </c>
      <c r="K172">
        <f>IFERROR(INDEX(MATRIZ_174!$U:$U,MATCH(A172,MATRIZ_174!$A:$A,0))*100,"")</f>
        <v>100</v>
      </c>
      <c r="L172" t="str">
        <f>IFERROR(MATRIZ_174!O172,0)</f>
        <v/>
      </c>
      <c r="N172" t="str">
        <f>IFERROR(ISCAM_Score!AC173,"")</f>
        <v>⬜  Pendiente de instrumento</v>
      </c>
      <c r="O172" t="s">
        <v>112</v>
      </c>
      <c r="P172" t="str">
        <f>IFERROR(INDEX(MATRIZ_174!$C:$C,MATCH(A172,MATRIZ_174!$A:$A,0)),"")</f>
        <v>AMAZONAS</v>
      </c>
    </row>
    <row r="173" spans="1:16" ht="16.05" customHeight="1" x14ac:dyDescent="0.3">
      <c r="A173" t="s">
        <v>437</v>
      </c>
      <c r="B173" t="s">
        <v>438</v>
      </c>
      <c r="C173" s="36" t="str">
        <f>IFERROR(ISCAM_Score!AL174,"—")</f>
        <v>—</v>
      </c>
      <c r="D173" t="str">
        <f t="shared" si="10"/>
        <v>— Sin Inst.2</v>
      </c>
      <c r="E173" t="str">
        <f t="shared" si="11"/>
        <v/>
      </c>
      <c r="F173" t="str">
        <f>IF(MATRIZ_174!L173="","",MATRIZ_174!L173)</f>
        <v/>
      </c>
      <c r="G173" t="str">
        <f>IFERROR(MATRIZ_174!M173,0)</f>
        <v/>
      </c>
      <c r="H173" t="str">
        <f>IF(NORMALIZADO!CC173="","",NORMALIZADO!CC173)</f>
        <v/>
      </c>
      <c r="I173" t="str">
        <f>IF(NORMALIZADO!CF173="","",NORMALIZADO!CF173)</f>
        <v/>
      </c>
      <c r="J173" t="str">
        <f>IF(NORMALIZADO!CG173="","",NORMALIZADO!CG173)</f>
        <v/>
      </c>
      <c r="K173">
        <f>IFERROR(INDEX(MATRIZ_174!$U:$U,MATCH(A173,MATRIZ_174!$A:$A,0))*100,"")</f>
        <v>100</v>
      </c>
      <c r="L173" t="str">
        <f>IFERROR(MATRIZ_174!O173,0)</f>
        <v/>
      </c>
      <c r="N173" t="str">
        <f>IFERROR(ISCAM_Score!AC174,"")</f>
        <v>⬜  Pendiente de instrumento</v>
      </c>
      <c r="O173" t="s">
        <v>179</v>
      </c>
      <c r="P173" t="str">
        <f>IFERROR(INDEX(MATRIZ_174!$C:$C,MATCH(A173,MATRIZ_174!$A:$A,0)),"")</f>
        <v>LAMBAYEQUE</v>
      </c>
    </row>
    <row r="174" spans="1:16" ht="16.05" customHeight="1" x14ac:dyDescent="0.3">
      <c r="A174" t="s">
        <v>439</v>
      </c>
      <c r="C174" s="36" t="str">
        <f>IFERROR(ISCAM_Score!AL175,"—")</f>
        <v>—</v>
      </c>
      <c r="D174" t="str">
        <f t="shared" si="10"/>
        <v>— Sin Inst.2</v>
      </c>
      <c r="E174" t="str">
        <f t="shared" si="11"/>
        <v/>
      </c>
      <c r="F174" t="str">
        <f>IF(MATRIZ_174!L174="","",MATRIZ_174!L174)</f>
        <v/>
      </c>
      <c r="G174" t="str">
        <f>IFERROR(MATRIZ_174!M174,0)</f>
        <v/>
      </c>
      <c r="H174" t="str">
        <f>IF(NORMALIZADO!CC174="","",NORMALIZADO!CC174)</f>
        <v/>
      </c>
      <c r="I174" t="str">
        <f>IF(NORMALIZADO!CF174="","",NORMALIZADO!CF174)</f>
        <v/>
      </c>
      <c r="J174" t="str">
        <f>IF(NORMALIZADO!CG174="","",NORMALIZADO!CG174)</f>
        <v/>
      </c>
      <c r="K174">
        <f>IFERROR(INDEX(MATRIZ_174!$U:$U,MATCH(A174,MATRIZ_174!$A:$A,0))*100,"")</f>
        <v>100</v>
      </c>
      <c r="L174" t="str">
        <f>IFERROR(MATRIZ_174!O174,0)</f>
        <v/>
      </c>
      <c r="N174" t="str">
        <f>IFERROR(ISCAM_Score!AC175,"")</f>
        <v>⬜  Pendiente de instrumento</v>
      </c>
      <c r="P174" t="str">
        <f>IFERROR(INDEX(MATRIZ_174!$C:$C,MATCH(A174,MATRIZ_174!$A:$A,0)),"")</f>
        <v>OTROS</v>
      </c>
    </row>
    <row r="175" spans="1:16" ht="16.05" customHeight="1" x14ac:dyDescent="0.3">
      <c r="A175" t="s">
        <v>441</v>
      </c>
      <c r="B175" t="s">
        <v>442</v>
      </c>
      <c r="C175" s="36" t="str">
        <f>IFERROR(ISCAM_Score!AL176,"—")</f>
        <v>—</v>
      </c>
      <c r="D175" t="str">
        <f t="shared" si="10"/>
        <v>— Sin Inst.2</v>
      </c>
      <c r="E175" t="str">
        <f t="shared" si="11"/>
        <v/>
      </c>
      <c r="F175">
        <f>IF(MATRIZ_174!L175="","",MATRIZ_174!L175)</f>
        <v>3861667.52</v>
      </c>
      <c r="G175">
        <f>IFERROR(MATRIZ_174!M175,0)</f>
        <v>50</v>
      </c>
      <c r="H175" t="str">
        <f>IF(NORMALIZADO!CC175="","",NORMALIZADO!CC175)</f>
        <v/>
      </c>
      <c r="I175" t="str">
        <f>IF(NORMALIZADO!CF175="","",NORMALIZADO!CF175)</f>
        <v/>
      </c>
      <c r="J175" t="str">
        <f>IF(NORMALIZADO!CG175="","",NORMALIZADO!CG175)</f>
        <v/>
      </c>
      <c r="K175">
        <f>IFERROR(INDEX(MATRIZ_174!$U:$U,MATCH(A175,MATRIZ_174!$A:$A,0))*100,"")</f>
        <v>100</v>
      </c>
      <c r="L175" t="str">
        <f>IFERROR(MATRIZ_174!O175,0)</f>
        <v/>
      </c>
      <c r="N175" t="str">
        <f>IFERROR(ISCAM_Score!AC176,"")</f>
        <v>⬜  Pendiente de instrumento</v>
      </c>
      <c r="O175" t="s">
        <v>109</v>
      </c>
      <c r="P175" t="str">
        <f>IFERROR(INDEX(MATRIZ_174!$C:$C,MATCH(A175,MATRIZ_174!$A:$A,0)),"")</f>
        <v>UCAYALI</v>
      </c>
    </row>
    <row r="176" spans="1:16" ht="16.05" customHeight="1" x14ac:dyDescent="0.3">
      <c r="A176" t="s">
        <v>443</v>
      </c>
      <c r="B176" t="s">
        <v>444</v>
      </c>
      <c r="C176" s="36" t="str">
        <f>IFERROR(ISCAM_Score!AL177,"—")</f>
        <v>—</v>
      </c>
      <c r="D176" t="str">
        <f t="shared" si="10"/>
        <v>— Sin Inst.2</v>
      </c>
      <c r="E176" t="str">
        <f t="shared" si="11"/>
        <v/>
      </c>
      <c r="F176">
        <f>IF(MATRIZ_174!L176="","",MATRIZ_174!L176)</f>
        <v>0</v>
      </c>
      <c r="G176">
        <f>IFERROR(MATRIZ_174!M176,0)</f>
        <v>0</v>
      </c>
      <c r="H176" t="str">
        <f>IF(NORMALIZADO!CC176="","",NORMALIZADO!CC176)</f>
        <v/>
      </c>
      <c r="I176" t="str">
        <f>IF(NORMALIZADO!CF176="","",NORMALIZADO!CF176)</f>
        <v/>
      </c>
      <c r="J176" t="str">
        <f>IF(NORMALIZADO!CG176="","",NORMALIZADO!CG176)</f>
        <v/>
      </c>
      <c r="K176">
        <f>IFERROR(INDEX(MATRIZ_174!$U:$U,MATCH(A176,MATRIZ_174!$A:$A,0))*100,"")</f>
        <v>100</v>
      </c>
      <c r="L176" t="str">
        <f>IFERROR(MATRIZ_174!O176,0)</f>
        <v/>
      </c>
      <c r="N176" t="str">
        <f>IFERROR(ISCAM_Score!AC177,"")</f>
        <v>⬜  Pendiente de instrumento</v>
      </c>
      <c r="O176" t="s">
        <v>112</v>
      </c>
      <c r="P176" t="str">
        <f>IFERROR(INDEX(MATRIZ_174!$C:$C,MATCH(A176,MATRIZ_174!$A:$A,0)),"")</f>
        <v>AMAZONAS</v>
      </c>
    </row>
    <row r="177" spans="1:11" x14ac:dyDescent="0.3">
      <c r="K177" t="str">
        <f>IFERROR(INDEX(MATRIZ_174!$U:$U,MATCH(A177,MATRIZ_174!$A:$A,0)),"")</f>
        <v/>
      </c>
    </row>
    <row r="178" spans="1:11" x14ac:dyDescent="0.3">
      <c r="K178" t="str">
        <f>IFERROR(INDEX(MATRIZ_174!$U:$U,MATCH(A178,MATRIZ_174!$A:$A,0)),"")</f>
        <v/>
      </c>
    </row>
    <row r="179" spans="1:11" ht="22.05" customHeight="1" x14ac:dyDescent="0.3">
      <c r="A179" s="65" t="s">
        <v>1037</v>
      </c>
      <c r="B179" s="65"/>
      <c r="C179" s="65"/>
      <c r="D179" s="65"/>
      <c r="E179" s="65"/>
      <c r="F179" s="65"/>
      <c r="G179" s="65"/>
      <c r="K179" t="str">
        <f>IFERROR(INDEX(MATRIZ_174!$U:$U,MATCH(A179,MATRIZ_174!$A:$A,0)),"")</f>
        <v/>
      </c>
    </row>
    <row r="180" spans="1:11" ht="18" customHeight="1" x14ac:dyDescent="0.3">
      <c r="A180" t="s">
        <v>1038</v>
      </c>
      <c r="B180" s="65">
        <f>COUNTA(A3:A176)</f>
        <v>174</v>
      </c>
      <c r="C180" s="65"/>
      <c r="D180" s="65"/>
      <c r="K180" t="str">
        <f>IFERROR(INDEX(MATRIZ_174!$U:$U,MATCH(A180,MATRIZ_174!$A:$A,0)),"")</f>
        <v/>
      </c>
    </row>
    <row r="181" spans="1:11" ht="18" customHeight="1" x14ac:dyDescent="0.3">
      <c r="A181" t="s">
        <v>1039</v>
      </c>
      <c r="B181" s="65">
        <f>COUNTIF(F3:F176,"&gt;0")</f>
        <v>36</v>
      </c>
      <c r="C181" s="65"/>
      <c r="D181" s="65"/>
      <c r="K181" t="str">
        <f>IFERROR(INDEX(MATRIZ_174!$U:$U,MATCH(A181,MATRIZ_174!$A:$A,0)),"")</f>
        <v/>
      </c>
    </row>
    <row r="182" spans="1:11" ht="18" customHeight="1" x14ac:dyDescent="0.3">
      <c r="A182" t="s">
        <v>1040</v>
      </c>
      <c r="B182" s="65">
        <f>COUNTIF(C3:C176,"&lt;34")-COUNTIF(C3:C176,0)</f>
        <v>0</v>
      </c>
      <c r="C182" s="65"/>
      <c r="D182" s="65"/>
      <c r="K182" t="str">
        <f>IFERROR(INDEX(MATRIZ_174!$U:$U,MATCH(A182,MATRIZ_174!$A:$A,0)),"")</f>
        <v/>
      </c>
    </row>
    <row r="183" spans="1:11" ht="18" customHeight="1" x14ac:dyDescent="0.3">
      <c r="A183" t="s">
        <v>1041</v>
      </c>
      <c r="B183" s="65">
        <f>COUNTIFS(C3:C176,"&gt;=34",C3:C176,"&lt;67")</f>
        <v>0</v>
      </c>
      <c r="C183" s="65"/>
      <c r="D183" s="65"/>
      <c r="K183" t="str">
        <f>IFERROR(INDEX(MATRIZ_174!$U:$U,MATCH(A183,MATRIZ_174!$A:$A,0)),"")</f>
        <v/>
      </c>
    </row>
    <row r="184" spans="1:11" ht="18" customHeight="1" x14ac:dyDescent="0.3">
      <c r="A184" t="s">
        <v>1042</v>
      </c>
      <c r="B184" s="65">
        <f>COUNTIF(C3:C176,"&gt;=67")</f>
        <v>0</v>
      </c>
      <c r="C184" s="65"/>
      <c r="D184" s="65"/>
      <c r="K184" t="str">
        <f>IFERROR(INDEX(MATRIZ_174!$U:$U,MATCH(A184,MATRIZ_174!$A:$A,0)),"")</f>
        <v/>
      </c>
    </row>
    <row r="185" spans="1:11" ht="18" customHeight="1" x14ac:dyDescent="0.3">
      <c r="A185" t="s">
        <v>1076</v>
      </c>
      <c r="B185" s="65">
        <f>COUNTIF(C3:C176,"—")</f>
        <v>174</v>
      </c>
      <c r="C185" s="65"/>
      <c r="D185" s="65"/>
      <c r="K185" t="str">
        <f>IFERROR(INDEX(MATRIZ_174!$U:$U,MATCH(A185,MATRIZ_174!$A:$A,0)),"")</f>
        <v/>
      </c>
    </row>
    <row r="186" spans="1:11" ht="18" customHeight="1" x14ac:dyDescent="0.3">
      <c r="A186" t="s">
        <v>1089</v>
      </c>
      <c r="B186" s="65">
        <f>IFERROR(ROUND(AVERAGE(MATRIZ_174!S3:S176),1),"N/A")</f>
        <v>9</v>
      </c>
      <c r="C186" s="65"/>
      <c r="D186" s="65"/>
      <c r="K186" t="str">
        <f>IFERROR(INDEX(MATRIZ_174!$U:$U,MATCH(A186,MATRIZ_174!$A:$A,0)),"")</f>
        <v/>
      </c>
    </row>
    <row r="187" spans="1:11" ht="18" customHeight="1" x14ac:dyDescent="0.3">
      <c r="A187" t="s">
        <v>1043</v>
      </c>
      <c r="B187" s="65">
        <f>SUMIF(F3:F176,"&gt;0",F3:F176)</f>
        <v>120511187.67999998</v>
      </c>
      <c r="C187" s="65"/>
      <c r="D187" s="65"/>
      <c r="K187" t="str">
        <f>IFERROR(INDEX(MATRIZ_174!$U:$U,MATCH(A187,MATRIZ_174!$A:$A,0)),"")</f>
        <v/>
      </c>
    </row>
  </sheetData>
  <mergeCells count="10">
    <mergeCell ref="A1:O1"/>
    <mergeCell ref="B187:D187"/>
    <mergeCell ref="B183:D183"/>
    <mergeCell ref="A179:G179"/>
    <mergeCell ref="B182:D182"/>
    <mergeCell ref="B185:D185"/>
    <mergeCell ref="B186:D186"/>
    <mergeCell ref="B184:D184"/>
    <mergeCell ref="B180:D180"/>
    <mergeCell ref="B181:D18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35"/>
  <sheetViews>
    <sheetView workbookViewId="0">
      <selection activeCell="M9" sqref="M9"/>
    </sheetView>
  </sheetViews>
  <sheetFormatPr baseColWidth="10" defaultColWidth="8.88671875" defaultRowHeight="14.4" x14ac:dyDescent="0.3"/>
  <cols>
    <col min="1" max="1" width="28" customWidth="1"/>
    <col min="2" max="12" width="10" customWidth="1"/>
    <col min="13" max="13" width="12" customWidth="1"/>
  </cols>
  <sheetData>
    <row r="1" spans="1:13" ht="28.05" customHeight="1" x14ac:dyDescent="0.3">
      <c r="A1" s="65" t="s">
        <v>1044</v>
      </c>
      <c r="B1" s="65"/>
      <c r="C1" s="65"/>
      <c r="D1" s="65"/>
      <c r="E1" s="65"/>
      <c r="F1" s="65"/>
      <c r="G1" s="65"/>
      <c r="H1" s="65"/>
      <c r="I1" s="65"/>
      <c r="J1" s="65"/>
    </row>
    <row r="2" spans="1:13" x14ac:dyDescent="0.3">
      <c r="A2" t="s">
        <v>1045</v>
      </c>
      <c r="B2" t="s">
        <v>1046</v>
      </c>
      <c r="C2" t="s">
        <v>1047</v>
      </c>
      <c r="D2" t="s">
        <v>1048</v>
      </c>
      <c r="E2" t="s">
        <v>1049</v>
      </c>
      <c r="F2" t="s">
        <v>1050</v>
      </c>
      <c r="G2" t="s">
        <v>1051</v>
      </c>
      <c r="H2" t="s">
        <v>1052</v>
      </c>
      <c r="I2" t="s">
        <v>1053</v>
      </c>
      <c r="J2" t="s">
        <v>1054</v>
      </c>
      <c r="K2" t="s">
        <v>1055</v>
      </c>
      <c r="L2" t="s">
        <v>1056</v>
      </c>
      <c r="M2" t="s">
        <v>1072</v>
      </c>
    </row>
    <row r="3" spans="1:13" ht="18" customHeight="1" x14ac:dyDescent="0.3">
      <c r="A3" t="s">
        <v>139</v>
      </c>
      <c r="B3" t="str">
        <f>IFERROR(AVERAGEIF(ISCAM_Score!$C$4:$C$177,$A3,ISCAM_Score!$E$4:$E$177),"—")</f>
        <v>—</v>
      </c>
      <c r="C3" t="str">
        <f>IFERROR(AVERAGEIF(SCORECARDS!$P$3:$P$176,$A3,SCORECARDS!$H$3:$H$176),"—")</f>
        <v>—</v>
      </c>
      <c r="D3">
        <f>IFERROR(AVERAGEIF(ISCAM_Score!$C$4:$C$177,$A3,ISCAM_Score!$G$4:$G$177),"—")</f>
        <v>100</v>
      </c>
      <c r="E3" t="str">
        <f>IFERROR(AVERAGEIF(ISCAM_Score!$C$4:$C$177,$A3,ISCAM_Score!$H$4:$H$177),"—")</f>
        <v>—</v>
      </c>
      <c r="F3" t="str">
        <f>IFERROR(AVERAGEIF(SCORECARDS!$P$3:$P$176,$A3,SCORECARDS!$I$3:$I$176),"—")</f>
        <v>—</v>
      </c>
      <c r="G3" t="str">
        <f>IFERROR(AVERAGEIF(SCORECARDS!$P$3:$P$176,$A3,SCORECARDS!$J$3:$J$176),"—")</f>
        <v>—</v>
      </c>
      <c r="H3" t="str">
        <f>IFERROR(AVERAGEIF(ISCAM_Score!$C$4:$C$177,$A3,ISCAM_Score!$K$4:$K$177),"—")</f>
        <v>—</v>
      </c>
      <c r="I3" t="str">
        <f>IFERROR(AVERAGEIF(ISCAM_Score!$C$4:$C$177,$A3,ISCAM_Score!$L$4:$L$177),"—")</f>
        <v>—</v>
      </c>
      <c r="J3" t="str">
        <f>IFERROR(AVERAGEIF(ISCAM_Score!$C$4:$C$177,$A3,ISCAM_Score!$M$4:$M$177),"—")</f>
        <v>—</v>
      </c>
      <c r="K3" t="str">
        <f>IFERROR(AVERAGEIF(ISCAM_Score!$C$4:$C$177,$A3,ISCAM_Score!$N$4:$N$177),"—")</f>
        <v>—</v>
      </c>
      <c r="L3" t="str">
        <f>IFERROR(AVERAGEIF(ISCAM_Score!$C$4:$C$177,$A3,ISCAM_Score!$O$4:$O$177),"—")</f>
        <v>—</v>
      </c>
      <c r="M3" t="str">
        <f t="shared" ref="M3:M17" si="0">IF(COUNT(B3:L3)&lt;7,"—",IFERROR(AVERAGE(B3:L3),"—"))</f>
        <v>—</v>
      </c>
    </row>
    <row r="4" spans="1:13" ht="18" customHeight="1" x14ac:dyDescent="0.3">
      <c r="A4" t="s">
        <v>77</v>
      </c>
      <c r="B4" t="str">
        <f>IFERROR(AVERAGEIF(ISCAM_Score!$C$4:$C$177,$A4,ISCAM_Score!$E$4:$E$177),"—")</f>
        <v>—</v>
      </c>
      <c r="C4" t="str">
        <f>IFERROR(AVERAGEIF(SCORECARDS!$P$3:$P$176,$A4,SCORECARDS!$H$3:$H$176),"—")</f>
        <v>—</v>
      </c>
      <c r="D4">
        <f>IFERROR(AVERAGEIF(ISCAM_Score!$C$4:$C$177,$A4,ISCAM_Score!$G$4:$G$177),"—")</f>
        <v>100</v>
      </c>
      <c r="E4" t="str">
        <f>IFERROR(AVERAGEIF(ISCAM_Score!$C$4:$C$177,$A4,ISCAM_Score!$H$4:$H$177),"—")</f>
        <v>—</v>
      </c>
      <c r="F4" t="str">
        <f>IFERROR(AVERAGEIF(SCORECARDS!$P$3:$P$176,$A4,SCORECARDS!$I$3:$I$176),"—")</f>
        <v>—</v>
      </c>
      <c r="G4" t="str">
        <f>IFERROR(AVERAGEIF(SCORECARDS!$P$3:$P$176,$A4,SCORECARDS!$J$3:$J$176),"—")</f>
        <v>—</v>
      </c>
      <c r="H4" t="str">
        <f>IFERROR(AVERAGEIF(ISCAM_Score!$C$4:$C$177,$A4,ISCAM_Score!$K$4:$K$177),"—")</f>
        <v>—</v>
      </c>
      <c r="I4" t="str">
        <f>IFERROR(AVERAGEIF(ISCAM_Score!$C$4:$C$177,$A4,ISCAM_Score!$L$4:$L$177),"—")</f>
        <v>—</v>
      </c>
      <c r="J4" t="str">
        <f>IFERROR(AVERAGEIF(ISCAM_Score!$C$4:$C$177,$A4,ISCAM_Score!$M$4:$M$177),"—")</f>
        <v>—</v>
      </c>
      <c r="K4" t="str">
        <f>IFERROR(AVERAGEIF(ISCAM_Score!$C$4:$C$177,$A4,ISCAM_Score!$N$4:$N$177),"—")</f>
        <v>—</v>
      </c>
      <c r="L4" t="str">
        <f>IFERROR(AVERAGEIF(ISCAM_Score!$C$4:$C$177,$A4,ISCAM_Score!$O$4:$O$177),"—")</f>
        <v>—</v>
      </c>
      <c r="M4" t="str">
        <f t="shared" si="0"/>
        <v>—</v>
      </c>
    </row>
    <row r="5" spans="1:13" ht="18" customHeight="1" x14ac:dyDescent="0.3">
      <c r="A5" t="s">
        <v>112</v>
      </c>
      <c r="B5" t="str">
        <f>IFERROR(AVERAGEIF(ISCAM_Score!$C$4:$C$177,$A5,ISCAM_Score!$E$4:$E$177),"—")</f>
        <v>—</v>
      </c>
      <c r="C5" t="str">
        <f>IFERROR(AVERAGEIF(SCORECARDS!$P$3:$P$176,$A5,SCORECARDS!$H$3:$H$176),"—")</f>
        <v>—</v>
      </c>
      <c r="D5">
        <f>IFERROR(AVERAGEIF(ISCAM_Score!$C$4:$C$177,$A5,ISCAM_Score!$G$4:$G$177),"—")</f>
        <v>100</v>
      </c>
      <c r="E5" t="str">
        <f>IFERROR(AVERAGEIF(ISCAM_Score!$C$4:$C$177,$A5,ISCAM_Score!$H$4:$H$177),"—")</f>
        <v>—</v>
      </c>
      <c r="F5" t="str">
        <f>IFERROR(AVERAGEIF(SCORECARDS!$P$3:$P$176,$A5,SCORECARDS!$I$3:$I$176),"—")</f>
        <v>—</v>
      </c>
      <c r="G5" t="str">
        <f>IFERROR(AVERAGEIF(SCORECARDS!$P$3:$P$176,$A5,SCORECARDS!$J$3:$J$176),"—")</f>
        <v>—</v>
      </c>
      <c r="H5" t="str">
        <f>IFERROR(AVERAGEIF(ISCAM_Score!$C$4:$C$177,$A5,ISCAM_Score!$K$4:$K$177),"—")</f>
        <v>—</v>
      </c>
      <c r="I5" t="str">
        <f>IFERROR(AVERAGEIF(ISCAM_Score!$C$4:$C$177,$A5,ISCAM_Score!$L$4:$L$177),"—")</f>
        <v>—</v>
      </c>
      <c r="J5" t="str">
        <f>IFERROR(AVERAGEIF(ISCAM_Score!$C$4:$C$177,$A5,ISCAM_Score!$M$4:$M$177),"—")</f>
        <v>—</v>
      </c>
      <c r="K5" t="str">
        <f>IFERROR(AVERAGEIF(ISCAM_Score!$C$4:$C$177,$A5,ISCAM_Score!$N$4:$N$177),"—")</f>
        <v>—</v>
      </c>
      <c r="L5" t="str">
        <f>IFERROR(AVERAGEIF(ISCAM_Score!$C$4:$C$177,$A5,ISCAM_Score!$O$4:$O$177),"—")</f>
        <v>—</v>
      </c>
      <c r="M5" t="str">
        <f t="shared" si="0"/>
        <v>—</v>
      </c>
    </row>
    <row r="6" spans="1:13" ht="18" customHeight="1" x14ac:dyDescent="0.3">
      <c r="A6" t="s">
        <v>150</v>
      </c>
      <c r="B6" t="str">
        <f>IFERROR(AVERAGEIF(ISCAM_Score!$C$4:$C$177,$A6,ISCAM_Score!$E$4:$E$177),"—")</f>
        <v>—</v>
      </c>
      <c r="C6" t="str">
        <f>IFERROR(AVERAGEIF(SCORECARDS!$P$3:$P$176,$A6,SCORECARDS!$H$3:$H$176),"—")</f>
        <v>—</v>
      </c>
      <c r="D6">
        <f>IFERROR(AVERAGEIF(ISCAM_Score!$C$4:$C$177,$A6,ISCAM_Score!$G$4:$G$177),"—")</f>
        <v>100</v>
      </c>
      <c r="E6" t="str">
        <f>IFERROR(AVERAGEIF(ISCAM_Score!$C$4:$C$177,$A6,ISCAM_Score!$H$4:$H$177),"—")</f>
        <v>—</v>
      </c>
      <c r="F6" t="str">
        <f>IFERROR(AVERAGEIF(SCORECARDS!$P$3:$P$176,$A6,SCORECARDS!$I$3:$I$176),"—")</f>
        <v>—</v>
      </c>
      <c r="G6" t="str">
        <f>IFERROR(AVERAGEIF(SCORECARDS!$P$3:$P$176,$A6,SCORECARDS!$J$3:$J$176),"—")</f>
        <v>—</v>
      </c>
      <c r="H6" t="str">
        <f>IFERROR(AVERAGEIF(ISCAM_Score!$C$4:$C$177,$A6,ISCAM_Score!$K$4:$K$177),"—")</f>
        <v>—</v>
      </c>
      <c r="I6" t="str">
        <f>IFERROR(AVERAGEIF(ISCAM_Score!$C$4:$C$177,$A6,ISCAM_Score!$L$4:$L$177),"—")</f>
        <v>—</v>
      </c>
      <c r="J6" t="str">
        <f>IFERROR(AVERAGEIF(ISCAM_Score!$C$4:$C$177,$A6,ISCAM_Score!$M$4:$M$177),"—")</f>
        <v>—</v>
      </c>
      <c r="K6" t="str">
        <f>IFERROR(AVERAGEIF(ISCAM_Score!$C$4:$C$177,$A6,ISCAM_Score!$N$4:$N$177),"—")</f>
        <v>—</v>
      </c>
      <c r="L6" t="str">
        <f>IFERROR(AVERAGEIF(ISCAM_Score!$C$4:$C$177,$A6,ISCAM_Score!$O$4:$O$177),"—")</f>
        <v>—</v>
      </c>
      <c r="M6" t="str">
        <f t="shared" si="0"/>
        <v>—</v>
      </c>
    </row>
    <row r="7" spans="1:13" ht="18" customHeight="1" x14ac:dyDescent="0.3">
      <c r="A7" t="s">
        <v>80</v>
      </c>
      <c r="B7" t="str">
        <f>IFERROR(AVERAGEIF(ISCAM_Score!$C$4:$C$177,$A7,ISCAM_Score!$E$4:$E$177),"—")</f>
        <v>—</v>
      </c>
      <c r="C7" t="str">
        <f>IFERROR(AVERAGEIF(SCORECARDS!$P$3:$P$176,$A7,SCORECARDS!$H$3:$H$176),"—")</f>
        <v>—</v>
      </c>
      <c r="D7">
        <f>IFERROR(AVERAGEIF(ISCAM_Score!$C$4:$C$177,$A7,ISCAM_Score!$G$4:$G$177),"—")</f>
        <v>98.958333333333329</v>
      </c>
      <c r="E7" t="str">
        <f>IFERROR(AVERAGEIF(ISCAM_Score!$C$4:$C$177,$A7,ISCAM_Score!$H$4:$H$177),"—")</f>
        <v>—</v>
      </c>
      <c r="F7" t="str">
        <f>IFERROR(AVERAGEIF(SCORECARDS!$P$3:$P$176,$A7,SCORECARDS!$I$3:$I$176),"—")</f>
        <v>—</v>
      </c>
      <c r="G7" t="str">
        <f>IFERROR(AVERAGEIF(SCORECARDS!$P$3:$P$176,$A7,SCORECARDS!$J$3:$J$176),"—")</f>
        <v>—</v>
      </c>
      <c r="H7" t="str">
        <f>IFERROR(AVERAGEIF(ISCAM_Score!$C$4:$C$177,$A7,ISCAM_Score!$K$4:$K$177),"—")</f>
        <v>—</v>
      </c>
      <c r="I7" t="str">
        <f>IFERROR(AVERAGEIF(ISCAM_Score!$C$4:$C$177,$A7,ISCAM_Score!$L$4:$L$177),"—")</f>
        <v>—</v>
      </c>
      <c r="J7" t="str">
        <f>IFERROR(AVERAGEIF(ISCAM_Score!$C$4:$C$177,$A7,ISCAM_Score!$M$4:$M$177),"—")</f>
        <v>—</v>
      </c>
      <c r="K7" t="str">
        <f>IFERROR(AVERAGEIF(ISCAM_Score!$C$4:$C$177,$A7,ISCAM_Score!$N$4:$N$177),"—")</f>
        <v>—</v>
      </c>
      <c r="L7" t="str">
        <f>IFERROR(AVERAGEIF(ISCAM_Score!$C$4:$C$177,$A7,ISCAM_Score!$O$4:$O$177),"—")</f>
        <v>—</v>
      </c>
      <c r="M7" t="str">
        <f t="shared" si="0"/>
        <v>—</v>
      </c>
    </row>
    <row r="8" spans="1:13" ht="18" customHeight="1" x14ac:dyDescent="0.3">
      <c r="A8" t="s">
        <v>109</v>
      </c>
      <c r="B8" t="str">
        <f>IFERROR(AVERAGEIF(ISCAM_Score!$C$4:$C$177,$A8,ISCAM_Score!$E$4:$E$177),"—")</f>
        <v>—</v>
      </c>
      <c r="C8" t="str">
        <f>IFERROR(AVERAGEIF(SCORECARDS!$P$3:$P$176,$A8,SCORECARDS!$H$3:$H$176),"—")</f>
        <v>—</v>
      </c>
      <c r="D8">
        <f>IFERROR(AVERAGEIF(ISCAM_Score!$C$4:$C$177,$A8,ISCAM_Score!$G$4:$G$177),"—")</f>
        <v>100</v>
      </c>
      <c r="E8" t="str">
        <f>IFERROR(AVERAGEIF(ISCAM_Score!$C$4:$C$177,$A8,ISCAM_Score!$H$4:$H$177),"—")</f>
        <v>—</v>
      </c>
      <c r="F8" t="str">
        <f>IFERROR(AVERAGEIF(SCORECARDS!$P$3:$P$176,$A8,SCORECARDS!$I$3:$I$176),"—")</f>
        <v>—</v>
      </c>
      <c r="G8" t="str">
        <f>IFERROR(AVERAGEIF(SCORECARDS!$P$3:$P$176,$A8,SCORECARDS!$J$3:$J$176),"—")</f>
        <v>—</v>
      </c>
      <c r="H8" t="str">
        <f>IFERROR(AVERAGEIF(ISCAM_Score!$C$4:$C$177,$A8,ISCAM_Score!$K$4:$K$177),"—")</f>
        <v>—</v>
      </c>
      <c r="I8" t="str">
        <f>IFERROR(AVERAGEIF(ISCAM_Score!$C$4:$C$177,$A8,ISCAM_Score!$L$4:$L$177),"—")</f>
        <v>—</v>
      </c>
      <c r="J8" t="str">
        <f>IFERROR(AVERAGEIF(ISCAM_Score!$C$4:$C$177,$A8,ISCAM_Score!$M$4:$M$177),"—")</f>
        <v>—</v>
      </c>
      <c r="K8" t="str">
        <f>IFERROR(AVERAGEIF(ISCAM_Score!$C$4:$C$177,$A8,ISCAM_Score!$N$4:$N$177),"—")</f>
        <v>—</v>
      </c>
      <c r="L8" t="str">
        <f>IFERROR(AVERAGEIF(ISCAM_Score!$C$4:$C$177,$A8,ISCAM_Score!$O$4:$O$177),"—")</f>
        <v>—</v>
      </c>
      <c r="M8" t="str">
        <f t="shared" si="0"/>
        <v>—</v>
      </c>
    </row>
    <row r="9" spans="1:13" ht="18" customHeight="1" x14ac:dyDescent="0.3">
      <c r="A9" t="s">
        <v>249</v>
      </c>
      <c r="B9" t="str">
        <f>IFERROR(AVERAGEIF(ISCAM_Score!$C$4:$C$177,$A9,ISCAM_Score!$E$4:$E$177),"—")</f>
        <v>—</v>
      </c>
      <c r="C9" t="str">
        <f>IFERROR(AVERAGEIF(SCORECARDS!$P$3:$P$176,$A9,SCORECARDS!$H$3:$H$176),"—")</f>
        <v>—</v>
      </c>
      <c r="D9">
        <f>IFERROR(AVERAGEIF(ISCAM_Score!$C$4:$C$177,$A9,ISCAM_Score!$G$4:$G$177),"—")</f>
        <v>100</v>
      </c>
      <c r="E9" t="str">
        <f>IFERROR(AVERAGEIF(ISCAM_Score!$C$4:$C$177,$A9,ISCAM_Score!$H$4:$H$177),"—")</f>
        <v>—</v>
      </c>
      <c r="F9" t="str">
        <f>IFERROR(AVERAGEIF(SCORECARDS!$P$3:$P$176,$A9,SCORECARDS!$I$3:$I$176),"—")</f>
        <v>—</v>
      </c>
      <c r="G9" t="str">
        <f>IFERROR(AVERAGEIF(SCORECARDS!$P$3:$P$176,$A9,SCORECARDS!$J$3:$J$176),"—")</f>
        <v>—</v>
      </c>
      <c r="H9" t="str">
        <f>IFERROR(AVERAGEIF(ISCAM_Score!$C$4:$C$177,$A9,ISCAM_Score!$K$4:$K$177),"—")</f>
        <v>—</v>
      </c>
      <c r="I9" t="str">
        <f>IFERROR(AVERAGEIF(ISCAM_Score!$C$4:$C$177,$A9,ISCAM_Score!$L$4:$L$177),"—")</f>
        <v>—</v>
      </c>
      <c r="J9" t="str">
        <f>IFERROR(AVERAGEIF(ISCAM_Score!$C$4:$C$177,$A9,ISCAM_Score!$M$4:$M$177),"—")</f>
        <v>—</v>
      </c>
      <c r="K9" t="str">
        <f>IFERROR(AVERAGEIF(ISCAM_Score!$C$4:$C$177,$A9,ISCAM_Score!$N$4:$N$177),"—")</f>
        <v>—</v>
      </c>
      <c r="L9" t="str">
        <f>IFERROR(AVERAGEIF(ISCAM_Score!$C$4:$C$177,$A9,ISCAM_Score!$O$4:$O$177),"—")</f>
        <v>—</v>
      </c>
      <c r="M9" t="str">
        <f t="shared" si="0"/>
        <v>—</v>
      </c>
    </row>
    <row r="10" spans="1:13" ht="18" customHeight="1" x14ac:dyDescent="0.3">
      <c r="A10" t="s">
        <v>103</v>
      </c>
      <c r="B10" t="str">
        <f>IFERROR(AVERAGEIF(ISCAM_Score!$C$4:$C$177,$A10,ISCAM_Score!$E$4:$E$177),"—")</f>
        <v>—</v>
      </c>
      <c r="C10" t="str">
        <f>IFERROR(AVERAGEIF(SCORECARDS!$P$3:$P$176,$A10,SCORECARDS!$H$3:$H$176),"—")</f>
        <v>—</v>
      </c>
      <c r="D10">
        <f>IFERROR(AVERAGEIF(ISCAM_Score!$C$4:$C$177,$A10,ISCAM_Score!$G$4:$G$177),"—")</f>
        <v>100</v>
      </c>
      <c r="E10" t="str">
        <f>IFERROR(AVERAGEIF(ISCAM_Score!$C$4:$C$177,$A10,ISCAM_Score!$H$4:$H$177),"—")</f>
        <v>—</v>
      </c>
      <c r="F10" t="str">
        <f>IFERROR(AVERAGEIF(SCORECARDS!$P$3:$P$176,$A10,SCORECARDS!$I$3:$I$176),"—")</f>
        <v>—</v>
      </c>
      <c r="G10" t="str">
        <f>IFERROR(AVERAGEIF(SCORECARDS!$P$3:$P$176,$A10,SCORECARDS!$J$3:$J$176),"—")</f>
        <v>—</v>
      </c>
      <c r="H10" t="str">
        <f>IFERROR(AVERAGEIF(ISCAM_Score!$C$4:$C$177,$A10,ISCAM_Score!$K$4:$K$177),"—")</f>
        <v>—</v>
      </c>
      <c r="I10" t="str">
        <f>IFERROR(AVERAGEIF(ISCAM_Score!$C$4:$C$177,$A10,ISCAM_Score!$L$4:$L$177),"—")</f>
        <v>—</v>
      </c>
      <c r="J10" t="str">
        <f>IFERROR(AVERAGEIF(ISCAM_Score!$C$4:$C$177,$A10,ISCAM_Score!$M$4:$M$177),"—")</f>
        <v>—</v>
      </c>
      <c r="K10" t="str">
        <f>IFERROR(AVERAGEIF(ISCAM_Score!$C$4:$C$177,$A10,ISCAM_Score!$N$4:$N$177),"—")</f>
        <v>—</v>
      </c>
      <c r="L10" t="str">
        <f>IFERROR(AVERAGEIF(ISCAM_Score!$C$4:$C$177,$A10,ISCAM_Score!$O$4:$O$177),"—")</f>
        <v>—</v>
      </c>
      <c r="M10" t="str">
        <f t="shared" si="0"/>
        <v>—</v>
      </c>
    </row>
    <row r="11" spans="1:13" ht="18" customHeight="1" x14ac:dyDescent="0.3">
      <c r="A11" t="s">
        <v>72</v>
      </c>
      <c r="B11" t="str">
        <f>IFERROR(AVERAGEIF(ISCAM_Score!$C$4:$C$177,$A11,ISCAM_Score!$E$4:$E$177),"—")</f>
        <v>—</v>
      </c>
      <c r="C11" t="str">
        <f>IFERROR(AVERAGEIF(SCORECARDS!$P$3:$P$176,$A11,SCORECARDS!$H$3:$H$176),"—")</f>
        <v>—</v>
      </c>
      <c r="D11">
        <f>IFERROR(AVERAGEIF(ISCAM_Score!$C$4:$C$177,$A11,ISCAM_Score!$G$4:$G$177),"—")</f>
        <v>100</v>
      </c>
      <c r="E11" t="str">
        <f>IFERROR(AVERAGEIF(ISCAM_Score!$C$4:$C$177,$A11,ISCAM_Score!$H$4:$H$177),"—")</f>
        <v>—</v>
      </c>
      <c r="F11" t="str">
        <f>IFERROR(AVERAGEIF(SCORECARDS!$P$3:$P$176,$A11,SCORECARDS!$I$3:$I$176),"—")</f>
        <v>—</v>
      </c>
      <c r="G11" t="str">
        <f>IFERROR(AVERAGEIF(SCORECARDS!$P$3:$P$176,$A11,SCORECARDS!$J$3:$J$176),"—")</f>
        <v>—</v>
      </c>
      <c r="H11" t="str">
        <f>IFERROR(AVERAGEIF(ISCAM_Score!$C$4:$C$177,$A11,ISCAM_Score!$K$4:$K$177),"—")</f>
        <v>—</v>
      </c>
      <c r="I11" t="str">
        <f>IFERROR(AVERAGEIF(ISCAM_Score!$C$4:$C$177,$A11,ISCAM_Score!$L$4:$L$177),"—")</f>
        <v>—</v>
      </c>
      <c r="J11" t="str">
        <f>IFERROR(AVERAGEIF(ISCAM_Score!$C$4:$C$177,$A11,ISCAM_Score!$M$4:$M$177),"—")</f>
        <v>—</v>
      </c>
      <c r="K11" t="str">
        <f>IFERROR(AVERAGEIF(ISCAM_Score!$C$4:$C$177,$A11,ISCAM_Score!$N$4:$N$177),"—")</f>
        <v>—</v>
      </c>
      <c r="L11" t="str">
        <f>IFERROR(AVERAGEIF(ISCAM_Score!$C$4:$C$177,$A11,ISCAM_Score!$O$4:$O$177),"—")</f>
        <v>—</v>
      </c>
      <c r="M11" t="str">
        <f t="shared" si="0"/>
        <v>—</v>
      </c>
    </row>
    <row r="12" spans="1:13" ht="18" customHeight="1" x14ac:dyDescent="0.3">
      <c r="A12" t="s">
        <v>64</v>
      </c>
      <c r="B12" t="str">
        <f>IFERROR(AVERAGEIF(ISCAM_Score!$C$4:$C$177,$A12,ISCAM_Score!$E$4:$E$177),"—")</f>
        <v>—</v>
      </c>
      <c r="C12" t="str">
        <f>IFERROR(AVERAGEIF(SCORECARDS!$P$3:$P$176,$A12,SCORECARDS!$H$3:$H$176),"—")</f>
        <v>—</v>
      </c>
      <c r="D12">
        <f>IFERROR(AVERAGEIF(ISCAM_Score!$C$4:$C$177,$A12,ISCAM_Score!$G$4:$G$177),"—")</f>
        <v>100</v>
      </c>
      <c r="E12" t="str">
        <f>IFERROR(AVERAGEIF(ISCAM_Score!$C$4:$C$177,$A12,ISCAM_Score!$H$4:$H$177),"—")</f>
        <v>—</v>
      </c>
      <c r="F12" t="str">
        <f>IFERROR(AVERAGEIF(SCORECARDS!$P$3:$P$176,$A12,SCORECARDS!$I$3:$I$176),"—")</f>
        <v>—</v>
      </c>
      <c r="G12" t="str">
        <f>IFERROR(AVERAGEIF(SCORECARDS!$P$3:$P$176,$A12,SCORECARDS!$J$3:$J$176),"—")</f>
        <v>—</v>
      </c>
      <c r="H12" t="str">
        <f>IFERROR(AVERAGEIF(ISCAM_Score!$C$4:$C$177,$A12,ISCAM_Score!$K$4:$K$177),"—")</f>
        <v>—</v>
      </c>
      <c r="I12" t="str">
        <f>IFERROR(AVERAGEIF(ISCAM_Score!$C$4:$C$177,$A12,ISCAM_Score!$L$4:$L$177),"—")</f>
        <v>—</v>
      </c>
      <c r="J12" t="str">
        <f>IFERROR(AVERAGEIF(ISCAM_Score!$C$4:$C$177,$A12,ISCAM_Score!$M$4:$M$177),"—")</f>
        <v>—</v>
      </c>
      <c r="K12" t="str">
        <f>IFERROR(AVERAGEIF(ISCAM_Score!$C$4:$C$177,$A12,ISCAM_Score!$N$4:$N$177),"—")</f>
        <v>—</v>
      </c>
      <c r="L12" t="str">
        <f>IFERROR(AVERAGEIF(ISCAM_Score!$C$4:$C$177,$A12,ISCAM_Score!$O$4:$O$177),"—")</f>
        <v>—</v>
      </c>
      <c r="M12" t="str">
        <f t="shared" si="0"/>
        <v>—</v>
      </c>
    </row>
    <row r="13" spans="1:13" ht="18" customHeight="1" x14ac:dyDescent="0.3">
      <c r="A13" t="s">
        <v>201</v>
      </c>
      <c r="B13" t="str">
        <f>IFERROR(AVERAGEIF(ISCAM_Score!$C$4:$C$177,$A13,ISCAM_Score!$E$4:$E$177),"—")</f>
        <v>—</v>
      </c>
      <c r="C13" t="str">
        <f>IFERROR(AVERAGEIF(SCORECARDS!$P$3:$P$176,$A13,SCORECARDS!$H$3:$H$176),"—")</f>
        <v>—</v>
      </c>
      <c r="D13">
        <f>IFERROR(AVERAGEIF(ISCAM_Score!$C$4:$C$177,$A13,ISCAM_Score!$G$4:$G$177),"—")</f>
        <v>100</v>
      </c>
      <c r="E13" t="str">
        <f>IFERROR(AVERAGEIF(ISCAM_Score!$C$4:$C$177,$A13,ISCAM_Score!$H$4:$H$177),"—")</f>
        <v>—</v>
      </c>
      <c r="F13" t="str">
        <f>IFERROR(AVERAGEIF(SCORECARDS!$P$3:$P$176,$A13,SCORECARDS!$I$3:$I$176),"—")</f>
        <v>—</v>
      </c>
      <c r="G13" t="str">
        <f>IFERROR(AVERAGEIF(SCORECARDS!$P$3:$P$176,$A13,SCORECARDS!$J$3:$J$176),"—")</f>
        <v>—</v>
      </c>
      <c r="H13" t="str">
        <f>IFERROR(AVERAGEIF(ISCAM_Score!$C$4:$C$177,$A13,ISCAM_Score!$K$4:$K$177),"—")</f>
        <v>—</v>
      </c>
      <c r="I13" t="str">
        <f>IFERROR(AVERAGEIF(ISCAM_Score!$C$4:$C$177,$A13,ISCAM_Score!$L$4:$L$177),"—")</f>
        <v>—</v>
      </c>
      <c r="J13" t="str">
        <f>IFERROR(AVERAGEIF(ISCAM_Score!$C$4:$C$177,$A13,ISCAM_Score!$M$4:$M$177),"—")</f>
        <v>—</v>
      </c>
      <c r="K13" t="str">
        <f>IFERROR(AVERAGEIF(ISCAM_Score!$C$4:$C$177,$A13,ISCAM_Score!$N$4:$N$177),"—")</f>
        <v>—</v>
      </c>
      <c r="L13" t="str">
        <f>IFERROR(AVERAGEIF(ISCAM_Score!$C$4:$C$177,$A13,ISCAM_Score!$O$4:$O$177),"—")</f>
        <v>—</v>
      </c>
      <c r="M13" t="str">
        <f t="shared" si="0"/>
        <v>—</v>
      </c>
    </row>
    <row r="14" spans="1:13" ht="18" customHeight="1" x14ac:dyDescent="0.3">
      <c r="A14" t="s">
        <v>241</v>
      </c>
      <c r="B14" t="str">
        <f>IFERROR(AVERAGEIF(ISCAM_Score!$C$4:$C$177,$A14,ISCAM_Score!$E$4:$E$177),"—")</f>
        <v>—</v>
      </c>
      <c r="C14" t="str">
        <f>IFERROR(AVERAGEIF(SCORECARDS!$P$3:$P$176,$A14,SCORECARDS!$H$3:$H$176),"—")</f>
        <v>—</v>
      </c>
      <c r="D14">
        <f>IFERROR(AVERAGEIF(ISCAM_Score!$C$4:$C$177,$A14,ISCAM_Score!$G$4:$G$177),"—")</f>
        <v>100</v>
      </c>
      <c r="E14" t="str">
        <f>IFERROR(AVERAGEIF(ISCAM_Score!$C$4:$C$177,$A14,ISCAM_Score!$H$4:$H$177),"—")</f>
        <v>—</v>
      </c>
      <c r="F14" t="str">
        <f>IFERROR(AVERAGEIF(SCORECARDS!$P$3:$P$176,$A14,SCORECARDS!$I$3:$I$176),"—")</f>
        <v>—</v>
      </c>
      <c r="G14" t="str">
        <f>IFERROR(AVERAGEIF(SCORECARDS!$P$3:$P$176,$A14,SCORECARDS!$J$3:$J$176),"—")</f>
        <v>—</v>
      </c>
      <c r="H14" t="str">
        <f>IFERROR(AVERAGEIF(ISCAM_Score!$C$4:$C$177,$A14,ISCAM_Score!$K$4:$K$177),"—")</f>
        <v>—</v>
      </c>
      <c r="I14" t="str">
        <f>IFERROR(AVERAGEIF(ISCAM_Score!$C$4:$C$177,$A14,ISCAM_Score!$L$4:$L$177),"—")</f>
        <v>—</v>
      </c>
      <c r="J14" t="str">
        <f>IFERROR(AVERAGEIF(ISCAM_Score!$C$4:$C$177,$A14,ISCAM_Score!$M$4:$M$177),"—")</f>
        <v>—</v>
      </c>
      <c r="K14" t="str">
        <f>IFERROR(AVERAGEIF(ISCAM_Score!$C$4:$C$177,$A14,ISCAM_Score!$N$4:$N$177),"—")</f>
        <v>—</v>
      </c>
      <c r="L14" t="str">
        <f>IFERROR(AVERAGEIF(ISCAM_Score!$C$4:$C$177,$A14,ISCAM_Score!$O$4:$O$177),"—")</f>
        <v>—</v>
      </c>
      <c r="M14" t="str">
        <f t="shared" si="0"/>
        <v>—</v>
      </c>
    </row>
    <row r="15" spans="1:13" ht="18" customHeight="1" x14ac:dyDescent="0.3">
      <c r="A15" t="s">
        <v>192</v>
      </c>
      <c r="B15" t="str">
        <f>IFERROR(AVERAGEIF(ISCAM_Score!$C$4:$C$177,$A15,ISCAM_Score!$E$4:$E$177),"—")</f>
        <v>—</v>
      </c>
      <c r="C15" t="str">
        <f>IFERROR(AVERAGEIF(SCORECARDS!$P$3:$P$176,$A15,SCORECARDS!$H$3:$H$176),"—")</f>
        <v>—</v>
      </c>
      <c r="D15">
        <f>IFERROR(AVERAGEIF(ISCAM_Score!$C$4:$C$177,$A15,ISCAM_Score!$G$4:$G$177),"—")</f>
        <v>100</v>
      </c>
      <c r="E15" t="str">
        <f>IFERROR(AVERAGEIF(ISCAM_Score!$C$4:$C$177,$A15,ISCAM_Score!$H$4:$H$177),"—")</f>
        <v>—</v>
      </c>
      <c r="F15" t="str">
        <f>IFERROR(AVERAGEIF(SCORECARDS!$P$3:$P$176,$A15,SCORECARDS!$I$3:$I$176),"—")</f>
        <v>—</v>
      </c>
      <c r="G15" t="str">
        <f>IFERROR(AVERAGEIF(SCORECARDS!$P$3:$P$176,$A15,SCORECARDS!$J$3:$J$176),"—")</f>
        <v>—</v>
      </c>
      <c r="H15" t="str">
        <f>IFERROR(AVERAGEIF(ISCAM_Score!$C$4:$C$177,$A15,ISCAM_Score!$K$4:$K$177),"—")</f>
        <v>—</v>
      </c>
      <c r="I15" t="str">
        <f>IFERROR(AVERAGEIF(ISCAM_Score!$C$4:$C$177,$A15,ISCAM_Score!$L$4:$L$177),"—")</f>
        <v>—</v>
      </c>
      <c r="J15" t="str">
        <f>IFERROR(AVERAGEIF(ISCAM_Score!$C$4:$C$177,$A15,ISCAM_Score!$M$4:$M$177),"—")</f>
        <v>—</v>
      </c>
      <c r="K15" t="str">
        <f>IFERROR(AVERAGEIF(ISCAM_Score!$C$4:$C$177,$A15,ISCAM_Score!$N$4:$N$177),"—")</f>
        <v>—</v>
      </c>
      <c r="L15" t="str">
        <f>IFERROR(AVERAGEIF(ISCAM_Score!$C$4:$C$177,$A15,ISCAM_Score!$O$4:$O$177),"—")</f>
        <v>—</v>
      </c>
      <c r="M15" t="str">
        <f t="shared" si="0"/>
        <v>—</v>
      </c>
    </row>
    <row r="16" spans="1:13" ht="18" customHeight="1" x14ac:dyDescent="0.3">
      <c r="A16" t="s">
        <v>179</v>
      </c>
      <c r="B16" t="str">
        <f>IFERROR(AVERAGEIF(ISCAM_Score!$C$4:$C$177,$A16,ISCAM_Score!$E$4:$E$177),"—")</f>
        <v>—</v>
      </c>
      <c r="C16" t="str">
        <f>IFERROR(AVERAGEIF(SCORECARDS!$P$3:$P$176,$A16,SCORECARDS!$H$3:$H$176),"—")</f>
        <v>—</v>
      </c>
      <c r="D16">
        <f>IFERROR(AVERAGEIF(ISCAM_Score!$C$4:$C$177,$A16,ISCAM_Score!$G$4:$G$177),"—")</f>
        <v>100</v>
      </c>
      <c r="E16" t="str">
        <f>IFERROR(AVERAGEIF(ISCAM_Score!$C$4:$C$177,$A16,ISCAM_Score!$H$4:$H$177),"—")</f>
        <v>—</v>
      </c>
      <c r="F16" t="str">
        <f>IFERROR(AVERAGEIF(SCORECARDS!$P$3:$P$176,$A16,SCORECARDS!$I$3:$I$176),"—")</f>
        <v>—</v>
      </c>
      <c r="G16" t="str">
        <f>IFERROR(AVERAGEIF(SCORECARDS!$P$3:$P$176,$A16,SCORECARDS!$J$3:$J$176),"—")</f>
        <v>—</v>
      </c>
      <c r="H16" t="str">
        <f>IFERROR(AVERAGEIF(ISCAM_Score!$C$4:$C$177,$A16,ISCAM_Score!$K$4:$K$177),"—")</f>
        <v>—</v>
      </c>
      <c r="I16" t="str">
        <f>IFERROR(AVERAGEIF(ISCAM_Score!$C$4:$C$177,$A16,ISCAM_Score!$L$4:$L$177),"—")</f>
        <v>—</v>
      </c>
      <c r="J16" t="str">
        <f>IFERROR(AVERAGEIF(ISCAM_Score!$C$4:$C$177,$A16,ISCAM_Score!$M$4:$M$177),"—")</f>
        <v>—</v>
      </c>
      <c r="K16" t="str">
        <f>IFERROR(AVERAGEIF(ISCAM_Score!$C$4:$C$177,$A16,ISCAM_Score!$N$4:$N$177),"—")</f>
        <v>—</v>
      </c>
      <c r="L16" t="str">
        <f>IFERROR(AVERAGEIF(ISCAM_Score!$C$4:$C$177,$A16,ISCAM_Score!$O$4:$O$177),"—")</f>
        <v>—</v>
      </c>
      <c r="M16" t="str">
        <f t="shared" si="0"/>
        <v>—</v>
      </c>
    </row>
    <row r="17" spans="1:13" ht="18" customHeight="1" x14ac:dyDescent="0.3">
      <c r="A17" t="s">
        <v>440</v>
      </c>
      <c r="B17" t="str">
        <f>IFERROR(AVERAGEIF(ISCAM_Score!$C$4:$C$177,$A17,ISCAM_Score!$E$4:$E$177),"—")</f>
        <v>—</v>
      </c>
      <c r="C17" t="str">
        <f>IFERROR(AVERAGEIF(SCORECARDS!$P$3:$P$176,$A17,SCORECARDS!$H$3:$H$176),"—")</f>
        <v>—</v>
      </c>
      <c r="D17" t="str">
        <f>IFERROR(AVERAGEIF(ISCAM_Score!$C$4:$C$177,$A17,ISCAM_Score!$G$4:$G$177),"—")</f>
        <v>—</v>
      </c>
      <c r="E17" t="str">
        <f>IFERROR(AVERAGEIF(ISCAM_Score!$C$4:$C$177,$A17,ISCAM_Score!$H$4:$H$177),"—")</f>
        <v>—</v>
      </c>
      <c r="F17" t="str">
        <f>IFERROR(AVERAGEIF(SCORECARDS!$P$3:$P$176,$A17,SCORECARDS!$I$3:$I$176),"—")</f>
        <v>—</v>
      </c>
      <c r="G17" t="str">
        <f>IFERROR(AVERAGEIF(SCORECARDS!$P$3:$P$176,$A17,SCORECARDS!$J$3:$J$176),"—")</f>
        <v>—</v>
      </c>
      <c r="H17" t="str">
        <f>IFERROR(AVERAGEIF(ISCAM_Score!$C$4:$C$177,$A17,ISCAM_Score!$K$4:$K$177),"—")</f>
        <v>—</v>
      </c>
      <c r="I17" t="str">
        <f>IFERROR(AVERAGEIF(ISCAM_Score!$C$4:$C$177,$A17,ISCAM_Score!$L$4:$L$177),"—")</f>
        <v>—</v>
      </c>
      <c r="J17" t="str">
        <f>IFERROR(AVERAGEIF(ISCAM_Score!$C$4:$C$177,$A17,ISCAM_Score!$M$4:$M$177),"—")</f>
        <v>—</v>
      </c>
      <c r="K17" t="str">
        <f>IFERROR(AVERAGEIF(ISCAM_Score!$C$4:$C$177,$A17,ISCAM_Score!$N$4:$N$177),"—")</f>
        <v>—</v>
      </c>
      <c r="L17" t="str">
        <f>IFERROR(AVERAGEIF(ISCAM_Score!$C$4:$C$177,$A17,ISCAM_Score!$O$4:$O$177),"—")</f>
        <v>—</v>
      </c>
      <c r="M17" t="str">
        <f t="shared" si="0"/>
        <v>—</v>
      </c>
    </row>
    <row r="20" spans="1:13" ht="19.95" customHeight="1" x14ac:dyDescent="0.3">
      <c r="A20" s="65" t="s">
        <v>1057</v>
      </c>
      <c r="B20" s="65"/>
      <c r="C20" s="65"/>
      <c r="D20" s="65"/>
      <c r="E20" s="65"/>
      <c r="F20" s="65"/>
      <c r="G20" s="65"/>
    </row>
    <row r="21" spans="1:13" ht="18" customHeight="1" x14ac:dyDescent="0.3">
      <c r="A21" s="65" t="s">
        <v>1058</v>
      </c>
      <c r="B21" s="65"/>
      <c r="C21" s="65"/>
      <c r="D21" s="65"/>
      <c r="E21" s="65"/>
      <c r="F21" s="65"/>
      <c r="G21" s="65"/>
    </row>
    <row r="22" spans="1:13" ht="18" customHeight="1" x14ac:dyDescent="0.3">
      <c r="A22" s="65" t="s">
        <v>1059</v>
      </c>
      <c r="B22" s="65"/>
      <c r="C22" s="65"/>
      <c r="D22" s="65"/>
      <c r="E22" s="65"/>
      <c r="F22" s="65"/>
      <c r="G22" s="65"/>
    </row>
    <row r="23" spans="1:13" ht="18" customHeight="1" x14ac:dyDescent="0.3">
      <c r="A23" s="65" t="s">
        <v>1060</v>
      </c>
      <c r="B23" s="65"/>
      <c r="C23" s="65"/>
      <c r="D23" s="65"/>
      <c r="E23" s="65"/>
      <c r="F23" s="65"/>
      <c r="G23" s="65"/>
    </row>
    <row r="24" spans="1:13" ht="18" customHeight="1" x14ac:dyDescent="0.3">
      <c r="A24" s="65" t="s">
        <v>1093</v>
      </c>
      <c r="B24" s="65"/>
      <c r="C24" s="65"/>
      <c r="D24" s="65"/>
      <c r="E24" s="65"/>
      <c r="F24" s="65"/>
      <c r="G24" s="65"/>
    </row>
    <row r="26" spans="1:13" x14ac:dyDescent="0.3">
      <c r="A26" s="65" t="s">
        <v>1092</v>
      </c>
      <c r="B26" s="65"/>
      <c r="C26" s="65"/>
      <c r="D26" s="65"/>
      <c r="E26" s="65"/>
      <c r="F26" s="65"/>
      <c r="G26" s="65"/>
    </row>
    <row r="28" spans="1:13" x14ac:dyDescent="0.3">
      <c r="A28" s="44" t="s">
        <v>1061</v>
      </c>
    </row>
    <row r="29" spans="1:13" x14ac:dyDescent="0.3">
      <c r="A29" s="45" t="s">
        <v>24</v>
      </c>
      <c r="B29" s="45" t="s">
        <v>1062</v>
      </c>
      <c r="C29" s="45" t="s">
        <v>986</v>
      </c>
      <c r="D29" s="45" t="s">
        <v>1063</v>
      </c>
      <c r="E29" s="45" t="s">
        <v>990</v>
      </c>
      <c r="F29" s="45" t="s">
        <v>1064</v>
      </c>
      <c r="G29" s="45" t="s">
        <v>1065</v>
      </c>
      <c r="H29" s="45" t="s">
        <v>1016</v>
      </c>
    </row>
    <row r="30" spans="1:13" x14ac:dyDescent="0.3">
      <c r="A30" s="46" t="s">
        <v>65</v>
      </c>
      <c r="B30" s="47">
        <f>COUNTIF(MATRIZ_174!$D$3:$D$176,A30)</f>
        <v>80</v>
      </c>
      <c r="C30" s="48" t="str">
        <f>IFERROR(AVERAGEIF(MATRIZ_174!$D$3:$D$176,$A30,ISCAM_Score!$AK$4:$AK$177),"—")</f>
        <v>—</v>
      </c>
      <c r="D30" s="48">
        <f>IFERROR(AVERAGEIF(MATRIZ_174!$D$3:$D$176,$A30,ISCAM_Score!$AI$4:$AI$177),"—")</f>
        <v>0.12866071428571429</v>
      </c>
      <c r="E30" s="48" t="str">
        <f>IFERROR(AVERAGEIF(MATRIZ_174!$D$3:$D$176,$A30,ISCAM_Score!$AL$4:$AL$177),"—")</f>
        <v>—</v>
      </c>
      <c r="F30" s="48" t="str">
        <f>IFERROR(AVERAGEIF(MATRIZ_174!$D$3:$D$176,$A30,ISCAM_Score!$Z$4:$Z$177),"—")</f>
        <v>—</v>
      </c>
      <c r="G30" s="48">
        <f>IFERROR(AVERAGEIF(MATRIZ_174!$D$3:$D$176,$A30,ISCAM_Score!$AA$4:$AA$177),"—")</f>
        <v>54.669999999999995</v>
      </c>
      <c r="H30" s="48" t="str">
        <f>IFERROR(AVERAGEIF(MATRIZ_174!$D$3:$D$176,$A30,ISCAM_Score!$AB$4:$AB$177),"—")</f>
        <v>—</v>
      </c>
    </row>
    <row r="31" spans="1:13" x14ac:dyDescent="0.3">
      <c r="A31" s="46" t="s">
        <v>73</v>
      </c>
      <c r="B31" s="47">
        <f>COUNTIF(MATRIZ_174!$D$3:$D$176,A31)</f>
        <v>83</v>
      </c>
      <c r="C31" s="48" t="str">
        <f>IFERROR(AVERAGEIF(MATRIZ_174!$D$3:$D$176,$A31,ISCAM_Score!$AK$4:$AK$177),"—")</f>
        <v>—</v>
      </c>
      <c r="D31" s="48">
        <f>IFERROR(AVERAGEIF(MATRIZ_174!$D$3:$D$176,$A31,ISCAM_Score!$AI$4:$AI$177),"—")</f>
        <v>4.6686746987951805E-2</v>
      </c>
      <c r="E31" s="48" t="str">
        <f>IFERROR(AVERAGEIF(MATRIZ_174!$D$3:$D$176,$A31,ISCAM_Score!$AL$4:$AL$177),"—")</f>
        <v>—</v>
      </c>
      <c r="F31" s="48" t="str">
        <f>IFERROR(AVERAGEIF(MATRIZ_174!$D$3:$D$176,$A31,ISCAM_Score!$Z$4:$Z$177),"—")</f>
        <v>—</v>
      </c>
      <c r="G31" s="48">
        <f>IFERROR(AVERAGEIF(MATRIZ_174!$D$3:$D$176,$A31,ISCAM_Score!$AA$4:$AA$177),"—")</f>
        <v>58.704819277108435</v>
      </c>
      <c r="H31" s="48" t="str">
        <f>IFERROR(AVERAGEIF(MATRIZ_174!$D$3:$D$176,$A31,ISCAM_Score!$AB$4:$AB$177),"—")</f>
        <v>—</v>
      </c>
    </row>
    <row r="32" spans="1:13" x14ac:dyDescent="0.3">
      <c r="A32" s="47" t="s">
        <v>1066</v>
      </c>
      <c r="B32" s="47">
        <f>COUNTBLANK(MATRIZ_174!$D$3:$D$176)</f>
        <v>10</v>
      </c>
      <c r="C32" s="48" t="str">
        <f>IFERROR(AVERAGEIF(MATRIZ_174!$D$3:$D$176,"",ISCAM_Score!$AK$4:$AK$177),"—")</f>
        <v>—</v>
      </c>
      <c r="D32" s="48">
        <f>IFERROR(AVERAGEIF(MATRIZ_174!$D$3:$D$176,"",ISCAM_Score!$AI$4:$AI$177),"—")</f>
        <v>0.14071428571428571</v>
      </c>
      <c r="E32" s="48" t="str">
        <f>IFERROR(AVERAGEIF(MATRIZ_174!$D$3:$D$176,"",ISCAM_Score!$AL$4:$AL$177),"—")</f>
        <v>—</v>
      </c>
      <c r="F32" s="48" t="str">
        <f>IFERROR(AVERAGEIF(MATRIZ_174!$D$3:$D$176,"",ISCAM_Score!$Z$4:$Z$177),"—")</f>
        <v>—</v>
      </c>
      <c r="G32" s="48">
        <f>IFERROR(AVERAGEIF(MATRIZ_174!$D$3:$D$176,"",ISCAM_Score!$AA$4:$AA$177),"—")</f>
        <v>55.760000000000005</v>
      </c>
      <c r="H32" s="48" t="str">
        <f>IFERROR(AVERAGEIF(MATRIZ_174!$D$3:$D$176,"",ISCAM_Score!$AB$4:$AB$177),"—")</f>
        <v>—</v>
      </c>
    </row>
    <row r="34" spans="1:2" x14ac:dyDescent="0.3">
      <c r="A34" t="s">
        <v>1067</v>
      </c>
      <c r="B34" t="str">
        <f>IF(OR(NOT(ISNUMBER(E30)),NOT(ISNUMBER(E31))),"⏳ Sin datos suficientes para evaluar paridad",IF(ABS(E30-E31)&lt;=5,"✔ Sin brecha café/cacao (≤5 pts en ISA-Completo)","⚠ Brecha café/cacao &gt;5 pts en ISA-Completo — revisar sesgo antes de publicar"))</f>
        <v>⏳ Sin datos suficientes para evaluar paridad</v>
      </c>
    </row>
    <row r="35" spans="1:2" x14ac:dyDescent="0.3">
      <c r="A35" s="49" t="s">
        <v>1068</v>
      </c>
    </row>
  </sheetData>
  <mergeCells count="7">
    <mergeCell ref="A1:J1"/>
    <mergeCell ref="A21:G21"/>
    <mergeCell ref="A22:G22"/>
    <mergeCell ref="A20:G20"/>
    <mergeCell ref="A26:G26"/>
    <mergeCell ref="A24:G24"/>
    <mergeCell ref="A23:G2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INSTRUCCIONES</vt:lpstr>
      <vt:lpstr>INSTRUMENTO_2_PREGUNTAS</vt:lpstr>
      <vt:lpstr>CODIFICACION</vt:lpstr>
      <vt:lpstr>CAPTURA</vt:lpstr>
      <vt:lpstr>NORMALIZADO</vt:lpstr>
      <vt:lpstr>ISCAM_Score</vt:lpstr>
      <vt:lpstr>PONDERADORES</vt:lpstr>
      <vt:lpstr>MATRIZ_174</vt:lpstr>
      <vt:lpstr>SCORECARDS</vt:lpstr>
      <vt:lpstr>RADAR_BRECHAS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Ricardo Cuba</cp:lastModifiedBy>
  <dcterms:created xsi:type="dcterms:W3CDTF">2026-10-13T02:21:49Z</dcterms:created>
  <dcterms:modified xsi:type="dcterms:W3CDTF">2026-10-15T19:01:46Z</dcterms:modified>
</cp:coreProperties>
</file>